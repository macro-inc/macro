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eveloping\claude code\"/>
    </mc:Choice>
  </mc:AlternateContent>
  <xr:revisionPtr revIDLastSave="0" documentId="13_ncr:1_{7672B8CF-5607-4431-A45C-D22ACBFA19C2}" xr6:coauthVersionLast="47" xr6:coauthVersionMax="47" xr10:uidLastSave="{00000000-0000-0000-0000-000000000000}"/>
  <bookViews>
    <workbookView xWindow="-120" yWindow="-120" windowWidth="20730" windowHeight="11310" firstSheet="4" activeTab="7" xr2:uid="{00000000-000D-0000-FFFF-FFFF00000000}"/>
  </bookViews>
  <sheets>
    <sheet name="Cover" sheetId="1" r:id="rId1"/>
    <sheet name="Scenario Control" sheetId="2" r:id="rId2"/>
    <sheet name="Assumptions" sheetId="3" r:id="rId3"/>
    <sheet name="Trading Comps" sheetId="4" r:id="rId4"/>
    <sheet name="DCF Valuation" sheetId="5" r:id="rId5"/>
    <sheet name="LBO Model" sheetId="6" r:id="rId6"/>
    <sheet name="MA Accretion-Dilution" sheetId="7" r:id="rId7"/>
    <sheet name="Valuation Summa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8" l="1"/>
  <c r="C36" i="7"/>
  <c r="C32" i="7"/>
  <c r="C22" i="7"/>
  <c r="C19" i="7"/>
  <c r="C20" i="7" s="1"/>
  <c r="C15" i="7"/>
  <c r="C9" i="7"/>
  <c r="C42" i="7" s="1"/>
  <c r="C73" i="6"/>
  <c r="C72" i="6"/>
  <c r="C71" i="6"/>
  <c r="C70" i="6"/>
  <c r="C69" i="6"/>
  <c r="H30" i="6"/>
  <c r="G30" i="6"/>
  <c r="F30" i="6"/>
  <c r="E30" i="6"/>
  <c r="D30" i="6"/>
  <c r="C30" i="5"/>
  <c r="H5" i="5"/>
  <c r="G5" i="5"/>
  <c r="F5" i="5"/>
  <c r="E5" i="5"/>
  <c r="D5" i="5"/>
  <c r="C24" i="4"/>
  <c r="C22" i="4"/>
  <c r="C20" i="4"/>
  <c r="E12" i="4"/>
  <c r="E11" i="4"/>
  <c r="H10" i="4"/>
  <c r="E10" i="4"/>
  <c r="N10" i="4" s="1"/>
  <c r="E9" i="4"/>
  <c r="E8" i="4"/>
  <c r="E7" i="4"/>
  <c r="E6" i="4"/>
  <c r="C28" i="3"/>
  <c r="C23" i="3"/>
  <c r="C16" i="3"/>
  <c r="C13" i="3"/>
  <c r="C9" i="3"/>
  <c r="F20" i="2"/>
  <c r="F19" i="2"/>
  <c r="C12" i="5" s="1"/>
  <c r="F18" i="2"/>
  <c r="F17" i="2"/>
  <c r="F16" i="2"/>
  <c r="F15" i="2"/>
  <c r="F14" i="2"/>
  <c r="H35" i="3" s="1"/>
  <c r="F13" i="2"/>
  <c r="D35" i="3" s="1"/>
  <c r="F12" i="2"/>
  <c r="H33" i="3" s="1"/>
  <c r="F11" i="2"/>
  <c r="G33" i="3" s="1"/>
  <c r="F10" i="2"/>
  <c r="F33" i="3" s="1"/>
  <c r="F9" i="2"/>
  <c r="E33" i="3" s="1"/>
  <c r="F8" i="2"/>
  <c r="D33" i="3" s="1"/>
  <c r="D34" i="3" s="1"/>
  <c r="C17" i="3" l="1"/>
  <c r="C23" i="7"/>
  <c r="C25" i="7" s="1"/>
  <c r="C33" i="7" s="1"/>
  <c r="C34" i="7" s="1"/>
  <c r="C39" i="7" s="1"/>
  <c r="C24" i="7"/>
  <c r="C26" i="7" s="1"/>
  <c r="C40" i="7" s="1"/>
  <c r="N12" i="4"/>
  <c r="H12" i="4"/>
  <c r="N11" i="4"/>
  <c r="H11" i="4"/>
  <c r="M10" i="4"/>
  <c r="L10" i="4"/>
  <c r="N9" i="4"/>
  <c r="H9" i="4"/>
  <c r="N8" i="4"/>
  <c r="H8" i="4"/>
  <c r="N7" i="4"/>
  <c r="H7" i="4"/>
  <c r="N6" i="4"/>
  <c r="H6" i="4"/>
  <c r="C27" i="5"/>
  <c r="C23" i="4"/>
  <c r="C7" i="6"/>
  <c r="C21" i="4"/>
  <c r="C27" i="6"/>
  <c r="C21" i="5"/>
  <c r="D36" i="5"/>
  <c r="E36" i="5"/>
  <c r="F36" i="5"/>
  <c r="G36" i="5"/>
  <c r="H36" i="5"/>
  <c r="G40" i="3"/>
  <c r="G35" i="6" s="1"/>
  <c r="E40" i="3"/>
  <c r="E35" i="6" s="1"/>
  <c r="D40" i="3"/>
  <c r="D35" i="6" s="1"/>
  <c r="F40" i="3"/>
  <c r="F35" i="6" s="1"/>
  <c r="C25" i="3"/>
  <c r="C26" i="3" s="1"/>
  <c r="C29" i="3" s="1"/>
  <c r="C11" i="5" s="1"/>
  <c r="H40" i="3"/>
  <c r="H35" i="6" s="1"/>
  <c r="F42" i="3"/>
  <c r="H42" i="3"/>
  <c r="E42" i="3"/>
  <c r="G42" i="3"/>
  <c r="D42" i="3"/>
  <c r="H37" i="3"/>
  <c r="G37" i="3"/>
  <c r="F37" i="3"/>
  <c r="D37" i="3"/>
  <c r="E37" i="3"/>
  <c r="E35" i="3"/>
  <c r="F35" i="3"/>
  <c r="G35" i="3"/>
  <c r="E34" i="3"/>
  <c r="D36" i="3"/>
  <c r="D38" i="3"/>
  <c r="D34" i="6" s="1"/>
  <c r="D43" i="3"/>
  <c r="D32" i="6" s="1"/>
  <c r="D44" i="3"/>
  <c r="D33" i="6" s="1"/>
  <c r="L12" i="4" l="1"/>
  <c r="M12" i="4"/>
  <c r="L11" i="4"/>
  <c r="M11" i="4"/>
  <c r="L9" i="4"/>
  <c r="M9" i="4"/>
  <c r="L8" i="4"/>
  <c r="M8" i="4"/>
  <c r="L7" i="4"/>
  <c r="M7" i="4"/>
  <c r="N15" i="4"/>
  <c r="C29" i="4" s="1"/>
  <c r="E29" i="4" s="1"/>
  <c r="F29" i="4" s="1"/>
  <c r="N16" i="4"/>
  <c r="N17" i="4"/>
  <c r="N14" i="4"/>
  <c r="L6" i="4"/>
  <c r="M6" i="4"/>
  <c r="C8" i="6"/>
  <c r="C15" i="6"/>
  <c r="C17" i="6"/>
  <c r="D41" i="6" s="1"/>
  <c r="F68" i="6"/>
  <c r="H68" i="6"/>
  <c r="D68" i="6"/>
  <c r="E68" i="6"/>
  <c r="G68" i="6"/>
  <c r="H8" i="5"/>
  <c r="G8" i="5"/>
  <c r="F8" i="5"/>
  <c r="E8" i="5"/>
  <c r="D8" i="5"/>
  <c r="C41" i="5"/>
  <c r="C40" i="5"/>
  <c r="C39" i="5"/>
  <c r="C38" i="5"/>
  <c r="C37" i="5"/>
  <c r="F34" i="3"/>
  <c r="E36" i="3"/>
  <c r="E38" i="3"/>
  <c r="E34" i="6" s="1"/>
  <c r="E43" i="3"/>
  <c r="E32" i="6" s="1"/>
  <c r="E44" i="3"/>
  <c r="E33" i="6" s="1"/>
  <c r="D39" i="3"/>
  <c r="D41" i="3" s="1"/>
  <c r="D45" i="3" s="1"/>
  <c r="D7" i="5" s="1"/>
  <c r="D31" i="6"/>
  <c r="C41" i="7"/>
  <c r="L15" i="4" l="1"/>
  <c r="C27" i="4" s="1"/>
  <c r="D27" i="4" s="1"/>
  <c r="E27" i="4" s="1"/>
  <c r="F27" i="4" s="1"/>
  <c r="L17" i="4"/>
  <c r="L14" i="4"/>
  <c r="L16" i="4"/>
  <c r="M14" i="4"/>
  <c r="M15" i="4"/>
  <c r="C28" i="4" s="1"/>
  <c r="D28" i="4" s="1"/>
  <c r="E28" i="4" s="1"/>
  <c r="F28" i="4" s="1"/>
  <c r="M16" i="4"/>
  <c r="C30" i="4" s="1"/>
  <c r="D30" i="4" s="1"/>
  <c r="E30" i="4" s="1"/>
  <c r="F30" i="4" s="1"/>
  <c r="C8" i="8" s="1"/>
  <c r="M17" i="4"/>
  <c r="C31" i="4" s="1"/>
  <c r="D31" i="4" s="1"/>
  <c r="E31" i="4" s="1"/>
  <c r="F31" i="4" s="1"/>
  <c r="D8" i="8" s="1"/>
  <c r="E8" i="8" s="1"/>
  <c r="C10" i="6"/>
  <c r="C11" i="6" s="1"/>
  <c r="C18" i="6" s="1"/>
  <c r="D38" i="6"/>
  <c r="D39" i="6"/>
  <c r="D42" i="6"/>
  <c r="D50" i="6"/>
  <c r="E41" i="6" s="1"/>
  <c r="G34" i="3"/>
  <c r="F36" i="3"/>
  <c r="F38" i="3"/>
  <c r="F34" i="6" s="1"/>
  <c r="F43" i="3"/>
  <c r="F32" i="6" s="1"/>
  <c r="F44" i="3"/>
  <c r="F33" i="6" s="1"/>
  <c r="E39" i="3"/>
  <c r="E41" i="3" s="1"/>
  <c r="E45" i="3" s="1"/>
  <c r="E7" i="5" s="1"/>
  <c r="E9" i="5" s="1"/>
  <c r="E31" i="6"/>
  <c r="D9" i="5"/>
  <c r="C43" i="7"/>
  <c r="C44" i="7"/>
  <c r="C45" i="7" s="1"/>
  <c r="C19" i="6" l="1"/>
  <c r="C20" i="6" s="1"/>
  <c r="C62" i="6"/>
  <c r="D40" i="6"/>
  <c r="D43" i="6" s="1"/>
  <c r="E42" i="6"/>
  <c r="E50" i="6"/>
  <c r="F41" i="6" s="1"/>
  <c r="H34" i="3"/>
  <c r="G36" i="3"/>
  <c r="G38" i="3"/>
  <c r="G34" i="6" s="1"/>
  <c r="G43" i="3"/>
  <c r="G32" i="6" s="1"/>
  <c r="G44" i="3"/>
  <c r="G33" i="6" s="1"/>
  <c r="F39" i="3"/>
  <c r="F41" i="3" s="1"/>
  <c r="F45" i="3" s="1"/>
  <c r="F7" i="5" s="1"/>
  <c r="F31" i="6"/>
  <c r="D44" i="6" l="1"/>
  <c r="D45" i="6" s="1"/>
  <c r="D46" i="6" s="1"/>
  <c r="D47" i="6" s="1"/>
  <c r="F42" i="6"/>
  <c r="F50" i="6"/>
  <c r="G41" i="6" s="1"/>
  <c r="H36" i="3"/>
  <c r="H38" i="3"/>
  <c r="H34" i="6" s="1"/>
  <c r="H43" i="3"/>
  <c r="H32" i="6" s="1"/>
  <c r="H44" i="3"/>
  <c r="H33" i="6" s="1"/>
  <c r="G39" i="3"/>
  <c r="G41" i="3" s="1"/>
  <c r="G45" i="3" s="1"/>
  <c r="G7" i="5" s="1"/>
  <c r="G31" i="6"/>
  <c r="F9" i="5"/>
  <c r="D48" i="6" l="1"/>
  <c r="G42" i="6"/>
  <c r="G50" i="6"/>
  <c r="H41" i="6" s="1"/>
  <c r="H39" i="3"/>
  <c r="H41" i="3" s="1"/>
  <c r="H45" i="3" s="1"/>
  <c r="H7" i="5" s="1"/>
  <c r="E40" i="5" s="1"/>
  <c r="C22" i="5"/>
  <c r="C23" i="5" s="1"/>
  <c r="H31" i="6"/>
  <c r="G9" i="5"/>
  <c r="E41" i="5"/>
  <c r="D49" i="6" l="1"/>
  <c r="E38" i="6" s="1"/>
  <c r="D51" i="6"/>
  <c r="D52" i="6" s="1"/>
  <c r="E40" i="6"/>
  <c r="E43" i="6" s="1"/>
  <c r="E39" i="6"/>
  <c r="H42" i="6"/>
  <c r="H50" i="6"/>
  <c r="C58" i="6" s="1"/>
  <c r="G37" i="5"/>
  <c r="F37" i="5"/>
  <c r="D39" i="5"/>
  <c r="D40" i="5"/>
  <c r="F40" i="5"/>
  <c r="H40" i="5"/>
  <c r="E37" i="5"/>
  <c r="D38" i="5"/>
  <c r="E38" i="5"/>
  <c r="F38" i="5"/>
  <c r="G38" i="5"/>
  <c r="H38" i="5"/>
  <c r="E39" i="5"/>
  <c r="F39" i="5"/>
  <c r="G39" i="5"/>
  <c r="H37" i="5"/>
  <c r="D41" i="5"/>
  <c r="F41" i="5"/>
  <c r="D37" i="5"/>
  <c r="H39" i="5"/>
  <c r="G41" i="5"/>
  <c r="G40" i="5"/>
  <c r="H41" i="5"/>
  <c r="H9" i="5"/>
  <c r="C15" i="5" s="1"/>
  <c r="C16" i="5"/>
  <c r="C17" i="5" s="1"/>
  <c r="C55" i="6"/>
  <c r="E44" i="6" l="1"/>
  <c r="E45" i="6" s="1"/>
  <c r="E46" i="6" s="1"/>
  <c r="E47" i="6" s="1"/>
  <c r="D6" i="8"/>
  <c r="C6" i="8"/>
  <c r="C18" i="5"/>
  <c r="C28" i="5" s="1"/>
  <c r="C31" i="5" s="1"/>
  <c r="C24" i="5"/>
  <c r="C29" i="5" s="1"/>
  <c r="C32" i="5" s="1"/>
  <c r="C56" i="6"/>
  <c r="E6" i="8" l="1"/>
  <c r="C7" i="8"/>
  <c r="D7" i="8"/>
  <c r="E48" i="6"/>
  <c r="E7" i="8" l="1"/>
  <c r="E49" i="6"/>
  <c r="F38" i="6" s="1"/>
  <c r="E51" i="6"/>
  <c r="E52" i="6" s="1"/>
  <c r="F40" i="6" l="1"/>
  <c r="F43" i="6" s="1"/>
  <c r="F39" i="6"/>
  <c r="F44" i="6" l="1"/>
  <c r="F45" i="6" s="1"/>
  <c r="F46" i="6" s="1"/>
  <c r="F47" i="6" s="1"/>
  <c r="F48" i="6" l="1"/>
  <c r="F49" i="6" l="1"/>
  <c r="G38" i="6" s="1"/>
  <c r="F51" i="6"/>
  <c r="F52" i="6" s="1"/>
  <c r="G39" i="6" l="1"/>
  <c r="G40" i="6"/>
  <c r="G43" i="6" s="1"/>
  <c r="G44" i="6" s="1"/>
  <c r="G45" i="6" s="1"/>
  <c r="G46" i="6" s="1"/>
  <c r="G47" i="6" l="1"/>
  <c r="G48" i="6" s="1"/>
  <c r="G49" i="6" l="1"/>
  <c r="H38" i="6" s="1"/>
  <c r="G51" i="6"/>
  <c r="G52" i="6" s="1"/>
  <c r="H39" i="6" l="1"/>
  <c r="H40" i="6"/>
  <c r="H43" i="6" s="1"/>
  <c r="H44" i="6" l="1"/>
  <c r="H45" i="6" s="1"/>
  <c r="H46" i="6" s="1"/>
  <c r="H47" i="6" s="1"/>
  <c r="H48" i="6" s="1"/>
  <c r="H49" i="6" s="1"/>
  <c r="C57" i="6" s="1"/>
  <c r="H51" i="6" l="1"/>
  <c r="H52" i="6" s="1"/>
  <c r="C59" i="6" s="1"/>
  <c r="C60" i="6" s="1"/>
  <c r="G69" i="6" l="1"/>
  <c r="G73" i="6"/>
  <c r="H69" i="6"/>
  <c r="H73" i="6"/>
  <c r="F73" i="6"/>
  <c r="D73" i="6"/>
  <c r="F72" i="6"/>
  <c r="E72" i="6"/>
  <c r="G71" i="6"/>
  <c r="E71" i="6"/>
  <c r="D71" i="6"/>
  <c r="G70" i="6"/>
  <c r="F70" i="6"/>
  <c r="E69" i="6"/>
  <c r="E73" i="6"/>
  <c r="H72" i="6"/>
  <c r="G72" i="6"/>
  <c r="D72" i="6"/>
  <c r="H71" i="6"/>
  <c r="F71" i="6"/>
  <c r="H70" i="6"/>
  <c r="D70" i="6"/>
  <c r="D69" i="6"/>
  <c r="E70" i="6"/>
  <c r="F69" i="6"/>
  <c r="C61" i="6"/>
  <c r="C78" i="6" l="1"/>
  <c r="C80" i="6" s="1"/>
  <c r="C63" i="6"/>
  <c r="C64" i="6" s="1"/>
  <c r="C79" i="6"/>
  <c r="C81" i="6" s="1"/>
  <c r="C82" i="6" l="1"/>
  <c r="C84" i="6"/>
  <c r="C86" i="6" s="1"/>
  <c r="C83" i="6"/>
  <c r="C85" i="6"/>
  <c r="C87" i="6" s="1"/>
  <c r="C9" i="8" l="1"/>
  <c r="D9" i="8"/>
  <c r="E9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C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Choose Base, Bull, or Bear. This single cell drives the whole workbook.</t>
        </r>
      </text>
    </comment>
  </commentList>
</comments>
</file>

<file path=xl/sharedStrings.xml><?xml version="1.0" encoding="utf-8"?>
<sst xmlns="http://schemas.openxmlformats.org/spreadsheetml/2006/main" count="279" uniqueCount="256">
  <si>
    <t>Investment &amp; Corporate Finance Models</t>
  </si>
  <si>
    <t>A fully dynamic, formula-driven Excel toolkit: DCF, Trading Comps, LBO, and M&amp;A Accretion/Dilution</t>
  </si>
  <si>
    <t>How this workbook works</t>
  </si>
  <si>
    <t>All operating assumptions live on the 'Scenario Control' and 'Assumptions' tabs. Every other tab pulls its</t>
  </si>
  <si>
    <t>and Summary tabs all recalculate.</t>
  </si>
  <si>
    <t>Start on 'Scenario Control': pick Base, Bull, or Bear from the dropdown in cell C3. That single choice drives</t>
  </si>
  <si>
    <t>revenue growth, margins, capex, terminal growth, and the exit multiple used throughout the model.</t>
  </si>
  <si>
    <t>Tab guide</t>
  </si>
  <si>
    <t>Color legend</t>
  </si>
  <si>
    <t>Green text: Live link pulling from another tab.</t>
  </si>
  <si>
    <t>Yellow fill: Key assumption or output worth double-checking.</t>
  </si>
  <si>
    <t>All figures are illustrative placeholders for a hypothetical company. Replace every blue input cell with your own data.</t>
  </si>
  <si>
    <t>Scenario Control</t>
  </si>
  <si>
    <t>Active Scenario:</t>
  </si>
  <si>
    <t>Base</t>
  </si>
  <si>
    <t>Driver</t>
  </si>
  <si>
    <t>Bull</t>
  </si>
  <si>
    <t>Bear</t>
  </si>
  <si>
    <t>Selected</t>
  </si>
  <si>
    <t>D&amp;A (% of Revenue)</t>
  </si>
  <si>
    <t>Capex (% of Revenue)</t>
  </si>
  <si>
    <t>Δ NWC (% of Revenue Growth $)</t>
  </si>
  <si>
    <t>Tax Rate</t>
  </si>
  <si>
    <t>Terminal Growth Rate (Gordon)</t>
  </si>
  <si>
    <t>Exit EV/EBITDA Multiple</t>
  </si>
  <si>
    <t>Assumptions</t>
  </si>
  <si>
    <t>Company financials, WACC build, and the 5-year operating projection shared by every model tab.</t>
  </si>
  <si>
    <t>Company &amp; Market Inputs</t>
  </si>
  <si>
    <t>Company Name</t>
  </si>
  <si>
    <t>LTM Revenue ($mm)</t>
  </si>
  <si>
    <t>LTM EBITDA Margin (%)</t>
  </si>
  <si>
    <t>LTM EBITDA ($mm)</t>
  </si>
  <si>
    <t>LTM Net Income ($mm)</t>
  </si>
  <si>
    <t>Total Debt ($mm)</t>
  </si>
  <si>
    <t>Cash &amp; Equivalents ($mm)</t>
  </si>
  <si>
    <t>Net Debt ($mm)</t>
  </si>
  <si>
    <t>Diluted Shares Outstanding (mm)</t>
  </si>
  <si>
    <t>Current Share Price ($)</t>
  </si>
  <si>
    <t>Current Market Cap ($mm)</t>
  </si>
  <si>
    <t>Implied Current EV ($mm)</t>
  </si>
  <si>
    <t>WACC Build (CAPM)</t>
  </si>
  <si>
    <t>Risk-Free Rate</t>
  </si>
  <si>
    <t>Levered Beta</t>
  </si>
  <si>
    <t>Equity Risk Premium</t>
  </si>
  <si>
    <t>Cost of Equity (CAPM)</t>
  </si>
  <si>
    <t>Pre-Tax Cost of Debt</t>
  </si>
  <si>
    <t>Tax Rate (linked to Scenario)</t>
  </si>
  <si>
    <t>After-Tax Cost of Debt</t>
  </si>
  <si>
    <t>Target Debt / Total Capitalization</t>
  </si>
  <si>
    <t>Target Equity / Total Capitalization</t>
  </si>
  <si>
    <t>WACC</t>
  </si>
  <si>
    <t>5-Year Operating Projection</t>
  </si>
  <si>
    <t>Fiscal Year</t>
  </si>
  <si>
    <t>Revenue Growth %</t>
  </si>
  <si>
    <t>Revenue ($mm)</t>
  </si>
  <si>
    <t>EBITDA Margin %</t>
  </si>
  <si>
    <t>EBITDA ($mm)</t>
  </si>
  <si>
    <t>D&amp;A ($mm)</t>
  </si>
  <si>
    <t>EBIT ($mm)</t>
  </si>
  <si>
    <t>Tax Rate %</t>
  </si>
  <si>
    <t>NOPAT ($mm)</t>
  </si>
  <si>
    <t>Capex ($mm)</t>
  </si>
  <si>
    <t>Δ Net Working Capital ($mm)</t>
  </si>
  <si>
    <t>Unlevered Free Cash Flow ($mm)</t>
  </si>
  <si>
    <t>Trading Comparables Analysis</t>
  </si>
  <si>
    <t>Comparable company multiples applied to the target's LTM metrics (linked from Assumptions).</t>
  </si>
  <si>
    <t>Company</t>
  </si>
  <si>
    <t>Share Price ($)</t>
  </si>
  <si>
    <t>Diluted Shares (mm)</t>
  </si>
  <si>
    <t>Market Cap ($mm)</t>
  </si>
  <si>
    <t>Cash ($mm)</t>
  </si>
  <si>
    <t>Enterprise Value ($mm)</t>
  </si>
  <si>
    <t>EV / Revenue</t>
  </si>
  <si>
    <t>EV / EBITDA</t>
  </si>
  <si>
    <t>P / E</t>
  </si>
  <si>
    <t>Comp A Holdings</t>
  </si>
  <si>
    <t>Comp B Industries</t>
  </si>
  <si>
    <t>Comp C Global</t>
  </si>
  <si>
    <t>Comp D Partners</t>
  </si>
  <si>
    <t>Comp E Corp</t>
  </si>
  <si>
    <t>Comp F Enterprises</t>
  </si>
  <si>
    <t>Comp G Solutions</t>
  </si>
  <si>
    <t>Mean</t>
  </si>
  <si>
    <t>Median</t>
  </si>
  <si>
    <t>Min</t>
  </si>
  <si>
    <t>Max</t>
  </si>
  <si>
    <t>Implied Valuation of Target Co. (linked from Assumptions)</t>
  </si>
  <si>
    <t>Target LTM Revenue ($mm)</t>
  </si>
  <si>
    <t>Target LTM EBITDA ($mm)</t>
  </si>
  <si>
    <t>Target LTM Net Income ($mm)</t>
  </si>
  <si>
    <t>Target Net Debt ($mm)</t>
  </si>
  <si>
    <t>Target Diluted Shares (mm)</t>
  </si>
  <si>
    <t>Method</t>
  </si>
  <si>
    <t>Multiple Applied</t>
  </si>
  <si>
    <t>Implied EV ($mm)</t>
  </si>
  <si>
    <t>Implied Equity Value ($mm)</t>
  </si>
  <si>
    <t>Implied Share Price ($)</t>
  </si>
  <si>
    <t>EV / Revenue (Median)</t>
  </si>
  <si>
    <t>EV / EBITDA (Median)</t>
  </si>
  <si>
    <t>P / E (Median)</t>
  </si>
  <si>
    <t>n/a (equity method)</t>
  </si>
  <si>
    <t>EV / EBITDA (Min Comp — Low)</t>
  </si>
  <si>
    <t>EV / EBITDA (Max Comp — High)</t>
  </si>
  <si>
    <t>DCF Valuation</t>
  </si>
  <si>
    <t>Unlevered FCF discounted at WACC; Gordon Growth and Exit Multiple terminal value methods, cross-checked.</t>
  </si>
  <si>
    <t>Period</t>
  </si>
  <si>
    <t>Discount Factor</t>
  </si>
  <si>
    <t>PV of Free Cash Flow ($mm)</t>
  </si>
  <si>
    <t>Terminal Growth Rate</t>
  </si>
  <si>
    <t>Gordon Growth Method</t>
  </si>
  <si>
    <t>Sum of PV of Explicit FCF (Yr 1–5)</t>
  </si>
  <si>
    <t>Terminal Value (Year 5)</t>
  </si>
  <si>
    <t>PV of Terminal Value</t>
  </si>
  <si>
    <t>Enterprise Value (Gordon Growth)</t>
  </si>
  <si>
    <t>Exit Multiple Method (Cross-Check)</t>
  </si>
  <si>
    <t>Terminal Value (Exit Multiple)</t>
  </si>
  <si>
    <t>Enterprise Value (Exit Multiple)</t>
  </si>
  <si>
    <t>Equity Value Bridge</t>
  </si>
  <si>
    <t>Less: Net Debt</t>
  </si>
  <si>
    <t>Equity Value — Gordon Growth ($mm)</t>
  </si>
  <si>
    <t>Equity Value — Exit Multiple ($mm)</t>
  </si>
  <si>
    <t>Implied Share Price — Gordon Growth ($)</t>
  </si>
  <si>
    <t>Implied Share Price — Exit Multiple ($)</t>
  </si>
  <si>
    <t>Sensitivity: Implied Share Price ($) — WACC (rows) vs. Terminal Growth Rate (cols)</t>
  </si>
  <si>
    <t>WACC \ g</t>
  </si>
  <si>
    <t>LBO Model</t>
  </si>
  <si>
    <t>Sources &amp; Uses, a two-tranche debt schedule with cash sweep, and sponsor returns (MOIC / IRR).</t>
  </si>
  <si>
    <t>Transaction Assumptions</t>
  </si>
  <si>
    <t>Entry EV/EBITDA Multiple</t>
  </si>
  <si>
    <t>Entry EBITDA (LTM, $mm)</t>
  </si>
  <si>
    <t>Entry Enterprise Value ($mm)</t>
  </si>
  <si>
    <t>Transaction Fees (% of EV)</t>
  </si>
  <si>
    <t>Transaction Fees ($mm)</t>
  </si>
  <si>
    <t>Total Uses ($mm)</t>
  </si>
  <si>
    <t>Sources of Funds</t>
  </si>
  <si>
    <t>Senior Debt / EBITDA (x)</t>
  </si>
  <si>
    <t>Senior Debt ($mm)</t>
  </si>
  <si>
    <t>Subordinated (Mezz) Debt / EBITDA (x)</t>
  </si>
  <si>
    <t>Subordinated Debt ($mm)</t>
  </si>
  <si>
    <t>Sponsor Equity ($mm) — plug</t>
  </si>
  <si>
    <t>Total Sources ($mm)</t>
  </si>
  <si>
    <t>Check: Sources − Uses (must be $0)</t>
  </si>
  <si>
    <t>Financing Terms</t>
  </si>
  <si>
    <t>Senior Debt Interest Rate</t>
  </si>
  <si>
    <t>Subordinated Debt Interest Rate</t>
  </si>
  <si>
    <t>Mandatory Amortization (% of Original Senior Principal / Yr)</t>
  </si>
  <si>
    <t>Hold Period (Years)</t>
  </si>
  <si>
    <t>Operating &amp; Free Cash Flow Build</t>
  </si>
  <si>
    <t>Debt Schedule &amp; Cash Sweep</t>
  </si>
  <si>
    <t>Senior Debt — Beginning Balance ($mm)</t>
  </si>
  <si>
    <t>Mandatory Amortization ($mm)</t>
  </si>
  <si>
    <t>Interest Expense — Senior ($mm)</t>
  </si>
  <si>
    <t>Subordinated Debt — Beginning Balance ($mm)</t>
  </si>
  <si>
    <t>Interest Expense — Subordinated ($mm)</t>
  </si>
  <si>
    <t>Total Cash Interest Expense ($mm)</t>
  </si>
  <si>
    <t>EBT ($mm)</t>
  </si>
  <si>
    <t>Cash Taxes ($mm)</t>
  </si>
  <si>
    <t>Free Cash Flow Before Debt Paydown ($mm)</t>
  </si>
  <si>
    <t>Cash Available for Sweep, After Mandatory Amort. ($mm)</t>
  </si>
  <si>
    <t>Cash Sweep — Additional Senior Paydown ($mm)</t>
  </si>
  <si>
    <t>Senior Debt — Ending Balance ($mm)</t>
  </si>
  <si>
    <t>Subordinated Debt — Ending Balance ($mm)</t>
  </si>
  <si>
    <t>Excess Cash Generated ($mm)</t>
  </si>
  <si>
    <t>Cumulative Cash Balance ($mm)</t>
  </si>
  <si>
    <t>Exit &amp; Sponsor Returns</t>
  </si>
  <si>
    <t>Exit Year EBITDA ($mm)</t>
  </si>
  <si>
    <t>Exit Enterprise Value ($mm)</t>
  </si>
  <si>
    <t>Senior Debt at Exit ($mm)</t>
  </si>
  <si>
    <t>Subordinated Debt at Exit ($mm)</t>
  </si>
  <si>
    <t>Cash Balance at Exit ($mm)</t>
  </si>
  <si>
    <t>Exit Net Debt ($mm)</t>
  </si>
  <si>
    <t>Exit Equity Value ($mm)</t>
  </si>
  <si>
    <t>Sponsor Equity Invested ($mm)</t>
  </si>
  <si>
    <t>MOIC (x)</t>
  </si>
  <si>
    <t>IRR (%)</t>
  </si>
  <si>
    <t>Sensitivity: IRR (%) — Entry Multiple (rows) vs. Exit Multiple (cols)</t>
  </si>
  <si>
    <t>Entry \ Exit</t>
  </si>
  <si>
    <t>Implied Entry Price for a Target IRR Hurdle (at Base Exit Multiple)</t>
  </si>
  <si>
    <t>Target IRR Hurdle — Lower Bound</t>
  </si>
  <si>
    <t>Target IRR Hurdle — Upper Bound</t>
  </si>
  <si>
    <t>Required Sponsor Equity @ Lower Hurdle ($mm)</t>
  </si>
  <si>
    <t>Required Sponsor Equity @ Upper Hurdle ($mm)</t>
  </si>
  <si>
    <t>Implied Entry EV @ Lower Hurdle ($mm)</t>
  </si>
  <si>
    <t>Implied Entry EV @ Upper Hurdle ($mm)</t>
  </si>
  <si>
    <t>Implied Entry Multiple @ Lower Hurdle (x)</t>
  </si>
  <si>
    <t>Implied Entry Multiple @ Upper Hurdle (x)</t>
  </si>
  <si>
    <t>Implied Equity Value @ Lower Hurdle ($mm)</t>
  </si>
  <si>
    <t>Implied Equity Value @ Upper Hurdle ($mm)</t>
  </si>
  <si>
    <t>Implied Share Price @ Lower Hurdle (Higher Price) ($)</t>
  </si>
  <si>
    <t>Implied Share Price @ Upper Hurdle (Lower Price) ($)</t>
  </si>
  <si>
    <t>M&amp;A Accretion / Dilution Analysis</t>
  </si>
  <si>
    <t>Acquirer Standalone</t>
  </si>
  <si>
    <t>Acquirer Net Income ($mm)</t>
  </si>
  <si>
    <t>Acquirer Diluted Shares (mm)</t>
  </si>
  <si>
    <t>Acquirer Share Price ($)</t>
  </si>
  <si>
    <t>Acquirer Standalone EPS ($)</t>
  </si>
  <si>
    <t>Target Standalone</t>
  </si>
  <si>
    <t>Target Net Income ($mm)</t>
  </si>
  <si>
    <t>Target Share Price ($)</t>
  </si>
  <si>
    <t>Target Standalone EPS ($)</t>
  </si>
  <si>
    <t>Deal Terms</t>
  </si>
  <si>
    <t>Offer Premium (%)</t>
  </si>
  <si>
    <t>Offer Price per Target Share ($)</t>
  </si>
  <si>
    <t>Total Purchase Price ($mm)</t>
  </si>
  <si>
    <t>% Cash Consideration</t>
  </si>
  <si>
    <t>% Stock Consideration</t>
  </si>
  <si>
    <t>Cash Consideration ($mm)</t>
  </si>
  <si>
    <t>Stock Consideration ($mm)</t>
  </si>
  <si>
    <t>New Debt Issued to Fund Cash ($mm)</t>
  </si>
  <si>
    <t>New Shares Issued (mm)</t>
  </si>
  <si>
    <t>New Debt Interest Rate (%)</t>
  </si>
  <si>
    <t>Synergies &amp; Financing Impact</t>
  </si>
  <si>
    <t>Pre-Tax Annual Synergies ($mm)</t>
  </si>
  <si>
    <t>Combined Tax Rate (%)</t>
  </si>
  <si>
    <t>After-Tax Synergies ($mm)</t>
  </si>
  <si>
    <t>Incremental Interest Expense ($mm)</t>
  </si>
  <si>
    <t>After-Tax Incremental Interest Expense ($mm)</t>
  </si>
  <si>
    <t>Incremental D&amp;A from Purchase Accounting, Pre-Tax ($mm)</t>
  </si>
  <si>
    <t>After-Tax Incremental D&amp;A ($mm)</t>
  </si>
  <si>
    <t>Pro Forma Combined</t>
  </si>
  <si>
    <t>Pro Forma Net Income ($mm)</t>
  </si>
  <si>
    <t>Pro Forma Diluted Shares (mm)</t>
  </si>
  <si>
    <t>Pro Forma EPS ($)</t>
  </si>
  <si>
    <t>Accretion / (Dilution) per Share ($)</t>
  </si>
  <si>
    <t>Accretion / (Dilution) (%)</t>
  </si>
  <si>
    <t>Deal Status</t>
  </si>
  <si>
    <t>Valuation Summary</t>
  </si>
  <si>
    <t>Implied per-share value ranges from each method, linked live from DCF Valuation, Trading Comps, and LBO Model.</t>
  </si>
  <si>
    <t>Low ($)</t>
  </si>
  <si>
    <t>High ($)</t>
  </si>
  <si>
    <t>Range ($)</t>
  </si>
  <si>
    <t>Current Trading Price (reference, not shown as a range)</t>
  </si>
  <si>
    <t>numbers from those two tabs with live formulas change an assumption once and the DCF, Comps, LBO, M&amp;A,</t>
  </si>
  <si>
    <t>Scenario Control:  Base / Bull / Bear switch and the operating drivers that feed every scenario.</t>
  </si>
  <si>
    <t>Assumptions:  Company financials, WACC build, and the 5-year operating projection (shared by all models).</t>
  </si>
  <si>
    <t>Trading Comps:  Comparable company multiples and an implied valuation range for the target.</t>
  </si>
  <si>
    <t>DCF Valuation:  Unlevered FCF, Gordon Growth and Exit Multiple terminal value, and a WACC x growth sensitivity grid.</t>
  </si>
  <si>
    <t>LBO Model:  Sources &amp; Uses, a two-tranche debt schedule with cash sweep, and IRR/MOIC with an entry x exit sensitivity grid.</t>
  </si>
  <si>
    <t>M&amp;A Accretion-Dilution:  Standalone acquirer/target, deal financing, synergies, and pro forma EPS impact.</t>
  </si>
  <si>
    <t>Valuation Summary:  Football field chart comparing DCF, Comps, and LBO implied value ranges.</t>
  </si>
  <si>
    <t>Blue text: Hardcoded input edit these cells freely.</t>
  </si>
  <si>
    <t>Black text: Formula do not overwrite.</t>
  </si>
  <si>
    <t>Revenue Growth Year 1</t>
  </si>
  <si>
    <t>Revenue Growth Year 2</t>
  </si>
  <si>
    <t>Revenue Growth Year 3</t>
  </si>
  <si>
    <t>Revenue Growth Year 4</t>
  </si>
  <si>
    <t>Revenue Growth Year 5</t>
  </si>
  <si>
    <t>EBITDA Margin Year 1</t>
  </si>
  <si>
    <t>EBITDA Margin Year 5</t>
  </si>
  <si>
    <t>Pick a scenario in C3 it drives every operating assumption used across the workbook.</t>
  </si>
  <si>
    <t>Creatify</t>
  </si>
  <si>
    <t>Illustrative acquirer/target replace the blue inputs with a real deal's figures.</t>
  </si>
  <si>
    <t>DCF Gordon Growth (Sensitivity Range)</t>
  </si>
  <si>
    <t>DCF Exit Multiple (±5%)</t>
  </si>
  <si>
    <t>Trading Comps EV/EBITDA (Min–Max)</t>
  </si>
  <si>
    <t>LBO Implied Entry Price (20%–25% IRR Hurdle)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</si>
</sst>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;\(0.0%\);&quot;-&quot;"/>
    <numFmt numFmtId="165" formatCode="0.00&quot;x&quot;"/>
    <numFmt numFmtId="166" formatCode="\$#,##0;\(\$#,##0\);&quot;-&quot;"/>
    <numFmt numFmtId="167" formatCode="#,##0.0;\(#,##0.0\);&quot;-&quot;"/>
    <numFmt numFmtId="168" formatCode="\$#,##0.00;\(\$#,##0.00\);&quot;-&quot;"/>
    <numFmt numFmtId="169" formatCode="0.000"/>
  </numFmts>
  <fonts count="15" x14ac:knownFonts="1">
    <font>
      <sz val="11"/>
      <color theme="1"/>
      <name val="Calibri"/>
      <family val="2"/>
      <scheme val="minor"/>
    </font>
    <font>
      <b/>
      <sz val="22"/>
      <color rgb="FF1F3864"/>
      <name val="Arial"/>
    </font>
    <font>
      <i/>
      <sz val="12"/>
      <color rgb="FF595959"/>
      <name val="Arial"/>
    </font>
    <font>
      <b/>
      <sz val="13"/>
      <color rgb="FF1F3864"/>
      <name val="Arial"/>
    </font>
    <font>
      <sz val="10"/>
      <name val="Arial"/>
    </font>
    <font>
      <sz val="10"/>
      <color rgb="FF0000FF"/>
      <name val="Arial"/>
    </font>
    <font>
      <sz val="10"/>
      <color rgb="FF000000"/>
      <name val="Arial"/>
    </font>
    <font>
      <sz val="10"/>
      <color rgb="FF008000"/>
      <name val="Arial"/>
    </font>
    <font>
      <i/>
      <sz val="9"/>
      <color rgb="FFC00000"/>
      <name val="Arial"/>
    </font>
    <font>
      <b/>
      <sz val="16"/>
      <color rgb="FF1F3864"/>
      <name val="Arial"/>
    </font>
    <font>
      <i/>
      <sz val="10"/>
      <color rgb="FF595959"/>
      <name val="Arial"/>
    </font>
    <font>
      <b/>
      <sz val="10"/>
      <color rgb="FF000000"/>
      <name val="Arial"/>
    </font>
    <font>
      <b/>
      <sz val="11"/>
      <color rgb="FFFFFFFF"/>
      <name val="Arial"/>
    </font>
    <font>
      <i/>
      <sz val="9"/>
      <color rgb="FF808080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2E539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2" borderId="0" xfId="0" applyFont="1" applyFill="1"/>
    <xf numFmtId="0" fontId="8" fillId="0" borderId="0" xfId="0" applyFont="1"/>
    <xf numFmtId="0" fontId="11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vertical="center"/>
    </xf>
    <xf numFmtId="164" fontId="5" fillId="5" borderId="1" xfId="0" applyNumberFormat="1" applyFont="1" applyFill="1" applyBorder="1" applyAlignment="1">
      <alignment horizontal="center"/>
    </xf>
    <xf numFmtId="164" fontId="11" fillId="4" borderId="1" xfId="0" applyNumberFormat="1" applyFont="1" applyFill="1" applyBorder="1" applyAlignment="1">
      <alignment horizontal="center"/>
    </xf>
    <xf numFmtId="0" fontId="6" fillId="0" borderId="0" xfId="0" applyFont="1" applyAlignment="1">
      <alignment vertical="center"/>
    </xf>
    <xf numFmtId="164" fontId="5" fillId="0" borderId="1" xfId="0" applyNumberFormat="1" applyFont="1" applyBorder="1" applyAlignment="1">
      <alignment horizontal="center"/>
    </xf>
    <xf numFmtId="165" fontId="5" fillId="5" borderId="1" xfId="0" applyNumberFormat="1" applyFont="1" applyFill="1" applyBorder="1" applyAlignment="1">
      <alignment horizontal="center"/>
    </xf>
    <xf numFmtId="165" fontId="11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11" fillId="0" borderId="1" xfId="0" applyNumberFormat="1" applyFont="1" applyBorder="1" applyAlignment="1">
      <alignment vertical="center"/>
    </xf>
    <xf numFmtId="166" fontId="11" fillId="4" borderId="1" xfId="0" applyNumberFormat="1" applyFont="1" applyFill="1" applyBorder="1" applyAlignment="1">
      <alignment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6" fontId="6" fillId="0" borderId="1" xfId="0" applyNumberFormat="1" applyFont="1" applyBorder="1" applyAlignment="1">
      <alignment vertical="center"/>
    </xf>
    <xf numFmtId="2" fontId="5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vertical="center"/>
    </xf>
    <xf numFmtId="164" fontId="7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164" fontId="11" fillId="2" borderId="1" xfId="0" applyNumberFormat="1" applyFont="1" applyFill="1" applyBorder="1" applyAlignment="1">
      <alignment vertical="center"/>
    </xf>
    <xf numFmtId="1" fontId="12" fillId="3" borderId="1" xfId="0" applyNumberFormat="1" applyFont="1" applyFill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66" fontId="11" fillId="0" borderId="1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66" fontId="11" fillId="4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/>
    </xf>
    <xf numFmtId="168" fontId="5" fillId="5" borderId="1" xfId="0" applyNumberFormat="1" applyFont="1" applyFill="1" applyBorder="1" applyAlignment="1">
      <alignment horizontal="center"/>
    </xf>
    <xf numFmtId="167" fontId="5" fillId="5" borderId="1" xfId="0" applyNumberFormat="1" applyFont="1" applyFill="1" applyBorder="1" applyAlignment="1">
      <alignment horizontal="center"/>
    </xf>
    <xf numFmtId="166" fontId="6" fillId="5" borderId="1" xfId="0" applyNumberFormat="1" applyFont="1" applyFill="1" applyBorder="1" applyAlignment="1">
      <alignment horizontal="center"/>
    </xf>
    <xf numFmtId="166" fontId="5" fillId="5" borderId="1" xfId="0" applyNumberFormat="1" applyFont="1" applyFill="1" applyBorder="1" applyAlignment="1">
      <alignment horizontal="center"/>
    </xf>
    <xf numFmtId="166" fontId="11" fillId="5" borderId="1" xfId="0" applyNumberFormat="1" applyFont="1" applyFill="1" applyBorder="1" applyAlignment="1">
      <alignment horizontal="center"/>
    </xf>
    <xf numFmtId="165" fontId="6" fillId="5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vertical="center"/>
    </xf>
    <xf numFmtId="168" fontId="5" fillId="0" borderId="1" xfId="0" applyNumberFormat="1" applyFont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6" fontId="7" fillId="0" borderId="1" xfId="0" applyNumberFormat="1" applyFont="1" applyBorder="1" applyAlignment="1">
      <alignment vertical="center"/>
    </xf>
    <xf numFmtId="167" fontId="7" fillId="0" borderId="1" xfId="0" applyNumberFormat="1" applyFont="1" applyBorder="1" applyAlignment="1">
      <alignment vertical="center"/>
    </xf>
    <xf numFmtId="168" fontId="11" fillId="0" borderId="1" xfId="0" applyNumberFormat="1" applyFont="1" applyBorder="1" applyAlignment="1">
      <alignment horizontal="center"/>
    </xf>
    <xf numFmtId="168" fontId="11" fillId="2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68" fontId="6" fillId="0" borderId="1" xfId="0" applyNumberFormat="1" applyFont="1" applyBorder="1" applyAlignment="1">
      <alignment horizontal="center"/>
    </xf>
    <xf numFmtId="1" fontId="14" fillId="3" borderId="1" xfId="0" applyNumberFormat="1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  <xf numFmtId="169" fontId="6" fillId="0" borderId="1" xfId="0" applyNumberFormat="1" applyFont="1" applyBorder="1" applyAlignment="1">
      <alignment horizontal="center"/>
    </xf>
    <xf numFmtId="164" fontId="7" fillId="2" borderId="1" xfId="0" applyNumberFormat="1" applyFont="1" applyFill="1" applyBorder="1" applyAlignment="1">
      <alignment vertical="center"/>
    </xf>
    <xf numFmtId="165" fontId="7" fillId="0" borderId="1" xfId="0" applyNumberFormat="1" applyFont="1" applyBorder="1" applyAlignment="1">
      <alignment vertical="center"/>
    </xf>
    <xf numFmtId="168" fontId="11" fillId="2" borderId="1" xfId="0" applyNumberFormat="1" applyFont="1" applyFill="1" applyBorder="1" applyAlignment="1">
      <alignment vertical="center"/>
    </xf>
    <xf numFmtId="0" fontId="12" fillId="3" borderId="1" xfId="0" applyFont="1" applyFill="1" applyBorder="1" applyAlignment="1">
      <alignment horizontal="center"/>
    </xf>
    <xf numFmtId="164" fontId="12" fillId="3" borderId="1" xfId="0" applyNumberFormat="1" applyFont="1" applyFill="1" applyBorder="1" applyAlignment="1">
      <alignment horizontal="center"/>
    </xf>
    <xf numFmtId="168" fontId="6" fillId="2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11" fillId="2" borderId="1" xfId="0" applyNumberFormat="1" applyFont="1" applyFill="1" applyBorder="1" applyAlignment="1">
      <alignment vertical="center"/>
    </xf>
    <xf numFmtId="1" fontId="5" fillId="2" borderId="1" xfId="0" applyNumberFormat="1" applyFont="1" applyFill="1" applyBorder="1" applyAlignment="1">
      <alignment vertical="center"/>
    </xf>
    <xf numFmtId="165" fontId="7" fillId="2" borderId="1" xfId="0" applyNumberFormat="1" applyFont="1" applyFill="1" applyBorder="1" applyAlignment="1">
      <alignment vertical="center"/>
    </xf>
    <xf numFmtId="164" fontId="7" fillId="0" borderId="1" xfId="0" applyNumberFormat="1" applyFont="1" applyBorder="1" applyAlignment="1">
      <alignment horizontal="center"/>
    </xf>
    <xf numFmtId="165" fontId="11" fillId="2" borderId="1" xfId="0" applyNumberFormat="1" applyFont="1" applyFill="1" applyBorder="1" applyAlignment="1">
      <alignment vertical="center"/>
    </xf>
    <xf numFmtId="165" fontId="12" fillId="3" borderId="1" xfId="0" applyNumberFormat="1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5" fontId="6" fillId="0" borderId="1" xfId="0" applyNumberFormat="1" applyFont="1" applyBorder="1" applyAlignment="1">
      <alignment vertical="center"/>
    </xf>
    <xf numFmtId="168" fontId="7" fillId="2" borderId="1" xfId="0" applyNumberFormat="1" applyFont="1" applyFill="1" applyBorder="1" applyAlignment="1">
      <alignment vertical="center"/>
    </xf>
    <xf numFmtId="168" fontId="11" fillId="0" borderId="1" xfId="0" applyNumberFormat="1" applyFont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168" fontId="6" fillId="0" borderId="1" xfId="0" applyNumberFormat="1" applyFont="1" applyBorder="1" applyAlignment="1">
      <alignment vertical="center"/>
    </xf>
    <xf numFmtId="167" fontId="6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horizontal="center"/>
    </xf>
    <xf numFmtId="0" fontId="10" fillId="0" borderId="0" xfId="0" applyFont="1"/>
    <xf numFmtId="0" fontId="0" fillId="0" borderId="0" xfId="0"/>
    <xf numFmtId="0" fontId="9" fillId="0" borderId="0" xfId="0" applyFont="1"/>
    <xf numFmtId="0" fontId="12" fillId="6" borderId="0" xfId="0" applyFont="1" applyFill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Football Field — Implied Share Price by Method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'Valuation Summary'!$C$5</c:f>
              <c:strCache>
                <c:ptCount val="1"/>
                <c:pt idx="0">
                  <c:v>Low ($)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'Valuation Summary'!$B$6:$B$9</c:f>
              <c:strCache>
                <c:ptCount val="4"/>
                <c:pt idx="0">
                  <c:v>DCF Gordon Growth (Sensitivity Range)</c:v>
                </c:pt>
                <c:pt idx="1">
                  <c:v>DCF Exit Multiple (±5%)</c:v>
                </c:pt>
                <c:pt idx="2">
                  <c:v>Trading Comps EV/EBITDA (Min–Max)</c:v>
                </c:pt>
                <c:pt idx="3">
                  <c:v>LBO Implied Entry Price (20%–25% IRR Hurdle)</c:v>
                </c:pt>
              </c:strCache>
            </c:strRef>
          </c:cat>
          <c:val>
            <c:numRef>
              <c:f>'Valuation Summary'!$C$6:$C$9</c:f>
              <c:numCache>
                <c:formatCode>\$#,##0.00;\(\$#,##0.00\);"-"</c:formatCode>
                <c:ptCount val="4"/>
                <c:pt idx="0">
                  <c:v>19.006662234684399</c:v>
                </c:pt>
                <c:pt idx="1">
                  <c:v>22.792127212914938</c:v>
                </c:pt>
                <c:pt idx="2">
                  <c:v>17.055000000000003</c:v>
                </c:pt>
                <c:pt idx="3">
                  <c:v>16.280052822735975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0-4E19-9B43-16FF6B3166B1}"/>
            </c:ext>
          </c:extLst>
        </c:ser>
        <c:ser>
          <c:idx val="1"/>
          <c:order val="1"/>
          <c:spPr>
            <a:solidFill>
              <a:srgbClr val="2E5395"/>
            </a:solidFill>
            <a:ln>
              <a:prstDash val="solid"/>
            </a:ln>
          </c:spPr>
          <c:invertIfNegative val="1"/>
          <c:cat>
            <c:strRef>
              <c:f>'Valuation Summary'!$B$6:$B$9</c:f>
              <c:strCache>
                <c:ptCount val="4"/>
                <c:pt idx="0">
                  <c:v>DCF Gordon Growth (Sensitivity Range)</c:v>
                </c:pt>
                <c:pt idx="1">
                  <c:v>DCF Exit Multiple (±5%)</c:v>
                </c:pt>
                <c:pt idx="2">
                  <c:v>Trading Comps EV/EBITDA (Min–Max)</c:v>
                </c:pt>
                <c:pt idx="3">
                  <c:v>LBO Implied Entry Price (20%–25% IRR Hurdle)</c:v>
                </c:pt>
              </c:strCache>
            </c:strRef>
          </c:cat>
          <c:val>
            <c:numRef>
              <c:f>'Valuation Summary'!$E$6:$E$9</c:f>
              <c:numCache>
                <c:formatCode>\$#,##0.00;\(\$#,##0.00\);"-"</c:formatCode>
                <c:ptCount val="4"/>
                <c:pt idx="0">
                  <c:v>19.871485962521774</c:v>
                </c:pt>
                <c:pt idx="1">
                  <c:v>2.3991712855699987</c:v>
                </c:pt>
                <c:pt idx="2">
                  <c:v>10.424999999999997</c:v>
                </c:pt>
                <c:pt idx="3">
                  <c:v>1.8016196252020187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450-4E19-9B43-16FF6B316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Implied Share Price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$#,##0.00;\(\$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B29"/>
  <sheetViews>
    <sheetView showGridLines="0" topLeftCell="A3" zoomScaleNormal="100" workbookViewId="0">
      <selection activeCell="B3" sqref="B3"/>
    </sheetView>
  </sheetViews>
  <sheetFormatPr defaultRowHeight="15" x14ac:dyDescent="0.25"/>
  <cols>
    <col min="1" max="1" width="3" customWidth="1"/>
    <col min="2" max="2" width="90" customWidth="1"/>
  </cols>
  <sheetData>
    <row r="2" spans="2:2" ht="27.75" x14ac:dyDescent="0.4">
      <c r="B2" s="1" t="s">
        <v>0</v>
      </c>
    </row>
    <row r="3" spans="2:2" ht="15.75" x14ac:dyDescent="0.25">
      <c r="B3" s="2" t="s">
        <v>1</v>
      </c>
    </row>
    <row r="4" spans="2:2" ht="6" customHeight="1" x14ac:dyDescent="0.25"/>
    <row r="6" spans="2:2" ht="16.5" x14ac:dyDescent="0.25">
      <c r="B6" s="3" t="s">
        <v>2</v>
      </c>
    </row>
    <row r="7" spans="2:2" x14ac:dyDescent="0.25">
      <c r="B7" s="4" t="s">
        <v>3</v>
      </c>
    </row>
    <row r="8" spans="2:2" x14ac:dyDescent="0.25">
      <c r="B8" s="4" t="s">
        <v>232</v>
      </c>
    </row>
    <row r="9" spans="2:2" x14ac:dyDescent="0.25">
      <c r="B9" s="4" t="s">
        <v>4</v>
      </c>
    </row>
    <row r="10" spans="2:2" x14ac:dyDescent="0.25">
      <c r="B10" s="4"/>
    </row>
    <row r="11" spans="2:2" x14ac:dyDescent="0.25">
      <c r="B11" s="4" t="s">
        <v>5</v>
      </c>
    </row>
    <row r="12" spans="2:2" x14ac:dyDescent="0.25">
      <c r="B12" s="4" t="s">
        <v>6</v>
      </c>
    </row>
    <row r="14" spans="2:2" ht="16.5" x14ac:dyDescent="0.25">
      <c r="B14" s="3" t="s">
        <v>7</v>
      </c>
    </row>
    <row r="15" spans="2:2" x14ac:dyDescent="0.25">
      <c r="B15" s="4" t="s">
        <v>233</v>
      </c>
    </row>
    <row r="16" spans="2:2" x14ac:dyDescent="0.25">
      <c r="B16" s="4" t="s">
        <v>234</v>
      </c>
    </row>
    <row r="17" spans="2:2" x14ac:dyDescent="0.25">
      <c r="B17" s="4" t="s">
        <v>235</v>
      </c>
    </row>
    <row r="18" spans="2:2" x14ac:dyDescent="0.25">
      <c r="B18" s="4" t="s">
        <v>236</v>
      </c>
    </row>
    <row r="19" spans="2:2" x14ac:dyDescent="0.25">
      <c r="B19" s="4" t="s">
        <v>237</v>
      </c>
    </row>
    <row r="20" spans="2:2" x14ac:dyDescent="0.25">
      <c r="B20" s="4" t="s">
        <v>238</v>
      </c>
    </row>
    <row r="21" spans="2:2" x14ac:dyDescent="0.25">
      <c r="B21" s="4" t="s">
        <v>239</v>
      </c>
    </row>
    <row r="23" spans="2:2" ht="16.5" x14ac:dyDescent="0.25">
      <c r="B23" s="3" t="s">
        <v>8</v>
      </c>
    </row>
    <row r="24" spans="2:2" x14ac:dyDescent="0.25">
      <c r="B24" s="5" t="s">
        <v>240</v>
      </c>
    </row>
    <row r="25" spans="2:2" x14ac:dyDescent="0.25">
      <c r="B25" s="6" t="s">
        <v>241</v>
      </c>
    </row>
    <row r="26" spans="2:2" x14ac:dyDescent="0.25">
      <c r="B26" s="7" t="s">
        <v>9</v>
      </c>
    </row>
    <row r="27" spans="2:2" x14ac:dyDescent="0.25">
      <c r="B27" s="8" t="s">
        <v>10</v>
      </c>
    </row>
    <row r="29" spans="2:2" x14ac:dyDescent="0.25">
      <c r="B29" s="9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2:N20"/>
  <sheetViews>
    <sheetView showGridLines="0" zoomScaleNormal="100" workbookViewId="0">
      <pane xSplit="1" ySplit="7" topLeftCell="B14" activePane="bottomRight" state="frozen"/>
      <selection pane="topRight"/>
      <selection pane="bottomLeft"/>
      <selection pane="bottomRight" activeCell="D5" sqref="D5"/>
    </sheetView>
  </sheetViews>
  <sheetFormatPr defaultRowHeight="15" x14ac:dyDescent="0.25"/>
  <cols>
    <col min="1" max="1" width="3" customWidth="1"/>
    <col min="2" max="2" width="34" customWidth="1"/>
    <col min="3" max="6" width="13" customWidth="1"/>
  </cols>
  <sheetData>
    <row r="2" spans="2:14" ht="20.25" x14ac:dyDescent="0.3">
      <c r="B2" s="88" t="s">
        <v>12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2:14" x14ac:dyDescent="0.25">
      <c r="B3" s="86" t="s">
        <v>249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</row>
    <row r="5" spans="2:14" x14ac:dyDescent="0.25">
      <c r="B5" s="10" t="s">
        <v>13</v>
      </c>
      <c r="C5" s="11" t="s">
        <v>14</v>
      </c>
    </row>
    <row r="7" spans="2:14" ht="18" customHeight="1" x14ac:dyDescent="0.25">
      <c r="B7" s="12" t="s">
        <v>15</v>
      </c>
      <c r="C7" s="12" t="s">
        <v>14</v>
      </c>
      <c r="D7" s="12" t="s">
        <v>16</v>
      </c>
      <c r="E7" s="12" t="s">
        <v>17</v>
      </c>
      <c r="F7" s="12" t="s">
        <v>18</v>
      </c>
    </row>
    <row r="8" spans="2:14" x14ac:dyDescent="0.25">
      <c r="B8" s="13" t="s">
        <v>242</v>
      </c>
      <c r="C8" s="14">
        <v>0.08</v>
      </c>
      <c r="D8" s="14">
        <v>0.12</v>
      </c>
      <c r="E8" s="14">
        <v>0.04</v>
      </c>
      <c r="F8" s="15">
        <f t="shared" ref="F8:F20" si="0">INDEX(C8:E8,MATCH($C$5,$C$7:$E$7,0))</f>
        <v>0.08</v>
      </c>
    </row>
    <row r="9" spans="2:14" x14ac:dyDescent="0.25">
      <c r="B9" s="16" t="s">
        <v>243</v>
      </c>
      <c r="C9" s="17">
        <v>7.0000000000000007E-2</v>
      </c>
      <c r="D9" s="17">
        <v>0.1</v>
      </c>
      <c r="E9" s="17">
        <v>0.03</v>
      </c>
      <c r="F9" s="15">
        <f t="shared" si="0"/>
        <v>7.0000000000000007E-2</v>
      </c>
    </row>
    <row r="10" spans="2:14" x14ac:dyDescent="0.25">
      <c r="B10" s="13" t="s">
        <v>244</v>
      </c>
      <c r="C10" s="14">
        <v>0.06</v>
      </c>
      <c r="D10" s="14">
        <v>0.09</v>
      </c>
      <c r="E10" s="14">
        <v>0.03</v>
      </c>
      <c r="F10" s="15">
        <f t="shared" si="0"/>
        <v>0.06</v>
      </c>
    </row>
    <row r="11" spans="2:14" x14ac:dyDescent="0.25">
      <c r="B11" s="16" t="s">
        <v>245</v>
      </c>
      <c r="C11" s="17">
        <v>0.05</v>
      </c>
      <c r="D11" s="17">
        <v>0.08</v>
      </c>
      <c r="E11" s="17">
        <v>0.02</v>
      </c>
      <c r="F11" s="15">
        <f t="shared" si="0"/>
        <v>0.05</v>
      </c>
    </row>
    <row r="12" spans="2:14" x14ac:dyDescent="0.25">
      <c r="B12" s="13" t="s">
        <v>246</v>
      </c>
      <c r="C12" s="14">
        <v>0.04</v>
      </c>
      <c r="D12" s="14">
        <v>7.0000000000000007E-2</v>
      </c>
      <c r="E12" s="14">
        <v>0.02</v>
      </c>
      <c r="F12" s="15">
        <f t="shared" si="0"/>
        <v>0.04</v>
      </c>
    </row>
    <row r="13" spans="2:14" x14ac:dyDescent="0.25">
      <c r="B13" s="16" t="s">
        <v>247</v>
      </c>
      <c r="C13" s="17">
        <v>0.22</v>
      </c>
      <c r="D13" s="17">
        <v>0.24</v>
      </c>
      <c r="E13" s="17">
        <v>0.19</v>
      </c>
      <c r="F13" s="15">
        <f t="shared" si="0"/>
        <v>0.22</v>
      </c>
    </row>
    <row r="14" spans="2:14" x14ac:dyDescent="0.25">
      <c r="B14" s="13" t="s">
        <v>248</v>
      </c>
      <c r="C14" s="14">
        <v>0.26</v>
      </c>
      <c r="D14" s="14">
        <v>0.28999999999999998</v>
      </c>
      <c r="E14" s="14">
        <v>0.21</v>
      </c>
      <c r="F14" s="15">
        <f t="shared" si="0"/>
        <v>0.26</v>
      </c>
    </row>
    <row r="15" spans="2:14" x14ac:dyDescent="0.25">
      <c r="B15" s="16" t="s">
        <v>19</v>
      </c>
      <c r="C15" s="17">
        <v>0.04</v>
      </c>
      <c r="D15" s="17">
        <v>0.04</v>
      </c>
      <c r="E15" s="17">
        <v>4.4999999999999998E-2</v>
      </c>
      <c r="F15" s="15">
        <f t="shared" si="0"/>
        <v>0.04</v>
      </c>
    </row>
    <row r="16" spans="2:14" x14ac:dyDescent="0.25">
      <c r="B16" s="13" t="s">
        <v>20</v>
      </c>
      <c r="C16" s="14">
        <v>0.05</v>
      </c>
      <c r="D16" s="14">
        <v>5.5E-2</v>
      </c>
      <c r="E16" s="14">
        <v>4.4999999999999998E-2</v>
      </c>
      <c r="F16" s="15">
        <f t="shared" si="0"/>
        <v>0.05</v>
      </c>
    </row>
    <row r="17" spans="2:6" x14ac:dyDescent="0.25">
      <c r="B17" s="16" t="s">
        <v>21</v>
      </c>
      <c r="C17" s="17">
        <v>0.15</v>
      </c>
      <c r="D17" s="17">
        <v>0.15</v>
      </c>
      <c r="E17" s="17">
        <v>0.15</v>
      </c>
      <c r="F17" s="15">
        <f t="shared" si="0"/>
        <v>0.15</v>
      </c>
    </row>
    <row r="18" spans="2:6" x14ac:dyDescent="0.25">
      <c r="B18" s="13" t="s">
        <v>22</v>
      </c>
      <c r="C18" s="14">
        <v>0.25</v>
      </c>
      <c r="D18" s="14">
        <v>0.25</v>
      </c>
      <c r="E18" s="14">
        <v>0.25</v>
      </c>
      <c r="F18" s="15">
        <f t="shared" si="0"/>
        <v>0.25</v>
      </c>
    </row>
    <row r="19" spans="2:6" x14ac:dyDescent="0.25">
      <c r="B19" s="16" t="s">
        <v>23</v>
      </c>
      <c r="C19" s="17">
        <v>2.5000000000000001E-2</v>
      </c>
      <c r="D19" s="17">
        <v>0.03</v>
      </c>
      <c r="E19" s="17">
        <v>0.02</v>
      </c>
      <c r="F19" s="15">
        <f t="shared" si="0"/>
        <v>2.5000000000000001E-2</v>
      </c>
    </row>
    <row r="20" spans="2:6" x14ac:dyDescent="0.25">
      <c r="B20" s="13" t="s">
        <v>24</v>
      </c>
      <c r="C20" s="18">
        <v>9</v>
      </c>
      <c r="D20" s="18">
        <v>10.5</v>
      </c>
      <c r="E20" s="18">
        <v>7.5</v>
      </c>
      <c r="F20" s="19">
        <f t="shared" si="0"/>
        <v>9</v>
      </c>
    </row>
  </sheetData>
  <mergeCells count="2">
    <mergeCell ref="B3:N3"/>
    <mergeCell ref="B2:N2"/>
  </mergeCells>
  <dataValidations count="1">
    <dataValidation type="list" sqref="C5" xr:uid="{00000000-0002-0000-0100-000000000000}">
      <formula1>"Base,Bull,Bear"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B2:N4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E9" sqref="E9"/>
    </sheetView>
  </sheetViews>
  <sheetFormatPr defaultRowHeight="15" x14ac:dyDescent="0.25"/>
  <cols>
    <col min="1" max="1" width="3" customWidth="1"/>
    <col min="2" max="2" width="34" customWidth="1"/>
    <col min="3" max="8" width="13" customWidth="1"/>
  </cols>
  <sheetData>
    <row r="2" spans="2:14" ht="20.25" x14ac:dyDescent="0.3">
      <c r="B2" s="88" t="s">
        <v>25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2:14" x14ac:dyDescent="0.25">
      <c r="B3" s="86" t="s">
        <v>26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</row>
    <row r="5" spans="2:14" ht="20.100000000000001" customHeight="1" x14ac:dyDescent="0.25">
      <c r="B5" s="89" t="s">
        <v>27</v>
      </c>
      <c r="C5" s="87"/>
      <c r="D5" s="87"/>
      <c r="E5" s="87"/>
      <c r="F5" s="87"/>
      <c r="G5" s="87"/>
      <c r="H5" s="87"/>
    </row>
    <row r="6" spans="2:14" x14ac:dyDescent="0.25">
      <c r="B6" s="16" t="s">
        <v>28</v>
      </c>
      <c r="C6" s="20" t="s">
        <v>250</v>
      </c>
    </row>
    <row r="7" spans="2:14" x14ac:dyDescent="0.25">
      <c r="B7" s="16" t="s">
        <v>29</v>
      </c>
      <c r="C7" s="21">
        <v>1000</v>
      </c>
    </row>
    <row r="8" spans="2:14" x14ac:dyDescent="0.25">
      <c r="B8" s="16" t="s">
        <v>30</v>
      </c>
      <c r="C8" s="22">
        <v>0.21</v>
      </c>
    </row>
    <row r="9" spans="2:14" x14ac:dyDescent="0.25">
      <c r="B9" s="16" t="s">
        <v>31</v>
      </c>
      <c r="C9" s="23">
        <f>C7*C8</f>
        <v>210</v>
      </c>
    </row>
    <row r="10" spans="2:14" x14ac:dyDescent="0.25">
      <c r="B10" s="16" t="s">
        <v>32</v>
      </c>
      <c r="C10" s="21">
        <v>130</v>
      </c>
    </row>
    <row r="11" spans="2:14" x14ac:dyDescent="0.25">
      <c r="B11" s="16" t="s">
        <v>33</v>
      </c>
      <c r="C11" s="21">
        <v>350</v>
      </c>
    </row>
    <row r="12" spans="2:14" x14ac:dyDescent="0.25">
      <c r="B12" s="16" t="s">
        <v>34</v>
      </c>
      <c r="C12" s="21">
        <v>50</v>
      </c>
    </row>
    <row r="13" spans="2:14" x14ac:dyDescent="0.25">
      <c r="B13" s="10" t="s">
        <v>35</v>
      </c>
      <c r="C13" s="24">
        <f>C11-C12</f>
        <v>300</v>
      </c>
    </row>
    <row r="14" spans="2:14" x14ac:dyDescent="0.25">
      <c r="B14" s="16" t="s">
        <v>36</v>
      </c>
      <c r="C14" s="25">
        <v>100</v>
      </c>
    </row>
    <row r="15" spans="2:14" x14ac:dyDescent="0.25">
      <c r="B15" s="16" t="s">
        <v>37</v>
      </c>
      <c r="C15" s="26">
        <v>18</v>
      </c>
    </row>
    <row r="16" spans="2:14" x14ac:dyDescent="0.25">
      <c r="B16" s="16" t="s">
        <v>38</v>
      </c>
      <c r="C16" s="27">
        <f>C14*C15</f>
        <v>1800</v>
      </c>
    </row>
    <row r="17" spans="2:8" x14ac:dyDescent="0.25">
      <c r="B17" s="10" t="s">
        <v>39</v>
      </c>
      <c r="C17" s="24">
        <f>C16+C13</f>
        <v>2100</v>
      </c>
    </row>
    <row r="19" spans="2:8" ht="20.100000000000001" customHeight="1" x14ac:dyDescent="0.25">
      <c r="B19" s="89" t="s">
        <v>40</v>
      </c>
      <c r="C19" s="87"/>
      <c r="D19" s="87"/>
      <c r="E19" s="87"/>
      <c r="F19" s="87"/>
      <c r="G19" s="87"/>
      <c r="H19" s="87"/>
    </row>
    <row r="20" spans="2:8" x14ac:dyDescent="0.25">
      <c r="B20" s="16" t="s">
        <v>41</v>
      </c>
      <c r="C20" s="22">
        <v>4.2000000000000003E-2</v>
      </c>
    </row>
    <row r="21" spans="2:8" x14ac:dyDescent="0.25">
      <c r="B21" s="16" t="s">
        <v>42</v>
      </c>
      <c r="C21" s="28">
        <v>1.1499999999999999</v>
      </c>
    </row>
    <row r="22" spans="2:8" x14ac:dyDescent="0.25">
      <c r="B22" s="16" t="s">
        <v>43</v>
      </c>
      <c r="C22" s="22">
        <v>5.5E-2</v>
      </c>
    </row>
    <row r="23" spans="2:8" x14ac:dyDescent="0.25">
      <c r="B23" s="10" t="s">
        <v>44</v>
      </c>
      <c r="C23" s="29">
        <f>C20+C21*C22</f>
        <v>0.10525000000000001</v>
      </c>
    </row>
    <row r="24" spans="2:8" x14ac:dyDescent="0.25">
      <c r="B24" s="16" t="s">
        <v>45</v>
      </c>
      <c r="C24" s="22">
        <v>6.5000000000000002E-2</v>
      </c>
    </row>
    <row r="25" spans="2:8" x14ac:dyDescent="0.25">
      <c r="B25" s="16" t="s">
        <v>46</v>
      </c>
      <c r="C25" s="30">
        <f>'Scenario Control'!$F$18</f>
        <v>0.25</v>
      </c>
    </row>
    <row r="26" spans="2:8" x14ac:dyDescent="0.25">
      <c r="B26" s="16" t="s">
        <v>47</v>
      </c>
      <c r="C26" s="31">
        <f>C24*(1-C25)</f>
        <v>4.8750000000000002E-2</v>
      </c>
    </row>
    <row r="27" spans="2:8" x14ac:dyDescent="0.25">
      <c r="B27" s="16" t="s">
        <v>48</v>
      </c>
      <c r="C27" s="22">
        <v>0.35</v>
      </c>
    </row>
    <row r="28" spans="2:8" x14ac:dyDescent="0.25">
      <c r="B28" s="16" t="s">
        <v>49</v>
      </c>
      <c r="C28" s="31">
        <f>1-C27</f>
        <v>0.65</v>
      </c>
    </row>
    <row r="29" spans="2:8" x14ac:dyDescent="0.25">
      <c r="B29" s="10" t="s">
        <v>50</v>
      </c>
      <c r="C29" s="32">
        <f>C28*C23+C27*C26</f>
        <v>8.5475000000000009E-2</v>
      </c>
    </row>
    <row r="31" spans="2:8" ht="20.100000000000001" customHeight="1" x14ac:dyDescent="0.25">
      <c r="B31" s="89" t="s">
        <v>51</v>
      </c>
      <c r="C31" s="87"/>
      <c r="D31" s="87"/>
      <c r="E31" s="87"/>
      <c r="F31" s="87"/>
      <c r="G31" s="87"/>
      <c r="H31" s="87"/>
    </row>
    <row r="32" spans="2:8" x14ac:dyDescent="0.25">
      <c r="B32" s="10" t="s">
        <v>52</v>
      </c>
      <c r="D32" s="33">
        <v>2026</v>
      </c>
      <c r="E32" s="33">
        <v>2027</v>
      </c>
      <c r="F32" s="33">
        <v>2028</v>
      </c>
      <c r="G32" s="33">
        <v>2029</v>
      </c>
      <c r="H32" s="33">
        <v>2030</v>
      </c>
    </row>
    <row r="33" spans="2:8" x14ac:dyDescent="0.25">
      <c r="B33" s="16" t="s">
        <v>53</v>
      </c>
      <c r="D33" s="34">
        <f>'Scenario Control'!$F$8</f>
        <v>0.08</v>
      </c>
      <c r="E33" s="34">
        <f>'Scenario Control'!$F$9</f>
        <v>7.0000000000000007E-2</v>
      </c>
      <c r="F33" s="34">
        <f>'Scenario Control'!$F$10</f>
        <v>0.06</v>
      </c>
      <c r="G33" s="34">
        <f>'Scenario Control'!$F$11</f>
        <v>0.05</v>
      </c>
      <c r="H33" s="34">
        <f>'Scenario Control'!$F$12</f>
        <v>0.04</v>
      </c>
    </row>
    <row r="34" spans="2:8" x14ac:dyDescent="0.25">
      <c r="B34" s="10" t="s">
        <v>54</v>
      </c>
      <c r="D34" s="35">
        <f>C7*(1+D33)</f>
        <v>1080</v>
      </c>
      <c r="E34" s="35">
        <f>D34*(1+E33)</f>
        <v>1155.6000000000001</v>
      </c>
      <c r="F34" s="35">
        <f>E34*(1+F33)</f>
        <v>1224.9360000000001</v>
      </c>
      <c r="G34" s="35">
        <f>F34*(1+G33)</f>
        <v>1286.1828000000003</v>
      </c>
      <c r="H34" s="35">
        <f>G34*(1+H33)</f>
        <v>1337.6301120000003</v>
      </c>
    </row>
    <row r="35" spans="2:8" x14ac:dyDescent="0.25">
      <c r="B35" s="16" t="s">
        <v>55</v>
      </c>
      <c r="D35" s="34">
        <f>'Scenario Control'!$F$13</f>
        <v>0.22</v>
      </c>
      <c r="E35" s="36">
        <f>D35+('Scenario Control'!$F$14-'Scenario Control'!$F$13)*1/4</f>
        <v>0.23</v>
      </c>
      <c r="F35" s="36">
        <f>D35+('Scenario Control'!$F$14-'Scenario Control'!$F$13)*2/4</f>
        <v>0.24</v>
      </c>
      <c r="G35" s="36">
        <f>D35+('Scenario Control'!$F$14-'Scenario Control'!$F$13)*3/4</f>
        <v>0.25</v>
      </c>
      <c r="H35" s="34">
        <f>'Scenario Control'!$F$14</f>
        <v>0.26</v>
      </c>
    </row>
    <row r="36" spans="2:8" x14ac:dyDescent="0.25">
      <c r="B36" s="10" t="s">
        <v>56</v>
      </c>
      <c r="D36" s="35">
        <f>D34*D35</f>
        <v>237.6</v>
      </c>
      <c r="E36" s="35">
        <f>E34*E35</f>
        <v>265.78800000000007</v>
      </c>
      <c r="F36" s="35">
        <f>F34*F35</f>
        <v>293.98464000000001</v>
      </c>
      <c r="G36" s="35">
        <f>G34*G35</f>
        <v>321.54570000000007</v>
      </c>
      <c r="H36" s="35">
        <f>H34*H35</f>
        <v>347.78382912000006</v>
      </c>
    </row>
    <row r="37" spans="2:8" x14ac:dyDescent="0.25">
      <c r="B37" s="16" t="s">
        <v>19</v>
      </c>
      <c r="D37" s="34">
        <f>'Scenario Control'!$F$15</f>
        <v>0.04</v>
      </c>
      <c r="E37" s="34">
        <f>'Scenario Control'!$F$15</f>
        <v>0.04</v>
      </c>
      <c r="F37" s="34">
        <f>'Scenario Control'!$F$15</f>
        <v>0.04</v>
      </c>
      <c r="G37" s="34">
        <f>'Scenario Control'!$F$15</f>
        <v>0.04</v>
      </c>
      <c r="H37" s="34">
        <f>'Scenario Control'!$F$15</f>
        <v>0.04</v>
      </c>
    </row>
    <row r="38" spans="2:8" x14ac:dyDescent="0.25">
      <c r="B38" s="16" t="s">
        <v>57</v>
      </c>
      <c r="D38" s="37">
        <f>D34*D37</f>
        <v>43.2</v>
      </c>
      <c r="E38" s="37">
        <f>E34*E37</f>
        <v>46.224000000000004</v>
      </c>
      <c r="F38" s="37">
        <f>F34*F37</f>
        <v>48.997440000000005</v>
      </c>
      <c r="G38" s="37">
        <f>G34*G37</f>
        <v>51.447312000000011</v>
      </c>
      <c r="H38" s="37">
        <f>H34*H37</f>
        <v>53.50520448000001</v>
      </c>
    </row>
    <row r="39" spans="2:8" x14ac:dyDescent="0.25">
      <c r="B39" s="16" t="s">
        <v>58</v>
      </c>
      <c r="D39" s="37">
        <f>D36-D38</f>
        <v>194.39999999999998</v>
      </c>
      <c r="E39" s="37">
        <f>E36-E38</f>
        <v>219.56400000000008</v>
      </c>
      <c r="F39" s="37">
        <f>F36-F38</f>
        <v>244.9872</v>
      </c>
      <c r="G39" s="37">
        <f>G36-G38</f>
        <v>270.09838800000006</v>
      </c>
      <c r="H39" s="37">
        <f>H36-H38</f>
        <v>294.27862464000003</v>
      </c>
    </row>
    <row r="40" spans="2:8" x14ac:dyDescent="0.25">
      <c r="B40" s="16" t="s">
        <v>59</v>
      </c>
      <c r="D40" s="34">
        <f>'Scenario Control'!$F$18</f>
        <v>0.25</v>
      </c>
      <c r="E40" s="34">
        <f>'Scenario Control'!$F$18</f>
        <v>0.25</v>
      </c>
      <c r="F40" s="34">
        <f>'Scenario Control'!$F$18</f>
        <v>0.25</v>
      </c>
      <c r="G40" s="34">
        <f>'Scenario Control'!$F$18</f>
        <v>0.25</v>
      </c>
      <c r="H40" s="34">
        <f>'Scenario Control'!$F$18</f>
        <v>0.25</v>
      </c>
    </row>
    <row r="41" spans="2:8" x14ac:dyDescent="0.25">
      <c r="B41" s="16" t="s">
        <v>60</v>
      </c>
      <c r="D41" s="37">
        <f>D39*(1-D40)</f>
        <v>145.79999999999998</v>
      </c>
      <c r="E41" s="37">
        <f>E39*(1-E40)</f>
        <v>164.67300000000006</v>
      </c>
      <c r="F41" s="37">
        <f>F39*(1-F40)</f>
        <v>183.74039999999999</v>
      </c>
      <c r="G41" s="37">
        <f>G39*(1-G40)</f>
        <v>202.57379100000003</v>
      </c>
      <c r="H41" s="37">
        <f>H39*(1-H40)</f>
        <v>220.70896848000001</v>
      </c>
    </row>
    <row r="42" spans="2:8" x14ac:dyDescent="0.25">
      <c r="B42" s="16" t="s">
        <v>20</v>
      </c>
      <c r="D42" s="34">
        <f>'Scenario Control'!$F$16</f>
        <v>0.05</v>
      </c>
      <c r="E42" s="34">
        <f>'Scenario Control'!$F$16</f>
        <v>0.05</v>
      </c>
      <c r="F42" s="34">
        <f>'Scenario Control'!$F$16</f>
        <v>0.05</v>
      </c>
      <c r="G42" s="34">
        <f>'Scenario Control'!$F$16</f>
        <v>0.05</v>
      </c>
      <c r="H42" s="34">
        <f>'Scenario Control'!$F$16</f>
        <v>0.05</v>
      </c>
    </row>
    <row r="43" spans="2:8" x14ac:dyDescent="0.25">
      <c r="B43" s="16" t="s">
        <v>61</v>
      </c>
      <c r="D43" s="37">
        <f>D34*D42</f>
        <v>54</v>
      </c>
      <c r="E43" s="37">
        <f>E34*E42</f>
        <v>57.780000000000008</v>
      </c>
      <c r="F43" s="37">
        <f>F34*F42</f>
        <v>61.246800000000007</v>
      </c>
      <c r="G43" s="37">
        <f>G34*G42</f>
        <v>64.309140000000014</v>
      </c>
      <c r="H43" s="37">
        <f>H34*H42</f>
        <v>66.881505600000011</v>
      </c>
    </row>
    <row r="44" spans="2:8" x14ac:dyDescent="0.25">
      <c r="B44" s="16" t="s">
        <v>62</v>
      </c>
      <c r="D44" s="37">
        <f>(D34-C7)*'Scenario Control'!$F$17</f>
        <v>12</v>
      </c>
      <c r="E44" s="37">
        <f>(E34-D34)*'Scenario Control'!$F$17</f>
        <v>11.340000000000019</v>
      </c>
      <c r="F44" s="37">
        <f>(F34-E34)*'Scenario Control'!$F$17</f>
        <v>10.400400000000001</v>
      </c>
      <c r="G44" s="37">
        <f>(G34-F34)*'Scenario Control'!$F$17</f>
        <v>9.1870200000000182</v>
      </c>
      <c r="H44" s="37">
        <f>(H34-G34)*'Scenario Control'!$F$17</f>
        <v>7.7170968000000011</v>
      </c>
    </row>
    <row r="45" spans="2:8" x14ac:dyDescent="0.25">
      <c r="B45" s="10" t="s">
        <v>63</v>
      </c>
      <c r="D45" s="38">
        <f>D41+D38-D43-D44</f>
        <v>123</v>
      </c>
      <c r="E45" s="38">
        <f>E41+E38-E43-E44</f>
        <v>141.77700000000002</v>
      </c>
      <c r="F45" s="38">
        <f>F41+F38-F43-F44</f>
        <v>161.09064000000001</v>
      </c>
      <c r="G45" s="38">
        <f>G41+G38-G43-G44</f>
        <v>180.52494300000001</v>
      </c>
      <c r="H45" s="38">
        <f>H41+H38-H43-H44</f>
        <v>199.61557056000001</v>
      </c>
    </row>
  </sheetData>
  <mergeCells count="5">
    <mergeCell ref="B19:H19"/>
    <mergeCell ref="B5:H5"/>
    <mergeCell ref="B3:N3"/>
    <mergeCell ref="B2:N2"/>
    <mergeCell ref="B31:H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B2:N3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J17" sqref="J17"/>
    </sheetView>
  </sheetViews>
  <sheetFormatPr defaultRowHeight="15" x14ac:dyDescent="0.25"/>
  <cols>
    <col min="1" max="1" width="3" customWidth="1"/>
    <col min="2" max="2" width="30" bestFit="1" customWidth="1"/>
    <col min="3" max="4" width="11" customWidth="1"/>
    <col min="5" max="5" width="12" customWidth="1"/>
    <col min="6" max="6" width="11" customWidth="1"/>
    <col min="7" max="7" width="10" customWidth="1"/>
    <col min="8" max="11" width="12" customWidth="1"/>
    <col min="12" max="13" width="10" customWidth="1"/>
    <col min="14" max="14" width="9" customWidth="1"/>
  </cols>
  <sheetData>
    <row r="2" spans="2:14" ht="20.25" x14ac:dyDescent="0.3">
      <c r="B2" s="88" t="s">
        <v>64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2:14" x14ac:dyDescent="0.25">
      <c r="B3" s="86" t="s">
        <v>65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</row>
    <row r="5" spans="2:14" ht="30" customHeight="1" x14ac:dyDescent="0.25">
      <c r="B5" s="39" t="s">
        <v>66</v>
      </c>
      <c r="C5" s="39" t="s">
        <v>67</v>
      </c>
      <c r="D5" s="39" t="s">
        <v>68</v>
      </c>
      <c r="E5" s="39" t="s">
        <v>69</v>
      </c>
      <c r="F5" s="39" t="s">
        <v>33</v>
      </c>
      <c r="G5" s="39" t="s">
        <v>70</v>
      </c>
      <c r="H5" s="39" t="s">
        <v>71</v>
      </c>
      <c r="I5" s="39" t="s">
        <v>29</v>
      </c>
      <c r="J5" s="39" t="s">
        <v>31</v>
      </c>
      <c r="K5" s="39" t="s">
        <v>32</v>
      </c>
      <c r="L5" s="39" t="s">
        <v>72</v>
      </c>
      <c r="M5" s="39" t="s">
        <v>73</v>
      </c>
      <c r="N5" s="39" t="s">
        <v>74</v>
      </c>
    </row>
    <row r="6" spans="2:14" x14ac:dyDescent="0.25">
      <c r="B6" s="40" t="s">
        <v>75</v>
      </c>
      <c r="C6" s="41">
        <v>24.5</v>
      </c>
      <c r="D6" s="42">
        <v>120</v>
      </c>
      <c r="E6" s="43">
        <f t="shared" ref="E6:E12" si="0">C6*D6</f>
        <v>2940</v>
      </c>
      <c r="F6" s="44">
        <v>200</v>
      </c>
      <c r="G6" s="44">
        <v>40</v>
      </c>
      <c r="H6" s="45">
        <f t="shared" ref="H6:H12" si="1">E6+F6-G6</f>
        <v>3100</v>
      </c>
      <c r="I6" s="44">
        <v>1150</v>
      </c>
      <c r="J6" s="44">
        <v>265</v>
      </c>
      <c r="K6" s="44">
        <v>150</v>
      </c>
      <c r="L6" s="46">
        <f t="shared" ref="L6:L12" si="2">IFERROR(H6/I6,"-")</f>
        <v>2.6956521739130435</v>
      </c>
      <c r="M6" s="46">
        <f t="shared" ref="M6:M12" si="3">IFERROR(H6/J6,"-")</f>
        <v>11.69811320754717</v>
      </c>
      <c r="N6" s="46">
        <f t="shared" ref="N6:N12" si="4">IFERROR(E6/K6,"-")</f>
        <v>19.600000000000001</v>
      </c>
    </row>
    <row r="7" spans="2:14" x14ac:dyDescent="0.25">
      <c r="B7" s="47" t="s">
        <v>76</v>
      </c>
      <c r="C7" s="48">
        <v>31.2</v>
      </c>
      <c r="D7" s="49">
        <v>85</v>
      </c>
      <c r="E7" s="50">
        <f t="shared" si="0"/>
        <v>2652</v>
      </c>
      <c r="F7" s="51">
        <v>150</v>
      </c>
      <c r="G7" s="51">
        <v>25</v>
      </c>
      <c r="H7" s="35">
        <f t="shared" si="1"/>
        <v>2777</v>
      </c>
      <c r="I7" s="51">
        <v>950</v>
      </c>
      <c r="J7" s="51">
        <v>210</v>
      </c>
      <c r="K7" s="51">
        <v>118</v>
      </c>
      <c r="L7" s="52">
        <f t="shared" si="2"/>
        <v>2.9231578947368422</v>
      </c>
      <c r="M7" s="52">
        <f t="shared" si="3"/>
        <v>13.223809523809523</v>
      </c>
      <c r="N7" s="52">
        <f t="shared" si="4"/>
        <v>22.474576271186439</v>
      </c>
    </row>
    <row r="8" spans="2:14" x14ac:dyDescent="0.25">
      <c r="B8" s="40" t="s">
        <v>77</v>
      </c>
      <c r="C8" s="41">
        <v>18.75</v>
      </c>
      <c r="D8" s="42">
        <v>140</v>
      </c>
      <c r="E8" s="43">
        <f t="shared" si="0"/>
        <v>2625</v>
      </c>
      <c r="F8" s="44">
        <v>300</v>
      </c>
      <c r="G8" s="44">
        <v>60</v>
      </c>
      <c r="H8" s="45">
        <f t="shared" si="1"/>
        <v>2865</v>
      </c>
      <c r="I8" s="44">
        <v>1400</v>
      </c>
      <c r="J8" s="44">
        <v>300</v>
      </c>
      <c r="K8" s="44">
        <v>165</v>
      </c>
      <c r="L8" s="46">
        <f t="shared" si="2"/>
        <v>2.0464285714285713</v>
      </c>
      <c r="M8" s="46">
        <f t="shared" si="3"/>
        <v>9.5500000000000007</v>
      </c>
      <c r="N8" s="46">
        <f t="shared" si="4"/>
        <v>15.909090909090908</v>
      </c>
    </row>
    <row r="9" spans="2:14" x14ac:dyDescent="0.25">
      <c r="B9" s="47" t="s">
        <v>78</v>
      </c>
      <c r="C9" s="48">
        <v>42</v>
      </c>
      <c r="D9" s="49">
        <v>60</v>
      </c>
      <c r="E9" s="50">
        <f t="shared" si="0"/>
        <v>2520</v>
      </c>
      <c r="F9" s="51">
        <v>100</v>
      </c>
      <c r="G9" s="51">
        <v>80</v>
      </c>
      <c r="H9" s="35">
        <f t="shared" si="1"/>
        <v>2540</v>
      </c>
      <c r="I9" s="51">
        <v>700</v>
      </c>
      <c r="J9" s="51">
        <v>175</v>
      </c>
      <c r="K9" s="51">
        <v>105</v>
      </c>
      <c r="L9" s="52">
        <f t="shared" si="2"/>
        <v>3.6285714285714286</v>
      </c>
      <c r="M9" s="52">
        <f t="shared" si="3"/>
        <v>14.514285714285714</v>
      </c>
      <c r="N9" s="52">
        <f t="shared" si="4"/>
        <v>24</v>
      </c>
    </row>
    <row r="10" spans="2:14" x14ac:dyDescent="0.25">
      <c r="B10" s="40" t="s">
        <v>79</v>
      </c>
      <c r="C10" s="41">
        <v>15.3</v>
      </c>
      <c r="D10" s="42">
        <v>200</v>
      </c>
      <c r="E10" s="43">
        <f t="shared" si="0"/>
        <v>3060</v>
      </c>
      <c r="F10" s="44">
        <v>400</v>
      </c>
      <c r="G10" s="44">
        <v>50</v>
      </c>
      <c r="H10" s="45">
        <f t="shared" si="1"/>
        <v>3410</v>
      </c>
      <c r="I10" s="44">
        <v>1600</v>
      </c>
      <c r="J10" s="44">
        <v>336</v>
      </c>
      <c r="K10" s="44">
        <v>190</v>
      </c>
      <c r="L10" s="46">
        <f t="shared" si="2"/>
        <v>2.1312500000000001</v>
      </c>
      <c r="M10" s="46">
        <f t="shared" si="3"/>
        <v>10.148809523809524</v>
      </c>
      <c r="N10" s="46">
        <f t="shared" si="4"/>
        <v>16.105263157894736</v>
      </c>
    </row>
    <row r="11" spans="2:14" x14ac:dyDescent="0.25">
      <c r="B11" s="47" t="s">
        <v>80</v>
      </c>
      <c r="C11" s="48">
        <v>27.8</v>
      </c>
      <c r="D11" s="49">
        <v>95</v>
      </c>
      <c r="E11" s="50">
        <f t="shared" si="0"/>
        <v>2641</v>
      </c>
      <c r="F11" s="51">
        <v>180</v>
      </c>
      <c r="G11" s="51">
        <v>35</v>
      </c>
      <c r="H11" s="35">
        <f t="shared" si="1"/>
        <v>2786</v>
      </c>
      <c r="I11" s="51">
        <v>1020</v>
      </c>
      <c r="J11" s="51">
        <v>235</v>
      </c>
      <c r="K11" s="51">
        <v>135</v>
      </c>
      <c r="L11" s="52">
        <f t="shared" si="2"/>
        <v>2.7313725490196079</v>
      </c>
      <c r="M11" s="52">
        <f t="shared" si="3"/>
        <v>11.85531914893617</v>
      </c>
      <c r="N11" s="52">
        <f t="shared" si="4"/>
        <v>19.562962962962963</v>
      </c>
    </row>
    <row r="12" spans="2:14" x14ac:dyDescent="0.25">
      <c r="B12" s="40" t="s">
        <v>81</v>
      </c>
      <c r="C12" s="41">
        <v>22.1</v>
      </c>
      <c r="D12" s="42">
        <v>110</v>
      </c>
      <c r="E12" s="43">
        <f t="shared" si="0"/>
        <v>2431</v>
      </c>
      <c r="F12" s="44">
        <v>220</v>
      </c>
      <c r="G12" s="44">
        <v>45</v>
      </c>
      <c r="H12" s="45">
        <f t="shared" si="1"/>
        <v>2606</v>
      </c>
      <c r="I12" s="44">
        <v>1080</v>
      </c>
      <c r="J12" s="44">
        <v>245</v>
      </c>
      <c r="K12" s="44">
        <v>140</v>
      </c>
      <c r="L12" s="46">
        <f t="shared" si="2"/>
        <v>2.412962962962963</v>
      </c>
      <c r="M12" s="46">
        <f t="shared" si="3"/>
        <v>10.636734693877552</v>
      </c>
      <c r="N12" s="46">
        <f t="shared" si="4"/>
        <v>17.364285714285714</v>
      </c>
    </row>
    <row r="14" spans="2:14" x14ac:dyDescent="0.25">
      <c r="B14" s="10" t="s">
        <v>82</v>
      </c>
      <c r="L14" s="19">
        <f>AVERAGE(L6:L12)</f>
        <v>2.6527707972332073</v>
      </c>
      <c r="M14" s="19">
        <f>AVERAGE(M6:M12)</f>
        <v>11.661010258895095</v>
      </c>
      <c r="N14" s="19">
        <f>AVERAGE(N6:N12)</f>
        <v>19.28802557363154</v>
      </c>
    </row>
    <row r="15" spans="2:14" x14ac:dyDescent="0.25">
      <c r="B15" s="10" t="s">
        <v>83</v>
      </c>
      <c r="L15" s="19">
        <f>MEDIAN(L6:L12)</f>
        <v>2.6956521739130435</v>
      </c>
      <c r="M15" s="19">
        <f>MEDIAN(M6:M12)</f>
        <v>11.69811320754717</v>
      </c>
      <c r="N15" s="19">
        <f>MEDIAN(N6:N12)</f>
        <v>19.562962962962963</v>
      </c>
    </row>
    <row r="16" spans="2:14" x14ac:dyDescent="0.25">
      <c r="B16" s="10" t="s">
        <v>84</v>
      </c>
      <c r="L16" s="19">
        <f>MIN(L6:L12)</f>
        <v>2.0464285714285713</v>
      </c>
      <c r="M16" s="19">
        <f>MIN(M6:M12)</f>
        <v>9.5500000000000007</v>
      </c>
      <c r="N16" s="19">
        <f>MIN(N6:N12)</f>
        <v>15.909090909090908</v>
      </c>
    </row>
    <row r="17" spans="2:14" x14ac:dyDescent="0.25">
      <c r="B17" s="10" t="s">
        <v>85</v>
      </c>
      <c r="L17" s="19">
        <f>MAX(L6:L12)</f>
        <v>3.6285714285714286</v>
      </c>
      <c r="M17" s="19">
        <f>MAX(M6:M12)</f>
        <v>14.514285714285714</v>
      </c>
      <c r="N17" s="19">
        <f>MAX(N6:N12)</f>
        <v>24</v>
      </c>
    </row>
    <row r="19" spans="2:14" ht="20.100000000000001" customHeight="1" x14ac:dyDescent="0.25">
      <c r="B19" s="89" t="s">
        <v>86</v>
      </c>
      <c r="C19" s="87"/>
      <c r="D19" s="87"/>
      <c r="E19" s="87"/>
      <c r="F19" s="87"/>
    </row>
    <row r="20" spans="2:14" x14ac:dyDescent="0.25">
      <c r="B20" s="16" t="s">
        <v>87</v>
      </c>
      <c r="C20" s="53">
        <f>Assumptions!$C$7</f>
        <v>1000</v>
      </c>
    </row>
    <row r="21" spans="2:14" x14ac:dyDescent="0.25">
      <c r="B21" s="16" t="s">
        <v>88</v>
      </c>
      <c r="C21" s="53">
        <f>Assumptions!$C$9</f>
        <v>210</v>
      </c>
    </row>
    <row r="22" spans="2:14" x14ac:dyDescent="0.25">
      <c r="B22" s="16" t="s">
        <v>89</v>
      </c>
      <c r="C22" s="53">
        <f>Assumptions!$C$10</f>
        <v>130</v>
      </c>
    </row>
    <row r="23" spans="2:14" x14ac:dyDescent="0.25">
      <c r="B23" s="16" t="s">
        <v>90</v>
      </c>
      <c r="C23" s="53">
        <f>Assumptions!$C$13</f>
        <v>300</v>
      </c>
    </row>
    <row r="24" spans="2:14" x14ac:dyDescent="0.25">
      <c r="B24" s="16" t="s">
        <v>91</v>
      </c>
      <c r="C24" s="54">
        <f>Assumptions!$C$14</f>
        <v>100</v>
      </c>
    </row>
    <row r="26" spans="2:14" ht="27.95" customHeight="1" x14ac:dyDescent="0.25">
      <c r="B26" s="39" t="s">
        <v>92</v>
      </c>
      <c r="C26" s="39" t="s">
        <v>93</v>
      </c>
      <c r="D26" s="39" t="s">
        <v>94</v>
      </c>
      <c r="E26" s="39" t="s">
        <v>95</v>
      </c>
      <c r="F26" s="39" t="s">
        <v>96</v>
      </c>
    </row>
    <row r="27" spans="2:14" x14ac:dyDescent="0.25">
      <c r="B27" s="16" t="s">
        <v>97</v>
      </c>
      <c r="C27" s="52">
        <f>L15</f>
        <v>2.6956521739130435</v>
      </c>
      <c r="D27" s="50">
        <f>C27*C20</f>
        <v>2695.6521739130435</v>
      </c>
      <c r="E27" s="50">
        <f>D27-C23</f>
        <v>2395.6521739130435</v>
      </c>
      <c r="F27" s="55">
        <f>E27/C24</f>
        <v>23.956521739130434</v>
      </c>
    </row>
    <row r="28" spans="2:14" x14ac:dyDescent="0.25">
      <c r="B28" s="16" t="s">
        <v>98</v>
      </c>
      <c r="C28" s="52">
        <f>M15</f>
        <v>11.69811320754717</v>
      </c>
      <c r="D28" s="50">
        <f>C28*C21</f>
        <v>2456.6037735849059</v>
      </c>
      <c r="E28" s="50">
        <f>D28-C23</f>
        <v>2156.6037735849059</v>
      </c>
      <c r="F28" s="56">
        <f>E28/C24</f>
        <v>21.566037735849058</v>
      </c>
    </row>
    <row r="29" spans="2:14" x14ac:dyDescent="0.25">
      <c r="B29" s="16" t="s">
        <v>99</v>
      </c>
      <c r="C29" s="52">
        <f>N15</f>
        <v>19.562962962962963</v>
      </c>
      <c r="D29" s="57" t="s">
        <v>100</v>
      </c>
      <c r="E29" s="50">
        <f>C29*C22</f>
        <v>2543.1851851851852</v>
      </c>
      <c r="F29" s="55">
        <f>E29/C24</f>
        <v>25.431851851851853</v>
      </c>
    </row>
    <row r="30" spans="2:14" x14ac:dyDescent="0.25">
      <c r="B30" s="16" t="s">
        <v>101</v>
      </c>
      <c r="C30" s="52">
        <f>M16</f>
        <v>9.5500000000000007</v>
      </c>
      <c r="D30" s="50">
        <f>C30*C21</f>
        <v>2005.5000000000002</v>
      </c>
      <c r="E30" s="50">
        <f>D30-C23</f>
        <v>1705.5000000000002</v>
      </c>
      <c r="F30" s="58">
        <f>E30/C24</f>
        <v>17.055000000000003</v>
      </c>
    </row>
    <row r="31" spans="2:14" x14ac:dyDescent="0.25">
      <c r="B31" s="16" t="s">
        <v>102</v>
      </c>
      <c r="C31" s="52">
        <f>M17</f>
        <v>14.514285714285714</v>
      </c>
      <c r="D31" s="50">
        <f>C31*C21</f>
        <v>3048</v>
      </c>
      <c r="E31" s="50">
        <f>D31-C23</f>
        <v>2748</v>
      </c>
      <c r="F31" s="58">
        <f>E31/C24</f>
        <v>27.48</v>
      </c>
    </row>
  </sheetData>
  <mergeCells count="3">
    <mergeCell ref="B3:N3"/>
    <mergeCell ref="B2:N2"/>
    <mergeCell ref="B19:F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B2:N41"/>
  <sheetViews>
    <sheetView showGridLines="0" zoomScaleNormal="10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34" customWidth="1"/>
    <col min="3" max="8" width="13" customWidth="1"/>
  </cols>
  <sheetData>
    <row r="2" spans="2:14" ht="20.25" x14ac:dyDescent="0.3">
      <c r="B2" s="88" t="s">
        <v>103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2:14" x14ac:dyDescent="0.25">
      <c r="B3" s="86" t="s">
        <v>104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</row>
    <row r="5" spans="2:14" x14ac:dyDescent="0.25">
      <c r="B5" s="10" t="s">
        <v>52</v>
      </c>
      <c r="D5" s="59">
        <f>Assumptions!D32</f>
        <v>2026</v>
      </c>
      <c r="E5" s="59">
        <f>Assumptions!E32</f>
        <v>2027</v>
      </c>
      <c r="F5" s="59">
        <f>Assumptions!F32</f>
        <v>2028</v>
      </c>
      <c r="G5" s="59">
        <f>Assumptions!G32</f>
        <v>2029</v>
      </c>
      <c r="H5" s="59">
        <f>Assumptions!H32</f>
        <v>2030</v>
      </c>
    </row>
    <row r="6" spans="2:14" x14ac:dyDescent="0.25">
      <c r="B6" s="16" t="s">
        <v>105</v>
      </c>
      <c r="D6" s="60">
        <v>1</v>
      </c>
      <c r="E6" s="60">
        <v>2</v>
      </c>
      <c r="F6" s="60">
        <v>3</v>
      </c>
      <c r="G6" s="60">
        <v>4</v>
      </c>
      <c r="H6" s="60">
        <v>5</v>
      </c>
    </row>
    <row r="7" spans="2:14" x14ac:dyDescent="0.25">
      <c r="B7" s="10" t="s">
        <v>63</v>
      </c>
      <c r="D7" s="61">
        <f>Assumptions!D45</f>
        <v>123</v>
      </c>
      <c r="E7" s="61">
        <f>Assumptions!E45</f>
        <v>141.77700000000002</v>
      </c>
      <c r="F7" s="61">
        <f>Assumptions!F45</f>
        <v>161.09064000000001</v>
      </c>
      <c r="G7" s="61">
        <f>Assumptions!G45</f>
        <v>180.52494300000001</v>
      </c>
      <c r="H7" s="61">
        <f>Assumptions!H45</f>
        <v>199.61557056000001</v>
      </c>
    </row>
    <row r="8" spans="2:14" x14ac:dyDescent="0.25">
      <c r="B8" s="16" t="s">
        <v>106</v>
      </c>
      <c r="D8" s="62">
        <f>1/(1+$C$11)^D6</f>
        <v>0.92125567148022758</v>
      </c>
      <c r="E8" s="62">
        <f>1/(1+$C$11)^E6</f>
        <v>0.848712012234485</v>
      </c>
      <c r="F8" s="62">
        <f>1/(1+$C$11)^F6</f>
        <v>0.78188075472441565</v>
      </c>
      <c r="G8" s="62">
        <f>1/(1+$C$11)^G6</f>
        <v>0.72031207971110855</v>
      </c>
      <c r="H8" s="62">
        <f>1/(1+$C$11)^H6</f>
        <v>0.66359158866957657</v>
      </c>
    </row>
    <row r="9" spans="2:14" x14ac:dyDescent="0.25">
      <c r="B9" s="10" t="s">
        <v>107</v>
      </c>
      <c r="D9" s="38">
        <f>D7*D8</f>
        <v>113.31444759206799</v>
      </c>
      <c r="E9" s="38">
        <f>E7*E8</f>
        <v>120.3278429585686</v>
      </c>
      <c r="F9" s="38">
        <f>F7*F8</f>
        <v>125.95367118223915</v>
      </c>
      <c r="G9" s="38">
        <f>G7*G8</f>
        <v>130.03429713205932</v>
      </c>
      <c r="H9" s="38">
        <f>H7*H8</f>
        <v>132.46321359109436</v>
      </c>
    </row>
    <row r="11" spans="2:14" x14ac:dyDescent="0.25">
      <c r="B11" s="16" t="s">
        <v>50</v>
      </c>
      <c r="C11" s="63">
        <f>Assumptions!$C$29</f>
        <v>8.5475000000000009E-2</v>
      </c>
    </row>
    <row r="12" spans="2:14" x14ac:dyDescent="0.25">
      <c r="B12" s="16" t="s">
        <v>108</v>
      </c>
      <c r="C12" s="63">
        <f>'Scenario Control'!$F$19</f>
        <v>2.5000000000000001E-2</v>
      </c>
    </row>
    <row r="14" spans="2:14" ht="20.100000000000001" customHeight="1" x14ac:dyDescent="0.25">
      <c r="B14" s="89" t="s">
        <v>109</v>
      </c>
      <c r="C14" s="87"/>
      <c r="D14" s="87"/>
      <c r="E14" s="87"/>
      <c r="F14" s="87"/>
      <c r="G14" s="87"/>
      <c r="H14" s="87"/>
    </row>
    <row r="15" spans="2:14" x14ac:dyDescent="0.25">
      <c r="B15" s="16" t="s">
        <v>110</v>
      </c>
      <c r="C15" s="27">
        <f>SUM(D9:H9)</f>
        <v>622.09347245602942</v>
      </c>
    </row>
    <row r="16" spans="2:14" x14ac:dyDescent="0.25">
      <c r="B16" s="16" t="s">
        <v>111</v>
      </c>
      <c r="C16" s="27">
        <f>H7*(1+$C$12)/($C$11-$C$12)</f>
        <v>3383.3147552542368</v>
      </c>
    </row>
    <row r="17" spans="2:8" x14ac:dyDescent="0.25">
      <c r="B17" s="16" t="s">
        <v>112</v>
      </c>
      <c r="C17" s="27">
        <f>C16/(1+$C$11)^5</f>
        <v>2245.1392134083785</v>
      </c>
    </row>
    <row r="18" spans="2:8" x14ac:dyDescent="0.25">
      <c r="B18" s="10" t="s">
        <v>113</v>
      </c>
      <c r="C18" s="24">
        <f>C15+C17</f>
        <v>2867.2326858644078</v>
      </c>
    </row>
    <row r="20" spans="2:8" ht="20.100000000000001" customHeight="1" x14ac:dyDescent="0.25">
      <c r="B20" s="89" t="s">
        <v>114</v>
      </c>
      <c r="C20" s="87"/>
      <c r="D20" s="87"/>
      <c r="E20" s="87"/>
      <c r="F20" s="87"/>
      <c r="G20" s="87"/>
      <c r="H20" s="87"/>
    </row>
    <row r="21" spans="2:8" x14ac:dyDescent="0.25">
      <c r="B21" s="16" t="s">
        <v>24</v>
      </c>
      <c r="C21" s="64">
        <f>'Scenario Control'!$F$20</f>
        <v>9</v>
      </c>
    </row>
    <row r="22" spans="2:8" x14ac:dyDescent="0.25">
      <c r="B22" s="16" t="s">
        <v>115</v>
      </c>
      <c r="C22" s="27">
        <f>Assumptions!H36*C21</f>
        <v>3130.0544620800006</v>
      </c>
    </row>
    <row r="23" spans="2:8" x14ac:dyDescent="0.25">
      <c r="B23" s="16" t="s">
        <v>112</v>
      </c>
      <c r="C23" s="27">
        <f>C22/(1+$C$11)^5</f>
        <v>2077.0778131139646</v>
      </c>
    </row>
    <row r="24" spans="2:8" x14ac:dyDescent="0.25">
      <c r="B24" s="10" t="s">
        <v>116</v>
      </c>
      <c r="C24" s="24">
        <f>C15+C23</f>
        <v>2699.1712855699939</v>
      </c>
    </row>
    <row r="26" spans="2:8" ht="20.100000000000001" customHeight="1" x14ac:dyDescent="0.25">
      <c r="B26" s="89" t="s">
        <v>117</v>
      </c>
      <c r="C26" s="87"/>
      <c r="D26" s="87"/>
      <c r="E26" s="87"/>
      <c r="F26" s="87"/>
      <c r="G26" s="87"/>
      <c r="H26" s="87"/>
    </row>
    <row r="27" spans="2:8" x14ac:dyDescent="0.25">
      <c r="B27" s="16" t="s">
        <v>118</v>
      </c>
      <c r="C27" s="53">
        <f>Assumptions!$C$13</f>
        <v>300</v>
      </c>
    </row>
    <row r="28" spans="2:8" x14ac:dyDescent="0.25">
      <c r="B28" s="16" t="s">
        <v>119</v>
      </c>
      <c r="C28" s="27">
        <f>C18-C27</f>
        <v>2567.2326858644078</v>
      </c>
    </row>
    <row r="29" spans="2:8" x14ac:dyDescent="0.25">
      <c r="B29" s="16" t="s">
        <v>120</v>
      </c>
      <c r="C29" s="27">
        <f>C24-C27</f>
        <v>2399.1712855699939</v>
      </c>
    </row>
    <row r="30" spans="2:8" x14ac:dyDescent="0.25">
      <c r="B30" s="16" t="s">
        <v>36</v>
      </c>
      <c r="C30" s="54">
        <f>Assumptions!$C$14</f>
        <v>100</v>
      </c>
    </row>
    <row r="31" spans="2:8" x14ac:dyDescent="0.25">
      <c r="B31" s="10" t="s">
        <v>121</v>
      </c>
      <c r="C31" s="65">
        <f>C28/C30</f>
        <v>25.672326858644077</v>
      </c>
    </row>
    <row r="32" spans="2:8" x14ac:dyDescent="0.25">
      <c r="B32" s="10" t="s">
        <v>122</v>
      </c>
      <c r="C32" s="65">
        <f>C29/C30</f>
        <v>23.991712855699937</v>
      </c>
    </row>
    <row r="34" spans="2:8" ht="20.100000000000001" customHeight="1" x14ac:dyDescent="0.25">
      <c r="B34" s="89" t="s">
        <v>123</v>
      </c>
      <c r="C34" s="87"/>
      <c r="D34" s="87"/>
      <c r="E34" s="87"/>
      <c r="F34" s="87"/>
      <c r="G34" s="87"/>
      <c r="H34" s="87"/>
    </row>
    <row r="36" spans="2:8" x14ac:dyDescent="0.25">
      <c r="C36" s="66" t="s">
        <v>124</v>
      </c>
      <c r="D36" s="67">
        <f>$C$12+(-0.01)</f>
        <v>1.5000000000000001E-2</v>
      </c>
      <c r="E36" s="67">
        <f>$C$12+(-0.005)</f>
        <v>0.02</v>
      </c>
      <c r="F36" s="67">
        <f>$C$12+(0)</f>
        <v>2.5000000000000001E-2</v>
      </c>
      <c r="G36" s="67">
        <f>$C$12+(0.005)</f>
        <v>3.0000000000000002E-2</v>
      </c>
      <c r="H36" s="67">
        <f>$C$12+(0.01)</f>
        <v>3.5000000000000003E-2</v>
      </c>
    </row>
    <row r="37" spans="2:8" x14ac:dyDescent="0.25">
      <c r="C37" s="15">
        <f>$C$11+(-0.01)</f>
        <v>7.5475000000000014E-2</v>
      </c>
      <c r="D37" s="58">
        <f t="shared" ref="D37:H41" si="0">IFERROR(((SUMPRODUCT($D$7:$H$7,(1+$C37)^-$D$6:$H$6)+$H$7*(1+D$36)/($C37-D$36)/(1+$C37)^5)-$C$27)/$C$30,"n/a")</f>
        <v>26.686556824942823</v>
      </c>
      <c r="E37" s="58">
        <f t="shared" si="0"/>
        <v>28.910327265647467</v>
      </c>
      <c r="F37" s="58">
        <f t="shared" si="0"/>
        <v>31.574666391979566</v>
      </c>
      <c r="G37" s="58">
        <f t="shared" si="0"/>
        <v>34.824896475174143</v>
      </c>
      <c r="H37" s="58">
        <f t="shared" si="0"/>
        <v>38.878148197206173</v>
      </c>
    </row>
    <row r="38" spans="2:8" x14ac:dyDescent="0.25">
      <c r="C38" s="15">
        <f>$C$11+(-0.005)</f>
        <v>8.0475000000000005E-2</v>
      </c>
      <c r="D38" s="58">
        <f t="shared" si="0"/>
        <v>24.324205640656761</v>
      </c>
      <c r="E38" s="58">
        <f t="shared" si="0"/>
        <v>26.173704824763607</v>
      </c>
      <c r="F38" s="58">
        <f t="shared" si="0"/>
        <v>28.356597282256097</v>
      </c>
      <c r="G38" s="58">
        <f t="shared" si="0"/>
        <v>30.971959765997717</v>
      </c>
      <c r="H38" s="58">
        <f t="shared" si="0"/>
        <v>34.162443191738589</v>
      </c>
    </row>
    <row r="39" spans="2:8" x14ac:dyDescent="0.25">
      <c r="C39" s="15">
        <f>$C$11+(0)</f>
        <v>8.5475000000000009E-2</v>
      </c>
      <c r="D39" s="58">
        <f t="shared" si="0"/>
        <v>22.298644805434471</v>
      </c>
      <c r="E39" s="58">
        <f t="shared" si="0"/>
        <v>23.856670175177513</v>
      </c>
      <c r="F39" s="68">
        <f t="shared" si="0"/>
        <v>25.672326858644077</v>
      </c>
      <c r="G39" s="58">
        <f t="shared" si="0"/>
        <v>27.815276319662079</v>
      </c>
      <c r="H39" s="58">
        <f t="shared" si="0"/>
        <v>30.382782385141301</v>
      </c>
    </row>
    <row r="40" spans="2:8" x14ac:dyDescent="0.25">
      <c r="C40" s="15">
        <f>$C$11+(0.005)</f>
        <v>9.0475000000000014E-2</v>
      </c>
      <c r="D40" s="58">
        <f t="shared" si="0"/>
        <v>20.542905234319004</v>
      </c>
      <c r="E40" s="58">
        <f t="shared" si="0"/>
        <v>21.869882121637119</v>
      </c>
      <c r="F40" s="58">
        <f t="shared" si="0"/>
        <v>23.399528254822826</v>
      </c>
      <c r="G40" s="58">
        <f t="shared" si="0"/>
        <v>25.182112979688679</v>
      </c>
      <c r="H40" s="58">
        <f t="shared" si="0"/>
        <v>27.286028885242384</v>
      </c>
    </row>
    <row r="41" spans="2:8" x14ac:dyDescent="0.25">
      <c r="C41" s="15">
        <f>$C$11+(0.01)</f>
        <v>9.5475000000000004E-2</v>
      </c>
      <c r="D41" s="58">
        <f t="shared" si="0"/>
        <v>19.006662234684399</v>
      </c>
      <c r="E41" s="58">
        <f t="shared" si="0"/>
        <v>20.147674802606581</v>
      </c>
      <c r="F41" s="58">
        <f t="shared" si="0"/>
        <v>21.450590537314447</v>
      </c>
      <c r="G41" s="58">
        <f t="shared" si="0"/>
        <v>22.952500656857424</v>
      </c>
      <c r="H41" s="58">
        <f t="shared" si="0"/>
        <v>24.702763007825453</v>
      </c>
    </row>
  </sheetData>
  <mergeCells count="6">
    <mergeCell ref="B2:N2"/>
    <mergeCell ref="B14:H14"/>
    <mergeCell ref="B26:H26"/>
    <mergeCell ref="B34:H34"/>
    <mergeCell ref="B20:H20"/>
    <mergeCell ref="B3:N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B2:N87"/>
  <sheetViews>
    <sheetView showGridLines="0" workbookViewId="0">
      <pane xSplit="2" ySplit="5" topLeftCell="C69" activePane="bottomRight" state="frozen"/>
      <selection pane="topRight"/>
      <selection pane="bottomLeft"/>
      <selection pane="bottomRight" activeCell="D80" sqref="D80"/>
    </sheetView>
  </sheetViews>
  <sheetFormatPr defaultRowHeight="15" x14ac:dyDescent="0.25"/>
  <cols>
    <col min="1" max="1" width="3" customWidth="1"/>
    <col min="2" max="2" width="51.5703125" bestFit="1" customWidth="1"/>
    <col min="3" max="8" width="13" customWidth="1"/>
  </cols>
  <sheetData>
    <row r="2" spans="2:14" ht="20.25" x14ac:dyDescent="0.3">
      <c r="B2" s="88" t="s">
        <v>125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2:14" x14ac:dyDescent="0.25">
      <c r="B3" s="86" t="s">
        <v>126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</row>
    <row r="5" spans="2:14" ht="20.100000000000001" customHeight="1" x14ac:dyDescent="0.25">
      <c r="B5" s="89" t="s">
        <v>127</v>
      </c>
      <c r="C5" s="87"/>
      <c r="D5" s="87"/>
      <c r="E5" s="87"/>
      <c r="F5" s="87"/>
      <c r="G5" s="87"/>
      <c r="H5" s="87"/>
    </row>
    <row r="6" spans="2:14" x14ac:dyDescent="0.25">
      <c r="B6" s="16" t="s">
        <v>128</v>
      </c>
      <c r="C6" s="69">
        <v>8.5</v>
      </c>
    </row>
    <row r="7" spans="2:14" x14ac:dyDescent="0.25">
      <c r="B7" s="16" t="s">
        <v>129</v>
      </c>
      <c r="C7" s="53">
        <f>Assumptions!$C$9</f>
        <v>210</v>
      </c>
    </row>
    <row r="8" spans="2:14" x14ac:dyDescent="0.25">
      <c r="B8" s="10" t="s">
        <v>130</v>
      </c>
      <c r="C8" s="23">
        <f>C6*C7</f>
        <v>1785</v>
      </c>
    </row>
    <row r="9" spans="2:14" x14ac:dyDescent="0.25">
      <c r="B9" s="16" t="s">
        <v>131</v>
      </c>
      <c r="C9" s="22">
        <v>0.02</v>
      </c>
    </row>
    <row r="10" spans="2:14" x14ac:dyDescent="0.25">
      <c r="B10" s="16" t="s">
        <v>132</v>
      </c>
      <c r="C10" s="27">
        <f>C8*C9</f>
        <v>35.700000000000003</v>
      </c>
    </row>
    <row r="11" spans="2:14" x14ac:dyDescent="0.25">
      <c r="B11" s="10" t="s">
        <v>133</v>
      </c>
      <c r="C11" s="24">
        <f>C8+C10</f>
        <v>1820.7</v>
      </c>
    </row>
    <row r="13" spans="2:14" ht="20.100000000000001" customHeight="1" x14ac:dyDescent="0.25">
      <c r="B13" s="89" t="s">
        <v>134</v>
      </c>
      <c r="C13" s="87"/>
      <c r="D13" s="87"/>
      <c r="E13" s="87"/>
      <c r="F13" s="87"/>
      <c r="G13" s="87"/>
      <c r="H13" s="87"/>
    </row>
    <row r="14" spans="2:14" x14ac:dyDescent="0.25">
      <c r="B14" s="16" t="s">
        <v>135</v>
      </c>
      <c r="C14" s="70">
        <v>4</v>
      </c>
    </row>
    <row r="15" spans="2:14" x14ac:dyDescent="0.25">
      <c r="B15" s="16" t="s">
        <v>136</v>
      </c>
      <c r="C15" s="27">
        <f>C14*C7</f>
        <v>840</v>
      </c>
    </row>
    <row r="16" spans="2:14" x14ac:dyDescent="0.25">
      <c r="B16" s="16" t="s">
        <v>137</v>
      </c>
      <c r="C16" s="70">
        <v>1.5</v>
      </c>
    </row>
    <row r="17" spans="2:8" x14ac:dyDescent="0.25">
      <c r="B17" s="16" t="s">
        <v>138</v>
      </c>
      <c r="C17" s="27">
        <f>C16*C7</f>
        <v>315</v>
      </c>
    </row>
    <row r="18" spans="2:8" x14ac:dyDescent="0.25">
      <c r="B18" s="10" t="s">
        <v>139</v>
      </c>
      <c r="C18" s="71">
        <f>C11-C15-C17</f>
        <v>665.7</v>
      </c>
    </row>
    <row r="19" spans="2:8" x14ac:dyDescent="0.25">
      <c r="B19" s="16" t="s">
        <v>140</v>
      </c>
      <c r="C19" s="27">
        <f>C15+C17+C18</f>
        <v>1820.7</v>
      </c>
    </row>
    <row r="20" spans="2:8" x14ac:dyDescent="0.25">
      <c r="B20" s="16" t="s">
        <v>141</v>
      </c>
      <c r="C20" s="27">
        <f>C19-C11</f>
        <v>0</v>
      </c>
    </row>
    <row r="22" spans="2:8" ht="20.100000000000001" customHeight="1" x14ac:dyDescent="0.25">
      <c r="B22" s="89" t="s">
        <v>142</v>
      </c>
      <c r="C22" s="87"/>
      <c r="D22" s="87"/>
      <c r="E22" s="87"/>
      <c r="F22" s="87"/>
      <c r="G22" s="87"/>
      <c r="H22" s="87"/>
    </row>
    <row r="23" spans="2:8" x14ac:dyDescent="0.25">
      <c r="B23" s="16" t="s">
        <v>143</v>
      </c>
      <c r="C23" s="22">
        <v>7.0000000000000007E-2</v>
      </c>
    </row>
    <row r="24" spans="2:8" x14ac:dyDescent="0.25">
      <c r="B24" s="16" t="s">
        <v>144</v>
      </c>
      <c r="C24" s="22">
        <v>0.105</v>
      </c>
    </row>
    <row r="25" spans="2:8" x14ac:dyDescent="0.25">
      <c r="B25" s="16" t="s">
        <v>145</v>
      </c>
      <c r="C25" s="22">
        <v>0.05</v>
      </c>
    </row>
    <row r="26" spans="2:8" x14ac:dyDescent="0.25">
      <c r="B26" s="16" t="s">
        <v>146</v>
      </c>
      <c r="C26" s="72">
        <v>5</v>
      </c>
    </row>
    <row r="27" spans="2:8" x14ac:dyDescent="0.25">
      <c r="B27" s="16" t="s">
        <v>24</v>
      </c>
      <c r="C27" s="73">
        <f>'Scenario Control'!$F$20</f>
        <v>9</v>
      </c>
    </row>
    <row r="29" spans="2:8" ht="20.100000000000001" customHeight="1" x14ac:dyDescent="0.25">
      <c r="B29" s="89" t="s">
        <v>147</v>
      </c>
      <c r="C29" s="87"/>
      <c r="D29" s="87"/>
      <c r="E29" s="87"/>
      <c r="F29" s="87"/>
      <c r="G29" s="87"/>
      <c r="H29" s="87"/>
    </row>
    <row r="30" spans="2:8" x14ac:dyDescent="0.25">
      <c r="B30" s="10" t="s">
        <v>52</v>
      </c>
      <c r="D30" s="59">
        <f>Assumptions!D32</f>
        <v>2026</v>
      </c>
      <c r="E30" s="59">
        <f>Assumptions!E32</f>
        <v>2027</v>
      </c>
      <c r="F30" s="59">
        <f>Assumptions!F32</f>
        <v>2028</v>
      </c>
      <c r="G30" s="59">
        <f>Assumptions!G32</f>
        <v>2029</v>
      </c>
      <c r="H30" s="59">
        <f>Assumptions!H32</f>
        <v>2030</v>
      </c>
    </row>
    <row r="31" spans="2:8" x14ac:dyDescent="0.25">
      <c r="B31" s="10" t="s">
        <v>56</v>
      </c>
      <c r="D31" s="61">
        <f>Assumptions!D36</f>
        <v>237.6</v>
      </c>
      <c r="E31" s="61">
        <f>Assumptions!E36</f>
        <v>265.78800000000007</v>
      </c>
      <c r="F31" s="61">
        <f>Assumptions!F36</f>
        <v>293.98464000000001</v>
      </c>
      <c r="G31" s="61">
        <f>Assumptions!G36</f>
        <v>321.54570000000007</v>
      </c>
      <c r="H31" s="61">
        <f>Assumptions!H36</f>
        <v>347.78382912000006</v>
      </c>
    </row>
    <row r="32" spans="2:8" x14ac:dyDescent="0.25">
      <c r="B32" s="16" t="s">
        <v>61</v>
      </c>
      <c r="D32" s="61">
        <f>Assumptions!D43</f>
        <v>54</v>
      </c>
      <c r="E32" s="61">
        <f>Assumptions!E43</f>
        <v>57.780000000000008</v>
      </c>
      <c r="F32" s="61">
        <f>Assumptions!F43</f>
        <v>61.246800000000007</v>
      </c>
      <c r="G32" s="61">
        <f>Assumptions!G43</f>
        <v>64.309140000000014</v>
      </c>
      <c r="H32" s="61">
        <f>Assumptions!H43</f>
        <v>66.881505600000011</v>
      </c>
    </row>
    <row r="33" spans="2:8" x14ac:dyDescent="0.25">
      <c r="B33" s="16" t="s">
        <v>62</v>
      </c>
      <c r="D33" s="61">
        <f>Assumptions!D44</f>
        <v>12</v>
      </c>
      <c r="E33" s="61">
        <f>Assumptions!E44</f>
        <v>11.340000000000019</v>
      </c>
      <c r="F33" s="61">
        <f>Assumptions!F44</f>
        <v>10.400400000000001</v>
      </c>
      <c r="G33" s="61">
        <f>Assumptions!G44</f>
        <v>9.1870200000000182</v>
      </c>
      <c r="H33" s="61">
        <f>Assumptions!H44</f>
        <v>7.7170968000000011</v>
      </c>
    </row>
    <row r="34" spans="2:8" x14ac:dyDescent="0.25">
      <c r="B34" s="16" t="s">
        <v>57</v>
      </c>
      <c r="D34" s="61">
        <f>Assumptions!D38</f>
        <v>43.2</v>
      </c>
      <c r="E34" s="61">
        <f>Assumptions!E38</f>
        <v>46.224000000000004</v>
      </c>
      <c r="F34" s="61">
        <f>Assumptions!F38</f>
        <v>48.997440000000005</v>
      </c>
      <c r="G34" s="61">
        <f>Assumptions!G38</f>
        <v>51.447312000000011</v>
      </c>
      <c r="H34" s="61">
        <f>Assumptions!H38</f>
        <v>53.50520448000001</v>
      </c>
    </row>
    <row r="35" spans="2:8" x14ac:dyDescent="0.25">
      <c r="B35" s="16" t="s">
        <v>59</v>
      </c>
      <c r="D35" s="74">
        <f>Assumptions!D40</f>
        <v>0.25</v>
      </c>
      <c r="E35" s="74">
        <f>Assumptions!E40</f>
        <v>0.25</v>
      </c>
      <c r="F35" s="74">
        <f>Assumptions!F40</f>
        <v>0.25</v>
      </c>
      <c r="G35" s="74">
        <f>Assumptions!G40</f>
        <v>0.25</v>
      </c>
      <c r="H35" s="74">
        <f>Assumptions!H40</f>
        <v>0.25</v>
      </c>
    </row>
    <row r="37" spans="2:8" ht="20.100000000000001" customHeight="1" x14ac:dyDescent="0.25">
      <c r="B37" s="89" t="s">
        <v>148</v>
      </c>
      <c r="C37" s="87"/>
      <c r="D37" s="87"/>
      <c r="E37" s="87"/>
      <c r="F37" s="87"/>
      <c r="G37" s="87"/>
      <c r="H37" s="87"/>
    </row>
    <row r="38" spans="2:8" x14ac:dyDescent="0.25">
      <c r="B38" s="16" t="s">
        <v>149</v>
      </c>
      <c r="D38" s="50">
        <f>$C$15</f>
        <v>840</v>
      </c>
      <c r="E38" s="50">
        <f>D49</f>
        <v>785.90625</v>
      </c>
      <c r="F38" s="50">
        <f>E49</f>
        <v>710.195578125</v>
      </c>
      <c r="G38" s="50">
        <f>F49</f>
        <v>611.19645597656245</v>
      </c>
      <c r="H38" s="50">
        <f>G49</f>
        <v>487.56557691533192</v>
      </c>
    </row>
    <row r="39" spans="2:8" x14ac:dyDescent="0.25">
      <c r="B39" s="16" t="s">
        <v>150</v>
      </c>
      <c r="D39" s="50">
        <f>MIN(D38,$C$25*$C$15)</f>
        <v>42</v>
      </c>
      <c r="E39" s="50">
        <f>MIN(E38,$C$25*$C$15)</f>
        <v>42</v>
      </c>
      <c r="F39" s="50">
        <f>MIN(F38,$C$25*$C$15)</f>
        <v>42</v>
      </c>
      <c r="G39" s="50">
        <f>MIN(G38,$C$25*$C$15)</f>
        <v>42</v>
      </c>
      <c r="H39" s="50">
        <f>MIN(H38,$C$25*$C$15)</f>
        <v>42</v>
      </c>
    </row>
    <row r="40" spans="2:8" x14ac:dyDescent="0.25">
      <c r="B40" s="16" t="s">
        <v>151</v>
      </c>
      <c r="D40" s="50">
        <f>D38*$C$23</f>
        <v>58.800000000000004</v>
      </c>
      <c r="E40" s="50">
        <f>E38*$C$23</f>
        <v>55.013437500000002</v>
      </c>
      <c r="F40" s="50">
        <f>F38*$C$23</f>
        <v>49.713690468750002</v>
      </c>
      <c r="G40" s="50">
        <f>G38*$C$23</f>
        <v>42.783751918359378</v>
      </c>
      <c r="H40" s="50">
        <f>H38*$C$23</f>
        <v>34.129590384073239</v>
      </c>
    </row>
    <row r="41" spans="2:8" x14ac:dyDescent="0.25">
      <c r="B41" s="16" t="s">
        <v>152</v>
      </c>
      <c r="D41" s="50">
        <f>$C$17</f>
        <v>315</v>
      </c>
      <c r="E41" s="50">
        <f>D50</f>
        <v>315</v>
      </c>
      <c r="F41" s="50">
        <f>E50</f>
        <v>315</v>
      </c>
      <c r="G41" s="50">
        <f>F50</f>
        <v>315</v>
      </c>
      <c r="H41" s="50">
        <f>G50</f>
        <v>315</v>
      </c>
    </row>
    <row r="42" spans="2:8" x14ac:dyDescent="0.25">
      <c r="B42" s="16" t="s">
        <v>153</v>
      </c>
      <c r="D42" s="50">
        <f>D41*$C$24</f>
        <v>33.074999999999996</v>
      </c>
      <c r="E42" s="50">
        <f>E41*$C$24</f>
        <v>33.074999999999996</v>
      </c>
      <c r="F42" s="50">
        <f>F41*$C$24</f>
        <v>33.074999999999996</v>
      </c>
      <c r="G42" s="50">
        <f>G41*$C$24</f>
        <v>33.074999999999996</v>
      </c>
      <c r="H42" s="50">
        <f>H41*$C$24</f>
        <v>33.074999999999996</v>
      </c>
    </row>
    <row r="43" spans="2:8" x14ac:dyDescent="0.25">
      <c r="B43" s="16" t="s">
        <v>154</v>
      </c>
      <c r="D43" s="50">
        <f>D40+D42</f>
        <v>91.875</v>
      </c>
      <c r="E43" s="50">
        <f>E40+E42</f>
        <v>88.088437499999998</v>
      </c>
      <c r="F43" s="50">
        <f>F40+F42</f>
        <v>82.788690468749991</v>
      </c>
      <c r="G43" s="50">
        <f>G40+G42</f>
        <v>75.858751918359374</v>
      </c>
      <c r="H43" s="50">
        <f>H40+H42</f>
        <v>67.204590384073242</v>
      </c>
    </row>
    <row r="44" spans="2:8" x14ac:dyDescent="0.25">
      <c r="B44" s="16" t="s">
        <v>155</v>
      </c>
      <c r="D44" s="50">
        <f>D31-D34-D43</f>
        <v>102.52499999999998</v>
      </c>
      <c r="E44" s="50">
        <f>E31-E34-E43</f>
        <v>131.47556250000008</v>
      </c>
      <c r="F44" s="50">
        <f>F31-F34-F43</f>
        <v>162.19850953125001</v>
      </c>
      <c r="G44" s="50">
        <f>G31-G34-G43</f>
        <v>194.2396360816407</v>
      </c>
      <c r="H44" s="50">
        <f>H31-H34-H43</f>
        <v>227.07403425592679</v>
      </c>
    </row>
    <row r="45" spans="2:8" x14ac:dyDescent="0.25">
      <c r="B45" s="16" t="s">
        <v>156</v>
      </c>
      <c r="D45" s="50">
        <f>MAX(D44,0)*D35</f>
        <v>25.631249999999994</v>
      </c>
      <c r="E45" s="50">
        <f>MAX(E44,0)*E35</f>
        <v>32.86889062500002</v>
      </c>
      <c r="F45" s="50">
        <f>MAX(F44,0)*F35</f>
        <v>40.549627382812503</v>
      </c>
      <c r="G45" s="50">
        <f>MAX(G44,0)*G35</f>
        <v>48.559909020410174</v>
      </c>
      <c r="H45" s="50">
        <f>MAX(H44,0)*H35</f>
        <v>56.768508563981698</v>
      </c>
    </row>
    <row r="46" spans="2:8" x14ac:dyDescent="0.25">
      <c r="B46" s="16" t="s">
        <v>157</v>
      </c>
      <c r="D46" s="50">
        <f>D31-D32-D33-D43-D45</f>
        <v>54.09375</v>
      </c>
      <c r="E46" s="50">
        <f>E31-E32-E33-E43-E45</f>
        <v>75.710671875000017</v>
      </c>
      <c r="F46" s="50">
        <f>F31-F32-F33-F43-F45</f>
        <v>98.999122148437522</v>
      </c>
      <c r="G46" s="50">
        <f>G31-G32-G33-G43-G45</f>
        <v>123.6308790612305</v>
      </c>
      <c r="H46" s="50">
        <f>H31-H32-H33-H43-H45</f>
        <v>149.21212777194512</v>
      </c>
    </row>
    <row r="47" spans="2:8" x14ac:dyDescent="0.25">
      <c r="B47" s="16" t="s">
        <v>158</v>
      </c>
      <c r="D47" s="50">
        <f>MAX(D46-D39,0)</f>
        <v>12.09375</v>
      </c>
      <c r="E47" s="50">
        <f>MAX(E46-E39,0)</f>
        <v>33.710671875000017</v>
      </c>
      <c r="F47" s="50">
        <f>MAX(F46-F39,0)</f>
        <v>56.999122148437522</v>
      </c>
      <c r="G47" s="50">
        <f>MAX(G46-G39,0)</f>
        <v>81.630879061230502</v>
      </c>
      <c r="H47" s="50">
        <f>MAX(H46-H39,0)</f>
        <v>107.21212777194512</v>
      </c>
    </row>
    <row r="48" spans="2:8" x14ac:dyDescent="0.25">
      <c r="B48" s="16" t="s">
        <v>159</v>
      </c>
      <c r="D48" s="50">
        <f>MIN(D47,D38-D39)</f>
        <v>12.09375</v>
      </c>
      <c r="E48" s="50">
        <f>MIN(E47,E38-E39)</f>
        <v>33.710671875000017</v>
      </c>
      <c r="F48" s="50">
        <f>MIN(F47,F38-F39)</f>
        <v>56.999122148437522</v>
      </c>
      <c r="G48" s="50">
        <f>MIN(G47,G38-G39)</f>
        <v>81.630879061230502</v>
      </c>
      <c r="H48" s="50">
        <f>MIN(H47,H38-H39)</f>
        <v>107.21212777194512</v>
      </c>
    </row>
    <row r="49" spans="2:8" x14ac:dyDescent="0.25">
      <c r="B49" s="10" t="s">
        <v>160</v>
      </c>
      <c r="D49" s="38">
        <f>D38-D39-D48</f>
        <v>785.90625</v>
      </c>
      <c r="E49" s="38">
        <f>E38-E39-E48</f>
        <v>710.195578125</v>
      </c>
      <c r="F49" s="38">
        <f>F38-F39-F48</f>
        <v>611.19645597656245</v>
      </c>
      <c r="G49" s="38">
        <f>G38-G39-G48</f>
        <v>487.56557691533192</v>
      </c>
      <c r="H49" s="38">
        <f>H38-H39-H48</f>
        <v>338.3534491433868</v>
      </c>
    </row>
    <row r="50" spans="2:8" x14ac:dyDescent="0.25">
      <c r="B50" s="10" t="s">
        <v>161</v>
      </c>
      <c r="D50" s="38">
        <f>D41</f>
        <v>315</v>
      </c>
      <c r="E50" s="38">
        <f>E41</f>
        <v>315</v>
      </c>
      <c r="F50" s="38">
        <f>F41</f>
        <v>315</v>
      </c>
      <c r="G50" s="38">
        <f>G41</f>
        <v>315</v>
      </c>
      <c r="H50" s="38">
        <f>H41</f>
        <v>315</v>
      </c>
    </row>
    <row r="51" spans="2:8" x14ac:dyDescent="0.25">
      <c r="B51" s="16" t="s">
        <v>162</v>
      </c>
      <c r="D51" s="50">
        <f>D47-D48</f>
        <v>0</v>
      </c>
      <c r="E51" s="50">
        <f>E47-E48</f>
        <v>0</v>
      </c>
      <c r="F51" s="50">
        <f>F47-F48</f>
        <v>0</v>
      </c>
      <c r="G51" s="50">
        <f>G47-G48</f>
        <v>0</v>
      </c>
      <c r="H51" s="50">
        <f>H47-H48</f>
        <v>0</v>
      </c>
    </row>
    <row r="52" spans="2:8" x14ac:dyDescent="0.25">
      <c r="B52" s="10" t="s">
        <v>163</v>
      </c>
      <c r="D52" s="35">
        <f>0+D51</f>
        <v>0</v>
      </c>
      <c r="E52" s="35">
        <f>D52+E51</f>
        <v>0</v>
      </c>
      <c r="F52" s="35">
        <f>E52+F51</f>
        <v>0</v>
      </c>
      <c r="G52" s="35">
        <f>F52+G51</f>
        <v>0</v>
      </c>
      <c r="H52" s="35">
        <f>G52+H51</f>
        <v>0</v>
      </c>
    </row>
    <row r="54" spans="2:8" ht="20.100000000000001" customHeight="1" x14ac:dyDescent="0.25">
      <c r="B54" s="89" t="s">
        <v>164</v>
      </c>
      <c r="C54" s="87"/>
      <c r="D54" s="87"/>
      <c r="E54" s="87"/>
      <c r="F54" s="87"/>
      <c r="G54" s="87"/>
      <c r="H54" s="87"/>
    </row>
    <row r="55" spans="2:8" x14ac:dyDescent="0.25">
      <c r="B55" s="16" t="s">
        <v>165</v>
      </c>
      <c r="C55" s="27">
        <f>INDEX($D$31:$H$31,1,$C$26)</f>
        <v>347.78382912000006</v>
      </c>
    </row>
    <row r="56" spans="2:8" x14ac:dyDescent="0.25">
      <c r="B56" s="10" t="s">
        <v>166</v>
      </c>
      <c r="C56" s="23">
        <f>C55*$C$27</f>
        <v>3130.0544620800006</v>
      </c>
    </row>
    <row r="57" spans="2:8" x14ac:dyDescent="0.25">
      <c r="B57" s="16" t="s">
        <v>167</v>
      </c>
      <c r="C57" s="27">
        <f>INDEX($D$49:$H$49,1,$C$26)</f>
        <v>338.3534491433868</v>
      </c>
    </row>
    <row r="58" spans="2:8" x14ac:dyDescent="0.25">
      <c r="B58" s="16" t="s">
        <v>168</v>
      </c>
      <c r="C58" s="27">
        <f>INDEX($D$50:$H$50,1,$C$26)</f>
        <v>315</v>
      </c>
    </row>
    <row r="59" spans="2:8" x14ac:dyDescent="0.25">
      <c r="B59" s="16" t="s">
        <v>169</v>
      </c>
      <c r="C59" s="27">
        <f>INDEX($D$52:$H$52,1,$C$26)</f>
        <v>0</v>
      </c>
    </row>
    <row r="60" spans="2:8" x14ac:dyDescent="0.25">
      <c r="B60" s="16" t="s">
        <v>170</v>
      </c>
      <c r="C60" s="27">
        <f>C57+C58-C59</f>
        <v>653.3534491433868</v>
      </c>
    </row>
    <row r="61" spans="2:8" x14ac:dyDescent="0.25">
      <c r="B61" s="10" t="s">
        <v>171</v>
      </c>
      <c r="C61" s="24">
        <f>C56-C60</f>
        <v>2476.7010129366136</v>
      </c>
    </row>
    <row r="62" spans="2:8" x14ac:dyDescent="0.25">
      <c r="B62" s="16" t="s">
        <v>172</v>
      </c>
      <c r="C62" s="27">
        <f>C18</f>
        <v>665.7</v>
      </c>
    </row>
    <row r="63" spans="2:8" x14ac:dyDescent="0.25">
      <c r="B63" s="10" t="s">
        <v>173</v>
      </c>
      <c r="C63" s="75">
        <f>C61/C62</f>
        <v>3.7204461663461221</v>
      </c>
    </row>
    <row r="64" spans="2:8" x14ac:dyDescent="0.25">
      <c r="B64" s="10" t="s">
        <v>174</v>
      </c>
      <c r="C64" s="32">
        <f>(C63)^(1/$C$26)-1</f>
        <v>0.30052589808977381</v>
      </c>
    </row>
    <row r="66" spans="2:8" ht="20.100000000000001" customHeight="1" x14ac:dyDescent="0.25">
      <c r="B66" s="89" t="s">
        <v>175</v>
      </c>
      <c r="C66" s="87"/>
      <c r="D66" s="87"/>
      <c r="E66" s="87"/>
      <c r="F66" s="87"/>
      <c r="G66" s="87"/>
      <c r="H66" s="87"/>
    </row>
    <row r="68" spans="2:8" x14ac:dyDescent="0.25">
      <c r="C68" s="66" t="s">
        <v>176</v>
      </c>
      <c r="D68" s="76">
        <f>$C$27+(-2)</f>
        <v>7</v>
      </c>
      <c r="E68" s="76">
        <f>$C$27+(-1)</f>
        <v>8</v>
      </c>
      <c r="F68" s="76">
        <f>$C$27+(0)</f>
        <v>9</v>
      </c>
      <c r="G68" s="76">
        <f>$C$27+(1)</f>
        <v>10</v>
      </c>
      <c r="H68" s="76">
        <f>$C$27+(2)</f>
        <v>11</v>
      </c>
    </row>
    <row r="69" spans="2:8" x14ac:dyDescent="0.25">
      <c r="C69" s="19">
        <f>$C$6+(-2)</f>
        <v>6.5</v>
      </c>
      <c r="D69" s="77">
        <f t="shared" ref="D69:H73" si="0">IFERROR((($C$55*D$68-$C$60)/($C$7*$C69*(1+$C$9)-$C$15-$C$17))^(1/$C$26)-1,"n/a")</f>
        <v>0.49651040124848422</v>
      </c>
      <c r="E69" s="77">
        <f t="shared" si="0"/>
        <v>0.55085861127425018</v>
      </c>
      <c r="F69" s="77">
        <f t="shared" si="0"/>
        <v>0.59850930517024681</v>
      </c>
      <c r="G69" s="77">
        <f t="shared" si="0"/>
        <v>0.64107451824683026</v>
      </c>
      <c r="H69" s="77">
        <f t="shared" si="0"/>
        <v>0.67963317829351055</v>
      </c>
    </row>
    <row r="70" spans="2:8" x14ac:dyDescent="0.25">
      <c r="C70" s="19">
        <f>$C$6+(-1)</f>
        <v>7.5</v>
      </c>
      <c r="D70" s="77">
        <f t="shared" si="0"/>
        <v>0.31585409511950524</v>
      </c>
      <c r="E70" s="77">
        <f t="shared" si="0"/>
        <v>0.36364147746255981</v>
      </c>
      <c r="F70" s="77">
        <f t="shared" si="0"/>
        <v>0.40553985694994821</v>
      </c>
      <c r="G70" s="77">
        <f t="shared" si="0"/>
        <v>0.44296666660641981</v>
      </c>
      <c r="H70" s="77">
        <f t="shared" si="0"/>
        <v>0.47687058781031966</v>
      </c>
    </row>
    <row r="71" spans="2:8" x14ac:dyDescent="0.25">
      <c r="C71" s="19">
        <f>$C$6+(0)</f>
        <v>8.5</v>
      </c>
      <c r="D71" s="77">
        <f t="shared" si="0"/>
        <v>0.21754094723714501</v>
      </c>
      <c r="E71" s="77">
        <f t="shared" si="0"/>
        <v>0.26175792766054218</v>
      </c>
      <c r="F71" s="78">
        <f t="shared" si="0"/>
        <v>0.30052589808977381</v>
      </c>
      <c r="G71" s="77">
        <f t="shared" si="0"/>
        <v>0.33515638900074851</v>
      </c>
      <c r="H71" s="77">
        <f t="shared" si="0"/>
        <v>0.36652720168488639</v>
      </c>
    </row>
    <row r="72" spans="2:8" x14ac:dyDescent="0.25">
      <c r="C72" s="19">
        <f>$C$6+(1)</f>
        <v>9.5</v>
      </c>
      <c r="D72" s="77">
        <f t="shared" si="0"/>
        <v>0.15146999016976626</v>
      </c>
      <c r="E72" s="77">
        <f t="shared" si="0"/>
        <v>0.19328749629060882</v>
      </c>
      <c r="F72" s="77">
        <f t="shared" si="0"/>
        <v>0.22995168785668896</v>
      </c>
      <c r="G72" s="77">
        <f t="shared" si="0"/>
        <v>0.262702923960346</v>
      </c>
      <c r="H72" s="77">
        <f t="shared" si="0"/>
        <v>0.29237137121461809</v>
      </c>
    </row>
    <row r="73" spans="2:8" x14ac:dyDescent="0.25">
      <c r="C73" s="19">
        <f>$C$6+(2)</f>
        <v>10.5</v>
      </c>
      <c r="D73" s="77">
        <f t="shared" si="0"/>
        <v>0.10237126387585826</v>
      </c>
      <c r="E73" s="77">
        <f t="shared" si="0"/>
        <v>0.14240566986830028</v>
      </c>
      <c r="F73" s="77">
        <f t="shared" si="0"/>
        <v>0.17750649884407532</v>
      </c>
      <c r="G73" s="77">
        <f t="shared" si="0"/>
        <v>0.2088612209343681</v>
      </c>
      <c r="H73" s="77">
        <f t="shared" si="0"/>
        <v>0.23726460441473485</v>
      </c>
    </row>
    <row r="75" spans="2:8" ht="20.100000000000001" customHeight="1" x14ac:dyDescent="0.25">
      <c r="B75" s="89" t="s">
        <v>177</v>
      </c>
      <c r="C75" s="87"/>
      <c r="D75" s="87"/>
      <c r="E75" s="87"/>
      <c r="F75" s="87"/>
      <c r="G75" s="87"/>
      <c r="H75" s="87"/>
    </row>
    <row r="76" spans="2:8" x14ac:dyDescent="0.25">
      <c r="B76" s="16" t="s">
        <v>178</v>
      </c>
      <c r="C76" s="22">
        <v>0.2</v>
      </c>
    </row>
    <row r="77" spans="2:8" x14ac:dyDescent="0.25">
      <c r="B77" s="16" t="s">
        <v>179</v>
      </c>
      <c r="C77" s="22">
        <v>0.25</v>
      </c>
    </row>
    <row r="78" spans="2:8" x14ac:dyDescent="0.25">
      <c r="B78" s="16" t="s">
        <v>180</v>
      </c>
      <c r="C78" s="27">
        <f>$C$61/(1+C76)^$C$26</f>
        <v>995.33058968967566</v>
      </c>
    </row>
    <row r="79" spans="2:8" x14ac:dyDescent="0.25">
      <c r="B79" s="16" t="s">
        <v>181</v>
      </c>
      <c r="C79" s="27">
        <f>$C$61/(1+C77)^$C$26</f>
        <v>811.56538791906951</v>
      </c>
    </row>
    <row r="80" spans="2:8" x14ac:dyDescent="0.25">
      <c r="B80" s="16" t="s">
        <v>182</v>
      </c>
      <c r="C80" s="27">
        <f>(C78+$C$15+$C$17)/(1+$C$9)</f>
        <v>2108.1672447937995</v>
      </c>
    </row>
    <row r="81" spans="2:3" x14ac:dyDescent="0.25">
      <c r="B81" s="16" t="s">
        <v>183</v>
      </c>
      <c r="C81" s="27">
        <f>(C79+$C$15+$C$17)/(1+$C$9)</f>
        <v>1928.0052822735975</v>
      </c>
    </row>
    <row r="82" spans="2:3" x14ac:dyDescent="0.25">
      <c r="B82" s="16" t="s">
        <v>184</v>
      </c>
      <c r="C82" s="79">
        <f>C80/$C$7</f>
        <v>10.038891641875235</v>
      </c>
    </row>
    <row r="83" spans="2:3" x14ac:dyDescent="0.25">
      <c r="B83" s="16" t="s">
        <v>185</v>
      </c>
      <c r="C83" s="79">
        <f>C81/$C$7</f>
        <v>9.1809775346361775</v>
      </c>
    </row>
    <row r="84" spans="2:3" x14ac:dyDescent="0.25">
      <c r="B84" s="16" t="s">
        <v>186</v>
      </c>
      <c r="C84" s="53">
        <f>C80-Assumptions!$C$13</f>
        <v>1808.1672447937995</v>
      </c>
    </row>
    <row r="85" spans="2:3" x14ac:dyDescent="0.25">
      <c r="B85" s="16" t="s">
        <v>187</v>
      </c>
      <c r="C85" s="53">
        <f>C81-Assumptions!$C$13</f>
        <v>1628.0052822735975</v>
      </c>
    </row>
    <row r="86" spans="2:3" x14ac:dyDescent="0.25">
      <c r="B86" s="10" t="s">
        <v>188</v>
      </c>
      <c r="C86" s="80">
        <f>C84/Assumptions!$C$14</f>
        <v>18.081672447937994</v>
      </c>
    </row>
    <row r="87" spans="2:3" x14ac:dyDescent="0.25">
      <c r="B87" s="10" t="s">
        <v>189</v>
      </c>
      <c r="C87" s="80">
        <f>C85/Assumptions!$C$14</f>
        <v>16.280052822735975</v>
      </c>
    </row>
  </sheetData>
  <mergeCells count="10">
    <mergeCell ref="B75:H75"/>
    <mergeCell ref="B54:H54"/>
    <mergeCell ref="B29:H29"/>
    <mergeCell ref="B3:N3"/>
    <mergeCell ref="B2:N2"/>
    <mergeCell ref="B37:H37"/>
    <mergeCell ref="B22:H22"/>
    <mergeCell ref="B66:H66"/>
    <mergeCell ref="B13:H13"/>
    <mergeCell ref="B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B2:N4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J10" sqref="J10"/>
    </sheetView>
  </sheetViews>
  <sheetFormatPr defaultRowHeight="15" x14ac:dyDescent="0.25"/>
  <cols>
    <col min="1" max="1" width="3" customWidth="1"/>
    <col min="2" max="2" width="52.28515625" bestFit="1" customWidth="1"/>
    <col min="3" max="3" width="15" customWidth="1"/>
  </cols>
  <sheetData>
    <row r="2" spans="2:14" ht="20.25" x14ac:dyDescent="0.3">
      <c r="B2" s="88" t="s">
        <v>190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2:14" x14ac:dyDescent="0.25">
      <c r="B3" s="86" t="s">
        <v>251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</row>
    <row r="5" spans="2:14" ht="20.100000000000001" customHeight="1" x14ac:dyDescent="0.25">
      <c r="B5" s="89" t="s">
        <v>191</v>
      </c>
      <c r="C5" s="87"/>
      <c r="D5" s="87"/>
    </row>
    <row r="6" spans="2:14" x14ac:dyDescent="0.25">
      <c r="B6" s="16" t="s">
        <v>192</v>
      </c>
      <c r="C6" s="21">
        <v>150</v>
      </c>
    </row>
    <row r="7" spans="2:14" x14ac:dyDescent="0.25">
      <c r="B7" s="16" t="s">
        <v>193</v>
      </c>
      <c r="C7" s="25">
        <v>100</v>
      </c>
    </row>
    <row r="8" spans="2:14" x14ac:dyDescent="0.25">
      <c r="B8" s="16" t="s">
        <v>194</v>
      </c>
      <c r="C8" s="26">
        <v>22</v>
      </c>
    </row>
    <row r="9" spans="2:14" x14ac:dyDescent="0.25">
      <c r="B9" s="10" t="s">
        <v>195</v>
      </c>
      <c r="C9" s="81">
        <f>C6/C7</f>
        <v>1.5</v>
      </c>
    </row>
    <row r="11" spans="2:14" ht="20.100000000000001" customHeight="1" x14ac:dyDescent="0.25">
      <c r="B11" s="89" t="s">
        <v>196</v>
      </c>
      <c r="C11" s="87"/>
      <c r="D11" s="87"/>
    </row>
    <row r="12" spans="2:14" x14ac:dyDescent="0.25">
      <c r="B12" s="16" t="s">
        <v>197</v>
      </c>
      <c r="C12" s="21">
        <v>40</v>
      </c>
    </row>
    <row r="13" spans="2:14" x14ac:dyDescent="0.25">
      <c r="B13" s="16" t="s">
        <v>91</v>
      </c>
      <c r="C13" s="25">
        <v>45</v>
      </c>
    </row>
    <row r="14" spans="2:14" x14ac:dyDescent="0.25">
      <c r="B14" s="16" t="s">
        <v>198</v>
      </c>
      <c r="C14" s="26">
        <v>12</v>
      </c>
    </row>
    <row r="15" spans="2:14" x14ac:dyDescent="0.25">
      <c r="B15" s="10" t="s">
        <v>199</v>
      </c>
      <c r="C15" s="81">
        <f>C12/C13</f>
        <v>0.88888888888888884</v>
      </c>
    </row>
    <row r="17" spans="2:4" ht="20.100000000000001" customHeight="1" x14ac:dyDescent="0.25">
      <c r="B17" s="89" t="s">
        <v>200</v>
      </c>
      <c r="C17" s="87"/>
      <c r="D17" s="87"/>
    </row>
    <row r="18" spans="2:4" x14ac:dyDescent="0.25">
      <c r="B18" s="16" t="s">
        <v>201</v>
      </c>
      <c r="C18" s="82">
        <v>0.25</v>
      </c>
    </row>
    <row r="19" spans="2:4" x14ac:dyDescent="0.25">
      <c r="B19" s="16" t="s">
        <v>202</v>
      </c>
      <c r="C19" s="83">
        <f>C14*(1+C18)</f>
        <v>15</v>
      </c>
    </row>
    <row r="20" spans="2:4" x14ac:dyDescent="0.25">
      <c r="B20" s="10" t="s">
        <v>203</v>
      </c>
      <c r="C20" s="23">
        <f>C19*C13</f>
        <v>675</v>
      </c>
    </row>
    <row r="21" spans="2:4" x14ac:dyDescent="0.25">
      <c r="B21" s="16" t="s">
        <v>204</v>
      </c>
      <c r="C21" s="22">
        <v>0.6</v>
      </c>
    </row>
    <row r="22" spans="2:4" x14ac:dyDescent="0.25">
      <c r="B22" s="16" t="s">
        <v>205</v>
      </c>
      <c r="C22" s="31">
        <f>1-C21</f>
        <v>0.4</v>
      </c>
    </row>
    <row r="23" spans="2:4" x14ac:dyDescent="0.25">
      <c r="B23" s="16" t="s">
        <v>206</v>
      </c>
      <c r="C23" s="27">
        <f>C20*C21</f>
        <v>405</v>
      </c>
    </row>
    <row r="24" spans="2:4" x14ac:dyDescent="0.25">
      <c r="B24" s="16" t="s">
        <v>207</v>
      </c>
      <c r="C24" s="27">
        <f>C20*C22</f>
        <v>270</v>
      </c>
    </row>
    <row r="25" spans="2:4" x14ac:dyDescent="0.25">
      <c r="B25" s="16" t="s">
        <v>208</v>
      </c>
      <c r="C25" s="27">
        <f>C23</f>
        <v>405</v>
      </c>
    </row>
    <row r="26" spans="2:4" x14ac:dyDescent="0.25">
      <c r="B26" s="16" t="s">
        <v>209</v>
      </c>
      <c r="C26" s="84">
        <f>C24/C8</f>
        <v>12.272727272727273</v>
      </c>
    </row>
    <row r="27" spans="2:4" x14ac:dyDescent="0.25">
      <c r="B27" s="16" t="s">
        <v>210</v>
      </c>
      <c r="C27" s="22">
        <v>6.5000000000000002E-2</v>
      </c>
    </row>
    <row r="29" spans="2:4" ht="20.100000000000001" customHeight="1" x14ac:dyDescent="0.25">
      <c r="B29" s="89" t="s">
        <v>211</v>
      </c>
      <c r="C29" s="87"/>
      <c r="D29" s="87"/>
    </row>
    <row r="30" spans="2:4" x14ac:dyDescent="0.25">
      <c r="B30" s="16" t="s">
        <v>212</v>
      </c>
      <c r="C30" s="21">
        <v>8</v>
      </c>
    </row>
    <row r="31" spans="2:4" x14ac:dyDescent="0.25">
      <c r="B31" s="16" t="s">
        <v>213</v>
      </c>
      <c r="C31" s="22">
        <v>0.25</v>
      </c>
    </row>
    <row r="32" spans="2:4" x14ac:dyDescent="0.25">
      <c r="B32" s="16" t="s">
        <v>214</v>
      </c>
      <c r="C32" s="27">
        <f>C30*(1-C31)</f>
        <v>6</v>
      </c>
    </row>
    <row r="33" spans="2:4" x14ac:dyDescent="0.25">
      <c r="B33" s="16" t="s">
        <v>215</v>
      </c>
      <c r="C33" s="27">
        <f>C25*C27</f>
        <v>26.324999999999999</v>
      </c>
    </row>
    <row r="34" spans="2:4" x14ac:dyDescent="0.25">
      <c r="B34" s="16" t="s">
        <v>216</v>
      </c>
      <c r="C34" s="27">
        <f>C33*(1-C31)</f>
        <v>19.743749999999999</v>
      </c>
    </row>
    <row r="35" spans="2:4" x14ac:dyDescent="0.25">
      <c r="B35" s="16" t="s">
        <v>217</v>
      </c>
      <c r="C35" s="21">
        <v>5</v>
      </c>
    </row>
    <row r="36" spans="2:4" x14ac:dyDescent="0.25">
      <c r="B36" s="16" t="s">
        <v>218</v>
      </c>
      <c r="C36" s="27">
        <f>C35*(1-C31)</f>
        <v>3.75</v>
      </c>
    </row>
    <row r="38" spans="2:4" ht="20.100000000000001" customHeight="1" x14ac:dyDescent="0.25">
      <c r="B38" s="89" t="s">
        <v>219</v>
      </c>
      <c r="C38" s="87"/>
      <c r="D38" s="87"/>
    </row>
    <row r="39" spans="2:4" x14ac:dyDescent="0.25">
      <c r="B39" s="10" t="s">
        <v>220</v>
      </c>
      <c r="C39" s="23">
        <f>C6+C12+C32-C34-C36</f>
        <v>172.50624999999999</v>
      </c>
    </row>
    <row r="40" spans="2:4" x14ac:dyDescent="0.25">
      <c r="B40" s="16" t="s">
        <v>221</v>
      </c>
      <c r="C40" s="84">
        <f>C7+C26</f>
        <v>112.27272727272728</v>
      </c>
    </row>
    <row r="41" spans="2:4" x14ac:dyDescent="0.25">
      <c r="B41" s="10" t="s">
        <v>222</v>
      </c>
      <c r="C41" s="65">
        <f>C39/C40</f>
        <v>1.5364929149797568</v>
      </c>
    </row>
    <row r="42" spans="2:4" x14ac:dyDescent="0.25">
      <c r="B42" s="16" t="s">
        <v>195</v>
      </c>
      <c r="C42" s="83">
        <f>C9</f>
        <v>1.5</v>
      </c>
    </row>
    <row r="43" spans="2:4" x14ac:dyDescent="0.25">
      <c r="B43" s="10" t="s">
        <v>223</v>
      </c>
      <c r="C43" s="81">
        <f>C41-C42</f>
        <v>3.6492914979756819E-2</v>
      </c>
    </row>
    <row r="44" spans="2:4" x14ac:dyDescent="0.25">
      <c r="B44" s="10" t="s">
        <v>224</v>
      </c>
      <c r="C44" s="32">
        <f>C41/C42-1</f>
        <v>2.4328609986504546E-2</v>
      </c>
    </row>
    <row r="45" spans="2:4" x14ac:dyDescent="0.25">
      <c r="B45" s="10" t="s">
        <v>225</v>
      </c>
      <c r="C45" s="85" t="str">
        <f>IF(C44&gt;=0,"Accretive","Dilutive")</f>
        <v>Accretive</v>
      </c>
    </row>
  </sheetData>
  <mergeCells count="7">
    <mergeCell ref="B2:N2"/>
    <mergeCell ref="B38:D38"/>
    <mergeCell ref="B11:D11"/>
    <mergeCell ref="B5:D5"/>
    <mergeCell ref="B17:D17"/>
    <mergeCell ref="B29:D29"/>
    <mergeCell ref="B3:N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</sheetPr>
  <dimension ref="B2:N11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G9" sqref="G9"/>
    </sheetView>
  </sheetViews>
  <sheetFormatPr defaultRowHeight="15" x14ac:dyDescent="0.25"/>
  <cols>
    <col min="1" max="1" width="3" customWidth="1"/>
    <col min="2" max="2" width="44" customWidth="1"/>
    <col min="3" max="5" width="13" customWidth="1"/>
  </cols>
  <sheetData>
    <row r="2" spans="2:14" ht="20.25" x14ac:dyDescent="0.3">
      <c r="B2" s="88" t="s">
        <v>226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2:14" x14ac:dyDescent="0.25">
      <c r="B3" s="86" t="s">
        <v>227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</row>
    <row r="5" spans="2:14" x14ac:dyDescent="0.25">
      <c r="B5" s="12" t="s">
        <v>92</v>
      </c>
      <c r="C5" s="12" t="s">
        <v>228</v>
      </c>
      <c r="D5" s="12" t="s">
        <v>229</v>
      </c>
      <c r="E5" s="12" t="s">
        <v>230</v>
      </c>
    </row>
    <row r="6" spans="2:14" x14ac:dyDescent="0.25">
      <c r="B6" s="47" t="s">
        <v>252</v>
      </c>
      <c r="C6" s="58">
        <f>MIN('DCF Valuation'!D37:H41)</f>
        <v>19.006662234684399</v>
      </c>
      <c r="D6" s="58">
        <f>MAX('DCF Valuation'!D37:H41)</f>
        <v>38.878148197206173</v>
      </c>
      <c r="E6" s="58">
        <f>D6-C6</f>
        <v>19.871485962521774</v>
      </c>
    </row>
    <row r="7" spans="2:14" x14ac:dyDescent="0.25">
      <c r="B7" s="47" t="s">
        <v>253</v>
      </c>
      <c r="C7" s="58">
        <f>'DCF Valuation'!C32*0.95</f>
        <v>22.792127212914938</v>
      </c>
      <c r="D7" s="58">
        <f>'DCF Valuation'!C32*1.05</f>
        <v>25.191298498484937</v>
      </c>
      <c r="E7" s="58">
        <f>D7-C7</f>
        <v>2.3991712855699987</v>
      </c>
    </row>
    <row r="8" spans="2:14" x14ac:dyDescent="0.25">
      <c r="B8" s="47" t="s">
        <v>254</v>
      </c>
      <c r="C8" s="58">
        <f>'Trading Comps'!F30</f>
        <v>17.055000000000003</v>
      </c>
      <c r="D8" s="58">
        <f>'Trading Comps'!F31</f>
        <v>27.48</v>
      </c>
      <c r="E8" s="58">
        <f>D8-C8</f>
        <v>10.424999999999997</v>
      </c>
    </row>
    <row r="9" spans="2:14" x14ac:dyDescent="0.25">
      <c r="B9" s="47" t="s">
        <v>255</v>
      </c>
      <c r="C9" s="58">
        <f>MIN('LBO Model'!C86,'LBO Model'!C87)</f>
        <v>16.280052822735975</v>
      </c>
      <c r="D9" s="58">
        <f>MAX('LBO Model'!C86,'LBO Model'!C87)</f>
        <v>18.081672447937994</v>
      </c>
      <c r="E9" s="58">
        <f>D9-C9</f>
        <v>1.8016196252020187</v>
      </c>
    </row>
    <row r="11" spans="2:14" x14ac:dyDescent="0.25">
      <c r="B11" s="10" t="s">
        <v>231</v>
      </c>
      <c r="C11" s="80">
        <f>Assumptions!$C$15</f>
        <v>18</v>
      </c>
    </row>
  </sheetData>
  <mergeCells count="2">
    <mergeCell ref="B3:N3"/>
    <mergeCell ref="B2:N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Scenario Control</vt:lpstr>
      <vt:lpstr>Assumptions</vt:lpstr>
      <vt:lpstr>Trading Comps</vt:lpstr>
      <vt:lpstr>DCF Valuation</vt:lpstr>
      <vt:lpstr>LBO Model</vt:lpstr>
      <vt:lpstr>MA Accretion-Dilution</vt:lpstr>
      <vt:lpstr>Valuation Summary</vt:lpstr>
    </vt:vector>
  </TitlesOfParts>
  <Company>creatify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Ali Sajid</dc:creator>
  <cp:lastModifiedBy>Muhammad Ali Sajid</cp:lastModifiedBy>
  <dcterms:created xsi:type="dcterms:W3CDTF">2026-08-15T10:34:35Z</dcterms:created>
  <dcterms:modified xsi:type="dcterms:W3CDTF">2026-08-15T10:45:36Z</dcterms:modified>
</cp:coreProperties>
</file>