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filterPrivacy="1"/>
  <xr:revisionPtr revIDLastSave="0" documentId="13_ncr:1_{A3015DEB-375A-4C46-BDF3-70ED52C6EA29}" xr6:coauthVersionLast="46" xr6:coauthVersionMax="46" xr10:uidLastSave="{00000000-0000-0000-0000-000000000000}"/>
  <bookViews>
    <workbookView xWindow="-108" yWindow="-108" windowWidth="23256" windowHeight="12576" xr2:uid="{28EE88A5-2F82-4D8D-8D5E-97B4888E273A}"/>
  </bookViews>
  <sheets>
    <sheet name="Index" sheetId="7" r:id="rId1"/>
    <sheet name="CAPEX-Input" sheetId="12" r:id="rId2"/>
    <sheet name="FIN_Inputs&amp;ProjectTimeline" sheetId="10" r:id="rId3"/>
    <sheet name="OPEX Input" sheetId="6" r:id="rId4"/>
    <sheet name="AEP_Calculation" sheetId="13" r:id="rId5"/>
    <sheet name="AEP Input" sheetId="5" r:id="rId6"/>
    <sheet name="Summary" sheetId="2" r:id="rId7"/>
    <sheet name="DCF_Calculations" sheetId="3" r:id="rId8"/>
    <sheet name="Results" sheetId="8"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31" i="3" l="1"/>
  <c r="AA31" i="3"/>
  <c r="AB31" i="3"/>
  <c r="AC31" i="3"/>
  <c r="AD31" i="3"/>
  <c r="AE31" i="3"/>
  <c r="AF31" i="3"/>
  <c r="AG31" i="3"/>
  <c r="AH31" i="3"/>
  <c r="AI31" i="3"/>
  <c r="AJ31" i="3"/>
  <c r="Y31" i="3"/>
  <c r="E31" i="3"/>
  <c r="F31" i="3"/>
  <c r="G31" i="3"/>
  <c r="H31" i="3"/>
  <c r="I31" i="3"/>
  <c r="J31" i="3"/>
  <c r="K31" i="3"/>
  <c r="L31" i="3"/>
  <c r="M31" i="3"/>
  <c r="N31" i="3"/>
  <c r="O31" i="3"/>
  <c r="P31" i="3"/>
  <c r="Q31" i="3"/>
  <c r="R31" i="3"/>
  <c r="S31" i="3"/>
  <c r="T31" i="3"/>
  <c r="U31" i="3"/>
  <c r="V31" i="3"/>
  <c r="W31" i="3"/>
  <c r="D31" i="3"/>
  <c r="D26" i="3"/>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I48" i="10"/>
  <c r="AJ48" i="10"/>
  <c r="D48" i="10"/>
  <c r="D46" i="10"/>
  <c r="L27" i="12"/>
  <c r="L22" i="12"/>
  <c r="J44" i="10"/>
  <c r="AE29" i="3" l="1"/>
  <c r="AF29" i="3"/>
  <c r="AG29" i="3"/>
  <c r="N29" i="3"/>
  <c r="Z29" i="3"/>
  <c r="E29" i="3"/>
  <c r="J48" i="2"/>
  <c r="E49" i="2"/>
  <c r="F49" i="2"/>
  <c r="F29" i="3" s="1"/>
  <c r="G49" i="2"/>
  <c r="G29" i="3" s="1"/>
  <c r="H49" i="2"/>
  <c r="H29" i="3" s="1"/>
  <c r="I49" i="2"/>
  <c r="I29" i="3" s="1"/>
  <c r="J49" i="2"/>
  <c r="J29" i="3" s="1"/>
  <c r="K49" i="2"/>
  <c r="K29" i="3" s="1"/>
  <c r="L49" i="2"/>
  <c r="L29" i="3" s="1"/>
  <c r="M49" i="2"/>
  <c r="M29" i="3" s="1"/>
  <c r="N49" i="2"/>
  <c r="O49" i="2"/>
  <c r="O29" i="3" s="1"/>
  <c r="P49" i="2"/>
  <c r="P29" i="3" s="1"/>
  <c r="Q49" i="2"/>
  <c r="Q29" i="3" s="1"/>
  <c r="R49" i="2"/>
  <c r="R29" i="3" s="1"/>
  <c r="S49" i="2"/>
  <c r="S29" i="3" s="1"/>
  <c r="T49" i="2"/>
  <c r="T29" i="3" s="1"/>
  <c r="U49" i="2"/>
  <c r="U29" i="3" s="1"/>
  <c r="V49" i="2"/>
  <c r="V29" i="3" s="1"/>
  <c r="W49" i="2"/>
  <c r="W29" i="3" s="1"/>
  <c r="X49" i="2"/>
  <c r="X29" i="3" s="1"/>
  <c r="Y49" i="2"/>
  <c r="Y29" i="3" s="1"/>
  <c r="Z49" i="2"/>
  <c r="AA49" i="2"/>
  <c r="AA29" i="3" s="1"/>
  <c r="AB49" i="2"/>
  <c r="AB29" i="3" s="1"/>
  <c r="AC49" i="2"/>
  <c r="AC29" i="3" s="1"/>
  <c r="AD49" i="2"/>
  <c r="AD29" i="3" s="1"/>
  <c r="AE49" i="2"/>
  <c r="AF49" i="2"/>
  <c r="AG49" i="2"/>
  <c r="AH49" i="2"/>
  <c r="AH29" i="3" s="1"/>
  <c r="AI49" i="2"/>
  <c r="AI29" i="3" s="1"/>
  <c r="AJ49" i="2"/>
  <c r="AJ29" i="3" s="1"/>
  <c r="D49" i="2"/>
  <c r="D29" i="3" s="1"/>
  <c r="M24" i="5" l="1"/>
  <c r="C9" i="6"/>
  <c r="E44" i="10" l="1"/>
  <c r="E48" i="2" s="1"/>
  <c r="F44" i="10"/>
  <c r="F48" i="2" s="1"/>
  <c r="G44" i="10"/>
  <c r="G48" i="2" s="1"/>
  <c r="H44" i="10"/>
  <c r="H48" i="2" s="1"/>
  <c r="I44" i="10"/>
  <c r="I48" i="2" s="1"/>
  <c r="K44" i="10"/>
  <c r="K48" i="2" s="1"/>
  <c r="L44" i="10"/>
  <c r="L48" i="2" s="1"/>
  <c r="M44" i="10"/>
  <c r="M48" i="2" s="1"/>
  <c r="N44" i="10"/>
  <c r="N48" i="2" s="1"/>
  <c r="O44" i="10"/>
  <c r="O48" i="2" s="1"/>
  <c r="P44" i="10"/>
  <c r="P48" i="2" s="1"/>
  <c r="Q44" i="10"/>
  <c r="Q48" i="2" s="1"/>
  <c r="R44" i="10"/>
  <c r="R48" i="2" s="1"/>
  <c r="S44" i="10"/>
  <c r="S48" i="2" s="1"/>
  <c r="T44" i="10"/>
  <c r="T48" i="2" s="1"/>
  <c r="U44" i="10"/>
  <c r="U48" i="2" s="1"/>
  <c r="V44" i="10"/>
  <c r="V48" i="2" s="1"/>
  <c r="W44" i="10"/>
  <c r="W48" i="2" s="1"/>
  <c r="X44" i="10"/>
  <c r="X48" i="2" s="1"/>
  <c r="Y44" i="10"/>
  <c r="Y48" i="2" s="1"/>
  <c r="Z44" i="10"/>
  <c r="Z48" i="2" s="1"/>
  <c r="AA44" i="10"/>
  <c r="AA48" i="2" s="1"/>
  <c r="AB44" i="10"/>
  <c r="AB48" i="2" s="1"/>
  <c r="AC44" i="10"/>
  <c r="AC48" i="2" s="1"/>
  <c r="AD44" i="10"/>
  <c r="AD48" i="2" s="1"/>
  <c r="AE44" i="10"/>
  <c r="AE48" i="2" s="1"/>
  <c r="AF44" i="10"/>
  <c r="AF48" i="2" s="1"/>
  <c r="AG44" i="10"/>
  <c r="AG48" i="2" s="1"/>
  <c r="AH44" i="10"/>
  <c r="AH48" i="2" s="1"/>
  <c r="AI44" i="10"/>
  <c r="AI48" i="2" s="1"/>
  <c r="AJ44" i="10"/>
  <c r="AJ48" i="2" s="1"/>
  <c r="D44" i="10"/>
  <c r="D48" i="2" s="1"/>
  <c r="C12" i="10"/>
  <c r="C13" i="10" s="1"/>
  <c r="L25" i="12"/>
  <c r="L24" i="12"/>
  <c r="L26" i="12"/>
  <c r="L23" i="12"/>
  <c r="C27" i="12" l="1"/>
  <c r="C23" i="12"/>
  <c r="C19" i="12"/>
  <c r="C31" i="12" s="1"/>
  <c r="C9" i="12"/>
  <c r="C29" i="12" s="1"/>
  <c r="I35" i="2" l="1"/>
  <c r="H35" i="2"/>
  <c r="D31" i="12"/>
  <c r="D18" i="12"/>
  <c r="L7" i="12" l="1"/>
  <c r="C10" i="6" l="1"/>
  <c r="C11" i="6" s="1"/>
  <c r="AI25" i="2" l="1"/>
  <c r="E13" i="13" l="1"/>
  <c r="AI37" i="2" l="1"/>
  <c r="AI83" i="3" s="1"/>
  <c r="E7" i="13"/>
  <c r="C7" i="13"/>
  <c r="C11" i="5" l="1"/>
  <c r="C10" i="5"/>
  <c r="C9" i="5"/>
  <c r="C8" i="5"/>
  <c r="C7" i="5"/>
  <c r="C6" i="5"/>
  <c r="D6" i="12" l="1"/>
  <c r="D7" i="12"/>
  <c r="D8" i="12"/>
  <c r="H30" i="2" l="1"/>
  <c r="C13" i="7"/>
  <c r="C8" i="7"/>
  <c r="D20" i="12"/>
  <c r="D21" i="12"/>
  <c r="D22" i="12"/>
  <c r="D5" i="12"/>
  <c r="D10" i="12"/>
  <c r="D11" i="12"/>
  <c r="D12" i="12"/>
  <c r="D13" i="12"/>
  <c r="D14" i="12"/>
  <c r="D15" i="12"/>
  <c r="D16" i="12"/>
  <c r="D17" i="12"/>
  <c r="D19" i="12"/>
  <c r="D23" i="12"/>
  <c r="D24" i="12"/>
  <c r="D25" i="12"/>
  <c r="D26" i="12"/>
  <c r="D27" i="12"/>
  <c r="F21" i="13" l="1"/>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20" i="13"/>
  <c r="AJ51" i="3" l="1"/>
  <c r="AJ54" i="3" s="1"/>
  <c r="D54" i="3"/>
  <c r="D44" i="3"/>
  <c r="AJ41" i="3"/>
  <c r="AJ44" i="3" s="1"/>
  <c r="G56" i="13" l="1"/>
  <c r="K10" i="13" l="1"/>
  <c r="E11" i="13"/>
  <c r="E12" i="13" s="1"/>
  <c r="C5" i="13"/>
  <c r="K18" i="13" l="1"/>
  <c r="C16" i="5" s="1"/>
  <c r="J24" i="5" s="1"/>
  <c r="C5" i="5"/>
  <c r="C48" i="13"/>
  <c r="D48" i="13" s="1"/>
  <c r="G48" i="13" s="1"/>
  <c r="C44" i="13"/>
  <c r="D44" i="13" s="1"/>
  <c r="G44" i="13" s="1"/>
  <c r="C40" i="13"/>
  <c r="D40" i="13" s="1"/>
  <c r="G40" i="13" s="1"/>
  <c r="C36" i="13"/>
  <c r="D36" i="13" s="1"/>
  <c r="G36" i="13" s="1"/>
  <c r="C32" i="13"/>
  <c r="D32" i="13" s="1"/>
  <c r="G32" i="13" s="1"/>
  <c r="C28" i="13"/>
  <c r="D28" i="13" s="1"/>
  <c r="G28" i="13" s="1"/>
  <c r="C24" i="13"/>
  <c r="D24" i="13" s="1"/>
  <c r="G24" i="13" s="1"/>
  <c r="C20" i="13"/>
  <c r="D20" i="13" s="1"/>
  <c r="G20" i="13" s="1"/>
  <c r="C43" i="13"/>
  <c r="D43" i="13" s="1"/>
  <c r="G43" i="13" s="1"/>
  <c r="C39" i="13"/>
  <c r="D39" i="13" s="1"/>
  <c r="G39" i="13" s="1"/>
  <c r="C31" i="13"/>
  <c r="D31" i="13" s="1"/>
  <c r="G31" i="13" s="1"/>
  <c r="C45" i="13"/>
  <c r="D45" i="13" s="1"/>
  <c r="G45" i="13" s="1"/>
  <c r="C50" i="13"/>
  <c r="D50" i="13" s="1"/>
  <c r="G50" i="13" s="1"/>
  <c r="C46" i="13"/>
  <c r="D46" i="13" s="1"/>
  <c r="G46" i="13" s="1"/>
  <c r="C42" i="13"/>
  <c r="D42" i="13" s="1"/>
  <c r="G42" i="13" s="1"/>
  <c r="C38" i="13"/>
  <c r="D38" i="13" s="1"/>
  <c r="G38" i="13" s="1"/>
  <c r="C34" i="13"/>
  <c r="D34" i="13" s="1"/>
  <c r="G34" i="13" s="1"/>
  <c r="C30" i="13"/>
  <c r="D30" i="13" s="1"/>
  <c r="G30" i="13" s="1"/>
  <c r="C26" i="13"/>
  <c r="D26" i="13" s="1"/>
  <c r="G26" i="13" s="1"/>
  <c r="C22" i="13"/>
  <c r="D22" i="13" s="1"/>
  <c r="G22" i="13" s="1"/>
  <c r="C49" i="13"/>
  <c r="D49" i="13" s="1"/>
  <c r="G49" i="13" s="1"/>
  <c r="C41" i="13"/>
  <c r="D41" i="13" s="1"/>
  <c r="G41" i="13" s="1"/>
  <c r="C33" i="13"/>
  <c r="D33" i="13" s="1"/>
  <c r="G33" i="13" s="1"/>
  <c r="C25" i="13"/>
  <c r="D25" i="13" s="1"/>
  <c r="G25" i="13" s="1"/>
  <c r="C27" i="13"/>
  <c r="D27" i="13" s="1"/>
  <c r="G27" i="13" s="1"/>
  <c r="C37" i="13"/>
  <c r="D37" i="13" s="1"/>
  <c r="G37" i="13" s="1"/>
  <c r="C21" i="13"/>
  <c r="D21" i="13" s="1"/>
  <c r="G21" i="13" s="1"/>
  <c r="C23" i="13"/>
  <c r="D23" i="13" s="1"/>
  <c r="G23" i="13" s="1"/>
  <c r="C29" i="13"/>
  <c r="D29" i="13" s="1"/>
  <c r="G29" i="13" s="1"/>
  <c r="C47" i="13"/>
  <c r="D47" i="13" s="1"/>
  <c r="G47" i="13" s="1"/>
  <c r="C35" i="13"/>
  <c r="D35" i="13" s="1"/>
  <c r="G35" i="13" s="1"/>
  <c r="D9" i="12" l="1"/>
  <c r="D4" i="12"/>
  <c r="D29" i="12" s="1"/>
  <c r="G54" i="13"/>
  <c r="G59" i="13" s="1"/>
  <c r="C4" i="5" s="1"/>
  <c r="E4" i="12" l="1"/>
  <c r="E9" i="12"/>
  <c r="E19" i="12"/>
  <c r="E23" i="12"/>
  <c r="E27" i="12"/>
  <c r="E5" i="12"/>
  <c r="C15" i="5"/>
  <c r="G55" i="13"/>
  <c r="G57" i="13" s="1"/>
  <c r="C13" i="5" s="1"/>
  <c r="C17" i="5" l="1"/>
  <c r="E81" i="3"/>
  <c r="F81" i="3"/>
  <c r="G81" i="3"/>
  <c r="I81" i="3"/>
  <c r="J81" i="3"/>
  <c r="K81" i="3"/>
  <c r="L81" i="3"/>
  <c r="M81" i="3"/>
  <c r="N81" i="3"/>
  <c r="O81" i="3"/>
  <c r="P81" i="3"/>
  <c r="Q81" i="3"/>
  <c r="R81" i="3"/>
  <c r="S81" i="3"/>
  <c r="T81" i="3"/>
  <c r="U81" i="3"/>
  <c r="V81" i="3"/>
  <c r="W81" i="3"/>
  <c r="X81" i="3"/>
  <c r="Y81" i="3"/>
  <c r="Z81" i="3"/>
  <c r="AA81" i="3"/>
  <c r="AB81" i="3"/>
  <c r="AC81" i="3"/>
  <c r="AD81" i="3"/>
  <c r="AE81" i="3"/>
  <c r="AF81" i="3"/>
  <c r="AG81" i="3"/>
  <c r="AH81" i="3"/>
  <c r="AI81" i="3"/>
  <c r="AJ81" i="3"/>
  <c r="E80" i="3"/>
  <c r="F80" i="3"/>
  <c r="G80" i="3"/>
  <c r="I80" i="3"/>
  <c r="J80" i="3"/>
  <c r="K80" i="3"/>
  <c r="L80" i="3"/>
  <c r="M80" i="3"/>
  <c r="N80" i="3"/>
  <c r="O80" i="3"/>
  <c r="P80" i="3"/>
  <c r="Q80" i="3"/>
  <c r="R80" i="3"/>
  <c r="S80" i="3"/>
  <c r="T80" i="3"/>
  <c r="U80" i="3"/>
  <c r="V80" i="3"/>
  <c r="W80" i="3"/>
  <c r="X80" i="3"/>
  <c r="Y80" i="3"/>
  <c r="Z80" i="3"/>
  <c r="AA80" i="3"/>
  <c r="AB80" i="3"/>
  <c r="AC80" i="3"/>
  <c r="AD80" i="3"/>
  <c r="AE80" i="3"/>
  <c r="AF80" i="3"/>
  <c r="AG80" i="3"/>
  <c r="AH80" i="3"/>
  <c r="AI80" i="3"/>
  <c r="AJ80" i="3"/>
  <c r="E79" i="3"/>
  <c r="F79" i="3"/>
  <c r="G79" i="3"/>
  <c r="I79" i="3"/>
  <c r="J79" i="3"/>
  <c r="K79" i="3"/>
  <c r="L79" i="3"/>
  <c r="M79" i="3"/>
  <c r="N79" i="3"/>
  <c r="O79" i="3"/>
  <c r="P79" i="3"/>
  <c r="Q79" i="3"/>
  <c r="R79" i="3"/>
  <c r="S79" i="3"/>
  <c r="T79" i="3"/>
  <c r="U79" i="3"/>
  <c r="V79" i="3"/>
  <c r="W79" i="3"/>
  <c r="X79" i="3"/>
  <c r="Y79" i="3"/>
  <c r="Z79" i="3"/>
  <c r="AA79" i="3"/>
  <c r="AB79" i="3"/>
  <c r="AC79" i="3"/>
  <c r="AD79" i="3"/>
  <c r="AE79" i="3"/>
  <c r="AF79" i="3"/>
  <c r="AG79" i="3"/>
  <c r="AH79" i="3"/>
  <c r="AI79" i="3"/>
  <c r="AJ79" i="3"/>
  <c r="E78" i="3"/>
  <c r="F78" i="3"/>
  <c r="G78" i="3"/>
  <c r="I78" i="3"/>
  <c r="J78" i="3"/>
  <c r="K78" i="3"/>
  <c r="L78" i="3"/>
  <c r="M78" i="3"/>
  <c r="N78" i="3"/>
  <c r="O78" i="3"/>
  <c r="P78" i="3"/>
  <c r="Q78" i="3"/>
  <c r="R78" i="3"/>
  <c r="S78" i="3"/>
  <c r="T78" i="3"/>
  <c r="U78" i="3"/>
  <c r="V78" i="3"/>
  <c r="W78" i="3"/>
  <c r="X78" i="3"/>
  <c r="Y78" i="3"/>
  <c r="Z78" i="3"/>
  <c r="AA78" i="3"/>
  <c r="AB78" i="3"/>
  <c r="AC78" i="3"/>
  <c r="AD78" i="3"/>
  <c r="AE78" i="3"/>
  <c r="AF78" i="3"/>
  <c r="AG78" i="3"/>
  <c r="AH78" i="3"/>
  <c r="AI78" i="3"/>
  <c r="AJ78" i="3"/>
  <c r="D78" i="3"/>
  <c r="D79" i="3"/>
  <c r="D80" i="3"/>
  <c r="D81" i="3"/>
  <c r="E77" i="3"/>
  <c r="F77" i="3"/>
  <c r="G77" i="3"/>
  <c r="I77" i="3"/>
  <c r="J77" i="3"/>
  <c r="K77" i="3"/>
  <c r="L77" i="3"/>
  <c r="M77" i="3"/>
  <c r="N77" i="3"/>
  <c r="O77" i="3"/>
  <c r="P77" i="3"/>
  <c r="Q77" i="3"/>
  <c r="R77" i="3"/>
  <c r="S77" i="3"/>
  <c r="T77" i="3"/>
  <c r="U77" i="3"/>
  <c r="V77" i="3"/>
  <c r="W77" i="3"/>
  <c r="X77" i="3"/>
  <c r="Y77" i="3"/>
  <c r="Z77" i="3"/>
  <c r="AA77" i="3"/>
  <c r="AB77" i="3"/>
  <c r="AC77" i="3"/>
  <c r="AD77" i="3"/>
  <c r="AE77" i="3"/>
  <c r="AF77" i="3"/>
  <c r="AG77" i="3"/>
  <c r="AH77" i="3"/>
  <c r="AI77" i="3"/>
  <c r="AJ77" i="3"/>
  <c r="D77" i="3"/>
  <c r="E58" i="3" l="1"/>
  <c r="F58" i="3"/>
  <c r="G58" i="3"/>
  <c r="H58" i="3"/>
  <c r="I58" i="3"/>
  <c r="D58" i="3"/>
  <c r="D75" i="3" l="1"/>
  <c r="D68" i="3"/>
  <c r="F68" i="3"/>
  <c r="F75" i="3"/>
  <c r="I68" i="3"/>
  <c r="I75" i="3"/>
  <c r="H68" i="3"/>
  <c r="H75" i="3"/>
  <c r="G68" i="3"/>
  <c r="G75" i="3"/>
  <c r="E68" i="3"/>
  <c r="E75" i="3"/>
  <c r="C20" i="7" l="1"/>
  <c r="C19" i="7"/>
  <c r="H34" i="2"/>
  <c r="H81" i="3" s="1"/>
  <c r="H33" i="2"/>
  <c r="H80" i="3" s="1"/>
  <c r="H32" i="2"/>
  <c r="H79" i="3" s="1"/>
  <c r="H31" i="2"/>
  <c r="H78" i="3" s="1"/>
  <c r="H77" i="3"/>
  <c r="E20" i="2"/>
  <c r="E5" i="3" s="1"/>
  <c r="F20" i="2"/>
  <c r="F5" i="3" s="1"/>
  <c r="G20" i="2"/>
  <c r="G5" i="3" s="1"/>
  <c r="H20" i="2"/>
  <c r="H5" i="3" s="1"/>
  <c r="I20" i="2"/>
  <c r="I5" i="3" s="1"/>
  <c r="J20" i="2"/>
  <c r="J5" i="3" s="1"/>
  <c r="K20" i="2"/>
  <c r="K5" i="3" s="1"/>
  <c r="L20" i="2"/>
  <c r="L5" i="3" s="1"/>
  <c r="M20" i="2"/>
  <c r="M5" i="3" s="1"/>
  <c r="N20" i="2"/>
  <c r="N5" i="3" s="1"/>
  <c r="O20" i="2"/>
  <c r="O5" i="3" s="1"/>
  <c r="P20" i="2"/>
  <c r="P5" i="3" s="1"/>
  <c r="Q20" i="2"/>
  <c r="Q5" i="3" s="1"/>
  <c r="R20" i="2"/>
  <c r="R5" i="3" s="1"/>
  <c r="S20" i="2"/>
  <c r="S5" i="3" s="1"/>
  <c r="T20" i="2"/>
  <c r="T5" i="3" s="1"/>
  <c r="U20" i="2"/>
  <c r="U5" i="3" s="1"/>
  <c r="V20" i="2"/>
  <c r="V5" i="3" s="1"/>
  <c r="W20" i="2"/>
  <c r="W5" i="3" s="1"/>
  <c r="X20" i="2"/>
  <c r="X5" i="3" s="1"/>
  <c r="Y20" i="2"/>
  <c r="Y5" i="3" s="1"/>
  <c r="Z20" i="2"/>
  <c r="Z5" i="3" s="1"/>
  <c r="AA20" i="2"/>
  <c r="AA5" i="3" s="1"/>
  <c r="AB20" i="2"/>
  <c r="AB5" i="3" s="1"/>
  <c r="AC20" i="2"/>
  <c r="AC5" i="3" s="1"/>
  <c r="AD20" i="2"/>
  <c r="AD5" i="3" s="1"/>
  <c r="AE20" i="2"/>
  <c r="AE5" i="3" s="1"/>
  <c r="AF20" i="2"/>
  <c r="AF5" i="3" s="1"/>
  <c r="AG20" i="2"/>
  <c r="AG5" i="3" s="1"/>
  <c r="AH20" i="2"/>
  <c r="AH5" i="3" s="1"/>
  <c r="AI20" i="2"/>
  <c r="AI5" i="3" s="1"/>
  <c r="AJ20" i="2"/>
  <c r="AJ5" i="3" s="1"/>
  <c r="D20" i="2"/>
  <c r="D5" i="3" s="1"/>
  <c r="E19" i="2"/>
  <c r="E4" i="3" s="1"/>
  <c r="F19" i="2"/>
  <c r="F4" i="3" s="1"/>
  <c r="G19" i="2"/>
  <c r="G4" i="3" s="1"/>
  <c r="H19" i="2"/>
  <c r="H4" i="3" s="1"/>
  <c r="I19" i="2"/>
  <c r="I4" i="3" s="1"/>
  <c r="J19" i="2"/>
  <c r="J4" i="3" s="1"/>
  <c r="K19" i="2"/>
  <c r="K4" i="3" s="1"/>
  <c r="L19" i="2"/>
  <c r="L4" i="3" s="1"/>
  <c r="M19" i="2"/>
  <c r="M4" i="3" s="1"/>
  <c r="N19" i="2"/>
  <c r="N4" i="3" s="1"/>
  <c r="O19" i="2"/>
  <c r="O4" i="3" s="1"/>
  <c r="P19" i="2"/>
  <c r="P4" i="3" s="1"/>
  <c r="Q19" i="2"/>
  <c r="Q4" i="3" s="1"/>
  <c r="R19" i="2"/>
  <c r="R4" i="3" s="1"/>
  <c r="S19" i="2"/>
  <c r="S4" i="3" s="1"/>
  <c r="T19" i="2"/>
  <c r="T4" i="3" s="1"/>
  <c r="U19" i="2"/>
  <c r="U4" i="3" s="1"/>
  <c r="V19" i="2"/>
  <c r="V4" i="3" s="1"/>
  <c r="W19" i="2"/>
  <c r="W4" i="3" s="1"/>
  <c r="X19" i="2"/>
  <c r="X4" i="3" s="1"/>
  <c r="Y19" i="2"/>
  <c r="Y4" i="3" s="1"/>
  <c r="Z19" i="2"/>
  <c r="Z4" i="3" s="1"/>
  <c r="AA19" i="2"/>
  <c r="AA4" i="3" s="1"/>
  <c r="AB19" i="2"/>
  <c r="AB4" i="3" s="1"/>
  <c r="AC19" i="2"/>
  <c r="AC4" i="3" s="1"/>
  <c r="AD19" i="2"/>
  <c r="AD4" i="3" s="1"/>
  <c r="AE19" i="2"/>
  <c r="AE4" i="3" s="1"/>
  <c r="AF19" i="2"/>
  <c r="AF4" i="3" s="1"/>
  <c r="AG19" i="2"/>
  <c r="AG4" i="3" s="1"/>
  <c r="AH19" i="2"/>
  <c r="AH4" i="3" s="1"/>
  <c r="AI19" i="2"/>
  <c r="AI4" i="3" s="1"/>
  <c r="AJ19" i="2"/>
  <c r="AJ4" i="3" s="1"/>
  <c r="D19" i="2"/>
  <c r="D4" i="3" s="1"/>
  <c r="E22" i="5"/>
  <c r="F22" i="5"/>
  <c r="G22" i="5"/>
  <c r="H22" i="5"/>
  <c r="I22" i="5"/>
  <c r="J22" i="5"/>
  <c r="K22" i="5"/>
  <c r="L22" i="5"/>
  <c r="M22" i="5"/>
  <c r="N22" i="5"/>
  <c r="O22" i="5"/>
  <c r="P22" i="5"/>
  <c r="Q22" i="5"/>
  <c r="R22" i="5"/>
  <c r="S22" i="5"/>
  <c r="T22" i="5"/>
  <c r="U22" i="5"/>
  <c r="V22" i="5"/>
  <c r="W22" i="5"/>
  <c r="X22" i="5"/>
  <c r="Y22" i="5"/>
  <c r="Z22" i="5"/>
  <c r="AA22" i="5"/>
  <c r="AB22" i="5"/>
  <c r="AC22" i="5"/>
  <c r="AD22" i="5"/>
  <c r="AE22" i="5"/>
  <c r="AF22" i="5"/>
  <c r="AG22" i="5"/>
  <c r="AH22" i="5"/>
  <c r="AI22" i="5"/>
  <c r="AJ22" i="5"/>
  <c r="D22" i="5"/>
  <c r="E21" i="5"/>
  <c r="F21" i="5"/>
  <c r="G21" i="5"/>
  <c r="H21" i="5"/>
  <c r="I21" i="5"/>
  <c r="J21" i="5"/>
  <c r="K21" i="5"/>
  <c r="L21" i="5"/>
  <c r="M21" i="5"/>
  <c r="N21" i="5"/>
  <c r="O21" i="5"/>
  <c r="P21" i="5"/>
  <c r="Q21" i="5"/>
  <c r="R21" i="5"/>
  <c r="S21" i="5"/>
  <c r="T21" i="5"/>
  <c r="U21" i="5"/>
  <c r="V21" i="5"/>
  <c r="W21" i="5"/>
  <c r="X21" i="5"/>
  <c r="Y21" i="5"/>
  <c r="Z21" i="5"/>
  <c r="AA21" i="5"/>
  <c r="AB21" i="5"/>
  <c r="AC21" i="5"/>
  <c r="AD21" i="5"/>
  <c r="AE21" i="5"/>
  <c r="AF21" i="5"/>
  <c r="AG21" i="5"/>
  <c r="AH21" i="5"/>
  <c r="AI21" i="5"/>
  <c r="AJ21" i="5"/>
  <c r="D21" i="5"/>
  <c r="L23" i="2" l="1"/>
  <c r="M23" i="2"/>
  <c r="N23" i="2"/>
  <c r="O23" i="2"/>
  <c r="P23" i="2"/>
  <c r="Q23" i="2"/>
  <c r="R23" i="2"/>
  <c r="S23" i="2"/>
  <c r="T23" i="2"/>
  <c r="U23" i="2"/>
  <c r="V23" i="2"/>
  <c r="W23" i="2"/>
  <c r="X23" i="2"/>
  <c r="Y23" i="2"/>
  <c r="Z23" i="2"/>
  <c r="AA23" i="2"/>
  <c r="AB23" i="2"/>
  <c r="AC23" i="2"/>
  <c r="AD23" i="2"/>
  <c r="AE23" i="2"/>
  <c r="AF23" i="2"/>
  <c r="AG23" i="2"/>
  <c r="AH23" i="2"/>
  <c r="AI23" i="2"/>
  <c r="AJ23" i="2"/>
  <c r="K23" i="2"/>
  <c r="E25" i="2"/>
  <c r="E37" i="2" s="1"/>
  <c r="E83" i="3" s="1"/>
  <c r="F25" i="2"/>
  <c r="F37" i="2" s="1"/>
  <c r="F83" i="3" s="1"/>
  <c r="G25" i="2"/>
  <c r="G37" i="2" s="1"/>
  <c r="G83" i="3" s="1"/>
  <c r="H25" i="2"/>
  <c r="H37" i="2" s="1"/>
  <c r="H83" i="3" s="1"/>
  <c r="I25" i="2"/>
  <c r="I37" i="2" s="1"/>
  <c r="I83" i="3" s="1"/>
  <c r="J25" i="2"/>
  <c r="J37" i="2" s="1"/>
  <c r="J83" i="3" s="1"/>
  <c r="K25" i="2"/>
  <c r="K37" i="2" s="1"/>
  <c r="K83" i="3" s="1"/>
  <c r="L25" i="2"/>
  <c r="L37" i="2" s="1"/>
  <c r="L83" i="3" s="1"/>
  <c r="M25" i="2"/>
  <c r="M37" i="2" s="1"/>
  <c r="M83" i="3" s="1"/>
  <c r="N25" i="2"/>
  <c r="N37" i="2" s="1"/>
  <c r="N83" i="3" s="1"/>
  <c r="O25" i="2"/>
  <c r="O37" i="2" s="1"/>
  <c r="O83" i="3" s="1"/>
  <c r="P25" i="2"/>
  <c r="P37" i="2" s="1"/>
  <c r="P83" i="3" s="1"/>
  <c r="Q25" i="2"/>
  <c r="Q37" i="2" s="1"/>
  <c r="Q83" i="3" s="1"/>
  <c r="R25" i="2"/>
  <c r="R37" i="2" s="1"/>
  <c r="R83" i="3" s="1"/>
  <c r="S25" i="2"/>
  <c r="S37" i="2" s="1"/>
  <c r="S83" i="3" s="1"/>
  <c r="T25" i="2"/>
  <c r="T37" i="2" s="1"/>
  <c r="T83" i="3" s="1"/>
  <c r="U25" i="2"/>
  <c r="U37" i="2" s="1"/>
  <c r="U83" i="3" s="1"/>
  <c r="V25" i="2"/>
  <c r="V37" i="2" s="1"/>
  <c r="V83" i="3" s="1"/>
  <c r="W25" i="2"/>
  <c r="W37" i="2" s="1"/>
  <c r="W83" i="3" s="1"/>
  <c r="X25" i="2"/>
  <c r="X37" i="2" s="1"/>
  <c r="X83" i="3" s="1"/>
  <c r="Y25" i="2"/>
  <c r="Y37" i="2" s="1"/>
  <c r="Y83" i="3" s="1"/>
  <c r="Z25" i="2"/>
  <c r="Z37" i="2" s="1"/>
  <c r="Z83" i="3" s="1"/>
  <c r="AA25" i="2"/>
  <c r="AA37" i="2" s="1"/>
  <c r="AA83" i="3" s="1"/>
  <c r="AB25" i="2"/>
  <c r="AB37" i="2" s="1"/>
  <c r="AB83" i="3" s="1"/>
  <c r="AC25" i="2"/>
  <c r="AC37" i="2" s="1"/>
  <c r="AC83" i="3" s="1"/>
  <c r="AD25" i="2"/>
  <c r="AD37" i="2" s="1"/>
  <c r="AD83" i="3" s="1"/>
  <c r="AE25" i="2"/>
  <c r="AE37" i="2" s="1"/>
  <c r="AE83" i="3" s="1"/>
  <c r="AF25" i="2"/>
  <c r="AF37" i="2" s="1"/>
  <c r="AF83" i="3" s="1"/>
  <c r="AG25" i="2"/>
  <c r="AG37" i="2" s="1"/>
  <c r="AG83" i="3" s="1"/>
  <c r="AH25" i="2"/>
  <c r="AH37" i="2" s="1"/>
  <c r="AH83" i="3" s="1"/>
  <c r="D25" i="2"/>
  <c r="E23" i="2"/>
  <c r="F23" i="2"/>
  <c r="G23" i="2"/>
  <c r="D23" i="2"/>
  <c r="D35" i="2" s="1"/>
  <c r="J22" i="2"/>
  <c r="K22" i="2"/>
  <c r="L22" i="2"/>
  <c r="M22" i="2"/>
  <c r="N22" i="2"/>
  <c r="O22" i="2"/>
  <c r="P22" i="2"/>
  <c r="Q22" i="2"/>
  <c r="R22" i="2"/>
  <c r="S22" i="2"/>
  <c r="T22" i="2"/>
  <c r="U22" i="2"/>
  <c r="V22" i="2"/>
  <c r="W22" i="2"/>
  <c r="X22" i="2"/>
  <c r="Y22" i="2"/>
  <c r="Z22" i="2"/>
  <c r="AA22" i="2"/>
  <c r="AB22" i="2"/>
  <c r="AC22" i="2"/>
  <c r="AD22" i="2"/>
  <c r="AE22" i="2"/>
  <c r="AF22" i="2"/>
  <c r="AG22" i="2"/>
  <c r="AH22" i="2"/>
  <c r="AI22" i="2"/>
  <c r="AJ22" i="2"/>
  <c r="I22" i="2"/>
  <c r="E22" i="2"/>
  <c r="F22" i="2"/>
  <c r="G22" i="2"/>
  <c r="D22" i="2"/>
  <c r="I21" i="2"/>
  <c r="I29" i="2" s="1"/>
  <c r="I76" i="3" s="1"/>
  <c r="J21" i="2"/>
  <c r="K21" i="2"/>
  <c r="K29" i="2" s="1"/>
  <c r="K76" i="3" s="1"/>
  <c r="L21" i="2"/>
  <c r="L29" i="2" s="1"/>
  <c r="L76" i="3" s="1"/>
  <c r="M21" i="2"/>
  <c r="M29" i="2" s="1"/>
  <c r="M76" i="3" s="1"/>
  <c r="N21" i="2"/>
  <c r="N29" i="2" s="1"/>
  <c r="N76" i="3" s="1"/>
  <c r="O21" i="2"/>
  <c r="O29" i="2" s="1"/>
  <c r="O76" i="3" s="1"/>
  <c r="P21" i="2"/>
  <c r="P29" i="2" s="1"/>
  <c r="P76" i="3" s="1"/>
  <c r="Q21" i="2"/>
  <c r="Q29" i="2" s="1"/>
  <c r="Q76" i="3" s="1"/>
  <c r="R21" i="2"/>
  <c r="R29" i="2" s="1"/>
  <c r="R76" i="3" s="1"/>
  <c r="S21" i="2"/>
  <c r="S29" i="2" s="1"/>
  <c r="S76" i="3" s="1"/>
  <c r="T21" i="2"/>
  <c r="T29" i="2" s="1"/>
  <c r="T76" i="3" s="1"/>
  <c r="U21" i="2"/>
  <c r="U29" i="2" s="1"/>
  <c r="U76" i="3" s="1"/>
  <c r="V21" i="2"/>
  <c r="V29" i="2" s="1"/>
  <c r="V76" i="3" s="1"/>
  <c r="W21" i="2"/>
  <c r="W29" i="2" s="1"/>
  <c r="W76" i="3" s="1"/>
  <c r="X21" i="2"/>
  <c r="X29" i="2" s="1"/>
  <c r="X76" i="3" s="1"/>
  <c r="Y21" i="2"/>
  <c r="Y29" i="2" s="1"/>
  <c r="Y76" i="3" s="1"/>
  <c r="Z21" i="2"/>
  <c r="Z29" i="2" s="1"/>
  <c r="Z76" i="3" s="1"/>
  <c r="AA21" i="2"/>
  <c r="AA29" i="2" s="1"/>
  <c r="AA76" i="3" s="1"/>
  <c r="AB21" i="2"/>
  <c r="AB29" i="2" s="1"/>
  <c r="AB76" i="3" s="1"/>
  <c r="AC21" i="2"/>
  <c r="AC29" i="2" s="1"/>
  <c r="AC76" i="3" s="1"/>
  <c r="AD21" i="2"/>
  <c r="AD29" i="2" s="1"/>
  <c r="AD76" i="3" s="1"/>
  <c r="AE21" i="2"/>
  <c r="AE29" i="2" s="1"/>
  <c r="AE76" i="3" s="1"/>
  <c r="AF21" i="2"/>
  <c r="AF29" i="2" s="1"/>
  <c r="AF76" i="3" s="1"/>
  <c r="AG21" i="2"/>
  <c r="AG29" i="2" s="1"/>
  <c r="AG76" i="3" s="1"/>
  <c r="AH21" i="2"/>
  <c r="AH29" i="2" s="1"/>
  <c r="AH76" i="3" s="1"/>
  <c r="AI21" i="2"/>
  <c r="AI29" i="2" s="1"/>
  <c r="AI76" i="3" s="1"/>
  <c r="AJ21" i="2"/>
  <c r="AJ29" i="2" s="1"/>
  <c r="AJ76" i="3" s="1"/>
  <c r="H21" i="2"/>
  <c r="H29" i="2" s="1"/>
  <c r="H76" i="3" s="1"/>
  <c r="J29" i="2" l="1"/>
  <c r="J76" i="3" s="1"/>
  <c r="D37" i="2"/>
  <c r="D83" i="3" s="1"/>
  <c r="D18" i="6"/>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I39" i="10"/>
  <c r="AJ39" i="10"/>
  <c r="E39" i="10"/>
  <c r="D39" i="10"/>
  <c r="E18" i="6"/>
  <c r="F18" i="6"/>
  <c r="G18" i="6"/>
  <c r="H18" i="6"/>
  <c r="I18" i="6"/>
  <c r="J18" i="6"/>
  <c r="AI18" i="6"/>
  <c r="AJ18" i="6"/>
  <c r="AJ17" i="6"/>
  <c r="AI17" i="6"/>
  <c r="AH17" i="6"/>
  <c r="AG17"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M51" i="2" l="1"/>
  <c r="M46" i="10"/>
  <c r="M50" i="2" s="1"/>
  <c r="M30" i="3" s="1"/>
  <c r="M25" i="5"/>
  <c r="Z46" i="10"/>
  <c r="Z50" i="2" s="1"/>
  <c r="Z30" i="3" s="1"/>
  <c r="Z51" i="2"/>
  <c r="Z25" i="5"/>
  <c r="Y51" i="2"/>
  <c r="Y46" i="10"/>
  <c r="Y50" i="2" s="1"/>
  <c r="Y30" i="3" s="1"/>
  <c r="Y25" i="5"/>
  <c r="X50" i="2"/>
  <c r="X30" i="3" s="1"/>
  <c r="X51" i="2"/>
  <c r="X31" i="3" s="1"/>
  <c r="X25" i="5"/>
  <c r="W51" i="2"/>
  <c r="W46" i="10"/>
  <c r="W50" i="2" s="1"/>
  <c r="W30" i="3" s="1"/>
  <c r="W25" i="5"/>
  <c r="AH46" i="10"/>
  <c r="AH50" i="2" s="1"/>
  <c r="AH30" i="3" s="1"/>
  <c r="AH51" i="2"/>
  <c r="AH25" i="5"/>
  <c r="J19" i="6"/>
  <c r="J51" i="2"/>
  <c r="J25" i="5"/>
  <c r="J46" i="10"/>
  <c r="J50" i="2" s="1"/>
  <c r="J30" i="3" s="1"/>
  <c r="J23" i="5"/>
  <c r="U46" i="10"/>
  <c r="U50" i="2" s="1"/>
  <c r="U30" i="3" s="1"/>
  <c r="U51" i="2"/>
  <c r="U25" i="5"/>
  <c r="AE51" i="2"/>
  <c r="AE46" i="10"/>
  <c r="AE50" i="2" s="1"/>
  <c r="AE30" i="3" s="1"/>
  <c r="AE25" i="5"/>
  <c r="N51" i="2"/>
  <c r="N46" i="10"/>
  <c r="N50" i="2" s="1"/>
  <c r="N30" i="3" s="1"/>
  <c r="N25" i="5"/>
  <c r="K51" i="2"/>
  <c r="K46" i="10"/>
  <c r="K50" i="2" s="1"/>
  <c r="K30" i="3" s="1"/>
  <c r="K19" i="6"/>
  <c r="K25" i="5"/>
  <c r="AG46" i="10"/>
  <c r="AG50" i="2" s="1"/>
  <c r="AG30" i="3" s="1"/>
  <c r="AG51" i="2"/>
  <c r="AG25" i="5"/>
  <c r="AF46" i="10"/>
  <c r="AF50" i="2" s="1"/>
  <c r="AF30" i="3" s="1"/>
  <c r="AF51" i="2"/>
  <c r="AF25" i="5"/>
  <c r="E24" i="2"/>
  <c r="E7" i="3" s="1"/>
  <c r="E46" i="10"/>
  <c r="E50" i="2" s="1"/>
  <c r="E30" i="3" s="1"/>
  <c r="E51" i="2"/>
  <c r="E25" i="5"/>
  <c r="AJ24" i="2"/>
  <c r="AJ7" i="3" s="1"/>
  <c r="AJ51" i="2"/>
  <c r="AJ46" i="10"/>
  <c r="AJ50" i="2" s="1"/>
  <c r="AJ30" i="3" s="1"/>
  <c r="AJ25" i="5"/>
  <c r="AI24" i="2"/>
  <c r="AI7" i="3" s="1"/>
  <c r="AI46" i="10"/>
  <c r="AI50" i="2" s="1"/>
  <c r="AI30" i="3" s="1"/>
  <c r="AI51" i="2"/>
  <c r="AI25" i="5"/>
  <c r="V46" i="10"/>
  <c r="V50" i="2" s="1"/>
  <c r="V30" i="3" s="1"/>
  <c r="V51" i="2"/>
  <c r="V25" i="5"/>
  <c r="I24" i="2"/>
  <c r="I7" i="3" s="1"/>
  <c r="I46" i="10"/>
  <c r="I50" i="2" s="1"/>
  <c r="I30" i="3" s="1"/>
  <c r="I51" i="2"/>
  <c r="I25" i="5"/>
  <c r="T46" i="10"/>
  <c r="T50" i="2" s="1"/>
  <c r="T30" i="3" s="1"/>
  <c r="T51" i="2"/>
  <c r="T25" i="5"/>
  <c r="R46" i="10"/>
  <c r="R50" i="2" s="1"/>
  <c r="R30" i="3" s="1"/>
  <c r="R51" i="2"/>
  <c r="R25" i="5"/>
  <c r="Q46" i="10"/>
  <c r="Q50" i="2" s="1"/>
  <c r="Q30" i="3" s="1"/>
  <c r="Q51" i="2"/>
  <c r="Q25" i="5"/>
  <c r="D24" i="2"/>
  <c r="D7" i="3" s="1"/>
  <c r="D51" i="2"/>
  <c r="D50" i="2"/>
  <c r="D30" i="3" s="1"/>
  <c r="D25" i="5"/>
  <c r="L51" i="2"/>
  <c r="L46" i="10"/>
  <c r="L50" i="2" s="1"/>
  <c r="L30" i="3" s="1"/>
  <c r="L25" i="5"/>
  <c r="H24" i="2"/>
  <c r="H7" i="3" s="1"/>
  <c r="H51" i="2"/>
  <c r="H46" i="10"/>
  <c r="H50" i="2" s="1"/>
  <c r="H30" i="3" s="1"/>
  <c r="H25" i="5"/>
  <c r="S46" i="10"/>
  <c r="S50" i="2" s="1"/>
  <c r="S30" i="3" s="1"/>
  <c r="S51" i="2"/>
  <c r="S25" i="5"/>
  <c r="G24" i="2"/>
  <c r="G7" i="3" s="1"/>
  <c r="G46" i="10"/>
  <c r="G50" i="2" s="1"/>
  <c r="G30" i="3" s="1"/>
  <c r="G51" i="2"/>
  <c r="G25" i="5"/>
  <c r="AD46" i="10"/>
  <c r="AD50" i="2" s="1"/>
  <c r="AD30" i="3" s="1"/>
  <c r="AD51" i="2"/>
  <c r="AD25" i="5"/>
  <c r="F24" i="2"/>
  <c r="F7" i="3" s="1"/>
  <c r="F51" i="2"/>
  <c r="F46" i="10"/>
  <c r="F50" i="2" s="1"/>
  <c r="F30" i="3" s="1"/>
  <c r="F25" i="5"/>
  <c r="AC46" i="10"/>
  <c r="AC50" i="2" s="1"/>
  <c r="AC30" i="3" s="1"/>
  <c r="AC51" i="2"/>
  <c r="AC25" i="5"/>
  <c r="AB51" i="2"/>
  <c r="AB46" i="10"/>
  <c r="AB50" i="2" s="1"/>
  <c r="AB30" i="3" s="1"/>
  <c r="AB25" i="5"/>
  <c r="P51" i="2"/>
  <c r="P46" i="10"/>
  <c r="P50" i="2" s="1"/>
  <c r="P30" i="3" s="1"/>
  <c r="P25" i="5"/>
  <c r="AA51" i="2"/>
  <c r="AA46" i="10"/>
  <c r="AA50" i="2" s="1"/>
  <c r="AA30" i="3" s="1"/>
  <c r="AA25" i="5"/>
  <c r="O51" i="2"/>
  <c r="O46" i="10"/>
  <c r="O50" i="2" s="1"/>
  <c r="O30" i="3" s="1"/>
  <c r="O25" i="5"/>
  <c r="C15" i="2"/>
  <c r="C14" i="2"/>
  <c r="C13" i="2"/>
  <c r="AG35" i="2" l="1"/>
  <c r="AF35" i="2"/>
  <c r="Z35" i="2"/>
  <c r="U35" i="2"/>
  <c r="D82" i="3"/>
  <c r="N35" i="2"/>
  <c r="T35" i="2"/>
  <c r="AI35" i="2"/>
  <c r="E35" i="2"/>
  <c r="E82" i="3" s="1"/>
  <c r="AE35" i="2"/>
  <c r="AB35" i="2"/>
  <c r="S35" i="2"/>
  <c r="P35" i="2"/>
  <c r="Y35" i="2"/>
  <c r="AH35" i="2"/>
  <c r="V35" i="2"/>
  <c r="M35" i="2"/>
  <c r="W35" i="2"/>
  <c r="K35" i="2"/>
  <c r="G35" i="2"/>
  <c r="G82" i="3" s="1"/>
  <c r="AD35" i="2"/>
  <c r="X35" i="2"/>
  <c r="R35" i="2"/>
  <c r="AA35" i="2"/>
  <c r="L35" i="2"/>
  <c r="F35" i="2"/>
  <c r="F82" i="3" s="1"/>
  <c r="AJ35" i="2"/>
  <c r="O35" i="2"/>
  <c r="AC35" i="2"/>
  <c r="Q35" i="2"/>
  <c r="Q82" i="3" l="1"/>
  <c r="Q40" i="2"/>
  <c r="K82" i="3"/>
  <c r="K40" i="2"/>
  <c r="T82" i="3"/>
  <c r="T40" i="2"/>
  <c r="N82" i="3"/>
  <c r="N40" i="2"/>
  <c r="AE82" i="3"/>
  <c r="AE40" i="2"/>
  <c r="AI82" i="3"/>
  <c r="AI40" i="2"/>
  <c r="L82" i="3"/>
  <c r="L40" i="2"/>
  <c r="AH82" i="3"/>
  <c r="AH40" i="2"/>
  <c r="U82" i="3"/>
  <c r="U40" i="2"/>
  <c r="AJ82" i="3"/>
  <c r="AJ40" i="2"/>
  <c r="AA82" i="3"/>
  <c r="AA40" i="2"/>
  <c r="Y82" i="3"/>
  <c r="Y40" i="2"/>
  <c r="Z82" i="3"/>
  <c r="Z40" i="2"/>
  <c r="AC82" i="3"/>
  <c r="AC40" i="2"/>
  <c r="O82" i="3"/>
  <c r="O40" i="2"/>
  <c r="V82" i="3"/>
  <c r="V40" i="2"/>
  <c r="P82" i="3"/>
  <c r="P40" i="2"/>
  <c r="X82" i="3"/>
  <c r="X40" i="2"/>
  <c r="S82" i="3"/>
  <c r="S40" i="2"/>
  <c r="AG82" i="3"/>
  <c r="AG40" i="2"/>
  <c r="W82" i="3"/>
  <c r="W40" i="2"/>
  <c r="M82" i="3"/>
  <c r="M40" i="2"/>
  <c r="R82" i="3"/>
  <c r="R40" i="2"/>
  <c r="AF82" i="3"/>
  <c r="AF40" i="2"/>
  <c r="AD82" i="3"/>
  <c r="AD40" i="2"/>
  <c r="AB82" i="3"/>
  <c r="AB40" i="2"/>
  <c r="F19" i="6"/>
  <c r="F36" i="2" s="1"/>
  <c r="F36" i="3" s="1"/>
  <c r="I19" i="6"/>
  <c r="I36" i="2" s="1"/>
  <c r="I36" i="3" s="1"/>
  <c r="D19" i="6"/>
  <c r="AJ19" i="6"/>
  <c r="AJ36" i="2" s="1"/>
  <c r="AJ36" i="3" s="1"/>
  <c r="H19" i="6"/>
  <c r="H36" i="2" s="1"/>
  <c r="H36" i="3" s="1"/>
  <c r="E19" i="6"/>
  <c r="E36" i="2" s="1"/>
  <c r="E36" i="3" s="1"/>
  <c r="G19" i="6"/>
  <c r="G36" i="2" s="1"/>
  <c r="G36" i="3" s="1"/>
  <c r="AI19" i="6"/>
  <c r="AI36" i="2" s="1"/>
  <c r="AI36" i="3" s="1"/>
  <c r="AI23" i="5"/>
  <c r="AJ23" i="5"/>
  <c r="H23" i="5"/>
  <c r="D23" i="5"/>
  <c r="G23" i="5"/>
  <c r="I23" i="5"/>
  <c r="E23" i="5"/>
  <c r="F23" i="5"/>
  <c r="E49" i="3"/>
  <c r="F49" i="3"/>
  <c r="G49" i="3"/>
  <c r="H49" i="3"/>
  <c r="I49" i="3"/>
  <c r="J49" i="3"/>
  <c r="K49" i="3"/>
  <c r="L49" i="3"/>
  <c r="M49" i="3"/>
  <c r="N49" i="3"/>
  <c r="O49" i="3"/>
  <c r="P49" i="3"/>
  <c r="Q49" i="3"/>
  <c r="R49" i="3"/>
  <c r="S49" i="3"/>
  <c r="T49" i="3"/>
  <c r="U49" i="3"/>
  <c r="V49" i="3"/>
  <c r="W49" i="3"/>
  <c r="X49" i="3"/>
  <c r="Y49" i="3"/>
  <c r="Z49" i="3"/>
  <c r="AA49" i="3"/>
  <c r="AB49" i="3"/>
  <c r="AC49" i="3"/>
  <c r="AD49" i="3"/>
  <c r="AE49" i="3"/>
  <c r="AF49" i="3"/>
  <c r="AG49" i="3"/>
  <c r="AH49" i="3"/>
  <c r="AI49" i="3"/>
  <c r="AJ49" i="3"/>
  <c r="D49" i="3"/>
  <c r="C4" i="2"/>
  <c r="O11" i="3" s="1"/>
  <c r="C3" i="2"/>
  <c r="M10" i="3" s="1"/>
  <c r="AJ25" i="2"/>
  <c r="AJ37" i="2" s="1"/>
  <c r="AJ83" i="3" s="1"/>
  <c r="I82" i="3"/>
  <c r="J35" i="2"/>
  <c r="J82" i="3" s="1"/>
  <c r="H82" i="3"/>
  <c r="E21" i="2"/>
  <c r="E29" i="2" s="1"/>
  <c r="E76" i="3" s="1"/>
  <c r="F21" i="2"/>
  <c r="F29" i="2" s="1"/>
  <c r="F76" i="3" s="1"/>
  <c r="G21" i="2"/>
  <c r="G29" i="2" s="1"/>
  <c r="G76" i="3" s="1"/>
  <c r="D21" i="2"/>
  <c r="D29" i="2" s="1"/>
  <c r="D40" i="2" l="1"/>
  <c r="D42" i="3" s="1"/>
  <c r="D45" i="3" s="1"/>
  <c r="D76" i="3"/>
  <c r="D36" i="2"/>
  <c r="D41" i="2" s="1"/>
  <c r="U42" i="3"/>
  <c r="U52" i="3"/>
  <c r="AJ52" i="3"/>
  <c r="AJ42" i="3"/>
  <c r="AG42" i="3"/>
  <c r="AG52" i="3"/>
  <c r="AC52" i="3"/>
  <c r="AC42" i="3"/>
  <c r="AH42" i="3"/>
  <c r="AH52" i="3"/>
  <c r="N52" i="3"/>
  <c r="N42" i="3"/>
  <c r="W42" i="3"/>
  <c r="W52" i="3"/>
  <c r="S42" i="3"/>
  <c r="S52" i="3"/>
  <c r="Z52" i="3"/>
  <c r="Z42" i="3"/>
  <c r="L52" i="3"/>
  <c r="L42" i="3"/>
  <c r="T42" i="3"/>
  <c r="T52" i="3"/>
  <c r="V42" i="3"/>
  <c r="V52" i="3"/>
  <c r="AF52" i="3"/>
  <c r="AF42" i="3"/>
  <c r="X52" i="3"/>
  <c r="X42" i="3"/>
  <c r="Y52" i="3"/>
  <c r="Y42" i="3"/>
  <c r="AI52" i="3"/>
  <c r="AI42" i="3"/>
  <c r="K52" i="3"/>
  <c r="K42" i="3"/>
  <c r="M52" i="3"/>
  <c r="M42" i="3"/>
  <c r="O52" i="3"/>
  <c r="O42" i="3"/>
  <c r="AB42" i="3"/>
  <c r="AB52" i="3"/>
  <c r="R52" i="3"/>
  <c r="R42" i="3"/>
  <c r="P52" i="3"/>
  <c r="P42" i="3"/>
  <c r="AA42" i="3"/>
  <c r="AA52" i="3"/>
  <c r="AE52" i="3"/>
  <c r="AE42" i="3"/>
  <c r="Q52" i="3"/>
  <c r="Q42" i="3"/>
  <c r="AD42" i="3"/>
  <c r="AD52" i="3"/>
  <c r="E41" i="2"/>
  <c r="I41" i="2"/>
  <c r="G41" i="2"/>
  <c r="H41" i="2"/>
  <c r="F41" i="2"/>
  <c r="AI41" i="2"/>
  <c r="AJ41" i="2"/>
  <c r="G40" i="2"/>
  <c r="I40" i="2"/>
  <c r="F40" i="2"/>
  <c r="E40" i="2"/>
  <c r="H40" i="2"/>
  <c r="J40" i="2"/>
  <c r="K24" i="2"/>
  <c r="K36" i="2" s="1"/>
  <c r="K18" i="6"/>
  <c r="L18" i="6"/>
  <c r="J24" i="2"/>
  <c r="K10" i="3"/>
  <c r="V11" i="3"/>
  <c r="N11" i="3"/>
  <c r="L11" i="3"/>
  <c r="K11" i="3"/>
  <c r="AH10" i="3"/>
  <c r="J11" i="3"/>
  <c r="AG10" i="3"/>
  <c r="M11" i="3"/>
  <c r="X10" i="3"/>
  <c r="AH11" i="3"/>
  <c r="W10" i="3"/>
  <c r="Z11" i="3"/>
  <c r="J10" i="3"/>
  <c r="I10" i="3"/>
  <c r="V10" i="3"/>
  <c r="Y11" i="3"/>
  <c r="U10" i="3"/>
  <c r="X11" i="3"/>
  <c r="L10" i="3"/>
  <c r="W11" i="3"/>
  <c r="T10" i="3"/>
  <c r="G10" i="3"/>
  <c r="AG11" i="3"/>
  <c r="U11" i="3"/>
  <c r="I11" i="3"/>
  <c r="D10" i="3"/>
  <c r="AD10" i="3"/>
  <c r="R10" i="3"/>
  <c r="F10" i="3"/>
  <c r="AF11" i="3"/>
  <c r="T11" i="3"/>
  <c r="H11" i="3"/>
  <c r="AJ10" i="3"/>
  <c r="AC10" i="3"/>
  <c r="Q10" i="3"/>
  <c r="E10" i="3"/>
  <c r="AE11" i="3"/>
  <c r="S11" i="3"/>
  <c r="G11" i="3"/>
  <c r="AF10" i="3"/>
  <c r="H10" i="3"/>
  <c r="S10" i="3"/>
  <c r="AI10" i="3"/>
  <c r="P10" i="3"/>
  <c r="D11" i="3"/>
  <c r="R11" i="3"/>
  <c r="F11" i="3"/>
  <c r="AA10" i="3"/>
  <c r="AJ11" i="3"/>
  <c r="Q11" i="3"/>
  <c r="E11" i="3"/>
  <c r="Z10" i="3"/>
  <c r="N10" i="3"/>
  <c r="AI11" i="3"/>
  <c r="AB11" i="3"/>
  <c r="P11" i="3"/>
  <c r="AE10" i="3"/>
  <c r="AB10" i="3"/>
  <c r="AD11" i="3"/>
  <c r="O10" i="3"/>
  <c r="AC11" i="3"/>
  <c r="Y10" i="3"/>
  <c r="AA11" i="3"/>
  <c r="H37" i="10"/>
  <c r="H22" i="2" s="1"/>
  <c r="C20" i="10"/>
  <c r="C22" i="10" s="1"/>
  <c r="C19" i="10"/>
  <c r="C21" i="10" s="1"/>
  <c r="D36" i="3" l="1"/>
  <c r="E41" i="3"/>
  <c r="E44" i="3" s="1"/>
  <c r="H42" i="3"/>
  <c r="H52" i="3"/>
  <c r="D52" i="3"/>
  <c r="I42" i="3"/>
  <c r="I52" i="3"/>
  <c r="F52" i="3"/>
  <c r="F42" i="3"/>
  <c r="G42" i="3"/>
  <c r="G52" i="3"/>
  <c r="E52" i="3"/>
  <c r="E42" i="3"/>
  <c r="J42" i="3"/>
  <c r="J52" i="3"/>
  <c r="C40" i="2"/>
  <c r="K7" i="3"/>
  <c r="K36" i="3"/>
  <c r="J7" i="3"/>
  <c r="C9" i="2"/>
  <c r="C7" i="2"/>
  <c r="C10" i="2"/>
  <c r="C8" i="2"/>
  <c r="M18" i="6"/>
  <c r="L24" i="2"/>
  <c r="C5" i="8" l="1"/>
  <c r="C42" i="2"/>
  <c r="C6" i="8" s="1"/>
  <c r="E45" i="3"/>
  <c r="C42" i="3"/>
  <c r="AH43" i="3" s="1"/>
  <c r="C52" i="3"/>
  <c r="K41" i="2"/>
  <c r="L7" i="3"/>
  <c r="N18" i="6"/>
  <c r="M24" i="2"/>
  <c r="K23" i="5"/>
  <c r="L23" i="5"/>
  <c r="AJ24" i="5" l="1"/>
  <c r="AJ45" i="2" s="1"/>
  <c r="AJ26" i="3" s="1"/>
  <c r="AJ32" i="3" s="1"/>
  <c r="D24" i="5"/>
  <c r="D45" i="2" s="1"/>
  <c r="G24" i="5"/>
  <c r="G45" i="2" s="1"/>
  <c r="G26" i="3" s="1"/>
  <c r="G32" i="3" s="1"/>
  <c r="I24" i="5"/>
  <c r="I45" i="2" s="1"/>
  <c r="I26" i="3" s="1"/>
  <c r="I32" i="3" s="1"/>
  <c r="E24" i="5"/>
  <c r="E45" i="2" s="1"/>
  <c r="E26" i="3" s="1"/>
  <c r="E32" i="3" s="1"/>
  <c r="H24" i="5"/>
  <c r="H45" i="2" s="1"/>
  <c r="H26" i="3" s="1"/>
  <c r="H32" i="3" s="1"/>
  <c r="F24" i="5"/>
  <c r="F45" i="2" s="1"/>
  <c r="F26" i="3" s="1"/>
  <c r="F32" i="3" s="1"/>
  <c r="AI24" i="5"/>
  <c r="AI45" i="2" s="1"/>
  <c r="AI26" i="3" s="1"/>
  <c r="AI32" i="3" s="1"/>
  <c r="AE43" i="3"/>
  <c r="R43" i="3"/>
  <c r="Q43" i="3"/>
  <c r="J43" i="3"/>
  <c r="P43" i="3"/>
  <c r="AA43" i="3"/>
  <c r="O43" i="3"/>
  <c r="Z43" i="3"/>
  <c r="N43" i="3"/>
  <c r="Y43" i="3"/>
  <c r="Y58" i="3" s="1"/>
  <c r="M43" i="3"/>
  <c r="X43" i="3"/>
  <c r="L43" i="3"/>
  <c r="K43" i="3"/>
  <c r="W43" i="3"/>
  <c r="V43" i="3"/>
  <c r="AB43" i="3"/>
  <c r="AG43" i="3"/>
  <c r="U43" i="3"/>
  <c r="AF43" i="3"/>
  <c r="T43" i="3"/>
  <c r="S43" i="3"/>
  <c r="AD43" i="3"/>
  <c r="AC43" i="3"/>
  <c r="M7" i="3"/>
  <c r="M23" i="5"/>
  <c r="O18" i="6"/>
  <c r="B2" i="6"/>
  <c r="C15" i="7"/>
  <c r="D32" i="3" l="1"/>
  <c r="D35" i="3" s="1"/>
  <c r="D37" i="3" s="1"/>
  <c r="D67" i="3" s="1"/>
  <c r="D70" i="3" s="1"/>
  <c r="AI35" i="3"/>
  <c r="AI37" i="3" s="1"/>
  <c r="H35" i="3"/>
  <c r="E35" i="3"/>
  <c r="I35" i="3"/>
  <c r="F35" i="3"/>
  <c r="G35" i="3"/>
  <c r="AJ35" i="3"/>
  <c r="N24" i="2"/>
  <c r="N23" i="5"/>
  <c r="P18" i="6"/>
  <c r="O19" i="6"/>
  <c r="M19" i="6"/>
  <c r="M36" i="2" s="1"/>
  <c r="M36" i="3" s="1"/>
  <c r="N19" i="6"/>
  <c r="J36" i="2"/>
  <c r="J36" i="3" s="1"/>
  <c r="L19" i="6"/>
  <c r="L36" i="2" s="1"/>
  <c r="D59" i="3" l="1"/>
  <c r="D60" i="3" s="1"/>
  <c r="AJ37" i="3"/>
  <c r="AJ67" i="3" s="1"/>
  <c r="F37" i="3"/>
  <c r="F59" i="3" s="1"/>
  <c r="H37" i="3"/>
  <c r="H59" i="3" s="1"/>
  <c r="G37" i="3"/>
  <c r="G67" i="3" s="1"/>
  <c r="G70" i="3" s="1"/>
  <c r="I37" i="3"/>
  <c r="I59" i="3" s="1"/>
  <c r="E37" i="3"/>
  <c r="E59" i="3" s="1"/>
  <c r="AI67" i="3"/>
  <c r="N36" i="2"/>
  <c r="N36" i="3" s="1"/>
  <c r="L36" i="3"/>
  <c r="L41" i="2"/>
  <c r="M41" i="2"/>
  <c r="N7" i="3"/>
  <c r="Q18" i="6"/>
  <c r="O24" i="2"/>
  <c r="O36" i="2" s="1"/>
  <c r="O23" i="5"/>
  <c r="AI58" i="3"/>
  <c r="AI75" i="3" s="1"/>
  <c r="AJ58" i="3"/>
  <c r="AJ75" i="3" s="1"/>
  <c r="D61" i="3" l="1"/>
  <c r="D63" i="3" s="1"/>
  <c r="D71" i="3" s="1"/>
  <c r="D73" i="3" s="1"/>
  <c r="D85" i="3" s="1"/>
  <c r="D86" i="3" s="1"/>
  <c r="E61" i="3"/>
  <c r="E63" i="3" s="1"/>
  <c r="E71" i="3" s="1"/>
  <c r="F67" i="3"/>
  <c r="F70" i="3" s="1"/>
  <c r="G59" i="3"/>
  <c r="H67" i="3"/>
  <c r="H70" i="3" s="1"/>
  <c r="I67" i="3"/>
  <c r="I70" i="3" s="1"/>
  <c r="E67" i="3"/>
  <c r="E70" i="3" s="1"/>
  <c r="E60" i="3"/>
  <c r="F61" i="3" s="1"/>
  <c r="F63" i="3" s="1"/>
  <c r="F71" i="3" s="1"/>
  <c r="N41" i="2"/>
  <c r="AJ59" i="3"/>
  <c r="AJ60" i="3" s="1"/>
  <c r="AJ61" i="3" s="1"/>
  <c r="AJ63" i="3" s="1"/>
  <c r="AJ68" i="3"/>
  <c r="AJ70" i="3" s="1"/>
  <c r="AI59" i="3"/>
  <c r="AI60" i="3" s="1"/>
  <c r="AI61" i="3" s="1"/>
  <c r="AI63" i="3" s="1"/>
  <c r="AI68" i="3"/>
  <c r="AI70" i="3" s="1"/>
  <c r="O36" i="3"/>
  <c r="O7" i="3"/>
  <c r="P24" i="2"/>
  <c r="P23" i="5"/>
  <c r="P19" i="6"/>
  <c r="R18" i="6"/>
  <c r="E14" i="3"/>
  <c r="E20" i="3" s="1"/>
  <c r="F14" i="3"/>
  <c r="F20" i="3" s="1"/>
  <c r="G14" i="3"/>
  <c r="G20" i="3" s="1"/>
  <c r="H14" i="3"/>
  <c r="H20" i="3" s="1"/>
  <c r="H107" i="3" s="1"/>
  <c r="I14" i="3"/>
  <c r="I20" i="3" s="1"/>
  <c r="J14" i="3"/>
  <c r="J20" i="3" s="1"/>
  <c r="J108" i="3" s="1"/>
  <c r="K14" i="3"/>
  <c r="K20" i="3" s="1"/>
  <c r="L14" i="3"/>
  <c r="L20" i="3" s="1"/>
  <c r="M14" i="3"/>
  <c r="M20" i="3" s="1"/>
  <c r="N14" i="3"/>
  <c r="N20" i="3" s="1"/>
  <c r="O14" i="3"/>
  <c r="O20" i="3" s="1"/>
  <c r="P14" i="3"/>
  <c r="P20" i="3" s="1"/>
  <c r="Q14" i="3"/>
  <c r="Q20" i="3" s="1"/>
  <c r="R14" i="3"/>
  <c r="R20" i="3" s="1"/>
  <c r="S14" i="3"/>
  <c r="S20" i="3" s="1"/>
  <c r="T14" i="3"/>
  <c r="T20" i="3" s="1"/>
  <c r="U14" i="3"/>
  <c r="U20" i="3" s="1"/>
  <c r="V14" i="3"/>
  <c r="V20" i="3" s="1"/>
  <c r="W14" i="3"/>
  <c r="W20" i="3" s="1"/>
  <c r="X14" i="3"/>
  <c r="X20" i="3" s="1"/>
  <c r="Y14" i="3"/>
  <c r="Y20" i="3" s="1"/>
  <c r="Z14" i="3"/>
  <c r="Z20" i="3" s="1"/>
  <c r="AA14" i="3"/>
  <c r="AA20" i="3" s="1"/>
  <c r="AB14" i="3"/>
  <c r="AB20" i="3" s="1"/>
  <c r="AC14" i="3"/>
  <c r="AC20" i="3" s="1"/>
  <c r="AD14" i="3"/>
  <c r="AD20" i="3" s="1"/>
  <c r="AE14" i="3"/>
  <c r="AE20" i="3" s="1"/>
  <c r="AF14" i="3"/>
  <c r="AF20" i="3" s="1"/>
  <c r="AG14" i="3"/>
  <c r="AG20" i="3" s="1"/>
  <c r="AH14" i="3"/>
  <c r="AH20" i="3" s="1"/>
  <c r="AI14" i="3"/>
  <c r="AI20" i="3" s="1"/>
  <c r="AJ14" i="3"/>
  <c r="AJ20" i="3" s="1"/>
  <c r="D14" i="3"/>
  <c r="D20" i="3" s="1"/>
  <c r="F73" i="3" l="1"/>
  <c r="F85" i="3" s="1"/>
  <c r="E73" i="3"/>
  <c r="E85" i="3" s="1"/>
  <c r="D90" i="3"/>
  <c r="P36" i="2"/>
  <c r="F60" i="3"/>
  <c r="G60" i="3" s="1"/>
  <c r="AI125" i="3"/>
  <c r="AI131" i="3"/>
  <c r="I125" i="3"/>
  <c r="I131" i="3"/>
  <c r="H125" i="3"/>
  <c r="H131" i="3"/>
  <c r="G125" i="3"/>
  <c r="G131" i="3"/>
  <c r="D125" i="3"/>
  <c r="D131" i="3"/>
  <c r="F125" i="3"/>
  <c r="F131" i="3"/>
  <c r="E125" i="3"/>
  <c r="E131" i="3"/>
  <c r="AJ125" i="3"/>
  <c r="AJ131" i="3"/>
  <c r="AI71" i="3"/>
  <c r="AI73" i="3" s="1"/>
  <c r="AI85" i="3" s="1"/>
  <c r="AI86" i="3" s="1"/>
  <c r="AJ71" i="3"/>
  <c r="AJ73" i="3" s="1"/>
  <c r="AJ85" i="3" s="1"/>
  <c r="X106" i="3"/>
  <c r="X109" i="3"/>
  <c r="X107" i="3"/>
  <c r="X101" i="3"/>
  <c r="X102" i="3"/>
  <c r="X105" i="3"/>
  <c r="X104" i="3"/>
  <c r="X103" i="3"/>
  <c r="M106" i="3"/>
  <c r="M109" i="3"/>
  <c r="M101" i="3"/>
  <c r="M108" i="3"/>
  <c r="M107" i="3"/>
  <c r="M103" i="3"/>
  <c r="M105" i="3"/>
  <c r="M104" i="3"/>
  <c r="M102" i="3"/>
  <c r="J106" i="3"/>
  <c r="J109" i="3"/>
  <c r="J107" i="3"/>
  <c r="J105" i="3"/>
  <c r="J101" i="3"/>
  <c r="J104" i="3"/>
  <c r="J103" i="3"/>
  <c r="J102" i="3"/>
  <c r="S107" i="3"/>
  <c r="S105" i="3"/>
  <c r="S101" i="3"/>
  <c r="S106" i="3"/>
  <c r="S104" i="3"/>
  <c r="S103" i="3"/>
  <c r="S102" i="3"/>
  <c r="S109" i="3"/>
  <c r="V106" i="3"/>
  <c r="V109" i="3"/>
  <c r="V107" i="3"/>
  <c r="V105" i="3"/>
  <c r="V101" i="3"/>
  <c r="V104" i="3"/>
  <c r="V103" i="3"/>
  <c r="V102" i="3"/>
  <c r="I106" i="3"/>
  <c r="I109" i="3"/>
  <c r="I108" i="3"/>
  <c r="I107" i="3"/>
  <c r="I105" i="3"/>
  <c r="I101" i="3"/>
  <c r="I104" i="3"/>
  <c r="I103" i="3"/>
  <c r="I102" i="3"/>
  <c r="D104" i="3"/>
  <c r="D105" i="3"/>
  <c r="D107" i="3"/>
  <c r="D106" i="3"/>
  <c r="D108" i="3"/>
  <c r="D109" i="3"/>
  <c r="D102" i="3"/>
  <c r="D103" i="3"/>
  <c r="D101" i="3"/>
  <c r="W106" i="3"/>
  <c r="W109" i="3"/>
  <c r="W107" i="3"/>
  <c r="W105" i="3"/>
  <c r="W101" i="3"/>
  <c r="W103" i="3"/>
  <c r="W104" i="3"/>
  <c r="W102" i="3"/>
  <c r="AG106" i="3"/>
  <c r="AG109" i="3"/>
  <c r="AG107" i="3"/>
  <c r="AG105" i="3"/>
  <c r="AG101" i="3"/>
  <c r="AG104" i="3"/>
  <c r="AG103" i="3"/>
  <c r="AG102" i="3"/>
  <c r="T109" i="3"/>
  <c r="T107" i="3"/>
  <c r="T105" i="3"/>
  <c r="T101" i="3"/>
  <c r="T104" i="3"/>
  <c r="T103" i="3"/>
  <c r="T102" i="3"/>
  <c r="T106" i="3"/>
  <c r="AH106" i="3"/>
  <c r="AH109" i="3"/>
  <c r="AH107" i="3"/>
  <c r="AH105" i="3"/>
  <c r="AH101" i="3"/>
  <c r="AH104" i="3"/>
  <c r="AH102" i="3"/>
  <c r="AH103" i="3"/>
  <c r="U106" i="3"/>
  <c r="U109" i="3"/>
  <c r="U107" i="3"/>
  <c r="U105" i="3"/>
  <c r="U101" i="3"/>
  <c r="U104" i="3"/>
  <c r="U103" i="3"/>
  <c r="U102" i="3"/>
  <c r="H109" i="3"/>
  <c r="H108" i="3"/>
  <c r="H105" i="3"/>
  <c r="H101" i="3"/>
  <c r="H104" i="3"/>
  <c r="H103" i="3"/>
  <c r="H102" i="3"/>
  <c r="H106" i="3"/>
  <c r="AE107" i="3"/>
  <c r="AE105" i="3"/>
  <c r="AE101" i="3"/>
  <c r="AE104" i="3"/>
  <c r="AE103" i="3"/>
  <c r="AE102" i="3"/>
  <c r="AE106" i="3"/>
  <c r="AE109" i="3"/>
  <c r="R107" i="3"/>
  <c r="R101" i="3"/>
  <c r="R105" i="3"/>
  <c r="R104" i="3"/>
  <c r="R103" i="3"/>
  <c r="R102" i="3"/>
  <c r="R109" i="3"/>
  <c r="R106" i="3"/>
  <c r="AB104" i="3"/>
  <c r="AB102" i="3"/>
  <c r="AB107" i="3"/>
  <c r="AB106" i="3"/>
  <c r="AB109" i="3"/>
  <c r="AB105" i="3"/>
  <c r="AB101" i="3"/>
  <c r="AB103" i="3"/>
  <c r="L106" i="3"/>
  <c r="L109" i="3"/>
  <c r="L108" i="3"/>
  <c r="L104" i="3"/>
  <c r="L102" i="3"/>
  <c r="L107" i="3"/>
  <c r="L105" i="3"/>
  <c r="L101" i="3"/>
  <c r="L103" i="3"/>
  <c r="AF109" i="3"/>
  <c r="AF107" i="3"/>
  <c r="AF105" i="3"/>
  <c r="AF101" i="3"/>
  <c r="AF104" i="3"/>
  <c r="AF103" i="3"/>
  <c r="AF102" i="3"/>
  <c r="AF106" i="3"/>
  <c r="G108" i="3"/>
  <c r="G107" i="3"/>
  <c r="G101" i="3"/>
  <c r="G105" i="3"/>
  <c r="G104" i="3"/>
  <c r="G103" i="3"/>
  <c r="G102" i="3"/>
  <c r="G106" i="3"/>
  <c r="G109" i="3"/>
  <c r="AD107" i="3"/>
  <c r="AD105" i="3"/>
  <c r="AD104" i="3"/>
  <c r="AD103" i="3"/>
  <c r="AD102" i="3"/>
  <c r="AD106" i="3"/>
  <c r="AD101" i="3"/>
  <c r="AD109" i="3"/>
  <c r="AJ105" i="3"/>
  <c r="AJ101" i="3"/>
  <c r="AJ104" i="3"/>
  <c r="AJ103" i="3"/>
  <c r="AJ102" i="3"/>
  <c r="AJ108" i="3"/>
  <c r="AJ106" i="3"/>
  <c r="AJ109" i="3"/>
  <c r="AJ107" i="3"/>
  <c r="E105" i="3"/>
  <c r="E101" i="3"/>
  <c r="E104" i="3"/>
  <c r="E103" i="3"/>
  <c r="E102" i="3"/>
  <c r="E108" i="3"/>
  <c r="E106" i="3"/>
  <c r="E109" i="3"/>
  <c r="E107" i="3"/>
  <c r="AI104" i="3"/>
  <c r="AI103" i="3"/>
  <c r="AI106" i="3"/>
  <c r="AI109" i="3"/>
  <c r="AI107" i="3"/>
  <c r="AI108" i="3"/>
  <c r="AI105" i="3"/>
  <c r="AI101" i="3"/>
  <c r="AI102" i="3"/>
  <c r="O103" i="3"/>
  <c r="O102" i="3"/>
  <c r="O106" i="3"/>
  <c r="O108" i="3"/>
  <c r="O109" i="3"/>
  <c r="O107" i="3"/>
  <c r="O105" i="3"/>
  <c r="O104" i="3"/>
  <c r="O101" i="3"/>
  <c r="Y103" i="3"/>
  <c r="Y106" i="3"/>
  <c r="Y109" i="3"/>
  <c r="Y107" i="3"/>
  <c r="Y105" i="3"/>
  <c r="Y101" i="3"/>
  <c r="Y104" i="3"/>
  <c r="Y102" i="3"/>
  <c r="K106" i="3"/>
  <c r="K109" i="3"/>
  <c r="K108" i="3"/>
  <c r="K107" i="3"/>
  <c r="K105" i="3"/>
  <c r="K101" i="3"/>
  <c r="K102" i="3"/>
  <c r="K104" i="3"/>
  <c r="K103" i="3"/>
  <c r="F107" i="3"/>
  <c r="F109" i="3"/>
  <c r="F105" i="3"/>
  <c r="F101" i="3"/>
  <c r="F104" i="3"/>
  <c r="F103" i="3"/>
  <c r="F102" i="3"/>
  <c r="F106" i="3"/>
  <c r="F108" i="3"/>
  <c r="AC105" i="3"/>
  <c r="AC101" i="3"/>
  <c r="AC104" i="3"/>
  <c r="AC103" i="3"/>
  <c r="AC102" i="3"/>
  <c r="AC106" i="3"/>
  <c r="AC109" i="3"/>
  <c r="AC107" i="3"/>
  <c r="Q105" i="3"/>
  <c r="Q103" i="3"/>
  <c r="Q102" i="3"/>
  <c r="Q106" i="3"/>
  <c r="Q109" i="3"/>
  <c r="Q107" i="3"/>
  <c r="Q101" i="3"/>
  <c r="Q104" i="3"/>
  <c r="P104" i="3"/>
  <c r="P103" i="3"/>
  <c r="P102" i="3"/>
  <c r="P107" i="3"/>
  <c r="P106" i="3"/>
  <c r="P109" i="3"/>
  <c r="P105" i="3"/>
  <c r="P101" i="3"/>
  <c r="AA103" i="3"/>
  <c r="AA102" i="3"/>
  <c r="AA106" i="3"/>
  <c r="AA109" i="3"/>
  <c r="AA105" i="3"/>
  <c r="AA107" i="3"/>
  <c r="AA101" i="3"/>
  <c r="AA104" i="3"/>
  <c r="Z102" i="3"/>
  <c r="Z106" i="3"/>
  <c r="Z109" i="3"/>
  <c r="Z107" i="3"/>
  <c r="Z105" i="3"/>
  <c r="Z101" i="3"/>
  <c r="Z104" i="3"/>
  <c r="Z103" i="3"/>
  <c r="N102" i="3"/>
  <c r="N106" i="3"/>
  <c r="N109" i="3"/>
  <c r="N104" i="3"/>
  <c r="N108" i="3"/>
  <c r="N107" i="3"/>
  <c r="N105" i="3"/>
  <c r="N101" i="3"/>
  <c r="N103" i="3"/>
  <c r="O41" i="2"/>
  <c r="P7" i="3"/>
  <c r="Q24" i="2"/>
  <c r="Q23" i="5"/>
  <c r="Q19" i="6"/>
  <c r="S18" i="6"/>
  <c r="D15" i="8" l="1"/>
  <c r="Q36" i="2"/>
  <c r="D23" i="8"/>
  <c r="D20" i="8"/>
  <c r="D21" i="8"/>
  <c r="D19" i="8"/>
  <c r="D18" i="8"/>
  <c r="D17" i="8"/>
  <c r="D16" i="8"/>
  <c r="G61" i="3"/>
  <c r="G63" i="3" s="1"/>
  <c r="G71" i="3" s="1"/>
  <c r="G73" i="3" s="1"/>
  <c r="G85" i="3" s="1"/>
  <c r="P108" i="3"/>
  <c r="P36" i="3"/>
  <c r="H60" i="3"/>
  <c r="H61" i="3"/>
  <c r="H63" i="3" s="1"/>
  <c r="H71" i="3" s="1"/>
  <c r="H73" i="3" s="1"/>
  <c r="P41" i="2"/>
  <c r="Q7" i="3"/>
  <c r="T18" i="6"/>
  <c r="R24" i="2"/>
  <c r="R23" i="5"/>
  <c r="R19" i="6"/>
  <c r="R36" i="2" s="1"/>
  <c r="I110" i="3"/>
  <c r="H85" i="3" l="1"/>
  <c r="H86" i="3" s="1"/>
  <c r="H90" i="3" s="1"/>
  <c r="Q108" i="3"/>
  <c r="Q36" i="3"/>
  <c r="I60" i="3"/>
  <c r="I61" i="3"/>
  <c r="I63" i="3" s="1"/>
  <c r="I71" i="3" s="1"/>
  <c r="I73" i="3" s="1"/>
  <c r="Q41" i="2"/>
  <c r="R7" i="3"/>
  <c r="S24" i="2"/>
  <c r="S23" i="5"/>
  <c r="S19" i="6"/>
  <c r="U18" i="6"/>
  <c r="H110" i="3"/>
  <c r="I85" i="3" l="1"/>
  <c r="I86" i="3" s="1"/>
  <c r="I90" i="3" s="1"/>
  <c r="S36" i="2"/>
  <c r="R108" i="3"/>
  <c r="R36" i="3"/>
  <c r="R41" i="2"/>
  <c r="S7" i="3"/>
  <c r="T24" i="2"/>
  <c r="T23" i="5"/>
  <c r="T19" i="6"/>
  <c r="V18" i="6"/>
  <c r="C17" i="7"/>
  <c r="C16" i="7"/>
  <c r="C14" i="7"/>
  <c r="T36" i="2" l="1"/>
  <c r="S108" i="3"/>
  <c r="S36" i="3"/>
  <c r="S41" i="2"/>
  <c r="T7" i="3"/>
  <c r="U24" i="2"/>
  <c r="U23" i="5"/>
  <c r="U19" i="6"/>
  <c r="U36" i="2" s="1"/>
  <c r="W18" i="6"/>
  <c r="W24" i="5"/>
  <c r="L24" i="5"/>
  <c r="T108" i="3" l="1"/>
  <c r="T36" i="3"/>
  <c r="T41" i="2"/>
  <c r="U7" i="3"/>
  <c r="V24" i="2"/>
  <c r="V23" i="5"/>
  <c r="V19" i="6"/>
  <c r="X18" i="6"/>
  <c r="L13" i="3"/>
  <c r="L19" i="3" s="1"/>
  <c r="S24" i="5"/>
  <c r="S45" i="2" s="1"/>
  <c r="S26" i="3" s="1"/>
  <c r="S32" i="3" s="1"/>
  <c r="AH24" i="5"/>
  <c r="K24" i="5"/>
  <c r="K45" i="2" s="1"/>
  <c r="K26" i="3" s="1"/>
  <c r="K32" i="3" s="1"/>
  <c r="AF24" i="5"/>
  <c r="T24" i="5"/>
  <c r="J45" i="2"/>
  <c r="J26" i="3" s="1"/>
  <c r="J32" i="3" s="1"/>
  <c r="Q24" i="5"/>
  <c r="P24" i="5"/>
  <c r="AG24" i="5"/>
  <c r="AC24" i="5"/>
  <c r="V24" i="5"/>
  <c r="U24" i="5"/>
  <c r="U45" i="2" s="1"/>
  <c r="U26" i="3" s="1"/>
  <c r="U32" i="3" s="1"/>
  <c r="AE24" i="5"/>
  <c r="AB24" i="5"/>
  <c r="AD24" i="5"/>
  <c r="R24" i="5"/>
  <c r="R45" i="2" s="1"/>
  <c r="R26" i="3" s="1"/>
  <c r="R32" i="3" s="1"/>
  <c r="L45" i="2"/>
  <c r="O24" i="5"/>
  <c r="Z24" i="5"/>
  <c r="N24" i="5"/>
  <c r="AA24" i="5"/>
  <c r="Y24" i="5"/>
  <c r="M45" i="2"/>
  <c r="M26" i="3" s="1"/>
  <c r="M32" i="3" s="1"/>
  <c r="X24" i="5"/>
  <c r="AH13" i="3"/>
  <c r="AH19" i="3" s="1"/>
  <c r="V13" i="3"/>
  <c r="V19" i="3" s="1"/>
  <c r="J13" i="3"/>
  <c r="J19" i="3" s="1"/>
  <c r="AG13" i="3"/>
  <c r="AG19" i="3" s="1"/>
  <c r="I13" i="3"/>
  <c r="I19" i="3" s="1"/>
  <c r="H13" i="3"/>
  <c r="H19" i="3" s="1"/>
  <c r="G13" i="3"/>
  <c r="G19" i="3" s="1"/>
  <c r="AD13" i="3"/>
  <c r="AD19" i="3" s="1"/>
  <c r="R13" i="3"/>
  <c r="R19" i="3" s="1"/>
  <c r="F13" i="3"/>
  <c r="F19" i="3" s="1"/>
  <c r="AJ13" i="3"/>
  <c r="AJ19" i="3" s="1"/>
  <c r="AC13" i="3"/>
  <c r="AC19" i="3" s="1"/>
  <c r="Q13" i="3"/>
  <c r="Q19" i="3" s="1"/>
  <c r="E13" i="3"/>
  <c r="E19" i="3" s="1"/>
  <c r="AI13" i="3"/>
  <c r="AI19" i="3" s="1"/>
  <c r="AB13" i="3"/>
  <c r="AB19" i="3" s="1"/>
  <c r="P13" i="3"/>
  <c r="P19" i="3" s="1"/>
  <c r="U13" i="3"/>
  <c r="U19" i="3" s="1"/>
  <c r="AF13" i="3"/>
  <c r="AF19" i="3" s="1"/>
  <c r="AE13" i="3"/>
  <c r="AE19" i="3" s="1"/>
  <c r="AA13" i="3"/>
  <c r="AA19" i="3" s="1"/>
  <c r="N13" i="3"/>
  <c r="N19" i="3" s="1"/>
  <c r="Y13" i="3"/>
  <c r="Y19" i="3" s="1"/>
  <c r="X13" i="3"/>
  <c r="X19" i="3" s="1"/>
  <c r="D13" i="3"/>
  <c r="D19" i="3" s="1"/>
  <c r="T13" i="3"/>
  <c r="T19" i="3" s="1"/>
  <c r="S13" i="3"/>
  <c r="S19" i="3" s="1"/>
  <c r="O13" i="3"/>
  <c r="O19" i="3" s="1"/>
  <c r="Z13" i="3"/>
  <c r="Z19" i="3" s="1"/>
  <c r="M13" i="3"/>
  <c r="M19" i="3" s="1"/>
  <c r="W13" i="3"/>
  <c r="W19" i="3" s="1"/>
  <c r="K13" i="3"/>
  <c r="K19" i="3" s="1"/>
  <c r="V36" i="2" l="1"/>
  <c r="U108" i="3"/>
  <c r="U36" i="3"/>
  <c r="K125" i="3"/>
  <c r="J35" i="3"/>
  <c r="J37" i="3" s="1"/>
  <c r="J125" i="3"/>
  <c r="L26" i="3"/>
  <c r="L32" i="3" s="1"/>
  <c r="S125" i="3"/>
  <c r="R125" i="3"/>
  <c r="M35" i="3"/>
  <c r="M37" i="3" s="1"/>
  <c r="M125" i="3"/>
  <c r="U125" i="3"/>
  <c r="U41" i="2"/>
  <c r="V7" i="3"/>
  <c r="W24" i="2"/>
  <c r="W23" i="5"/>
  <c r="W19" i="6"/>
  <c r="Y18" i="6"/>
  <c r="V45" i="2"/>
  <c r="V26" i="3" s="1"/>
  <c r="V32" i="3" s="1"/>
  <c r="O45" i="2"/>
  <c r="O26" i="3" s="1"/>
  <c r="O32" i="3" s="1"/>
  <c r="AJ110" i="3"/>
  <c r="P45" i="2"/>
  <c r="P26" i="3" s="1"/>
  <c r="P32" i="3" s="1"/>
  <c r="Q45" i="2"/>
  <c r="Q26" i="3" s="1"/>
  <c r="Q32" i="3" s="1"/>
  <c r="T45" i="2"/>
  <c r="T26" i="3" s="1"/>
  <c r="T32" i="3" s="1"/>
  <c r="N45" i="2"/>
  <c r="N26" i="3" s="1"/>
  <c r="N32" i="3" s="1"/>
  <c r="F15" i="3"/>
  <c r="F21" i="3" s="1"/>
  <c r="F132" i="3" s="1"/>
  <c r="R15" i="3"/>
  <c r="R21" i="3" s="1"/>
  <c r="R126" i="3" s="1"/>
  <c r="AD15" i="3"/>
  <c r="AD21" i="3" s="1"/>
  <c r="D15" i="3"/>
  <c r="D21" i="3" s="1"/>
  <c r="G15" i="3"/>
  <c r="G21" i="3" s="1"/>
  <c r="G132" i="3" s="1"/>
  <c r="S15" i="3"/>
  <c r="S21" i="3" s="1"/>
  <c r="S126" i="3" s="1"/>
  <c r="AE15" i="3"/>
  <c r="AE21" i="3" s="1"/>
  <c r="H15" i="3"/>
  <c r="H21" i="3" s="1"/>
  <c r="H132" i="3" s="1"/>
  <c r="T15" i="3"/>
  <c r="T21" i="3" s="1"/>
  <c r="AF15" i="3"/>
  <c r="AF21" i="3" s="1"/>
  <c r="I15" i="3"/>
  <c r="I21" i="3" s="1"/>
  <c r="I132" i="3" s="1"/>
  <c r="U15" i="3"/>
  <c r="U21" i="3" s="1"/>
  <c r="U126" i="3" s="1"/>
  <c r="AG15" i="3"/>
  <c r="AG21" i="3" s="1"/>
  <c r="J15" i="3"/>
  <c r="J21" i="3" s="1"/>
  <c r="J126" i="3" s="1"/>
  <c r="V15" i="3"/>
  <c r="V21" i="3" s="1"/>
  <c r="AH15" i="3"/>
  <c r="AH21" i="3" s="1"/>
  <c r="Q15" i="3"/>
  <c r="Q21" i="3" s="1"/>
  <c r="AJ15" i="3"/>
  <c r="AJ21" i="3" s="1"/>
  <c r="AJ132" i="3" s="1"/>
  <c r="K15" i="3"/>
  <c r="K21" i="3" s="1"/>
  <c r="K126" i="3" s="1"/>
  <c r="W15" i="3"/>
  <c r="W21" i="3" s="1"/>
  <c r="L15" i="3"/>
  <c r="L21" i="3" s="1"/>
  <c r="X15" i="3"/>
  <c r="X21" i="3" s="1"/>
  <c r="M15" i="3"/>
  <c r="M21" i="3" s="1"/>
  <c r="M126" i="3" s="1"/>
  <c r="Y15" i="3"/>
  <c r="Y21" i="3" s="1"/>
  <c r="N15" i="3"/>
  <c r="N21" i="3" s="1"/>
  <c r="Z15" i="3"/>
  <c r="Z21" i="3" s="1"/>
  <c r="O15" i="3"/>
  <c r="O21" i="3" s="1"/>
  <c r="AA15" i="3"/>
  <c r="AA21" i="3" s="1"/>
  <c r="P15" i="3"/>
  <c r="P21" i="3" s="1"/>
  <c r="AB15" i="3"/>
  <c r="AB21" i="3" s="1"/>
  <c r="AI15" i="3"/>
  <c r="AI21" i="3" s="1"/>
  <c r="AI132" i="3" s="1"/>
  <c r="E15" i="3"/>
  <c r="E21" i="3" s="1"/>
  <c r="E132" i="3" s="1"/>
  <c r="AC15" i="3"/>
  <c r="AC21" i="3" s="1"/>
  <c r="D132" i="3" l="1"/>
  <c r="D89" i="3"/>
  <c r="W36" i="2"/>
  <c r="M67" i="3"/>
  <c r="M131" i="3"/>
  <c r="M132" i="3"/>
  <c r="J131" i="3"/>
  <c r="J132" i="3"/>
  <c r="R35" i="3"/>
  <c r="R132" i="3"/>
  <c r="R131" i="3"/>
  <c r="S35" i="3"/>
  <c r="S132" i="3"/>
  <c r="S131" i="3"/>
  <c r="K35" i="3"/>
  <c r="K37" i="3" s="1"/>
  <c r="K131" i="3"/>
  <c r="K132" i="3"/>
  <c r="U35" i="3"/>
  <c r="U132" i="3"/>
  <c r="U131" i="3"/>
  <c r="V108" i="3"/>
  <c r="V36" i="3"/>
  <c r="N126" i="3"/>
  <c r="L126" i="3"/>
  <c r="L125" i="3"/>
  <c r="T126" i="3"/>
  <c r="Q126" i="3"/>
  <c r="O126" i="3"/>
  <c r="P125" i="3"/>
  <c r="O125" i="3"/>
  <c r="N125" i="3"/>
  <c r="T125" i="3"/>
  <c r="P126" i="3"/>
  <c r="Q125" i="3"/>
  <c r="AI126" i="3"/>
  <c r="AI128" i="3"/>
  <c r="G126" i="3"/>
  <c r="G128" i="3"/>
  <c r="F126" i="3"/>
  <c r="F128" i="3"/>
  <c r="D126" i="3"/>
  <c r="D128" i="3"/>
  <c r="E126" i="3"/>
  <c r="E128" i="3"/>
  <c r="I126" i="3"/>
  <c r="I128" i="3"/>
  <c r="H126" i="3"/>
  <c r="H128" i="3"/>
  <c r="AJ126" i="3"/>
  <c r="AJ128" i="3"/>
  <c r="V126" i="3"/>
  <c r="V125" i="3"/>
  <c r="AC121" i="3"/>
  <c r="AC119" i="3"/>
  <c r="AC118" i="3"/>
  <c r="AC117" i="3"/>
  <c r="AC113" i="3"/>
  <c r="AC116" i="3"/>
  <c r="AC115" i="3"/>
  <c r="AC114" i="3"/>
  <c r="S121" i="3"/>
  <c r="S120" i="3"/>
  <c r="S119" i="3"/>
  <c r="S118" i="3"/>
  <c r="S117" i="3"/>
  <c r="S113" i="3"/>
  <c r="S116" i="3"/>
  <c r="S115" i="3"/>
  <c r="S114" i="3"/>
  <c r="N119" i="3"/>
  <c r="N118" i="3"/>
  <c r="N117" i="3"/>
  <c r="N113" i="3"/>
  <c r="N116" i="3"/>
  <c r="N115" i="3"/>
  <c r="N114" i="3"/>
  <c r="N121" i="3"/>
  <c r="N120" i="3"/>
  <c r="Y118" i="3"/>
  <c r="Y117" i="3"/>
  <c r="Y113" i="3"/>
  <c r="Y116" i="3"/>
  <c r="Y115" i="3"/>
  <c r="Y114" i="3"/>
  <c r="Y121" i="3"/>
  <c r="Y119" i="3"/>
  <c r="V115" i="3"/>
  <c r="V114" i="3"/>
  <c r="V121" i="3"/>
  <c r="V120" i="3"/>
  <c r="V117" i="3"/>
  <c r="V119" i="3"/>
  <c r="V118" i="3"/>
  <c r="V113" i="3"/>
  <c r="V116" i="3"/>
  <c r="Q121" i="3"/>
  <c r="Q120" i="3"/>
  <c r="Q119" i="3"/>
  <c r="Q118" i="3"/>
  <c r="Q117" i="3"/>
  <c r="Q113" i="3"/>
  <c r="Q116" i="3"/>
  <c r="Q115" i="3"/>
  <c r="Q114" i="3"/>
  <c r="AD121" i="3"/>
  <c r="AD119" i="3"/>
  <c r="AD118" i="3"/>
  <c r="AD117" i="3"/>
  <c r="AD113" i="3"/>
  <c r="AD116" i="3"/>
  <c r="AD115" i="3"/>
  <c r="AD114" i="3"/>
  <c r="M118" i="3"/>
  <c r="M117" i="3"/>
  <c r="M113" i="3"/>
  <c r="M116" i="3"/>
  <c r="M115" i="3"/>
  <c r="M114" i="3"/>
  <c r="M121" i="3"/>
  <c r="M120" i="3"/>
  <c r="M119" i="3"/>
  <c r="AB121" i="3"/>
  <c r="AB119" i="3"/>
  <c r="AB118" i="3"/>
  <c r="AB117" i="3"/>
  <c r="AB113" i="3"/>
  <c r="AB116" i="3"/>
  <c r="AB115" i="3"/>
  <c r="AB114" i="3"/>
  <c r="Z119" i="3"/>
  <c r="Z118" i="3"/>
  <c r="Z117" i="3"/>
  <c r="Z113" i="3"/>
  <c r="Z116" i="3"/>
  <c r="Z115" i="3"/>
  <c r="Z114" i="3"/>
  <c r="Z121" i="3"/>
  <c r="D117" i="3"/>
  <c r="D118" i="3"/>
  <c r="D119" i="3"/>
  <c r="D120" i="3"/>
  <c r="D121" i="3"/>
  <c r="D113" i="3"/>
  <c r="D115" i="3"/>
  <c r="D114" i="3"/>
  <c r="D116" i="3"/>
  <c r="J115" i="3"/>
  <c r="J114" i="3"/>
  <c r="J113" i="3"/>
  <c r="J121" i="3"/>
  <c r="J119" i="3"/>
  <c r="J118" i="3"/>
  <c r="J117" i="3"/>
  <c r="J116" i="3"/>
  <c r="E121" i="3"/>
  <c r="E120" i="3"/>
  <c r="E119" i="3"/>
  <c r="E118" i="3"/>
  <c r="E117" i="3"/>
  <c r="E113" i="3"/>
  <c r="E116" i="3"/>
  <c r="E115" i="3"/>
  <c r="E114" i="3"/>
  <c r="U114" i="3"/>
  <c r="U121" i="3"/>
  <c r="U116" i="3"/>
  <c r="U120" i="3"/>
  <c r="U119" i="3"/>
  <c r="U118" i="3"/>
  <c r="U117" i="3"/>
  <c r="U113" i="3"/>
  <c r="U115" i="3"/>
  <c r="R121" i="3"/>
  <c r="R120" i="3"/>
  <c r="R119" i="3"/>
  <c r="R118" i="3"/>
  <c r="R117" i="3"/>
  <c r="R113" i="3"/>
  <c r="R116" i="3"/>
  <c r="R115" i="3"/>
  <c r="R114" i="3"/>
  <c r="AG114" i="3"/>
  <c r="AG121" i="3"/>
  <c r="AG119" i="3"/>
  <c r="AG118" i="3"/>
  <c r="AG117" i="3"/>
  <c r="AG113" i="3"/>
  <c r="AG116" i="3"/>
  <c r="AG115" i="3"/>
  <c r="X117" i="3"/>
  <c r="X113" i="3"/>
  <c r="X116" i="3"/>
  <c r="X115" i="3"/>
  <c r="X114" i="3"/>
  <c r="X121" i="3"/>
  <c r="X118" i="3"/>
  <c r="X119" i="3"/>
  <c r="P121" i="3"/>
  <c r="P120" i="3"/>
  <c r="P119" i="3"/>
  <c r="P118" i="3"/>
  <c r="P117" i="3"/>
  <c r="P113" i="3"/>
  <c r="P116" i="3"/>
  <c r="P115" i="3"/>
  <c r="P114" i="3"/>
  <c r="AF121" i="3"/>
  <c r="AF119" i="3"/>
  <c r="AF118" i="3"/>
  <c r="AF117" i="3"/>
  <c r="AF113" i="3"/>
  <c r="AF115" i="3"/>
  <c r="AF116" i="3"/>
  <c r="AF114" i="3"/>
  <c r="T121" i="3"/>
  <c r="T120" i="3"/>
  <c r="T115" i="3"/>
  <c r="T119" i="3"/>
  <c r="T118" i="3"/>
  <c r="T117" i="3"/>
  <c r="T113" i="3"/>
  <c r="T116" i="3"/>
  <c r="T114" i="3"/>
  <c r="G121" i="3"/>
  <c r="G120" i="3"/>
  <c r="G119" i="3"/>
  <c r="G114" i="3"/>
  <c r="G118" i="3"/>
  <c r="G117" i="3"/>
  <c r="G113" i="3"/>
  <c r="G116" i="3"/>
  <c r="G115" i="3"/>
  <c r="F121" i="3"/>
  <c r="F120" i="3"/>
  <c r="F119" i="3"/>
  <c r="F118" i="3"/>
  <c r="F117" i="3"/>
  <c r="F113" i="3"/>
  <c r="F116" i="3"/>
  <c r="F115" i="3"/>
  <c r="F114" i="3"/>
  <c r="AI121" i="3"/>
  <c r="AI120" i="3"/>
  <c r="AI119" i="3"/>
  <c r="AI118" i="3"/>
  <c r="AI117" i="3"/>
  <c r="AI113" i="3"/>
  <c r="AI116" i="3"/>
  <c r="AI115" i="3"/>
  <c r="AI114" i="3"/>
  <c r="I89" i="3"/>
  <c r="I114" i="3"/>
  <c r="I121" i="3"/>
  <c r="I120" i="3"/>
  <c r="I116" i="3"/>
  <c r="I119" i="3"/>
  <c r="I118" i="3"/>
  <c r="I117" i="3"/>
  <c r="I113" i="3"/>
  <c r="I115" i="3"/>
  <c r="L117" i="3"/>
  <c r="L113" i="3"/>
  <c r="L116" i="3"/>
  <c r="L115" i="3"/>
  <c r="L114" i="3"/>
  <c r="L119" i="3"/>
  <c r="L121" i="3"/>
  <c r="L120" i="3"/>
  <c r="L118" i="3"/>
  <c r="AA119" i="3"/>
  <c r="AA118" i="3"/>
  <c r="AA117" i="3"/>
  <c r="AA113" i="3"/>
  <c r="AA116" i="3"/>
  <c r="AA115" i="3"/>
  <c r="AA114" i="3"/>
  <c r="AA121" i="3"/>
  <c r="W116" i="3"/>
  <c r="W115" i="3"/>
  <c r="W118" i="3"/>
  <c r="W114" i="3"/>
  <c r="W121" i="3"/>
  <c r="W119" i="3"/>
  <c r="W117" i="3"/>
  <c r="W113" i="3"/>
  <c r="H121" i="3"/>
  <c r="H120" i="3"/>
  <c r="H119" i="3"/>
  <c r="H118" i="3"/>
  <c r="H115" i="3"/>
  <c r="H117" i="3"/>
  <c r="H113" i="3"/>
  <c r="H116" i="3"/>
  <c r="H114" i="3"/>
  <c r="AJ121" i="3"/>
  <c r="AJ120" i="3"/>
  <c r="AJ119" i="3"/>
  <c r="AJ118" i="3"/>
  <c r="AJ117" i="3"/>
  <c r="AJ113" i="3"/>
  <c r="AJ116" i="3"/>
  <c r="AJ115" i="3"/>
  <c r="AJ114" i="3"/>
  <c r="AH115" i="3"/>
  <c r="AH114" i="3"/>
  <c r="AH121" i="3"/>
  <c r="AH119" i="3"/>
  <c r="AH117" i="3"/>
  <c r="AH113" i="3"/>
  <c r="AH118" i="3"/>
  <c r="AH116" i="3"/>
  <c r="O120" i="3"/>
  <c r="O119" i="3"/>
  <c r="O118" i="3"/>
  <c r="O117" i="3"/>
  <c r="O113" i="3"/>
  <c r="O116" i="3"/>
  <c r="O115" i="3"/>
  <c r="O114" i="3"/>
  <c r="O121" i="3"/>
  <c r="K116" i="3"/>
  <c r="K118" i="3"/>
  <c r="K115" i="3"/>
  <c r="K114" i="3"/>
  <c r="K121" i="3"/>
  <c r="K120" i="3"/>
  <c r="K119" i="3"/>
  <c r="K117" i="3"/>
  <c r="K113" i="3"/>
  <c r="AE121" i="3"/>
  <c r="AE119" i="3"/>
  <c r="AE118" i="3"/>
  <c r="AE117" i="3"/>
  <c r="AE113" i="3"/>
  <c r="AE114" i="3"/>
  <c r="AE116" i="3"/>
  <c r="AE115" i="3"/>
  <c r="V41" i="2"/>
  <c r="W7" i="3"/>
  <c r="W45" i="2"/>
  <c r="W26" i="3" s="1"/>
  <c r="W32" i="3" s="1"/>
  <c r="X24" i="2"/>
  <c r="X23" i="5"/>
  <c r="X19" i="6"/>
  <c r="Z18" i="6"/>
  <c r="H89" i="3"/>
  <c r="AJ86" i="3"/>
  <c r="AJ90" i="3" s="1"/>
  <c r="AJ89" i="3"/>
  <c r="AI110" i="3"/>
  <c r="AI90" i="3"/>
  <c r="AI89" i="3"/>
  <c r="D92" i="3" l="1"/>
  <c r="R37" i="3"/>
  <c r="R67" i="3" s="1"/>
  <c r="U37" i="3"/>
  <c r="U67" i="3" s="1"/>
  <c r="S37" i="3"/>
  <c r="S67" i="3" s="1"/>
  <c r="L20" i="8"/>
  <c r="L21" i="8"/>
  <c r="L19" i="8"/>
  <c r="L18" i="8"/>
  <c r="L16" i="8"/>
  <c r="X36" i="2"/>
  <c r="X36" i="3" s="1"/>
  <c r="L17" i="8"/>
  <c r="L15" i="8"/>
  <c r="L23" i="8"/>
  <c r="K67" i="3"/>
  <c r="N35" i="3"/>
  <c r="N131" i="3"/>
  <c r="N132" i="3"/>
  <c r="O35" i="3"/>
  <c r="O132" i="3"/>
  <c r="O131" i="3"/>
  <c r="L132" i="3"/>
  <c r="L131" i="3"/>
  <c r="P35" i="3"/>
  <c r="P132" i="3"/>
  <c r="P131" i="3"/>
  <c r="Q35" i="3"/>
  <c r="Q132" i="3"/>
  <c r="Q131" i="3"/>
  <c r="V35" i="3"/>
  <c r="V132" i="3"/>
  <c r="V131" i="3"/>
  <c r="T35" i="3"/>
  <c r="T132" i="3"/>
  <c r="T131" i="3"/>
  <c r="W108" i="3"/>
  <c r="W36" i="3"/>
  <c r="L35" i="3"/>
  <c r="L37" i="3" s="1"/>
  <c r="J120" i="3"/>
  <c r="W120" i="3"/>
  <c r="W126" i="3"/>
  <c r="W125" i="3"/>
  <c r="AI122" i="3"/>
  <c r="AJ122" i="3"/>
  <c r="W41" i="2"/>
  <c r="J41" i="2"/>
  <c r="X7" i="3"/>
  <c r="X45" i="2"/>
  <c r="X26" i="3" s="1"/>
  <c r="X32" i="3" s="1"/>
  <c r="AA18" i="6"/>
  <c r="Y24" i="2"/>
  <c r="Y23" i="5"/>
  <c r="Y19" i="6"/>
  <c r="Y36" i="2" s="1"/>
  <c r="Y36" i="3" s="1"/>
  <c r="I122" i="3"/>
  <c r="O110" i="3"/>
  <c r="O122" i="3"/>
  <c r="P110" i="3"/>
  <c r="P122" i="3"/>
  <c r="N110" i="3"/>
  <c r="N122" i="3"/>
  <c r="V110" i="3"/>
  <c r="V122" i="3"/>
  <c r="S110" i="3"/>
  <c r="S122" i="3"/>
  <c r="K110" i="3"/>
  <c r="K122" i="3"/>
  <c r="T110" i="3"/>
  <c r="T122" i="3"/>
  <c r="U110" i="3"/>
  <c r="U122" i="3"/>
  <c r="L110" i="3"/>
  <c r="L122" i="3"/>
  <c r="M110" i="3"/>
  <c r="M122" i="3"/>
  <c r="R110" i="3"/>
  <c r="R122" i="3"/>
  <c r="Q110" i="3"/>
  <c r="Q122" i="3"/>
  <c r="H122" i="3"/>
  <c r="T37" i="3" l="1"/>
  <c r="T67" i="3" s="1"/>
  <c r="O37" i="3"/>
  <c r="O67" i="3" s="1"/>
  <c r="V37" i="3"/>
  <c r="V67" i="3" s="1"/>
  <c r="N37" i="3"/>
  <c r="N67" i="3" s="1"/>
  <c r="Q37" i="3"/>
  <c r="Q67" i="3" s="1"/>
  <c r="P37" i="3"/>
  <c r="P67" i="3" s="1"/>
  <c r="W35" i="3"/>
  <c r="W132" i="3"/>
  <c r="W131" i="3"/>
  <c r="L67" i="3"/>
  <c r="X108" i="3"/>
  <c r="X120" i="3"/>
  <c r="X126" i="3"/>
  <c r="X125" i="3"/>
  <c r="X41" i="2"/>
  <c r="W122" i="3"/>
  <c r="W110" i="3"/>
  <c r="J122" i="3"/>
  <c r="J110" i="3"/>
  <c r="Y7" i="3"/>
  <c r="Y45" i="2"/>
  <c r="Y26" i="3" s="1"/>
  <c r="Y32" i="3" s="1"/>
  <c r="Z24" i="2"/>
  <c r="Z23" i="5"/>
  <c r="Z19" i="6"/>
  <c r="Z36" i="2" s="1"/>
  <c r="AB18" i="6"/>
  <c r="G89" i="3"/>
  <c r="E86" i="3"/>
  <c r="E110" i="3"/>
  <c r="F110" i="3"/>
  <c r="F122" i="3"/>
  <c r="E122" i="3"/>
  <c r="G110" i="3"/>
  <c r="G122" i="3"/>
  <c r="D55" i="3"/>
  <c r="E51" i="3" s="1"/>
  <c r="E54" i="3" s="1"/>
  <c r="E55" i="3" s="1"/>
  <c r="W37" i="3" l="1"/>
  <c r="W67" i="3" s="1"/>
  <c r="X35" i="3"/>
  <c r="X37" i="3" s="1"/>
  <c r="X132" i="3"/>
  <c r="X131" i="3"/>
  <c r="Y108" i="3"/>
  <c r="Y120" i="3"/>
  <c r="Y126" i="3"/>
  <c r="Y125" i="3"/>
  <c r="J67" i="3"/>
  <c r="Y41" i="2"/>
  <c r="Z7" i="3"/>
  <c r="Z45" i="2"/>
  <c r="Z26" i="3" s="1"/>
  <c r="Z32" i="3" s="1"/>
  <c r="Z36" i="3"/>
  <c r="AC18" i="6"/>
  <c r="AA24" i="2"/>
  <c r="AA23" i="5"/>
  <c r="AA19" i="6"/>
  <c r="E90" i="3"/>
  <c r="E89" i="3"/>
  <c r="D122" i="3"/>
  <c r="D110" i="3"/>
  <c r="F86" i="3"/>
  <c r="F90" i="3" s="1"/>
  <c r="F89" i="3"/>
  <c r="G86" i="3"/>
  <c r="G90" i="3" s="1"/>
  <c r="F41" i="3"/>
  <c r="F44" i="3" s="1"/>
  <c r="G92" i="3" l="1"/>
  <c r="H92" i="3"/>
  <c r="E92" i="3"/>
  <c r="F92" i="3"/>
  <c r="I92" i="3"/>
  <c r="X67" i="3"/>
  <c r="E91" i="3"/>
  <c r="G91" i="3"/>
  <c r="H91" i="3"/>
  <c r="D91" i="3"/>
  <c r="F91" i="3"/>
  <c r="I91" i="3"/>
  <c r="AA36" i="2"/>
  <c r="AA36" i="3" s="1"/>
  <c r="F51" i="3"/>
  <c r="F54" i="3" s="1"/>
  <c r="F55" i="3" s="1"/>
  <c r="Y35" i="3"/>
  <c r="Y37" i="3" s="1"/>
  <c r="Y59" i="3" s="1"/>
  <c r="Y131" i="3"/>
  <c r="Y132" i="3"/>
  <c r="Z108" i="3"/>
  <c r="Z120" i="3"/>
  <c r="Z126" i="3"/>
  <c r="Z125" i="3"/>
  <c r="Z41" i="2"/>
  <c r="Y110" i="3"/>
  <c r="Y122" i="3"/>
  <c r="X110" i="3"/>
  <c r="X122" i="3"/>
  <c r="AA7" i="3"/>
  <c r="AA45" i="2"/>
  <c r="AA26" i="3" s="1"/>
  <c r="AA32" i="3" s="1"/>
  <c r="F45" i="3"/>
  <c r="AB24" i="2"/>
  <c r="AB23" i="5"/>
  <c r="AB19" i="6"/>
  <c r="AD18" i="6"/>
  <c r="AB36" i="2" l="1"/>
  <c r="AB36" i="3" s="1"/>
  <c r="Y67" i="3"/>
  <c r="G51" i="3"/>
  <c r="G54" i="3" s="1"/>
  <c r="G55" i="3" s="1"/>
  <c r="G41" i="3"/>
  <c r="G44" i="3" s="1"/>
  <c r="G45" i="3" s="1"/>
  <c r="Z35" i="3"/>
  <c r="Z131" i="3"/>
  <c r="Z132" i="3"/>
  <c r="AA108" i="3"/>
  <c r="AA120" i="3"/>
  <c r="AA126" i="3"/>
  <c r="AA125" i="3"/>
  <c r="AA41" i="2"/>
  <c r="AB7" i="3"/>
  <c r="AB45" i="2"/>
  <c r="AB26" i="3" s="1"/>
  <c r="AB32" i="3" s="1"/>
  <c r="AC24" i="2"/>
  <c r="AC23" i="5"/>
  <c r="AC19" i="6"/>
  <c r="AE18" i="6"/>
  <c r="P12" i="3"/>
  <c r="P18" i="3" s="1"/>
  <c r="AB12" i="3"/>
  <c r="AB18" i="3" s="1"/>
  <c r="AI12" i="3"/>
  <c r="AI18" i="3" s="1"/>
  <c r="E12" i="3"/>
  <c r="E18" i="3" s="1"/>
  <c r="Q12" i="3"/>
  <c r="Q18" i="3" s="1"/>
  <c r="AC12" i="3"/>
  <c r="AC18" i="3" s="1"/>
  <c r="AJ12" i="3"/>
  <c r="AJ18" i="3" s="1"/>
  <c r="F12" i="3"/>
  <c r="F18" i="3" s="1"/>
  <c r="R12" i="3"/>
  <c r="R18" i="3" s="1"/>
  <c r="AD12" i="3"/>
  <c r="AD18" i="3" s="1"/>
  <c r="D12" i="3"/>
  <c r="D18" i="3" s="1"/>
  <c r="G12" i="3"/>
  <c r="G18" i="3" s="1"/>
  <c r="S12" i="3"/>
  <c r="S18" i="3" s="1"/>
  <c r="AE12" i="3"/>
  <c r="AE18" i="3" s="1"/>
  <c r="H12" i="3"/>
  <c r="H18" i="3" s="1"/>
  <c r="T12" i="3"/>
  <c r="T18" i="3" s="1"/>
  <c r="AF12" i="3"/>
  <c r="AF18" i="3" s="1"/>
  <c r="AA12" i="3"/>
  <c r="AA18" i="3" s="1"/>
  <c r="I12" i="3"/>
  <c r="I18" i="3" s="1"/>
  <c r="U12" i="3"/>
  <c r="U18" i="3" s="1"/>
  <c r="AG12" i="3"/>
  <c r="AG18" i="3" s="1"/>
  <c r="J12" i="3"/>
  <c r="J18" i="3" s="1"/>
  <c r="V12" i="3"/>
  <c r="V18" i="3" s="1"/>
  <c r="AH12" i="3"/>
  <c r="AH18" i="3" s="1"/>
  <c r="K12" i="3"/>
  <c r="K18" i="3" s="1"/>
  <c r="W12" i="3"/>
  <c r="W18" i="3" s="1"/>
  <c r="L12" i="3"/>
  <c r="L18" i="3" s="1"/>
  <c r="X12" i="3"/>
  <c r="X18" i="3" s="1"/>
  <c r="M12" i="3"/>
  <c r="M18" i="3" s="1"/>
  <c r="Y12" i="3"/>
  <c r="Y18" i="3" s="1"/>
  <c r="N12" i="3"/>
  <c r="N18" i="3" s="1"/>
  <c r="Z12" i="3"/>
  <c r="Z18" i="3" s="1"/>
  <c r="O12" i="3"/>
  <c r="O18" i="3" s="1"/>
  <c r="Z37" i="3" l="1"/>
  <c r="Z67" i="3" s="1"/>
  <c r="AC36" i="2"/>
  <c r="AC36" i="3" s="1"/>
  <c r="H51" i="3"/>
  <c r="H54" i="3" s="1"/>
  <c r="H55" i="3" s="1"/>
  <c r="H41" i="3"/>
  <c r="H44" i="3" s="1"/>
  <c r="H45" i="3" s="1"/>
  <c r="AA35" i="3"/>
  <c r="AA132" i="3"/>
  <c r="AA131" i="3"/>
  <c r="AB108" i="3"/>
  <c r="AB120" i="3"/>
  <c r="AB126" i="3"/>
  <c r="AB125" i="3"/>
  <c r="AB41" i="2"/>
  <c r="Z110" i="3"/>
  <c r="Z122" i="3"/>
  <c r="AC7" i="3"/>
  <c r="AC45" i="2"/>
  <c r="AC26" i="3" s="1"/>
  <c r="AC32" i="3" s="1"/>
  <c r="AA122" i="3"/>
  <c r="AA110" i="3"/>
  <c r="AD24" i="2"/>
  <c r="AD23" i="5"/>
  <c r="AD19" i="6"/>
  <c r="AD36" i="2" s="1"/>
  <c r="AF18" i="6"/>
  <c r="AA37" i="3" l="1"/>
  <c r="AA67" i="3" s="1"/>
  <c r="I51" i="3"/>
  <c r="I54" i="3" s="1"/>
  <c r="I55" i="3" s="1"/>
  <c r="I41" i="3"/>
  <c r="I44" i="3" s="1"/>
  <c r="I45" i="3" s="1"/>
  <c r="AB35" i="3"/>
  <c r="AB132" i="3"/>
  <c r="AB131" i="3"/>
  <c r="AC108" i="3"/>
  <c r="AC120" i="3"/>
  <c r="AC126" i="3"/>
  <c r="AC125" i="3"/>
  <c r="AC41" i="2"/>
  <c r="AB122" i="3"/>
  <c r="AD36" i="3"/>
  <c r="AD7" i="3"/>
  <c r="AD45" i="2"/>
  <c r="AD26" i="3" s="1"/>
  <c r="AD32" i="3" s="1"/>
  <c r="AE24" i="2"/>
  <c r="AE23" i="5"/>
  <c r="AE19" i="6"/>
  <c r="AE36" i="2" s="1"/>
  <c r="AG18" i="6"/>
  <c r="AB37" i="3" l="1"/>
  <c r="AB67" i="3" s="1"/>
  <c r="J51" i="3"/>
  <c r="J54" i="3" s="1"/>
  <c r="J53" i="3" s="1"/>
  <c r="J41" i="3"/>
  <c r="J44" i="3" s="1"/>
  <c r="J45" i="3" s="1"/>
  <c r="AC35" i="3"/>
  <c r="AC132" i="3"/>
  <c r="AC131" i="3"/>
  <c r="AD108" i="3"/>
  <c r="AD120" i="3"/>
  <c r="AD126" i="3"/>
  <c r="AD125" i="3"/>
  <c r="AD41" i="2"/>
  <c r="AC110" i="3"/>
  <c r="AB110" i="3"/>
  <c r="AE45" i="2"/>
  <c r="AE26" i="3" s="1"/>
  <c r="AE36" i="3"/>
  <c r="AE7" i="3"/>
  <c r="AF24" i="2"/>
  <c r="AF23" i="5"/>
  <c r="AF19" i="6"/>
  <c r="AF36" i="2" s="1"/>
  <c r="AH18" i="6"/>
  <c r="AE32" i="3" l="1"/>
  <c r="AC37" i="3"/>
  <c r="AC67" i="3" s="1"/>
  <c r="J58" i="3"/>
  <c r="J59" i="3" s="1"/>
  <c r="J55" i="3"/>
  <c r="K41" i="3"/>
  <c r="AD35" i="3"/>
  <c r="AD132" i="3"/>
  <c r="AD131" i="3"/>
  <c r="AE108" i="3"/>
  <c r="AE120" i="3"/>
  <c r="AE125" i="3"/>
  <c r="AE126" i="3"/>
  <c r="AE41" i="2"/>
  <c r="AC122" i="3"/>
  <c r="AF45" i="2"/>
  <c r="AF26" i="3" s="1"/>
  <c r="AF36" i="3"/>
  <c r="AF7" i="3"/>
  <c r="AD122" i="3"/>
  <c r="AG24" i="2"/>
  <c r="AG23" i="5"/>
  <c r="AG19" i="6"/>
  <c r="AG36" i="2" s="1"/>
  <c r="AF32" i="3" l="1"/>
  <c r="AD37" i="3"/>
  <c r="AD67" i="3" s="1"/>
  <c r="J60" i="3"/>
  <c r="J61" i="3"/>
  <c r="J63" i="3" s="1"/>
  <c r="K44" i="3"/>
  <c r="K45" i="3" s="1"/>
  <c r="L41" i="3" s="1"/>
  <c r="L44" i="3" s="1"/>
  <c r="L45" i="3" s="1"/>
  <c r="K51" i="3"/>
  <c r="K54" i="3" s="1"/>
  <c r="K53" i="3" s="1"/>
  <c r="J68" i="3"/>
  <c r="J70" i="3" s="1"/>
  <c r="J75" i="3"/>
  <c r="AE35" i="3"/>
  <c r="AE132" i="3"/>
  <c r="AE131" i="3"/>
  <c r="AF108" i="3"/>
  <c r="AF120" i="3"/>
  <c r="AF126" i="3"/>
  <c r="AF125" i="3"/>
  <c r="AF41" i="2"/>
  <c r="AG7" i="3"/>
  <c r="AG45" i="2"/>
  <c r="AG26" i="3" s="1"/>
  <c r="AG32" i="3" s="1"/>
  <c r="AG36" i="3"/>
  <c r="AE110" i="3"/>
  <c r="AE122" i="3"/>
  <c r="AD110" i="3"/>
  <c r="AH24" i="2"/>
  <c r="AH23" i="5"/>
  <c r="AH19" i="6"/>
  <c r="AH36" i="2" l="1"/>
  <c r="AE37" i="3"/>
  <c r="AE67" i="3" s="1"/>
  <c r="J71" i="3"/>
  <c r="K55" i="3"/>
  <c r="K58" i="3"/>
  <c r="K59" i="3" s="1"/>
  <c r="M41" i="3"/>
  <c r="M44" i="3" s="1"/>
  <c r="M45" i="3" s="1"/>
  <c r="AF35" i="3"/>
  <c r="AF132" i="3"/>
  <c r="AF131" i="3"/>
  <c r="AG108" i="3"/>
  <c r="AG120" i="3"/>
  <c r="AG126" i="3"/>
  <c r="AG125" i="3"/>
  <c r="AG41" i="2"/>
  <c r="AH7" i="3"/>
  <c r="AH45" i="2"/>
  <c r="AH26" i="3" s="1"/>
  <c r="AH32" i="3" s="1"/>
  <c r="AH36" i="3"/>
  <c r="C36" i="3" s="1"/>
  <c r="AF122" i="3"/>
  <c r="AF37" i="3" l="1"/>
  <c r="AF67" i="3" s="1"/>
  <c r="L51" i="3"/>
  <c r="L54" i="3" s="1"/>
  <c r="J128" i="3"/>
  <c r="J73" i="3"/>
  <c r="J85" i="3" s="1"/>
  <c r="K75" i="3"/>
  <c r="K60" i="3"/>
  <c r="K68" i="3"/>
  <c r="K70" i="3" s="1"/>
  <c r="K61" i="3"/>
  <c r="K63" i="3" s="1"/>
  <c r="N41" i="3"/>
  <c r="N44" i="3" s="1"/>
  <c r="N45" i="3" s="1"/>
  <c r="AG35" i="3"/>
  <c r="AG131" i="3"/>
  <c r="AG132" i="3"/>
  <c r="AH108" i="3"/>
  <c r="AH120" i="3"/>
  <c r="AH126" i="3"/>
  <c r="AH125" i="3"/>
  <c r="AH41" i="2"/>
  <c r="AF110" i="3"/>
  <c r="AG110" i="3"/>
  <c r="AG122" i="3"/>
  <c r="AG37" i="3" l="1"/>
  <c r="AG67" i="3" s="1"/>
  <c r="K128" i="3"/>
  <c r="K71" i="3"/>
  <c r="K73" i="3" s="1"/>
  <c r="K85" i="3" s="1"/>
  <c r="K86" i="3" s="1"/>
  <c r="J86" i="3"/>
  <c r="J90" i="3" s="1"/>
  <c r="J89" i="3"/>
  <c r="L53" i="3"/>
  <c r="L58" i="3" s="1"/>
  <c r="O41" i="3"/>
  <c r="O44" i="3" s="1"/>
  <c r="O45" i="3" s="1"/>
  <c r="AH35" i="3"/>
  <c r="AH132" i="3"/>
  <c r="AH131" i="3"/>
  <c r="AH110" i="3"/>
  <c r="AH122" i="3"/>
  <c r="J92" i="3" l="1"/>
  <c r="AH37" i="3"/>
  <c r="AH67" i="3" s="1"/>
  <c r="J91" i="3"/>
  <c r="L55" i="3"/>
  <c r="M51" i="3" s="1"/>
  <c r="M54" i="3" s="1"/>
  <c r="K89" i="3"/>
  <c r="K92" i="3" s="1"/>
  <c r="K90" i="3"/>
  <c r="L75" i="3"/>
  <c r="L59" i="3"/>
  <c r="L68" i="3"/>
  <c r="L70" i="3" s="1"/>
  <c r="P41" i="3"/>
  <c r="P44" i="3" s="1"/>
  <c r="P45" i="3" s="1"/>
  <c r="K91" i="3" l="1"/>
  <c r="L60" i="3"/>
  <c r="L61" i="3"/>
  <c r="L63" i="3" s="1"/>
  <c r="M53" i="3"/>
  <c r="M58" i="3" s="1"/>
  <c r="Q41" i="3"/>
  <c r="Q44" i="3" s="1"/>
  <c r="Q45" i="3" s="1"/>
  <c r="M55" i="3" l="1"/>
  <c r="N51" i="3" s="1"/>
  <c r="N54" i="3" s="1"/>
  <c r="L71" i="3"/>
  <c r="L73" i="3" s="1"/>
  <c r="L85" i="3" s="1"/>
  <c r="L128" i="3"/>
  <c r="M75" i="3"/>
  <c r="M59" i="3"/>
  <c r="M60" i="3" s="1"/>
  <c r="M68" i="3"/>
  <c r="M70" i="3" s="1"/>
  <c r="R41" i="3"/>
  <c r="R44" i="3" s="1"/>
  <c r="R45" i="3" s="1"/>
  <c r="C26" i="3"/>
  <c r="C45" i="2"/>
  <c r="L22" i="8" l="1"/>
  <c r="D22" i="8"/>
  <c r="M61" i="3"/>
  <c r="M63" i="3" s="1"/>
  <c r="L86" i="3"/>
  <c r="L90" i="3" s="1"/>
  <c r="L89" i="3"/>
  <c r="N53" i="3"/>
  <c r="N58" i="3" s="1"/>
  <c r="S41" i="3"/>
  <c r="S44" i="3" s="1"/>
  <c r="S45" i="3" s="1"/>
  <c r="C125" i="3"/>
  <c r="E28" i="8" s="1"/>
  <c r="C126" i="3"/>
  <c r="C41" i="2"/>
  <c r="L92" i="3" l="1"/>
  <c r="L91" i="3"/>
  <c r="N55" i="3"/>
  <c r="O51" i="3" s="1"/>
  <c r="O54" i="3" s="1"/>
  <c r="N75" i="3"/>
  <c r="N59" i="3"/>
  <c r="N68" i="3"/>
  <c r="N70" i="3" s="1"/>
  <c r="M71" i="3"/>
  <c r="M73" i="3" s="1"/>
  <c r="M85" i="3" s="1"/>
  <c r="M128" i="3"/>
  <c r="T41" i="3"/>
  <c r="T44" i="3" s="1"/>
  <c r="T45" i="3" s="1"/>
  <c r="C132" i="3"/>
  <c r="L28" i="8" s="1"/>
  <c r="C35" i="3"/>
  <c r="C37" i="3" s="1"/>
  <c r="C32" i="3"/>
  <c r="C131" i="3"/>
  <c r="D28" i="8" s="1"/>
  <c r="C28" i="8" s="1"/>
  <c r="M15" i="8"/>
  <c r="K15" i="8" s="1"/>
  <c r="M28" i="8"/>
  <c r="M23" i="8"/>
  <c r="K23" i="8" s="1"/>
  <c r="M22" i="8"/>
  <c r="M21" i="8"/>
  <c r="K21" i="8" s="1"/>
  <c r="M20" i="8"/>
  <c r="K20" i="8" s="1"/>
  <c r="M19" i="8"/>
  <c r="K19" i="8" s="1"/>
  <c r="M18" i="8"/>
  <c r="K18" i="8" s="1"/>
  <c r="M17" i="8"/>
  <c r="K17" i="8" s="1"/>
  <c r="M25" i="8"/>
  <c r="M24" i="8"/>
  <c r="M16" i="8"/>
  <c r="K16" i="8" s="1"/>
  <c r="E19" i="8"/>
  <c r="C19" i="8" s="1"/>
  <c r="E20" i="8"/>
  <c r="C20" i="8" s="1"/>
  <c r="E21" i="8"/>
  <c r="C21" i="8" s="1"/>
  <c r="E22" i="8"/>
  <c r="E16" i="8"/>
  <c r="C16" i="8" s="1"/>
  <c r="E18" i="8"/>
  <c r="C18" i="8" s="1"/>
  <c r="E23" i="8"/>
  <c r="C23" i="8" s="1"/>
  <c r="E24" i="8"/>
  <c r="E15" i="8"/>
  <c r="C15" i="8" s="1"/>
  <c r="E17" i="8"/>
  <c r="C17" i="8" s="1"/>
  <c r="C122" i="3"/>
  <c r="C110" i="3"/>
  <c r="D24" i="8" s="1"/>
  <c r="C24" i="8" l="1"/>
  <c r="O53" i="3"/>
  <c r="O58" i="3" s="1"/>
  <c r="M86" i="3"/>
  <c r="M90" i="3" s="1"/>
  <c r="M89" i="3"/>
  <c r="N60" i="3"/>
  <c r="N61" i="3"/>
  <c r="N63" i="3" s="1"/>
  <c r="U41" i="3"/>
  <c r="U44" i="3" s="1"/>
  <c r="U45" i="3" s="1"/>
  <c r="C67" i="3"/>
  <c r="K28" i="8"/>
  <c r="K22" i="8"/>
  <c r="C22" i="8"/>
  <c r="M92" i="3" l="1"/>
  <c r="M91" i="3"/>
  <c r="O55" i="3"/>
  <c r="P51" i="3" s="1"/>
  <c r="P54" i="3" s="1"/>
  <c r="N71" i="3"/>
  <c r="N73" i="3" s="1"/>
  <c r="N128" i="3"/>
  <c r="O75" i="3"/>
  <c r="O59" i="3"/>
  <c r="O60" i="3" s="1"/>
  <c r="O68" i="3"/>
  <c r="O70" i="3" s="1"/>
  <c r="V41" i="3"/>
  <c r="V44" i="3" s="1"/>
  <c r="V45" i="3" s="1"/>
  <c r="C29" i="8"/>
  <c r="N85" i="3" l="1"/>
  <c r="N86" i="3" s="1"/>
  <c r="N90" i="3" s="1"/>
  <c r="P53" i="3"/>
  <c r="P58" i="3" s="1"/>
  <c r="O61" i="3"/>
  <c r="O63" i="3" s="1"/>
  <c r="W41" i="3"/>
  <c r="W44" i="3" s="1"/>
  <c r="W45" i="3" s="1"/>
  <c r="N89" i="3" l="1"/>
  <c r="N92" i="3" s="1"/>
  <c r="N91" i="3"/>
  <c r="P55" i="3"/>
  <c r="Q51" i="3" s="1"/>
  <c r="Q54" i="3" s="1"/>
  <c r="P75" i="3"/>
  <c r="P59" i="3"/>
  <c r="P68" i="3"/>
  <c r="P70" i="3" s="1"/>
  <c r="O71" i="3"/>
  <c r="O73" i="3" s="1"/>
  <c r="O85" i="3" s="1"/>
  <c r="O128" i="3"/>
  <c r="X41" i="3"/>
  <c r="X44" i="3" s="1"/>
  <c r="X45" i="3" s="1"/>
  <c r="Q53" i="3" l="1"/>
  <c r="Q58" i="3" s="1"/>
  <c r="O86" i="3"/>
  <c r="O90" i="3" s="1"/>
  <c r="O91" i="3" s="1"/>
  <c r="O89" i="3"/>
  <c r="O92" i="3" s="1"/>
  <c r="P61" i="3"/>
  <c r="P63" i="3" s="1"/>
  <c r="P60" i="3"/>
  <c r="Y41" i="3"/>
  <c r="Y44" i="3" s="1"/>
  <c r="Y45" i="3" s="1"/>
  <c r="Q55" i="3" l="1"/>
  <c r="R51" i="3" s="1"/>
  <c r="R54" i="3" s="1"/>
  <c r="P71" i="3"/>
  <c r="P73" i="3" s="1"/>
  <c r="P85" i="3" s="1"/>
  <c r="P128" i="3"/>
  <c r="Q75" i="3"/>
  <c r="Q59" i="3"/>
  <c r="Q60" i="3" s="1"/>
  <c r="Q68" i="3"/>
  <c r="Q70" i="3" s="1"/>
  <c r="Z41" i="3"/>
  <c r="Z44" i="3" s="1"/>
  <c r="Z45" i="3" s="1"/>
  <c r="R53" i="3" l="1"/>
  <c r="R58" i="3" s="1"/>
  <c r="P86" i="3"/>
  <c r="P90" i="3" s="1"/>
  <c r="P91" i="3" s="1"/>
  <c r="P89" i="3"/>
  <c r="P92" i="3" s="1"/>
  <c r="Q61" i="3"/>
  <c r="Q63" i="3" s="1"/>
  <c r="AA41" i="3"/>
  <c r="AA44" i="3" s="1"/>
  <c r="AA45" i="3" s="1"/>
  <c r="R55" i="3" l="1"/>
  <c r="S51" i="3" s="1"/>
  <c r="S54" i="3" s="1"/>
  <c r="Q71" i="3"/>
  <c r="Q73" i="3" s="1"/>
  <c r="Q85" i="3" s="1"/>
  <c r="Q128" i="3"/>
  <c r="R75" i="3"/>
  <c r="R59" i="3"/>
  <c r="R68" i="3"/>
  <c r="R70" i="3" s="1"/>
  <c r="AB41" i="3"/>
  <c r="AB44" i="3" s="1"/>
  <c r="AB45" i="3" s="1"/>
  <c r="R60" i="3" l="1"/>
  <c r="R61" i="3"/>
  <c r="R63" i="3" s="1"/>
  <c r="Q86" i="3"/>
  <c r="Q90" i="3" s="1"/>
  <c r="Q91" i="3" s="1"/>
  <c r="Q89" i="3"/>
  <c r="Q92" i="3" s="1"/>
  <c r="S53" i="3"/>
  <c r="S58" i="3" s="1"/>
  <c r="AC41" i="3"/>
  <c r="AC44" i="3" s="1"/>
  <c r="AC45" i="3" s="1"/>
  <c r="S55" i="3" l="1"/>
  <c r="T51" i="3" s="1"/>
  <c r="T54" i="3" s="1"/>
  <c r="R71" i="3"/>
  <c r="R73" i="3" s="1"/>
  <c r="R85" i="3" s="1"/>
  <c r="R128" i="3"/>
  <c r="S75" i="3"/>
  <c r="S59" i="3"/>
  <c r="S60" i="3" s="1"/>
  <c r="S68" i="3"/>
  <c r="S70" i="3" s="1"/>
  <c r="AD41" i="3"/>
  <c r="AD44" i="3" s="1"/>
  <c r="AD45" i="3" s="1"/>
  <c r="S61" i="3" l="1"/>
  <c r="S63" i="3" s="1"/>
  <c r="S128" i="3" s="1"/>
  <c r="R89" i="3"/>
  <c r="R92" i="3" s="1"/>
  <c r="R86" i="3"/>
  <c r="R90" i="3" s="1"/>
  <c r="R91" i="3" s="1"/>
  <c r="T53" i="3"/>
  <c r="T58" i="3" s="1"/>
  <c r="AE41" i="3"/>
  <c r="AE44" i="3" s="1"/>
  <c r="AE45" i="3" s="1"/>
  <c r="S71" i="3" l="1"/>
  <c r="S73" i="3" s="1"/>
  <c r="T55" i="3"/>
  <c r="U51" i="3" s="1"/>
  <c r="U54" i="3" s="1"/>
  <c r="T75" i="3"/>
  <c r="T68" i="3"/>
  <c r="T70" i="3" s="1"/>
  <c r="T59" i="3"/>
  <c r="AF41" i="3"/>
  <c r="AF44" i="3" s="1"/>
  <c r="AF45" i="3" s="1"/>
  <c r="S85" i="3" l="1"/>
  <c r="S86" i="3" s="1"/>
  <c r="S90" i="3" s="1"/>
  <c r="S91" i="3" s="1"/>
  <c r="T60" i="3"/>
  <c r="T61" i="3"/>
  <c r="T63" i="3" s="1"/>
  <c r="U53" i="3"/>
  <c r="U58" i="3" s="1"/>
  <c r="AG41" i="3"/>
  <c r="AG44" i="3" s="1"/>
  <c r="AG45" i="3" s="1"/>
  <c r="S89" i="3" l="1"/>
  <c r="S92" i="3" s="1"/>
  <c r="U55" i="3"/>
  <c r="V51" i="3" s="1"/>
  <c r="V54" i="3" s="1"/>
  <c r="T71" i="3"/>
  <c r="T73" i="3" s="1"/>
  <c r="T85" i="3" s="1"/>
  <c r="T128" i="3"/>
  <c r="U75" i="3"/>
  <c r="U59" i="3"/>
  <c r="U60" i="3" s="1"/>
  <c r="U68" i="3"/>
  <c r="U70" i="3" s="1"/>
  <c r="AH41" i="3"/>
  <c r="AH44" i="3" s="1"/>
  <c r="AH45" i="3" l="1"/>
  <c r="AI41" i="3" s="1"/>
  <c r="AI44" i="3" s="1"/>
  <c r="U61" i="3"/>
  <c r="U63" i="3" s="1"/>
  <c r="U71" i="3" s="1"/>
  <c r="U73" i="3" s="1"/>
  <c r="U85" i="3" s="1"/>
  <c r="T86" i="3"/>
  <c r="T90" i="3" s="1"/>
  <c r="T91" i="3" s="1"/>
  <c r="T89" i="3"/>
  <c r="T92" i="3" s="1"/>
  <c r="V53" i="3"/>
  <c r="V58" i="3" s="1"/>
  <c r="U128" i="3" l="1"/>
  <c r="V55" i="3"/>
  <c r="W51" i="3" s="1"/>
  <c r="W54" i="3" s="1"/>
  <c r="V75" i="3"/>
  <c r="V59" i="3"/>
  <c r="V68" i="3"/>
  <c r="V70" i="3" s="1"/>
  <c r="U86" i="3"/>
  <c r="U90" i="3" s="1"/>
  <c r="U91" i="3" s="1"/>
  <c r="U89" i="3"/>
  <c r="U92" i="3" s="1"/>
  <c r="V60" i="3" l="1"/>
  <c r="V61" i="3"/>
  <c r="V63" i="3" s="1"/>
  <c r="W53" i="3"/>
  <c r="W58" i="3" s="1"/>
  <c r="W55" i="3" l="1"/>
  <c r="X51" i="3" s="1"/>
  <c r="X54" i="3" s="1"/>
  <c r="V128" i="3"/>
  <c r="V71" i="3"/>
  <c r="V73" i="3" s="1"/>
  <c r="V85" i="3" s="1"/>
  <c r="W75" i="3"/>
  <c r="W68" i="3"/>
  <c r="W70" i="3" s="1"/>
  <c r="W59" i="3"/>
  <c r="W60" i="3" s="1"/>
  <c r="W61" i="3" l="1"/>
  <c r="W63" i="3" s="1"/>
  <c r="W71" i="3" s="1"/>
  <c r="W73" i="3" s="1"/>
  <c r="W85" i="3" s="1"/>
  <c r="V89" i="3"/>
  <c r="V92" i="3" s="1"/>
  <c r="V86" i="3"/>
  <c r="V90" i="3" s="1"/>
  <c r="V91" i="3" s="1"/>
  <c r="X53" i="3"/>
  <c r="X58" i="3" s="1"/>
  <c r="X59" i="3" s="1"/>
  <c r="X55" i="3" l="1"/>
  <c r="Y51" i="3" s="1"/>
  <c r="Y54" i="3" s="1"/>
  <c r="W128" i="3"/>
  <c r="X75" i="3"/>
  <c r="X68" i="3"/>
  <c r="X70" i="3" s="1"/>
  <c r="W89" i="3"/>
  <c r="W92" i="3" s="1"/>
  <c r="W86" i="3"/>
  <c r="W90" i="3" s="1"/>
  <c r="W91" i="3" s="1"/>
  <c r="Y53" i="3" l="1"/>
  <c r="X60" i="3"/>
  <c r="X61" i="3"/>
  <c r="X63" i="3" s="1"/>
  <c r="Y55" i="3" l="1"/>
  <c r="Z51" i="3" s="1"/>
  <c r="Z54" i="3" s="1"/>
  <c r="Z53" i="3" s="1"/>
  <c r="Y60" i="3"/>
  <c r="X71" i="3"/>
  <c r="X73" i="3" s="1"/>
  <c r="X128" i="3"/>
  <c r="Y75" i="3"/>
  <c r="Y68" i="3"/>
  <c r="Y70" i="3" s="1"/>
  <c r="X85" i="3" l="1"/>
  <c r="X86" i="3" s="1"/>
  <c r="X90" i="3" s="1"/>
  <c r="X91" i="3" s="1"/>
  <c r="Y61" i="3"/>
  <c r="Y63" i="3" s="1"/>
  <c r="Z55" i="3"/>
  <c r="Z58" i="3"/>
  <c r="X89" i="3" l="1"/>
  <c r="X92" i="3" s="1"/>
  <c r="AA51" i="3"/>
  <c r="AA54" i="3" s="1"/>
  <c r="Z75" i="3"/>
  <c r="Z59" i="3"/>
  <c r="Z68" i="3"/>
  <c r="Z70" i="3" s="1"/>
  <c r="Y128" i="3"/>
  <c r="Y71" i="3"/>
  <c r="Y73" i="3" s="1"/>
  <c r="Y85" i="3" s="1"/>
  <c r="Y89" i="3" l="1"/>
  <c r="Y92" i="3" s="1"/>
  <c r="Y86" i="3"/>
  <c r="Y90" i="3" s="1"/>
  <c r="Y91" i="3" s="1"/>
  <c r="Z60" i="3"/>
  <c r="Z61" i="3"/>
  <c r="Z63" i="3" s="1"/>
  <c r="AA53" i="3"/>
  <c r="AA58" i="3" s="1"/>
  <c r="AA55" i="3" l="1"/>
  <c r="AB51" i="3" s="1"/>
  <c r="AB54" i="3" s="1"/>
  <c r="Z71" i="3"/>
  <c r="Z73" i="3" s="1"/>
  <c r="Z85" i="3" s="1"/>
  <c r="Z128" i="3"/>
  <c r="AA75" i="3"/>
  <c r="AA59" i="3"/>
  <c r="AA60" i="3" s="1"/>
  <c r="AA68" i="3"/>
  <c r="AA70" i="3" s="1"/>
  <c r="AA61" i="3" l="1"/>
  <c r="AA63" i="3" s="1"/>
  <c r="AA71" i="3" s="1"/>
  <c r="AA73" i="3" s="1"/>
  <c r="AA85" i="3" s="1"/>
  <c r="Z86" i="3"/>
  <c r="Z90" i="3" s="1"/>
  <c r="Z91" i="3" s="1"/>
  <c r="Z89" i="3"/>
  <c r="Z92" i="3" s="1"/>
  <c r="AB53" i="3"/>
  <c r="AB58" i="3" s="1"/>
  <c r="AA128" i="3" l="1"/>
  <c r="AB55" i="3"/>
  <c r="AB75" i="3"/>
  <c r="AB59" i="3"/>
  <c r="AB68" i="3"/>
  <c r="AB70" i="3" s="1"/>
  <c r="AA89" i="3"/>
  <c r="AA92" i="3" s="1"/>
  <c r="AA86" i="3"/>
  <c r="AA90" i="3" s="1"/>
  <c r="AA91" i="3" s="1"/>
  <c r="AB60" i="3" l="1"/>
  <c r="AB61" i="3"/>
  <c r="AB63" i="3" s="1"/>
  <c r="AC51" i="3"/>
  <c r="AC54" i="3" s="1"/>
  <c r="AB71" i="3" l="1"/>
  <c r="AB128" i="3"/>
  <c r="AC53" i="3"/>
  <c r="AC58" i="3" s="1"/>
  <c r="AC55" i="3" l="1"/>
  <c r="AD51" i="3" s="1"/>
  <c r="AD54" i="3" s="1"/>
  <c r="AC75" i="3"/>
  <c r="AC68" i="3"/>
  <c r="AC70" i="3" s="1"/>
  <c r="AC59" i="3"/>
  <c r="AB73" i="3"/>
  <c r="AB85" i="3" s="1"/>
  <c r="AC60" i="3" l="1"/>
  <c r="AC61" i="3"/>
  <c r="AC63" i="3" s="1"/>
  <c r="AB89" i="3"/>
  <c r="AB92" i="3" s="1"/>
  <c r="AB86" i="3"/>
  <c r="AD53" i="3"/>
  <c r="AD58" i="3" s="1"/>
  <c r="AD55" i="3" l="1"/>
  <c r="AE51" i="3" s="1"/>
  <c r="AE54" i="3" s="1"/>
  <c r="AD75" i="3"/>
  <c r="AD68" i="3"/>
  <c r="AD70" i="3" s="1"/>
  <c r="AD59" i="3"/>
  <c r="AD60" i="3" s="1"/>
  <c r="AC128" i="3"/>
  <c r="AC71" i="3"/>
  <c r="AB90" i="3"/>
  <c r="AB91" i="3" s="1"/>
  <c r="AD61" i="3" l="1"/>
  <c r="AD63" i="3" s="1"/>
  <c r="AD128" i="3" s="1"/>
  <c r="AE53" i="3"/>
  <c r="AE58" i="3" s="1"/>
  <c r="AC73" i="3"/>
  <c r="AC85" i="3" s="1"/>
  <c r="AD71" i="3" l="1"/>
  <c r="AD73" i="3" s="1"/>
  <c r="AE55" i="3"/>
  <c r="AF51" i="3" s="1"/>
  <c r="AF54" i="3" s="1"/>
  <c r="AE75" i="3"/>
  <c r="AE68" i="3"/>
  <c r="AE70" i="3" s="1"/>
  <c r="AE59" i="3"/>
  <c r="AC86" i="3"/>
  <c r="AC89" i="3"/>
  <c r="AC92" i="3" s="1"/>
  <c r="AD85" i="3" l="1"/>
  <c r="AD89" i="3" s="1"/>
  <c r="AD92" i="3" s="1"/>
  <c r="AF53" i="3"/>
  <c r="AF58" i="3" s="1"/>
  <c r="AC90" i="3"/>
  <c r="AC91" i="3" s="1"/>
  <c r="AE60" i="3"/>
  <c r="AE61" i="3"/>
  <c r="AE63" i="3" s="1"/>
  <c r="AD86" i="3" l="1"/>
  <c r="AD90" i="3" s="1"/>
  <c r="AD91" i="3" s="1"/>
  <c r="AF55" i="3"/>
  <c r="AG51" i="3" s="1"/>
  <c r="AG54" i="3" s="1"/>
  <c r="AE71" i="3"/>
  <c r="AE128" i="3"/>
  <c r="AF75" i="3"/>
  <c r="AF68" i="3"/>
  <c r="AF70" i="3" s="1"/>
  <c r="AF59" i="3"/>
  <c r="AF61" i="3" l="1"/>
  <c r="AF63" i="3" s="1"/>
  <c r="AF60" i="3"/>
  <c r="AE73" i="3"/>
  <c r="AE85" i="3" s="1"/>
  <c r="AG53" i="3"/>
  <c r="AG58" i="3" s="1"/>
  <c r="AG75" i="3" l="1"/>
  <c r="AG59" i="3"/>
  <c r="AG60" i="3" s="1"/>
  <c r="AG68" i="3"/>
  <c r="AG70" i="3" s="1"/>
  <c r="AG55" i="3"/>
  <c r="AH53" i="3" s="1"/>
  <c r="AE89" i="3"/>
  <c r="AE92" i="3" s="1"/>
  <c r="AE86" i="3"/>
  <c r="AF128" i="3"/>
  <c r="AF71" i="3"/>
  <c r="AG61" i="3" l="1"/>
  <c r="AG63" i="3" s="1"/>
  <c r="AG128" i="3" s="1"/>
  <c r="AF73" i="3"/>
  <c r="AF85" i="3" s="1"/>
  <c r="AE90" i="3"/>
  <c r="AE91" i="3" s="1"/>
  <c r="AH51" i="3"/>
  <c r="AH54" i="3" s="1"/>
  <c r="AG71" i="3" l="1"/>
  <c r="AG73" i="3" s="1"/>
  <c r="AH58" i="3"/>
  <c r="AF89" i="3"/>
  <c r="AF92" i="3" s="1"/>
  <c r="AF86" i="3"/>
  <c r="AG85" i="3" l="1"/>
  <c r="AG86" i="3" s="1"/>
  <c r="AG90" i="3" s="1"/>
  <c r="AH55" i="3"/>
  <c r="AI51" i="3" s="1"/>
  <c r="AF90" i="3"/>
  <c r="AF91" i="3" s="1"/>
  <c r="AH75" i="3"/>
  <c r="AH59" i="3"/>
  <c r="AH61" i="3" s="1"/>
  <c r="AH68" i="3"/>
  <c r="AH70" i="3" s="1"/>
  <c r="AG89" i="3" l="1"/>
  <c r="AG92" i="3" s="1"/>
  <c r="AG91" i="3"/>
  <c r="AH60" i="3"/>
  <c r="AH63" i="3"/>
  <c r="AH71" i="3" s="1"/>
  <c r="AH128" i="3" l="1"/>
  <c r="AH73" i="3" l="1"/>
  <c r="AH85" i="3" l="1"/>
  <c r="C85" i="3" s="1"/>
  <c r="AH89" i="3" l="1"/>
  <c r="AH86" i="3"/>
  <c r="AH90" i="3" s="1"/>
  <c r="C90" i="3" s="1"/>
  <c r="C89" i="3" l="1"/>
  <c r="AJ92" i="3"/>
  <c r="AH92" i="3"/>
  <c r="AI92" i="3"/>
  <c r="AJ91" i="3"/>
  <c r="AH91" i="3"/>
  <c r="AI91" i="3"/>
  <c r="AI54" i="3"/>
  <c r="C63" i="3" l="1"/>
  <c r="C68" i="3"/>
  <c r="C71" i="3" l="1"/>
  <c r="C70" i="3"/>
  <c r="C73" i="3" l="1"/>
  <c r="C128" i="3"/>
  <c r="L25" i="8" s="1"/>
  <c r="L24" i="8"/>
  <c r="K24" i="8" s="1"/>
  <c r="C8" i="8" l="1"/>
  <c r="K25" i="8"/>
  <c r="K29" i="8" s="1"/>
  <c r="C94" i="3"/>
  <c r="C10" i="8" s="1"/>
  <c r="C95" i="3" l="1"/>
  <c r="C9" i="8" s="1"/>
  <c r="K30" i="8"/>
  <c r="C86" i="3" l="1"/>
  <c r="C7" i="8"/>
  <c r="C30" i="8" l="1"/>
</calcChain>
</file>

<file path=xl/sharedStrings.xml><?xml version="1.0" encoding="utf-8"?>
<sst xmlns="http://schemas.openxmlformats.org/spreadsheetml/2006/main" count="429" uniqueCount="310">
  <si>
    <t>(mil.EUR)</t>
  </si>
  <si>
    <t xml:space="preserve">Cost Categories </t>
  </si>
  <si>
    <t xml:space="preserve">Specific Cost </t>
  </si>
  <si>
    <t>%</t>
  </si>
  <si>
    <t>Development cost</t>
  </si>
  <si>
    <t xml:space="preserve">Turbine supply </t>
  </si>
  <si>
    <t xml:space="preserve">Monopile  </t>
  </si>
  <si>
    <t xml:space="preserve">Transition Piece </t>
  </si>
  <si>
    <t>Secondary Steel Structures</t>
  </si>
  <si>
    <t xml:space="preserve">Foundation </t>
  </si>
  <si>
    <t xml:space="preserve">Dredging &amp; Survey </t>
  </si>
  <si>
    <t>Foundation &amp; TP Install</t>
  </si>
  <si>
    <t xml:space="preserve">Turbine Install </t>
  </si>
  <si>
    <t xml:space="preserve">Scour protection </t>
  </si>
  <si>
    <t xml:space="preserve">PLGR </t>
  </si>
  <si>
    <t xml:space="preserve">Array Cable Install </t>
  </si>
  <si>
    <t xml:space="preserve">Substation Install </t>
  </si>
  <si>
    <t xml:space="preserve">Export Cable Install </t>
  </si>
  <si>
    <t xml:space="preserve">Installation </t>
  </si>
  <si>
    <t xml:space="preserve">Inter-Array Cable Supply </t>
  </si>
  <si>
    <t xml:space="preserve">Offshore Substation Supply </t>
  </si>
  <si>
    <t>Offshore Export Cable Supply</t>
  </si>
  <si>
    <t xml:space="preserve">Construction Insurance </t>
  </si>
  <si>
    <t>Project Management</t>
  </si>
  <si>
    <t xml:space="preserve">Contingency </t>
  </si>
  <si>
    <t xml:space="preserve">Other CAPEX  </t>
  </si>
  <si>
    <t xml:space="preserve">Total </t>
  </si>
  <si>
    <t xml:space="preserve">Number of Turbines </t>
  </si>
  <si>
    <t>(mm2)</t>
  </si>
  <si>
    <t>Debt</t>
  </si>
  <si>
    <t xml:space="preserve">Equity </t>
  </si>
  <si>
    <t xml:space="preserve">Debt rate </t>
  </si>
  <si>
    <t xml:space="preserve">Equity rate </t>
  </si>
  <si>
    <t xml:space="preserve">Currency </t>
  </si>
  <si>
    <t>EUR</t>
  </si>
  <si>
    <t xml:space="preserve">Inflation rate </t>
  </si>
  <si>
    <t>Construction</t>
  </si>
  <si>
    <t xml:space="preserve">Operation </t>
  </si>
  <si>
    <t>Decommission</t>
  </si>
  <si>
    <t xml:space="preserve">Financial Close </t>
  </si>
  <si>
    <t xml:space="preserve">DEVEX </t>
  </si>
  <si>
    <t xml:space="preserve">CAPEX </t>
  </si>
  <si>
    <t xml:space="preserve">OPEX </t>
  </si>
  <si>
    <t>DECOM</t>
  </si>
  <si>
    <t>Net (GWh)</t>
  </si>
  <si>
    <t xml:space="preserve">Operational Years </t>
  </si>
  <si>
    <t>Gros AEP (GWh)</t>
  </si>
  <si>
    <t>Net AEP (GWh)</t>
  </si>
  <si>
    <t xml:space="preserve">Gross Capacity factor </t>
  </si>
  <si>
    <t xml:space="preserve">Wake Loss </t>
  </si>
  <si>
    <t xml:space="preserve">Net Capacity Factor </t>
  </si>
  <si>
    <t xml:space="preserve">Financial Inputs </t>
  </si>
  <si>
    <t>CAPEX</t>
  </si>
  <si>
    <t xml:space="preserve">Project Development </t>
  </si>
  <si>
    <t xml:space="preserve">Array Cable loss </t>
  </si>
  <si>
    <t xml:space="preserve">Export cable loss </t>
  </si>
  <si>
    <t>Turbine Transformer Loss</t>
  </si>
  <si>
    <t>OHVS loss</t>
  </si>
  <si>
    <t xml:space="preserve">Availability loss </t>
  </si>
  <si>
    <t>Gross AEP (GWh)</t>
  </si>
  <si>
    <t>WACC (Real - Post tax)</t>
  </si>
  <si>
    <t>WACC (Nominal Pre-tax)</t>
  </si>
  <si>
    <t>WACC (Nominal Post-tax)</t>
  </si>
  <si>
    <t>WACC (Nominal Post Tax)</t>
  </si>
  <si>
    <t>WACC (Real Post Tax)</t>
  </si>
  <si>
    <t>WACC (Nominal Pre Tax)</t>
  </si>
  <si>
    <t>Discount factor (Real Post Tax )</t>
  </si>
  <si>
    <t>Operation</t>
  </si>
  <si>
    <t xml:space="preserve">Decommissioned </t>
  </si>
  <si>
    <t>(FID)</t>
  </si>
  <si>
    <t>(Operation)</t>
  </si>
  <si>
    <t>(EUR/MWh)</t>
  </si>
  <si>
    <t xml:space="preserve">Depreciation </t>
  </si>
  <si>
    <t xml:space="preserve">FID Year </t>
  </si>
  <si>
    <t>Earnings Assumption</t>
  </si>
  <si>
    <t>Discount factor (Nominal Pre Tax)</t>
  </si>
  <si>
    <t>Discount factor (Nominal Post Tax)</t>
  </si>
  <si>
    <t>Asset Value (Before Depreciation)</t>
  </si>
  <si>
    <t>Asset Value (After Depreciation)</t>
  </si>
  <si>
    <t>Depreciation (Straight Line Method)</t>
  </si>
  <si>
    <t>Depreciation (Declining Balance Method)</t>
  </si>
  <si>
    <t xml:space="preserve">Depreciation Rate </t>
  </si>
  <si>
    <t xml:space="preserve">Electricity Price </t>
  </si>
  <si>
    <t xml:space="preserve">Subdidy Period </t>
  </si>
  <si>
    <t>(Years)</t>
  </si>
  <si>
    <t xml:space="preserve">Subsidy Period </t>
  </si>
  <si>
    <t>WACC (Real Pre Tax)</t>
  </si>
  <si>
    <t>WACC (Real - Pre tax)</t>
  </si>
  <si>
    <t>Discount factor (Real Pre Tax)</t>
  </si>
  <si>
    <t>EBIT</t>
  </si>
  <si>
    <t>Tax Amount</t>
  </si>
  <si>
    <t>Efficiency (1 - losses)</t>
  </si>
  <si>
    <t xml:space="preserve">Project Timeline  </t>
  </si>
  <si>
    <t>Effective Corporate Tax rate</t>
  </si>
  <si>
    <t>Turbine Supply</t>
  </si>
  <si>
    <t>Foundation Supply</t>
  </si>
  <si>
    <t>Electrical Supply (Until Landfall)</t>
  </si>
  <si>
    <t xml:space="preserve">Other CAPEX </t>
  </si>
  <si>
    <t>(mil. EUR)</t>
  </si>
  <si>
    <t xml:space="preserve">Discounted Expenditures (Real Pre Tax ) </t>
  </si>
  <si>
    <t>Installation</t>
  </si>
  <si>
    <t>Other CAPEX</t>
  </si>
  <si>
    <t xml:space="preserve">Discounted Expenditures (Real Post Tax ) </t>
  </si>
  <si>
    <t>(GWh)</t>
  </si>
  <si>
    <t>AEP</t>
  </si>
  <si>
    <t>Earnings/Revenue</t>
  </si>
  <si>
    <t>Investment - R Input</t>
  </si>
  <si>
    <t>Depreciation - R Input</t>
  </si>
  <si>
    <t>Residual Asset Value (Assumption)</t>
  </si>
  <si>
    <t xml:space="preserve">Cash Flows Summary </t>
  </si>
  <si>
    <t xml:space="preserve">EBITDA - R Input </t>
  </si>
  <si>
    <t xml:space="preserve">Depreciation - R Input </t>
  </si>
  <si>
    <t>Free Cash Flow (After Tax)</t>
  </si>
  <si>
    <t>Free Cash Flow (Before Tax)</t>
  </si>
  <si>
    <t xml:space="preserve">Numerator </t>
  </si>
  <si>
    <t xml:space="preserve">Denominator </t>
  </si>
  <si>
    <t>EUR/MWh</t>
  </si>
  <si>
    <t xml:space="preserve">CAPEX (Total) </t>
  </si>
  <si>
    <t xml:space="preserve">LCOE </t>
  </si>
  <si>
    <t>Turbine</t>
  </si>
  <si>
    <t>Foundation</t>
  </si>
  <si>
    <t xml:space="preserve">Electrical </t>
  </si>
  <si>
    <t>Numerator</t>
  </si>
  <si>
    <t>Denominator</t>
  </si>
  <si>
    <t>All Values are Real in FID Year</t>
  </si>
  <si>
    <t xml:space="preserve">AEP Calculation </t>
  </si>
  <si>
    <t>Real EUR in FID Year</t>
  </si>
  <si>
    <t>Tax Payments</t>
  </si>
  <si>
    <t xml:space="preserve">General Inputs </t>
  </si>
  <si>
    <t>Year 0 in project timeline</t>
  </si>
  <si>
    <t xml:space="preserve">Method </t>
  </si>
  <si>
    <t>Straight Line</t>
  </si>
  <si>
    <t>Declining Balance</t>
  </si>
  <si>
    <t>(Dep. Rate if Declining Balance Method)</t>
  </si>
  <si>
    <t>Electricity Price</t>
  </si>
  <si>
    <t>WACC Summary</t>
  </si>
  <si>
    <t xml:space="preserve">Effective Corporate Tax Rate </t>
  </si>
  <si>
    <t xml:space="preserve">Farm Size </t>
  </si>
  <si>
    <t xml:space="preserve">Turbine Nameplate Capacity </t>
  </si>
  <si>
    <t>Electrical Infrastructure (Until Landfall)</t>
  </si>
  <si>
    <t>Water Depth</t>
  </si>
  <si>
    <t>Distance to shore</t>
  </si>
  <si>
    <t xml:space="preserve">Foundation Type </t>
  </si>
  <si>
    <t xml:space="preserve">Monopile </t>
  </si>
  <si>
    <t xml:space="preserve">Rotor Diameter </t>
  </si>
  <si>
    <t xml:space="preserve">Hub Height </t>
  </si>
  <si>
    <t xml:space="preserve">Inter array Cable Voltage </t>
  </si>
  <si>
    <t xml:space="preserve">Export Cable Voltage </t>
  </si>
  <si>
    <t xml:space="preserve">Export Cable Size </t>
  </si>
  <si>
    <t xml:space="preserve">(MW) </t>
  </si>
  <si>
    <t>(MW )</t>
  </si>
  <si>
    <t xml:space="preserve">(metres) </t>
  </si>
  <si>
    <t>Capital Structure (Project Finance)</t>
  </si>
  <si>
    <t>Input Terms (EUR)</t>
  </si>
  <si>
    <t>Output Terms (EUR)</t>
  </si>
  <si>
    <t>Inflation rate %</t>
  </si>
  <si>
    <t xml:space="preserve">Results </t>
  </si>
  <si>
    <t>Discount Factor (multiplier)</t>
  </si>
  <si>
    <t>Net Operating Profit After Tax (NOPAT)</t>
  </si>
  <si>
    <t>Discounted FCF (Real Values)</t>
  </si>
  <si>
    <t>(Decom)</t>
  </si>
  <si>
    <t>(Development)</t>
  </si>
  <si>
    <t>Project Life Cycle (Year)</t>
  </si>
  <si>
    <t>Wind Farm Operation (1/0)</t>
  </si>
  <si>
    <t>Subsidy</t>
  </si>
  <si>
    <t xml:space="preserve">Inflation &amp; Tax rate </t>
  </si>
  <si>
    <t>R</t>
  </si>
  <si>
    <t xml:space="preserve">Real </t>
  </si>
  <si>
    <t>Nominal</t>
  </si>
  <si>
    <t>N</t>
  </si>
  <si>
    <t xml:space="preserve">AEP </t>
  </si>
  <si>
    <t>Farm Operation (%)</t>
  </si>
  <si>
    <t xml:space="preserve">(All cells are referenced from Summary Sheet) </t>
  </si>
  <si>
    <t xml:space="preserve">EBITDA - R </t>
  </si>
  <si>
    <t xml:space="preserve">Depreciation Calculation </t>
  </si>
  <si>
    <t>EBITDA Calculation</t>
  </si>
  <si>
    <t xml:space="preserve">Taxable Income - Gross </t>
  </si>
  <si>
    <t xml:space="preserve">Taxable Income - Net </t>
  </si>
  <si>
    <t xml:space="preserve">Carried Forward (Negative Tax) </t>
  </si>
  <si>
    <t xml:space="preserve">Tax Calculation </t>
  </si>
  <si>
    <t>Free Cash Flow &amp; IRR Calculation</t>
  </si>
  <si>
    <t xml:space="preserve">Discounted AEP </t>
  </si>
  <si>
    <t>AEP (Real Pre Tax)</t>
  </si>
  <si>
    <t xml:space="preserve">AEP (Real Post Tax) </t>
  </si>
  <si>
    <t>Discounted Tax Amounts (Real Post Tax)</t>
  </si>
  <si>
    <t>NPV (Pre Tax)</t>
  </si>
  <si>
    <t>IRR (Pre Tax)</t>
  </si>
  <si>
    <t>IRR (Post Tax)</t>
  </si>
  <si>
    <t xml:space="preserve">NPV (Post Tax) </t>
  </si>
  <si>
    <t>Free Cash Flow (Post Tax)</t>
  </si>
  <si>
    <t>Free Cash Flow (Pre Tax)</t>
  </si>
  <si>
    <t>IRR (FCF Post Tax)</t>
  </si>
  <si>
    <t>IRR (FCF Pre Tax)</t>
  </si>
  <si>
    <t>Capital Investment</t>
  </si>
  <si>
    <t xml:space="preserve">Specific Investment </t>
  </si>
  <si>
    <t>(mil.EUR/MW)</t>
  </si>
  <si>
    <t>(%)</t>
  </si>
  <si>
    <t xml:space="preserve">Summary </t>
  </si>
  <si>
    <t>Debt-to-Equity Ratio</t>
  </si>
  <si>
    <t>Cost Summary - R</t>
  </si>
  <si>
    <t xml:space="preserve">Capital Expenditures - R </t>
  </si>
  <si>
    <t xml:space="preserve">OPEX &amp; DECOM Expenditures - R </t>
  </si>
  <si>
    <t xml:space="preserve">Capital Expenditures (per MW) - R </t>
  </si>
  <si>
    <t xml:space="preserve">Discounted Expenditures &amp; Earnings </t>
  </si>
  <si>
    <t xml:space="preserve">Earnings - R </t>
  </si>
  <si>
    <t xml:space="preserve">OPEX Expenditure - R </t>
  </si>
  <si>
    <t xml:space="preserve">Decom Expenditure - R </t>
  </si>
  <si>
    <t xml:space="preserve">Net AEP - R </t>
  </si>
  <si>
    <t>Tax Amount Payable</t>
  </si>
  <si>
    <t>Discounted Revenues (EBITDA)</t>
  </si>
  <si>
    <t xml:space="preserve">Real Pre Tax </t>
  </si>
  <si>
    <t xml:space="preserve">Real Post Tax </t>
  </si>
  <si>
    <t xml:space="preserve">Revenues </t>
  </si>
  <si>
    <t xml:space="preserve">Revenue </t>
  </si>
  <si>
    <t xml:space="preserve">Profit </t>
  </si>
  <si>
    <t>Profit</t>
  </si>
  <si>
    <t>Check (profit/loss)</t>
  </si>
  <si>
    <t xml:space="preserve">Weibull Distribution &amp; AEP calculation </t>
  </si>
  <si>
    <t xml:space="preserve">Mean Wind Speed </t>
  </si>
  <si>
    <t>(m/s)</t>
  </si>
  <si>
    <t xml:space="preserve">Total Hours </t>
  </si>
  <si>
    <t xml:space="preserve">Weibull Assumptions </t>
  </si>
  <si>
    <t xml:space="preserve">Loss Factor Assumptions </t>
  </si>
  <si>
    <t xml:space="preserve">Shape Factor </t>
  </si>
  <si>
    <t>Scale Parameter</t>
  </si>
  <si>
    <t xml:space="preserve">Turbine </t>
  </si>
  <si>
    <t>(MW)</t>
  </si>
  <si>
    <t xml:space="preserve">Wind Speed </t>
  </si>
  <si>
    <t>PDF</t>
  </si>
  <si>
    <t xml:space="preserve">Hours </t>
  </si>
  <si>
    <t>Energy Production</t>
  </si>
  <si>
    <t>(MWh)</t>
  </si>
  <si>
    <t xml:space="preserve">Curtailment &amp; BOP availability </t>
  </si>
  <si>
    <t xml:space="preserve">Turbine Availability &amp; Performance loss </t>
  </si>
  <si>
    <t>Efficiency (%)</t>
  </si>
  <si>
    <t>(hrs)</t>
  </si>
  <si>
    <t xml:space="preserve">Power Curve CF </t>
  </si>
  <si>
    <t xml:space="preserve">Opening Balance </t>
  </si>
  <si>
    <t xml:space="preserve">Power Curve Values (KW) </t>
  </si>
  <si>
    <t>Power Curve Values (MW)</t>
  </si>
  <si>
    <t>Units</t>
  </si>
  <si>
    <t xml:space="preserve">Input Values </t>
  </si>
  <si>
    <t>Development</t>
  </si>
  <si>
    <t>(mil.EUR/Year)</t>
  </si>
  <si>
    <t>(Exponent for open waters)</t>
  </si>
  <si>
    <t xml:space="preserve">Wind Shear </t>
  </si>
  <si>
    <t xml:space="preserve">Depreciation options </t>
  </si>
  <si>
    <t xml:space="preserve">Asset life (Year) </t>
  </si>
  <si>
    <t xml:space="preserve">Offshore windfarm LCOE Model (DCF Method) </t>
  </si>
  <si>
    <t xml:space="preserve">Windfarm Earnings Assumptions </t>
  </si>
  <si>
    <t>(Proportion in the table represents the expenditure/plant operation)</t>
  </si>
  <si>
    <t xml:space="preserve">Year 0 in the timeline </t>
  </si>
  <si>
    <t>Effective CF (%)</t>
  </si>
  <si>
    <t>Total AEP (from Power Curve)</t>
  </si>
  <si>
    <t>AEP (After all losses)</t>
  </si>
  <si>
    <t xml:space="preserve">Max Energy (from windspeed) </t>
  </si>
  <si>
    <t>Net Cash Position (Pre Tax)</t>
  </si>
  <si>
    <t>Color Indications (in Project  Timeline)</t>
  </si>
  <si>
    <t>Substation supply</t>
  </si>
  <si>
    <t>Export cable supply</t>
  </si>
  <si>
    <t>Net Cash Position (Post Tax)</t>
  </si>
  <si>
    <t xml:space="preserve">Onshore Electrical supply &amp; install </t>
  </si>
  <si>
    <t xml:space="preserve">Index </t>
  </si>
  <si>
    <t xml:space="preserve">Financial Parameter Inputs </t>
  </si>
  <si>
    <t>CAPEX Inputs</t>
  </si>
  <si>
    <t xml:space="preserve">OPEX Inputs </t>
  </si>
  <si>
    <t>AEP Inputs</t>
  </si>
  <si>
    <t>Summary</t>
  </si>
  <si>
    <t xml:space="preserve">DCF Calculations </t>
  </si>
  <si>
    <t xml:space="preserve">Name </t>
  </si>
  <si>
    <t>OPEX (transmission)</t>
  </si>
  <si>
    <t>Total OPEX Cost</t>
  </si>
  <si>
    <t>OPEX Expenditure - R</t>
  </si>
  <si>
    <t xml:space="preserve">OPEX milEUR per year per MW </t>
  </si>
  <si>
    <t>(Proportion stated in the timeline represents the spending percentage/operation percentage)</t>
  </si>
  <si>
    <t>DECOM
(65% of installation Cost)</t>
  </si>
  <si>
    <t>Asset life (year) - from above</t>
  </si>
  <si>
    <t>Periods with subsidy (year) - 1/0</t>
  </si>
  <si>
    <t>OPEX Assumptions</t>
  </si>
  <si>
    <t>Periods with subsidy (year) - (1/0)</t>
  </si>
  <si>
    <t>Subsidy revenue</t>
  </si>
  <si>
    <t xml:space="preserve">Market revenue </t>
  </si>
  <si>
    <t xml:space="preserve">Total Earnings (Subsidy + Market Revenue) - R </t>
  </si>
  <si>
    <r>
      <rPr>
        <b/>
        <sz val="11"/>
        <color theme="1"/>
        <rFont val="Calibri"/>
        <family val="2"/>
        <scheme val="minor"/>
      </rPr>
      <t xml:space="preserve">Note: </t>
    </r>
    <r>
      <rPr>
        <sz val="11"/>
        <color theme="1"/>
        <rFont val="Calibri"/>
        <family val="2"/>
        <scheme val="minor"/>
      </rPr>
      <t>Due to the differences in the year of discounting, the total contribution of individual CAPEX components to the LCOE can differ from the Final CAPEX contribution to the LCOE. Refer to the DCF_Calculations sheet.</t>
    </r>
  </si>
  <si>
    <t>Total CAPEX</t>
  </si>
  <si>
    <t xml:space="preserve">Total Cost </t>
  </si>
  <si>
    <t>Offshore Wind farm parameters</t>
  </si>
  <si>
    <t xml:space="preserve">Inputs </t>
  </si>
  <si>
    <t>(km)</t>
  </si>
  <si>
    <t>(kV)</t>
  </si>
  <si>
    <t>Transmission Cost (Connection to Grid)</t>
  </si>
  <si>
    <t>Total Cost</t>
  </si>
  <si>
    <t xml:space="preserve">WACC </t>
  </si>
  <si>
    <t>WACC (Real Pre-tax)</t>
  </si>
  <si>
    <t>WACC (Real Post-tax)</t>
  </si>
  <si>
    <t>(Change the binary values in Earnings Assumption below, if different subsidy periods are considered)</t>
  </si>
  <si>
    <t xml:space="preserve">Efficiency (1 - loss%) </t>
  </si>
  <si>
    <t xml:space="preserve">LCOE (Real Pre-Tax) </t>
  </si>
  <si>
    <t>LCOE (Real Post-Tax)</t>
  </si>
  <si>
    <t>Levelized Revenue (Real Pre-Tax)</t>
  </si>
  <si>
    <t>Levelized Revenue (Real Post-Tax)</t>
  </si>
  <si>
    <t>…</t>
  </si>
  <si>
    <t>OPEX assumptions (1% of Transmission CAPEX )</t>
  </si>
  <si>
    <t>OPEX (Offshore windfarm)</t>
  </si>
  <si>
    <t>Average PBA (availability)</t>
  </si>
  <si>
    <t>Market electricity price €/MWh</t>
  </si>
  <si>
    <r>
      <t xml:space="preserve">Windfarm Revenue - from Subsidy </t>
    </r>
    <r>
      <rPr>
        <b/>
        <sz val="11"/>
        <color theme="1"/>
        <rFont val="Calibri"/>
        <family val="2"/>
      </rPr>
      <t>€</t>
    </r>
    <r>
      <rPr>
        <b/>
        <sz val="9.35"/>
        <color theme="1"/>
        <rFont val="Calibri"/>
        <family val="2"/>
      </rPr>
      <t>/MWh</t>
    </r>
  </si>
  <si>
    <r>
      <t xml:space="preserve">Windfarm Revenue - from Market electricity price </t>
    </r>
    <r>
      <rPr>
        <b/>
        <sz val="11"/>
        <color theme="1"/>
        <rFont val="Calibri"/>
        <family val="2"/>
      </rPr>
      <t>€</t>
    </r>
    <r>
      <rPr>
        <b/>
        <sz val="9.35"/>
        <color theme="1"/>
        <rFont val="Calibri"/>
        <family val="2"/>
      </rPr>
      <t>/MWh</t>
    </r>
  </si>
  <si>
    <t>Windfarm Revenue - from Subsidy €/MWh</t>
  </si>
  <si>
    <t>Windfarm Revenue - from Market electricity price €/MWh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</si>
</sst>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2" tint="-0.499984740745262"/>
      <name val="Calibri"/>
      <family val="2"/>
      <scheme val="minor"/>
    </font>
    <font>
      <sz val="11"/>
      <name val="Calibri"/>
      <family val="2"/>
      <scheme val="minor"/>
    </font>
    <font>
      <b/>
      <i/>
      <sz val="11"/>
      <color theme="1"/>
      <name val="Calibri"/>
      <family val="2"/>
      <scheme val="minor"/>
    </font>
    <font>
      <b/>
      <sz val="11"/>
      <name val="Calibri"/>
      <family val="2"/>
      <scheme val="minor"/>
    </font>
    <font>
      <b/>
      <sz val="11"/>
      <color theme="2" tint="-0.499984740745262"/>
      <name val="Calibri"/>
      <family val="2"/>
      <scheme val="minor"/>
    </font>
    <font>
      <sz val="11"/>
      <color theme="0"/>
      <name val="Calibri"/>
      <family val="2"/>
      <scheme val="minor"/>
    </font>
    <font>
      <sz val="11"/>
      <color rgb="FF3F3F76"/>
      <name val="Calibri"/>
      <family val="2"/>
      <scheme val="minor"/>
    </font>
    <font>
      <b/>
      <sz val="12"/>
      <name val="Calibri"/>
      <family val="2"/>
      <scheme val="minor"/>
    </font>
    <font>
      <u/>
      <sz val="11"/>
      <color theme="10"/>
      <name val="Calibri"/>
      <family val="2"/>
      <scheme val="minor"/>
    </font>
    <font>
      <b/>
      <sz val="11"/>
      <color theme="1"/>
      <name val="Calibri"/>
      <family val="2"/>
    </font>
    <font>
      <b/>
      <sz val="9.35"/>
      <color theme="1"/>
      <name val="Calibri"/>
      <family val="2"/>
    </font>
    <font>
      <b/>
      <sz val="11"/>
      <color rgb="FF3F3F76"/>
      <name val="Calibri"/>
      <family val="2"/>
      <scheme val="minor"/>
    </font>
  </fonts>
  <fills count="18">
    <fill>
      <patternFill patternType="none"/>
    </fill>
    <fill>
      <patternFill patternType="gray125"/>
    </fill>
    <fill>
      <patternFill patternType="solid">
        <fgColor rgb="FFFF0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bgColor theme="6"/>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FCC99"/>
      </patternFill>
    </fill>
    <fill>
      <patternFill patternType="solid">
        <fgColor theme="7"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theme="6"/>
      </top>
      <bottom/>
      <diagonal/>
    </border>
    <border>
      <left/>
      <right/>
      <top style="thick">
        <color auto="1"/>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right style="thin">
        <color indexed="64"/>
      </right>
      <top style="thin">
        <color theme="6"/>
      </top>
      <bottom/>
      <diagonal/>
    </border>
    <border>
      <left/>
      <right/>
      <top style="thin">
        <color theme="6"/>
      </top>
      <bottom style="thin">
        <color indexed="64"/>
      </bottom>
      <diagonal/>
    </border>
    <border>
      <left/>
      <right style="thin">
        <color indexed="64"/>
      </right>
      <top style="thin">
        <color theme="6"/>
      </top>
      <bottom style="thin">
        <color indexed="64"/>
      </bottom>
      <diagonal/>
    </border>
    <border>
      <left style="thin">
        <color indexed="64"/>
      </left>
      <right style="thin">
        <color indexed="64"/>
      </right>
      <top style="thin">
        <color theme="6"/>
      </top>
      <bottom/>
      <diagonal/>
    </border>
    <border>
      <left style="thin">
        <color indexed="64"/>
      </left>
      <right style="thin">
        <color indexed="64"/>
      </right>
      <top style="thin">
        <color theme="6"/>
      </top>
      <bottom style="thin">
        <color indexed="64"/>
      </bottom>
      <diagonal/>
    </border>
    <border>
      <left style="thin">
        <color rgb="FF7F7F7F"/>
      </left>
      <right style="thin">
        <color rgb="FF7F7F7F"/>
      </right>
      <top style="thick">
        <color indexed="64"/>
      </top>
      <bottom style="thin">
        <color rgb="FF7F7F7F"/>
      </bottom>
      <diagonal/>
    </border>
  </borders>
  <cellStyleXfs count="4">
    <xf numFmtId="0" fontId="0" fillId="0" borderId="0"/>
    <xf numFmtId="9" fontId="1" fillId="0" borderId="0" applyFont="0" applyFill="0" applyBorder="0" applyAlignment="0" applyProtection="0"/>
    <xf numFmtId="0" fontId="10" fillId="13" borderId="29" applyNumberFormat="0" applyAlignment="0" applyProtection="0"/>
    <xf numFmtId="0" fontId="12" fillId="0" borderId="0" applyNumberFormat="0" applyFill="0" applyBorder="0" applyAlignment="0" applyProtection="0"/>
  </cellStyleXfs>
  <cellXfs count="301">
    <xf numFmtId="0" fontId="0" fillId="0" borderId="0" xfId="0"/>
    <xf numFmtId="0" fontId="2" fillId="0" borderId="0" xfId="0" applyFont="1"/>
    <xf numFmtId="0" fontId="0" fillId="0" borderId="0" xfId="0" applyAlignment="1">
      <alignment horizontal="right"/>
    </xf>
    <xf numFmtId="9" fontId="0" fillId="0" borderId="0" xfId="1" applyFont="1"/>
    <xf numFmtId="2" fontId="0" fillId="0" borderId="0" xfId="0" applyNumberFormat="1"/>
    <xf numFmtId="2" fontId="2" fillId="0" borderId="0" xfId="0" applyNumberFormat="1" applyFont="1"/>
    <xf numFmtId="10" fontId="0" fillId="0" borderId="0" xfId="1" applyNumberFormat="1" applyFont="1"/>
    <xf numFmtId="0" fontId="0" fillId="0" borderId="0" xfId="0" applyBorder="1"/>
    <xf numFmtId="0" fontId="0" fillId="0" borderId="0" xfId="0" applyBorder="1" applyAlignment="1">
      <alignment horizontal="right"/>
    </xf>
    <xf numFmtId="0" fontId="0" fillId="0" borderId="7" xfId="0" applyBorder="1"/>
    <xf numFmtId="0" fontId="2" fillId="0" borderId="10" xfId="0" applyFont="1" applyBorder="1"/>
    <xf numFmtId="10" fontId="0" fillId="0" borderId="0" xfId="0" applyNumberFormat="1" applyAlignment="1">
      <alignment horizontal="right"/>
    </xf>
    <xf numFmtId="2" fontId="0" fillId="0" borderId="0" xfId="0" applyNumberFormat="1" applyBorder="1"/>
    <xf numFmtId="0" fontId="3" fillId="5" borderId="0" xfId="0" applyFont="1" applyFill="1" applyBorder="1" applyAlignment="1">
      <alignment horizontal="center" vertical="center"/>
    </xf>
    <xf numFmtId="0" fontId="2" fillId="0" borderId="0" xfId="0" applyFont="1" applyFill="1" applyBorder="1"/>
    <xf numFmtId="10" fontId="0" fillId="0" borderId="0" xfId="0" applyNumberFormat="1"/>
    <xf numFmtId="0" fontId="0" fillId="0" borderId="6" xfId="0" applyBorder="1"/>
    <xf numFmtId="0" fontId="0" fillId="0" borderId="14" xfId="0" applyBorder="1"/>
    <xf numFmtId="0" fontId="2" fillId="0" borderId="11" xfId="0" applyFont="1" applyBorder="1"/>
    <xf numFmtId="0" fontId="2" fillId="0" borderId="13" xfId="0" applyFont="1" applyBorder="1"/>
    <xf numFmtId="0" fontId="2" fillId="0" borderId="14" xfId="0" applyFont="1" applyBorder="1"/>
    <xf numFmtId="10" fontId="0" fillId="0" borderId="0" xfId="0" applyNumberFormat="1" applyBorder="1"/>
    <xf numFmtId="0" fontId="3" fillId="5" borderId="11" xfId="0" applyFont="1" applyFill="1" applyBorder="1"/>
    <xf numFmtId="0" fontId="0" fillId="5" borderId="0" xfId="0" applyFill="1"/>
    <xf numFmtId="0" fontId="3" fillId="5" borderId="16" xfId="0" applyFont="1" applyFill="1" applyBorder="1"/>
    <xf numFmtId="0" fontId="2" fillId="6" borderId="16" xfId="0" applyFont="1" applyFill="1" applyBorder="1"/>
    <xf numFmtId="0" fontId="3" fillId="2" borderId="16" xfId="0" applyFont="1" applyFill="1" applyBorder="1"/>
    <xf numFmtId="0" fontId="0" fillId="0" borderId="0" xfId="0" applyFill="1" applyBorder="1"/>
    <xf numFmtId="0" fontId="3" fillId="0" borderId="0" xfId="0" applyFont="1" applyFill="1" applyBorder="1"/>
    <xf numFmtId="0" fontId="0" fillId="0" borderId="0" xfId="0" applyFill="1"/>
    <xf numFmtId="0" fontId="0" fillId="3" borderId="0" xfId="0" applyFill="1"/>
    <xf numFmtId="0" fontId="0" fillId="2" borderId="0" xfId="0" applyFill="1"/>
    <xf numFmtId="0" fontId="2" fillId="7" borderId="2" xfId="0" applyFont="1" applyFill="1" applyBorder="1"/>
    <xf numFmtId="0" fontId="2" fillId="7" borderId="3" xfId="0" applyFont="1" applyFill="1" applyBorder="1"/>
    <xf numFmtId="0" fontId="0" fillId="7" borderId="3" xfId="0" applyFill="1" applyBorder="1"/>
    <xf numFmtId="0" fontId="0" fillId="7" borderId="4" xfId="0" applyFill="1" applyBorder="1"/>
    <xf numFmtId="0" fontId="2" fillId="0" borderId="0" xfId="0" applyFont="1" applyBorder="1" applyAlignment="1">
      <alignment horizontal="right"/>
    </xf>
    <xf numFmtId="10" fontId="0" fillId="0" borderId="6" xfId="0" applyNumberFormat="1" applyBorder="1"/>
    <xf numFmtId="0" fontId="0" fillId="0" borderId="5" xfId="0" applyBorder="1"/>
    <xf numFmtId="10" fontId="0" fillId="0" borderId="8" xfId="0" applyNumberFormat="1" applyBorder="1"/>
    <xf numFmtId="10" fontId="0" fillId="0" borderId="9" xfId="0" applyNumberFormat="1" applyBorder="1"/>
    <xf numFmtId="0" fontId="0" fillId="0" borderId="11" xfId="0" applyBorder="1"/>
    <xf numFmtId="0" fontId="0" fillId="0" borderId="12" xfId="0" applyBorder="1"/>
    <xf numFmtId="2" fontId="0" fillId="0" borderId="11" xfId="0" applyNumberFormat="1" applyBorder="1"/>
    <xf numFmtId="0" fontId="2" fillId="7" borderId="18" xfId="0" applyFont="1" applyFill="1" applyBorder="1"/>
    <xf numFmtId="0" fontId="0" fillId="7" borderId="11" xfId="0" applyFill="1" applyBorder="1"/>
    <xf numFmtId="0" fontId="0" fillId="7" borderId="12" xfId="0" applyFill="1" applyBorder="1"/>
    <xf numFmtId="2" fontId="0" fillId="0" borderId="6" xfId="0" applyNumberFormat="1" applyBorder="1"/>
    <xf numFmtId="2" fontId="0" fillId="0" borderId="8" xfId="0" applyNumberFormat="1" applyBorder="1"/>
    <xf numFmtId="2" fontId="0" fillId="0" borderId="9" xfId="0" applyNumberFormat="1" applyBorder="1"/>
    <xf numFmtId="2" fontId="0" fillId="0" borderId="3" xfId="0" applyNumberFormat="1" applyBorder="1"/>
    <xf numFmtId="0" fontId="0" fillId="0" borderId="19" xfId="0" applyFont="1" applyBorder="1"/>
    <xf numFmtId="0" fontId="0" fillId="0" borderId="13" xfId="0" applyBorder="1"/>
    <xf numFmtId="0" fontId="0" fillId="0" borderId="19" xfId="0" applyBorder="1"/>
    <xf numFmtId="0" fontId="2" fillId="0" borderId="1" xfId="0" applyFont="1" applyBorder="1"/>
    <xf numFmtId="2" fontId="0" fillId="0" borderId="0" xfId="0" applyNumberFormat="1" applyBorder="1" applyAlignment="1">
      <alignment horizontal="right"/>
    </xf>
    <xf numFmtId="2" fontId="0" fillId="0" borderId="6" xfId="0" applyNumberFormat="1" applyBorder="1" applyAlignment="1">
      <alignment horizontal="right"/>
    </xf>
    <xf numFmtId="0" fontId="2" fillId="0" borderId="5" xfId="0" applyFont="1" applyBorder="1"/>
    <xf numFmtId="9" fontId="0" fillId="0" borderId="0" xfId="0" applyNumberFormat="1" applyBorder="1"/>
    <xf numFmtId="9" fontId="0" fillId="0" borderId="6" xfId="0" applyNumberFormat="1" applyBorder="1"/>
    <xf numFmtId="0" fontId="2" fillId="0" borderId="0" xfId="0" applyFont="1" applyBorder="1"/>
    <xf numFmtId="2" fontId="2" fillId="0" borderId="0" xfId="0" applyNumberFormat="1" applyFont="1" applyBorder="1"/>
    <xf numFmtId="2" fontId="2" fillId="0" borderId="0" xfId="0" applyNumberFormat="1" applyFont="1" applyBorder="1" applyAlignment="1">
      <alignment horizontal="right"/>
    </xf>
    <xf numFmtId="2" fontId="0" fillId="0" borderId="0" xfId="0" applyNumberFormat="1" applyFont="1" applyBorder="1" applyAlignment="1">
      <alignment horizontal="right"/>
    </xf>
    <xf numFmtId="2" fontId="0" fillId="0" borderId="6" xfId="0" applyNumberFormat="1" applyFont="1" applyBorder="1" applyAlignment="1">
      <alignment horizontal="right"/>
    </xf>
    <xf numFmtId="2" fontId="0" fillId="0" borderId="0" xfId="0" applyNumberFormat="1" applyFont="1" applyBorder="1"/>
    <xf numFmtId="0" fontId="0" fillId="0" borderId="13" xfId="0" applyFont="1" applyBorder="1"/>
    <xf numFmtId="1" fontId="0" fillId="0" borderId="0" xfId="1" applyNumberFormat="1" applyFont="1"/>
    <xf numFmtId="0" fontId="3" fillId="5" borderId="0" xfId="0" applyFont="1" applyFill="1" applyAlignment="1">
      <alignment horizontal="right"/>
    </xf>
    <xf numFmtId="0" fontId="2" fillId="0" borderId="12" xfId="0" applyFont="1" applyBorder="1"/>
    <xf numFmtId="0" fontId="4" fillId="0" borderId="13" xfId="0" applyFont="1" applyBorder="1"/>
    <xf numFmtId="2" fontId="4" fillId="0" borderId="0" xfId="0" applyNumberFormat="1" applyFont="1" applyBorder="1"/>
    <xf numFmtId="0" fontId="0" fillId="0" borderId="14" xfId="0" applyFont="1" applyBorder="1"/>
    <xf numFmtId="2" fontId="0" fillId="0" borderId="3" xfId="0" applyNumberFormat="1" applyFont="1" applyBorder="1" applyAlignment="1">
      <alignment horizontal="right"/>
    </xf>
    <xf numFmtId="2" fontId="0" fillId="0" borderId="4" xfId="0" applyNumberFormat="1" applyFont="1" applyBorder="1" applyAlignment="1">
      <alignment horizontal="right"/>
    </xf>
    <xf numFmtId="2" fontId="0" fillId="0" borderId="8" xfId="0" applyNumberFormat="1" applyFont="1" applyBorder="1"/>
    <xf numFmtId="2" fontId="0" fillId="0" borderId="11" xfId="0" applyNumberFormat="1" applyFont="1" applyBorder="1"/>
    <xf numFmtId="2" fontId="0" fillId="0" borderId="12" xfId="0" applyNumberFormat="1" applyFont="1" applyBorder="1"/>
    <xf numFmtId="2" fontId="2" fillId="0" borderId="1" xfId="0" applyNumberFormat="1" applyFont="1" applyBorder="1"/>
    <xf numFmtId="2" fontId="4" fillId="0" borderId="0" xfId="0" applyNumberFormat="1" applyFont="1" applyBorder="1" applyAlignment="1">
      <alignment horizontal="right"/>
    </xf>
    <xf numFmtId="0" fontId="6" fillId="9" borderId="1" xfId="0" applyFont="1" applyFill="1" applyBorder="1"/>
    <xf numFmtId="2" fontId="6" fillId="9" borderId="1" xfId="0" applyNumberFormat="1" applyFont="1" applyFill="1" applyBorder="1"/>
    <xf numFmtId="0" fontId="2" fillId="7" borderId="11" xfId="0" applyFont="1" applyFill="1" applyBorder="1"/>
    <xf numFmtId="9" fontId="2" fillId="0" borderId="16" xfId="0" applyNumberFormat="1" applyFont="1" applyFill="1" applyBorder="1" applyAlignment="1">
      <alignment horizontal="right"/>
    </xf>
    <xf numFmtId="9" fontId="2" fillId="0" borderId="17" xfId="0" applyNumberFormat="1" applyFont="1" applyFill="1" applyBorder="1" applyAlignment="1">
      <alignment horizontal="right"/>
    </xf>
    <xf numFmtId="2" fontId="0" fillId="0" borderId="0" xfId="0" applyNumberFormat="1" applyFill="1" applyBorder="1" applyAlignment="1">
      <alignment horizontal="right"/>
    </xf>
    <xf numFmtId="0" fontId="6" fillId="0" borderId="5" xfId="0" applyFont="1" applyBorder="1"/>
    <xf numFmtId="0" fontId="6" fillId="0" borderId="13" xfId="0" applyFont="1" applyBorder="1"/>
    <xf numFmtId="2" fontId="0" fillId="0" borderId="8" xfId="0" applyNumberFormat="1" applyBorder="1" applyAlignment="1">
      <alignment horizontal="right"/>
    </xf>
    <xf numFmtId="2" fontId="0" fillId="0" borderId="4" xfId="0" applyNumberFormat="1" applyBorder="1"/>
    <xf numFmtId="0" fontId="2" fillId="7" borderId="0" xfId="0" applyFont="1" applyFill="1" applyBorder="1"/>
    <xf numFmtId="0" fontId="0" fillId="7" borderId="0" xfId="0" applyFill="1" applyBorder="1"/>
    <xf numFmtId="0" fontId="2" fillId="8" borderId="0" xfId="0" applyFont="1" applyFill="1"/>
    <xf numFmtId="2" fontId="0" fillId="0" borderId="4" xfId="0" applyNumberFormat="1" applyFont="1" applyBorder="1"/>
    <xf numFmtId="0" fontId="2" fillId="4" borderId="16" xfId="0" applyFont="1" applyFill="1" applyBorder="1"/>
    <xf numFmtId="0" fontId="0" fillId="0" borderId="0" xfId="0" applyNumberFormat="1"/>
    <xf numFmtId="0" fontId="2" fillId="0" borderId="0" xfId="0" applyNumberFormat="1" applyFont="1"/>
    <xf numFmtId="10" fontId="2" fillId="0" borderId="0" xfId="1" applyNumberFormat="1" applyFont="1"/>
    <xf numFmtId="9" fontId="0" fillId="0" borderId="0" xfId="0" applyNumberFormat="1"/>
    <xf numFmtId="0" fontId="2" fillId="0" borderId="3" xfId="0" applyFont="1" applyFill="1" applyBorder="1"/>
    <xf numFmtId="0" fontId="2" fillId="0" borderId="4" xfId="0" applyFont="1" applyFill="1" applyBorder="1"/>
    <xf numFmtId="0" fontId="2" fillId="0" borderId="8" xfId="0" applyFont="1" applyBorder="1"/>
    <xf numFmtId="10" fontId="0" fillId="0" borderId="4" xfId="0" applyNumberFormat="1" applyBorder="1"/>
    <xf numFmtId="0" fontId="0" fillId="0" borderId="20" xfId="0" applyNumberFormat="1" applyFont="1" applyBorder="1"/>
    <xf numFmtId="0" fontId="2" fillId="0" borderId="21" xfId="0" applyNumberFormat="1" applyFont="1" applyBorder="1"/>
    <xf numFmtId="2" fontId="2" fillId="0" borderId="21" xfId="0" applyNumberFormat="1" applyFont="1" applyBorder="1"/>
    <xf numFmtId="9" fontId="0" fillId="0" borderId="0" xfId="1" applyFont="1" applyFill="1"/>
    <xf numFmtId="10" fontId="0" fillId="0" borderId="23" xfId="0" applyNumberFormat="1" applyBorder="1"/>
    <xf numFmtId="10" fontId="0" fillId="0" borderId="25" xfId="0" applyNumberFormat="1" applyBorder="1"/>
    <xf numFmtId="0" fontId="2" fillId="0" borderId="22" xfId="0" applyFont="1" applyBorder="1"/>
    <xf numFmtId="0" fontId="2" fillId="0" borderId="24" xfId="0" applyFont="1" applyBorder="1"/>
    <xf numFmtId="0" fontId="2" fillId="0" borderId="12" xfId="0" applyFont="1" applyFill="1" applyBorder="1" applyAlignment="1">
      <alignment horizontal="right"/>
    </xf>
    <xf numFmtId="0" fontId="6" fillId="7" borderId="3" xfId="0" applyFont="1" applyFill="1" applyBorder="1"/>
    <xf numFmtId="9" fontId="5" fillId="4" borderId="0" xfId="0" applyNumberFormat="1" applyFont="1" applyFill="1" applyBorder="1"/>
    <xf numFmtId="9" fontId="5" fillId="4" borderId="0" xfId="1" applyFont="1" applyFill="1" applyBorder="1"/>
    <xf numFmtId="9" fontId="5" fillId="0" borderId="0" xfId="1" applyFont="1" applyBorder="1" applyAlignment="1">
      <alignment horizontal="right"/>
    </xf>
    <xf numFmtId="9" fontId="5" fillId="0" borderId="4" xfId="1" applyFont="1" applyBorder="1" applyAlignment="1">
      <alignment horizontal="right"/>
    </xf>
    <xf numFmtId="9" fontId="5" fillId="0" borderId="0" xfId="1" applyFont="1" applyFill="1" applyBorder="1" applyAlignment="1">
      <alignment horizontal="right"/>
    </xf>
    <xf numFmtId="9" fontId="5" fillId="0" borderId="6" xfId="1" applyFont="1" applyBorder="1" applyAlignment="1">
      <alignment horizontal="right"/>
    </xf>
    <xf numFmtId="9" fontId="5" fillId="0" borderId="8" xfId="1" applyFont="1" applyBorder="1" applyAlignment="1">
      <alignment horizontal="right"/>
    </xf>
    <xf numFmtId="9" fontId="5" fillId="2" borderId="8" xfId="0" applyNumberFormat="1" applyFont="1" applyFill="1" applyBorder="1"/>
    <xf numFmtId="9" fontId="5" fillId="2" borderId="9" xfId="0" applyNumberFormat="1" applyFont="1" applyFill="1" applyBorder="1"/>
    <xf numFmtId="0" fontId="0" fillId="0" borderId="0" xfId="0" applyFont="1"/>
    <xf numFmtId="0" fontId="2" fillId="0" borderId="11" xfId="0" applyFont="1" applyBorder="1" applyAlignment="1">
      <alignment horizontal="right"/>
    </xf>
    <xf numFmtId="2" fontId="0" fillId="0" borderId="18" xfId="0" applyNumberFormat="1" applyBorder="1"/>
    <xf numFmtId="2" fontId="0" fillId="0" borderId="12" xfId="0" applyNumberFormat="1" applyBorder="1"/>
    <xf numFmtId="9" fontId="5" fillId="0" borderId="0" xfId="0" applyNumberFormat="1" applyFont="1" applyFill="1" applyBorder="1"/>
    <xf numFmtId="9" fontId="5" fillId="0" borderId="6" xfId="0" applyNumberFormat="1" applyFont="1" applyFill="1" applyBorder="1"/>
    <xf numFmtId="0" fontId="2" fillId="4" borderId="11" xfId="0" applyFont="1" applyFill="1" applyBorder="1"/>
    <xf numFmtId="9" fontId="0" fillId="4" borderId="0" xfId="0" applyNumberFormat="1" applyFont="1" applyFill="1" applyBorder="1"/>
    <xf numFmtId="9" fontId="0" fillId="0" borderId="0" xfId="0" applyNumberFormat="1" applyFont="1" applyBorder="1" applyAlignment="1">
      <alignment horizontal="right"/>
    </xf>
    <xf numFmtId="9" fontId="0" fillId="0" borderId="0" xfId="0" applyNumberFormat="1" applyFont="1" applyFill="1" applyBorder="1" applyAlignment="1">
      <alignment horizontal="right"/>
    </xf>
    <xf numFmtId="9" fontId="0" fillId="0" borderId="6" xfId="0" applyNumberFormat="1" applyFont="1" applyBorder="1" applyAlignment="1">
      <alignment horizontal="right"/>
    </xf>
    <xf numFmtId="9" fontId="0" fillId="0" borderId="8" xfId="0" applyNumberFormat="1" applyFont="1" applyBorder="1" applyAlignment="1">
      <alignment horizontal="right"/>
    </xf>
    <xf numFmtId="9" fontId="9" fillId="2" borderId="8" xfId="0" applyNumberFormat="1" applyFont="1" applyFill="1" applyBorder="1"/>
    <xf numFmtId="9" fontId="9" fillId="2" borderId="9" xfId="0" applyNumberFormat="1" applyFont="1" applyFill="1" applyBorder="1"/>
    <xf numFmtId="0" fontId="2" fillId="0" borderId="18" xfId="0" applyFont="1" applyBorder="1"/>
    <xf numFmtId="0" fontId="2" fillId="0" borderId="11" xfId="0" applyFont="1" applyFill="1" applyBorder="1"/>
    <xf numFmtId="0" fontId="2" fillId="0" borderId="18" xfId="0" applyFont="1" applyFill="1" applyBorder="1"/>
    <xf numFmtId="0" fontId="3" fillId="2" borderId="11" xfId="0" applyFont="1" applyFill="1" applyBorder="1"/>
    <xf numFmtId="0" fontId="2" fillId="11" borderId="3" xfId="0" applyFont="1" applyFill="1" applyBorder="1"/>
    <xf numFmtId="0" fontId="2" fillId="0" borderId="3" xfId="0" applyFont="1" applyBorder="1"/>
    <xf numFmtId="0" fontId="3" fillId="5" borderId="3" xfId="0" applyFont="1" applyFill="1" applyBorder="1"/>
    <xf numFmtId="0" fontId="3" fillId="2" borderId="3" xfId="0" applyFont="1" applyFill="1" applyBorder="1"/>
    <xf numFmtId="0" fontId="2" fillId="0" borderId="4" xfId="0" applyFont="1" applyBorder="1"/>
    <xf numFmtId="0" fontId="2" fillId="0" borderId="12" xfId="0" applyFont="1" applyFill="1" applyBorder="1"/>
    <xf numFmtId="0" fontId="2" fillId="4" borderId="3" xfId="0" applyFont="1" applyFill="1" applyBorder="1"/>
    <xf numFmtId="0" fontId="2" fillId="7" borderId="1" xfId="0" applyFont="1" applyFill="1" applyBorder="1"/>
    <xf numFmtId="0" fontId="2" fillId="0" borderId="16" xfId="0" applyFont="1" applyFill="1" applyBorder="1"/>
    <xf numFmtId="0" fontId="2" fillId="0" borderId="26" xfId="0" applyFont="1" applyFill="1" applyBorder="1"/>
    <xf numFmtId="0" fontId="2" fillId="0" borderId="17" xfId="0" applyFont="1" applyFill="1" applyBorder="1"/>
    <xf numFmtId="0" fontId="2" fillId="0" borderId="27" xfId="0" applyFont="1" applyFill="1" applyBorder="1"/>
    <xf numFmtId="2" fontId="4" fillId="0" borderId="6" xfId="0" applyNumberFormat="1" applyFont="1" applyBorder="1"/>
    <xf numFmtId="0" fontId="0" fillId="0" borderId="1" xfId="0" applyFont="1" applyBorder="1"/>
    <xf numFmtId="1" fontId="0" fillId="0" borderId="0" xfId="0" applyNumberFormat="1" applyFont="1" applyBorder="1" applyAlignment="1">
      <alignment horizontal="right"/>
    </xf>
    <xf numFmtId="2" fontId="0" fillId="0" borderId="9" xfId="0" applyNumberFormat="1" applyFont="1" applyBorder="1"/>
    <xf numFmtId="0" fontId="0" fillId="0" borderId="0" xfId="0" applyFont="1" applyBorder="1"/>
    <xf numFmtId="2" fontId="0" fillId="8" borderId="0" xfId="0" applyNumberFormat="1" applyFont="1" applyFill="1" applyBorder="1"/>
    <xf numFmtId="2" fontId="0" fillId="0" borderId="6" xfId="0" applyNumberFormat="1" applyFont="1" applyBorder="1"/>
    <xf numFmtId="2" fontId="0" fillId="8" borderId="6" xfId="0" applyNumberFormat="1" applyFont="1" applyFill="1" applyBorder="1"/>
    <xf numFmtId="2" fontId="0" fillId="0" borderId="0" xfId="0" applyNumberFormat="1" applyFont="1" applyFill="1" applyBorder="1"/>
    <xf numFmtId="2" fontId="0" fillId="0" borderId="6" xfId="0" applyNumberFormat="1" applyFont="1" applyFill="1" applyBorder="1"/>
    <xf numFmtId="0" fontId="2" fillId="9" borderId="28" xfId="0" applyFont="1" applyFill="1" applyBorder="1"/>
    <xf numFmtId="0" fontId="2" fillId="0" borderId="19" xfId="0" applyFont="1" applyBorder="1" applyAlignment="1">
      <alignment horizontal="left"/>
    </xf>
    <xf numFmtId="0" fontId="2" fillId="0" borderId="14" xfId="0" applyFont="1" applyBorder="1" applyAlignment="1">
      <alignment horizontal="left"/>
    </xf>
    <xf numFmtId="2" fontId="0" fillId="0" borderId="13" xfId="0" applyNumberFormat="1" applyBorder="1"/>
    <xf numFmtId="2" fontId="0" fillId="0" borderId="19" xfId="0" applyNumberFormat="1" applyBorder="1"/>
    <xf numFmtId="2" fontId="0" fillId="0" borderId="14" xfId="0" applyNumberFormat="1" applyBorder="1"/>
    <xf numFmtId="2" fontId="4" fillId="0" borderId="6" xfId="0" applyNumberFormat="1" applyFont="1" applyBorder="1" applyAlignment="1">
      <alignment horizontal="right"/>
    </xf>
    <xf numFmtId="0" fontId="0" fillId="0" borderId="0" xfId="0" applyFill="1" applyBorder="1" applyAlignment="1">
      <alignment horizontal="left"/>
    </xf>
    <xf numFmtId="0" fontId="2" fillId="0" borderId="0" xfId="0" applyFont="1" applyFill="1" applyBorder="1" applyAlignment="1">
      <alignment horizontal="left"/>
    </xf>
    <xf numFmtId="0" fontId="2" fillId="0" borderId="1" xfId="0" applyFont="1" applyBorder="1" applyAlignment="1">
      <alignment horizontal="left"/>
    </xf>
    <xf numFmtId="10" fontId="2" fillId="0" borderId="21" xfId="1" applyNumberFormat="1" applyFont="1" applyFill="1" applyBorder="1"/>
    <xf numFmtId="0" fontId="0" fillId="0" borderId="1" xfId="0" applyBorder="1"/>
    <xf numFmtId="2" fontId="2" fillId="0" borderId="19" xfId="0" applyNumberFormat="1" applyFont="1" applyBorder="1" applyAlignment="1">
      <alignment horizontal="left"/>
    </xf>
    <xf numFmtId="2" fontId="2" fillId="0" borderId="14" xfId="0" applyNumberFormat="1" applyFont="1" applyBorder="1" applyAlignment="1">
      <alignment horizontal="left"/>
    </xf>
    <xf numFmtId="2" fontId="2" fillId="0" borderId="12" xfId="0" applyNumberFormat="1" applyFont="1" applyBorder="1" applyAlignment="1">
      <alignment horizontal="left"/>
    </xf>
    <xf numFmtId="2" fontId="2" fillId="0" borderId="14" xfId="0" applyNumberFormat="1" applyFont="1" applyBorder="1"/>
    <xf numFmtId="2" fontId="0" fillId="0" borderId="14" xfId="0" applyNumberFormat="1" applyFont="1" applyBorder="1"/>
    <xf numFmtId="2" fontId="0" fillId="0" borderId="1" xfId="0" applyNumberFormat="1" applyFont="1" applyBorder="1"/>
    <xf numFmtId="0" fontId="0" fillId="0" borderId="13" xfId="0" applyFont="1" applyFill="1" applyBorder="1"/>
    <xf numFmtId="0" fontId="2" fillId="0" borderId="14" xfId="0" applyFont="1" applyFill="1" applyBorder="1"/>
    <xf numFmtId="0" fontId="2" fillId="0" borderId="19" xfId="0" applyFont="1" applyBorder="1"/>
    <xf numFmtId="2" fontId="2" fillId="0" borderId="19" xfId="0" applyNumberFormat="1" applyFont="1" applyBorder="1"/>
    <xf numFmtId="2" fontId="0" fillId="0" borderId="0" xfId="0" applyNumberFormat="1" applyFill="1"/>
    <xf numFmtId="164" fontId="0" fillId="0" borderId="0" xfId="1" applyNumberFormat="1" applyFont="1"/>
    <xf numFmtId="164" fontId="0" fillId="0" borderId="0" xfId="0" applyNumberFormat="1"/>
    <xf numFmtId="0" fontId="0" fillId="0" borderId="0" xfId="0" applyFont="1" applyFill="1" applyBorder="1"/>
    <xf numFmtId="0" fontId="5" fillId="0" borderId="13" xfId="0" applyFont="1" applyBorder="1"/>
    <xf numFmtId="0" fontId="5" fillId="0" borderId="13" xfId="0" applyFont="1" applyFill="1" applyBorder="1"/>
    <xf numFmtId="2" fontId="4" fillId="0" borderId="13" xfId="0" applyNumberFormat="1" applyFont="1" applyBorder="1"/>
    <xf numFmtId="0" fontId="0" fillId="0" borderId="8" xfId="0" applyBorder="1"/>
    <xf numFmtId="0" fontId="0" fillId="0" borderId="9" xfId="0" applyBorder="1"/>
    <xf numFmtId="2" fontId="0" fillId="0" borderId="0" xfId="1" applyNumberFormat="1" applyFont="1" applyAlignment="1">
      <alignment horizontal="right"/>
    </xf>
    <xf numFmtId="10" fontId="2" fillId="8" borderId="0" xfId="1" applyNumberFormat="1" applyFont="1" applyFill="1"/>
    <xf numFmtId="10" fontId="2" fillId="8" borderId="0" xfId="0" applyNumberFormat="1" applyFont="1" applyFill="1"/>
    <xf numFmtId="10" fontId="0" fillId="0" borderId="13" xfId="1" applyNumberFormat="1" applyFont="1" applyBorder="1"/>
    <xf numFmtId="10" fontId="0" fillId="0" borderId="14" xfId="1" applyNumberFormat="1" applyFont="1" applyBorder="1"/>
    <xf numFmtId="0" fontId="0" fillId="0" borderId="5" xfId="0" applyFont="1" applyBorder="1"/>
    <xf numFmtId="0" fontId="7" fillId="0" borderId="1" xfId="0" applyFont="1" applyFill="1" applyBorder="1"/>
    <xf numFmtId="2" fontId="2" fillId="0" borderId="11" xfId="0" applyNumberFormat="1" applyFont="1" applyBorder="1"/>
    <xf numFmtId="0" fontId="0" fillId="0" borderId="20" xfId="0" applyNumberFormat="1" applyFont="1" applyBorder="1" applyAlignment="1">
      <alignment horizontal="right"/>
    </xf>
    <xf numFmtId="0" fontId="0" fillId="0" borderId="0" xfId="0" applyNumberFormat="1" applyFont="1" applyBorder="1"/>
    <xf numFmtId="2" fontId="0" fillId="0" borderId="30" xfId="0" applyNumberFormat="1" applyFont="1" applyBorder="1" applyAlignment="1">
      <alignment horizontal="right"/>
    </xf>
    <xf numFmtId="0" fontId="0" fillId="0" borderId="31" xfId="0" applyNumberFormat="1" applyFont="1" applyBorder="1"/>
    <xf numFmtId="2" fontId="0" fillId="0" borderId="32" xfId="0" applyNumberFormat="1" applyFont="1" applyBorder="1" applyAlignment="1">
      <alignment horizontal="right"/>
    </xf>
    <xf numFmtId="0" fontId="0" fillId="0" borderId="33" xfId="0" applyFont="1" applyBorder="1"/>
    <xf numFmtId="0" fontId="0" fillId="0" borderId="34" xfId="0" applyFont="1" applyBorder="1"/>
    <xf numFmtId="0" fontId="3" fillId="10" borderId="1" xfId="0" applyFont="1" applyFill="1" applyBorder="1"/>
    <xf numFmtId="0" fontId="0" fillId="0" borderId="0" xfId="0" applyAlignment="1">
      <alignment horizontal="left"/>
    </xf>
    <xf numFmtId="10" fontId="10" fillId="13" borderId="29" xfId="2" applyNumberFormat="1" applyAlignment="1">
      <alignment horizontal="right"/>
    </xf>
    <xf numFmtId="0" fontId="0" fillId="14" borderId="0" xfId="0" applyFill="1"/>
    <xf numFmtId="0" fontId="10" fillId="13" borderId="29" xfId="2" applyAlignment="1">
      <alignment horizontal="right"/>
    </xf>
    <xf numFmtId="0" fontId="10" fillId="13" borderId="29" xfId="2"/>
    <xf numFmtId="9" fontId="10" fillId="13" borderId="29" xfId="2" applyNumberFormat="1"/>
    <xf numFmtId="9" fontId="5" fillId="14" borderId="0" xfId="0" applyNumberFormat="1" applyFont="1" applyFill="1" applyBorder="1"/>
    <xf numFmtId="9" fontId="5" fillId="3" borderId="0" xfId="0" applyNumberFormat="1" applyFont="1" applyFill="1" applyBorder="1"/>
    <xf numFmtId="2" fontId="10" fillId="13" borderId="29" xfId="2" applyNumberFormat="1"/>
    <xf numFmtId="0" fontId="0" fillId="4" borderId="0" xfId="0" applyFill="1"/>
    <xf numFmtId="0" fontId="2" fillId="3" borderId="11" xfId="0" applyFont="1" applyFill="1" applyBorder="1"/>
    <xf numFmtId="9" fontId="0" fillId="14" borderId="0" xfId="0" applyNumberFormat="1" applyFont="1" applyFill="1" applyBorder="1"/>
    <xf numFmtId="0" fontId="2" fillId="3" borderId="3" xfId="0" applyFont="1" applyFill="1" applyBorder="1"/>
    <xf numFmtId="9" fontId="0" fillId="3" borderId="0" xfId="0" applyNumberFormat="1" applyFont="1" applyFill="1" applyBorder="1"/>
    <xf numFmtId="0" fontId="3" fillId="10" borderId="11" xfId="0" applyFont="1" applyFill="1" applyBorder="1" applyAlignment="1">
      <alignment horizontal="right"/>
    </xf>
    <xf numFmtId="0" fontId="3" fillId="10" borderId="12" xfId="0" applyFont="1" applyFill="1" applyBorder="1" applyAlignment="1">
      <alignment horizontal="right"/>
    </xf>
    <xf numFmtId="0" fontId="0" fillId="0" borderId="21" xfId="0" applyBorder="1"/>
    <xf numFmtId="2" fontId="0" fillId="8" borderId="0" xfId="0" applyNumberFormat="1" applyFill="1" applyBorder="1"/>
    <xf numFmtId="2" fontId="0" fillId="8" borderId="8" xfId="0" applyNumberFormat="1" applyFill="1" applyBorder="1" applyAlignment="1">
      <alignment horizontal="right"/>
    </xf>
    <xf numFmtId="0" fontId="0" fillId="0" borderId="13" xfId="0" applyFill="1" applyBorder="1"/>
    <xf numFmtId="0" fontId="2" fillId="0" borderId="0" xfId="0" applyFont="1" applyAlignment="1">
      <alignment wrapText="1"/>
    </xf>
    <xf numFmtId="0" fontId="0" fillId="16" borderId="5" xfId="0" applyFill="1" applyBorder="1"/>
    <xf numFmtId="0" fontId="12" fillId="16" borderId="0" xfId="3" applyFill="1" applyBorder="1"/>
    <xf numFmtId="0" fontId="0" fillId="16" borderId="0" xfId="0" applyFill="1" applyBorder="1"/>
    <xf numFmtId="0" fontId="0" fillId="16" borderId="6" xfId="0" applyFill="1" applyBorder="1"/>
    <xf numFmtId="0" fontId="0" fillId="16" borderId="7" xfId="0" applyFill="1" applyBorder="1"/>
    <xf numFmtId="0" fontId="12" fillId="16" borderId="8" xfId="3" applyFill="1" applyBorder="1"/>
    <xf numFmtId="0" fontId="0" fillId="16" borderId="8" xfId="0" applyFill="1" applyBorder="1"/>
    <xf numFmtId="0" fontId="0" fillId="16" borderId="9" xfId="0" applyFill="1" applyBorder="1"/>
    <xf numFmtId="0" fontId="3" fillId="10" borderId="20" xfId="0" applyFont="1" applyFill="1" applyBorder="1"/>
    <xf numFmtId="0" fontId="2" fillId="0" borderId="0" xfId="0" applyFont="1" applyAlignment="1">
      <alignment horizontal="right"/>
    </xf>
    <xf numFmtId="0" fontId="0" fillId="0" borderId="0" xfId="0" applyNumberFormat="1" applyFont="1" applyBorder="1" applyAlignment="1">
      <alignment horizontal="right"/>
    </xf>
    <xf numFmtId="0" fontId="3" fillId="10" borderId="20" xfId="0" applyFont="1" applyFill="1" applyBorder="1" applyAlignment="1">
      <alignment horizontal="right"/>
    </xf>
    <xf numFmtId="2" fontId="0" fillId="0" borderId="3" xfId="0" applyNumberFormat="1" applyFont="1" applyFill="1" applyBorder="1"/>
    <xf numFmtId="2" fontId="0" fillId="0" borderId="4" xfId="0" applyNumberFormat="1" applyFont="1" applyFill="1" applyBorder="1"/>
    <xf numFmtId="2" fontId="0" fillId="0" borderId="11" xfId="0" applyNumberFormat="1" applyFont="1" applyFill="1" applyBorder="1"/>
    <xf numFmtId="2" fontId="0" fillId="0" borderId="12" xfId="0" applyNumberFormat="1" applyFont="1" applyFill="1" applyBorder="1"/>
    <xf numFmtId="1" fontId="0" fillId="0" borderId="4" xfId="0" applyNumberFormat="1" applyFont="1" applyBorder="1" applyAlignment="1">
      <alignment horizontal="right"/>
    </xf>
    <xf numFmtId="10" fontId="2" fillId="0" borderId="0" xfId="0" applyNumberFormat="1" applyFont="1"/>
    <xf numFmtId="0" fontId="0" fillId="8" borderId="8" xfId="0" applyFill="1" applyBorder="1"/>
    <xf numFmtId="2" fontId="15" fillId="13" borderId="35" xfId="2" applyNumberFormat="1" applyFont="1" applyBorder="1"/>
    <xf numFmtId="0" fontId="2" fillId="15" borderId="0" xfId="0" applyFont="1" applyFill="1" applyAlignment="1">
      <alignment horizontal="center" vertical="top"/>
    </xf>
    <xf numFmtId="0" fontId="0" fillId="0" borderId="0" xfId="0" applyAlignment="1">
      <alignment horizontal="center"/>
    </xf>
    <xf numFmtId="0" fontId="2" fillId="16" borderId="2" xfId="0" applyFont="1" applyFill="1" applyBorder="1" applyAlignment="1">
      <alignment horizontal="center"/>
    </xf>
    <xf numFmtId="0" fontId="2" fillId="16" borderId="3" xfId="0" applyFont="1" applyFill="1" applyBorder="1" applyAlignment="1">
      <alignment horizontal="center"/>
    </xf>
    <xf numFmtId="0" fontId="2" fillId="16" borderId="4" xfId="0" applyFont="1" applyFill="1" applyBorder="1" applyAlignment="1">
      <alignment horizontal="center"/>
    </xf>
    <xf numFmtId="0" fontId="2" fillId="0" borderId="5" xfId="0" applyFont="1" applyBorder="1" applyAlignment="1">
      <alignment horizontal="left"/>
    </xf>
    <xf numFmtId="0" fontId="2" fillId="0" borderId="6" xfId="0" applyFont="1" applyBorder="1" applyAlignment="1">
      <alignment horizontal="left"/>
    </xf>
    <xf numFmtId="0" fontId="2" fillId="0" borderId="7" xfId="0" applyFont="1" applyBorder="1" applyAlignment="1">
      <alignment horizontal="left"/>
    </xf>
    <xf numFmtId="0" fontId="2" fillId="0" borderId="9" xfId="0" applyFont="1" applyBorder="1" applyAlignment="1">
      <alignment horizontal="left"/>
    </xf>
    <xf numFmtId="0" fontId="2" fillId="0" borderId="18" xfId="0" applyFont="1" applyFill="1" applyBorder="1" applyAlignment="1">
      <alignment horizontal="right"/>
    </xf>
    <xf numFmtId="0" fontId="2" fillId="0" borderId="12" xfId="0" applyFont="1" applyFill="1" applyBorder="1" applyAlignment="1">
      <alignment horizontal="right"/>
    </xf>
    <xf numFmtId="0" fontId="2" fillId="0" borderId="18" xfId="0" applyFont="1" applyBorder="1" applyAlignment="1">
      <alignment horizontal="right"/>
    </xf>
    <xf numFmtId="0" fontId="2" fillId="0" borderId="12" xfId="0" applyFont="1" applyBorder="1" applyAlignment="1">
      <alignment horizontal="right"/>
    </xf>
    <xf numFmtId="0" fontId="2" fillId="0" borderId="2" xfId="0" applyFont="1" applyBorder="1" applyAlignment="1">
      <alignment horizontal="left"/>
    </xf>
    <xf numFmtId="0" fontId="2" fillId="0" borderId="4" xfId="0" applyFont="1" applyBorder="1" applyAlignment="1">
      <alignment horizontal="left"/>
    </xf>
    <xf numFmtId="0" fontId="2" fillId="0" borderId="1" xfId="0" applyFont="1" applyBorder="1" applyAlignment="1">
      <alignment horizontal="right"/>
    </xf>
    <xf numFmtId="0" fontId="2" fillId="7" borderId="2" xfId="0" applyFont="1" applyFill="1" applyBorder="1" applyAlignment="1">
      <alignment horizontal="left"/>
    </xf>
    <xf numFmtId="0" fontId="2" fillId="7" borderId="3" xfId="0" applyFont="1" applyFill="1" applyBorder="1" applyAlignment="1">
      <alignment horizontal="left"/>
    </xf>
    <xf numFmtId="0" fontId="2" fillId="7" borderId="4" xfId="0" applyFont="1" applyFill="1" applyBorder="1" applyAlignment="1">
      <alignment horizontal="left"/>
    </xf>
    <xf numFmtId="0" fontId="2" fillId="8" borderId="0" xfId="0" applyFont="1" applyFill="1" applyAlignment="1">
      <alignment horizontal="left"/>
    </xf>
    <xf numFmtId="0" fontId="2" fillId="0" borderId="18" xfId="0" applyFont="1" applyBorder="1" applyAlignment="1">
      <alignment horizontal="left"/>
    </xf>
    <xf numFmtId="0" fontId="2" fillId="0" borderId="12" xfId="0" applyFont="1" applyBorder="1" applyAlignment="1">
      <alignment horizontal="left"/>
    </xf>
    <xf numFmtId="0" fontId="2" fillId="12" borderId="15" xfId="0" applyFont="1" applyFill="1" applyBorder="1" applyAlignment="1">
      <alignment horizontal="center"/>
    </xf>
    <xf numFmtId="0" fontId="2" fillId="12" borderId="16" xfId="0" applyFont="1" applyFill="1" applyBorder="1" applyAlignment="1">
      <alignment horizontal="center"/>
    </xf>
    <xf numFmtId="0" fontId="2" fillId="12" borderId="17" xfId="0" applyFont="1" applyFill="1" applyBorder="1" applyAlignment="1">
      <alignment horizontal="center"/>
    </xf>
    <xf numFmtId="0" fontId="2" fillId="0" borderId="11" xfId="0" applyFont="1" applyBorder="1" applyAlignment="1">
      <alignment horizontal="right"/>
    </xf>
    <xf numFmtId="0" fontId="8" fillId="0" borderId="5" xfId="0" applyFont="1" applyBorder="1" applyAlignment="1">
      <alignment horizontal="left"/>
    </xf>
    <xf numFmtId="0" fontId="8" fillId="0" borderId="6" xfId="0" applyFont="1"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5" xfId="0" applyFont="1" applyBorder="1" applyAlignment="1">
      <alignment horizontal="left"/>
    </xf>
    <xf numFmtId="0" fontId="2" fillId="0" borderId="17" xfId="0" applyFont="1" applyBorder="1" applyAlignment="1">
      <alignment horizontal="left"/>
    </xf>
    <xf numFmtId="0" fontId="2" fillId="0" borderId="15" xfId="0" applyFont="1" applyFill="1" applyBorder="1" applyAlignment="1">
      <alignment horizontal="left"/>
    </xf>
    <xf numFmtId="0" fontId="2" fillId="0" borderId="17" xfId="0" applyFont="1" applyFill="1" applyBorder="1" applyAlignment="1">
      <alignment horizontal="left"/>
    </xf>
    <xf numFmtId="0" fontId="0" fillId="0" borderId="2" xfId="0" applyFont="1" applyBorder="1" applyAlignment="1">
      <alignment horizontal="left"/>
    </xf>
    <xf numFmtId="0" fontId="0" fillId="0" borderId="4" xfId="0" applyFont="1"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0" xfId="0" applyAlignment="1">
      <alignment horizontal="left" vertical="top" wrapText="1"/>
    </xf>
    <xf numFmtId="0" fontId="0" fillId="0" borderId="0" xfId="0" applyAlignment="1">
      <alignment horizontal="left" vertical="top"/>
    </xf>
    <xf numFmtId="0" fontId="11" fillId="17" borderId="15" xfId="0" applyFont="1" applyFill="1" applyBorder="1" applyAlignment="1">
      <alignment horizontal="center"/>
    </xf>
    <xf numFmtId="0" fontId="11" fillId="17" borderId="16" xfId="0" applyFont="1" applyFill="1" applyBorder="1" applyAlignment="1">
      <alignment horizontal="center"/>
    </xf>
    <xf numFmtId="0" fontId="11" fillId="17" borderId="17" xfId="0" applyFont="1" applyFill="1" applyBorder="1" applyAlignment="1">
      <alignment horizontal="center"/>
    </xf>
    <xf numFmtId="0" fontId="2" fillId="0" borderId="18"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cellXfs>
  <cellStyles count="4">
    <cellStyle name="Hyperlink" xfId="3" builtinId="8"/>
    <cellStyle name="Input" xfId="2" builtinId="20"/>
    <cellStyle name="Normal" xfId="0" builtinId="0"/>
    <cellStyle name="Percent" xfId="1" builtinId="5"/>
  </cellStyles>
  <dxfs count="4">
    <dxf>
      <numFmt numFmtId="14" formatCode="0.00%"/>
    </dxf>
    <dxf>
      <numFmt numFmtId="2" formatCode="0.00"/>
    </dxf>
    <dxf>
      <numFmt numFmtId="2" formatCode="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Weibull Curve &amp; Energy Production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L"/>
        </a:p>
      </c:txPr>
    </c:title>
    <c:autoTitleDeleted val="0"/>
    <c:plotArea>
      <c:layout/>
      <c:lineChart>
        <c:grouping val="standard"/>
        <c:varyColors val="0"/>
        <c:ser>
          <c:idx val="0"/>
          <c:order val="0"/>
          <c:tx>
            <c:v>Weibull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12"/>
            <c:marker>
              <c:symbol val="circle"/>
              <c:size val="5"/>
              <c:spPr>
                <a:solidFill>
                  <a:schemeClr val="accent1"/>
                </a:solidFill>
                <a:ln w="9525">
                  <a:solidFill>
                    <a:schemeClr val="accent1"/>
                  </a:solidFill>
                </a:ln>
                <a:effectLst/>
              </c:spPr>
            </c:marker>
            <c:bubble3D val="0"/>
            <c:spPr>
              <a:ln w="19050" cap="rnd">
                <a:solidFill>
                  <a:schemeClr val="accent1"/>
                </a:solidFill>
                <a:round/>
              </a:ln>
              <a:effectLst/>
            </c:spPr>
            <c:extLst>
              <c:ext xmlns:c16="http://schemas.microsoft.com/office/drawing/2014/chart" uri="{C3380CC4-5D6E-409C-BE32-E72D297353CC}">
                <c16:uniqueId val="{00000001-7C6E-4AA2-8FBD-DB5DECAA9E3F}"/>
              </c:ext>
            </c:extLst>
          </c:dPt>
          <c:cat>
            <c:numRef>
              <c:f>AEP_Calculation!$B$20:$B$50</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AEP_Calculation!$C$20:$C$50</c:f>
              <c:numCache>
                <c:formatCode>0.00%</c:formatCode>
                <c:ptCount val="31"/>
                <c:pt idx="0">
                  <c:v>0</c:v>
                </c:pt>
                <c:pt idx="1">
                  <c:v>7.3183638127151934E-3</c:v>
                </c:pt>
                <c:pt idx="2">
                  <c:v>1.9062209051782544E-2</c:v>
                </c:pt>
                <c:pt idx="3">
                  <c:v>3.274608918420488E-2</c:v>
                </c:pt>
                <c:pt idx="4">
                  <c:v>4.6948468295422596E-2</c:v>
                </c:pt>
                <c:pt idx="5">
                  <c:v>6.0406263112558867E-2</c:v>
                </c:pt>
                <c:pt idx="6">
                  <c:v>7.1983427544789799E-2</c:v>
                </c:pt>
                <c:pt idx="7">
                  <c:v>8.0745919520910564E-2</c:v>
                </c:pt>
                <c:pt idx="8">
                  <c:v>8.6050862434035189E-2</c:v>
                </c:pt>
                <c:pt idx="9">
                  <c:v>8.7612071497009378E-2</c:v>
                </c:pt>
                <c:pt idx="10">
                  <c:v>8.5521180920011652E-2</c:v>
                </c:pt>
                <c:pt idx="11">
                  <c:v>8.0216494681533038E-2</c:v>
                </c:pt>
                <c:pt idx="12">
                  <c:v>7.2404054424751105E-2</c:v>
                </c:pt>
                <c:pt idx="13">
                  <c:v>6.2945877261010974E-2</c:v>
                </c:pt>
                <c:pt idx="14">
                  <c:v>5.2736703658795507E-2</c:v>
                </c:pt>
                <c:pt idx="15">
                  <c:v>4.2591555613769226E-2</c:v>
                </c:pt>
                <c:pt idx="16">
                  <c:v>3.3162064645242059E-2</c:v>
                </c:pt>
                <c:pt idx="17">
                  <c:v>2.489148613871265E-2</c:v>
                </c:pt>
                <c:pt idx="18">
                  <c:v>1.8009070055947374E-2</c:v>
                </c:pt>
                <c:pt idx="19">
                  <c:v>1.2556548680591308E-2</c:v>
                </c:pt>
                <c:pt idx="20">
                  <c:v>8.4347181560250287E-3</c:v>
                </c:pt>
                <c:pt idx="21">
                  <c:v>5.4570296853511824E-3</c:v>
                </c:pt>
                <c:pt idx="22">
                  <c:v>3.3992066206816433E-3</c:v>
                </c:pt>
                <c:pt idx="23">
                  <c:v>2.0378569570689824E-3</c:v>
                </c:pt>
                <c:pt idx="24">
                  <c:v>1.1753738985328527E-3</c:v>
                </c:pt>
                <c:pt idx="25">
                  <c:v>6.5194343692911538E-4</c:v>
                </c:pt>
                <c:pt idx="26">
                  <c:v>3.4761316675562616E-4</c:v>
                </c:pt>
                <c:pt idx="27">
                  <c:v>1.7809538569054975E-4</c:v>
                </c:pt>
                <c:pt idx="28">
                  <c:v>8.7638473821683173E-5</c:v>
                </c:pt>
                <c:pt idx="29">
                  <c:v>4.1403473270373619E-5</c:v>
                </c:pt>
                <c:pt idx="30">
                  <c:v>1.877119583068161E-5</c:v>
                </c:pt>
              </c:numCache>
            </c:numRef>
          </c:val>
          <c:smooth val="0"/>
          <c:extLst>
            <c:ext xmlns:c16="http://schemas.microsoft.com/office/drawing/2014/chart" uri="{C3380CC4-5D6E-409C-BE32-E72D297353CC}">
              <c16:uniqueId val="{00000002-7C6E-4AA2-8FBD-DB5DECAA9E3F}"/>
            </c:ext>
          </c:extLst>
        </c:ser>
        <c:dLbls>
          <c:showLegendKey val="0"/>
          <c:showVal val="0"/>
          <c:showCatName val="0"/>
          <c:showSerName val="0"/>
          <c:showPercent val="0"/>
          <c:showBubbleSize val="0"/>
        </c:dLbl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marker val="1"/>
        <c:smooth val="0"/>
        <c:axId val="1074052720"/>
        <c:axId val="1067005024"/>
      </c:lineChart>
      <c:lineChart>
        <c:grouping val="standard"/>
        <c:varyColors val="0"/>
        <c:ser>
          <c:idx val="1"/>
          <c:order val="1"/>
          <c:tx>
            <c:v>Energy Production</c:v>
          </c:tx>
          <c:spPr>
            <a:ln w="19050" cap="rnd">
              <a:solidFill>
                <a:schemeClr val="accent2"/>
              </a:solidFill>
              <a:round/>
            </a:ln>
            <a:effectLst/>
          </c:spPr>
          <c:marker>
            <c:symbol val="circle"/>
            <c:size val="5"/>
            <c:spPr>
              <a:solidFill>
                <a:schemeClr val="accent2"/>
              </a:solidFill>
              <a:ln w="9525">
                <a:solidFill>
                  <a:schemeClr val="accent2"/>
                </a:solidFill>
              </a:ln>
              <a:effectLst/>
            </c:spPr>
          </c:marker>
          <c:cat>
            <c:numRef>
              <c:f>AEP_Calculation!$B$20:$B$50</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AEP_Calculation!$G$20:$G$50</c:f>
              <c:numCache>
                <c:formatCode>0.00</c:formatCode>
                <c:ptCount val="31"/>
                <c:pt idx="0">
                  <c:v>0</c:v>
                </c:pt>
                <c:pt idx="1">
                  <c:v>0</c:v>
                </c:pt>
                <c:pt idx="2">
                  <c:v>0</c:v>
                </c:pt>
                <c:pt idx="3">
                  <c:v>0</c:v>
                </c:pt>
                <c:pt idx="4">
                  <c:v>53.97900142266213</c:v>
                </c:pt>
                <c:pt idx="5">
                  <c:v>330.72429054125973</c:v>
                </c:pt>
                <c:pt idx="6">
                  <c:v>867.04038477699316</c:v>
                </c:pt>
                <c:pt idx="7">
                  <c:v>1635.7104646948458</c:v>
                </c:pt>
                <c:pt idx="8">
                  <c:v>2685.4322894101533</c:v>
                </c:pt>
                <c:pt idx="9">
                  <c:v>3837.4087315690113</c:v>
                </c:pt>
                <c:pt idx="10">
                  <c:v>5150.5131209077017</c:v>
                </c:pt>
                <c:pt idx="11">
                  <c:v>6148.5943173395071</c:v>
                </c:pt>
                <c:pt idx="12">
                  <c:v>6223.6715082155433</c:v>
                </c:pt>
                <c:pt idx="13">
                  <c:v>5514.0588480645611</c:v>
                </c:pt>
                <c:pt idx="14">
                  <c:v>4619.7352405104866</c:v>
                </c:pt>
                <c:pt idx="15">
                  <c:v>3731.0202717661841</c:v>
                </c:pt>
                <c:pt idx="16">
                  <c:v>2904.9968629232044</c:v>
                </c:pt>
                <c:pt idx="17">
                  <c:v>2180.4941857512281</c:v>
                </c:pt>
                <c:pt idx="18">
                  <c:v>1577.5945369009901</c:v>
                </c:pt>
                <c:pt idx="19">
                  <c:v>1099.9536644197985</c:v>
                </c:pt>
                <c:pt idx="20">
                  <c:v>738.88131046779245</c:v>
                </c:pt>
                <c:pt idx="21">
                  <c:v>478.03580043676357</c:v>
                </c:pt>
                <c:pt idx="22">
                  <c:v>297.77049997171196</c:v>
                </c:pt>
                <c:pt idx="23">
                  <c:v>178.51626943924288</c:v>
                </c:pt>
                <c:pt idx="24">
                  <c:v>102.9627535114779</c:v>
                </c:pt>
                <c:pt idx="25">
                  <c:v>57.110245074990509</c:v>
                </c:pt>
                <c:pt idx="26">
                  <c:v>0</c:v>
                </c:pt>
                <c:pt idx="27">
                  <c:v>0</c:v>
                </c:pt>
                <c:pt idx="28">
                  <c:v>0</c:v>
                </c:pt>
                <c:pt idx="29">
                  <c:v>0</c:v>
                </c:pt>
                <c:pt idx="30">
                  <c:v>0</c:v>
                </c:pt>
              </c:numCache>
            </c:numRef>
          </c:val>
          <c:smooth val="0"/>
          <c:extLst>
            <c:ext xmlns:c16="http://schemas.microsoft.com/office/drawing/2014/chart" uri="{C3380CC4-5D6E-409C-BE32-E72D297353CC}">
              <c16:uniqueId val="{00000003-7C6E-4AA2-8FBD-DB5DECAA9E3F}"/>
            </c:ext>
          </c:extLst>
        </c:ser>
        <c:dLbls>
          <c:showLegendKey val="0"/>
          <c:showVal val="0"/>
          <c:showCatName val="0"/>
          <c:showSerName val="0"/>
          <c:showPercent val="0"/>
          <c:showBubbleSize val="0"/>
        </c:dLbls>
        <c:marker val="1"/>
        <c:smooth val="0"/>
        <c:axId val="2037584287"/>
        <c:axId val="2038216863"/>
      </c:lineChart>
      <c:catAx>
        <c:axId val="1074052720"/>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Wind Speed (m/s)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L"/>
          </a:p>
        </c:txPr>
        <c:crossAx val="1067005024"/>
        <c:crosses val="autoZero"/>
        <c:auto val="1"/>
        <c:lblAlgn val="ctr"/>
        <c:lblOffset val="100"/>
        <c:noMultiLvlLbl val="1"/>
      </c:catAx>
      <c:valAx>
        <c:axId val="106700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NL"/>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L"/>
          </a:p>
        </c:txPr>
        <c:crossAx val="1074052720"/>
        <c:crosses val="autoZero"/>
        <c:crossBetween val="between"/>
      </c:valAx>
      <c:valAx>
        <c:axId val="2038216863"/>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Energy Production (MWh)</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N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L"/>
          </a:p>
        </c:txPr>
        <c:crossAx val="2037584287"/>
        <c:crosses val="max"/>
        <c:crossBetween val="between"/>
      </c:valAx>
      <c:catAx>
        <c:axId val="2037584287"/>
        <c:scaling>
          <c:orientation val="minMax"/>
        </c:scaling>
        <c:delete val="1"/>
        <c:axPos val="b"/>
        <c:numFmt formatCode="General" sourceLinked="1"/>
        <c:majorTickMark val="out"/>
        <c:minorTickMark val="none"/>
        <c:tickLblPos val="nextTo"/>
        <c:crossAx val="20382168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Wind turbine</a:t>
            </a:r>
            <a:r>
              <a:rPr lang="en-US" baseline="0"/>
              <a:t> power curve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NL"/>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AEP_Calculation!$B$20:$B$50</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AEP_Calculation!$F$20:$F$50</c:f>
              <c:numCache>
                <c:formatCode>0.00</c:formatCode>
                <c:ptCount val="31"/>
                <c:pt idx="0">
                  <c:v>0</c:v>
                </c:pt>
                <c:pt idx="1">
                  <c:v>0</c:v>
                </c:pt>
                <c:pt idx="2">
                  <c:v>0</c:v>
                </c:pt>
                <c:pt idx="3">
                  <c:v>0</c:v>
                </c:pt>
                <c:pt idx="4">
                  <c:v>0.13125000000000001</c:v>
                </c:pt>
                <c:pt idx="5">
                  <c:v>0.625</c:v>
                </c:pt>
                <c:pt idx="6">
                  <c:v>1.375</c:v>
                </c:pt>
                <c:pt idx="7">
                  <c:v>2.3125</c:v>
                </c:pt>
                <c:pt idx="8">
                  <c:v>3.5625</c:v>
                </c:pt>
                <c:pt idx="9">
                  <c:v>5</c:v>
                </c:pt>
                <c:pt idx="10">
                  <c:v>6.875</c:v>
                </c:pt>
                <c:pt idx="11">
                  <c:v>8.75</c:v>
                </c:pt>
                <c:pt idx="12">
                  <c:v>9.8125</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0</c:v>
                </c:pt>
                <c:pt idx="27">
                  <c:v>0</c:v>
                </c:pt>
                <c:pt idx="28">
                  <c:v>0</c:v>
                </c:pt>
                <c:pt idx="29">
                  <c:v>0</c:v>
                </c:pt>
                <c:pt idx="30">
                  <c:v>0</c:v>
                </c:pt>
              </c:numCache>
            </c:numRef>
          </c:yVal>
          <c:smooth val="0"/>
          <c:extLst>
            <c:ext xmlns:c16="http://schemas.microsoft.com/office/drawing/2014/chart" uri="{C3380CC4-5D6E-409C-BE32-E72D297353CC}">
              <c16:uniqueId val="{00000000-633F-48DD-9E04-8F3369ED6BB2}"/>
            </c:ext>
          </c:extLst>
        </c:ser>
        <c:dLbls>
          <c:showLegendKey val="0"/>
          <c:showVal val="0"/>
          <c:showCatName val="0"/>
          <c:showSerName val="0"/>
          <c:showPercent val="0"/>
          <c:showBubbleSize val="0"/>
        </c:dLbls>
        <c:axId val="1606226623"/>
        <c:axId val="1613121343"/>
      </c:scatterChart>
      <c:valAx>
        <c:axId val="1606226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Wind Speed (m/s)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L"/>
          </a:p>
        </c:txPr>
        <c:crossAx val="1613121343"/>
        <c:crosses val="autoZero"/>
        <c:crossBetween val="midCat"/>
      </c:valAx>
      <c:valAx>
        <c:axId val="161312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Power (MW)</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NL"/>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L"/>
          </a:p>
        </c:txPr>
        <c:crossAx val="16062266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mn-lt"/>
                <a:ea typeface="+mn-ea"/>
                <a:cs typeface="+mn-cs"/>
              </a:defRPr>
            </a:pPr>
            <a:r>
              <a:rPr lang="en-US" b="1"/>
              <a:t>LCOE - Real Pre Tax  </a:t>
            </a:r>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mn-lt"/>
              <a:ea typeface="+mn-ea"/>
              <a:cs typeface="+mn-cs"/>
            </a:defRPr>
          </a:pPr>
          <a:endParaRPr lang="en-NL"/>
        </a:p>
      </c:txPr>
    </c:title>
    <c:autoTitleDeleted val="0"/>
    <c:plotArea>
      <c:layout/>
      <c:barChart>
        <c:barDir val="col"/>
        <c:grouping val="stacked"/>
        <c:varyColors val="0"/>
        <c:ser>
          <c:idx val="0"/>
          <c:order val="0"/>
          <c:tx>
            <c:strRef>
              <c:f>Results!$B$15</c:f>
              <c:strCache>
                <c:ptCount val="1"/>
                <c:pt idx="0">
                  <c:v>DEVEX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Results!$C$15</c:f>
              <c:numCache>
                <c:formatCode>0.00</c:formatCode>
                <c:ptCount val="1"/>
                <c:pt idx="0">
                  <c:v>1.7231871892725485</c:v>
                </c:pt>
              </c:numCache>
            </c:numRef>
          </c:val>
          <c:extLst>
            <c:ext xmlns:c16="http://schemas.microsoft.com/office/drawing/2014/chart" uri="{C3380CC4-5D6E-409C-BE32-E72D297353CC}">
              <c16:uniqueId val="{00000000-2E3D-47E9-BC56-26F930C0272F}"/>
            </c:ext>
          </c:extLst>
        </c:ser>
        <c:ser>
          <c:idx val="1"/>
          <c:order val="1"/>
          <c:tx>
            <c:strRef>
              <c:f>Results!$B$16</c:f>
              <c:strCache>
                <c:ptCount val="1"/>
                <c:pt idx="0">
                  <c:v>Turbine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Results!$C$16</c:f>
              <c:numCache>
                <c:formatCode>0.00</c:formatCode>
                <c:ptCount val="1"/>
                <c:pt idx="0">
                  <c:v>18.199045102102907</c:v>
                </c:pt>
              </c:numCache>
            </c:numRef>
          </c:val>
          <c:extLst>
            <c:ext xmlns:c16="http://schemas.microsoft.com/office/drawing/2014/chart" uri="{C3380CC4-5D6E-409C-BE32-E72D297353CC}">
              <c16:uniqueId val="{00000001-2E3D-47E9-BC56-26F930C0272F}"/>
            </c:ext>
          </c:extLst>
        </c:ser>
        <c:ser>
          <c:idx val="2"/>
          <c:order val="2"/>
          <c:tx>
            <c:strRef>
              <c:f>Results!$B$17</c:f>
              <c:strCache>
                <c:ptCount val="1"/>
                <c:pt idx="0">
                  <c:v>Foundation</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Results!$C$17</c:f>
              <c:numCache>
                <c:formatCode>0.00</c:formatCode>
                <c:ptCount val="1"/>
                <c:pt idx="0">
                  <c:v>3.8945956518500222</c:v>
                </c:pt>
              </c:numCache>
            </c:numRef>
          </c:val>
          <c:extLst>
            <c:ext xmlns:c16="http://schemas.microsoft.com/office/drawing/2014/chart" uri="{C3380CC4-5D6E-409C-BE32-E72D297353CC}">
              <c16:uniqueId val="{00000002-2E3D-47E9-BC56-26F930C0272F}"/>
            </c:ext>
          </c:extLst>
        </c:ser>
        <c:ser>
          <c:idx val="3"/>
          <c:order val="3"/>
          <c:tx>
            <c:strRef>
              <c:f>Results!$B$18</c:f>
              <c:strCache>
                <c:ptCount val="1"/>
                <c:pt idx="0">
                  <c:v>Installation</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Results!$C$18</c:f>
              <c:numCache>
                <c:formatCode>0.00</c:formatCode>
                <c:ptCount val="1"/>
                <c:pt idx="0">
                  <c:v>4.9514676606241252</c:v>
                </c:pt>
              </c:numCache>
            </c:numRef>
          </c:val>
          <c:extLst>
            <c:ext xmlns:c16="http://schemas.microsoft.com/office/drawing/2014/chart" uri="{C3380CC4-5D6E-409C-BE32-E72D297353CC}">
              <c16:uniqueId val="{00000003-2E3D-47E9-BC56-26F930C0272F}"/>
            </c:ext>
          </c:extLst>
        </c:ser>
        <c:ser>
          <c:idx val="4"/>
          <c:order val="4"/>
          <c:tx>
            <c:strRef>
              <c:f>Results!$B$19</c:f>
              <c:strCache>
                <c:ptCount val="1"/>
                <c:pt idx="0">
                  <c:v>Electrical </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Results!$C$19</c:f>
              <c:numCache>
                <c:formatCode>0.00</c:formatCode>
                <c:ptCount val="1"/>
                <c:pt idx="0">
                  <c:v>4.1969139769691433</c:v>
                </c:pt>
              </c:numCache>
            </c:numRef>
          </c:val>
          <c:extLst>
            <c:ext xmlns:c16="http://schemas.microsoft.com/office/drawing/2014/chart" uri="{C3380CC4-5D6E-409C-BE32-E72D297353CC}">
              <c16:uniqueId val="{00000004-2E3D-47E9-BC56-26F930C0272F}"/>
            </c:ext>
          </c:extLst>
        </c:ser>
        <c:ser>
          <c:idx val="5"/>
          <c:order val="5"/>
          <c:tx>
            <c:strRef>
              <c:f>Results!$B$20</c:f>
              <c:strCache>
                <c:ptCount val="1"/>
                <c:pt idx="0">
                  <c:v>Other CAPEX</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Results!$C$20</c:f>
              <c:numCache>
                <c:formatCode>0.00</c:formatCode>
                <c:ptCount val="1"/>
                <c:pt idx="0">
                  <c:v>3.7129939810314276</c:v>
                </c:pt>
              </c:numCache>
            </c:numRef>
          </c:val>
          <c:extLst>
            <c:ext xmlns:c16="http://schemas.microsoft.com/office/drawing/2014/chart" uri="{C3380CC4-5D6E-409C-BE32-E72D297353CC}">
              <c16:uniqueId val="{00000005-2E3D-47E9-BC56-26F930C0272F}"/>
            </c:ext>
          </c:extLst>
        </c:ser>
        <c:ser>
          <c:idx val="6"/>
          <c:order val="6"/>
          <c:tx>
            <c:strRef>
              <c:f>Results!$B$22</c:f>
              <c:strCache>
                <c:ptCount val="1"/>
                <c:pt idx="0">
                  <c:v>OPEX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Results!$C$22</c:f>
              <c:numCache>
                <c:formatCode>0.00</c:formatCode>
                <c:ptCount val="1"/>
                <c:pt idx="0">
                  <c:v>14.552377610959375</c:v>
                </c:pt>
              </c:numCache>
            </c:numRef>
          </c:val>
          <c:extLst>
            <c:ext xmlns:c16="http://schemas.microsoft.com/office/drawing/2014/chart" uri="{C3380CC4-5D6E-409C-BE32-E72D297353CC}">
              <c16:uniqueId val="{00000006-2E3D-47E9-BC56-26F930C0272F}"/>
            </c:ext>
          </c:extLst>
        </c:ser>
        <c:ser>
          <c:idx val="7"/>
          <c:order val="7"/>
          <c:tx>
            <c:strRef>
              <c:f>Results!$B$23</c:f>
              <c:strCache>
                <c:ptCount val="1"/>
                <c:pt idx="0">
                  <c:v>DECOM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Results!$C$23</c:f>
              <c:numCache>
                <c:formatCode>0.00</c:formatCode>
                <c:ptCount val="1"/>
                <c:pt idx="0">
                  <c:v>1.376483410572154</c:v>
                </c:pt>
              </c:numCache>
            </c:numRef>
          </c:val>
          <c:extLst>
            <c:ext xmlns:c16="http://schemas.microsoft.com/office/drawing/2014/chart" uri="{C3380CC4-5D6E-409C-BE32-E72D297353CC}">
              <c16:uniqueId val="{00000007-2E3D-47E9-BC56-26F930C0272F}"/>
            </c:ext>
          </c:extLst>
        </c:ser>
        <c:dLbls>
          <c:dLblPos val="ctr"/>
          <c:showLegendKey val="0"/>
          <c:showVal val="1"/>
          <c:showCatName val="0"/>
          <c:showSerName val="0"/>
          <c:showPercent val="0"/>
          <c:showBubbleSize val="0"/>
        </c:dLbls>
        <c:gapWidth val="150"/>
        <c:overlap val="100"/>
        <c:axId val="1864359775"/>
        <c:axId val="1855216079"/>
      </c:barChart>
      <c:catAx>
        <c:axId val="1864359775"/>
        <c:scaling>
          <c:orientation val="minMax"/>
        </c:scaling>
        <c:delete val="1"/>
        <c:axPos val="b"/>
        <c:numFmt formatCode="General" sourceLinked="1"/>
        <c:majorTickMark val="none"/>
        <c:minorTickMark val="none"/>
        <c:tickLblPos val="nextTo"/>
        <c:crossAx val="1855216079"/>
        <c:crosses val="autoZero"/>
        <c:auto val="1"/>
        <c:lblAlgn val="ctr"/>
        <c:lblOffset val="100"/>
        <c:noMultiLvlLbl val="0"/>
      </c:catAx>
      <c:valAx>
        <c:axId val="185521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EUR/MWh</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crossAx val="186435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n-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ysClr val="windowText" lastClr="000000"/>
                </a:solidFill>
                <a:latin typeface="+mn-lt"/>
                <a:ea typeface="+mn-ea"/>
                <a:cs typeface="+mn-cs"/>
              </a:defRPr>
            </a:pPr>
            <a:r>
              <a:rPr lang="en-US" b="1"/>
              <a:t>LCOE - Real Post Tax  </a:t>
            </a:r>
          </a:p>
        </c:rich>
      </c:tx>
      <c:overlay val="0"/>
      <c:spPr>
        <a:noFill/>
        <a:ln>
          <a:noFill/>
        </a:ln>
        <a:effectLst/>
      </c:spPr>
      <c:txPr>
        <a:bodyPr rot="0" spcFirstLastPara="1" vertOverflow="ellipsis" vert="horz" wrap="square" anchor="ctr" anchorCtr="1"/>
        <a:lstStyle/>
        <a:p>
          <a:pPr>
            <a:defRPr sz="1440" b="1" i="0" u="none" strike="noStrike" kern="1200" spc="0" baseline="0">
              <a:solidFill>
                <a:sysClr val="windowText" lastClr="000000"/>
              </a:solidFill>
              <a:latin typeface="+mn-lt"/>
              <a:ea typeface="+mn-ea"/>
              <a:cs typeface="+mn-cs"/>
            </a:defRPr>
          </a:pPr>
          <a:endParaRPr lang="en-NL"/>
        </a:p>
      </c:txPr>
    </c:title>
    <c:autoTitleDeleted val="0"/>
    <c:plotArea>
      <c:layout/>
      <c:barChart>
        <c:barDir val="col"/>
        <c:grouping val="stacked"/>
        <c:varyColors val="0"/>
        <c:ser>
          <c:idx val="0"/>
          <c:order val="0"/>
          <c:tx>
            <c:strRef>
              <c:f>Results!$J$15</c:f>
              <c:strCache>
                <c:ptCount val="1"/>
                <c:pt idx="0">
                  <c:v>DEVEX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Results!$K$15</c:f>
              <c:numCache>
                <c:formatCode>0.00</c:formatCode>
                <c:ptCount val="1"/>
                <c:pt idx="0">
                  <c:v>1.5641571114299304</c:v>
                </c:pt>
              </c:numCache>
            </c:numRef>
          </c:val>
          <c:extLst>
            <c:ext xmlns:c16="http://schemas.microsoft.com/office/drawing/2014/chart" uri="{C3380CC4-5D6E-409C-BE32-E72D297353CC}">
              <c16:uniqueId val="{00000000-57AC-421A-BA36-B56E24DA398B}"/>
            </c:ext>
          </c:extLst>
        </c:ser>
        <c:ser>
          <c:idx val="1"/>
          <c:order val="1"/>
          <c:tx>
            <c:strRef>
              <c:f>Results!$J$16</c:f>
              <c:strCache>
                <c:ptCount val="1"/>
                <c:pt idx="0">
                  <c:v>Turbine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Results!$K$16</c:f>
              <c:numCache>
                <c:formatCode>0.00</c:formatCode>
                <c:ptCount val="1"/>
                <c:pt idx="0">
                  <c:v>16.733139028218844</c:v>
                </c:pt>
              </c:numCache>
            </c:numRef>
          </c:val>
          <c:extLst>
            <c:ext xmlns:c16="http://schemas.microsoft.com/office/drawing/2014/chart" uri="{C3380CC4-5D6E-409C-BE32-E72D297353CC}">
              <c16:uniqueId val="{00000001-57AC-421A-BA36-B56E24DA398B}"/>
            </c:ext>
          </c:extLst>
        </c:ser>
        <c:ser>
          <c:idx val="2"/>
          <c:order val="2"/>
          <c:tx>
            <c:strRef>
              <c:f>Results!$J$17</c:f>
              <c:strCache>
                <c:ptCount val="1"/>
                <c:pt idx="0">
                  <c:v>Foundation</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Results!$K$17</c:f>
              <c:numCache>
                <c:formatCode>0.00</c:formatCode>
                <c:ptCount val="1"/>
                <c:pt idx="0">
                  <c:v>3.5808917520388324</c:v>
                </c:pt>
              </c:numCache>
            </c:numRef>
          </c:val>
          <c:extLst>
            <c:ext xmlns:c16="http://schemas.microsoft.com/office/drawing/2014/chart" uri="{C3380CC4-5D6E-409C-BE32-E72D297353CC}">
              <c16:uniqueId val="{00000002-57AC-421A-BA36-B56E24DA398B}"/>
            </c:ext>
          </c:extLst>
        </c:ser>
        <c:ser>
          <c:idx val="3"/>
          <c:order val="3"/>
          <c:tx>
            <c:strRef>
              <c:f>Results!$J$18</c:f>
              <c:strCache>
                <c:ptCount val="1"/>
                <c:pt idx="0">
                  <c:v>Installation</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Results!$K$18</c:f>
              <c:numCache>
                <c:formatCode>0.00</c:formatCode>
                <c:ptCount val="1"/>
                <c:pt idx="0">
                  <c:v>4.5526342890033957</c:v>
                </c:pt>
              </c:numCache>
            </c:numRef>
          </c:val>
          <c:extLst>
            <c:ext xmlns:c16="http://schemas.microsoft.com/office/drawing/2014/chart" uri="{C3380CC4-5D6E-409C-BE32-E72D297353CC}">
              <c16:uniqueId val="{00000003-57AC-421A-BA36-B56E24DA398B}"/>
            </c:ext>
          </c:extLst>
        </c:ser>
        <c:ser>
          <c:idx val="4"/>
          <c:order val="4"/>
          <c:tx>
            <c:strRef>
              <c:f>Results!$J$19</c:f>
              <c:strCache>
                <c:ptCount val="1"/>
                <c:pt idx="0">
                  <c:v>Electrical </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Results!$K$19</c:f>
              <c:numCache>
                <c:formatCode>0.00</c:formatCode>
                <c:ptCount val="1"/>
                <c:pt idx="0">
                  <c:v>3.858858784738366</c:v>
                </c:pt>
              </c:numCache>
            </c:numRef>
          </c:val>
          <c:extLst>
            <c:ext xmlns:c16="http://schemas.microsoft.com/office/drawing/2014/chart" uri="{C3380CC4-5D6E-409C-BE32-E72D297353CC}">
              <c16:uniqueId val="{00000004-57AC-421A-BA36-B56E24DA398B}"/>
            </c:ext>
          </c:extLst>
        </c:ser>
        <c:ser>
          <c:idx val="5"/>
          <c:order val="5"/>
          <c:tx>
            <c:strRef>
              <c:f>Results!$J$20</c:f>
              <c:strCache>
                <c:ptCount val="1"/>
                <c:pt idx="0">
                  <c:v>Other CAPEX</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Results!$K$20</c:f>
              <c:numCache>
                <c:formatCode>0.00</c:formatCode>
                <c:ptCount val="1"/>
                <c:pt idx="0">
                  <c:v>3.4139178262907586</c:v>
                </c:pt>
              </c:numCache>
            </c:numRef>
          </c:val>
          <c:extLst>
            <c:ext xmlns:c16="http://schemas.microsoft.com/office/drawing/2014/chart" uri="{C3380CC4-5D6E-409C-BE32-E72D297353CC}">
              <c16:uniqueId val="{00000005-57AC-421A-BA36-B56E24DA398B}"/>
            </c:ext>
          </c:extLst>
        </c:ser>
        <c:ser>
          <c:idx val="6"/>
          <c:order val="6"/>
          <c:tx>
            <c:strRef>
              <c:f>Results!$J$22</c:f>
              <c:strCache>
                <c:ptCount val="1"/>
                <c:pt idx="0">
                  <c:v>OPEX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Results!$K$22</c:f>
              <c:numCache>
                <c:formatCode>0.00</c:formatCode>
                <c:ptCount val="1"/>
                <c:pt idx="0">
                  <c:v>14.55237761095937</c:v>
                </c:pt>
              </c:numCache>
            </c:numRef>
          </c:val>
          <c:extLst>
            <c:ext xmlns:c16="http://schemas.microsoft.com/office/drawing/2014/chart" uri="{C3380CC4-5D6E-409C-BE32-E72D297353CC}">
              <c16:uniqueId val="{00000006-57AC-421A-BA36-B56E24DA398B}"/>
            </c:ext>
          </c:extLst>
        </c:ser>
        <c:ser>
          <c:idx val="7"/>
          <c:order val="7"/>
          <c:tx>
            <c:strRef>
              <c:f>Results!$J$23</c:f>
              <c:strCache>
                <c:ptCount val="1"/>
                <c:pt idx="0">
                  <c:v>DECOM</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Results!$K$23</c:f>
              <c:numCache>
                <c:formatCode>0.00</c:formatCode>
                <c:ptCount val="1"/>
                <c:pt idx="0">
                  <c:v>1.5205989527923489</c:v>
                </c:pt>
              </c:numCache>
            </c:numRef>
          </c:val>
          <c:extLst>
            <c:ext xmlns:c16="http://schemas.microsoft.com/office/drawing/2014/chart" uri="{C3380CC4-5D6E-409C-BE32-E72D297353CC}">
              <c16:uniqueId val="{00000007-57AC-421A-BA36-B56E24DA398B}"/>
            </c:ext>
          </c:extLst>
        </c:ser>
        <c:ser>
          <c:idx val="8"/>
          <c:order val="8"/>
          <c:tx>
            <c:strRef>
              <c:f>Results!$J$24</c:f>
              <c:strCache>
                <c:ptCount val="1"/>
                <c:pt idx="0">
                  <c:v>Tax Payments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Results!$K$24</c:f>
              <c:numCache>
                <c:formatCode>0.00</c:formatCode>
                <c:ptCount val="1"/>
                <c:pt idx="0">
                  <c:v>3.3032534860173808</c:v>
                </c:pt>
              </c:numCache>
            </c:numRef>
          </c:val>
          <c:extLst>
            <c:ext xmlns:c16="http://schemas.microsoft.com/office/drawing/2014/chart" uri="{C3380CC4-5D6E-409C-BE32-E72D297353CC}">
              <c16:uniqueId val="{00000009-57AC-421A-BA36-B56E24DA398B}"/>
            </c:ext>
          </c:extLst>
        </c:ser>
        <c:dLbls>
          <c:dLblPos val="ctr"/>
          <c:showLegendKey val="0"/>
          <c:showVal val="1"/>
          <c:showCatName val="0"/>
          <c:showSerName val="0"/>
          <c:showPercent val="0"/>
          <c:showBubbleSize val="0"/>
        </c:dLbls>
        <c:gapWidth val="150"/>
        <c:overlap val="100"/>
        <c:axId val="1864359775"/>
        <c:axId val="1855216079"/>
      </c:barChart>
      <c:catAx>
        <c:axId val="1864359775"/>
        <c:scaling>
          <c:orientation val="minMax"/>
        </c:scaling>
        <c:delete val="1"/>
        <c:axPos val="b"/>
        <c:numFmt formatCode="General" sourceLinked="1"/>
        <c:majorTickMark val="none"/>
        <c:minorTickMark val="none"/>
        <c:tickLblPos val="nextTo"/>
        <c:crossAx val="1855216079"/>
        <c:crosses val="autoZero"/>
        <c:auto val="1"/>
        <c:lblAlgn val="ctr"/>
        <c:lblOffset val="100"/>
        <c:noMultiLvlLbl val="0"/>
      </c:catAx>
      <c:valAx>
        <c:axId val="185521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EUR/MWh</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crossAx val="186435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8204</xdr:colOff>
      <xdr:row>40</xdr:row>
      <xdr:rowOff>180536</xdr:rowOff>
    </xdr:from>
    <xdr:to>
      <xdr:col>15</xdr:col>
      <xdr:colOff>334817</xdr:colOff>
      <xdr:row>57</xdr:row>
      <xdr:rowOff>138546</xdr:rowOff>
    </xdr:to>
    <xdr:graphicFrame macro="">
      <xdr:nvGraphicFramePr>
        <xdr:cNvPr id="2" name="Chart 1">
          <a:extLst>
            <a:ext uri="{FF2B5EF4-FFF2-40B4-BE49-F238E27FC236}">
              <a16:creationId xmlns:a16="http://schemas.microsoft.com/office/drawing/2014/main" id="{6682E0A3-070B-4678-9145-07EEAAA11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586</xdr:colOff>
      <xdr:row>19</xdr:row>
      <xdr:rowOff>8305</xdr:rowOff>
    </xdr:from>
    <xdr:to>
      <xdr:col>15</xdr:col>
      <xdr:colOff>169008</xdr:colOff>
      <xdr:row>39</xdr:row>
      <xdr:rowOff>136770</xdr:rowOff>
    </xdr:to>
    <xdr:graphicFrame macro="">
      <xdr:nvGraphicFramePr>
        <xdr:cNvPr id="3" name="Chart 2">
          <a:extLst>
            <a:ext uri="{FF2B5EF4-FFF2-40B4-BE49-F238E27FC236}">
              <a16:creationId xmlns:a16="http://schemas.microsoft.com/office/drawing/2014/main" id="{E2A480A6-FD6E-436B-BEC9-247B0B5FF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1153309</xdr:colOff>
      <xdr:row>32</xdr:row>
      <xdr:rowOff>17930</xdr:rowOff>
    </xdr:from>
    <xdr:to>
      <xdr:col>8</xdr:col>
      <xdr:colOff>179294</xdr:colOff>
      <xdr:row>54</xdr:row>
      <xdr:rowOff>35860</xdr:rowOff>
    </xdr:to>
    <xdr:graphicFrame macro="">
      <xdr:nvGraphicFramePr>
        <xdr:cNvPr id="4" name="Chart 3">
          <a:extLst>
            <a:ext uri="{FF2B5EF4-FFF2-40B4-BE49-F238E27FC236}">
              <a16:creationId xmlns:a16="http://schemas.microsoft.com/office/drawing/2014/main" id="{0D7A5759-8C37-4C4C-B659-A705565A0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995082</xdr:colOff>
      <xdr:row>32</xdr:row>
      <xdr:rowOff>8964</xdr:rowOff>
    </xdr:from>
    <xdr:to>
      <xdr:col>16</xdr:col>
      <xdr:colOff>304800</xdr:colOff>
      <xdr:row>54</xdr:row>
      <xdr:rowOff>53788</xdr:rowOff>
    </xdr:to>
    <xdr:graphicFrame macro="">
      <xdr:nvGraphicFramePr>
        <xdr:cNvPr id="5" name="Chart 4">
          <a:extLst>
            <a:ext uri="{FF2B5EF4-FFF2-40B4-BE49-F238E27FC236}">
              <a16:creationId xmlns:a16="http://schemas.microsoft.com/office/drawing/2014/main" id="{97254B00-82B1-4AC9-9B91-1E89AE790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B2FA1A-C141-44D4-9E93-E2B5C83BFA7D}" name="CAPEX_result" displayName="CAPEX_result" ref="B3:E29" totalsRowShown="0">
  <tableColumns count="4">
    <tableColumn id="2" xr3:uid="{B9048C18-7A2F-40CD-B32B-1807FCC976F4}" name="Cost Categories " dataDxfId="3"/>
    <tableColumn id="3" xr3:uid="{F3F00A4D-DCE3-4052-A5FB-4E81245B3272}" name="Total Cost " dataDxfId="2"/>
    <tableColumn id="4" xr3:uid="{DBDEF0ED-8495-4237-BDD4-D5708AD9B1A6}" name="Specific Cost " dataDxfId="1"/>
    <tableColumn id="5" xr3:uid="{5A494E53-939A-437B-9D8B-0665C9123354}" name="%" dataDxfId="0" dataCellStyle="Percent"/>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E975-FA53-47C6-A8A9-49513CA9CBE9}">
  <dimension ref="B3:L20"/>
  <sheetViews>
    <sheetView tabSelected="1" workbookViewId="0">
      <selection activeCell="B1" sqref="B1"/>
    </sheetView>
  </sheetViews>
  <sheetFormatPr defaultRowHeight="14.4" x14ac:dyDescent="0.3"/>
  <cols>
    <col min="1" max="1" width="2.33203125" customWidth="1"/>
    <col min="2" max="2" width="16.44140625" bestFit="1" customWidth="1"/>
    <col min="4" max="4" width="15.44140625" bestFit="1" customWidth="1"/>
    <col min="10" max="10" width="23.33203125" bestFit="1" customWidth="1"/>
  </cols>
  <sheetData>
    <row r="3" spans="2:12" x14ac:dyDescent="0.3">
      <c r="C3" s="250" t="s">
        <v>248</v>
      </c>
      <c r="D3" s="250"/>
      <c r="E3" s="250"/>
      <c r="F3" s="250"/>
      <c r="G3" s="250"/>
      <c r="H3" s="250"/>
      <c r="I3" s="250"/>
      <c r="J3" s="250"/>
      <c r="K3" s="250"/>
    </row>
    <row r="4" spans="2:12" x14ac:dyDescent="0.3">
      <c r="C4" s="250"/>
      <c r="D4" s="250"/>
      <c r="E4" s="250"/>
      <c r="F4" s="250"/>
      <c r="G4" s="250"/>
      <c r="H4" s="250"/>
      <c r="I4" s="250"/>
      <c r="J4" s="250"/>
      <c r="K4" s="250"/>
    </row>
    <row r="8" spans="2:12" x14ac:dyDescent="0.3">
      <c r="B8" s="213"/>
      <c r="C8" t="str">
        <f>"--------&gt;"</f>
        <v>--------&gt;</v>
      </c>
      <c r="D8" t="s">
        <v>241</v>
      </c>
      <c r="I8" s="252" t="s">
        <v>262</v>
      </c>
      <c r="J8" s="253"/>
      <c r="K8" s="253"/>
      <c r="L8" s="254"/>
    </row>
    <row r="9" spans="2:12" x14ac:dyDescent="0.3">
      <c r="I9" s="230">
        <v>1</v>
      </c>
      <c r="J9" s="231" t="s">
        <v>264</v>
      </c>
      <c r="K9" s="232"/>
      <c r="L9" s="233"/>
    </row>
    <row r="10" spans="2:12" x14ac:dyDescent="0.3">
      <c r="I10" s="230">
        <v>2</v>
      </c>
      <c r="J10" s="231" t="s">
        <v>263</v>
      </c>
      <c r="K10" s="232"/>
      <c r="L10" s="233"/>
    </row>
    <row r="11" spans="2:12" x14ac:dyDescent="0.3">
      <c r="B11" s="251" t="s">
        <v>257</v>
      </c>
      <c r="C11" s="251"/>
      <c r="D11" s="251"/>
      <c r="I11" s="230">
        <v>3</v>
      </c>
      <c r="J11" s="231" t="s">
        <v>265</v>
      </c>
      <c r="K11" s="232"/>
      <c r="L11" s="233"/>
    </row>
    <row r="12" spans="2:12" x14ac:dyDescent="0.3">
      <c r="I12" s="230">
        <v>4</v>
      </c>
      <c r="J12" s="231" t="s">
        <v>266</v>
      </c>
      <c r="K12" s="232"/>
      <c r="L12" s="233"/>
    </row>
    <row r="13" spans="2:12" x14ac:dyDescent="0.3">
      <c r="B13" s="218"/>
      <c r="C13" t="str">
        <f>"--------&gt;"</f>
        <v>--------&gt;</v>
      </c>
      <c r="D13" t="s">
        <v>242</v>
      </c>
      <c r="I13" s="230">
        <v>5</v>
      </c>
      <c r="J13" s="231" t="s">
        <v>267</v>
      </c>
      <c r="K13" s="232"/>
      <c r="L13" s="233"/>
    </row>
    <row r="14" spans="2:12" x14ac:dyDescent="0.3">
      <c r="B14" s="23"/>
      <c r="C14" t="str">
        <f>"--------&gt;"</f>
        <v>--------&gt;</v>
      </c>
      <c r="D14" t="s">
        <v>39</v>
      </c>
      <c r="I14" s="230">
        <v>6</v>
      </c>
      <c r="J14" s="231" t="s">
        <v>268</v>
      </c>
      <c r="K14" s="232"/>
      <c r="L14" s="233"/>
    </row>
    <row r="15" spans="2:12" x14ac:dyDescent="0.3">
      <c r="B15" s="211"/>
      <c r="C15" t="str">
        <f>"--------&gt;"</f>
        <v>--------&gt;</v>
      </c>
      <c r="D15" t="s">
        <v>36</v>
      </c>
      <c r="I15" s="234">
        <v>7</v>
      </c>
      <c r="J15" s="235" t="s">
        <v>156</v>
      </c>
      <c r="K15" s="236"/>
      <c r="L15" s="237"/>
    </row>
    <row r="16" spans="2:12" x14ac:dyDescent="0.3">
      <c r="B16" s="30"/>
      <c r="C16" t="str">
        <f>"--------&gt;"</f>
        <v>--------&gt;</v>
      </c>
      <c r="D16" t="s">
        <v>67</v>
      </c>
      <c r="I16" s="29"/>
      <c r="J16" s="29"/>
      <c r="K16" s="29"/>
      <c r="L16" s="29"/>
    </row>
    <row r="17" spans="2:4" x14ac:dyDescent="0.3">
      <c r="B17" s="31"/>
      <c r="C17" t="str">
        <f>"--------&gt;"</f>
        <v>--------&gt;</v>
      </c>
      <c r="D17" t="s">
        <v>68</v>
      </c>
    </row>
    <row r="19" spans="2:4" x14ac:dyDescent="0.3">
      <c r="B19" t="s">
        <v>166</v>
      </c>
      <c r="C19" t="str">
        <f>"--------&gt;"</f>
        <v>--------&gt;</v>
      </c>
      <c r="D19" t="s">
        <v>167</v>
      </c>
    </row>
    <row r="20" spans="2:4" x14ac:dyDescent="0.3">
      <c r="B20" t="s">
        <v>169</v>
      </c>
      <c r="C20" t="str">
        <f>"--------&gt;"</f>
        <v>--------&gt;</v>
      </c>
      <c r="D20" t="s">
        <v>168</v>
      </c>
    </row>
  </sheetData>
  <mergeCells count="3">
    <mergeCell ref="C3:K4"/>
    <mergeCell ref="B11:D11"/>
    <mergeCell ref="I8:L8"/>
  </mergeCells>
  <hyperlinks>
    <hyperlink ref="J9" location="'CAPEX-Input'!A1" display="CAPEX Inputs" xr:uid="{C1381FE9-7D3B-4367-8392-1A15E4047DE0}"/>
    <hyperlink ref="J10" location="'FIN_Inputs&amp;ProjectTimeline'!A1" display="Financial Parameter Inputs " xr:uid="{CDFFCE37-37E4-419D-AD7E-D5722F170AB0}"/>
    <hyperlink ref="J11" location="'OPEX Input'!A1" display="OPEX Inputs " xr:uid="{02F9AC6F-4FF8-4599-81A3-37D45916F2F7}"/>
    <hyperlink ref="J12" location="'AEP Input'!A1" display="AEP Inputs" xr:uid="{5BD5D135-C445-4291-9C96-16872F8ED376}"/>
    <hyperlink ref="J13" location="Summary!A1" display="Summary" xr:uid="{4FF5466B-B5E3-4F36-9594-F45212A91D7F}"/>
    <hyperlink ref="J14" location="DCF_Calculations!A1" display="DCF Calculations " xr:uid="{7DDF4F4D-A537-4C84-B96B-BC577034B99B}"/>
    <hyperlink ref="J15" location="Results!A1" display="Results " xr:uid="{BD08A623-7961-413A-9F8B-A79BD6D43C5C}"/>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59580-B614-4B3D-84D6-834202559E54}">
  <dimension ref="A2:Q31"/>
  <sheetViews>
    <sheetView workbookViewId="0"/>
  </sheetViews>
  <sheetFormatPr defaultRowHeight="14.4" x14ac:dyDescent="0.3"/>
  <cols>
    <col min="2" max="2" width="36.109375" bestFit="1" customWidth="1"/>
    <col min="3" max="3" width="10.33203125" bestFit="1" customWidth="1"/>
    <col min="4" max="4" width="13.88671875" bestFit="1" customWidth="1"/>
    <col min="5" max="5" width="8.109375" bestFit="1" customWidth="1"/>
    <col min="11" max="11" width="43.77734375" bestFit="1" customWidth="1"/>
    <col min="12" max="12" width="10.5546875" customWidth="1"/>
  </cols>
  <sheetData>
    <row r="2" spans="1:13" x14ac:dyDescent="0.3">
      <c r="C2" s="239" t="s">
        <v>0</v>
      </c>
      <c r="D2" s="239" t="s">
        <v>195</v>
      </c>
      <c r="E2" s="2"/>
    </row>
    <row r="3" spans="1:13" x14ac:dyDescent="0.3">
      <c r="B3" t="s">
        <v>1</v>
      </c>
      <c r="C3" s="2" t="s">
        <v>285</v>
      </c>
      <c r="D3" s="2" t="s">
        <v>2</v>
      </c>
      <c r="E3" s="2" t="s">
        <v>3</v>
      </c>
      <c r="K3" s="208" t="s">
        <v>286</v>
      </c>
      <c r="L3" s="223" t="s">
        <v>287</v>
      </c>
      <c r="M3" s="224" t="s">
        <v>240</v>
      </c>
    </row>
    <row r="4" spans="1:13" x14ac:dyDescent="0.3">
      <c r="A4">
        <v>1</v>
      </c>
      <c r="B4" s="96" t="s">
        <v>4</v>
      </c>
      <c r="C4" s="217">
        <v>89.25</v>
      </c>
      <c r="D4" s="5">
        <f>C4/$L$5</f>
        <v>0.11899999999999999</v>
      </c>
      <c r="E4" s="97">
        <f>CAPEX_result[[#This Row],[Specific Cost ]]/$D$29</f>
        <v>4.4403955583313656E-2</v>
      </c>
      <c r="K4" s="66" t="s">
        <v>269</v>
      </c>
      <c r="L4" s="240" t="s">
        <v>301</v>
      </c>
      <c r="M4" s="64"/>
    </row>
    <row r="5" spans="1:13" x14ac:dyDescent="0.3">
      <c r="A5">
        <v>2</v>
      </c>
      <c r="B5" s="96" t="s">
        <v>5</v>
      </c>
      <c r="C5" s="217">
        <v>1000</v>
      </c>
      <c r="D5" s="5">
        <f t="shared" ref="D5:D27" si="0">C5/$L$5</f>
        <v>1.3333333333333333</v>
      </c>
      <c r="E5" s="97">
        <f>CAPEX_result[[#This Row],[Specific Cost ]]/$D$29</f>
        <v>0.49752331185785609</v>
      </c>
      <c r="K5" s="206" t="s">
        <v>137</v>
      </c>
      <c r="L5" s="103">
        <v>750</v>
      </c>
      <c r="M5" s="203" t="s">
        <v>149</v>
      </c>
    </row>
    <row r="6" spans="1:13" x14ac:dyDescent="0.3">
      <c r="B6" s="95" t="s">
        <v>6</v>
      </c>
      <c r="C6" s="4">
        <v>145</v>
      </c>
      <c r="D6" s="4">
        <f t="shared" si="0"/>
        <v>0.19333333333333333</v>
      </c>
      <c r="E6" s="97"/>
      <c r="K6" s="206" t="s">
        <v>138</v>
      </c>
      <c r="L6" s="103">
        <v>10</v>
      </c>
      <c r="M6" s="203" t="s">
        <v>150</v>
      </c>
    </row>
    <row r="7" spans="1:13" x14ac:dyDescent="0.3">
      <c r="B7" s="95" t="s">
        <v>7</v>
      </c>
      <c r="C7" s="4">
        <v>30</v>
      </c>
      <c r="D7" s="4">
        <f t="shared" si="0"/>
        <v>0.04</v>
      </c>
      <c r="E7" s="97"/>
      <c r="K7" s="206" t="s">
        <v>27</v>
      </c>
      <c r="L7" s="103">
        <f>L5/L6</f>
        <v>75</v>
      </c>
      <c r="M7" s="203"/>
    </row>
    <row r="8" spans="1:13" x14ac:dyDescent="0.3">
      <c r="B8" s="95" t="s">
        <v>8</v>
      </c>
      <c r="C8" s="4">
        <v>39</v>
      </c>
      <c r="D8" s="4">
        <f t="shared" si="0"/>
        <v>5.1999999999999998E-2</v>
      </c>
      <c r="E8" s="97"/>
      <c r="K8" s="206" t="s">
        <v>140</v>
      </c>
      <c r="L8" s="103">
        <v>35</v>
      </c>
      <c r="M8" s="203" t="s">
        <v>151</v>
      </c>
    </row>
    <row r="9" spans="1:13" x14ac:dyDescent="0.3">
      <c r="A9">
        <v>3</v>
      </c>
      <c r="B9" s="96" t="s">
        <v>9</v>
      </c>
      <c r="C9" s="217">
        <f>SUM(C6:C8)</f>
        <v>214</v>
      </c>
      <c r="D9" s="5">
        <f t="shared" si="0"/>
        <v>0.28533333333333333</v>
      </c>
      <c r="E9" s="97">
        <f>CAPEX_result[[#This Row],[Specific Cost ]]/$D$29</f>
        <v>0.10646998873758121</v>
      </c>
      <c r="K9" s="206" t="s">
        <v>141</v>
      </c>
      <c r="L9" s="103">
        <v>70</v>
      </c>
      <c r="M9" s="203" t="s">
        <v>288</v>
      </c>
    </row>
    <row r="10" spans="1:13" x14ac:dyDescent="0.3">
      <c r="B10" s="95" t="s">
        <v>10</v>
      </c>
      <c r="C10" s="4">
        <v>8.3500000000000014</v>
      </c>
      <c r="D10" s="4">
        <f t="shared" si="0"/>
        <v>1.1133333333333335E-2</v>
      </c>
      <c r="E10" s="97"/>
      <c r="K10" s="206" t="s">
        <v>142</v>
      </c>
      <c r="L10" s="201" t="s">
        <v>143</v>
      </c>
      <c r="M10" s="203"/>
    </row>
    <row r="11" spans="1:13" x14ac:dyDescent="0.3">
      <c r="B11" s="95" t="s">
        <v>11</v>
      </c>
      <c r="C11" s="4">
        <v>59.7421875</v>
      </c>
      <c r="D11" s="4">
        <f t="shared" si="0"/>
        <v>7.9656249999999998E-2</v>
      </c>
      <c r="E11" s="97"/>
      <c r="K11" s="206" t="s">
        <v>144</v>
      </c>
      <c r="L11" s="103">
        <v>154</v>
      </c>
      <c r="M11" s="203"/>
    </row>
    <row r="12" spans="1:13" x14ac:dyDescent="0.3">
      <c r="B12" s="95" t="s">
        <v>12</v>
      </c>
      <c r="C12" s="4">
        <v>59.94</v>
      </c>
      <c r="D12" s="4">
        <f t="shared" si="0"/>
        <v>7.9919999999999991E-2</v>
      </c>
      <c r="E12" s="97"/>
      <c r="K12" s="206" t="s">
        <v>145</v>
      </c>
      <c r="L12" s="103">
        <v>110</v>
      </c>
      <c r="M12" s="203"/>
    </row>
    <row r="13" spans="1:13" x14ac:dyDescent="0.3">
      <c r="B13" s="95" t="s">
        <v>13</v>
      </c>
      <c r="C13" s="4">
        <v>11.25</v>
      </c>
      <c r="D13" s="4">
        <f t="shared" si="0"/>
        <v>1.4999999999999999E-2</v>
      </c>
      <c r="E13" s="97"/>
      <c r="K13" s="206"/>
      <c r="L13" s="103"/>
      <c r="M13" s="203"/>
    </row>
    <row r="14" spans="1:13" x14ac:dyDescent="0.3">
      <c r="B14" s="95" t="s">
        <v>14</v>
      </c>
      <c r="C14" s="4">
        <v>0.18850000000000003</v>
      </c>
      <c r="D14" s="4">
        <f t="shared" si="0"/>
        <v>2.5133333333333339E-4</v>
      </c>
      <c r="E14" s="97"/>
      <c r="K14" s="206" t="s">
        <v>146</v>
      </c>
      <c r="L14" s="103">
        <v>66</v>
      </c>
      <c r="M14" s="203" t="s">
        <v>289</v>
      </c>
    </row>
    <row r="15" spans="1:13" x14ac:dyDescent="0.3">
      <c r="B15" s="95" t="s">
        <v>15</v>
      </c>
      <c r="C15" s="4">
        <v>29.756250000000001</v>
      </c>
      <c r="D15" s="4">
        <f t="shared" si="0"/>
        <v>3.9675000000000002E-2</v>
      </c>
      <c r="E15" s="97"/>
      <c r="K15" s="206" t="s">
        <v>147</v>
      </c>
      <c r="L15" s="103">
        <v>220</v>
      </c>
      <c r="M15" s="203" t="s">
        <v>289</v>
      </c>
    </row>
    <row r="16" spans="1:13" x14ac:dyDescent="0.3">
      <c r="B16" s="95" t="s">
        <v>16</v>
      </c>
      <c r="C16" s="4">
        <v>12.15</v>
      </c>
      <c r="D16" s="4">
        <f t="shared" si="0"/>
        <v>1.6199999999999999E-2</v>
      </c>
      <c r="E16" s="97"/>
      <c r="K16" s="207" t="s">
        <v>148</v>
      </c>
      <c r="L16" s="204">
        <v>1600</v>
      </c>
      <c r="M16" s="205" t="s">
        <v>28</v>
      </c>
    </row>
    <row r="17" spans="1:17" x14ac:dyDescent="0.3">
      <c r="B17" s="95" t="s">
        <v>17</v>
      </c>
      <c r="C17" s="4">
        <v>45.695999999999998</v>
      </c>
      <c r="D17" s="4">
        <f t="shared" si="0"/>
        <v>6.0927999999999996E-2</v>
      </c>
      <c r="E17" s="97"/>
      <c r="K17" s="156"/>
      <c r="L17" s="202"/>
      <c r="M17" s="65"/>
    </row>
    <row r="18" spans="1:17" x14ac:dyDescent="0.3">
      <c r="B18" s="95" t="s">
        <v>261</v>
      </c>
      <c r="C18" s="4">
        <v>45</v>
      </c>
      <c r="D18" s="4">
        <f>0.12</f>
        <v>0.12</v>
      </c>
      <c r="E18" s="97"/>
      <c r="K18" s="156"/>
      <c r="L18" s="202"/>
      <c r="M18" s="65"/>
    </row>
    <row r="19" spans="1:17" x14ac:dyDescent="0.3">
      <c r="A19">
        <v>4</v>
      </c>
      <c r="B19" s="96" t="s">
        <v>18</v>
      </c>
      <c r="C19" s="217">
        <f>SUM(C10:C18)</f>
        <v>272.07293749999997</v>
      </c>
      <c r="D19" s="5">
        <f t="shared" si="0"/>
        <v>0.36276391666666663</v>
      </c>
      <c r="E19" s="97">
        <f>CAPEX_result[[#This Row],[Specific Cost ]]/$D$29</f>
        <v>0.13536262893189549</v>
      </c>
      <c r="K19" s="156"/>
      <c r="L19" s="202"/>
      <c r="M19" s="65"/>
      <c r="Q19" s="6"/>
    </row>
    <row r="20" spans="1:17" x14ac:dyDescent="0.3">
      <c r="B20" s="95" t="s">
        <v>19</v>
      </c>
      <c r="C20" s="4">
        <v>24.60276855285602</v>
      </c>
      <c r="D20" s="4">
        <f t="shared" si="0"/>
        <v>3.2803691403808025E-2</v>
      </c>
      <c r="E20" s="97"/>
      <c r="L20" s="239" t="s">
        <v>0</v>
      </c>
    </row>
    <row r="21" spans="1:17" x14ac:dyDescent="0.3">
      <c r="B21" s="95" t="s">
        <v>20</v>
      </c>
      <c r="C21" s="4">
        <v>61.305</v>
      </c>
      <c r="D21" s="4">
        <f t="shared" si="0"/>
        <v>8.1739999999999993E-2</v>
      </c>
      <c r="E21" s="97"/>
      <c r="K21" s="238" t="s">
        <v>290</v>
      </c>
      <c r="L21" s="241" t="s">
        <v>291</v>
      </c>
    </row>
    <row r="22" spans="1:17" x14ac:dyDescent="0.3">
      <c r="B22" s="95" t="s">
        <v>21</v>
      </c>
      <c r="C22" s="4">
        <v>144.70399999999998</v>
      </c>
      <c r="D22" s="4">
        <f t="shared" si="0"/>
        <v>0.19293866666666665</v>
      </c>
      <c r="E22" s="97"/>
      <c r="K22" t="s">
        <v>258</v>
      </c>
      <c r="L22" s="4">
        <f>$C$21</f>
        <v>61.305</v>
      </c>
    </row>
    <row r="23" spans="1:17" x14ac:dyDescent="0.3">
      <c r="A23">
        <v>5</v>
      </c>
      <c r="B23" s="96" t="s">
        <v>139</v>
      </c>
      <c r="C23" s="217">
        <f>SUM(C20:C22)</f>
        <v>230.61176855285601</v>
      </c>
      <c r="D23" s="5">
        <f t="shared" si="0"/>
        <v>0.30748235807047469</v>
      </c>
      <c r="E23" s="97">
        <f>CAPEX_result[[#This Row],[Specific Cost ]]/$D$29</f>
        <v>0.11473473084381433</v>
      </c>
      <c r="K23" t="s">
        <v>259</v>
      </c>
      <c r="L23" s="4">
        <f>$C$22</f>
        <v>144.70399999999998</v>
      </c>
    </row>
    <row r="24" spans="1:17" x14ac:dyDescent="0.3">
      <c r="B24" s="95" t="s">
        <v>22</v>
      </c>
      <c r="C24" s="4">
        <v>33.75</v>
      </c>
      <c r="D24" s="4">
        <f t="shared" si="0"/>
        <v>4.4999999999999998E-2</v>
      </c>
      <c r="E24" s="97"/>
      <c r="K24" t="s">
        <v>18</v>
      </c>
      <c r="L24" s="4">
        <f>SUM($C$16:$C$17)</f>
        <v>57.845999999999997</v>
      </c>
    </row>
    <row r="25" spans="1:17" x14ac:dyDescent="0.3">
      <c r="B25" s="95" t="s">
        <v>23</v>
      </c>
      <c r="C25" s="4">
        <v>83.059201302642805</v>
      </c>
      <c r="D25" s="4">
        <f t="shared" si="0"/>
        <v>0.11074560173685707</v>
      </c>
      <c r="E25" s="97"/>
      <c r="K25" t="s">
        <v>261</v>
      </c>
      <c r="L25" s="4">
        <f>$C$18</f>
        <v>45</v>
      </c>
    </row>
    <row r="26" spans="1:17" x14ac:dyDescent="0.3">
      <c r="B26" s="95" t="s">
        <v>24</v>
      </c>
      <c r="C26" s="4">
        <v>87.212161367774954</v>
      </c>
      <c r="D26" s="4">
        <f t="shared" si="0"/>
        <v>0.11628288182369993</v>
      </c>
      <c r="E26" s="97"/>
      <c r="K26" s="1" t="s">
        <v>26</v>
      </c>
      <c r="L26" s="5">
        <f>SUM(L22:L25)</f>
        <v>308.85499999999996</v>
      </c>
    </row>
    <row r="27" spans="1:17" x14ac:dyDescent="0.3">
      <c r="A27">
        <v>6</v>
      </c>
      <c r="B27" s="96" t="s">
        <v>25</v>
      </c>
      <c r="C27" s="217">
        <f>SUM(C24:C26)</f>
        <v>204.02136267041777</v>
      </c>
      <c r="D27" s="5">
        <f t="shared" si="0"/>
        <v>0.27202848356055703</v>
      </c>
      <c r="E27" s="97">
        <f>CAPEX_result[[#This Row],[Specific Cost ]]/$D$29</f>
        <v>0.10150538404553903</v>
      </c>
      <c r="K27" s="1" t="s">
        <v>302</v>
      </c>
      <c r="L27" s="5">
        <f>L26*1%</f>
        <v>3.0885499999999997</v>
      </c>
    </row>
    <row r="28" spans="1:17" ht="15" thickBot="1" x14ac:dyDescent="0.35">
      <c r="B28" s="96"/>
      <c r="C28" s="5"/>
      <c r="D28" s="5"/>
      <c r="E28" s="97"/>
    </row>
    <row r="29" spans="1:17" ht="15" thickTop="1" x14ac:dyDescent="0.3">
      <c r="B29" s="104" t="s">
        <v>284</v>
      </c>
      <c r="C29" s="105">
        <f>SUM(C4:C5,C9,C19,C23,C27)</f>
        <v>2009.956068723274</v>
      </c>
      <c r="D29" s="105">
        <f>SUM(D4:D5,D9,D19,D23,D27)</f>
        <v>2.6799414249643654</v>
      </c>
      <c r="E29" s="172">
        <v>1</v>
      </c>
    </row>
    <row r="31" spans="1:17" ht="28.8" x14ac:dyDescent="0.3">
      <c r="B31" s="229" t="s">
        <v>275</v>
      </c>
      <c r="C31" s="5">
        <f>C19*0.65</f>
        <v>176.84740937499998</v>
      </c>
      <c r="D31" s="5">
        <f>C31/L5</f>
        <v>0.23579654583333332</v>
      </c>
    </row>
  </sheetData>
  <pageMargins left="0.7" right="0.7" top="0.75" bottom="0.75" header="0.3" footer="0.3"/>
  <pageSetup orientation="portrait" horizontalDpi="1200" verticalDpi="1200" r:id="rId1"/>
  <ignoredErrors>
    <ignoredError sqref="C9 C29" formulaRange="1"/>
    <ignoredError sqref="D18" formula="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5339-765F-4274-BD0B-0F4CE7EFC217}">
  <dimension ref="B2:AK56"/>
  <sheetViews>
    <sheetView workbookViewId="0"/>
  </sheetViews>
  <sheetFormatPr defaultRowHeight="14.4" x14ac:dyDescent="0.3"/>
  <cols>
    <col min="1" max="1" width="2.33203125" customWidth="1"/>
    <col min="2" max="2" width="37" bestFit="1" customWidth="1"/>
    <col min="3" max="3" width="30.109375" customWidth="1"/>
    <col min="7" max="7" width="11.44140625" bestFit="1" customWidth="1"/>
    <col min="8" max="8" width="8.88671875" customWidth="1"/>
  </cols>
  <sheetData>
    <row r="2" spans="2:5" ht="15" thickBot="1" x14ac:dyDescent="0.35">
      <c r="B2" s="10" t="s">
        <v>128</v>
      </c>
    </row>
    <row r="3" spans="2:5" ht="15" thickTop="1" x14ac:dyDescent="0.3">
      <c r="B3" t="s">
        <v>33</v>
      </c>
      <c r="C3" s="2" t="s">
        <v>34</v>
      </c>
    </row>
    <row r="4" spans="2:5" x14ac:dyDescent="0.3">
      <c r="B4" t="s">
        <v>73</v>
      </c>
      <c r="C4" s="68" t="s">
        <v>129</v>
      </c>
      <c r="E4" s="209"/>
    </row>
    <row r="5" spans="2:5" x14ac:dyDescent="0.3">
      <c r="B5" t="s">
        <v>153</v>
      </c>
      <c r="C5" s="2" t="s">
        <v>126</v>
      </c>
    </row>
    <row r="6" spans="2:5" x14ac:dyDescent="0.3">
      <c r="B6" t="s">
        <v>154</v>
      </c>
      <c r="C6" s="2" t="s">
        <v>126</v>
      </c>
    </row>
    <row r="7" spans="2:5" x14ac:dyDescent="0.3">
      <c r="B7" t="s">
        <v>155</v>
      </c>
      <c r="C7" s="210">
        <v>0.02</v>
      </c>
    </row>
    <row r="8" spans="2:5" x14ac:dyDescent="0.3">
      <c r="B8" t="s">
        <v>45</v>
      </c>
      <c r="C8" s="2">
        <v>25</v>
      </c>
    </row>
    <row r="10" spans="2:5" ht="15" thickBot="1" x14ac:dyDescent="0.35">
      <c r="B10" s="10" t="s">
        <v>152</v>
      </c>
      <c r="C10" s="2"/>
    </row>
    <row r="11" spans="2:5" ht="15" thickTop="1" x14ac:dyDescent="0.3">
      <c r="B11" t="s">
        <v>29</v>
      </c>
      <c r="C11" s="210">
        <v>0.7</v>
      </c>
    </row>
    <row r="12" spans="2:5" x14ac:dyDescent="0.3">
      <c r="B12" t="s">
        <v>30</v>
      </c>
      <c r="C12" s="210">
        <f>1-$C$11</f>
        <v>0.30000000000000004</v>
      </c>
    </row>
    <row r="13" spans="2:5" x14ac:dyDescent="0.3">
      <c r="B13" t="s">
        <v>198</v>
      </c>
      <c r="C13" s="193">
        <f>C11/C12</f>
        <v>2.333333333333333</v>
      </c>
    </row>
    <row r="14" spans="2:5" x14ac:dyDescent="0.3">
      <c r="B14" t="s">
        <v>31</v>
      </c>
      <c r="C14" s="210">
        <v>0.04</v>
      </c>
    </row>
    <row r="15" spans="2:5" x14ac:dyDescent="0.3">
      <c r="B15" t="s">
        <v>32</v>
      </c>
      <c r="C15" s="210">
        <v>0.08</v>
      </c>
    </row>
    <row r="16" spans="2:5" x14ac:dyDescent="0.3">
      <c r="B16" t="s">
        <v>136</v>
      </c>
      <c r="C16" s="210">
        <v>0.25</v>
      </c>
    </row>
    <row r="18" spans="2:9" ht="15" thickBot="1" x14ac:dyDescent="0.35">
      <c r="B18" s="10" t="s">
        <v>292</v>
      </c>
    </row>
    <row r="19" spans="2:9" ht="15" thickTop="1" x14ac:dyDescent="0.3">
      <c r="B19" t="s">
        <v>61</v>
      </c>
      <c r="C19" s="15">
        <f>C11*C14+C12*C15</f>
        <v>5.2000000000000005E-2</v>
      </c>
    </row>
    <row r="20" spans="2:9" x14ac:dyDescent="0.3">
      <c r="B20" t="s">
        <v>62</v>
      </c>
      <c r="C20" s="15">
        <f>(C11*C14*(1-C16))+C12*C15</f>
        <v>4.4999999999999998E-2</v>
      </c>
      <c r="E20" s="15"/>
    </row>
    <row r="21" spans="2:9" x14ac:dyDescent="0.3">
      <c r="B21" t="s">
        <v>293</v>
      </c>
      <c r="C21" s="15">
        <f>((1+C19)/(1+C7))-1</f>
        <v>3.1372549019607954E-2</v>
      </c>
    </row>
    <row r="22" spans="2:9" x14ac:dyDescent="0.3">
      <c r="B22" t="s">
        <v>294</v>
      </c>
      <c r="C22" s="15">
        <f>((1+C20)/(1+C7))-1</f>
        <v>2.450980392156854E-2</v>
      </c>
    </row>
    <row r="24" spans="2:9" ht="15" thickBot="1" x14ac:dyDescent="0.35">
      <c r="B24" s="10" t="s">
        <v>72</v>
      </c>
    </row>
    <row r="25" spans="2:9" ht="15" thickTop="1" x14ac:dyDescent="0.3">
      <c r="B25" t="s">
        <v>130</v>
      </c>
      <c r="C25" s="212" t="s">
        <v>131</v>
      </c>
      <c r="G25" s="136" t="s">
        <v>246</v>
      </c>
      <c r="H25" s="41"/>
      <c r="I25" s="42"/>
    </row>
    <row r="26" spans="2:9" x14ac:dyDescent="0.3">
      <c r="B26" t="s">
        <v>133</v>
      </c>
      <c r="C26" s="214">
        <v>0.2</v>
      </c>
      <c r="G26" s="173" t="s">
        <v>131</v>
      </c>
      <c r="H26" s="173" t="s">
        <v>132</v>
      </c>
      <c r="I26" s="173"/>
    </row>
    <row r="28" spans="2:9" ht="15" thickBot="1" x14ac:dyDescent="0.35">
      <c r="B28" s="10" t="s">
        <v>249</v>
      </c>
    </row>
    <row r="29" spans="2:9" ht="15" thickTop="1" x14ac:dyDescent="0.3">
      <c r="B29" t="s">
        <v>164</v>
      </c>
      <c r="C29" s="217">
        <v>53.25</v>
      </c>
      <c r="D29" t="s">
        <v>71</v>
      </c>
    </row>
    <row r="30" spans="2:9" x14ac:dyDescent="0.3">
      <c r="B30" t="s">
        <v>85</v>
      </c>
      <c r="C30">
        <v>15</v>
      </c>
      <c r="D30" t="s">
        <v>84</v>
      </c>
      <c r="F30" t="s">
        <v>295</v>
      </c>
    </row>
    <row r="31" spans="2:9" x14ac:dyDescent="0.3">
      <c r="B31" t="s">
        <v>134</v>
      </c>
      <c r="C31" s="213">
        <v>50</v>
      </c>
      <c r="D31" t="s">
        <v>71</v>
      </c>
    </row>
    <row r="33" spans="2:37" x14ac:dyDescent="0.3">
      <c r="B33" s="32" t="s">
        <v>92</v>
      </c>
      <c r="C33" s="112" t="s">
        <v>250</v>
      </c>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5"/>
    </row>
    <row r="34" spans="2:37" s="29" customFormat="1" x14ac:dyDescent="0.3">
      <c r="B34" s="259" t="s">
        <v>247</v>
      </c>
      <c r="C34" s="260"/>
      <c r="D34" s="99">
        <v>-4</v>
      </c>
      <c r="E34" s="99">
        <v>-3</v>
      </c>
      <c r="F34" s="99">
        <v>-2</v>
      </c>
      <c r="G34" s="99">
        <v>-1</v>
      </c>
      <c r="H34" s="99">
        <v>0</v>
      </c>
      <c r="I34" s="99">
        <v>1</v>
      </c>
      <c r="J34" s="99">
        <v>2</v>
      </c>
      <c r="K34" s="99">
        <v>3</v>
      </c>
      <c r="L34" s="99">
        <v>4</v>
      </c>
      <c r="M34" s="99">
        <v>5</v>
      </c>
      <c r="N34" s="99">
        <v>6</v>
      </c>
      <c r="O34" s="99">
        <v>7</v>
      </c>
      <c r="P34" s="99">
        <v>8</v>
      </c>
      <c r="Q34" s="99">
        <v>9</v>
      </c>
      <c r="R34" s="99">
        <v>10</v>
      </c>
      <c r="S34" s="99">
        <v>11</v>
      </c>
      <c r="T34" s="99">
        <v>12</v>
      </c>
      <c r="U34" s="99">
        <v>13</v>
      </c>
      <c r="V34" s="99">
        <v>14</v>
      </c>
      <c r="W34" s="99">
        <v>15</v>
      </c>
      <c r="X34" s="99">
        <v>16</v>
      </c>
      <c r="Y34" s="99">
        <v>17</v>
      </c>
      <c r="Z34" s="99">
        <v>18</v>
      </c>
      <c r="AA34" s="99">
        <v>19</v>
      </c>
      <c r="AB34" s="99">
        <v>20</v>
      </c>
      <c r="AC34" s="99">
        <v>21</v>
      </c>
      <c r="AD34" s="99">
        <v>22</v>
      </c>
      <c r="AE34" s="99">
        <v>23</v>
      </c>
      <c r="AF34" s="99">
        <v>24</v>
      </c>
      <c r="AG34" s="99">
        <v>25</v>
      </c>
      <c r="AH34" s="99">
        <v>26</v>
      </c>
      <c r="AI34" s="99">
        <v>27</v>
      </c>
      <c r="AJ34" s="100">
        <v>28</v>
      </c>
    </row>
    <row r="35" spans="2:37" x14ac:dyDescent="0.3">
      <c r="B35" s="261" t="s">
        <v>163</v>
      </c>
      <c r="C35" s="262"/>
      <c r="D35" s="123">
        <v>0</v>
      </c>
      <c r="E35" s="123">
        <v>0</v>
      </c>
      <c r="F35" s="123">
        <v>0</v>
      </c>
      <c r="G35" s="123">
        <v>0</v>
      </c>
      <c r="H35" s="123">
        <v>0</v>
      </c>
      <c r="I35" s="123">
        <v>0</v>
      </c>
      <c r="J35" s="18">
        <v>1</v>
      </c>
      <c r="K35" s="18">
        <v>1</v>
      </c>
      <c r="L35" s="18">
        <v>1</v>
      </c>
      <c r="M35" s="18">
        <v>1</v>
      </c>
      <c r="N35" s="18">
        <v>1</v>
      </c>
      <c r="O35" s="18">
        <v>1</v>
      </c>
      <c r="P35" s="18">
        <v>1</v>
      </c>
      <c r="Q35" s="18">
        <v>1</v>
      </c>
      <c r="R35" s="18">
        <v>1</v>
      </c>
      <c r="S35" s="18">
        <v>1</v>
      </c>
      <c r="T35" s="18">
        <v>1</v>
      </c>
      <c r="U35" s="18">
        <v>1</v>
      </c>
      <c r="V35" s="18">
        <v>1</v>
      </c>
      <c r="W35" s="18">
        <v>1</v>
      </c>
      <c r="X35" s="18">
        <v>1</v>
      </c>
      <c r="Y35" s="18">
        <v>1</v>
      </c>
      <c r="Z35" s="18">
        <v>1</v>
      </c>
      <c r="AA35" s="18">
        <v>1</v>
      </c>
      <c r="AB35" s="18">
        <v>1</v>
      </c>
      <c r="AC35" s="18">
        <v>1</v>
      </c>
      <c r="AD35" s="18">
        <v>1</v>
      </c>
      <c r="AE35" s="18">
        <v>1</v>
      </c>
      <c r="AF35" s="18">
        <v>1</v>
      </c>
      <c r="AG35" s="18">
        <v>1</v>
      </c>
      <c r="AH35" s="18">
        <v>1</v>
      </c>
      <c r="AI35" s="123">
        <v>0</v>
      </c>
      <c r="AJ35" s="111">
        <v>0</v>
      </c>
      <c r="AK35" s="60"/>
    </row>
    <row r="36" spans="2:37" x14ac:dyDescent="0.3">
      <c r="B36" s="263" t="s">
        <v>53</v>
      </c>
      <c r="C36" s="264"/>
      <c r="D36" s="113">
        <v>0.1</v>
      </c>
      <c r="E36" s="113">
        <v>0.1</v>
      </c>
      <c r="F36" s="113">
        <v>0.4</v>
      </c>
      <c r="G36" s="114">
        <v>0.4</v>
      </c>
      <c r="H36" s="115">
        <v>0</v>
      </c>
      <c r="I36" s="115">
        <v>0</v>
      </c>
      <c r="J36" s="115">
        <v>0</v>
      </c>
      <c r="K36" s="115">
        <v>0</v>
      </c>
      <c r="L36" s="115">
        <v>0</v>
      </c>
      <c r="M36" s="115">
        <v>0</v>
      </c>
      <c r="N36" s="115">
        <v>0</v>
      </c>
      <c r="O36" s="115">
        <v>0</v>
      </c>
      <c r="P36" s="115">
        <v>0</v>
      </c>
      <c r="Q36" s="115">
        <v>0</v>
      </c>
      <c r="R36" s="115">
        <v>0</v>
      </c>
      <c r="S36" s="115">
        <v>0</v>
      </c>
      <c r="T36" s="115">
        <v>0</v>
      </c>
      <c r="U36" s="115">
        <v>0</v>
      </c>
      <c r="V36" s="115">
        <v>0</v>
      </c>
      <c r="W36" s="115">
        <v>0</v>
      </c>
      <c r="X36" s="115">
        <v>0</v>
      </c>
      <c r="Y36" s="115">
        <v>0</v>
      </c>
      <c r="Z36" s="115">
        <v>0</v>
      </c>
      <c r="AA36" s="115">
        <v>0</v>
      </c>
      <c r="AB36" s="115">
        <v>0</v>
      </c>
      <c r="AC36" s="115">
        <v>0</v>
      </c>
      <c r="AD36" s="115">
        <v>0</v>
      </c>
      <c r="AE36" s="115">
        <v>0</v>
      </c>
      <c r="AF36" s="115">
        <v>0</v>
      </c>
      <c r="AG36" s="115">
        <v>0</v>
      </c>
      <c r="AH36" s="115">
        <v>0</v>
      </c>
      <c r="AI36" s="115">
        <v>0</v>
      </c>
      <c r="AJ36" s="116">
        <v>0</v>
      </c>
    </row>
    <row r="37" spans="2:37" x14ac:dyDescent="0.3">
      <c r="B37" s="255" t="s">
        <v>39</v>
      </c>
      <c r="C37" s="256"/>
      <c r="D37" s="117">
        <v>0</v>
      </c>
      <c r="E37" s="117">
        <v>0</v>
      </c>
      <c r="F37" s="117">
        <v>0</v>
      </c>
      <c r="G37" s="117">
        <v>0</v>
      </c>
      <c r="H37" s="13" t="str">
        <f>"FID"</f>
        <v>FID</v>
      </c>
      <c r="I37" s="115">
        <v>0</v>
      </c>
      <c r="J37" s="115">
        <v>0</v>
      </c>
      <c r="K37" s="115">
        <v>0</v>
      </c>
      <c r="L37" s="115">
        <v>0</v>
      </c>
      <c r="M37" s="115">
        <v>0</v>
      </c>
      <c r="N37" s="115">
        <v>0</v>
      </c>
      <c r="O37" s="115">
        <v>0</v>
      </c>
      <c r="P37" s="115">
        <v>0</v>
      </c>
      <c r="Q37" s="115">
        <v>0</v>
      </c>
      <c r="R37" s="115">
        <v>0</v>
      </c>
      <c r="S37" s="115">
        <v>0</v>
      </c>
      <c r="T37" s="115">
        <v>0</v>
      </c>
      <c r="U37" s="115">
        <v>0</v>
      </c>
      <c r="V37" s="115">
        <v>0</v>
      </c>
      <c r="W37" s="115">
        <v>0</v>
      </c>
      <c r="X37" s="115">
        <v>0</v>
      </c>
      <c r="Y37" s="115">
        <v>0</v>
      </c>
      <c r="Z37" s="115">
        <v>0</v>
      </c>
      <c r="AA37" s="115">
        <v>0</v>
      </c>
      <c r="AB37" s="115">
        <v>0</v>
      </c>
      <c r="AC37" s="115">
        <v>0</v>
      </c>
      <c r="AD37" s="115">
        <v>0</v>
      </c>
      <c r="AE37" s="115">
        <v>0</v>
      </c>
      <c r="AF37" s="115">
        <v>0</v>
      </c>
      <c r="AG37" s="115">
        <v>0</v>
      </c>
      <c r="AH37" s="115">
        <v>0</v>
      </c>
      <c r="AI37" s="115">
        <v>0</v>
      </c>
      <c r="AJ37" s="118">
        <v>0</v>
      </c>
    </row>
    <row r="38" spans="2:37" x14ac:dyDescent="0.3">
      <c r="B38" s="255" t="s">
        <v>36</v>
      </c>
      <c r="C38" s="256"/>
      <c r="D38" s="117">
        <v>0</v>
      </c>
      <c r="E38" s="117">
        <v>0</v>
      </c>
      <c r="F38" s="117">
        <v>0</v>
      </c>
      <c r="G38" s="117">
        <v>0</v>
      </c>
      <c r="H38" s="215">
        <v>0.4</v>
      </c>
      <c r="I38" s="215">
        <v>0.4</v>
      </c>
      <c r="J38" s="215">
        <v>0.2</v>
      </c>
      <c r="K38" s="115">
        <v>0</v>
      </c>
      <c r="L38" s="115">
        <v>0</v>
      </c>
      <c r="M38" s="115">
        <v>0</v>
      </c>
      <c r="N38" s="115">
        <v>0</v>
      </c>
      <c r="O38" s="115">
        <v>0</v>
      </c>
      <c r="P38" s="115">
        <v>0</v>
      </c>
      <c r="Q38" s="115">
        <v>0</v>
      </c>
      <c r="R38" s="115">
        <v>0</v>
      </c>
      <c r="S38" s="115">
        <v>0</v>
      </c>
      <c r="T38" s="115">
        <v>0</v>
      </c>
      <c r="U38" s="115">
        <v>0</v>
      </c>
      <c r="V38" s="115">
        <v>0</v>
      </c>
      <c r="W38" s="115">
        <v>0</v>
      </c>
      <c r="X38" s="115">
        <v>0</v>
      </c>
      <c r="Y38" s="115">
        <v>0</v>
      </c>
      <c r="Z38" s="115">
        <v>0</v>
      </c>
      <c r="AA38" s="115">
        <v>0</v>
      </c>
      <c r="AB38" s="115">
        <v>0</v>
      </c>
      <c r="AC38" s="115">
        <v>0</v>
      </c>
      <c r="AD38" s="115">
        <v>0</v>
      </c>
      <c r="AE38" s="115">
        <v>0</v>
      </c>
      <c r="AF38" s="115">
        <v>0</v>
      </c>
      <c r="AG38" s="115">
        <v>0</v>
      </c>
      <c r="AH38" s="115">
        <v>0</v>
      </c>
      <c r="AI38" s="115">
        <v>0</v>
      </c>
      <c r="AJ38" s="118">
        <v>0</v>
      </c>
    </row>
    <row r="39" spans="2:37" x14ac:dyDescent="0.3">
      <c r="B39" s="255" t="s">
        <v>37</v>
      </c>
      <c r="C39" s="256"/>
      <c r="D39" s="126">
        <f>IF(D$35=1,100%,0%)</f>
        <v>0</v>
      </c>
      <c r="E39" s="126">
        <f>IF(E$35=1,100%,0%)</f>
        <v>0</v>
      </c>
      <c r="F39" s="126">
        <f t="shared" ref="F39:AJ39" si="0">IF(F$35=1,100%,0%)</f>
        <v>0</v>
      </c>
      <c r="G39" s="126">
        <f t="shared" si="0"/>
        <v>0</v>
      </c>
      <c r="H39" s="126">
        <f t="shared" si="0"/>
        <v>0</v>
      </c>
      <c r="I39" s="126">
        <f t="shared" si="0"/>
        <v>0</v>
      </c>
      <c r="J39" s="216">
        <f t="shared" si="0"/>
        <v>1</v>
      </c>
      <c r="K39" s="216">
        <f t="shared" si="0"/>
        <v>1</v>
      </c>
      <c r="L39" s="216">
        <f t="shared" si="0"/>
        <v>1</v>
      </c>
      <c r="M39" s="216">
        <f t="shared" si="0"/>
        <v>1</v>
      </c>
      <c r="N39" s="216">
        <f t="shared" si="0"/>
        <v>1</v>
      </c>
      <c r="O39" s="216">
        <f t="shared" si="0"/>
        <v>1</v>
      </c>
      <c r="P39" s="216">
        <f t="shared" si="0"/>
        <v>1</v>
      </c>
      <c r="Q39" s="216">
        <f t="shared" si="0"/>
        <v>1</v>
      </c>
      <c r="R39" s="216">
        <f t="shared" si="0"/>
        <v>1</v>
      </c>
      <c r="S39" s="216">
        <f t="shared" si="0"/>
        <v>1</v>
      </c>
      <c r="T39" s="216">
        <f t="shared" si="0"/>
        <v>1</v>
      </c>
      <c r="U39" s="216">
        <f t="shared" si="0"/>
        <v>1</v>
      </c>
      <c r="V39" s="216">
        <f t="shared" si="0"/>
        <v>1</v>
      </c>
      <c r="W39" s="216">
        <f t="shared" si="0"/>
        <v>1</v>
      </c>
      <c r="X39" s="216">
        <f t="shared" si="0"/>
        <v>1</v>
      </c>
      <c r="Y39" s="216">
        <f t="shared" si="0"/>
        <v>1</v>
      </c>
      <c r="Z39" s="216">
        <f t="shared" si="0"/>
        <v>1</v>
      </c>
      <c r="AA39" s="216">
        <f t="shared" si="0"/>
        <v>1</v>
      </c>
      <c r="AB39" s="216">
        <f t="shared" si="0"/>
        <v>1</v>
      </c>
      <c r="AC39" s="216">
        <f t="shared" si="0"/>
        <v>1</v>
      </c>
      <c r="AD39" s="216">
        <f t="shared" si="0"/>
        <v>1</v>
      </c>
      <c r="AE39" s="216">
        <f t="shared" si="0"/>
        <v>1</v>
      </c>
      <c r="AF39" s="216">
        <f t="shared" si="0"/>
        <v>1</v>
      </c>
      <c r="AG39" s="216">
        <f t="shared" si="0"/>
        <v>1</v>
      </c>
      <c r="AH39" s="216">
        <f t="shared" si="0"/>
        <v>1</v>
      </c>
      <c r="AI39" s="126">
        <f t="shared" si="0"/>
        <v>0</v>
      </c>
      <c r="AJ39" s="127">
        <f t="shared" si="0"/>
        <v>0</v>
      </c>
    </row>
    <row r="40" spans="2:37" x14ac:dyDescent="0.3">
      <c r="B40" s="257" t="s">
        <v>38</v>
      </c>
      <c r="C40" s="258"/>
      <c r="D40" s="119">
        <v>0</v>
      </c>
      <c r="E40" s="119">
        <v>0</v>
      </c>
      <c r="F40" s="119">
        <v>0</v>
      </c>
      <c r="G40" s="119">
        <v>0</v>
      </c>
      <c r="H40" s="119">
        <v>0</v>
      </c>
      <c r="I40" s="119">
        <v>0</v>
      </c>
      <c r="J40" s="119">
        <v>0</v>
      </c>
      <c r="K40" s="119">
        <v>0</v>
      </c>
      <c r="L40" s="119">
        <v>0</v>
      </c>
      <c r="M40" s="119">
        <v>0</v>
      </c>
      <c r="N40" s="119">
        <v>0</v>
      </c>
      <c r="O40" s="119">
        <v>0</v>
      </c>
      <c r="P40" s="119">
        <v>0</v>
      </c>
      <c r="Q40" s="119">
        <v>0</v>
      </c>
      <c r="R40" s="119">
        <v>0</v>
      </c>
      <c r="S40" s="119">
        <v>0</v>
      </c>
      <c r="T40" s="119">
        <v>0</v>
      </c>
      <c r="U40" s="119">
        <v>0</v>
      </c>
      <c r="V40" s="119">
        <v>0</v>
      </c>
      <c r="W40" s="119">
        <v>0</v>
      </c>
      <c r="X40" s="119">
        <v>0</v>
      </c>
      <c r="Y40" s="119">
        <v>0</v>
      </c>
      <c r="Z40" s="119">
        <v>0</v>
      </c>
      <c r="AA40" s="119">
        <v>0</v>
      </c>
      <c r="AB40" s="119">
        <v>0</v>
      </c>
      <c r="AC40" s="119">
        <v>0</v>
      </c>
      <c r="AD40" s="119">
        <v>0</v>
      </c>
      <c r="AE40" s="119">
        <v>0</v>
      </c>
      <c r="AF40" s="119">
        <v>0</v>
      </c>
      <c r="AG40" s="119">
        <v>0</v>
      </c>
      <c r="AH40" s="119">
        <v>0</v>
      </c>
      <c r="AI40" s="120">
        <v>0.5</v>
      </c>
      <c r="AJ40" s="121">
        <v>0.5</v>
      </c>
    </row>
    <row r="43" spans="2:37" x14ac:dyDescent="0.3">
      <c r="B43" s="266" t="s">
        <v>74</v>
      </c>
      <c r="C43" s="267"/>
      <c r="D43" s="267"/>
      <c r="E43" s="267"/>
      <c r="F43" s="267"/>
      <c r="G43" s="267"/>
      <c r="H43" s="267"/>
      <c r="I43" s="267"/>
      <c r="J43" s="267"/>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7"/>
      <c r="AI43" s="267"/>
      <c r="AJ43" s="268"/>
    </row>
    <row r="44" spans="2:37" x14ac:dyDescent="0.3">
      <c r="B44" s="265" t="s">
        <v>276</v>
      </c>
      <c r="C44" s="265"/>
      <c r="D44" s="128">
        <f>D$34</f>
        <v>-4</v>
      </c>
      <c r="E44" s="18">
        <f t="shared" ref="E44:AJ44" si="1">E$34</f>
        <v>-3</v>
      </c>
      <c r="F44" s="18">
        <f t="shared" si="1"/>
        <v>-2</v>
      </c>
      <c r="G44" s="18">
        <f t="shared" si="1"/>
        <v>-1</v>
      </c>
      <c r="H44" s="22">
        <f t="shared" si="1"/>
        <v>0</v>
      </c>
      <c r="I44" s="18">
        <f t="shared" si="1"/>
        <v>1</v>
      </c>
      <c r="J44" s="219">
        <f>J$34</f>
        <v>2</v>
      </c>
      <c r="K44" s="18">
        <f t="shared" si="1"/>
        <v>3</v>
      </c>
      <c r="L44" s="18">
        <f t="shared" si="1"/>
        <v>4</v>
      </c>
      <c r="M44" s="18">
        <f t="shared" si="1"/>
        <v>5</v>
      </c>
      <c r="N44" s="18">
        <f t="shared" si="1"/>
        <v>6</v>
      </c>
      <c r="O44" s="18">
        <f t="shared" si="1"/>
        <v>7</v>
      </c>
      <c r="P44" s="18">
        <f t="shared" si="1"/>
        <v>8</v>
      </c>
      <c r="Q44" s="18">
        <f t="shared" si="1"/>
        <v>9</v>
      </c>
      <c r="R44" s="18">
        <f t="shared" si="1"/>
        <v>10</v>
      </c>
      <c r="S44" s="18">
        <f t="shared" si="1"/>
        <v>11</v>
      </c>
      <c r="T44" s="18">
        <f t="shared" si="1"/>
        <v>12</v>
      </c>
      <c r="U44" s="18">
        <f t="shared" si="1"/>
        <v>13</v>
      </c>
      <c r="V44" s="18">
        <f t="shared" si="1"/>
        <v>14</v>
      </c>
      <c r="W44" s="18">
        <f t="shared" si="1"/>
        <v>15</v>
      </c>
      <c r="X44" s="18">
        <f t="shared" si="1"/>
        <v>16</v>
      </c>
      <c r="Y44" s="18">
        <f t="shared" si="1"/>
        <v>17</v>
      </c>
      <c r="Z44" s="18">
        <f t="shared" si="1"/>
        <v>18</v>
      </c>
      <c r="AA44" s="18">
        <f t="shared" si="1"/>
        <v>19</v>
      </c>
      <c r="AB44" s="18">
        <f t="shared" si="1"/>
        <v>20</v>
      </c>
      <c r="AC44" s="18">
        <f t="shared" si="1"/>
        <v>21</v>
      </c>
      <c r="AD44" s="18">
        <f t="shared" si="1"/>
        <v>22</v>
      </c>
      <c r="AE44" s="18">
        <f t="shared" si="1"/>
        <v>23</v>
      </c>
      <c r="AF44" s="18">
        <f t="shared" si="1"/>
        <v>24</v>
      </c>
      <c r="AG44" s="18">
        <f t="shared" si="1"/>
        <v>25</v>
      </c>
      <c r="AH44" s="18">
        <f t="shared" si="1"/>
        <v>26</v>
      </c>
      <c r="AI44" s="139">
        <f t="shared" si="1"/>
        <v>27</v>
      </c>
      <c r="AJ44" s="18">
        <f t="shared" si="1"/>
        <v>28</v>
      </c>
    </row>
    <row r="45" spans="2:37" x14ac:dyDescent="0.3">
      <c r="B45" s="265" t="s">
        <v>277</v>
      </c>
      <c r="C45" s="265"/>
      <c r="D45" s="7">
        <v>0</v>
      </c>
      <c r="E45" s="7">
        <v>0</v>
      </c>
      <c r="F45" s="7">
        <v>0</v>
      </c>
      <c r="G45" s="7">
        <v>0</v>
      </c>
      <c r="H45" s="7">
        <v>0</v>
      </c>
      <c r="I45" s="7">
        <v>0</v>
      </c>
      <c r="J45" s="7">
        <v>1</v>
      </c>
      <c r="K45" s="7">
        <v>1</v>
      </c>
      <c r="L45" s="7">
        <v>1</v>
      </c>
      <c r="M45" s="7">
        <v>1</v>
      </c>
      <c r="N45" s="7">
        <v>1</v>
      </c>
      <c r="O45" s="7">
        <v>1</v>
      </c>
      <c r="P45" s="7">
        <v>1</v>
      </c>
      <c r="Q45" s="7">
        <v>1</v>
      </c>
      <c r="R45" s="7">
        <v>1</v>
      </c>
      <c r="S45" s="7">
        <v>1</v>
      </c>
      <c r="T45" s="7">
        <v>1</v>
      </c>
      <c r="U45" s="7">
        <v>1</v>
      </c>
      <c r="V45" s="7">
        <v>1</v>
      </c>
      <c r="W45" s="7">
        <v>1</v>
      </c>
      <c r="X45" s="7">
        <v>0</v>
      </c>
      <c r="Y45" s="7">
        <v>0</v>
      </c>
      <c r="Z45" s="7">
        <v>0</v>
      </c>
      <c r="AA45" s="7">
        <v>0</v>
      </c>
      <c r="AB45" s="7">
        <v>0</v>
      </c>
      <c r="AC45" s="7">
        <v>0</v>
      </c>
      <c r="AD45" s="7">
        <v>0</v>
      </c>
      <c r="AE45" s="7">
        <v>0</v>
      </c>
      <c r="AF45" s="7">
        <v>0</v>
      </c>
      <c r="AG45" s="7">
        <v>0</v>
      </c>
      <c r="AH45" s="7">
        <v>0</v>
      </c>
      <c r="AI45" s="7">
        <v>0</v>
      </c>
      <c r="AJ45" s="16">
        <v>0</v>
      </c>
    </row>
    <row r="46" spans="2:37" x14ac:dyDescent="0.3">
      <c r="B46" s="265" t="s">
        <v>306</v>
      </c>
      <c r="C46" s="265"/>
      <c r="D46" s="12">
        <f>D$45*$C$29*D$39</f>
        <v>0</v>
      </c>
      <c r="E46" s="12">
        <f t="shared" ref="E46:AJ46" si="2">E$45*$C$29*E$39</f>
        <v>0</v>
      </c>
      <c r="F46" s="12">
        <f t="shared" si="2"/>
        <v>0</v>
      </c>
      <c r="G46" s="12">
        <f t="shared" si="2"/>
        <v>0</v>
      </c>
      <c r="H46" s="12">
        <f t="shared" si="2"/>
        <v>0</v>
      </c>
      <c r="I46" s="12">
        <f t="shared" si="2"/>
        <v>0</v>
      </c>
      <c r="J46" s="12">
        <f t="shared" si="2"/>
        <v>53.25</v>
      </c>
      <c r="K46" s="12">
        <f t="shared" si="2"/>
        <v>53.25</v>
      </c>
      <c r="L46" s="12">
        <f t="shared" si="2"/>
        <v>53.25</v>
      </c>
      <c r="M46" s="12">
        <f t="shared" si="2"/>
        <v>53.25</v>
      </c>
      <c r="N46" s="12">
        <f t="shared" si="2"/>
        <v>53.25</v>
      </c>
      <c r="O46" s="12">
        <f t="shared" si="2"/>
        <v>53.25</v>
      </c>
      <c r="P46" s="12">
        <f t="shared" si="2"/>
        <v>53.25</v>
      </c>
      <c r="Q46" s="12">
        <f t="shared" si="2"/>
        <v>53.25</v>
      </c>
      <c r="R46" s="12">
        <f t="shared" si="2"/>
        <v>53.25</v>
      </c>
      <c r="S46" s="12">
        <f t="shared" si="2"/>
        <v>53.25</v>
      </c>
      <c r="T46" s="12">
        <f t="shared" si="2"/>
        <v>53.25</v>
      </c>
      <c r="U46" s="12">
        <f t="shared" si="2"/>
        <v>53.25</v>
      </c>
      <c r="V46" s="12">
        <f t="shared" si="2"/>
        <v>53.25</v>
      </c>
      <c r="W46" s="12">
        <f t="shared" si="2"/>
        <v>53.25</v>
      </c>
      <c r="X46" s="12">
        <v>1</v>
      </c>
      <c r="Y46" s="12">
        <f t="shared" si="2"/>
        <v>0</v>
      </c>
      <c r="Z46" s="12">
        <f t="shared" si="2"/>
        <v>0</v>
      </c>
      <c r="AA46" s="12">
        <f t="shared" si="2"/>
        <v>0</v>
      </c>
      <c r="AB46" s="12">
        <f t="shared" si="2"/>
        <v>0</v>
      </c>
      <c r="AC46" s="12">
        <f t="shared" si="2"/>
        <v>0</v>
      </c>
      <c r="AD46" s="12">
        <f t="shared" si="2"/>
        <v>0</v>
      </c>
      <c r="AE46" s="12">
        <f t="shared" si="2"/>
        <v>0</v>
      </c>
      <c r="AF46" s="12">
        <f t="shared" si="2"/>
        <v>0</v>
      </c>
      <c r="AG46" s="12">
        <f t="shared" si="2"/>
        <v>0</v>
      </c>
      <c r="AH46" s="12">
        <f t="shared" si="2"/>
        <v>0</v>
      </c>
      <c r="AI46" s="12">
        <f t="shared" si="2"/>
        <v>0</v>
      </c>
      <c r="AJ46" s="47">
        <f t="shared" si="2"/>
        <v>0</v>
      </c>
    </row>
    <row r="47" spans="2:37" x14ac:dyDescent="0.3">
      <c r="B47" s="261" t="s">
        <v>305</v>
      </c>
      <c r="C47" s="262"/>
      <c r="D47" s="12">
        <v>50</v>
      </c>
      <c r="E47" s="12">
        <v>50</v>
      </c>
      <c r="F47" s="12">
        <v>50</v>
      </c>
      <c r="G47" s="12">
        <v>50</v>
      </c>
      <c r="H47" s="12">
        <v>50</v>
      </c>
      <c r="I47" s="12">
        <v>50</v>
      </c>
      <c r="J47" s="12">
        <v>50</v>
      </c>
      <c r="K47" s="12">
        <v>50</v>
      </c>
      <c r="L47" s="12">
        <v>50</v>
      </c>
      <c r="M47" s="12">
        <v>50</v>
      </c>
      <c r="N47" s="12">
        <v>50</v>
      </c>
      <c r="O47" s="12">
        <v>50</v>
      </c>
      <c r="P47" s="12">
        <v>50</v>
      </c>
      <c r="Q47" s="12">
        <v>50</v>
      </c>
      <c r="R47" s="12">
        <v>50</v>
      </c>
      <c r="S47" s="12">
        <v>50</v>
      </c>
      <c r="T47" s="12">
        <v>50</v>
      </c>
      <c r="U47" s="12">
        <v>50</v>
      </c>
      <c r="V47" s="12">
        <v>50</v>
      </c>
      <c r="W47" s="12">
        <v>50</v>
      </c>
      <c r="X47" s="12">
        <v>50</v>
      </c>
      <c r="Y47" s="12">
        <v>50</v>
      </c>
      <c r="Z47" s="12">
        <v>50</v>
      </c>
      <c r="AA47" s="12">
        <v>50</v>
      </c>
      <c r="AB47" s="12">
        <v>50</v>
      </c>
      <c r="AC47" s="12">
        <v>50</v>
      </c>
      <c r="AD47" s="12">
        <v>50</v>
      </c>
      <c r="AE47" s="12">
        <v>50</v>
      </c>
      <c r="AF47" s="12">
        <v>50</v>
      </c>
      <c r="AG47" s="12">
        <v>50</v>
      </c>
      <c r="AH47" s="12">
        <v>50</v>
      </c>
      <c r="AI47" s="12">
        <v>50</v>
      </c>
      <c r="AJ47" s="47">
        <v>50</v>
      </c>
    </row>
    <row r="48" spans="2:37" x14ac:dyDescent="0.3">
      <c r="B48" s="265" t="s">
        <v>307</v>
      </c>
      <c r="C48" s="265"/>
      <c r="D48" s="48">
        <f>D$47*D$39*NOT(D$45)</f>
        <v>0</v>
      </c>
      <c r="E48" s="48">
        <f t="shared" ref="E48:AJ48" si="3">E$47*E$39*NOT(E$45)</f>
        <v>0</v>
      </c>
      <c r="F48" s="48">
        <f t="shared" si="3"/>
        <v>0</v>
      </c>
      <c r="G48" s="48">
        <f t="shared" si="3"/>
        <v>0</v>
      </c>
      <c r="H48" s="48">
        <f t="shared" si="3"/>
        <v>0</v>
      </c>
      <c r="I48" s="48">
        <f t="shared" si="3"/>
        <v>0</v>
      </c>
      <c r="J48" s="48">
        <f t="shared" si="3"/>
        <v>0</v>
      </c>
      <c r="K48" s="48">
        <f t="shared" si="3"/>
        <v>0</v>
      </c>
      <c r="L48" s="48">
        <f t="shared" si="3"/>
        <v>0</v>
      </c>
      <c r="M48" s="48">
        <f t="shared" si="3"/>
        <v>0</v>
      </c>
      <c r="N48" s="48">
        <f t="shared" si="3"/>
        <v>0</v>
      </c>
      <c r="O48" s="48">
        <f t="shared" si="3"/>
        <v>0</v>
      </c>
      <c r="P48" s="48">
        <f t="shared" si="3"/>
        <v>0</v>
      </c>
      <c r="Q48" s="48">
        <f t="shared" si="3"/>
        <v>0</v>
      </c>
      <c r="R48" s="48">
        <f t="shared" si="3"/>
        <v>0</v>
      </c>
      <c r="S48" s="48">
        <f t="shared" si="3"/>
        <v>0</v>
      </c>
      <c r="T48" s="48">
        <f t="shared" si="3"/>
        <v>0</v>
      </c>
      <c r="U48" s="48">
        <f t="shared" si="3"/>
        <v>0</v>
      </c>
      <c r="V48" s="48">
        <f t="shared" si="3"/>
        <v>0</v>
      </c>
      <c r="W48" s="48">
        <f t="shared" si="3"/>
        <v>0</v>
      </c>
      <c r="X48" s="48">
        <f t="shared" si="3"/>
        <v>50</v>
      </c>
      <c r="Y48" s="48">
        <f t="shared" si="3"/>
        <v>50</v>
      </c>
      <c r="Z48" s="48">
        <f t="shared" si="3"/>
        <v>50</v>
      </c>
      <c r="AA48" s="48">
        <f t="shared" si="3"/>
        <v>50</v>
      </c>
      <c r="AB48" s="48">
        <f t="shared" si="3"/>
        <v>50</v>
      </c>
      <c r="AC48" s="48">
        <f t="shared" si="3"/>
        <v>50</v>
      </c>
      <c r="AD48" s="48">
        <f t="shared" si="3"/>
        <v>50</v>
      </c>
      <c r="AE48" s="48">
        <f t="shared" si="3"/>
        <v>50</v>
      </c>
      <c r="AF48" s="48">
        <f t="shared" si="3"/>
        <v>50</v>
      </c>
      <c r="AG48" s="48">
        <f t="shared" si="3"/>
        <v>50</v>
      </c>
      <c r="AH48" s="48">
        <f t="shared" si="3"/>
        <v>50</v>
      </c>
      <c r="AI48" s="48">
        <f t="shared" si="3"/>
        <v>0</v>
      </c>
      <c r="AJ48" s="49">
        <f t="shared" si="3"/>
        <v>0</v>
      </c>
    </row>
    <row r="49" spans="2:29" x14ac:dyDescent="0.3">
      <c r="C49" s="15"/>
      <c r="D49" s="4"/>
    </row>
    <row r="50" spans="2:29" x14ac:dyDescent="0.3">
      <c r="B50" s="185"/>
      <c r="C50" s="6"/>
      <c r="D50" s="4"/>
    </row>
    <row r="51" spans="2:29" x14ac:dyDescent="0.3">
      <c r="B51" s="186"/>
      <c r="C51" s="6"/>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2:29" x14ac:dyDescent="0.3">
      <c r="B52" s="186"/>
      <c r="C52" s="6"/>
      <c r="D52" s="4"/>
    </row>
    <row r="53" spans="2:29" x14ac:dyDescent="0.3">
      <c r="B53" s="186"/>
      <c r="C53" s="6"/>
      <c r="D53" s="4"/>
    </row>
    <row r="54" spans="2:29" x14ac:dyDescent="0.3">
      <c r="B54" s="186"/>
      <c r="C54" s="6"/>
      <c r="D54" s="4"/>
    </row>
    <row r="55" spans="2:29" x14ac:dyDescent="0.3">
      <c r="B55" s="186"/>
      <c r="C55" s="6"/>
      <c r="D55" s="4"/>
    </row>
    <row r="56" spans="2:29" x14ac:dyDescent="0.3">
      <c r="B56" s="186"/>
      <c r="C56" s="6"/>
      <c r="D56" s="4"/>
    </row>
  </sheetData>
  <mergeCells count="13">
    <mergeCell ref="B44:C44"/>
    <mergeCell ref="B45:C45"/>
    <mergeCell ref="B46:C46"/>
    <mergeCell ref="B48:C48"/>
    <mergeCell ref="B43:AJ43"/>
    <mergeCell ref="B47:C47"/>
    <mergeCell ref="B39:C39"/>
    <mergeCell ref="B40:C40"/>
    <mergeCell ref="B34:C34"/>
    <mergeCell ref="B35:C35"/>
    <mergeCell ref="B36:C36"/>
    <mergeCell ref="B37:C37"/>
    <mergeCell ref="B38:C38"/>
  </mergeCells>
  <dataValidations count="1">
    <dataValidation type="list" allowBlank="1" showInputMessage="1" showErrorMessage="1" sqref="C25" xr:uid="{D8793C3E-2F45-4FCA-B791-5DB15C6E9F85}">
      <formula1>$G$26:$H$26</formula1>
    </dataValidation>
  </dataValidation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ECBD-5FED-4C8C-B99E-B0E767278EB3}">
  <dimension ref="B2:AJ24"/>
  <sheetViews>
    <sheetView workbookViewId="0"/>
  </sheetViews>
  <sheetFormatPr defaultRowHeight="14.4" x14ac:dyDescent="0.3"/>
  <cols>
    <col min="1" max="1" width="1.6640625" customWidth="1"/>
    <col min="2" max="2" width="28.6640625" bestFit="1" customWidth="1"/>
    <col min="3" max="3" width="10" customWidth="1"/>
    <col min="4" max="4" width="8.88671875" customWidth="1"/>
    <col min="10" max="10" width="9.44140625" customWidth="1"/>
    <col min="11" max="14" width="9.44140625" bestFit="1" customWidth="1"/>
    <col min="15" max="15" width="6.6640625" bestFit="1" customWidth="1"/>
    <col min="16" max="34" width="9.44140625" bestFit="1" customWidth="1"/>
  </cols>
  <sheetData>
    <row r="2" spans="2:35" x14ac:dyDescent="0.3">
      <c r="B2" s="92" t="str">
        <f xml:space="preserve"> "FID Year --------&gt;"</f>
        <v>FID Year --------&gt;</v>
      </c>
      <c r="C2" s="92" t="s">
        <v>251</v>
      </c>
      <c r="D2" s="92"/>
    </row>
    <row r="3" spans="2:35" x14ac:dyDescent="0.3">
      <c r="B3" s="269" t="s">
        <v>124</v>
      </c>
      <c r="C3" s="269"/>
      <c r="D3" s="92"/>
    </row>
    <row r="7" spans="2:35" x14ac:dyDescent="0.3">
      <c r="B7" s="1" t="s">
        <v>278</v>
      </c>
    </row>
    <row r="8" spans="2:35" x14ac:dyDescent="0.3">
      <c r="G8" s="1"/>
      <c r="L8" s="1" t="s">
        <v>273</v>
      </c>
      <c r="M8" s="1"/>
      <c r="N8" s="1"/>
      <c r="O8">
        <v>60000</v>
      </c>
      <c r="P8" t="s">
        <v>34</v>
      </c>
    </row>
    <row r="9" spans="2:35" x14ac:dyDescent="0.3">
      <c r="B9" t="s">
        <v>303</v>
      </c>
      <c r="C9" s="4">
        <f>O8*'CAPEX-Input'!L5/1000000</f>
        <v>45</v>
      </c>
      <c r="D9" t="s">
        <v>243</v>
      </c>
      <c r="H9" s="251"/>
      <c r="I9" s="251"/>
      <c r="J9" s="4"/>
    </row>
    <row r="10" spans="2:35" ht="15" thickBot="1" x14ac:dyDescent="0.35">
      <c r="B10" t="s">
        <v>270</v>
      </c>
      <c r="C10" s="4">
        <f>'CAPEX-Input'!L27</f>
        <v>3.0885499999999997</v>
      </c>
      <c r="D10" t="s">
        <v>243</v>
      </c>
    </row>
    <row r="11" spans="2:35" ht="15" thickTop="1" x14ac:dyDescent="0.3">
      <c r="B11" s="225" t="s">
        <v>271</v>
      </c>
      <c r="C11" s="249">
        <f>SUM(C9:C10)</f>
        <v>48.088549999999998</v>
      </c>
      <c r="D11" s="4" t="s">
        <v>243</v>
      </c>
    </row>
    <row r="12" spans="2:35" x14ac:dyDescent="0.3">
      <c r="D12" s="4"/>
    </row>
    <row r="13" spans="2:35" x14ac:dyDescent="0.3">
      <c r="D13" s="4"/>
    </row>
    <row r="15" spans="2:35" x14ac:dyDescent="0.3">
      <c r="D15" t="s">
        <v>0</v>
      </c>
    </row>
    <row r="16" spans="2:35" x14ac:dyDescent="0.3">
      <c r="D16" s="4" t="s">
        <v>161</v>
      </c>
      <c r="H16" s="122" t="s">
        <v>69</v>
      </c>
      <c r="J16" s="122" t="s">
        <v>70</v>
      </c>
      <c r="AI16" t="s">
        <v>160</v>
      </c>
    </row>
    <row r="17" spans="2:36" x14ac:dyDescent="0.3">
      <c r="B17" s="261" t="s">
        <v>162</v>
      </c>
      <c r="C17" s="262"/>
      <c r="D17" s="128">
        <f>'FIN_Inputs&amp;ProjectTimeline'!D$34</f>
        <v>-4</v>
      </c>
      <c r="E17" s="18">
        <f>'FIN_Inputs&amp;ProjectTimeline'!E$34</f>
        <v>-3</v>
      </c>
      <c r="F17" s="18">
        <f>'FIN_Inputs&amp;ProjectTimeline'!F$34</f>
        <v>-2</v>
      </c>
      <c r="G17" s="18">
        <f>'FIN_Inputs&amp;ProjectTimeline'!G$34</f>
        <v>-1</v>
      </c>
      <c r="H17" s="22">
        <f>'FIN_Inputs&amp;ProjectTimeline'!H$34</f>
        <v>0</v>
      </c>
      <c r="I17" s="18">
        <f>'FIN_Inputs&amp;ProjectTimeline'!I$34</f>
        <v>1</v>
      </c>
      <c r="J17" s="219">
        <f>'FIN_Inputs&amp;ProjectTimeline'!J$34</f>
        <v>2</v>
      </c>
      <c r="K17" s="18">
        <f>'FIN_Inputs&amp;ProjectTimeline'!K$34</f>
        <v>3</v>
      </c>
      <c r="L17" s="18">
        <f>'FIN_Inputs&amp;ProjectTimeline'!L$34</f>
        <v>4</v>
      </c>
      <c r="M17" s="18">
        <f>'FIN_Inputs&amp;ProjectTimeline'!M$34</f>
        <v>5</v>
      </c>
      <c r="N17" s="18">
        <f>'FIN_Inputs&amp;ProjectTimeline'!N$34</f>
        <v>6</v>
      </c>
      <c r="O17" s="18">
        <f>'FIN_Inputs&amp;ProjectTimeline'!O$34</f>
        <v>7</v>
      </c>
      <c r="P17" s="18">
        <f>'FIN_Inputs&amp;ProjectTimeline'!P$34</f>
        <v>8</v>
      </c>
      <c r="Q17" s="18">
        <f>'FIN_Inputs&amp;ProjectTimeline'!Q$34</f>
        <v>9</v>
      </c>
      <c r="R17" s="18">
        <f>'FIN_Inputs&amp;ProjectTimeline'!R$34</f>
        <v>10</v>
      </c>
      <c r="S17" s="18">
        <f>'FIN_Inputs&amp;ProjectTimeline'!S$34</f>
        <v>11</v>
      </c>
      <c r="T17" s="18">
        <f>'FIN_Inputs&amp;ProjectTimeline'!T$34</f>
        <v>12</v>
      </c>
      <c r="U17" s="18">
        <f>'FIN_Inputs&amp;ProjectTimeline'!U$34</f>
        <v>13</v>
      </c>
      <c r="V17" s="18">
        <f>'FIN_Inputs&amp;ProjectTimeline'!V$34</f>
        <v>14</v>
      </c>
      <c r="W17" s="18">
        <f>'FIN_Inputs&amp;ProjectTimeline'!W$34</f>
        <v>15</v>
      </c>
      <c r="X17" s="18">
        <f>'FIN_Inputs&amp;ProjectTimeline'!X$34</f>
        <v>16</v>
      </c>
      <c r="Y17" s="18">
        <f>'FIN_Inputs&amp;ProjectTimeline'!Y$34</f>
        <v>17</v>
      </c>
      <c r="Z17" s="18">
        <f>'FIN_Inputs&amp;ProjectTimeline'!Z$34</f>
        <v>18</v>
      </c>
      <c r="AA17" s="18">
        <f>'FIN_Inputs&amp;ProjectTimeline'!AA$34</f>
        <v>19</v>
      </c>
      <c r="AB17" s="18">
        <f>'FIN_Inputs&amp;ProjectTimeline'!AB$34</f>
        <v>20</v>
      </c>
      <c r="AC17" s="18">
        <f>'FIN_Inputs&amp;ProjectTimeline'!AC$34</f>
        <v>21</v>
      </c>
      <c r="AD17" s="18">
        <f>'FIN_Inputs&amp;ProjectTimeline'!AD$34</f>
        <v>22</v>
      </c>
      <c r="AE17" s="18">
        <f>'FIN_Inputs&amp;ProjectTimeline'!AE$34</f>
        <v>23</v>
      </c>
      <c r="AF17" s="18">
        <f>'FIN_Inputs&amp;ProjectTimeline'!AF$34</f>
        <v>24</v>
      </c>
      <c r="AG17" s="18">
        <f>'FIN_Inputs&amp;ProjectTimeline'!AG$34</f>
        <v>25</v>
      </c>
      <c r="AH17" s="18">
        <f>'FIN_Inputs&amp;ProjectTimeline'!AH$34</f>
        <v>26</v>
      </c>
      <c r="AI17" s="139">
        <f>'FIN_Inputs&amp;ProjectTimeline'!AI$34</f>
        <v>27</v>
      </c>
      <c r="AJ17" s="18">
        <f>'FIN_Inputs&amp;ProjectTimeline'!AJ$34</f>
        <v>28</v>
      </c>
    </row>
    <row r="18" spans="2:36" x14ac:dyDescent="0.3">
      <c r="B18" s="261" t="s">
        <v>163</v>
      </c>
      <c r="C18" s="262"/>
      <c r="D18" s="101">
        <f>'FIN_Inputs&amp;ProjectTimeline'!D$35</f>
        <v>0</v>
      </c>
      <c r="E18" s="101">
        <f>'FIN_Inputs&amp;ProjectTimeline'!E$35</f>
        <v>0</v>
      </c>
      <c r="F18" s="101">
        <f>'FIN_Inputs&amp;ProjectTimeline'!F$35</f>
        <v>0</v>
      </c>
      <c r="G18" s="101">
        <f>'FIN_Inputs&amp;ProjectTimeline'!G$35</f>
        <v>0</v>
      </c>
      <c r="H18" s="101">
        <f>'FIN_Inputs&amp;ProjectTimeline'!H$35</f>
        <v>0</v>
      </c>
      <c r="I18" s="101">
        <f>'FIN_Inputs&amp;ProjectTimeline'!I$35</f>
        <v>0</v>
      </c>
      <c r="J18" s="101">
        <f>'FIN_Inputs&amp;ProjectTimeline'!J$35</f>
        <v>1</v>
      </c>
      <c r="K18" s="101">
        <f>'FIN_Inputs&amp;ProjectTimeline'!K$35</f>
        <v>1</v>
      </c>
      <c r="L18" s="101">
        <f>'FIN_Inputs&amp;ProjectTimeline'!L$35</f>
        <v>1</v>
      </c>
      <c r="M18" s="101">
        <f>'FIN_Inputs&amp;ProjectTimeline'!M$35</f>
        <v>1</v>
      </c>
      <c r="N18" s="101">
        <f>'FIN_Inputs&amp;ProjectTimeline'!N$35</f>
        <v>1</v>
      </c>
      <c r="O18" s="101">
        <f>'FIN_Inputs&amp;ProjectTimeline'!O$35</f>
        <v>1</v>
      </c>
      <c r="P18" s="101">
        <f>'FIN_Inputs&amp;ProjectTimeline'!P$35</f>
        <v>1</v>
      </c>
      <c r="Q18" s="101">
        <f>'FIN_Inputs&amp;ProjectTimeline'!Q$35</f>
        <v>1</v>
      </c>
      <c r="R18" s="101">
        <f>'FIN_Inputs&amp;ProjectTimeline'!R$35</f>
        <v>1</v>
      </c>
      <c r="S18" s="101">
        <f>'FIN_Inputs&amp;ProjectTimeline'!S$35</f>
        <v>1</v>
      </c>
      <c r="T18" s="101">
        <f>'FIN_Inputs&amp;ProjectTimeline'!T$35</f>
        <v>1</v>
      </c>
      <c r="U18" s="101">
        <f>'FIN_Inputs&amp;ProjectTimeline'!U$35</f>
        <v>1</v>
      </c>
      <c r="V18" s="101">
        <f>'FIN_Inputs&amp;ProjectTimeline'!V$35</f>
        <v>1</v>
      </c>
      <c r="W18" s="101">
        <f>'FIN_Inputs&amp;ProjectTimeline'!W$35</f>
        <v>1</v>
      </c>
      <c r="X18" s="101">
        <f>'FIN_Inputs&amp;ProjectTimeline'!X$35</f>
        <v>1</v>
      </c>
      <c r="Y18" s="101">
        <f>'FIN_Inputs&amp;ProjectTimeline'!Y$35</f>
        <v>1</v>
      </c>
      <c r="Z18" s="101">
        <f>'FIN_Inputs&amp;ProjectTimeline'!Z$35</f>
        <v>1</v>
      </c>
      <c r="AA18" s="101">
        <f>'FIN_Inputs&amp;ProjectTimeline'!AA$35</f>
        <v>1</v>
      </c>
      <c r="AB18" s="101">
        <f>'FIN_Inputs&amp;ProjectTimeline'!AB$35</f>
        <v>1</v>
      </c>
      <c r="AC18" s="101">
        <f>'FIN_Inputs&amp;ProjectTimeline'!AC$35</f>
        <v>1</v>
      </c>
      <c r="AD18" s="101">
        <f>'FIN_Inputs&amp;ProjectTimeline'!AD$35</f>
        <v>1</v>
      </c>
      <c r="AE18" s="101">
        <f>'FIN_Inputs&amp;ProjectTimeline'!AE$35</f>
        <v>1</v>
      </c>
      <c r="AF18" s="101">
        <f>'FIN_Inputs&amp;ProjectTimeline'!AF$35</f>
        <v>1</v>
      </c>
      <c r="AG18" s="101">
        <f>'FIN_Inputs&amp;ProjectTimeline'!AG$35</f>
        <v>1</v>
      </c>
      <c r="AH18" s="101">
        <f>'FIN_Inputs&amp;ProjectTimeline'!AH$35</f>
        <v>1</v>
      </c>
      <c r="AI18" s="101">
        <f>'FIN_Inputs&amp;ProjectTimeline'!AI$35</f>
        <v>0</v>
      </c>
      <c r="AJ18" s="101">
        <f>'FIN_Inputs&amp;ProjectTimeline'!AJ$35</f>
        <v>0</v>
      </c>
    </row>
    <row r="19" spans="2:36" x14ac:dyDescent="0.3">
      <c r="B19" s="270" t="s">
        <v>272</v>
      </c>
      <c r="C19" s="271"/>
      <c r="D19" s="124">
        <f>$C$11*'FIN_Inputs&amp;ProjectTimeline'!D$39</f>
        <v>0</v>
      </c>
      <c r="E19" s="43">
        <f>$C$11*'FIN_Inputs&amp;ProjectTimeline'!E$39</f>
        <v>0</v>
      </c>
      <c r="F19" s="43">
        <f>$C$11*'FIN_Inputs&amp;ProjectTimeline'!F$39</f>
        <v>0</v>
      </c>
      <c r="G19" s="43">
        <f>$C$11*'FIN_Inputs&amp;ProjectTimeline'!G$39</f>
        <v>0</v>
      </c>
      <c r="H19" s="43">
        <f>$C$11*'FIN_Inputs&amp;ProjectTimeline'!H$39</f>
        <v>0</v>
      </c>
      <c r="I19" s="43">
        <f>$C$11*'FIN_Inputs&amp;ProjectTimeline'!I$39</f>
        <v>0</v>
      </c>
      <c r="J19" s="43">
        <f>$C$11*'FIN_Inputs&amp;ProjectTimeline'!J$39</f>
        <v>48.088549999999998</v>
      </c>
      <c r="K19" s="48">
        <f>$C$11*'FIN_Inputs&amp;ProjectTimeline'!K$39</f>
        <v>48.088549999999998</v>
      </c>
      <c r="L19" s="48">
        <f>$C$11*'FIN_Inputs&amp;ProjectTimeline'!L$39</f>
        <v>48.088549999999998</v>
      </c>
      <c r="M19" s="48">
        <f>$C$11*'FIN_Inputs&amp;ProjectTimeline'!M$39</f>
        <v>48.088549999999998</v>
      </c>
      <c r="N19" s="48">
        <f>$C$11*'FIN_Inputs&amp;ProjectTimeline'!N$39</f>
        <v>48.088549999999998</v>
      </c>
      <c r="O19" s="48">
        <f>$C$11*'FIN_Inputs&amp;ProjectTimeline'!O$39</f>
        <v>48.088549999999998</v>
      </c>
      <c r="P19" s="48">
        <f>$C$11*'FIN_Inputs&amp;ProjectTimeline'!P$39</f>
        <v>48.088549999999998</v>
      </c>
      <c r="Q19" s="48">
        <f>$C$11*'FIN_Inputs&amp;ProjectTimeline'!Q$39</f>
        <v>48.088549999999998</v>
      </c>
      <c r="R19" s="48">
        <f>$C$11*'FIN_Inputs&amp;ProjectTimeline'!R$39</f>
        <v>48.088549999999998</v>
      </c>
      <c r="S19" s="48">
        <f>$C$11*'FIN_Inputs&amp;ProjectTimeline'!S$39</f>
        <v>48.088549999999998</v>
      </c>
      <c r="T19" s="48">
        <f>$C$11*'FIN_Inputs&amp;ProjectTimeline'!T$39</f>
        <v>48.088549999999998</v>
      </c>
      <c r="U19" s="48">
        <f>$C$11*'FIN_Inputs&amp;ProjectTimeline'!U$39</f>
        <v>48.088549999999998</v>
      </c>
      <c r="V19" s="48">
        <f>$C$11*'FIN_Inputs&amp;ProjectTimeline'!V$39</f>
        <v>48.088549999999998</v>
      </c>
      <c r="W19" s="48">
        <f>$C$11*'FIN_Inputs&amp;ProjectTimeline'!W$39</f>
        <v>48.088549999999998</v>
      </c>
      <c r="X19" s="48">
        <f>$C$11*'FIN_Inputs&amp;ProjectTimeline'!X$39</f>
        <v>48.088549999999998</v>
      </c>
      <c r="Y19" s="48">
        <f>$C$11*'FIN_Inputs&amp;ProjectTimeline'!Y$39</f>
        <v>48.088549999999998</v>
      </c>
      <c r="Z19" s="48">
        <f>$C$11*'FIN_Inputs&amp;ProjectTimeline'!Z$39</f>
        <v>48.088549999999998</v>
      </c>
      <c r="AA19" s="48">
        <f>$C$11*'FIN_Inputs&amp;ProjectTimeline'!AA$39</f>
        <v>48.088549999999998</v>
      </c>
      <c r="AB19" s="48">
        <f>$C$11*'FIN_Inputs&amp;ProjectTimeline'!AB$39</f>
        <v>48.088549999999998</v>
      </c>
      <c r="AC19" s="48">
        <f>$C$11*'FIN_Inputs&amp;ProjectTimeline'!AC$39</f>
        <v>48.088549999999998</v>
      </c>
      <c r="AD19" s="48">
        <f>$C$11*'FIN_Inputs&amp;ProjectTimeline'!AD$39</f>
        <v>48.088549999999998</v>
      </c>
      <c r="AE19" s="48">
        <f>$C$11*'FIN_Inputs&amp;ProjectTimeline'!AE$39</f>
        <v>48.088549999999998</v>
      </c>
      <c r="AF19" s="48">
        <f>$C$11*'FIN_Inputs&amp;ProjectTimeline'!AF$39</f>
        <v>48.088549999999998</v>
      </c>
      <c r="AG19" s="48">
        <f>$C$11*'FIN_Inputs&amp;ProjectTimeline'!AG$39</f>
        <v>48.088549999999998</v>
      </c>
      <c r="AH19" s="48">
        <f>$C$11*'FIN_Inputs&amp;ProjectTimeline'!AH$39</f>
        <v>48.088549999999998</v>
      </c>
      <c r="AI19" s="48">
        <f>$C$11*'FIN_Inputs&amp;ProjectTimeline'!AI$39</f>
        <v>0</v>
      </c>
      <c r="AJ19" s="125">
        <f>$C$11*'FIN_Inputs&amp;ProjectTimeline'!AJ$39</f>
        <v>0</v>
      </c>
    </row>
    <row r="20" spans="2:36" x14ac:dyDescent="0.3">
      <c r="B20" s="7"/>
      <c r="C20" s="7"/>
      <c r="D20" s="8"/>
      <c r="E20" s="8"/>
      <c r="F20" s="8"/>
      <c r="G20" s="8"/>
      <c r="H20" s="8"/>
      <c r="I20" s="8"/>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8"/>
      <c r="AJ20" s="8"/>
    </row>
    <row r="23" spans="2:36" x14ac:dyDescent="0.3">
      <c r="B23" s="1"/>
      <c r="D23" s="1"/>
    </row>
    <row r="24" spans="2:36" x14ac:dyDescent="0.3">
      <c r="D24" s="4"/>
    </row>
  </sheetData>
  <mergeCells count="5">
    <mergeCell ref="B3:C3"/>
    <mergeCell ref="B17:C17"/>
    <mergeCell ref="B18:C18"/>
    <mergeCell ref="B19:C19"/>
    <mergeCell ref="H9:I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A862C-B51D-4AC1-A278-0E5FCC94C31D}">
  <dimension ref="B1:L81"/>
  <sheetViews>
    <sheetView workbookViewId="0"/>
  </sheetViews>
  <sheetFormatPr defaultRowHeight="14.4" x14ac:dyDescent="0.3"/>
  <cols>
    <col min="1" max="1" width="1.6640625" customWidth="1"/>
    <col min="2" max="2" width="12" customWidth="1"/>
    <col min="4" max="4" width="9.44140625" bestFit="1" customWidth="1"/>
    <col min="5" max="5" width="24" bestFit="1" customWidth="1"/>
    <col min="6" max="6" width="24.5546875" bestFit="1" customWidth="1"/>
    <col min="7" max="7" width="17.88671875" bestFit="1" customWidth="1"/>
    <col min="8" max="8" width="6.5546875" bestFit="1" customWidth="1"/>
    <col min="10" max="10" width="39" bestFit="1" customWidth="1"/>
    <col min="12" max="12" width="11.6640625" bestFit="1" customWidth="1"/>
  </cols>
  <sheetData>
    <row r="1" spans="2:12" ht="7.65" customHeight="1" thickBot="1" x14ac:dyDescent="0.35"/>
    <row r="2" spans="2:12" ht="15" thickBot="1" x14ac:dyDescent="0.35">
      <c r="B2" s="272" t="s">
        <v>217</v>
      </c>
      <c r="C2" s="273"/>
      <c r="D2" s="273"/>
      <c r="E2" s="273"/>
      <c r="F2" s="273"/>
      <c r="G2" s="273"/>
      <c r="H2" s="273"/>
      <c r="I2" s="273"/>
      <c r="J2" s="274"/>
    </row>
    <row r="4" spans="2:12" x14ac:dyDescent="0.3">
      <c r="C4" s="1" t="s">
        <v>218</v>
      </c>
    </row>
    <row r="5" spans="2:12" x14ac:dyDescent="0.3">
      <c r="C5" t="str">
        <f>"@100m height"</f>
        <v>@100m height</v>
      </c>
      <c r="E5" s="213">
        <v>9.8000000000000007</v>
      </c>
      <c r="G5" t="s">
        <v>219</v>
      </c>
      <c r="J5" t="s">
        <v>220</v>
      </c>
      <c r="K5">
        <v>8760</v>
      </c>
      <c r="L5" t="s">
        <v>235</v>
      </c>
    </row>
    <row r="6" spans="2:12" x14ac:dyDescent="0.3">
      <c r="C6" t="s">
        <v>245</v>
      </c>
      <c r="E6">
        <v>0.1</v>
      </c>
      <c r="F6" t="s">
        <v>244</v>
      </c>
      <c r="J6" t="s">
        <v>304</v>
      </c>
      <c r="K6" s="15">
        <v>0.98</v>
      </c>
    </row>
    <row r="7" spans="2:12" x14ac:dyDescent="0.3">
      <c r="C7" t="str">
        <f>"@ Hub height"</f>
        <v>@ Hub height</v>
      </c>
      <c r="E7" s="4">
        <f>E5*('CAPEX-Input'!$L$12/100)^E6</f>
        <v>9.8938505112134933</v>
      </c>
      <c r="F7" s="4"/>
      <c r="G7" t="s">
        <v>219</v>
      </c>
    </row>
    <row r="9" spans="2:12" x14ac:dyDescent="0.3">
      <c r="C9" s="1" t="s">
        <v>221</v>
      </c>
      <c r="J9" s="1" t="s">
        <v>222</v>
      </c>
    </row>
    <row r="10" spans="2:12" x14ac:dyDescent="0.3">
      <c r="C10" t="s">
        <v>223</v>
      </c>
      <c r="E10" s="213">
        <v>2.4</v>
      </c>
      <c r="J10" t="s">
        <v>233</v>
      </c>
      <c r="K10" s="6">
        <f>1-K6</f>
        <v>2.0000000000000018E-2</v>
      </c>
    </row>
    <row r="11" spans="2:12" x14ac:dyDescent="0.3">
      <c r="C11" t="s">
        <v>218</v>
      </c>
      <c r="E11" s="4">
        <f>E7</f>
        <v>9.8938505112134933</v>
      </c>
      <c r="F11" s="4"/>
      <c r="G11" t="s">
        <v>219</v>
      </c>
      <c r="J11" t="s">
        <v>49</v>
      </c>
      <c r="K11" s="6">
        <v>0.09</v>
      </c>
    </row>
    <row r="12" spans="2:12" x14ac:dyDescent="0.3">
      <c r="C12" t="s">
        <v>224</v>
      </c>
      <c r="E12" s="4">
        <f>E11/_xlfn.GAMMA(1+(1/E10))</f>
        <v>11.160801131468927</v>
      </c>
      <c r="F12" s="4"/>
      <c r="J12" t="s">
        <v>54</v>
      </c>
      <c r="K12" s="6">
        <v>0.02</v>
      </c>
    </row>
    <row r="13" spans="2:12" x14ac:dyDescent="0.3">
      <c r="C13" t="s">
        <v>225</v>
      </c>
      <c r="E13">
        <f>'CAPEX-Input'!$L$6</f>
        <v>10</v>
      </c>
      <c r="G13" t="s">
        <v>226</v>
      </c>
      <c r="J13" t="s">
        <v>55</v>
      </c>
      <c r="K13" s="6">
        <v>0</v>
      </c>
    </row>
    <row r="14" spans="2:12" x14ac:dyDescent="0.3">
      <c r="J14" t="s">
        <v>56</v>
      </c>
      <c r="K14" s="6">
        <v>0</v>
      </c>
    </row>
    <row r="15" spans="2:12" x14ac:dyDescent="0.3">
      <c r="J15" t="s">
        <v>57</v>
      </c>
      <c r="K15" s="6">
        <v>0</v>
      </c>
    </row>
    <row r="16" spans="2:12" x14ac:dyDescent="0.3">
      <c r="J16" t="s">
        <v>232</v>
      </c>
      <c r="K16" s="6">
        <v>0</v>
      </c>
    </row>
    <row r="18" spans="2:11" x14ac:dyDescent="0.3">
      <c r="J18" s="92" t="s">
        <v>234</v>
      </c>
      <c r="K18" s="195">
        <f>(1-K10)*(1-K11)*(1-K12)*(1-K13)*(1-K14)*(1-K15)*(1-K16)</f>
        <v>0.87396400000000007</v>
      </c>
    </row>
    <row r="19" spans="2:11" x14ac:dyDescent="0.3">
      <c r="B19" s="54" t="s">
        <v>227</v>
      </c>
      <c r="C19" s="54" t="s">
        <v>228</v>
      </c>
      <c r="D19" s="54" t="s">
        <v>229</v>
      </c>
      <c r="E19" s="54" t="s">
        <v>238</v>
      </c>
      <c r="F19" s="69" t="s">
        <v>239</v>
      </c>
      <c r="G19" s="69" t="s">
        <v>230</v>
      </c>
    </row>
    <row r="20" spans="2:11" x14ac:dyDescent="0.3">
      <c r="B20" s="52">
        <v>0</v>
      </c>
      <c r="C20" s="196">
        <f>_xlfn.WEIBULL.DIST(B20,$E$10,$E$12,FALSE)</f>
        <v>0</v>
      </c>
      <c r="D20" s="165">
        <f t="shared" ref="D20:D50" si="0">$K$5*C20</f>
        <v>0</v>
      </c>
      <c r="E20" s="165">
        <v>0</v>
      </c>
      <c r="F20" s="47">
        <f>E20/1000</f>
        <v>0</v>
      </c>
      <c r="G20" s="47">
        <f>F20*D20</f>
        <v>0</v>
      </c>
    </row>
    <row r="21" spans="2:11" x14ac:dyDescent="0.3">
      <c r="B21" s="52">
        <v>1</v>
      </c>
      <c r="C21" s="196">
        <f t="shared" ref="C21:C50" si="1">_xlfn.WEIBULL.DIST(B21,$E$10,$E$12,FALSE)</f>
        <v>7.3183638127151934E-3</v>
      </c>
      <c r="D21" s="165">
        <f t="shared" si="0"/>
        <v>64.1088669993851</v>
      </c>
      <c r="E21" s="165">
        <v>0</v>
      </c>
      <c r="F21" s="47">
        <f t="shared" ref="F21:F50" si="2">E21/1000</f>
        <v>0</v>
      </c>
      <c r="G21" s="47">
        <f t="shared" ref="G21:G50" si="3">F21*D21</f>
        <v>0</v>
      </c>
    </row>
    <row r="22" spans="2:11" x14ac:dyDescent="0.3">
      <c r="B22" s="52">
        <v>2</v>
      </c>
      <c r="C22" s="196">
        <f t="shared" si="1"/>
        <v>1.9062209051782544E-2</v>
      </c>
      <c r="D22" s="165">
        <f t="shared" si="0"/>
        <v>166.98495129361507</v>
      </c>
      <c r="E22" s="165">
        <v>0</v>
      </c>
      <c r="F22" s="47">
        <f t="shared" si="2"/>
        <v>0</v>
      </c>
      <c r="G22" s="47">
        <f t="shared" si="3"/>
        <v>0</v>
      </c>
    </row>
    <row r="23" spans="2:11" x14ac:dyDescent="0.3">
      <c r="B23" s="52">
        <v>3</v>
      </c>
      <c r="C23" s="196">
        <f t="shared" si="1"/>
        <v>3.274608918420488E-2</v>
      </c>
      <c r="D23" s="165">
        <f t="shared" si="0"/>
        <v>286.85574125363473</v>
      </c>
      <c r="E23" s="165">
        <v>0</v>
      </c>
      <c r="F23" s="47">
        <f t="shared" si="2"/>
        <v>0</v>
      </c>
      <c r="G23" s="47">
        <f t="shared" si="3"/>
        <v>0</v>
      </c>
    </row>
    <row r="24" spans="2:11" x14ac:dyDescent="0.3">
      <c r="B24" s="52">
        <v>4</v>
      </c>
      <c r="C24" s="196">
        <f t="shared" si="1"/>
        <v>4.6948468295422596E-2</v>
      </c>
      <c r="D24" s="165">
        <f t="shared" si="0"/>
        <v>411.26858226790193</v>
      </c>
      <c r="E24" s="165">
        <v>131.25</v>
      </c>
      <c r="F24" s="47">
        <f t="shared" si="2"/>
        <v>0.13125000000000001</v>
      </c>
      <c r="G24" s="47">
        <f t="shared" si="3"/>
        <v>53.97900142266213</v>
      </c>
    </row>
    <row r="25" spans="2:11" x14ac:dyDescent="0.3">
      <c r="B25" s="52">
        <v>5</v>
      </c>
      <c r="C25" s="196">
        <f t="shared" si="1"/>
        <v>6.0406263112558867E-2</v>
      </c>
      <c r="D25" s="165">
        <f t="shared" si="0"/>
        <v>529.15886486601562</v>
      </c>
      <c r="E25" s="165">
        <v>625</v>
      </c>
      <c r="F25" s="47">
        <f t="shared" si="2"/>
        <v>0.625</v>
      </c>
      <c r="G25" s="47">
        <f t="shared" si="3"/>
        <v>330.72429054125973</v>
      </c>
    </row>
    <row r="26" spans="2:11" x14ac:dyDescent="0.3">
      <c r="B26" s="52">
        <v>6</v>
      </c>
      <c r="C26" s="196">
        <f t="shared" si="1"/>
        <v>7.1983427544789799E-2</v>
      </c>
      <c r="D26" s="165">
        <f t="shared" si="0"/>
        <v>630.5748252923587</v>
      </c>
      <c r="E26" s="165">
        <v>1375</v>
      </c>
      <c r="F26" s="47">
        <f t="shared" si="2"/>
        <v>1.375</v>
      </c>
      <c r="G26" s="47">
        <f t="shared" si="3"/>
        <v>867.04038477699316</v>
      </c>
    </row>
    <row r="27" spans="2:11" x14ac:dyDescent="0.3">
      <c r="B27" s="52">
        <v>7</v>
      </c>
      <c r="C27" s="196">
        <f t="shared" si="1"/>
        <v>8.0745919520910564E-2</v>
      </c>
      <c r="D27" s="165">
        <f t="shared" si="0"/>
        <v>707.33425500317651</v>
      </c>
      <c r="E27" s="165">
        <v>2312.5</v>
      </c>
      <c r="F27" s="47">
        <f t="shared" si="2"/>
        <v>2.3125</v>
      </c>
      <c r="G27" s="47">
        <f t="shared" si="3"/>
        <v>1635.7104646948458</v>
      </c>
    </row>
    <row r="28" spans="2:11" x14ac:dyDescent="0.3">
      <c r="B28" s="52">
        <v>8</v>
      </c>
      <c r="C28" s="196">
        <f t="shared" si="1"/>
        <v>8.6050862434035189E-2</v>
      </c>
      <c r="D28" s="165">
        <f t="shared" si="0"/>
        <v>753.8055549221483</v>
      </c>
      <c r="E28" s="165">
        <v>3562.5</v>
      </c>
      <c r="F28" s="47">
        <f t="shared" si="2"/>
        <v>3.5625</v>
      </c>
      <c r="G28" s="47">
        <f t="shared" si="3"/>
        <v>2685.4322894101533</v>
      </c>
    </row>
    <row r="29" spans="2:11" x14ac:dyDescent="0.3">
      <c r="B29" s="52">
        <v>9</v>
      </c>
      <c r="C29" s="196">
        <f t="shared" si="1"/>
        <v>8.7612071497009378E-2</v>
      </c>
      <c r="D29" s="165">
        <f t="shared" si="0"/>
        <v>767.4817463138022</v>
      </c>
      <c r="E29" s="165">
        <v>5000</v>
      </c>
      <c r="F29" s="47">
        <f t="shared" si="2"/>
        <v>5</v>
      </c>
      <c r="G29" s="47">
        <f t="shared" si="3"/>
        <v>3837.4087315690113</v>
      </c>
    </row>
    <row r="30" spans="2:11" x14ac:dyDescent="0.3">
      <c r="B30" s="52">
        <v>10</v>
      </c>
      <c r="C30" s="196">
        <f t="shared" si="1"/>
        <v>8.5521180920011652E-2</v>
      </c>
      <c r="D30" s="165">
        <f t="shared" si="0"/>
        <v>749.16554485930203</v>
      </c>
      <c r="E30" s="165">
        <v>6875</v>
      </c>
      <c r="F30" s="47">
        <f t="shared" si="2"/>
        <v>6.875</v>
      </c>
      <c r="G30" s="47">
        <f t="shared" si="3"/>
        <v>5150.5131209077017</v>
      </c>
    </row>
    <row r="31" spans="2:11" x14ac:dyDescent="0.3">
      <c r="B31" s="52">
        <v>11</v>
      </c>
      <c r="C31" s="196">
        <f t="shared" si="1"/>
        <v>8.0216494681533038E-2</v>
      </c>
      <c r="D31" s="165">
        <f t="shared" si="0"/>
        <v>702.69649341022944</v>
      </c>
      <c r="E31" s="165">
        <v>8750</v>
      </c>
      <c r="F31" s="47">
        <f t="shared" si="2"/>
        <v>8.75</v>
      </c>
      <c r="G31" s="47">
        <f t="shared" si="3"/>
        <v>6148.5943173395071</v>
      </c>
    </row>
    <row r="32" spans="2:11" x14ac:dyDescent="0.3">
      <c r="B32" s="52">
        <v>12</v>
      </c>
      <c r="C32" s="196">
        <f t="shared" si="1"/>
        <v>7.2404054424751105E-2</v>
      </c>
      <c r="D32" s="165">
        <f t="shared" si="0"/>
        <v>634.25951676081968</v>
      </c>
      <c r="E32" s="165">
        <v>9812.5</v>
      </c>
      <c r="F32" s="47">
        <f t="shared" si="2"/>
        <v>9.8125</v>
      </c>
      <c r="G32" s="47">
        <f t="shared" si="3"/>
        <v>6223.6715082155433</v>
      </c>
    </row>
    <row r="33" spans="2:7" x14ac:dyDescent="0.3">
      <c r="B33" s="52">
        <v>13</v>
      </c>
      <c r="C33" s="196">
        <f t="shared" si="1"/>
        <v>6.2945877261010974E-2</v>
      </c>
      <c r="D33" s="165">
        <f t="shared" si="0"/>
        <v>551.40588480645613</v>
      </c>
      <c r="E33" s="165">
        <v>10000</v>
      </c>
      <c r="F33" s="47">
        <f t="shared" si="2"/>
        <v>10</v>
      </c>
      <c r="G33" s="47">
        <f t="shared" si="3"/>
        <v>5514.0588480645611</v>
      </c>
    </row>
    <row r="34" spans="2:7" x14ac:dyDescent="0.3">
      <c r="B34" s="52">
        <v>14</v>
      </c>
      <c r="C34" s="196">
        <f t="shared" si="1"/>
        <v>5.2736703658795507E-2</v>
      </c>
      <c r="D34" s="165">
        <f t="shared" si="0"/>
        <v>461.97352405104863</v>
      </c>
      <c r="E34" s="165">
        <v>10000</v>
      </c>
      <c r="F34" s="47">
        <f t="shared" si="2"/>
        <v>10</v>
      </c>
      <c r="G34" s="47">
        <f t="shared" si="3"/>
        <v>4619.7352405104866</v>
      </c>
    </row>
    <row r="35" spans="2:7" x14ac:dyDescent="0.3">
      <c r="B35" s="52">
        <v>15</v>
      </c>
      <c r="C35" s="196">
        <f t="shared" si="1"/>
        <v>4.2591555613769226E-2</v>
      </c>
      <c r="D35" s="165">
        <f t="shared" si="0"/>
        <v>373.10202717661844</v>
      </c>
      <c r="E35" s="165">
        <v>10000</v>
      </c>
      <c r="F35" s="47">
        <f t="shared" si="2"/>
        <v>10</v>
      </c>
      <c r="G35" s="47">
        <f t="shared" si="3"/>
        <v>3731.0202717661841</v>
      </c>
    </row>
    <row r="36" spans="2:7" x14ac:dyDescent="0.3">
      <c r="B36" s="52">
        <v>16</v>
      </c>
      <c r="C36" s="196">
        <f t="shared" si="1"/>
        <v>3.3162064645242059E-2</v>
      </c>
      <c r="D36" s="165">
        <f t="shared" si="0"/>
        <v>290.49968629232046</v>
      </c>
      <c r="E36" s="165">
        <v>10000</v>
      </c>
      <c r="F36" s="47">
        <f t="shared" si="2"/>
        <v>10</v>
      </c>
      <c r="G36" s="47">
        <f t="shared" si="3"/>
        <v>2904.9968629232044</v>
      </c>
    </row>
    <row r="37" spans="2:7" x14ac:dyDescent="0.3">
      <c r="B37" s="52">
        <v>17</v>
      </c>
      <c r="C37" s="196">
        <f t="shared" si="1"/>
        <v>2.489148613871265E-2</v>
      </c>
      <c r="D37" s="165">
        <f t="shared" si="0"/>
        <v>218.04941857512281</v>
      </c>
      <c r="E37" s="165">
        <v>10000</v>
      </c>
      <c r="F37" s="47">
        <f t="shared" si="2"/>
        <v>10</v>
      </c>
      <c r="G37" s="47">
        <f t="shared" si="3"/>
        <v>2180.4941857512281</v>
      </c>
    </row>
    <row r="38" spans="2:7" x14ac:dyDescent="0.3">
      <c r="B38" s="52">
        <v>18</v>
      </c>
      <c r="C38" s="196">
        <f t="shared" si="1"/>
        <v>1.8009070055947374E-2</v>
      </c>
      <c r="D38" s="165">
        <f t="shared" si="0"/>
        <v>157.75945369009901</v>
      </c>
      <c r="E38" s="165">
        <v>10000</v>
      </c>
      <c r="F38" s="47">
        <f t="shared" si="2"/>
        <v>10</v>
      </c>
      <c r="G38" s="47">
        <f t="shared" si="3"/>
        <v>1577.5945369009901</v>
      </c>
    </row>
    <row r="39" spans="2:7" x14ac:dyDescent="0.3">
      <c r="B39" s="52">
        <v>19</v>
      </c>
      <c r="C39" s="196">
        <f t="shared" si="1"/>
        <v>1.2556548680591308E-2</v>
      </c>
      <c r="D39" s="165">
        <f t="shared" si="0"/>
        <v>109.99536644197985</v>
      </c>
      <c r="E39" s="165">
        <v>10000</v>
      </c>
      <c r="F39" s="47">
        <f t="shared" si="2"/>
        <v>10</v>
      </c>
      <c r="G39" s="47">
        <f t="shared" si="3"/>
        <v>1099.9536644197985</v>
      </c>
    </row>
    <row r="40" spans="2:7" x14ac:dyDescent="0.3">
      <c r="B40" s="52">
        <v>20</v>
      </c>
      <c r="C40" s="196">
        <f t="shared" si="1"/>
        <v>8.4347181560250287E-3</v>
      </c>
      <c r="D40" s="165">
        <f t="shared" si="0"/>
        <v>73.88813104677925</v>
      </c>
      <c r="E40" s="165">
        <v>10000</v>
      </c>
      <c r="F40" s="47">
        <f t="shared" si="2"/>
        <v>10</v>
      </c>
      <c r="G40" s="47">
        <f t="shared" si="3"/>
        <v>738.88131046779245</v>
      </c>
    </row>
    <row r="41" spans="2:7" x14ac:dyDescent="0.3">
      <c r="B41" s="52">
        <v>21</v>
      </c>
      <c r="C41" s="196">
        <f t="shared" si="1"/>
        <v>5.4570296853511824E-3</v>
      </c>
      <c r="D41" s="165">
        <f t="shared" si="0"/>
        <v>47.803580043676355</v>
      </c>
      <c r="E41" s="165">
        <v>10000</v>
      </c>
      <c r="F41" s="47">
        <f t="shared" si="2"/>
        <v>10</v>
      </c>
      <c r="G41" s="47">
        <f t="shared" si="3"/>
        <v>478.03580043676357</v>
      </c>
    </row>
    <row r="42" spans="2:7" x14ac:dyDescent="0.3">
      <c r="B42" s="52">
        <v>22</v>
      </c>
      <c r="C42" s="196">
        <f t="shared" si="1"/>
        <v>3.3992066206816433E-3</v>
      </c>
      <c r="D42" s="165">
        <f t="shared" si="0"/>
        <v>29.777049997171197</v>
      </c>
      <c r="E42" s="165">
        <v>10000</v>
      </c>
      <c r="F42" s="47">
        <f t="shared" si="2"/>
        <v>10</v>
      </c>
      <c r="G42" s="47">
        <f t="shared" si="3"/>
        <v>297.77049997171196</v>
      </c>
    </row>
    <row r="43" spans="2:7" x14ac:dyDescent="0.3">
      <c r="B43" s="52">
        <v>23</v>
      </c>
      <c r="C43" s="196">
        <f t="shared" si="1"/>
        <v>2.0378569570689824E-3</v>
      </c>
      <c r="D43" s="165">
        <f t="shared" si="0"/>
        <v>17.851626943924288</v>
      </c>
      <c r="E43" s="165">
        <v>10000</v>
      </c>
      <c r="F43" s="47">
        <f t="shared" si="2"/>
        <v>10</v>
      </c>
      <c r="G43" s="47">
        <f t="shared" si="3"/>
        <v>178.51626943924288</v>
      </c>
    </row>
    <row r="44" spans="2:7" x14ac:dyDescent="0.3">
      <c r="B44" s="52">
        <v>24</v>
      </c>
      <c r="C44" s="196">
        <f t="shared" si="1"/>
        <v>1.1753738985328527E-3</v>
      </c>
      <c r="D44" s="165">
        <f t="shared" si="0"/>
        <v>10.29627535114779</v>
      </c>
      <c r="E44" s="165">
        <v>10000</v>
      </c>
      <c r="F44" s="47">
        <f t="shared" si="2"/>
        <v>10</v>
      </c>
      <c r="G44" s="47">
        <f t="shared" si="3"/>
        <v>102.9627535114779</v>
      </c>
    </row>
    <row r="45" spans="2:7" x14ac:dyDescent="0.3">
      <c r="B45" s="52">
        <v>25</v>
      </c>
      <c r="C45" s="196">
        <f t="shared" si="1"/>
        <v>6.5194343692911538E-4</v>
      </c>
      <c r="D45" s="165">
        <f t="shared" si="0"/>
        <v>5.7110245074990509</v>
      </c>
      <c r="E45" s="165">
        <v>10000</v>
      </c>
      <c r="F45" s="47">
        <f t="shared" si="2"/>
        <v>10</v>
      </c>
      <c r="G45" s="47">
        <f t="shared" si="3"/>
        <v>57.110245074990509</v>
      </c>
    </row>
    <row r="46" spans="2:7" x14ac:dyDescent="0.3">
      <c r="B46" s="52">
        <v>26</v>
      </c>
      <c r="C46" s="196">
        <f t="shared" si="1"/>
        <v>3.4761316675562616E-4</v>
      </c>
      <c r="D46" s="165">
        <f t="shared" si="0"/>
        <v>3.045091340779285</v>
      </c>
      <c r="E46" s="165">
        <v>0</v>
      </c>
      <c r="F46" s="47">
        <f t="shared" si="2"/>
        <v>0</v>
      </c>
      <c r="G46" s="47">
        <f t="shared" si="3"/>
        <v>0</v>
      </c>
    </row>
    <row r="47" spans="2:7" x14ac:dyDescent="0.3">
      <c r="B47" s="52">
        <v>27</v>
      </c>
      <c r="C47" s="196">
        <f t="shared" si="1"/>
        <v>1.7809538569054975E-4</v>
      </c>
      <c r="D47" s="165">
        <f t="shared" si="0"/>
        <v>1.5601155786492158</v>
      </c>
      <c r="E47" s="165">
        <v>0</v>
      </c>
      <c r="F47" s="47">
        <f t="shared" si="2"/>
        <v>0</v>
      </c>
      <c r="G47" s="47">
        <f t="shared" si="3"/>
        <v>0</v>
      </c>
    </row>
    <row r="48" spans="2:7" x14ac:dyDescent="0.3">
      <c r="B48" s="52">
        <v>28</v>
      </c>
      <c r="C48" s="196">
        <f t="shared" si="1"/>
        <v>8.7638473821683173E-5</v>
      </c>
      <c r="D48" s="165">
        <f t="shared" si="0"/>
        <v>0.76771303067794461</v>
      </c>
      <c r="E48" s="165">
        <v>0</v>
      </c>
      <c r="F48" s="47">
        <f t="shared" si="2"/>
        <v>0</v>
      </c>
      <c r="G48" s="47">
        <f t="shared" si="3"/>
        <v>0</v>
      </c>
    </row>
    <row r="49" spans="2:8" x14ac:dyDescent="0.3">
      <c r="B49" s="52">
        <v>29</v>
      </c>
      <c r="C49" s="196">
        <f t="shared" si="1"/>
        <v>4.1403473270373619E-5</v>
      </c>
      <c r="D49" s="165">
        <f t="shared" si="0"/>
        <v>0.36269442584847289</v>
      </c>
      <c r="E49" s="165">
        <v>0</v>
      </c>
      <c r="F49" s="47">
        <f t="shared" si="2"/>
        <v>0</v>
      </c>
      <c r="G49" s="47">
        <f t="shared" si="3"/>
        <v>0</v>
      </c>
    </row>
    <row r="50" spans="2:8" x14ac:dyDescent="0.3">
      <c r="B50" s="17">
        <v>30</v>
      </c>
      <c r="C50" s="197">
        <f t="shared" si="1"/>
        <v>1.877119583068161E-5</v>
      </c>
      <c r="D50" s="167">
        <f t="shared" si="0"/>
        <v>0.1644356754767709</v>
      </c>
      <c r="E50" s="167">
        <v>0</v>
      </c>
      <c r="F50" s="167">
        <f t="shared" si="2"/>
        <v>0</v>
      </c>
      <c r="G50" s="49">
        <f t="shared" si="3"/>
        <v>0</v>
      </c>
    </row>
    <row r="54" spans="2:8" x14ac:dyDescent="0.3">
      <c r="D54" t="s">
        <v>253</v>
      </c>
      <c r="G54" s="4">
        <f>SUM(G20:G50)</f>
        <v>50414.204598116106</v>
      </c>
      <c r="H54" t="s">
        <v>231</v>
      </c>
    </row>
    <row r="55" spans="2:8" x14ac:dyDescent="0.3">
      <c r="D55" t="s">
        <v>254</v>
      </c>
      <c r="G55" s="4">
        <f>G54*K18</f>
        <v>44060.199907387949</v>
      </c>
      <c r="H55" t="s">
        <v>231</v>
      </c>
    </row>
    <row r="56" spans="2:8" x14ac:dyDescent="0.3">
      <c r="D56" t="s">
        <v>255</v>
      </c>
      <c r="G56" s="4">
        <f>E13*K5</f>
        <v>87600</v>
      </c>
      <c r="H56" t="s">
        <v>231</v>
      </c>
    </row>
    <row r="57" spans="2:8" x14ac:dyDescent="0.3">
      <c r="D57" s="1" t="s">
        <v>252</v>
      </c>
      <c r="G57" s="194">
        <f>G55/G56</f>
        <v>0.50297031857748797</v>
      </c>
    </row>
    <row r="59" spans="2:8" x14ac:dyDescent="0.3">
      <c r="D59" s="1" t="s">
        <v>236</v>
      </c>
      <c r="G59" s="194">
        <f>G54/G56</f>
        <v>0.57550461869995551</v>
      </c>
    </row>
    <row r="65" spans="5:7" x14ac:dyDescent="0.3">
      <c r="G65" s="15"/>
    </row>
    <row r="69" spans="5:7" x14ac:dyDescent="0.3">
      <c r="F69" s="4"/>
    </row>
    <row r="70" spans="5:7" x14ac:dyDescent="0.3">
      <c r="E70" s="98"/>
    </row>
    <row r="71" spans="5:7" x14ac:dyDescent="0.3">
      <c r="E71" s="98"/>
    </row>
    <row r="72" spans="5:7" x14ac:dyDescent="0.3">
      <c r="E72" s="98"/>
    </row>
    <row r="73" spans="5:7" x14ac:dyDescent="0.3">
      <c r="E73" s="98"/>
    </row>
    <row r="74" spans="5:7" x14ac:dyDescent="0.3">
      <c r="E74" s="98"/>
    </row>
    <row r="75" spans="5:7" x14ac:dyDescent="0.3">
      <c r="E75" s="98"/>
    </row>
    <row r="76" spans="5:7" x14ac:dyDescent="0.3">
      <c r="E76" s="98"/>
    </row>
    <row r="77" spans="5:7" x14ac:dyDescent="0.3">
      <c r="E77" s="98"/>
    </row>
    <row r="78" spans="5:7" x14ac:dyDescent="0.3">
      <c r="E78" s="98"/>
    </row>
    <row r="79" spans="5:7" x14ac:dyDescent="0.3">
      <c r="E79" s="98"/>
    </row>
    <row r="80" spans="5:7" x14ac:dyDescent="0.3">
      <c r="E80" s="98"/>
    </row>
    <row r="81" spans="5:5" x14ac:dyDescent="0.3">
      <c r="E81" s="98"/>
    </row>
  </sheetData>
  <mergeCells count="1">
    <mergeCell ref="B2:J2"/>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6029-EBFE-47B8-AC79-179843B36D5B}">
  <dimension ref="B2:AJ52"/>
  <sheetViews>
    <sheetView workbookViewId="0"/>
  </sheetViews>
  <sheetFormatPr defaultRowHeight="14.4" x14ac:dyDescent="0.3"/>
  <cols>
    <col min="1" max="1" width="1.6640625" customWidth="1"/>
    <col min="2" max="2" width="28.88671875" bestFit="1" customWidth="1"/>
    <col min="3" max="3" width="9.44140625" bestFit="1" customWidth="1"/>
    <col min="10" max="10" width="9" customWidth="1"/>
  </cols>
  <sheetData>
    <row r="2" spans="2:3" ht="15" thickBot="1" x14ac:dyDescent="0.35">
      <c r="B2" s="10" t="s">
        <v>125</v>
      </c>
    </row>
    <row r="3" spans="2:3" ht="15" thickTop="1" x14ac:dyDescent="0.3">
      <c r="B3" s="1"/>
    </row>
    <row r="4" spans="2:3" x14ac:dyDescent="0.3">
      <c r="B4" s="1" t="s">
        <v>48</v>
      </c>
      <c r="C4" s="97">
        <f>AEP_Calculation!$G$59</f>
        <v>0.57550461869995551</v>
      </c>
    </row>
    <row r="5" spans="2:3" x14ac:dyDescent="0.3">
      <c r="B5" t="s">
        <v>58</v>
      </c>
      <c r="C5" s="6">
        <f>AEP_Calculation!$K$10</f>
        <v>2.0000000000000018E-2</v>
      </c>
    </row>
    <row r="6" spans="2:3" x14ac:dyDescent="0.3">
      <c r="B6" t="s">
        <v>49</v>
      </c>
      <c r="C6" s="6">
        <f>AEP_Calculation!$K$11</f>
        <v>0.09</v>
      </c>
    </row>
    <row r="7" spans="2:3" x14ac:dyDescent="0.3">
      <c r="B7" t="s">
        <v>54</v>
      </c>
      <c r="C7" s="6">
        <f>AEP_Calculation!$K$12</f>
        <v>0.02</v>
      </c>
    </row>
    <row r="8" spans="2:3" x14ac:dyDescent="0.3">
      <c r="B8" t="s">
        <v>55</v>
      </c>
      <c r="C8" s="6">
        <f>AEP_Calculation!$K$13</f>
        <v>0</v>
      </c>
    </row>
    <row r="9" spans="2:3" x14ac:dyDescent="0.3">
      <c r="B9" t="s">
        <v>56</v>
      </c>
      <c r="C9" s="6">
        <f>AEP_Calculation!$K$14</f>
        <v>0</v>
      </c>
    </row>
    <row r="10" spans="2:3" x14ac:dyDescent="0.3">
      <c r="B10" t="s">
        <v>57</v>
      </c>
      <c r="C10" s="6">
        <f>AEP_Calculation!$K$15</f>
        <v>0</v>
      </c>
    </row>
    <row r="11" spans="2:3" x14ac:dyDescent="0.3">
      <c r="B11" t="s">
        <v>232</v>
      </c>
      <c r="C11" s="6">
        <f>AEP_Calculation!$K$16</f>
        <v>0</v>
      </c>
    </row>
    <row r="12" spans="2:3" x14ac:dyDescent="0.3">
      <c r="C12" s="6"/>
    </row>
    <row r="13" spans="2:3" x14ac:dyDescent="0.3">
      <c r="B13" s="1" t="s">
        <v>50</v>
      </c>
      <c r="C13" s="97">
        <f>AEP_Calculation!$G$57</f>
        <v>0.50297031857748797</v>
      </c>
    </row>
    <row r="14" spans="2:3" x14ac:dyDescent="0.3">
      <c r="C14" s="6"/>
    </row>
    <row r="15" spans="2:3" x14ac:dyDescent="0.3">
      <c r="B15" s="1" t="s">
        <v>46</v>
      </c>
      <c r="C15" s="5">
        <f>'CAPEX-Input'!$L$5*8760*'AEP Input'!C4/1000</f>
        <v>3781.0653448587077</v>
      </c>
    </row>
    <row r="16" spans="2:3" x14ac:dyDescent="0.3">
      <c r="B16" t="s">
        <v>296</v>
      </c>
      <c r="C16" s="6">
        <f>AEP_Calculation!$K$18</f>
        <v>0.87396400000000007</v>
      </c>
    </row>
    <row r="17" spans="2:36" x14ac:dyDescent="0.3">
      <c r="B17" s="1" t="s">
        <v>47</v>
      </c>
      <c r="C17" s="5">
        <f>C15*C16</f>
        <v>3304.5149930540961</v>
      </c>
    </row>
    <row r="19" spans="2:36" x14ac:dyDescent="0.3">
      <c r="D19" t="s">
        <v>103</v>
      </c>
    </row>
    <row r="20" spans="2:36" x14ac:dyDescent="0.3">
      <c r="D20" t="s">
        <v>161</v>
      </c>
      <c r="H20" s="122" t="s">
        <v>69</v>
      </c>
      <c r="I20" s="122"/>
      <c r="J20" s="122" t="s">
        <v>70</v>
      </c>
      <c r="AI20" t="s">
        <v>160</v>
      </c>
    </row>
    <row r="21" spans="2:36" x14ac:dyDescent="0.3">
      <c r="B21" s="261" t="s">
        <v>162</v>
      </c>
      <c r="C21" s="262"/>
      <c r="D21" s="140">
        <f>'FIN_Inputs&amp;ProjectTimeline'!D$34</f>
        <v>-4</v>
      </c>
      <c r="E21" s="141">
        <f>'FIN_Inputs&amp;ProjectTimeline'!E$34</f>
        <v>-3</v>
      </c>
      <c r="F21" s="141">
        <f>'FIN_Inputs&amp;ProjectTimeline'!F$34</f>
        <v>-2</v>
      </c>
      <c r="G21" s="141">
        <f>'FIN_Inputs&amp;ProjectTimeline'!G$34</f>
        <v>-1</v>
      </c>
      <c r="H21" s="142">
        <f>'FIN_Inputs&amp;ProjectTimeline'!H$34</f>
        <v>0</v>
      </c>
      <c r="I21" s="141">
        <f>'FIN_Inputs&amp;ProjectTimeline'!I$34</f>
        <v>1</v>
      </c>
      <c r="J21" s="221">
        <f>'FIN_Inputs&amp;ProjectTimeline'!J$34</f>
        <v>2</v>
      </c>
      <c r="K21" s="141">
        <f>'FIN_Inputs&amp;ProjectTimeline'!K$34</f>
        <v>3</v>
      </c>
      <c r="L21" s="141">
        <f>'FIN_Inputs&amp;ProjectTimeline'!L$34</f>
        <v>4</v>
      </c>
      <c r="M21" s="141">
        <f>'FIN_Inputs&amp;ProjectTimeline'!M$34</f>
        <v>5</v>
      </c>
      <c r="N21" s="141">
        <f>'FIN_Inputs&amp;ProjectTimeline'!N$34</f>
        <v>6</v>
      </c>
      <c r="O21" s="141">
        <f>'FIN_Inputs&amp;ProjectTimeline'!O$34</f>
        <v>7</v>
      </c>
      <c r="P21" s="141">
        <f>'FIN_Inputs&amp;ProjectTimeline'!P$34</f>
        <v>8</v>
      </c>
      <c r="Q21" s="141">
        <f>'FIN_Inputs&amp;ProjectTimeline'!Q$34</f>
        <v>9</v>
      </c>
      <c r="R21" s="141">
        <f>'FIN_Inputs&amp;ProjectTimeline'!R$34</f>
        <v>10</v>
      </c>
      <c r="S21" s="141">
        <f>'FIN_Inputs&amp;ProjectTimeline'!S$34</f>
        <v>11</v>
      </c>
      <c r="T21" s="141">
        <f>'FIN_Inputs&amp;ProjectTimeline'!T$34</f>
        <v>12</v>
      </c>
      <c r="U21" s="141">
        <f>'FIN_Inputs&amp;ProjectTimeline'!U$34</f>
        <v>13</v>
      </c>
      <c r="V21" s="141">
        <f>'FIN_Inputs&amp;ProjectTimeline'!V$34</f>
        <v>14</v>
      </c>
      <c r="W21" s="141">
        <f>'FIN_Inputs&amp;ProjectTimeline'!W$34</f>
        <v>15</v>
      </c>
      <c r="X21" s="141">
        <f>'FIN_Inputs&amp;ProjectTimeline'!X$34</f>
        <v>16</v>
      </c>
      <c r="Y21" s="141">
        <f>'FIN_Inputs&amp;ProjectTimeline'!Y$34</f>
        <v>17</v>
      </c>
      <c r="Z21" s="141">
        <f>'FIN_Inputs&amp;ProjectTimeline'!Z$34</f>
        <v>18</v>
      </c>
      <c r="AA21" s="141">
        <f>'FIN_Inputs&amp;ProjectTimeline'!AA$34</f>
        <v>19</v>
      </c>
      <c r="AB21" s="141">
        <f>'FIN_Inputs&amp;ProjectTimeline'!AB$34</f>
        <v>20</v>
      </c>
      <c r="AC21" s="141">
        <f>'FIN_Inputs&amp;ProjectTimeline'!AC$34</f>
        <v>21</v>
      </c>
      <c r="AD21" s="141">
        <f>'FIN_Inputs&amp;ProjectTimeline'!AD$34</f>
        <v>22</v>
      </c>
      <c r="AE21" s="141">
        <f>'FIN_Inputs&amp;ProjectTimeline'!AE$34</f>
        <v>23</v>
      </c>
      <c r="AF21" s="141">
        <f>'FIN_Inputs&amp;ProjectTimeline'!AF$34</f>
        <v>24</v>
      </c>
      <c r="AG21" s="141">
        <f>'FIN_Inputs&amp;ProjectTimeline'!AG$34</f>
        <v>25</v>
      </c>
      <c r="AH21" s="141">
        <f>'FIN_Inputs&amp;ProjectTimeline'!AH$34</f>
        <v>26</v>
      </c>
      <c r="AI21" s="143">
        <f>'FIN_Inputs&amp;ProjectTimeline'!AI$34</f>
        <v>27</v>
      </c>
      <c r="AJ21" s="144">
        <f>'FIN_Inputs&amp;ProjectTimeline'!AJ$34</f>
        <v>28</v>
      </c>
    </row>
    <row r="22" spans="2:36" x14ac:dyDescent="0.3">
      <c r="B22" s="261" t="s">
        <v>163</v>
      </c>
      <c r="C22" s="275"/>
      <c r="D22" s="138">
        <f>'FIN_Inputs&amp;ProjectTimeline'!D$35</f>
        <v>0</v>
      </c>
      <c r="E22" s="137">
        <f>'FIN_Inputs&amp;ProjectTimeline'!E$35</f>
        <v>0</v>
      </c>
      <c r="F22" s="137">
        <f>'FIN_Inputs&amp;ProjectTimeline'!F$35</f>
        <v>0</v>
      </c>
      <c r="G22" s="137">
        <f>'FIN_Inputs&amp;ProjectTimeline'!G$35</f>
        <v>0</v>
      </c>
      <c r="H22" s="137">
        <f>'FIN_Inputs&amp;ProjectTimeline'!H$35</f>
        <v>0</v>
      </c>
      <c r="I22" s="137">
        <f>'FIN_Inputs&amp;ProjectTimeline'!I$35</f>
        <v>0</v>
      </c>
      <c r="J22" s="137">
        <f>'FIN_Inputs&amp;ProjectTimeline'!J$35</f>
        <v>1</v>
      </c>
      <c r="K22" s="137">
        <f>'FIN_Inputs&amp;ProjectTimeline'!K$35</f>
        <v>1</v>
      </c>
      <c r="L22" s="137">
        <f>'FIN_Inputs&amp;ProjectTimeline'!L$35</f>
        <v>1</v>
      </c>
      <c r="M22" s="137">
        <f>'FIN_Inputs&amp;ProjectTimeline'!M$35</f>
        <v>1</v>
      </c>
      <c r="N22" s="137">
        <f>'FIN_Inputs&amp;ProjectTimeline'!N$35</f>
        <v>1</v>
      </c>
      <c r="O22" s="137">
        <f>'FIN_Inputs&amp;ProjectTimeline'!O$35</f>
        <v>1</v>
      </c>
      <c r="P22" s="137">
        <f>'FIN_Inputs&amp;ProjectTimeline'!P$35</f>
        <v>1</v>
      </c>
      <c r="Q22" s="137">
        <f>'FIN_Inputs&amp;ProjectTimeline'!Q$35</f>
        <v>1</v>
      </c>
      <c r="R22" s="137">
        <f>'FIN_Inputs&amp;ProjectTimeline'!R$35</f>
        <v>1</v>
      </c>
      <c r="S22" s="137">
        <f>'FIN_Inputs&amp;ProjectTimeline'!S$35</f>
        <v>1</v>
      </c>
      <c r="T22" s="137">
        <f>'FIN_Inputs&amp;ProjectTimeline'!T$35</f>
        <v>1</v>
      </c>
      <c r="U22" s="137">
        <f>'FIN_Inputs&amp;ProjectTimeline'!U$35</f>
        <v>1</v>
      </c>
      <c r="V22" s="137">
        <f>'FIN_Inputs&amp;ProjectTimeline'!V$35</f>
        <v>1</v>
      </c>
      <c r="W22" s="137">
        <f>'FIN_Inputs&amp;ProjectTimeline'!W$35</f>
        <v>1</v>
      </c>
      <c r="X22" s="137">
        <f>'FIN_Inputs&amp;ProjectTimeline'!X$35</f>
        <v>1</v>
      </c>
      <c r="Y22" s="137">
        <f>'FIN_Inputs&amp;ProjectTimeline'!Y$35</f>
        <v>1</v>
      </c>
      <c r="Z22" s="137">
        <f>'FIN_Inputs&amp;ProjectTimeline'!Z$35</f>
        <v>1</v>
      </c>
      <c r="AA22" s="137">
        <f>'FIN_Inputs&amp;ProjectTimeline'!AA$35</f>
        <v>1</v>
      </c>
      <c r="AB22" s="137">
        <f>'FIN_Inputs&amp;ProjectTimeline'!AB$35</f>
        <v>1</v>
      </c>
      <c r="AC22" s="137">
        <f>'FIN_Inputs&amp;ProjectTimeline'!AC$35</f>
        <v>1</v>
      </c>
      <c r="AD22" s="137">
        <f>'FIN_Inputs&amp;ProjectTimeline'!AD$35</f>
        <v>1</v>
      </c>
      <c r="AE22" s="137">
        <f>'FIN_Inputs&amp;ProjectTimeline'!AE$35</f>
        <v>1</v>
      </c>
      <c r="AF22" s="137">
        <f>'FIN_Inputs&amp;ProjectTimeline'!AF$35</f>
        <v>1</v>
      </c>
      <c r="AG22" s="137">
        <f>'FIN_Inputs&amp;ProjectTimeline'!AG$35</f>
        <v>1</v>
      </c>
      <c r="AH22" s="137">
        <f>'FIN_Inputs&amp;ProjectTimeline'!AH$35</f>
        <v>1</v>
      </c>
      <c r="AI22" s="137">
        <f>'FIN_Inputs&amp;ProjectTimeline'!AI$35</f>
        <v>0</v>
      </c>
      <c r="AJ22" s="145">
        <f>'FIN_Inputs&amp;ProjectTimeline'!AJ$35</f>
        <v>0</v>
      </c>
    </row>
    <row r="23" spans="2:36" x14ac:dyDescent="0.3">
      <c r="B23" s="263" t="s">
        <v>59</v>
      </c>
      <c r="C23" s="264"/>
      <c r="D23" s="12">
        <f>$C$15*'FIN_Inputs&amp;ProjectTimeline'!D$39</f>
        <v>0</v>
      </c>
      <c r="E23" s="12">
        <f>$C$15*'FIN_Inputs&amp;ProjectTimeline'!E$39</f>
        <v>0</v>
      </c>
      <c r="F23" s="12">
        <f>$C$15*'FIN_Inputs&amp;ProjectTimeline'!F$39</f>
        <v>0</v>
      </c>
      <c r="G23" s="12">
        <f>$C$15*'FIN_Inputs&amp;ProjectTimeline'!G$39</f>
        <v>0</v>
      </c>
      <c r="H23" s="12">
        <f>$C$15*'FIN_Inputs&amp;ProjectTimeline'!H$39</f>
        <v>0</v>
      </c>
      <c r="I23" s="12">
        <f>$C$15*'FIN_Inputs&amp;ProjectTimeline'!I$39</f>
        <v>0</v>
      </c>
      <c r="J23" s="12">
        <f>$C$15*'FIN_Inputs&amp;ProjectTimeline'!J$39</f>
        <v>3781.0653448587077</v>
      </c>
      <c r="K23" s="12">
        <f>$C$15*'FIN_Inputs&amp;ProjectTimeline'!K$39</f>
        <v>3781.0653448587077</v>
      </c>
      <c r="L23" s="12">
        <f>$C$15*'FIN_Inputs&amp;ProjectTimeline'!L$39</f>
        <v>3781.0653448587077</v>
      </c>
      <c r="M23" s="12">
        <f>$C$15*'FIN_Inputs&amp;ProjectTimeline'!M$39</f>
        <v>3781.0653448587077</v>
      </c>
      <c r="N23" s="12">
        <f>$C$15*'FIN_Inputs&amp;ProjectTimeline'!N$39</f>
        <v>3781.0653448587077</v>
      </c>
      <c r="O23" s="12">
        <f>$C$15*'FIN_Inputs&amp;ProjectTimeline'!O$39</f>
        <v>3781.0653448587077</v>
      </c>
      <c r="P23" s="12">
        <f>$C$15*'FIN_Inputs&amp;ProjectTimeline'!P$39</f>
        <v>3781.0653448587077</v>
      </c>
      <c r="Q23" s="12">
        <f>$C$15*'FIN_Inputs&amp;ProjectTimeline'!Q$39</f>
        <v>3781.0653448587077</v>
      </c>
      <c r="R23" s="12">
        <f>$C$15*'FIN_Inputs&amp;ProjectTimeline'!R$39</f>
        <v>3781.0653448587077</v>
      </c>
      <c r="S23" s="12">
        <f>$C$15*'FIN_Inputs&amp;ProjectTimeline'!S$39</f>
        <v>3781.0653448587077</v>
      </c>
      <c r="T23" s="12">
        <f>$C$15*'FIN_Inputs&amp;ProjectTimeline'!T$39</f>
        <v>3781.0653448587077</v>
      </c>
      <c r="U23" s="12">
        <f>$C$15*'FIN_Inputs&amp;ProjectTimeline'!U$39</f>
        <v>3781.0653448587077</v>
      </c>
      <c r="V23" s="12">
        <f>$C$15*'FIN_Inputs&amp;ProjectTimeline'!V$39</f>
        <v>3781.0653448587077</v>
      </c>
      <c r="W23" s="12">
        <f>$C$15*'FIN_Inputs&amp;ProjectTimeline'!W$39</f>
        <v>3781.0653448587077</v>
      </c>
      <c r="X23" s="12">
        <f>$C$15*'FIN_Inputs&amp;ProjectTimeline'!X$39</f>
        <v>3781.0653448587077</v>
      </c>
      <c r="Y23" s="12">
        <f>$C$15*'FIN_Inputs&amp;ProjectTimeline'!Y$39</f>
        <v>3781.0653448587077</v>
      </c>
      <c r="Z23" s="12">
        <f>$C$15*'FIN_Inputs&amp;ProjectTimeline'!Z$39</f>
        <v>3781.0653448587077</v>
      </c>
      <c r="AA23" s="12">
        <f>$C$15*'FIN_Inputs&amp;ProjectTimeline'!AA$39</f>
        <v>3781.0653448587077</v>
      </c>
      <c r="AB23" s="12">
        <f>$C$15*'FIN_Inputs&amp;ProjectTimeline'!AB$39</f>
        <v>3781.0653448587077</v>
      </c>
      <c r="AC23" s="12">
        <f>$C$15*'FIN_Inputs&amp;ProjectTimeline'!AC$39</f>
        <v>3781.0653448587077</v>
      </c>
      <c r="AD23" s="12">
        <f>$C$15*'FIN_Inputs&amp;ProjectTimeline'!AD$39</f>
        <v>3781.0653448587077</v>
      </c>
      <c r="AE23" s="12">
        <f>$C$15*'FIN_Inputs&amp;ProjectTimeline'!AE$39</f>
        <v>3781.0653448587077</v>
      </c>
      <c r="AF23" s="12">
        <f>$C$15*'FIN_Inputs&amp;ProjectTimeline'!AF$39</f>
        <v>3781.0653448587077</v>
      </c>
      <c r="AG23" s="12">
        <f>$C$15*'FIN_Inputs&amp;ProjectTimeline'!AG$39</f>
        <v>3781.0653448587077</v>
      </c>
      <c r="AH23" s="12">
        <f>$C$15*'FIN_Inputs&amp;ProjectTimeline'!AH$39</f>
        <v>3781.0653448587077</v>
      </c>
      <c r="AI23" s="12">
        <f>$C$15*'FIN_Inputs&amp;ProjectTimeline'!AI$39</f>
        <v>0</v>
      </c>
      <c r="AJ23" s="47">
        <f>$C$15*'FIN_Inputs&amp;ProjectTimeline'!AJ$39</f>
        <v>0</v>
      </c>
    </row>
    <row r="24" spans="2:36" x14ac:dyDescent="0.3">
      <c r="B24" s="255" t="s">
        <v>91</v>
      </c>
      <c r="C24" s="256"/>
      <c r="D24" s="21">
        <f t="shared" ref="D24:I24" si="0">$C$16</f>
        <v>0.87396400000000007</v>
      </c>
      <c r="E24" s="21">
        <f t="shared" si="0"/>
        <v>0.87396400000000007</v>
      </c>
      <c r="F24" s="21">
        <f t="shared" si="0"/>
        <v>0.87396400000000007</v>
      </c>
      <c r="G24" s="21">
        <f t="shared" si="0"/>
        <v>0.87396400000000007</v>
      </c>
      <c r="H24" s="21">
        <f t="shared" si="0"/>
        <v>0.87396400000000007</v>
      </c>
      <c r="I24" s="21">
        <f t="shared" si="0"/>
        <v>0.87396400000000007</v>
      </c>
      <c r="J24" s="21">
        <f>$C$16</f>
        <v>0.87396400000000007</v>
      </c>
      <c r="K24" s="21">
        <f t="shared" ref="K24:AJ24" si="1">$C$16</f>
        <v>0.87396400000000007</v>
      </c>
      <c r="L24" s="21">
        <f t="shared" si="1"/>
        <v>0.87396400000000007</v>
      </c>
      <c r="M24" s="21">
        <f>$C$16</f>
        <v>0.87396400000000007</v>
      </c>
      <c r="N24" s="21">
        <f t="shared" si="1"/>
        <v>0.87396400000000007</v>
      </c>
      <c r="O24" s="21">
        <f t="shared" si="1"/>
        <v>0.87396400000000007</v>
      </c>
      <c r="P24" s="21">
        <f t="shared" si="1"/>
        <v>0.87396400000000007</v>
      </c>
      <c r="Q24" s="21">
        <f t="shared" si="1"/>
        <v>0.87396400000000007</v>
      </c>
      <c r="R24" s="21">
        <f t="shared" si="1"/>
        <v>0.87396400000000007</v>
      </c>
      <c r="S24" s="21">
        <f t="shared" si="1"/>
        <v>0.87396400000000007</v>
      </c>
      <c r="T24" s="21">
        <f t="shared" si="1"/>
        <v>0.87396400000000007</v>
      </c>
      <c r="U24" s="21">
        <f t="shared" si="1"/>
        <v>0.87396400000000007</v>
      </c>
      <c r="V24" s="21">
        <f t="shared" si="1"/>
        <v>0.87396400000000007</v>
      </c>
      <c r="W24" s="21">
        <f t="shared" si="1"/>
        <v>0.87396400000000007</v>
      </c>
      <c r="X24" s="21">
        <f t="shared" si="1"/>
        <v>0.87396400000000007</v>
      </c>
      <c r="Y24" s="21">
        <f t="shared" si="1"/>
        <v>0.87396400000000007</v>
      </c>
      <c r="Z24" s="21">
        <f t="shared" si="1"/>
        <v>0.87396400000000007</v>
      </c>
      <c r="AA24" s="21">
        <f t="shared" si="1"/>
        <v>0.87396400000000007</v>
      </c>
      <c r="AB24" s="21">
        <f t="shared" si="1"/>
        <v>0.87396400000000007</v>
      </c>
      <c r="AC24" s="21">
        <f t="shared" si="1"/>
        <v>0.87396400000000007</v>
      </c>
      <c r="AD24" s="21">
        <f t="shared" si="1"/>
        <v>0.87396400000000007</v>
      </c>
      <c r="AE24" s="21">
        <f t="shared" si="1"/>
        <v>0.87396400000000007</v>
      </c>
      <c r="AF24" s="21">
        <f t="shared" si="1"/>
        <v>0.87396400000000007</v>
      </c>
      <c r="AG24" s="21">
        <f t="shared" si="1"/>
        <v>0.87396400000000007</v>
      </c>
      <c r="AH24" s="21">
        <f t="shared" si="1"/>
        <v>0.87396400000000007</v>
      </c>
      <c r="AI24" s="21">
        <f t="shared" si="1"/>
        <v>0.87396400000000007</v>
      </c>
      <c r="AJ24" s="37">
        <f t="shared" si="1"/>
        <v>0.87396400000000007</v>
      </c>
    </row>
    <row r="25" spans="2:36" x14ac:dyDescent="0.3">
      <c r="B25" s="257" t="s">
        <v>47</v>
      </c>
      <c r="C25" s="258"/>
      <c r="D25" s="48">
        <f>('CAPEX-Input'!$L$5*8760*$C$13/1000)*'FIN_Inputs&amp;ProjectTimeline'!D$39</f>
        <v>0</v>
      </c>
      <c r="E25" s="48">
        <f>('CAPEX-Input'!$L$5*8760*$C$13/1000)*'FIN_Inputs&amp;ProjectTimeline'!E$39</f>
        <v>0</v>
      </c>
      <c r="F25" s="48">
        <f>('CAPEX-Input'!$L$5*8760*$C$13/1000)*'FIN_Inputs&amp;ProjectTimeline'!F$39</f>
        <v>0</v>
      </c>
      <c r="G25" s="48">
        <f>('CAPEX-Input'!$L$5*8760*$C$13/1000)*'FIN_Inputs&amp;ProjectTimeline'!G$39</f>
        <v>0</v>
      </c>
      <c r="H25" s="48">
        <f>('CAPEX-Input'!$L$5*8760*$C$13/1000)*'FIN_Inputs&amp;ProjectTimeline'!H$39</f>
        <v>0</v>
      </c>
      <c r="I25" s="48">
        <f>('CAPEX-Input'!$L$5*8760*$C$13/1000)*'FIN_Inputs&amp;ProjectTimeline'!I$39</f>
        <v>0</v>
      </c>
      <c r="J25" s="48">
        <f>('CAPEX-Input'!$L$5*8760*$C$13/1000)*'FIN_Inputs&amp;ProjectTimeline'!J$39</f>
        <v>3304.5149930540961</v>
      </c>
      <c r="K25" s="48">
        <f>('CAPEX-Input'!$L$5*8760*$C$13/1000)*'FIN_Inputs&amp;ProjectTimeline'!K$39</f>
        <v>3304.5149930540961</v>
      </c>
      <c r="L25" s="48">
        <f>('CAPEX-Input'!$L$5*8760*$C$13/1000)*'FIN_Inputs&amp;ProjectTimeline'!L$39</f>
        <v>3304.5149930540961</v>
      </c>
      <c r="M25" s="48">
        <f>('CAPEX-Input'!$L$5*8760*$C$13/1000)*'FIN_Inputs&amp;ProjectTimeline'!M$39</f>
        <v>3304.5149930540961</v>
      </c>
      <c r="N25" s="48">
        <f>('CAPEX-Input'!$L$5*8760*$C$13/1000)*'FIN_Inputs&amp;ProjectTimeline'!N$39</f>
        <v>3304.5149930540961</v>
      </c>
      <c r="O25" s="48">
        <f>('CAPEX-Input'!$L$5*8760*$C$13/1000)*'FIN_Inputs&amp;ProjectTimeline'!O$39</f>
        <v>3304.5149930540961</v>
      </c>
      <c r="P25" s="48">
        <f>('CAPEX-Input'!$L$5*8760*$C$13/1000)*'FIN_Inputs&amp;ProjectTimeline'!P$39</f>
        <v>3304.5149930540961</v>
      </c>
      <c r="Q25" s="48">
        <f>('CAPEX-Input'!$L$5*8760*$C$13/1000)*'FIN_Inputs&amp;ProjectTimeline'!Q$39</f>
        <v>3304.5149930540961</v>
      </c>
      <c r="R25" s="48">
        <f>('CAPEX-Input'!$L$5*8760*$C$13/1000)*'FIN_Inputs&amp;ProjectTimeline'!R$39</f>
        <v>3304.5149930540961</v>
      </c>
      <c r="S25" s="48">
        <f>('CAPEX-Input'!$L$5*8760*$C$13/1000)*'FIN_Inputs&amp;ProjectTimeline'!S$39</f>
        <v>3304.5149930540961</v>
      </c>
      <c r="T25" s="48">
        <f>('CAPEX-Input'!$L$5*8760*$C$13/1000)*'FIN_Inputs&amp;ProjectTimeline'!T$39</f>
        <v>3304.5149930540961</v>
      </c>
      <c r="U25" s="48">
        <f>('CAPEX-Input'!$L$5*8760*$C$13/1000)*'FIN_Inputs&amp;ProjectTimeline'!U$39</f>
        <v>3304.5149930540961</v>
      </c>
      <c r="V25" s="48">
        <f>('CAPEX-Input'!$L$5*8760*$C$13/1000)*'FIN_Inputs&amp;ProjectTimeline'!V$39</f>
        <v>3304.5149930540961</v>
      </c>
      <c r="W25" s="48">
        <f>('CAPEX-Input'!$L$5*8760*$C$13/1000)*'FIN_Inputs&amp;ProjectTimeline'!W$39</f>
        <v>3304.5149930540961</v>
      </c>
      <c r="X25" s="48">
        <f>('CAPEX-Input'!$L$5*8760*$C$13/1000)*'FIN_Inputs&amp;ProjectTimeline'!X$39</f>
        <v>3304.5149930540961</v>
      </c>
      <c r="Y25" s="48">
        <f>('CAPEX-Input'!$L$5*8760*$C$13/1000)*'FIN_Inputs&amp;ProjectTimeline'!Y$39</f>
        <v>3304.5149930540961</v>
      </c>
      <c r="Z25" s="48">
        <f>('CAPEX-Input'!$L$5*8760*$C$13/1000)*'FIN_Inputs&amp;ProjectTimeline'!Z$39</f>
        <v>3304.5149930540961</v>
      </c>
      <c r="AA25" s="48">
        <f>('CAPEX-Input'!$L$5*8760*$C$13/1000)*'FIN_Inputs&amp;ProjectTimeline'!AA$39</f>
        <v>3304.5149930540961</v>
      </c>
      <c r="AB25" s="48">
        <f>('CAPEX-Input'!$L$5*8760*$C$13/1000)*'FIN_Inputs&amp;ProjectTimeline'!AB$39</f>
        <v>3304.5149930540961</v>
      </c>
      <c r="AC25" s="48">
        <f>('CAPEX-Input'!$L$5*8760*$C$13/1000)*'FIN_Inputs&amp;ProjectTimeline'!AC$39</f>
        <v>3304.5149930540961</v>
      </c>
      <c r="AD25" s="48">
        <f>('CAPEX-Input'!$L$5*8760*$C$13/1000)*'FIN_Inputs&amp;ProjectTimeline'!AD$39</f>
        <v>3304.5149930540961</v>
      </c>
      <c r="AE25" s="48">
        <f>('CAPEX-Input'!$L$5*8760*$C$13/1000)*'FIN_Inputs&amp;ProjectTimeline'!AE$39</f>
        <v>3304.5149930540961</v>
      </c>
      <c r="AF25" s="48">
        <f>('CAPEX-Input'!$L$5*8760*$C$13/1000)*'FIN_Inputs&amp;ProjectTimeline'!AF$39</f>
        <v>3304.5149930540961</v>
      </c>
      <c r="AG25" s="48">
        <f>('CAPEX-Input'!$L$5*8760*$C$13/1000)*'FIN_Inputs&amp;ProjectTimeline'!AG$39</f>
        <v>3304.5149930540961</v>
      </c>
      <c r="AH25" s="48">
        <f>('CAPEX-Input'!$L$5*8760*$C$13/1000)*'FIN_Inputs&amp;ProjectTimeline'!AH$39</f>
        <v>3304.5149930540961</v>
      </c>
      <c r="AI25" s="48">
        <f>('CAPEX-Input'!$L$5*8760*$C$13/1000)*'FIN_Inputs&amp;ProjectTimeline'!AI$39</f>
        <v>0</v>
      </c>
      <c r="AJ25" s="48">
        <f>('CAPEX-Input'!$L$5*8760*$C$13/1000)*'FIN_Inputs&amp;ProjectTimeline'!AJ$39</f>
        <v>0</v>
      </c>
    </row>
    <row r="29" spans="2:36" x14ac:dyDescent="0.3">
      <c r="C29" s="29"/>
      <c r="D29" s="29"/>
      <c r="E29" s="29"/>
      <c r="F29" s="29"/>
      <c r="G29" s="29"/>
      <c r="H29" s="29"/>
    </row>
    <row r="30" spans="2:36" x14ac:dyDescent="0.3">
      <c r="C30" s="184"/>
      <c r="D30" s="106"/>
      <c r="E30" s="106"/>
      <c r="F30" s="106"/>
      <c r="G30" s="106"/>
      <c r="H30" s="29"/>
    </row>
    <row r="31" spans="2:36" x14ac:dyDescent="0.3">
      <c r="B31" s="1"/>
      <c r="C31" s="106"/>
      <c r="D31" s="29"/>
      <c r="E31" s="29"/>
      <c r="F31" s="29"/>
      <c r="G31" s="29"/>
      <c r="H31" s="29"/>
    </row>
    <row r="32" spans="2:36" x14ac:dyDescent="0.3">
      <c r="B32" s="2"/>
      <c r="C32" s="106"/>
      <c r="D32" s="29"/>
      <c r="E32" s="29"/>
      <c r="F32" s="29"/>
      <c r="G32" s="29"/>
      <c r="H32" s="29"/>
    </row>
    <row r="33" spans="2:8" x14ac:dyDescent="0.3">
      <c r="C33" s="106"/>
      <c r="D33" s="184"/>
      <c r="E33" s="29"/>
      <c r="F33" s="29"/>
      <c r="G33" s="29"/>
      <c r="H33" s="29"/>
    </row>
    <row r="34" spans="2:8" x14ac:dyDescent="0.3">
      <c r="B34" s="15"/>
      <c r="C34" s="106"/>
      <c r="D34" s="184"/>
      <c r="E34" s="184"/>
      <c r="F34" s="184"/>
      <c r="G34" s="184"/>
      <c r="H34" s="184"/>
    </row>
    <row r="35" spans="2:8" x14ac:dyDescent="0.3">
      <c r="B35" s="15"/>
      <c r="C35" s="106"/>
      <c r="D35" s="184"/>
      <c r="E35" s="184"/>
      <c r="F35" s="184"/>
      <c r="G35" s="184"/>
      <c r="H35" s="184"/>
    </row>
    <row r="36" spans="2:8" x14ac:dyDescent="0.3">
      <c r="B36" s="15"/>
      <c r="C36" s="106"/>
      <c r="D36" s="184"/>
      <c r="E36" s="184"/>
      <c r="F36" s="184"/>
      <c r="G36" s="184"/>
      <c r="H36" s="184"/>
    </row>
    <row r="37" spans="2:8" x14ac:dyDescent="0.3">
      <c r="B37" s="15"/>
      <c r="C37" s="106"/>
      <c r="D37" s="184"/>
      <c r="E37" s="184"/>
      <c r="F37" s="184"/>
      <c r="G37" s="184"/>
      <c r="H37" s="184"/>
    </row>
    <row r="38" spans="2:8" x14ac:dyDescent="0.3">
      <c r="B38" s="15"/>
      <c r="C38" s="106"/>
      <c r="D38" s="184"/>
      <c r="E38" s="184"/>
      <c r="F38" s="184"/>
      <c r="G38" s="184"/>
      <c r="H38" s="184"/>
    </row>
    <row r="39" spans="2:8" x14ac:dyDescent="0.3">
      <c r="B39" s="15"/>
      <c r="C39" s="3"/>
      <c r="D39" s="4"/>
      <c r="E39" s="4"/>
      <c r="F39" s="4"/>
      <c r="G39" s="4"/>
      <c r="H39" s="4"/>
    </row>
    <row r="40" spans="2:8" x14ac:dyDescent="0.3">
      <c r="B40" s="15"/>
      <c r="C40" s="3"/>
      <c r="D40" s="4"/>
      <c r="E40" s="4"/>
      <c r="F40" s="4"/>
      <c r="G40" s="4"/>
      <c r="H40" s="4"/>
    </row>
    <row r="41" spans="2:8" x14ac:dyDescent="0.3">
      <c r="B41" s="15"/>
      <c r="C41" s="3"/>
      <c r="D41" s="4"/>
      <c r="E41" s="4"/>
      <c r="F41" s="4"/>
      <c r="G41" s="4"/>
      <c r="H41" s="4"/>
    </row>
    <row r="42" spans="2:8" x14ac:dyDescent="0.3">
      <c r="B42" s="15"/>
      <c r="C42" s="3"/>
      <c r="D42" s="4"/>
      <c r="E42" s="4"/>
      <c r="F42" s="4"/>
      <c r="G42" s="4"/>
      <c r="H42" s="4"/>
    </row>
    <row r="43" spans="2:8" x14ac:dyDescent="0.3">
      <c r="B43" s="15"/>
      <c r="C43" s="3"/>
      <c r="D43" s="4"/>
      <c r="E43" s="4"/>
      <c r="F43" s="4"/>
      <c r="G43" s="4"/>
      <c r="H43" s="4"/>
    </row>
    <row r="44" spans="2:8" x14ac:dyDescent="0.3">
      <c r="B44" s="15"/>
      <c r="C44" s="3"/>
      <c r="D44" s="4"/>
      <c r="E44" s="4"/>
      <c r="F44" s="4"/>
      <c r="G44" s="4"/>
      <c r="H44" s="4"/>
    </row>
    <row r="45" spans="2:8" x14ac:dyDescent="0.3">
      <c r="B45" s="15"/>
      <c r="C45" s="3"/>
      <c r="D45" s="4"/>
      <c r="E45" s="4"/>
      <c r="F45" s="4"/>
      <c r="G45" s="4"/>
      <c r="H45" s="4"/>
    </row>
    <row r="46" spans="2:8" x14ac:dyDescent="0.3">
      <c r="B46" s="15"/>
      <c r="C46" s="3"/>
      <c r="D46" s="4"/>
      <c r="E46" s="4"/>
      <c r="F46" s="4"/>
      <c r="G46" s="4"/>
      <c r="H46" s="4"/>
    </row>
    <row r="47" spans="2:8" x14ac:dyDescent="0.3">
      <c r="B47" s="15"/>
      <c r="C47" s="3"/>
      <c r="D47" s="4"/>
      <c r="E47" s="4"/>
      <c r="F47" s="4"/>
      <c r="G47" s="4"/>
      <c r="H47" s="4"/>
    </row>
    <row r="48" spans="2:8" x14ac:dyDescent="0.3">
      <c r="B48" s="15"/>
      <c r="C48" s="3"/>
      <c r="D48" s="4"/>
      <c r="E48" s="4"/>
      <c r="F48" s="4"/>
      <c r="G48" s="4"/>
      <c r="H48" s="4"/>
    </row>
    <row r="49" spans="3:8" x14ac:dyDescent="0.3">
      <c r="C49" s="3"/>
      <c r="D49" s="4"/>
      <c r="E49" s="4"/>
      <c r="F49" s="4"/>
      <c r="G49" s="4"/>
      <c r="H49" s="4"/>
    </row>
    <row r="50" spans="3:8" x14ac:dyDescent="0.3">
      <c r="C50" s="3"/>
      <c r="D50" s="4"/>
      <c r="E50" s="4"/>
      <c r="F50" s="4"/>
      <c r="G50" s="4"/>
      <c r="H50" s="4"/>
    </row>
    <row r="51" spans="3:8" x14ac:dyDescent="0.3">
      <c r="C51" s="3"/>
      <c r="D51" s="4"/>
      <c r="E51" s="4"/>
      <c r="F51" s="4"/>
      <c r="G51" s="4"/>
      <c r="H51" s="4"/>
    </row>
    <row r="52" spans="3:8" x14ac:dyDescent="0.3">
      <c r="C52" s="3"/>
      <c r="D52" s="4"/>
      <c r="E52" s="4"/>
      <c r="F52" s="4"/>
      <c r="G52" s="4"/>
      <c r="H52" s="4"/>
    </row>
  </sheetData>
  <mergeCells count="5">
    <mergeCell ref="B23:C23"/>
    <mergeCell ref="B24:C24"/>
    <mergeCell ref="B25:C25"/>
    <mergeCell ref="B21:C21"/>
    <mergeCell ref="B22:C2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06B3A-D5F7-408C-8B91-D7E3174CB439}">
  <dimension ref="B1:AJ67"/>
  <sheetViews>
    <sheetView workbookViewId="0">
      <selection activeCell="B1" sqref="B1"/>
    </sheetView>
  </sheetViews>
  <sheetFormatPr defaultRowHeight="14.4" x14ac:dyDescent="0.3"/>
  <cols>
    <col min="1" max="1" width="1.6640625" customWidth="1"/>
    <col min="2" max="2" width="33.109375" customWidth="1"/>
    <col min="3" max="3" width="21.44140625" customWidth="1"/>
    <col min="4" max="4" width="10.6640625" customWidth="1"/>
    <col min="5" max="6" width="11.88671875" bestFit="1" customWidth="1"/>
    <col min="7" max="7" width="12.5546875" bestFit="1" customWidth="1"/>
    <col min="8" max="8" width="9.5546875" customWidth="1"/>
    <col min="9" max="9" width="8.6640625" customWidth="1"/>
    <col min="10" max="11" width="11.88671875" bestFit="1" customWidth="1"/>
  </cols>
  <sheetData>
    <row r="1" spans="2:4" x14ac:dyDescent="0.3">
      <c r="C1" s="2"/>
    </row>
    <row r="2" spans="2:4" ht="15" thickBot="1" x14ac:dyDescent="0.35">
      <c r="B2" s="10" t="s">
        <v>165</v>
      </c>
      <c r="C2" s="2"/>
    </row>
    <row r="3" spans="2:4" ht="15" thickTop="1" x14ac:dyDescent="0.3">
      <c r="B3" t="s">
        <v>35</v>
      </c>
      <c r="C3" s="11">
        <f>'FIN_Inputs&amp;ProjectTimeline'!$C$7</f>
        <v>0.02</v>
      </c>
    </row>
    <row r="4" spans="2:4" x14ac:dyDescent="0.3">
      <c r="B4" t="s">
        <v>136</v>
      </c>
      <c r="C4" s="11">
        <f>'FIN_Inputs&amp;ProjectTimeline'!$C$16</f>
        <v>0.25</v>
      </c>
    </row>
    <row r="5" spans="2:4" x14ac:dyDescent="0.3">
      <c r="C5" s="2"/>
    </row>
    <row r="6" spans="2:4" ht="15" thickBot="1" x14ac:dyDescent="0.35">
      <c r="B6" s="10" t="s">
        <v>135</v>
      </c>
      <c r="C6" s="2"/>
    </row>
    <row r="7" spans="2:4" ht="15" thickTop="1" x14ac:dyDescent="0.3">
      <c r="B7" t="s">
        <v>61</v>
      </c>
      <c r="C7" s="11">
        <f>'FIN_Inputs&amp;ProjectTimeline'!$C19</f>
        <v>5.2000000000000005E-2</v>
      </c>
    </row>
    <row r="8" spans="2:4" x14ac:dyDescent="0.3">
      <c r="B8" t="s">
        <v>62</v>
      </c>
      <c r="C8" s="11">
        <f>'FIN_Inputs&amp;ProjectTimeline'!$C20</f>
        <v>4.4999999999999998E-2</v>
      </c>
    </row>
    <row r="9" spans="2:4" x14ac:dyDescent="0.3">
      <c r="B9" t="s">
        <v>87</v>
      </c>
      <c r="C9" s="11">
        <f>'FIN_Inputs&amp;ProjectTimeline'!$C21</f>
        <v>3.1372549019607954E-2</v>
      </c>
    </row>
    <row r="10" spans="2:4" x14ac:dyDescent="0.3">
      <c r="B10" t="s">
        <v>60</v>
      </c>
      <c r="C10" s="11">
        <f>'FIN_Inputs&amp;ProjectTimeline'!$C22</f>
        <v>2.450980392156854E-2</v>
      </c>
    </row>
    <row r="11" spans="2:4" x14ac:dyDescent="0.3">
      <c r="C11" s="2"/>
    </row>
    <row r="12" spans="2:4" ht="15" thickBot="1" x14ac:dyDescent="0.35">
      <c r="B12" s="10" t="s">
        <v>74</v>
      </c>
      <c r="C12" s="3"/>
    </row>
    <row r="13" spans="2:4" ht="15" thickTop="1" x14ac:dyDescent="0.3">
      <c r="B13" t="s">
        <v>164</v>
      </c>
      <c r="C13" s="67">
        <f>'FIN_Inputs&amp;ProjectTimeline'!$C$29</f>
        <v>53.25</v>
      </c>
      <c r="D13" t="s">
        <v>71</v>
      </c>
    </row>
    <row r="14" spans="2:4" x14ac:dyDescent="0.3">
      <c r="B14" t="s">
        <v>83</v>
      </c>
      <c r="C14" s="67">
        <f>'FIN_Inputs&amp;ProjectTimeline'!$C$30</f>
        <v>15</v>
      </c>
      <c r="D14" t="s">
        <v>84</v>
      </c>
    </row>
    <row r="15" spans="2:4" x14ac:dyDescent="0.3">
      <c r="B15" t="s">
        <v>82</v>
      </c>
      <c r="C15" s="67">
        <f>'FIN_Inputs&amp;ProjectTimeline'!$C$31</f>
        <v>50</v>
      </c>
      <c r="D15" t="s">
        <v>71</v>
      </c>
    </row>
    <row r="16" spans="2:4" x14ac:dyDescent="0.3">
      <c r="C16" s="3"/>
    </row>
    <row r="18" spans="2:36" x14ac:dyDescent="0.3">
      <c r="B18" s="147" t="s">
        <v>92</v>
      </c>
      <c r="C18" s="112" t="s">
        <v>274</v>
      </c>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5"/>
    </row>
    <row r="19" spans="2:36" x14ac:dyDescent="0.3">
      <c r="B19" s="261" t="s">
        <v>162</v>
      </c>
      <c r="C19" s="262"/>
      <c r="D19" s="146">
        <f>'FIN_Inputs&amp;ProjectTimeline'!D$34</f>
        <v>-4</v>
      </c>
      <c r="E19" s="141">
        <f>'FIN_Inputs&amp;ProjectTimeline'!E$34</f>
        <v>-3</v>
      </c>
      <c r="F19" s="141">
        <f>'FIN_Inputs&amp;ProjectTimeline'!F$34</f>
        <v>-2</v>
      </c>
      <c r="G19" s="141">
        <f>'FIN_Inputs&amp;ProjectTimeline'!G$34</f>
        <v>-1</v>
      </c>
      <c r="H19" s="142">
        <f>'FIN_Inputs&amp;ProjectTimeline'!H$34</f>
        <v>0</v>
      </c>
      <c r="I19" s="141">
        <f>'FIN_Inputs&amp;ProjectTimeline'!I$34</f>
        <v>1</v>
      </c>
      <c r="J19" s="221">
        <f>'FIN_Inputs&amp;ProjectTimeline'!J$34</f>
        <v>2</v>
      </c>
      <c r="K19" s="141">
        <f>'FIN_Inputs&amp;ProjectTimeline'!K$34</f>
        <v>3</v>
      </c>
      <c r="L19" s="141">
        <f>'FIN_Inputs&amp;ProjectTimeline'!L$34</f>
        <v>4</v>
      </c>
      <c r="M19" s="141">
        <f>'FIN_Inputs&amp;ProjectTimeline'!M$34</f>
        <v>5</v>
      </c>
      <c r="N19" s="141">
        <f>'FIN_Inputs&amp;ProjectTimeline'!N$34</f>
        <v>6</v>
      </c>
      <c r="O19" s="141">
        <f>'FIN_Inputs&amp;ProjectTimeline'!O$34</f>
        <v>7</v>
      </c>
      <c r="P19" s="141">
        <f>'FIN_Inputs&amp;ProjectTimeline'!P$34</f>
        <v>8</v>
      </c>
      <c r="Q19" s="141">
        <f>'FIN_Inputs&amp;ProjectTimeline'!Q$34</f>
        <v>9</v>
      </c>
      <c r="R19" s="141">
        <f>'FIN_Inputs&amp;ProjectTimeline'!R$34</f>
        <v>10</v>
      </c>
      <c r="S19" s="141">
        <f>'FIN_Inputs&amp;ProjectTimeline'!S$34</f>
        <v>11</v>
      </c>
      <c r="T19" s="141">
        <f>'FIN_Inputs&amp;ProjectTimeline'!T$34</f>
        <v>12</v>
      </c>
      <c r="U19" s="141">
        <f>'FIN_Inputs&amp;ProjectTimeline'!U$34</f>
        <v>13</v>
      </c>
      <c r="V19" s="141">
        <f>'FIN_Inputs&amp;ProjectTimeline'!V$34</f>
        <v>14</v>
      </c>
      <c r="W19" s="141">
        <f>'FIN_Inputs&amp;ProjectTimeline'!W$34</f>
        <v>15</v>
      </c>
      <c r="X19" s="141">
        <f>'FIN_Inputs&amp;ProjectTimeline'!X$34</f>
        <v>16</v>
      </c>
      <c r="Y19" s="141">
        <f>'FIN_Inputs&amp;ProjectTimeline'!Y$34</f>
        <v>17</v>
      </c>
      <c r="Z19" s="141">
        <f>'FIN_Inputs&amp;ProjectTimeline'!Z$34</f>
        <v>18</v>
      </c>
      <c r="AA19" s="141">
        <f>'FIN_Inputs&amp;ProjectTimeline'!AA$34</f>
        <v>19</v>
      </c>
      <c r="AB19" s="141">
        <f>'FIN_Inputs&amp;ProjectTimeline'!AB$34</f>
        <v>20</v>
      </c>
      <c r="AC19" s="141">
        <f>'FIN_Inputs&amp;ProjectTimeline'!AC$34</f>
        <v>21</v>
      </c>
      <c r="AD19" s="141">
        <f>'FIN_Inputs&amp;ProjectTimeline'!AD$34</f>
        <v>22</v>
      </c>
      <c r="AE19" s="141">
        <f>'FIN_Inputs&amp;ProjectTimeline'!AE$34</f>
        <v>23</v>
      </c>
      <c r="AF19" s="141">
        <f>'FIN_Inputs&amp;ProjectTimeline'!AF$34</f>
        <v>24</v>
      </c>
      <c r="AG19" s="141">
        <f>'FIN_Inputs&amp;ProjectTimeline'!AG$34</f>
        <v>25</v>
      </c>
      <c r="AH19" s="141">
        <f>'FIN_Inputs&amp;ProjectTimeline'!AH$34</f>
        <v>26</v>
      </c>
      <c r="AI19" s="143">
        <f>'FIN_Inputs&amp;ProjectTimeline'!AI$34</f>
        <v>27</v>
      </c>
      <c r="AJ19" s="144">
        <f>'FIN_Inputs&amp;ProjectTimeline'!AJ$34</f>
        <v>28</v>
      </c>
    </row>
    <row r="20" spans="2:36" x14ac:dyDescent="0.3">
      <c r="B20" s="261" t="s">
        <v>163</v>
      </c>
      <c r="C20" s="275"/>
      <c r="D20" s="136">
        <f>'FIN_Inputs&amp;ProjectTimeline'!D$35</f>
        <v>0</v>
      </c>
      <c r="E20" s="18">
        <f>'FIN_Inputs&amp;ProjectTimeline'!E$35</f>
        <v>0</v>
      </c>
      <c r="F20" s="18">
        <f>'FIN_Inputs&amp;ProjectTimeline'!F$35</f>
        <v>0</v>
      </c>
      <c r="G20" s="18">
        <f>'FIN_Inputs&amp;ProjectTimeline'!G$35</f>
        <v>0</v>
      </c>
      <c r="H20" s="18">
        <f>'FIN_Inputs&amp;ProjectTimeline'!H$35</f>
        <v>0</v>
      </c>
      <c r="I20" s="18">
        <f>'FIN_Inputs&amp;ProjectTimeline'!I$35</f>
        <v>0</v>
      </c>
      <c r="J20" s="18">
        <f>'FIN_Inputs&amp;ProjectTimeline'!J$35</f>
        <v>1</v>
      </c>
      <c r="K20" s="18">
        <f>'FIN_Inputs&amp;ProjectTimeline'!K$35</f>
        <v>1</v>
      </c>
      <c r="L20" s="18">
        <f>'FIN_Inputs&amp;ProjectTimeline'!L$35</f>
        <v>1</v>
      </c>
      <c r="M20" s="18">
        <f>'FIN_Inputs&amp;ProjectTimeline'!M$35</f>
        <v>1</v>
      </c>
      <c r="N20" s="18">
        <f>'FIN_Inputs&amp;ProjectTimeline'!N$35</f>
        <v>1</v>
      </c>
      <c r="O20" s="18">
        <f>'FIN_Inputs&amp;ProjectTimeline'!O$35</f>
        <v>1</v>
      </c>
      <c r="P20" s="18">
        <f>'FIN_Inputs&amp;ProjectTimeline'!P$35</f>
        <v>1</v>
      </c>
      <c r="Q20" s="18">
        <f>'FIN_Inputs&amp;ProjectTimeline'!Q$35</f>
        <v>1</v>
      </c>
      <c r="R20" s="18">
        <f>'FIN_Inputs&amp;ProjectTimeline'!R$35</f>
        <v>1</v>
      </c>
      <c r="S20" s="18">
        <f>'FIN_Inputs&amp;ProjectTimeline'!S$35</f>
        <v>1</v>
      </c>
      <c r="T20" s="18">
        <f>'FIN_Inputs&amp;ProjectTimeline'!T$35</f>
        <v>1</v>
      </c>
      <c r="U20" s="18">
        <f>'FIN_Inputs&amp;ProjectTimeline'!U$35</f>
        <v>1</v>
      </c>
      <c r="V20" s="18">
        <f>'FIN_Inputs&amp;ProjectTimeline'!V$35</f>
        <v>1</v>
      </c>
      <c r="W20" s="18">
        <f>'FIN_Inputs&amp;ProjectTimeline'!W$35</f>
        <v>1</v>
      </c>
      <c r="X20" s="18">
        <f>'FIN_Inputs&amp;ProjectTimeline'!X$35</f>
        <v>1</v>
      </c>
      <c r="Y20" s="18">
        <f>'FIN_Inputs&amp;ProjectTimeline'!Y$35</f>
        <v>1</v>
      </c>
      <c r="Z20" s="18">
        <f>'FIN_Inputs&amp;ProjectTimeline'!Z$35</f>
        <v>1</v>
      </c>
      <c r="AA20" s="18">
        <f>'FIN_Inputs&amp;ProjectTimeline'!AA$35</f>
        <v>1</v>
      </c>
      <c r="AB20" s="18">
        <f>'FIN_Inputs&amp;ProjectTimeline'!AB$35</f>
        <v>1</v>
      </c>
      <c r="AC20" s="18">
        <f>'FIN_Inputs&amp;ProjectTimeline'!AC$35</f>
        <v>1</v>
      </c>
      <c r="AD20" s="18">
        <f>'FIN_Inputs&amp;ProjectTimeline'!AD$35</f>
        <v>1</v>
      </c>
      <c r="AE20" s="18">
        <f>'FIN_Inputs&amp;ProjectTimeline'!AE$35</f>
        <v>1</v>
      </c>
      <c r="AF20" s="18">
        <f>'FIN_Inputs&amp;ProjectTimeline'!AF$35</f>
        <v>1</v>
      </c>
      <c r="AG20" s="18">
        <f>'FIN_Inputs&amp;ProjectTimeline'!AG$35</f>
        <v>1</v>
      </c>
      <c r="AH20" s="18">
        <f>'FIN_Inputs&amp;ProjectTimeline'!AH$35</f>
        <v>1</v>
      </c>
      <c r="AI20" s="18">
        <f>'FIN_Inputs&amp;ProjectTimeline'!AI$35</f>
        <v>0</v>
      </c>
      <c r="AJ20" s="69">
        <f>'FIN_Inputs&amp;ProjectTimeline'!AJ$35</f>
        <v>0</v>
      </c>
    </row>
    <row r="21" spans="2:36" x14ac:dyDescent="0.3">
      <c r="B21" s="263" t="s">
        <v>53</v>
      </c>
      <c r="C21" s="264"/>
      <c r="D21" s="129">
        <f>'FIN_Inputs&amp;ProjectTimeline'!D36</f>
        <v>0.1</v>
      </c>
      <c r="E21" s="129">
        <f>'FIN_Inputs&amp;ProjectTimeline'!E36</f>
        <v>0.1</v>
      </c>
      <c r="F21" s="129">
        <f>'FIN_Inputs&amp;ProjectTimeline'!F36</f>
        <v>0.4</v>
      </c>
      <c r="G21" s="129">
        <f>'FIN_Inputs&amp;ProjectTimeline'!G36</f>
        <v>0.4</v>
      </c>
      <c r="H21" s="130">
        <f>'FIN_Inputs&amp;ProjectTimeline'!H36</f>
        <v>0</v>
      </c>
      <c r="I21" s="130">
        <f>'FIN_Inputs&amp;ProjectTimeline'!I36</f>
        <v>0</v>
      </c>
      <c r="J21" s="130">
        <f>'FIN_Inputs&amp;ProjectTimeline'!J36</f>
        <v>0</v>
      </c>
      <c r="K21" s="130">
        <f>'FIN_Inputs&amp;ProjectTimeline'!K36</f>
        <v>0</v>
      </c>
      <c r="L21" s="130">
        <f>'FIN_Inputs&amp;ProjectTimeline'!L36</f>
        <v>0</v>
      </c>
      <c r="M21" s="130">
        <f>'FIN_Inputs&amp;ProjectTimeline'!M36</f>
        <v>0</v>
      </c>
      <c r="N21" s="130">
        <f>'FIN_Inputs&amp;ProjectTimeline'!N36</f>
        <v>0</v>
      </c>
      <c r="O21" s="130">
        <f>'FIN_Inputs&amp;ProjectTimeline'!O36</f>
        <v>0</v>
      </c>
      <c r="P21" s="130">
        <f>'FIN_Inputs&amp;ProjectTimeline'!P36</f>
        <v>0</v>
      </c>
      <c r="Q21" s="130">
        <f>'FIN_Inputs&amp;ProjectTimeline'!Q36</f>
        <v>0</v>
      </c>
      <c r="R21" s="130">
        <f>'FIN_Inputs&amp;ProjectTimeline'!R36</f>
        <v>0</v>
      </c>
      <c r="S21" s="130">
        <f>'FIN_Inputs&amp;ProjectTimeline'!S36</f>
        <v>0</v>
      </c>
      <c r="T21" s="130">
        <f>'FIN_Inputs&amp;ProjectTimeline'!T36</f>
        <v>0</v>
      </c>
      <c r="U21" s="130">
        <f>'FIN_Inputs&amp;ProjectTimeline'!U36</f>
        <v>0</v>
      </c>
      <c r="V21" s="130">
        <f>'FIN_Inputs&amp;ProjectTimeline'!V36</f>
        <v>0</v>
      </c>
      <c r="W21" s="130">
        <f>'FIN_Inputs&amp;ProjectTimeline'!W36</f>
        <v>0</v>
      </c>
      <c r="X21" s="130">
        <f>'FIN_Inputs&amp;ProjectTimeline'!X36</f>
        <v>0</v>
      </c>
      <c r="Y21" s="130">
        <f>'FIN_Inputs&amp;ProjectTimeline'!Y36</f>
        <v>0</v>
      </c>
      <c r="Z21" s="130">
        <f>'FIN_Inputs&amp;ProjectTimeline'!Z36</f>
        <v>0</v>
      </c>
      <c r="AA21" s="130">
        <f>'FIN_Inputs&amp;ProjectTimeline'!AA36</f>
        <v>0</v>
      </c>
      <c r="AB21" s="130">
        <f>'FIN_Inputs&amp;ProjectTimeline'!AB36</f>
        <v>0</v>
      </c>
      <c r="AC21" s="130">
        <f>'FIN_Inputs&amp;ProjectTimeline'!AC36</f>
        <v>0</v>
      </c>
      <c r="AD21" s="130">
        <f>'FIN_Inputs&amp;ProjectTimeline'!AD36</f>
        <v>0</v>
      </c>
      <c r="AE21" s="130">
        <f>'FIN_Inputs&amp;ProjectTimeline'!AE36</f>
        <v>0</v>
      </c>
      <c r="AF21" s="130">
        <f>'FIN_Inputs&amp;ProjectTimeline'!AF36</f>
        <v>0</v>
      </c>
      <c r="AG21" s="130">
        <f>'FIN_Inputs&amp;ProjectTimeline'!AG36</f>
        <v>0</v>
      </c>
      <c r="AH21" s="130">
        <f>'FIN_Inputs&amp;ProjectTimeline'!AH36</f>
        <v>0</v>
      </c>
      <c r="AI21" s="130">
        <f>'FIN_Inputs&amp;ProjectTimeline'!AI36</f>
        <v>0</v>
      </c>
      <c r="AJ21" s="132">
        <f>'FIN_Inputs&amp;ProjectTimeline'!AJ36</f>
        <v>0</v>
      </c>
    </row>
    <row r="22" spans="2:36" x14ac:dyDescent="0.3">
      <c r="B22" s="255" t="s">
        <v>39</v>
      </c>
      <c r="C22" s="256"/>
      <c r="D22" s="131">
        <f>'FIN_Inputs&amp;ProjectTimeline'!D37</f>
        <v>0</v>
      </c>
      <c r="E22" s="131">
        <f>'FIN_Inputs&amp;ProjectTimeline'!E37</f>
        <v>0</v>
      </c>
      <c r="F22" s="131">
        <f>'FIN_Inputs&amp;ProjectTimeline'!F37</f>
        <v>0</v>
      </c>
      <c r="G22" s="131">
        <f>'FIN_Inputs&amp;ProjectTimeline'!G37</f>
        <v>0</v>
      </c>
      <c r="H22" s="13" t="str">
        <f>'FIN_Inputs&amp;ProjectTimeline'!H37</f>
        <v>FID</v>
      </c>
      <c r="I22" s="130">
        <f>'FIN_Inputs&amp;ProjectTimeline'!I37</f>
        <v>0</v>
      </c>
      <c r="J22" s="130">
        <f>'FIN_Inputs&amp;ProjectTimeline'!J37</f>
        <v>0</v>
      </c>
      <c r="K22" s="130">
        <f>'FIN_Inputs&amp;ProjectTimeline'!K37</f>
        <v>0</v>
      </c>
      <c r="L22" s="130">
        <f>'FIN_Inputs&amp;ProjectTimeline'!L37</f>
        <v>0</v>
      </c>
      <c r="M22" s="130">
        <f>'FIN_Inputs&amp;ProjectTimeline'!M37</f>
        <v>0</v>
      </c>
      <c r="N22" s="130">
        <f>'FIN_Inputs&amp;ProjectTimeline'!N37</f>
        <v>0</v>
      </c>
      <c r="O22" s="130">
        <f>'FIN_Inputs&amp;ProjectTimeline'!O37</f>
        <v>0</v>
      </c>
      <c r="P22" s="130">
        <f>'FIN_Inputs&amp;ProjectTimeline'!P37</f>
        <v>0</v>
      </c>
      <c r="Q22" s="130">
        <f>'FIN_Inputs&amp;ProjectTimeline'!Q37</f>
        <v>0</v>
      </c>
      <c r="R22" s="130">
        <f>'FIN_Inputs&amp;ProjectTimeline'!R37</f>
        <v>0</v>
      </c>
      <c r="S22" s="130">
        <f>'FIN_Inputs&amp;ProjectTimeline'!S37</f>
        <v>0</v>
      </c>
      <c r="T22" s="130">
        <f>'FIN_Inputs&amp;ProjectTimeline'!T37</f>
        <v>0</v>
      </c>
      <c r="U22" s="130">
        <f>'FIN_Inputs&amp;ProjectTimeline'!U37</f>
        <v>0</v>
      </c>
      <c r="V22" s="130">
        <f>'FIN_Inputs&amp;ProjectTimeline'!V37</f>
        <v>0</v>
      </c>
      <c r="W22" s="130">
        <f>'FIN_Inputs&amp;ProjectTimeline'!W37</f>
        <v>0</v>
      </c>
      <c r="X22" s="130">
        <f>'FIN_Inputs&amp;ProjectTimeline'!X37</f>
        <v>0</v>
      </c>
      <c r="Y22" s="130">
        <f>'FIN_Inputs&amp;ProjectTimeline'!Y37</f>
        <v>0</v>
      </c>
      <c r="Z22" s="130">
        <f>'FIN_Inputs&amp;ProjectTimeline'!Z37</f>
        <v>0</v>
      </c>
      <c r="AA22" s="130">
        <f>'FIN_Inputs&amp;ProjectTimeline'!AA37</f>
        <v>0</v>
      </c>
      <c r="AB22" s="130">
        <f>'FIN_Inputs&amp;ProjectTimeline'!AB37</f>
        <v>0</v>
      </c>
      <c r="AC22" s="130">
        <f>'FIN_Inputs&amp;ProjectTimeline'!AC37</f>
        <v>0</v>
      </c>
      <c r="AD22" s="130">
        <f>'FIN_Inputs&amp;ProjectTimeline'!AD37</f>
        <v>0</v>
      </c>
      <c r="AE22" s="130">
        <f>'FIN_Inputs&amp;ProjectTimeline'!AE37</f>
        <v>0</v>
      </c>
      <c r="AF22" s="130">
        <f>'FIN_Inputs&amp;ProjectTimeline'!AF37</f>
        <v>0</v>
      </c>
      <c r="AG22" s="130">
        <f>'FIN_Inputs&amp;ProjectTimeline'!AG37</f>
        <v>0</v>
      </c>
      <c r="AH22" s="130">
        <f>'FIN_Inputs&amp;ProjectTimeline'!AH37</f>
        <v>0</v>
      </c>
      <c r="AI22" s="130">
        <f>'FIN_Inputs&amp;ProjectTimeline'!AI37</f>
        <v>0</v>
      </c>
      <c r="AJ22" s="132">
        <f>'FIN_Inputs&amp;ProjectTimeline'!AJ37</f>
        <v>0</v>
      </c>
    </row>
    <row r="23" spans="2:36" x14ac:dyDescent="0.3">
      <c r="B23" s="255" t="s">
        <v>36</v>
      </c>
      <c r="C23" s="256"/>
      <c r="D23" s="131">
        <f>'FIN_Inputs&amp;ProjectTimeline'!D38</f>
        <v>0</v>
      </c>
      <c r="E23" s="131">
        <f>'FIN_Inputs&amp;ProjectTimeline'!E38</f>
        <v>0</v>
      </c>
      <c r="F23" s="131">
        <f>'FIN_Inputs&amp;ProjectTimeline'!F38</f>
        <v>0</v>
      </c>
      <c r="G23" s="131">
        <f>'FIN_Inputs&amp;ProjectTimeline'!G38</f>
        <v>0</v>
      </c>
      <c r="H23" s="220">
        <v>0.4</v>
      </c>
      <c r="I23" s="220">
        <v>0.4</v>
      </c>
      <c r="J23" s="220">
        <v>0.2</v>
      </c>
      <c r="K23" s="130">
        <f>'FIN_Inputs&amp;ProjectTimeline'!K38</f>
        <v>0</v>
      </c>
      <c r="L23" s="130">
        <f>'FIN_Inputs&amp;ProjectTimeline'!L38</f>
        <v>0</v>
      </c>
      <c r="M23" s="130">
        <f>'FIN_Inputs&amp;ProjectTimeline'!M38</f>
        <v>0</v>
      </c>
      <c r="N23" s="130">
        <f>'FIN_Inputs&amp;ProjectTimeline'!N38</f>
        <v>0</v>
      </c>
      <c r="O23" s="130">
        <f>'FIN_Inputs&amp;ProjectTimeline'!O38</f>
        <v>0</v>
      </c>
      <c r="P23" s="130">
        <f>'FIN_Inputs&amp;ProjectTimeline'!P38</f>
        <v>0</v>
      </c>
      <c r="Q23" s="130">
        <f>'FIN_Inputs&amp;ProjectTimeline'!Q38</f>
        <v>0</v>
      </c>
      <c r="R23" s="130">
        <f>'FIN_Inputs&amp;ProjectTimeline'!R38</f>
        <v>0</v>
      </c>
      <c r="S23" s="130">
        <f>'FIN_Inputs&amp;ProjectTimeline'!S38</f>
        <v>0</v>
      </c>
      <c r="T23" s="130">
        <f>'FIN_Inputs&amp;ProjectTimeline'!T38</f>
        <v>0</v>
      </c>
      <c r="U23" s="130">
        <f>'FIN_Inputs&amp;ProjectTimeline'!U38</f>
        <v>0</v>
      </c>
      <c r="V23" s="130">
        <f>'FIN_Inputs&amp;ProjectTimeline'!V38</f>
        <v>0</v>
      </c>
      <c r="W23" s="130">
        <f>'FIN_Inputs&amp;ProjectTimeline'!W38</f>
        <v>0</v>
      </c>
      <c r="X23" s="130">
        <f>'FIN_Inputs&amp;ProjectTimeline'!X38</f>
        <v>0</v>
      </c>
      <c r="Y23" s="130">
        <f>'FIN_Inputs&amp;ProjectTimeline'!Y38</f>
        <v>0</v>
      </c>
      <c r="Z23" s="130">
        <f>'FIN_Inputs&amp;ProjectTimeline'!Z38</f>
        <v>0</v>
      </c>
      <c r="AA23" s="130">
        <f>'FIN_Inputs&amp;ProjectTimeline'!AA38</f>
        <v>0</v>
      </c>
      <c r="AB23" s="130">
        <f>'FIN_Inputs&amp;ProjectTimeline'!AB38</f>
        <v>0</v>
      </c>
      <c r="AC23" s="130">
        <f>'FIN_Inputs&amp;ProjectTimeline'!AC38</f>
        <v>0</v>
      </c>
      <c r="AD23" s="130">
        <f>'FIN_Inputs&amp;ProjectTimeline'!AD38</f>
        <v>0</v>
      </c>
      <c r="AE23" s="130">
        <f>'FIN_Inputs&amp;ProjectTimeline'!AE38</f>
        <v>0</v>
      </c>
      <c r="AF23" s="130">
        <f>'FIN_Inputs&amp;ProjectTimeline'!AF38</f>
        <v>0</v>
      </c>
      <c r="AG23" s="130">
        <f>'FIN_Inputs&amp;ProjectTimeline'!AG38</f>
        <v>0</v>
      </c>
      <c r="AH23" s="130">
        <f>'FIN_Inputs&amp;ProjectTimeline'!AH38</f>
        <v>0</v>
      </c>
      <c r="AI23" s="130">
        <f>'FIN_Inputs&amp;ProjectTimeline'!AI38</f>
        <v>0</v>
      </c>
      <c r="AJ23" s="132">
        <f>'FIN_Inputs&amp;ProjectTimeline'!AJ38</f>
        <v>0</v>
      </c>
    </row>
    <row r="24" spans="2:36" x14ac:dyDescent="0.3">
      <c r="B24" s="255" t="s">
        <v>37</v>
      </c>
      <c r="C24" s="256"/>
      <c r="D24" s="131">
        <f>'FIN_Inputs&amp;ProjectTimeline'!D39</f>
        <v>0</v>
      </c>
      <c r="E24" s="131">
        <f>'FIN_Inputs&amp;ProjectTimeline'!E39</f>
        <v>0</v>
      </c>
      <c r="F24" s="131">
        <f>'FIN_Inputs&amp;ProjectTimeline'!F39</f>
        <v>0</v>
      </c>
      <c r="G24" s="131">
        <f>'FIN_Inputs&amp;ProjectTimeline'!G39</f>
        <v>0</v>
      </c>
      <c r="H24" s="131">
        <f>'FIN_Inputs&amp;ProjectTimeline'!H39</f>
        <v>0</v>
      </c>
      <c r="I24" s="131">
        <f>'FIN_Inputs&amp;ProjectTimeline'!I39</f>
        <v>0</v>
      </c>
      <c r="J24" s="222">
        <f>'FIN_Inputs&amp;ProjectTimeline'!J39</f>
        <v>1</v>
      </c>
      <c r="K24" s="222">
        <f>'FIN_Inputs&amp;ProjectTimeline'!K39</f>
        <v>1</v>
      </c>
      <c r="L24" s="222">
        <f>'FIN_Inputs&amp;ProjectTimeline'!L39</f>
        <v>1</v>
      </c>
      <c r="M24" s="222">
        <f>'FIN_Inputs&amp;ProjectTimeline'!M39</f>
        <v>1</v>
      </c>
      <c r="N24" s="222">
        <f>'FIN_Inputs&amp;ProjectTimeline'!N39</f>
        <v>1</v>
      </c>
      <c r="O24" s="222">
        <f>'FIN_Inputs&amp;ProjectTimeline'!O39</f>
        <v>1</v>
      </c>
      <c r="P24" s="222">
        <f>'FIN_Inputs&amp;ProjectTimeline'!P39</f>
        <v>1</v>
      </c>
      <c r="Q24" s="222">
        <f>'FIN_Inputs&amp;ProjectTimeline'!Q39</f>
        <v>1</v>
      </c>
      <c r="R24" s="222">
        <f>'FIN_Inputs&amp;ProjectTimeline'!R39</f>
        <v>1</v>
      </c>
      <c r="S24" s="222">
        <f>'FIN_Inputs&amp;ProjectTimeline'!S39</f>
        <v>1</v>
      </c>
      <c r="T24" s="222">
        <f>'FIN_Inputs&amp;ProjectTimeline'!T39</f>
        <v>1</v>
      </c>
      <c r="U24" s="222">
        <f>'FIN_Inputs&amp;ProjectTimeline'!U39</f>
        <v>1</v>
      </c>
      <c r="V24" s="222">
        <f>'FIN_Inputs&amp;ProjectTimeline'!V39</f>
        <v>1</v>
      </c>
      <c r="W24" s="222">
        <f>'FIN_Inputs&amp;ProjectTimeline'!W39</f>
        <v>1</v>
      </c>
      <c r="X24" s="222">
        <f>'FIN_Inputs&amp;ProjectTimeline'!X39</f>
        <v>1</v>
      </c>
      <c r="Y24" s="222">
        <f>'FIN_Inputs&amp;ProjectTimeline'!Y39</f>
        <v>1</v>
      </c>
      <c r="Z24" s="222">
        <f>'FIN_Inputs&amp;ProjectTimeline'!Z39</f>
        <v>1</v>
      </c>
      <c r="AA24" s="222">
        <f>'FIN_Inputs&amp;ProjectTimeline'!AA39</f>
        <v>1</v>
      </c>
      <c r="AB24" s="222">
        <f>'FIN_Inputs&amp;ProjectTimeline'!AB39</f>
        <v>1</v>
      </c>
      <c r="AC24" s="222">
        <f>'FIN_Inputs&amp;ProjectTimeline'!AC39</f>
        <v>1</v>
      </c>
      <c r="AD24" s="222">
        <f>'FIN_Inputs&amp;ProjectTimeline'!AD39</f>
        <v>1</v>
      </c>
      <c r="AE24" s="222">
        <f>'FIN_Inputs&amp;ProjectTimeline'!AE39</f>
        <v>1</v>
      </c>
      <c r="AF24" s="222">
        <f>'FIN_Inputs&amp;ProjectTimeline'!AF39</f>
        <v>1</v>
      </c>
      <c r="AG24" s="222">
        <f>'FIN_Inputs&amp;ProjectTimeline'!AG39</f>
        <v>1</v>
      </c>
      <c r="AH24" s="222">
        <f>'FIN_Inputs&amp;ProjectTimeline'!AH39</f>
        <v>1</v>
      </c>
      <c r="AI24" s="130">
        <f>'FIN_Inputs&amp;ProjectTimeline'!AI39</f>
        <v>0</v>
      </c>
      <c r="AJ24" s="132">
        <f>'FIN_Inputs&amp;ProjectTimeline'!AJ39</f>
        <v>0</v>
      </c>
    </row>
    <row r="25" spans="2:36" x14ac:dyDescent="0.3">
      <c r="B25" s="257" t="s">
        <v>38</v>
      </c>
      <c r="C25" s="258"/>
      <c r="D25" s="133">
        <f>'FIN_Inputs&amp;ProjectTimeline'!D40</f>
        <v>0</v>
      </c>
      <c r="E25" s="133">
        <f>'FIN_Inputs&amp;ProjectTimeline'!E40</f>
        <v>0</v>
      </c>
      <c r="F25" s="133">
        <f>'FIN_Inputs&amp;ProjectTimeline'!F40</f>
        <v>0</v>
      </c>
      <c r="G25" s="133">
        <f>'FIN_Inputs&amp;ProjectTimeline'!G40</f>
        <v>0</v>
      </c>
      <c r="H25" s="133">
        <f>'FIN_Inputs&amp;ProjectTimeline'!H40</f>
        <v>0</v>
      </c>
      <c r="I25" s="133">
        <f>'FIN_Inputs&amp;ProjectTimeline'!I40</f>
        <v>0</v>
      </c>
      <c r="J25" s="133">
        <f>'FIN_Inputs&amp;ProjectTimeline'!J40</f>
        <v>0</v>
      </c>
      <c r="K25" s="133">
        <f>'FIN_Inputs&amp;ProjectTimeline'!K40</f>
        <v>0</v>
      </c>
      <c r="L25" s="133">
        <f>'FIN_Inputs&amp;ProjectTimeline'!L40</f>
        <v>0</v>
      </c>
      <c r="M25" s="133">
        <f>'FIN_Inputs&amp;ProjectTimeline'!M40</f>
        <v>0</v>
      </c>
      <c r="N25" s="133">
        <f>'FIN_Inputs&amp;ProjectTimeline'!N40</f>
        <v>0</v>
      </c>
      <c r="O25" s="133">
        <f>'FIN_Inputs&amp;ProjectTimeline'!O40</f>
        <v>0</v>
      </c>
      <c r="P25" s="133">
        <f>'FIN_Inputs&amp;ProjectTimeline'!P40</f>
        <v>0</v>
      </c>
      <c r="Q25" s="133">
        <f>'FIN_Inputs&amp;ProjectTimeline'!Q40</f>
        <v>0</v>
      </c>
      <c r="R25" s="133">
        <f>'FIN_Inputs&amp;ProjectTimeline'!R40</f>
        <v>0</v>
      </c>
      <c r="S25" s="133">
        <f>'FIN_Inputs&amp;ProjectTimeline'!S40</f>
        <v>0</v>
      </c>
      <c r="T25" s="133">
        <f>'FIN_Inputs&amp;ProjectTimeline'!T40</f>
        <v>0</v>
      </c>
      <c r="U25" s="133">
        <f>'FIN_Inputs&amp;ProjectTimeline'!U40</f>
        <v>0</v>
      </c>
      <c r="V25" s="133">
        <f>'FIN_Inputs&amp;ProjectTimeline'!V40</f>
        <v>0</v>
      </c>
      <c r="W25" s="133">
        <f>'FIN_Inputs&amp;ProjectTimeline'!W40</f>
        <v>0</v>
      </c>
      <c r="X25" s="133">
        <f>'FIN_Inputs&amp;ProjectTimeline'!X40</f>
        <v>0</v>
      </c>
      <c r="Y25" s="133">
        <f>'FIN_Inputs&amp;ProjectTimeline'!Y40</f>
        <v>0</v>
      </c>
      <c r="Z25" s="133">
        <f>'FIN_Inputs&amp;ProjectTimeline'!Z40</f>
        <v>0</v>
      </c>
      <c r="AA25" s="133">
        <f>'FIN_Inputs&amp;ProjectTimeline'!AA40</f>
        <v>0</v>
      </c>
      <c r="AB25" s="133">
        <f>'FIN_Inputs&amp;ProjectTimeline'!AB40</f>
        <v>0</v>
      </c>
      <c r="AC25" s="133">
        <f>'FIN_Inputs&amp;ProjectTimeline'!AC40</f>
        <v>0</v>
      </c>
      <c r="AD25" s="133">
        <f>'FIN_Inputs&amp;ProjectTimeline'!AD40</f>
        <v>0</v>
      </c>
      <c r="AE25" s="133">
        <f>'FIN_Inputs&amp;ProjectTimeline'!AE40</f>
        <v>0</v>
      </c>
      <c r="AF25" s="133">
        <f>'FIN_Inputs&amp;ProjectTimeline'!AF40</f>
        <v>0</v>
      </c>
      <c r="AG25" s="133">
        <f>'FIN_Inputs&amp;ProjectTimeline'!AG40</f>
        <v>0</v>
      </c>
      <c r="AH25" s="133">
        <f>'FIN_Inputs&amp;ProjectTimeline'!AH40</f>
        <v>0</v>
      </c>
      <c r="AI25" s="134">
        <f>'FIN_Inputs&amp;ProjectTimeline'!AI40</f>
        <v>0.5</v>
      </c>
      <c r="AJ25" s="135">
        <f>'FIN_Inputs&amp;ProjectTimeline'!AJ40</f>
        <v>0.5</v>
      </c>
    </row>
    <row r="27" spans="2:36" x14ac:dyDescent="0.3">
      <c r="D27" t="s">
        <v>98</v>
      </c>
    </row>
    <row r="28" spans="2:36" x14ac:dyDescent="0.3">
      <c r="B28" s="32" t="s">
        <v>199</v>
      </c>
      <c r="C28" s="33"/>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5"/>
    </row>
    <row r="29" spans="2:36" x14ac:dyDescent="0.3">
      <c r="B29" s="263" t="s">
        <v>40</v>
      </c>
      <c r="C29" s="264"/>
      <c r="D29" s="50">
        <f>D21*'CAPEX-Input'!$C$4</f>
        <v>8.9250000000000007</v>
      </c>
      <c r="E29" s="50">
        <f>E21*'CAPEX-Input'!$C$4</f>
        <v>8.9250000000000007</v>
      </c>
      <c r="F29" s="50">
        <f>F21*'CAPEX-Input'!$C$4</f>
        <v>35.700000000000003</v>
      </c>
      <c r="G29" s="50">
        <f>G21*'CAPEX-Input'!$C$4</f>
        <v>35.700000000000003</v>
      </c>
      <c r="H29" s="50">
        <f>H21*'CAPEX-Input'!$C$4</f>
        <v>0</v>
      </c>
      <c r="I29" s="50">
        <f>I21*'CAPEX-Input'!$C$4</f>
        <v>0</v>
      </c>
      <c r="J29" s="50">
        <f>J21*'CAPEX-Input'!$C$4</f>
        <v>0</v>
      </c>
      <c r="K29" s="50">
        <f>K21*'CAPEX-Input'!$C$4</f>
        <v>0</v>
      </c>
      <c r="L29" s="50">
        <f>L21*'CAPEX-Input'!$C$4</f>
        <v>0</v>
      </c>
      <c r="M29" s="50">
        <f>M21*'CAPEX-Input'!$C$4</f>
        <v>0</v>
      </c>
      <c r="N29" s="50">
        <f>N21*'CAPEX-Input'!$C$4</f>
        <v>0</v>
      </c>
      <c r="O29" s="50">
        <f>O21*'CAPEX-Input'!$C$4</f>
        <v>0</v>
      </c>
      <c r="P29" s="50">
        <f>P21*'CAPEX-Input'!$C$4</f>
        <v>0</v>
      </c>
      <c r="Q29" s="50">
        <f>Q21*'CAPEX-Input'!$C$4</f>
        <v>0</v>
      </c>
      <c r="R29" s="50">
        <f>R21*'CAPEX-Input'!$C$4</f>
        <v>0</v>
      </c>
      <c r="S29" s="50">
        <f>S21*'CAPEX-Input'!$C$4</f>
        <v>0</v>
      </c>
      <c r="T29" s="50">
        <f>T21*'CAPEX-Input'!$C$4</f>
        <v>0</v>
      </c>
      <c r="U29" s="50">
        <f>U21*'CAPEX-Input'!$C$4</f>
        <v>0</v>
      </c>
      <c r="V29" s="50">
        <f>V21*'CAPEX-Input'!$C$4</f>
        <v>0</v>
      </c>
      <c r="W29" s="50">
        <f>W21*'CAPEX-Input'!$C$4</f>
        <v>0</v>
      </c>
      <c r="X29" s="50">
        <f>X21*'CAPEX-Input'!$C$4</f>
        <v>0</v>
      </c>
      <c r="Y29" s="50">
        <f>Y21*'CAPEX-Input'!$C$4</f>
        <v>0</v>
      </c>
      <c r="Z29" s="50">
        <f>Z21*'CAPEX-Input'!$C$4</f>
        <v>0</v>
      </c>
      <c r="AA29" s="50">
        <f>AA21*'CAPEX-Input'!$C$4</f>
        <v>0</v>
      </c>
      <c r="AB29" s="50">
        <f>AB21*'CAPEX-Input'!$C$4</f>
        <v>0</v>
      </c>
      <c r="AC29" s="50">
        <f>AC21*'CAPEX-Input'!$C$4</f>
        <v>0</v>
      </c>
      <c r="AD29" s="50">
        <f>AD21*'CAPEX-Input'!$C$4</f>
        <v>0</v>
      </c>
      <c r="AE29" s="50">
        <f>AE21*'CAPEX-Input'!$C$4</f>
        <v>0</v>
      </c>
      <c r="AF29" s="50">
        <f>AF21*'CAPEX-Input'!$C$4</f>
        <v>0</v>
      </c>
      <c r="AG29" s="50">
        <f>AG21*'CAPEX-Input'!$C$4</f>
        <v>0</v>
      </c>
      <c r="AH29" s="50">
        <f>AH21*'CAPEX-Input'!$C$4</f>
        <v>0</v>
      </c>
      <c r="AI29" s="50">
        <f>AI21*'CAPEX-Input'!$C$4</f>
        <v>0</v>
      </c>
      <c r="AJ29" s="89">
        <f>AJ21*'CAPEX-Input'!$C$4</f>
        <v>0</v>
      </c>
    </row>
    <row r="30" spans="2:36" x14ac:dyDescent="0.3">
      <c r="B30" s="276" t="s">
        <v>94</v>
      </c>
      <c r="C30" s="277"/>
      <c r="D30" s="71">
        <v>0</v>
      </c>
      <c r="E30" s="71">
        <v>0</v>
      </c>
      <c r="F30" s="71">
        <v>0</v>
      </c>
      <c r="G30" s="71">
        <v>0</v>
      </c>
      <c r="H30" s="79">
        <f>'CAPEX-Input'!$C$5</f>
        <v>1000</v>
      </c>
      <c r="I30" s="79">
        <v>0</v>
      </c>
      <c r="J30" s="79">
        <v>0</v>
      </c>
      <c r="K30" s="79">
        <v>0</v>
      </c>
      <c r="L30" s="79">
        <v>0</v>
      </c>
      <c r="M30" s="79">
        <v>0</v>
      </c>
      <c r="N30" s="79">
        <v>0</v>
      </c>
      <c r="O30" s="79">
        <v>0</v>
      </c>
      <c r="P30" s="79">
        <v>0</v>
      </c>
      <c r="Q30" s="79">
        <v>0</v>
      </c>
      <c r="R30" s="79">
        <v>0</v>
      </c>
      <c r="S30" s="79">
        <v>0</v>
      </c>
      <c r="T30" s="79">
        <v>0</v>
      </c>
      <c r="U30" s="79">
        <v>0</v>
      </c>
      <c r="V30" s="79">
        <v>0</v>
      </c>
      <c r="W30" s="79">
        <v>0</v>
      </c>
      <c r="X30" s="79">
        <v>0</v>
      </c>
      <c r="Y30" s="79">
        <v>0</v>
      </c>
      <c r="Z30" s="79">
        <v>0</v>
      </c>
      <c r="AA30" s="79">
        <v>0</v>
      </c>
      <c r="AB30" s="79">
        <v>0</v>
      </c>
      <c r="AC30" s="79">
        <v>0</v>
      </c>
      <c r="AD30" s="79">
        <v>0</v>
      </c>
      <c r="AE30" s="79">
        <v>0</v>
      </c>
      <c r="AF30" s="79">
        <v>0</v>
      </c>
      <c r="AG30" s="79">
        <v>0</v>
      </c>
      <c r="AH30" s="79">
        <v>0</v>
      </c>
      <c r="AI30" s="79">
        <v>0</v>
      </c>
      <c r="AJ30" s="168">
        <v>0</v>
      </c>
    </row>
    <row r="31" spans="2:36" x14ac:dyDescent="0.3">
      <c r="B31" s="276" t="s">
        <v>95</v>
      </c>
      <c r="C31" s="277"/>
      <c r="D31" s="71">
        <v>0</v>
      </c>
      <c r="E31" s="71">
        <v>0</v>
      </c>
      <c r="F31" s="71">
        <v>0</v>
      </c>
      <c r="G31" s="71">
        <v>0</v>
      </c>
      <c r="H31" s="79">
        <f>'CAPEX-Input'!$C$9</f>
        <v>214</v>
      </c>
      <c r="I31" s="79">
        <v>0</v>
      </c>
      <c r="J31" s="79">
        <v>0</v>
      </c>
      <c r="K31" s="79">
        <v>0</v>
      </c>
      <c r="L31" s="79">
        <v>0</v>
      </c>
      <c r="M31" s="79">
        <v>0</v>
      </c>
      <c r="N31" s="79">
        <v>0</v>
      </c>
      <c r="O31" s="79">
        <v>0</v>
      </c>
      <c r="P31" s="79">
        <v>0</v>
      </c>
      <c r="Q31" s="79">
        <v>0</v>
      </c>
      <c r="R31" s="79">
        <v>0</v>
      </c>
      <c r="S31" s="79">
        <v>0</v>
      </c>
      <c r="T31" s="79">
        <v>0</v>
      </c>
      <c r="U31" s="79">
        <v>0</v>
      </c>
      <c r="V31" s="79">
        <v>0</v>
      </c>
      <c r="W31" s="79">
        <v>0</v>
      </c>
      <c r="X31" s="79">
        <v>0</v>
      </c>
      <c r="Y31" s="79">
        <v>0</v>
      </c>
      <c r="Z31" s="79">
        <v>0</v>
      </c>
      <c r="AA31" s="79">
        <v>0</v>
      </c>
      <c r="AB31" s="79">
        <v>0</v>
      </c>
      <c r="AC31" s="79">
        <v>0</v>
      </c>
      <c r="AD31" s="79">
        <v>0</v>
      </c>
      <c r="AE31" s="79">
        <v>0</v>
      </c>
      <c r="AF31" s="79">
        <v>0</v>
      </c>
      <c r="AG31" s="79">
        <v>0</v>
      </c>
      <c r="AH31" s="79">
        <v>0</v>
      </c>
      <c r="AI31" s="79">
        <v>0</v>
      </c>
      <c r="AJ31" s="168">
        <v>0</v>
      </c>
    </row>
    <row r="32" spans="2:36" x14ac:dyDescent="0.3">
      <c r="B32" s="276" t="s">
        <v>18</v>
      </c>
      <c r="C32" s="277"/>
      <c r="D32" s="71">
        <v>0</v>
      </c>
      <c r="E32" s="71">
        <v>0</v>
      </c>
      <c r="F32" s="71">
        <v>0</v>
      </c>
      <c r="G32" s="71">
        <v>0</v>
      </c>
      <c r="H32" s="79">
        <f>'CAPEX-Input'!$C$19</f>
        <v>272.07293749999997</v>
      </c>
      <c r="I32" s="79">
        <v>0</v>
      </c>
      <c r="J32" s="79">
        <v>0</v>
      </c>
      <c r="K32" s="79">
        <v>0</v>
      </c>
      <c r="L32" s="79">
        <v>0</v>
      </c>
      <c r="M32" s="79">
        <v>0</v>
      </c>
      <c r="N32" s="79">
        <v>0</v>
      </c>
      <c r="O32" s="79">
        <v>0</v>
      </c>
      <c r="P32" s="79">
        <v>0</v>
      </c>
      <c r="Q32" s="79">
        <v>0</v>
      </c>
      <c r="R32" s="79">
        <v>0</v>
      </c>
      <c r="S32" s="79">
        <v>0</v>
      </c>
      <c r="T32" s="79">
        <v>0</v>
      </c>
      <c r="U32" s="79">
        <v>0</v>
      </c>
      <c r="V32" s="79">
        <v>0</v>
      </c>
      <c r="W32" s="79">
        <v>0</v>
      </c>
      <c r="X32" s="79">
        <v>0</v>
      </c>
      <c r="Y32" s="79">
        <v>0</v>
      </c>
      <c r="Z32" s="79">
        <v>0</v>
      </c>
      <c r="AA32" s="79">
        <v>0</v>
      </c>
      <c r="AB32" s="79">
        <v>0</v>
      </c>
      <c r="AC32" s="79">
        <v>0</v>
      </c>
      <c r="AD32" s="79">
        <v>0</v>
      </c>
      <c r="AE32" s="79">
        <v>0</v>
      </c>
      <c r="AF32" s="79">
        <v>0</v>
      </c>
      <c r="AG32" s="79">
        <v>0</v>
      </c>
      <c r="AH32" s="79">
        <v>0</v>
      </c>
      <c r="AI32" s="79">
        <v>0</v>
      </c>
      <c r="AJ32" s="168">
        <v>0</v>
      </c>
    </row>
    <row r="33" spans="2:36" x14ac:dyDescent="0.3">
      <c r="B33" s="276" t="s">
        <v>96</v>
      </c>
      <c r="C33" s="277"/>
      <c r="D33" s="71">
        <v>0</v>
      </c>
      <c r="E33" s="71">
        <v>0</v>
      </c>
      <c r="F33" s="71">
        <v>0</v>
      </c>
      <c r="G33" s="71">
        <v>0</v>
      </c>
      <c r="H33" s="79">
        <f>'CAPEX-Input'!$C$23</f>
        <v>230.61176855285601</v>
      </c>
      <c r="I33" s="79">
        <v>0</v>
      </c>
      <c r="J33" s="79">
        <v>0</v>
      </c>
      <c r="K33" s="79">
        <v>0</v>
      </c>
      <c r="L33" s="79">
        <v>0</v>
      </c>
      <c r="M33" s="79">
        <v>0</v>
      </c>
      <c r="N33" s="79">
        <v>0</v>
      </c>
      <c r="O33" s="79">
        <v>0</v>
      </c>
      <c r="P33" s="79">
        <v>0</v>
      </c>
      <c r="Q33" s="79">
        <v>0</v>
      </c>
      <c r="R33" s="79">
        <v>0</v>
      </c>
      <c r="S33" s="79">
        <v>0</v>
      </c>
      <c r="T33" s="79">
        <v>0</v>
      </c>
      <c r="U33" s="79">
        <v>0</v>
      </c>
      <c r="V33" s="79">
        <v>0</v>
      </c>
      <c r="W33" s="79">
        <v>0</v>
      </c>
      <c r="X33" s="79">
        <v>0</v>
      </c>
      <c r="Y33" s="79">
        <v>0</v>
      </c>
      <c r="Z33" s="79">
        <v>0</v>
      </c>
      <c r="AA33" s="79">
        <v>0</v>
      </c>
      <c r="AB33" s="79">
        <v>0</v>
      </c>
      <c r="AC33" s="79">
        <v>0</v>
      </c>
      <c r="AD33" s="79">
        <v>0</v>
      </c>
      <c r="AE33" s="79">
        <v>0</v>
      </c>
      <c r="AF33" s="79">
        <v>0</v>
      </c>
      <c r="AG33" s="79">
        <v>0</v>
      </c>
      <c r="AH33" s="79">
        <v>0</v>
      </c>
      <c r="AI33" s="79">
        <v>0</v>
      </c>
      <c r="AJ33" s="168">
        <v>0</v>
      </c>
    </row>
    <row r="34" spans="2:36" x14ac:dyDescent="0.3">
      <c r="B34" s="276" t="s">
        <v>97</v>
      </c>
      <c r="C34" s="277"/>
      <c r="D34" s="71">
        <v>0</v>
      </c>
      <c r="E34" s="71">
        <v>0</v>
      </c>
      <c r="F34" s="71">
        <v>0</v>
      </c>
      <c r="G34" s="71">
        <v>0</v>
      </c>
      <c r="H34" s="79">
        <f>'CAPEX-Input'!$C$27</f>
        <v>204.02136267041777</v>
      </c>
      <c r="I34" s="79">
        <v>0</v>
      </c>
      <c r="J34" s="79">
        <v>0</v>
      </c>
      <c r="K34" s="79">
        <v>0</v>
      </c>
      <c r="L34" s="79">
        <v>0</v>
      </c>
      <c r="M34" s="79">
        <v>0</v>
      </c>
      <c r="N34" s="79">
        <v>0</v>
      </c>
      <c r="O34" s="79">
        <v>0</v>
      </c>
      <c r="P34" s="79">
        <v>0</v>
      </c>
      <c r="Q34" s="79">
        <v>0</v>
      </c>
      <c r="R34" s="79">
        <v>0</v>
      </c>
      <c r="S34" s="79">
        <v>0</v>
      </c>
      <c r="T34" s="79">
        <v>0</v>
      </c>
      <c r="U34" s="79">
        <v>0</v>
      </c>
      <c r="V34" s="79">
        <v>0</v>
      </c>
      <c r="W34" s="79">
        <v>0</v>
      </c>
      <c r="X34" s="79">
        <v>0</v>
      </c>
      <c r="Y34" s="79">
        <v>0</v>
      </c>
      <c r="Z34" s="79">
        <v>0</v>
      </c>
      <c r="AA34" s="79">
        <v>0</v>
      </c>
      <c r="AB34" s="79">
        <v>0</v>
      </c>
      <c r="AC34" s="79">
        <v>0</v>
      </c>
      <c r="AD34" s="79">
        <v>0</v>
      </c>
      <c r="AE34" s="79">
        <v>0</v>
      </c>
      <c r="AF34" s="79">
        <v>0</v>
      </c>
      <c r="AG34" s="79">
        <v>0</v>
      </c>
      <c r="AH34" s="79">
        <v>0</v>
      </c>
      <c r="AI34" s="79">
        <v>0</v>
      </c>
      <c r="AJ34" s="168">
        <v>0</v>
      </c>
    </row>
    <row r="35" spans="2:36" x14ac:dyDescent="0.3">
      <c r="B35" s="255" t="s">
        <v>41</v>
      </c>
      <c r="C35" s="256"/>
      <c r="D35" s="12">
        <f>D23*('CAPEX-Input'!$C$29-'CAPEX-Input'!$C$4)</f>
        <v>0</v>
      </c>
      <c r="E35" s="12">
        <f>E23*('CAPEX-Input'!$C$29-'CAPEX-Input'!$C$4)</f>
        <v>0</v>
      </c>
      <c r="F35" s="12">
        <f>F23*('CAPEX-Input'!$C$29-'CAPEX-Input'!$C$4)</f>
        <v>0</v>
      </c>
      <c r="G35" s="12">
        <f>G23*('CAPEX-Input'!$C$29-'CAPEX-Input'!$C$4)</f>
        <v>0</v>
      </c>
      <c r="H35" s="12">
        <f>H23*('CAPEX-Input'!$C$29-'CAPEX-Input'!$C$4)</f>
        <v>768.28242748930961</v>
      </c>
      <c r="I35" s="12">
        <f>I23*('CAPEX-Input'!$C$29-'CAPEX-Input'!$C$4)</f>
        <v>768.28242748930961</v>
      </c>
      <c r="J35" s="12">
        <f>J23*('CAPEX-Input'!$C$29-'CAPEX-Input'!$C$4)</f>
        <v>384.14121374465481</v>
      </c>
      <c r="K35" s="12">
        <f>K23*('CAPEX-Input'!$C$29-'CAPEX-Input'!$C$4)</f>
        <v>0</v>
      </c>
      <c r="L35" s="12">
        <f>L23*('CAPEX-Input'!$C$29-'CAPEX-Input'!$C$4)</f>
        <v>0</v>
      </c>
      <c r="M35" s="12">
        <f>M23*('CAPEX-Input'!$C$29-'CAPEX-Input'!$C$4)</f>
        <v>0</v>
      </c>
      <c r="N35" s="12">
        <f>N23*('CAPEX-Input'!$C$29-'CAPEX-Input'!$C$4)</f>
        <v>0</v>
      </c>
      <c r="O35" s="12">
        <f>O23*('CAPEX-Input'!$C$29-'CAPEX-Input'!$C$4)</f>
        <v>0</v>
      </c>
      <c r="P35" s="12">
        <f>P23*('CAPEX-Input'!$C$29-'CAPEX-Input'!$C$4)</f>
        <v>0</v>
      </c>
      <c r="Q35" s="12">
        <f>Q23*('CAPEX-Input'!$C$29-'CAPEX-Input'!$C$4)</f>
        <v>0</v>
      </c>
      <c r="R35" s="12">
        <f>R23*('CAPEX-Input'!$C$29-'CAPEX-Input'!$C$4)</f>
        <v>0</v>
      </c>
      <c r="S35" s="12">
        <f>S23*('CAPEX-Input'!$C$29-'CAPEX-Input'!$C$4)</f>
        <v>0</v>
      </c>
      <c r="T35" s="12">
        <f>T23*('CAPEX-Input'!$C$29-'CAPEX-Input'!$C$4)</f>
        <v>0</v>
      </c>
      <c r="U35" s="12">
        <f>U23*('CAPEX-Input'!$C$29-'CAPEX-Input'!$C$4)</f>
        <v>0</v>
      </c>
      <c r="V35" s="12">
        <f>V23*('CAPEX-Input'!$C$29-'CAPEX-Input'!$C$4)</f>
        <v>0</v>
      </c>
      <c r="W35" s="12">
        <f>W23*('CAPEX-Input'!$C$29-'CAPEX-Input'!$C$4)</f>
        <v>0</v>
      </c>
      <c r="X35" s="12">
        <f>X23*('CAPEX-Input'!$C$29-'CAPEX-Input'!$C$4)</f>
        <v>0</v>
      </c>
      <c r="Y35" s="12">
        <f>Y23*('CAPEX-Input'!$C$29-'CAPEX-Input'!$C$4)</f>
        <v>0</v>
      </c>
      <c r="Z35" s="12">
        <f>Z23*('CAPEX-Input'!$C$29-'CAPEX-Input'!$C$4)</f>
        <v>0</v>
      </c>
      <c r="AA35" s="12">
        <f>AA23*('CAPEX-Input'!$C$29-'CAPEX-Input'!$C$4)</f>
        <v>0</v>
      </c>
      <c r="AB35" s="12">
        <f>AB23*('CAPEX-Input'!$C$29-'CAPEX-Input'!$C$4)</f>
        <v>0</v>
      </c>
      <c r="AC35" s="12">
        <f>AC23*('CAPEX-Input'!$C$29-'CAPEX-Input'!$C$4)</f>
        <v>0</v>
      </c>
      <c r="AD35" s="12">
        <f>AD23*('CAPEX-Input'!$C$29-'CAPEX-Input'!$C$4)</f>
        <v>0</v>
      </c>
      <c r="AE35" s="12">
        <f>AE23*('CAPEX-Input'!$C$29-'CAPEX-Input'!$C$4)</f>
        <v>0</v>
      </c>
      <c r="AF35" s="12">
        <f>AF23*('CAPEX-Input'!$C$29-'CAPEX-Input'!$C$4)</f>
        <v>0</v>
      </c>
      <c r="AG35" s="12">
        <f>AG23*('CAPEX-Input'!$C$29-'CAPEX-Input'!$C$4)</f>
        <v>0</v>
      </c>
      <c r="AH35" s="12">
        <f>AH23*('CAPEX-Input'!$C$29-'CAPEX-Input'!$C$4)</f>
        <v>0</v>
      </c>
      <c r="AI35" s="12">
        <f>AI23*('CAPEX-Input'!$C$29-'CAPEX-Input'!$C$4)</f>
        <v>0</v>
      </c>
      <c r="AJ35" s="47">
        <f>AJ23*('CAPEX-Input'!$C$29-'CAPEX-Input'!$C$4)</f>
        <v>0</v>
      </c>
    </row>
    <row r="36" spans="2:36" x14ac:dyDescent="0.3">
      <c r="B36" s="255" t="s">
        <v>42</v>
      </c>
      <c r="C36" s="256"/>
      <c r="D36" s="12">
        <f>'OPEX Input'!D$19*D24</f>
        <v>0</v>
      </c>
      <c r="E36" s="12">
        <f>'OPEX Input'!E$19*E24</f>
        <v>0</v>
      </c>
      <c r="F36" s="12">
        <f>'OPEX Input'!F$19*F24</f>
        <v>0</v>
      </c>
      <c r="G36" s="12">
        <f>'OPEX Input'!G$19*G24</f>
        <v>0</v>
      </c>
      <c r="H36" s="12">
        <f>'OPEX Input'!H$19*H24</f>
        <v>0</v>
      </c>
      <c r="I36" s="12">
        <f>'OPEX Input'!I$19*I24</f>
        <v>0</v>
      </c>
      <c r="J36" s="12">
        <f>'OPEX Input'!J$19*J24</f>
        <v>48.088549999999998</v>
      </c>
      <c r="K36" s="12">
        <f>'OPEX Input'!K$19*K24</f>
        <v>48.088549999999998</v>
      </c>
      <c r="L36" s="12">
        <f>'OPEX Input'!L$19*L24</f>
        <v>48.088549999999998</v>
      </c>
      <c r="M36" s="12">
        <f>'OPEX Input'!M$19*M24</f>
        <v>48.088549999999998</v>
      </c>
      <c r="N36" s="12">
        <f>'OPEX Input'!N$19*N24</f>
        <v>48.088549999999998</v>
      </c>
      <c r="O36" s="12">
        <f>'OPEX Input'!O$19*O24</f>
        <v>48.088549999999998</v>
      </c>
      <c r="P36" s="12">
        <f>'OPEX Input'!P$19*P24</f>
        <v>48.088549999999998</v>
      </c>
      <c r="Q36" s="12">
        <f>'OPEX Input'!Q$19*Q24</f>
        <v>48.088549999999998</v>
      </c>
      <c r="R36" s="12">
        <f>'OPEX Input'!R$19*R24</f>
        <v>48.088549999999998</v>
      </c>
      <c r="S36" s="12">
        <f>'OPEX Input'!S$19*S24</f>
        <v>48.088549999999998</v>
      </c>
      <c r="T36" s="12">
        <f>'OPEX Input'!T$19*T24</f>
        <v>48.088549999999998</v>
      </c>
      <c r="U36" s="12">
        <f>'OPEX Input'!U$19*U24</f>
        <v>48.088549999999998</v>
      </c>
      <c r="V36" s="12">
        <f>'OPEX Input'!V$19*V24</f>
        <v>48.088549999999998</v>
      </c>
      <c r="W36" s="12">
        <f>'OPEX Input'!W$19*W24</f>
        <v>48.088549999999998</v>
      </c>
      <c r="X36" s="12">
        <f>'OPEX Input'!X$19*X24</f>
        <v>48.088549999999998</v>
      </c>
      <c r="Y36" s="12">
        <f>'OPEX Input'!Y$19*Y24</f>
        <v>48.088549999999998</v>
      </c>
      <c r="Z36" s="12">
        <f>'OPEX Input'!Z$19*Z24</f>
        <v>48.088549999999998</v>
      </c>
      <c r="AA36" s="12">
        <f>'OPEX Input'!AA$19*AA24</f>
        <v>48.088549999999998</v>
      </c>
      <c r="AB36" s="12">
        <f>'OPEX Input'!AB$19*AB24</f>
        <v>48.088549999999998</v>
      </c>
      <c r="AC36" s="12">
        <f>'OPEX Input'!AC$19*AC24</f>
        <v>48.088549999999998</v>
      </c>
      <c r="AD36" s="12">
        <f>'OPEX Input'!AD$19*AD24</f>
        <v>48.088549999999998</v>
      </c>
      <c r="AE36" s="12">
        <f>'OPEX Input'!AE$19*AE24</f>
        <v>48.088549999999998</v>
      </c>
      <c r="AF36" s="12">
        <f>'OPEX Input'!AF$19*AF24</f>
        <v>48.088549999999998</v>
      </c>
      <c r="AG36" s="12">
        <f>'OPEX Input'!AG$19*AG24</f>
        <v>48.088549999999998</v>
      </c>
      <c r="AH36" s="12">
        <f>'OPEX Input'!AH$19*AH24</f>
        <v>48.088549999999998</v>
      </c>
      <c r="AI36" s="12">
        <f>'OPEX Input'!AI$19*AI24</f>
        <v>0</v>
      </c>
      <c r="AJ36" s="47">
        <f>'OPEX Input'!AJ$19*AJ24</f>
        <v>0</v>
      </c>
    </row>
    <row r="37" spans="2:36" x14ac:dyDescent="0.3">
      <c r="B37" s="257" t="s">
        <v>43</v>
      </c>
      <c r="C37" s="258"/>
      <c r="D37" s="48">
        <f>D25*'CAPEX-Input'!$C$19</f>
        <v>0</v>
      </c>
      <c r="E37" s="48">
        <f>E25*'CAPEX-Input'!$C$19</f>
        <v>0</v>
      </c>
      <c r="F37" s="48">
        <f>F25*'CAPEX-Input'!$C$19</f>
        <v>0</v>
      </c>
      <c r="G37" s="48">
        <f>G25*'CAPEX-Input'!$C$19</f>
        <v>0</v>
      </c>
      <c r="H37" s="48">
        <f>H25*'CAPEX-Input'!$C$19</f>
        <v>0</v>
      </c>
      <c r="I37" s="48">
        <f>I25*'CAPEX-Input'!$C$19</f>
        <v>0</v>
      </c>
      <c r="J37" s="48">
        <f>J25*'CAPEX-Input'!$C$19</f>
        <v>0</v>
      </c>
      <c r="K37" s="48">
        <f>K25*'CAPEX-Input'!$C$19</f>
        <v>0</v>
      </c>
      <c r="L37" s="48">
        <f>L25*'CAPEX-Input'!$C$19</f>
        <v>0</v>
      </c>
      <c r="M37" s="48">
        <f>M25*'CAPEX-Input'!$C$19</f>
        <v>0</v>
      </c>
      <c r="N37" s="48">
        <f>N25*'CAPEX-Input'!$C$19</f>
        <v>0</v>
      </c>
      <c r="O37" s="48">
        <f>O25*'CAPEX-Input'!$C$19</f>
        <v>0</v>
      </c>
      <c r="P37" s="48">
        <f>P25*'CAPEX-Input'!$C$19</f>
        <v>0</v>
      </c>
      <c r="Q37" s="48">
        <f>Q25*'CAPEX-Input'!$C$19</f>
        <v>0</v>
      </c>
      <c r="R37" s="48">
        <f>R25*'CAPEX-Input'!$C$19</f>
        <v>0</v>
      </c>
      <c r="S37" s="48">
        <f>S25*'CAPEX-Input'!$C$19</f>
        <v>0</v>
      </c>
      <c r="T37" s="48">
        <f>T25*'CAPEX-Input'!$C$19</f>
        <v>0</v>
      </c>
      <c r="U37" s="48">
        <f>U25*'CAPEX-Input'!$C$19</f>
        <v>0</v>
      </c>
      <c r="V37" s="48">
        <f>V25*'CAPEX-Input'!$C$19</f>
        <v>0</v>
      </c>
      <c r="W37" s="48">
        <f>W25*'CAPEX-Input'!$C$19</f>
        <v>0</v>
      </c>
      <c r="X37" s="48">
        <f>X25*'CAPEX-Input'!$C$19</f>
        <v>0</v>
      </c>
      <c r="Y37" s="48">
        <f>Y25*'CAPEX-Input'!$C$19</f>
        <v>0</v>
      </c>
      <c r="Z37" s="48">
        <f>Z25*'CAPEX-Input'!$C$19</f>
        <v>0</v>
      </c>
      <c r="AA37" s="48">
        <f>AA25*'CAPEX-Input'!$C$19</f>
        <v>0</v>
      </c>
      <c r="AB37" s="48">
        <f>AB25*'CAPEX-Input'!$C$19</f>
        <v>0</v>
      </c>
      <c r="AC37" s="48">
        <f>AC25*'CAPEX-Input'!$C$19</f>
        <v>0</v>
      </c>
      <c r="AD37" s="48">
        <f>AD25*'CAPEX-Input'!$C$19</f>
        <v>0</v>
      </c>
      <c r="AE37" s="48">
        <f>AE25*'CAPEX-Input'!$C$19</f>
        <v>0</v>
      </c>
      <c r="AF37" s="48">
        <f>AF25*'CAPEX-Input'!$C$19</f>
        <v>0</v>
      </c>
      <c r="AG37" s="48">
        <f>AG25*'CAPEX-Input'!$C$19</f>
        <v>0</v>
      </c>
      <c r="AH37" s="48">
        <f>AH25*'CAPEX-Input'!$C$19</f>
        <v>0</v>
      </c>
      <c r="AI37" s="48">
        <f>AI25*'CAPEX-Input'!$C$31</f>
        <v>88.423704687499992</v>
      </c>
      <c r="AJ37" s="49">
        <f>AJ25*'CAPEX-Input'!$C$31</f>
        <v>88.423704687499992</v>
      </c>
    </row>
    <row r="38" spans="2:36" ht="15" thickBot="1" x14ac:dyDescent="0.35"/>
    <row r="39" spans="2:36" x14ac:dyDescent="0.3">
      <c r="C39" s="162" t="s">
        <v>26</v>
      </c>
    </row>
    <row r="40" spans="2:36" x14ac:dyDescent="0.3">
      <c r="B40" s="163" t="s">
        <v>200</v>
      </c>
      <c r="C40" s="174">
        <f>SUM(D40:AJ40)</f>
        <v>2009.956068723274</v>
      </c>
      <c r="D40" s="50">
        <f>SUM(D29,D35)</f>
        <v>8.9250000000000007</v>
      </c>
      <c r="E40" s="50">
        <f t="shared" ref="E40:AJ40" si="0">SUM(E29,E35)</f>
        <v>8.9250000000000007</v>
      </c>
      <c r="F40" s="50">
        <f t="shared" si="0"/>
        <v>35.700000000000003</v>
      </c>
      <c r="G40" s="50">
        <f t="shared" si="0"/>
        <v>35.700000000000003</v>
      </c>
      <c r="H40" s="50">
        <f t="shared" si="0"/>
        <v>768.28242748930961</v>
      </c>
      <c r="I40" s="50">
        <f t="shared" si="0"/>
        <v>768.28242748930961</v>
      </c>
      <c r="J40" s="50">
        <f t="shared" si="0"/>
        <v>384.14121374465481</v>
      </c>
      <c r="K40" s="50">
        <f t="shared" si="0"/>
        <v>0</v>
      </c>
      <c r="L40" s="50">
        <f t="shared" si="0"/>
        <v>0</v>
      </c>
      <c r="M40" s="50">
        <f t="shared" si="0"/>
        <v>0</v>
      </c>
      <c r="N40" s="50">
        <f t="shared" si="0"/>
        <v>0</v>
      </c>
      <c r="O40" s="50">
        <f t="shared" si="0"/>
        <v>0</v>
      </c>
      <c r="P40" s="50">
        <f t="shared" si="0"/>
        <v>0</v>
      </c>
      <c r="Q40" s="50">
        <f t="shared" si="0"/>
        <v>0</v>
      </c>
      <c r="R40" s="50">
        <f t="shared" si="0"/>
        <v>0</v>
      </c>
      <c r="S40" s="50">
        <f t="shared" si="0"/>
        <v>0</v>
      </c>
      <c r="T40" s="50">
        <f t="shared" si="0"/>
        <v>0</v>
      </c>
      <c r="U40" s="50">
        <f t="shared" si="0"/>
        <v>0</v>
      </c>
      <c r="V40" s="50">
        <f t="shared" si="0"/>
        <v>0</v>
      </c>
      <c r="W40" s="50">
        <f t="shared" si="0"/>
        <v>0</v>
      </c>
      <c r="X40" s="50">
        <f t="shared" si="0"/>
        <v>0</v>
      </c>
      <c r="Y40" s="50">
        <f t="shared" si="0"/>
        <v>0</v>
      </c>
      <c r="Z40" s="50">
        <f t="shared" si="0"/>
        <v>0</v>
      </c>
      <c r="AA40" s="50">
        <f t="shared" si="0"/>
        <v>0</v>
      </c>
      <c r="AB40" s="50">
        <f t="shared" si="0"/>
        <v>0</v>
      </c>
      <c r="AC40" s="50">
        <f t="shared" si="0"/>
        <v>0</v>
      </c>
      <c r="AD40" s="50">
        <f t="shared" si="0"/>
        <v>0</v>
      </c>
      <c r="AE40" s="50">
        <f t="shared" si="0"/>
        <v>0</v>
      </c>
      <c r="AF40" s="50">
        <f t="shared" si="0"/>
        <v>0</v>
      </c>
      <c r="AG40" s="50">
        <f t="shared" si="0"/>
        <v>0</v>
      </c>
      <c r="AH40" s="50">
        <f t="shared" si="0"/>
        <v>0</v>
      </c>
      <c r="AI40" s="50">
        <f t="shared" si="0"/>
        <v>0</v>
      </c>
      <c r="AJ40" s="89">
        <f t="shared" si="0"/>
        <v>0</v>
      </c>
    </row>
    <row r="41" spans="2:36" x14ac:dyDescent="0.3">
      <c r="B41" s="164" t="s">
        <v>201</v>
      </c>
      <c r="C41" s="175">
        <f>SUM(D41:AJ41)</f>
        <v>1379.0611593749993</v>
      </c>
      <c r="D41" s="48">
        <f>SUM(D36:D37)</f>
        <v>0</v>
      </c>
      <c r="E41" s="48">
        <f t="shared" ref="E41:AJ41" si="1">SUM(E36:E37)</f>
        <v>0</v>
      </c>
      <c r="F41" s="48">
        <f t="shared" si="1"/>
        <v>0</v>
      </c>
      <c r="G41" s="48">
        <f t="shared" si="1"/>
        <v>0</v>
      </c>
      <c r="H41" s="48">
        <f t="shared" si="1"/>
        <v>0</v>
      </c>
      <c r="I41" s="48">
        <f t="shared" si="1"/>
        <v>0</v>
      </c>
      <c r="J41" s="48">
        <f t="shared" si="1"/>
        <v>48.088549999999998</v>
      </c>
      <c r="K41" s="48">
        <f t="shared" si="1"/>
        <v>48.088549999999998</v>
      </c>
      <c r="L41" s="48">
        <f t="shared" si="1"/>
        <v>48.088549999999998</v>
      </c>
      <c r="M41" s="48">
        <f t="shared" si="1"/>
        <v>48.088549999999998</v>
      </c>
      <c r="N41" s="48">
        <f t="shared" si="1"/>
        <v>48.088549999999998</v>
      </c>
      <c r="O41" s="48">
        <f t="shared" si="1"/>
        <v>48.088549999999998</v>
      </c>
      <c r="P41" s="48">
        <f t="shared" si="1"/>
        <v>48.088549999999998</v>
      </c>
      <c r="Q41" s="48">
        <f t="shared" si="1"/>
        <v>48.088549999999998</v>
      </c>
      <c r="R41" s="48">
        <f t="shared" si="1"/>
        <v>48.088549999999998</v>
      </c>
      <c r="S41" s="48">
        <f t="shared" si="1"/>
        <v>48.088549999999998</v>
      </c>
      <c r="T41" s="48">
        <f t="shared" si="1"/>
        <v>48.088549999999998</v>
      </c>
      <c r="U41" s="48">
        <f t="shared" si="1"/>
        <v>48.088549999999998</v>
      </c>
      <c r="V41" s="48">
        <f t="shared" si="1"/>
        <v>48.088549999999998</v>
      </c>
      <c r="W41" s="48">
        <f t="shared" si="1"/>
        <v>48.088549999999998</v>
      </c>
      <c r="X41" s="48">
        <f t="shared" si="1"/>
        <v>48.088549999999998</v>
      </c>
      <c r="Y41" s="48">
        <f t="shared" si="1"/>
        <v>48.088549999999998</v>
      </c>
      <c r="Z41" s="48">
        <f t="shared" si="1"/>
        <v>48.088549999999998</v>
      </c>
      <c r="AA41" s="48">
        <f t="shared" si="1"/>
        <v>48.088549999999998</v>
      </c>
      <c r="AB41" s="48">
        <f t="shared" si="1"/>
        <v>48.088549999999998</v>
      </c>
      <c r="AC41" s="48">
        <f t="shared" si="1"/>
        <v>48.088549999999998</v>
      </c>
      <c r="AD41" s="48">
        <f t="shared" si="1"/>
        <v>48.088549999999998</v>
      </c>
      <c r="AE41" s="48">
        <f t="shared" si="1"/>
        <v>48.088549999999998</v>
      </c>
      <c r="AF41" s="48">
        <f t="shared" si="1"/>
        <v>48.088549999999998</v>
      </c>
      <c r="AG41" s="48">
        <f t="shared" si="1"/>
        <v>48.088549999999998</v>
      </c>
      <c r="AH41" s="48">
        <f t="shared" si="1"/>
        <v>48.088549999999998</v>
      </c>
      <c r="AI41" s="48">
        <f t="shared" si="1"/>
        <v>88.423704687499992</v>
      </c>
      <c r="AJ41" s="49">
        <f t="shared" si="1"/>
        <v>88.423704687499992</v>
      </c>
    </row>
    <row r="42" spans="2:36" x14ac:dyDescent="0.3">
      <c r="B42" s="171" t="s">
        <v>202</v>
      </c>
      <c r="C42" s="176">
        <f>C40/'CAPEX-Input'!L5</f>
        <v>2.6799414249643654</v>
      </c>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row>
    <row r="44" spans="2:36" x14ac:dyDescent="0.3">
      <c r="B44" s="32" t="s">
        <v>170</v>
      </c>
      <c r="C44" s="33"/>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5"/>
    </row>
    <row r="45" spans="2:36" x14ac:dyDescent="0.3">
      <c r="B45" s="171" t="s">
        <v>44</v>
      </c>
      <c r="C45" s="176">
        <f>SUM(D45:AJ45)</f>
        <v>82612.874826352374</v>
      </c>
      <c r="D45" s="43">
        <f>'AEP Input'!D25*D24</f>
        <v>0</v>
      </c>
      <c r="E45" s="43">
        <f>'AEP Input'!E25*E24</f>
        <v>0</v>
      </c>
      <c r="F45" s="43">
        <f>'AEP Input'!F25*F24</f>
        <v>0</v>
      </c>
      <c r="G45" s="43">
        <f>'AEP Input'!G25*G24</f>
        <v>0</v>
      </c>
      <c r="H45" s="43">
        <f>'AEP Input'!H25*H24</f>
        <v>0</v>
      </c>
      <c r="I45" s="43">
        <f>'AEP Input'!I25*I24</f>
        <v>0</v>
      </c>
      <c r="J45" s="43">
        <f>'AEP Input'!J25*J24</f>
        <v>3304.5149930540961</v>
      </c>
      <c r="K45" s="43">
        <f>'AEP Input'!K25*K24</f>
        <v>3304.5149930540961</v>
      </c>
      <c r="L45" s="43">
        <f>'AEP Input'!L25*L24</f>
        <v>3304.5149930540961</v>
      </c>
      <c r="M45" s="43">
        <f>'AEP Input'!M25*M24</f>
        <v>3304.5149930540961</v>
      </c>
      <c r="N45" s="43">
        <f>'AEP Input'!N25*N24</f>
        <v>3304.5149930540961</v>
      </c>
      <c r="O45" s="43">
        <f>'AEP Input'!O25*O24</f>
        <v>3304.5149930540961</v>
      </c>
      <c r="P45" s="43">
        <f>'AEP Input'!P25*P24</f>
        <v>3304.5149930540961</v>
      </c>
      <c r="Q45" s="43">
        <f>'AEP Input'!Q25*Q24</f>
        <v>3304.5149930540961</v>
      </c>
      <c r="R45" s="43">
        <f>'AEP Input'!R25*R24</f>
        <v>3304.5149930540961</v>
      </c>
      <c r="S45" s="43">
        <f>'AEP Input'!S25*S24</f>
        <v>3304.5149930540961</v>
      </c>
      <c r="T45" s="43">
        <f>'AEP Input'!T25*T24</f>
        <v>3304.5149930540961</v>
      </c>
      <c r="U45" s="43">
        <f>'AEP Input'!U25*U24</f>
        <v>3304.5149930540961</v>
      </c>
      <c r="V45" s="43">
        <f>'AEP Input'!V25*V24</f>
        <v>3304.5149930540961</v>
      </c>
      <c r="W45" s="43">
        <f>'AEP Input'!W25*W24</f>
        <v>3304.5149930540961</v>
      </c>
      <c r="X45" s="43">
        <f>'AEP Input'!X25*X24</f>
        <v>3304.5149930540961</v>
      </c>
      <c r="Y45" s="43">
        <f>'AEP Input'!Y25*Y24</f>
        <v>3304.5149930540961</v>
      </c>
      <c r="Z45" s="43">
        <f>'AEP Input'!Z25*Z24</f>
        <v>3304.5149930540961</v>
      </c>
      <c r="AA45" s="43">
        <f>'AEP Input'!AA25*AA24</f>
        <v>3304.5149930540961</v>
      </c>
      <c r="AB45" s="43">
        <f>'AEP Input'!AB25*AB24</f>
        <v>3304.5149930540961</v>
      </c>
      <c r="AC45" s="43">
        <f>'AEP Input'!AC25*AC24</f>
        <v>3304.5149930540961</v>
      </c>
      <c r="AD45" s="43">
        <f>'AEP Input'!AD25*AD24</f>
        <v>3304.5149930540961</v>
      </c>
      <c r="AE45" s="43">
        <f>'AEP Input'!AE25*AE24</f>
        <v>3304.5149930540961</v>
      </c>
      <c r="AF45" s="43">
        <f>'AEP Input'!AF25*AF24</f>
        <v>3304.5149930540961</v>
      </c>
      <c r="AG45" s="43">
        <f>'AEP Input'!AG25*AG24</f>
        <v>3304.5149930540961</v>
      </c>
      <c r="AH45" s="43">
        <f>'AEP Input'!AH25*AH24</f>
        <v>3304.5149930540961</v>
      </c>
      <c r="AI45" s="43">
        <f>'AEP Input'!AI25*AI24</f>
        <v>0</v>
      </c>
      <c r="AJ45" s="125">
        <f>'AEP Input'!AJ25*AJ24</f>
        <v>0</v>
      </c>
    </row>
    <row r="47" spans="2:36" x14ac:dyDescent="0.3">
      <c r="B47" s="266" t="s">
        <v>74</v>
      </c>
      <c r="C47" s="267"/>
      <c r="D47" s="267"/>
      <c r="E47" s="267"/>
      <c r="F47" s="267"/>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8"/>
    </row>
    <row r="48" spans="2:36" x14ac:dyDescent="0.3">
      <c r="B48" s="265" t="s">
        <v>276</v>
      </c>
      <c r="C48" s="265"/>
      <c r="D48" s="146">
        <f>'FIN_Inputs&amp;ProjectTimeline'!D44</f>
        <v>-4</v>
      </c>
      <c r="E48" s="141">
        <f>'FIN_Inputs&amp;ProjectTimeline'!E44</f>
        <v>-3</v>
      </c>
      <c r="F48" s="141">
        <f>'FIN_Inputs&amp;ProjectTimeline'!F44</f>
        <v>-2</v>
      </c>
      <c r="G48" s="141">
        <f>'FIN_Inputs&amp;ProjectTimeline'!G44</f>
        <v>-1</v>
      </c>
      <c r="H48" s="142">
        <f>'FIN_Inputs&amp;ProjectTimeline'!H44</f>
        <v>0</v>
      </c>
      <c r="I48" s="141">
        <f>'FIN_Inputs&amp;ProjectTimeline'!I44</f>
        <v>1</v>
      </c>
      <c r="J48" s="221">
        <f>'FIN_Inputs&amp;ProjectTimeline'!J44</f>
        <v>2</v>
      </c>
      <c r="K48" s="141">
        <f>'FIN_Inputs&amp;ProjectTimeline'!K44</f>
        <v>3</v>
      </c>
      <c r="L48" s="141">
        <f>'FIN_Inputs&amp;ProjectTimeline'!L44</f>
        <v>4</v>
      </c>
      <c r="M48" s="141">
        <f>'FIN_Inputs&amp;ProjectTimeline'!M44</f>
        <v>5</v>
      </c>
      <c r="N48" s="141">
        <f>'FIN_Inputs&amp;ProjectTimeline'!N44</f>
        <v>6</v>
      </c>
      <c r="O48" s="141">
        <f>'FIN_Inputs&amp;ProjectTimeline'!O44</f>
        <v>7</v>
      </c>
      <c r="P48" s="141">
        <f>'FIN_Inputs&amp;ProjectTimeline'!P44</f>
        <v>8</v>
      </c>
      <c r="Q48" s="141">
        <f>'FIN_Inputs&amp;ProjectTimeline'!Q44</f>
        <v>9</v>
      </c>
      <c r="R48" s="141">
        <f>'FIN_Inputs&amp;ProjectTimeline'!R44</f>
        <v>10</v>
      </c>
      <c r="S48" s="141">
        <f>'FIN_Inputs&amp;ProjectTimeline'!S44</f>
        <v>11</v>
      </c>
      <c r="T48" s="141">
        <f>'FIN_Inputs&amp;ProjectTimeline'!T44</f>
        <v>12</v>
      </c>
      <c r="U48" s="141">
        <f>'FIN_Inputs&amp;ProjectTimeline'!U44</f>
        <v>13</v>
      </c>
      <c r="V48" s="141">
        <f>'FIN_Inputs&amp;ProjectTimeline'!V44</f>
        <v>14</v>
      </c>
      <c r="W48" s="141">
        <f>'FIN_Inputs&amp;ProjectTimeline'!W44</f>
        <v>15</v>
      </c>
      <c r="X48" s="141">
        <f>'FIN_Inputs&amp;ProjectTimeline'!X44</f>
        <v>16</v>
      </c>
      <c r="Y48" s="141">
        <f>'FIN_Inputs&amp;ProjectTimeline'!Y44</f>
        <v>17</v>
      </c>
      <c r="Z48" s="141">
        <f>'FIN_Inputs&amp;ProjectTimeline'!Z44</f>
        <v>18</v>
      </c>
      <c r="AA48" s="141">
        <f>'FIN_Inputs&amp;ProjectTimeline'!AA44</f>
        <v>19</v>
      </c>
      <c r="AB48" s="141">
        <f>'FIN_Inputs&amp;ProjectTimeline'!AB44</f>
        <v>20</v>
      </c>
      <c r="AC48" s="141">
        <f>'FIN_Inputs&amp;ProjectTimeline'!AC44</f>
        <v>21</v>
      </c>
      <c r="AD48" s="141">
        <f>'FIN_Inputs&amp;ProjectTimeline'!AD44</f>
        <v>22</v>
      </c>
      <c r="AE48" s="141">
        <f>'FIN_Inputs&amp;ProjectTimeline'!AE44</f>
        <v>23</v>
      </c>
      <c r="AF48" s="141">
        <f>'FIN_Inputs&amp;ProjectTimeline'!AF44</f>
        <v>24</v>
      </c>
      <c r="AG48" s="141">
        <f>'FIN_Inputs&amp;ProjectTimeline'!AG44</f>
        <v>25</v>
      </c>
      <c r="AH48" s="141">
        <f>'FIN_Inputs&amp;ProjectTimeline'!AH44</f>
        <v>26</v>
      </c>
      <c r="AI48" s="143">
        <f>'FIN_Inputs&amp;ProjectTimeline'!AI44</f>
        <v>27</v>
      </c>
      <c r="AJ48" s="144">
        <f>'FIN_Inputs&amp;ProjectTimeline'!AJ44</f>
        <v>28</v>
      </c>
    </row>
    <row r="49" spans="2:36" x14ac:dyDescent="0.3">
      <c r="B49" s="265" t="s">
        <v>277</v>
      </c>
      <c r="C49" s="265"/>
      <c r="D49" s="242">
        <f>'FIN_Inputs&amp;ProjectTimeline'!D45</f>
        <v>0</v>
      </c>
      <c r="E49" s="242">
        <f>'FIN_Inputs&amp;ProjectTimeline'!E45</f>
        <v>0</v>
      </c>
      <c r="F49" s="242">
        <f>'FIN_Inputs&amp;ProjectTimeline'!F45</f>
        <v>0</v>
      </c>
      <c r="G49" s="242">
        <f>'FIN_Inputs&amp;ProjectTimeline'!G45</f>
        <v>0</v>
      </c>
      <c r="H49" s="242">
        <f>'FIN_Inputs&amp;ProjectTimeline'!H45</f>
        <v>0</v>
      </c>
      <c r="I49" s="242">
        <f>'FIN_Inputs&amp;ProjectTimeline'!I45</f>
        <v>0</v>
      </c>
      <c r="J49" s="242">
        <f>'FIN_Inputs&amp;ProjectTimeline'!J45</f>
        <v>1</v>
      </c>
      <c r="K49" s="242">
        <f>'FIN_Inputs&amp;ProjectTimeline'!K45</f>
        <v>1</v>
      </c>
      <c r="L49" s="242">
        <f>'FIN_Inputs&amp;ProjectTimeline'!L45</f>
        <v>1</v>
      </c>
      <c r="M49" s="242">
        <f>'FIN_Inputs&amp;ProjectTimeline'!M45</f>
        <v>1</v>
      </c>
      <c r="N49" s="242">
        <f>'FIN_Inputs&amp;ProjectTimeline'!N45</f>
        <v>1</v>
      </c>
      <c r="O49" s="242">
        <f>'FIN_Inputs&amp;ProjectTimeline'!O45</f>
        <v>1</v>
      </c>
      <c r="P49" s="242">
        <f>'FIN_Inputs&amp;ProjectTimeline'!P45</f>
        <v>1</v>
      </c>
      <c r="Q49" s="242">
        <f>'FIN_Inputs&amp;ProjectTimeline'!Q45</f>
        <v>1</v>
      </c>
      <c r="R49" s="242">
        <f>'FIN_Inputs&amp;ProjectTimeline'!R45</f>
        <v>1</v>
      </c>
      <c r="S49" s="242">
        <f>'FIN_Inputs&amp;ProjectTimeline'!S45</f>
        <v>1</v>
      </c>
      <c r="T49" s="242">
        <f>'FIN_Inputs&amp;ProjectTimeline'!T45</f>
        <v>1</v>
      </c>
      <c r="U49" s="242">
        <f>'FIN_Inputs&amp;ProjectTimeline'!U45</f>
        <v>1</v>
      </c>
      <c r="V49" s="242">
        <f>'FIN_Inputs&amp;ProjectTimeline'!V45</f>
        <v>1</v>
      </c>
      <c r="W49" s="242">
        <f>'FIN_Inputs&amp;ProjectTimeline'!W45</f>
        <v>1</v>
      </c>
      <c r="X49" s="242">
        <f>'FIN_Inputs&amp;ProjectTimeline'!X45</f>
        <v>0</v>
      </c>
      <c r="Y49" s="242">
        <f>'FIN_Inputs&amp;ProjectTimeline'!Y45</f>
        <v>0</v>
      </c>
      <c r="Z49" s="242">
        <f>'FIN_Inputs&amp;ProjectTimeline'!Z45</f>
        <v>0</v>
      </c>
      <c r="AA49" s="242">
        <f>'FIN_Inputs&amp;ProjectTimeline'!AA45</f>
        <v>0</v>
      </c>
      <c r="AB49" s="242">
        <f>'FIN_Inputs&amp;ProjectTimeline'!AB45</f>
        <v>0</v>
      </c>
      <c r="AC49" s="242">
        <f>'FIN_Inputs&amp;ProjectTimeline'!AC45</f>
        <v>0</v>
      </c>
      <c r="AD49" s="242">
        <f>'FIN_Inputs&amp;ProjectTimeline'!AD45</f>
        <v>0</v>
      </c>
      <c r="AE49" s="242">
        <f>'FIN_Inputs&amp;ProjectTimeline'!AE45</f>
        <v>0</v>
      </c>
      <c r="AF49" s="242">
        <f>'FIN_Inputs&amp;ProjectTimeline'!AF45</f>
        <v>0</v>
      </c>
      <c r="AG49" s="242">
        <f>'FIN_Inputs&amp;ProjectTimeline'!AG45</f>
        <v>0</v>
      </c>
      <c r="AH49" s="242">
        <f>'FIN_Inputs&amp;ProjectTimeline'!AH45</f>
        <v>0</v>
      </c>
      <c r="AI49" s="242">
        <f>'FIN_Inputs&amp;ProjectTimeline'!AI45</f>
        <v>0</v>
      </c>
      <c r="AJ49" s="243">
        <f>'FIN_Inputs&amp;ProjectTimeline'!AJ45</f>
        <v>0</v>
      </c>
    </row>
    <row r="50" spans="2:36" x14ac:dyDescent="0.3">
      <c r="B50" s="265" t="s">
        <v>308</v>
      </c>
      <c r="C50" s="265"/>
      <c r="D50" s="242">
        <f>'FIN_Inputs&amp;ProjectTimeline'!D46</f>
        <v>0</v>
      </c>
      <c r="E50" s="242">
        <f>'FIN_Inputs&amp;ProjectTimeline'!E46</f>
        <v>0</v>
      </c>
      <c r="F50" s="242">
        <f>'FIN_Inputs&amp;ProjectTimeline'!F46</f>
        <v>0</v>
      </c>
      <c r="G50" s="242">
        <f>'FIN_Inputs&amp;ProjectTimeline'!G46</f>
        <v>0</v>
      </c>
      <c r="H50" s="242">
        <f>'FIN_Inputs&amp;ProjectTimeline'!H46</f>
        <v>0</v>
      </c>
      <c r="I50" s="242">
        <f>'FIN_Inputs&amp;ProjectTimeline'!I46</f>
        <v>0</v>
      </c>
      <c r="J50" s="242">
        <f>'FIN_Inputs&amp;ProjectTimeline'!J46</f>
        <v>53.25</v>
      </c>
      <c r="K50" s="242">
        <f>'FIN_Inputs&amp;ProjectTimeline'!K46</f>
        <v>53.25</v>
      </c>
      <c r="L50" s="242">
        <f>'FIN_Inputs&amp;ProjectTimeline'!L46</f>
        <v>53.25</v>
      </c>
      <c r="M50" s="242">
        <f>'FIN_Inputs&amp;ProjectTimeline'!M46</f>
        <v>53.25</v>
      </c>
      <c r="N50" s="242">
        <f>'FIN_Inputs&amp;ProjectTimeline'!N46</f>
        <v>53.25</v>
      </c>
      <c r="O50" s="242">
        <f>'FIN_Inputs&amp;ProjectTimeline'!O46</f>
        <v>53.25</v>
      </c>
      <c r="P50" s="242">
        <f>'FIN_Inputs&amp;ProjectTimeline'!P46</f>
        <v>53.25</v>
      </c>
      <c r="Q50" s="242">
        <f>'FIN_Inputs&amp;ProjectTimeline'!Q46</f>
        <v>53.25</v>
      </c>
      <c r="R50" s="242">
        <f>'FIN_Inputs&amp;ProjectTimeline'!R46</f>
        <v>53.25</v>
      </c>
      <c r="S50" s="242">
        <f>'FIN_Inputs&amp;ProjectTimeline'!S46</f>
        <v>53.25</v>
      </c>
      <c r="T50" s="242">
        <f>'FIN_Inputs&amp;ProjectTimeline'!T46</f>
        <v>53.25</v>
      </c>
      <c r="U50" s="242">
        <f>'FIN_Inputs&amp;ProjectTimeline'!U46</f>
        <v>53.25</v>
      </c>
      <c r="V50" s="242">
        <f>'FIN_Inputs&amp;ProjectTimeline'!V46</f>
        <v>53.25</v>
      </c>
      <c r="W50" s="242">
        <f>'FIN_Inputs&amp;ProjectTimeline'!W46</f>
        <v>53.25</v>
      </c>
      <c r="X50" s="242">
        <f>'FIN_Inputs&amp;ProjectTimeline'!X46</f>
        <v>1</v>
      </c>
      <c r="Y50" s="242">
        <f>'FIN_Inputs&amp;ProjectTimeline'!Y46</f>
        <v>0</v>
      </c>
      <c r="Z50" s="242">
        <f>'FIN_Inputs&amp;ProjectTimeline'!Z46</f>
        <v>0</v>
      </c>
      <c r="AA50" s="242">
        <f>'FIN_Inputs&amp;ProjectTimeline'!AA46</f>
        <v>0</v>
      </c>
      <c r="AB50" s="242">
        <f>'FIN_Inputs&amp;ProjectTimeline'!AB46</f>
        <v>0</v>
      </c>
      <c r="AC50" s="242">
        <f>'FIN_Inputs&amp;ProjectTimeline'!AC46</f>
        <v>0</v>
      </c>
      <c r="AD50" s="242">
        <f>'FIN_Inputs&amp;ProjectTimeline'!AD46</f>
        <v>0</v>
      </c>
      <c r="AE50" s="242">
        <f>'FIN_Inputs&amp;ProjectTimeline'!AE46</f>
        <v>0</v>
      </c>
      <c r="AF50" s="242">
        <f>'FIN_Inputs&amp;ProjectTimeline'!AF46</f>
        <v>0</v>
      </c>
      <c r="AG50" s="242">
        <f>'FIN_Inputs&amp;ProjectTimeline'!AG46</f>
        <v>0</v>
      </c>
      <c r="AH50" s="242">
        <f>'FIN_Inputs&amp;ProjectTimeline'!AH46</f>
        <v>0</v>
      </c>
      <c r="AI50" s="242">
        <f>'FIN_Inputs&amp;ProjectTimeline'!AI46</f>
        <v>0</v>
      </c>
      <c r="AJ50" s="243">
        <f>'FIN_Inputs&amp;ProjectTimeline'!AJ46</f>
        <v>0</v>
      </c>
    </row>
    <row r="51" spans="2:36" x14ac:dyDescent="0.3">
      <c r="B51" s="265" t="s">
        <v>309</v>
      </c>
      <c r="C51" s="265"/>
      <c r="D51" s="244">
        <f>'FIN_Inputs&amp;ProjectTimeline'!D48</f>
        <v>0</v>
      </c>
      <c r="E51" s="244">
        <f>'FIN_Inputs&amp;ProjectTimeline'!E48</f>
        <v>0</v>
      </c>
      <c r="F51" s="244">
        <f>'FIN_Inputs&amp;ProjectTimeline'!F48</f>
        <v>0</v>
      </c>
      <c r="G51" s="244">
        <f>'FIN_Inputs&amp;ProjectTimeline'!G48</f>
        <v>0</v>
      </c>
      <c r="H51" s="244">
        <f>'FIN_Inputs&amp;ProjectTimeline'!H48</f>
        <v>0</v>
      </c>
      <c r="I51" s="244">
        <f>'FIN_Inputs&amp;ProjectTimeline'!I48</f>
        <v>0</v>
      </c>
      <c r="J51" s="244">
        <f>'FIN_Inputs&amp;ProjectTimeline'!J48</f>
        <v>0</v>
      </c>
      <c r="K51" s="244">
        <f>'FIN_Inputs&amp;ProjectTimeline'!K48</f>
        <v>0</v>
      </c>
      <c r="L51" s="244">
        <f>'FIN_Inputs&amp;ProjectTimeline'!L48</f>
        <v>0</v>
      </c>
      <c r="M51" s="244">
        <f>'FIN_Inputs&amp;ProjectTimeline'!M48</f>
        <v>0</v>
      </c>
      <c r="N51" s="244">
        <f>'FIN_Inputs&amp;ProjectTimeline'!N48</f>
        <v>0</v>
      </c>
      <c r="O51" s="244">
        <f>'FIN_Inputs&amp;ProjectTimeline'!O48</f>
        <v>0</v>
      </c>
      <c r="P51" s="244">
        <f>'FIN_Inputs&amp;ProjectTimeline'!P48</f>
        <v>0</v>
      </c>
      <c r="Q51" s="244">
        <f>'FIN_Inputs&amp;ProjectTimeline'!Q48</f>
        <v>0</v>
      </c>
      <c r="R51" s="244">
        <f>'FIN_Inputs&amp;ProjectTimeline'!R48</f>
        <v>0</v>
      </c>
      <c r="S51" s="244">
        <f>'FIN_Inputs&amp;ProjectTimeline'!S48</f>
        <v>0</v>
      </c>
      <c r="T51" s="244">
        <f>'FIN_Inputs&amp;ProjectTimeline'!T48</f>
        <v>0</v>
      </c>
      <c r="U51" s="244">
        <f>'FIN_Inputs&amp;ProjectTimeline'!U48</f>
        <v>0</v>
      </c>
      <c r="V51" s="244">
        <f>'FIN_Inputs&amp;ProjectTimeline'!V48</f>
        <v>0</v>
      </c>
      <c r="W51" s="244">
        <f>'FIN_Inputs&amp;ProjectTimeline'!W48</f>
        <v>0</v>
      </c>
      <c r="X51" s="244">
        <f>'FIN_Inputs&amp;ProjectTimeline'!X48</f>
        <v>50</v>
      </c>
      <c r="Y51" s="244">
        <f>'FIN_Inputs&amp;ProjectTimeline'!Y48</f>
        <v>50</v>
      </c>
      <c r="Z51" s="244">
        <f>'FIN_Inputs&amp;ProjectTimeline'!Z48</f>
        <v>50</v>
      </c>
      <c r="AA51" s="244">
        <f>'FIN_Inputs&amp;ProjectTimeline'!AA48</f>
        <v>50</v>
      </c>
      <c r="AB51" s="244">
        <f>'FIN_Inputs&amp;ProjectTimeline'!AB48</f>
        <v>50</v>
      </c>
      <c r="AC51" s="244">
        <f>'FIN_Inputs&amp;ProjectTimeline'!AC48</f>
        <v>50</v>
      </c>
      <c r="AD51" s="244">
        <f>'FIN_Inputs&amp;ProjectTimeline'!AD48</f>
        <v>50</v>
      </c>
      <c r="AE51" s="244">
        <f>'FIN_Inputs&amp;ProjectTimeline'!AE48</f>
        <v>50</v>
      </c>
      <c r="AF51" s="244">
        <f>'FIN_Inputs&amp;ProjectTimeline'!AF48</f>
        <v>50</v>
      </c>
      <c r="AG51" s="244">
        <f>'FIN_Inputs&amp;ProjectTimeline'!AG48</f>
        <v>50</v>
      </c>
      <c r="AH51" s="244">
        <f>'FIN_Inputs&amp;ProjectTimeline'!AH48</f>
        <v>50</v>
      </c>
      <c r="AI51" s="244">
        <f>'FIN_Inputs&amp;ProjectTimeline'!AI48</f>
        <v>0</v>
      </c>
      <c r="AJ51" s="245">
        <f>'FIN_Inputs&amp;ProjectTimeline'!AJ48</f>
        <v>0</v>
      </c>
    </row>
    <row r="52" spans="2:36" x14ac:dyDescent="0.3">
      <c r="C52" s="3"/>
      <c r="D52" s="4"/>
      <c r="E52" s="4"/>
      <c r="F52" s="4"/>
      <c r="G52" s="4"/>
      <c r="H52" s="4"/>
      <c r="I52" s="4"/>
      <c r="J52" s="4"/>
      <c r="K52" s="4"/>
    </row>
    <row r="53" spans="2:36" x14ac:dyDescent="0.3">
      <c r="C53" s="3"/>
      <c r="D53" s="4"/>
      <c r="E53" s="4"/>
      <c r="F53" s="4"/>
      <c r="G53" s="4"/>
      <c r="H53" s="4"/>
      <c r="I53" s="4"/>
      <c r="J53" s="4"/>
      <c r="K53" s="4"/>
    </row>
    <row r="54" spans="2:36" x14ac:dyDescent="0.3">
      <c r="C54" s="3"/>
      <c r="D54" s="4"/>
      <c r="E54" s="4"/>
      <c r="F54" s="4"/>
      <c r="G54" s="4"/>
      <c r="H54" s="4"/>
      <c r="I54" s="4"/>
      <c r="J54" s="4"/>
      <c r="K54" s="4"/>
    </row>
    <row r="55" spans="2:36" x14ac:dyDescent="0.3">
      <c r="C55" s="3"/>
      <c r="D55" s="4"/>
      <c r="E55" s="4"/>
      <c r="F55" s="4"/>
      <c r="G55" s="4"/>
      <c r="H55" s="4"/>
      <c r="I55" s="4"/>
      <c r="J55" s="4"/>
      <c r="K55" s="4"/>
    </row>
    <row r="56" spans="2:36" x14ac:dyDescent="0.3">
      <c r="C56" s="3"/>
      <c r="D56" s="4"/>
      <c r="E56" s="4"/>
      <c r="F56" s="4"/>
      <c r="G56" s="4"/>
      <c r="H56" s="4"/>
      <c r="I56" s="4"/>
      <c r="J56" s="4"/>
      <c r="K56" s="4"/>
    </row>
    <row r="57" spans="2:36" x14ac:dyDescent="0.3">
      <c r="C57" s="3"/>
      <c r="D57" s="4"/>
      <c r="E57" s="4"/>
      <c r="F57" s="4"/>
      <c r="G57" s="4"/>
      <c r="H57" s="4"/>
      <c r="I57" s="4"/>
      <c r="J57" s="4"/>
      <c r="K57" s="4"/>
    </row>
    <row r="58" spans="2:36" x14ac:dyDescent="0.3">
      <c r="C58" s="3"/>
      <c r="D58" s="4"/>
      <c r="E58" s="4"/>
      <c r="F58" s="4"/>
      <c r="G58" s="4"/>
      <c r="H58" s="4"/>
      <c r="I58" s="4"/>
      <c r="J58" s="4"/>
      <c r="K58" s="4"/>
    </row>
    <row r="59" spans="2:36" x14ac:dyDescent="0.3">
      <c r="C59" s="3"/>
      <c r="D59" s="4"/>
      <c r="E59" s="4"/>
      <c r="F59" s="4"/>
      <c r="G59" s="4"/>
      <c r="H59" s="4"/>
      <c r="I59" s="4"/>
      <c r="J59" s="4"/>
      <c r="K59" s="4"/>
    </row>
    <row r="60" spans="2:36" x14ac:dyDescent="0.3">
      <c r="C60" s="3"/>
      <c r="D60" s="4"/>
      <c r="E60" s="4"/>
      <c r="F60" s="4"/>
      <c r="G60" s="4"/>
      <c r="H60" s="4"/>
      <c r="I60" s="4"/>
      <c r="J60" s="4"/>
      <c r="K60" s="4"/>
    </row>
    <row r="61" spans="2:36" x14ac:dyDescent="0.3">
      <c r="C61" s="3"/>
      <c r="D61" s="4"/>
      <c r="E61" s="4"/>
      <c r="F61" s="4"/>
      <c r="G61" s="4"/>
      <c r="H61" s="4"/>
      <c r="I61" s="4"/>
      <c r="J61" s="4"/>
      <c r="K61" s="4"/>
    </row>
    <row r="62" spans="2:36" x14ac:dyDescent="0.3">
      <c r="C62" s="3"/>
      <c r="D62" s="4"/>
      <c r="E62" s="4"/>
      <c r="F62" s="4"/>
      <c r="G62" s="4"/>
      <c r="H62" s="4"/>
      <c r="I62" s="4"/>
      <c r="J62" s="4"/>
      <c r="K62" s="4"/>
    </row>
    <row r="63" spans="2:36" x14ac:dyDescent="0.3">
      <c r="C63" s="3"/>
      <c r="D63" s="4"/>
      <c r="E63" s="4"/>
      <c r="F63" s="4"/>
      <c r="G63" s="4"/>
      <c r="H63" s="4"/>
      <c r="I63" s="4"/>
      <c r="J63" s="4"/>
      <c r="K63" s="4"/>
    </row>
    <row r="64" spans="2:36" x14ac:dyDescent="0.3">
      <c r="C64" s="3"/>
      <c r="D64" s="4"/>
      <c r="E64" s="4"/>
      <c r="F64" s="4"/>
      <c r="G64" s="4"/>
      <c r="H64" s="4"/>
      <c r="I64" s="4"/>
      <c r="J64" s="4"/>
      <c r="K64" s="4"/>
    </row>
    <row r="65" spans="3:11" x14ac:dyDescent="0.3">
      <c r="C65" s="3"/>
      <c r="D65" s="4"/>
      <c r="E65" s="4"/>
      <c r="F65" s="4"/>
      <c r="G65" s="4"/>
      <c r="H65" s="4"/>
      <c r="I65" s="4"/>
      <c r="J65" s="4"/>
      <c r="K65" s="4"/>
    </row>
    <row r="66" spans="3:11" x14ac:dyDescent="0.3">
      <c r="C66" s="3"/>
      <c r="D66" s="4"/>
      <c r="E66" s="4"/>
      <c r="F66" s="4"/>
      <c r="G66" s="4"/>
      <c r="H66" s="4"/>
      <c r="I66" s="4"/>
      <c r="J66" s="4"/>
      <c r="K66" s="4"/>
    </row>
    <row r="67" spans="3:11" x14ac:dyDescent="0.3">
      <c r="C67" s="3"/>
      <c r="D67" s="4"/>
      <c r="E67" s="4"/>
      <c r="F67" s="4"/>
      <c r="G67" s="4"/>
      <c r="H67" s="4"/>
      <c r="I67" s="4"/>
      <c r="J67" s="4"/>
      <c r="K67" s="4"/>
    </row>
  </sheetData>
  <mergeCells count="21">
    <mergeCell ref="B47:AJ47"/>
    <mergeCell ref="B48:C48"/>
    <mergeCell ref="B49:C49"/>
    <mergeCell ref="B50:C50"/>
    <mergeCell ref="B51:C51"/>
    <mergeCell ref="B25:C25"/>
    <mergeCell ref="B29:C29"/>
    <mergeCell ref="B35:C35"/>
    <mergeCell ref="B36:C36"/>
    <mergeCell ref="B37:C37"/>
    <mergeCell ref="B30:C30"/>
    <mergeCell ref="B31:C31"/>
    <mergeCell ref="B32:C32"/>
    <mergeCell ref="B33:C33"/>
    <mergeCell ref="B34:C34"/>
    <mergeCell ref="B19:C19"/>
    <mergeCell ref="B21:C21"/>
    <mergeCell ref="B22:C22"/>
    <mergeCell ref="B23:C23"/>
    <mergeCell ref="B24:C24"/>
    <mergeCell ref="B20:C20"/>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510E-D4F1-44F9-89F2-2B195022751B}">
  <dimension ref="B1:AJ132"/>
  <sheetViews>
    <sheetView zoomScale="70" zoomScaleNormal="70" workbookViewId="0">
      <pane xSplit="3" ySplit="7" topLeftCell="D8" activePane="bottomRight" state="frozen"/>
      <selection pane="topRight" activeCell="D1" sqref="D1"/>
      <selection pane="bottomLeft" activeCell="A8" sqref="A8"/>
      <selection pane="bottomRight" activeCell="B1" sqref="B1"/>
    </sheetView>
  </sheetViews>
  <sheetFormatPr defaultRowHeight="14.4" x14ac:dyDescent="0.3"/>
  <cols>
    <col min="1" max="1" width="1.6640625" customWidth="1"/>
    <col min="2" max="2" width="42.21875" bestFit="1" customWidth="1"/>
    <col min="3" max="3" width="13" bestFit="1" customWidth="1"/>
    <col min="4" max="4" width="12.33203125" bestFit="1" customWidth="1"/>
    <col min="5" max="7" width="11.5546875" bestFit="1" customWidth="1"/>
    <col min="8" max="8" width="13.6640625" bestFit="1" customWidth="1"/>
    <col min="9" max="9" width="11.5546875" bestFit="1" customWidth="1"/>
    <col min="10" max="10" width="11.44140625" customWidth="1"/>
    <col min="11" max="36" width="11.5546875" bestFit="1" customWidth="1"/>
  </cols>
  <sheetData>
    <row r="1" spans="2:36" x14ac:dyDescent="0.3">
      <c r="B1" t="s">
        <v>172</v>
      </c>
    </row>
    <row r="2" spans="2:36" x14ac:dyDescent="0.3">
      <c r="D2" s="1"/>
    </row>
    <row r="3" spans="2:36" ht="15" thickBot="1" x14ac:dyDescent="0.35">
      <c r="D3" s="1" t="s">
        <v>161</v>
      </c>
      <c r="H3" s="1" t="s">
        <v>69</v>
      </c>
      <c r="J3" s="1" t="s">
        <v>70</v>
      </c>
      <c r="AI3" s="1" t="s">
        <v>160</v>
      </c>
    </row>
    <row r="4" spans="2:36" ht="15" thickBot="1" x14ac:dyDescent="0.35">
      <c r="B4" s="283" t="s">
        <v>162</v>
      </c>
      <c r="C4" s="284"/>
      <c r="D4" s="94">
        <f>Summary!D$19</f>
        <v>-4</v>
      </c>
      <c r="E4" s="148">
        <f>Summary!E$19</f>
        <v>-3</v>
      </c>
      <c r="F4" s="148">
        <f>Summary!F$19</f>
        <v>-2</v>
      </c>
      <c r="G4" s="148">
        <f>Summary!G$19</f>
        <v>-1</v>
      </c>
      <c r="H4" s="24">
        <f>Summary!H$19</f>
        <v>0</v>
      </c>
      <c r="I4" s="148">
        <f>Summary!I$19</f>
        <v>1</v>
      </c>
      <c r="J4" s="25">
        <f>Summary!J$19</f>
        <v>2</v>
      </c>
      <c r="K4" s="148">
        <f>Summary!K$19</f>
        <v>3</v>
      </c>
      <c r="L4" s="148">
        <f>Summary!L$19</f>
        <v>4</v>
      </c>
      <c r="M4" s="148">
        <f>Summary!M$19</f>
        <v>5</v>
      </c>
      <c r="N4" s="148">
        <f>Summary!N$19</f>
        <v>6</v>
      </c>
      <c r="O4" s="148">
        <f>Summary!O$19</f>
        <v>7</v>
      </c>
      <c r="P4" s="148">
        <f>Summary!P$19</f>
        <v>8</v>
      </c>
      <c r="Q4" s="148">
        <f>Summary!Q$19</f>
        <v>9</v>
      </c>
      <c r="R4" s="148">
        <f>Summary!R$19</f>
        <v>10</v>
      </c>
      <c r="S4" s="148">
        <f>Summary!S$19</f>
        <v>11</v>
      </c>
      <c r="T4" s="148">
        <f>Summary!T$19</f>
        <v>12</v>
      </c>
      <c r="U4" s="148">
        <f>Summary!U$19</f>
        <v>13</v>
      </c>
      <c r="V4" s="148">
        <f>Summary!V$19</f>
        <v>14</v>
      </c>
      <c r="W4" s="148">
        <f>Summary!W$19</f>
        <v>15</v>
      </c>
      <c r="X4" s="148">
        <f>Summary!X$19</f>
        <v>16</v>
      </c>
      <c r="Y4" s="148">
        <f>Summary!Y$19</f>
        <v>17</v>
      </c>
      <c r="Z4" s="148">
        <f>Summary!Z$19</f>
        <v>18</v>
      </c>
      <c r="AA4" s="148">
        <f>Summary!AA$19</f>
        <v>19</v>
      </c>
      <c r="AB4" s="148">
        <f>Summary!AB$19</f>
        <v>20</v>
      </c>
      <c r="AC4" s="148">
        <f>Summary!AC$19</f>
        <v>21</v>
      </c>
      <c r="AD4" s="148">
        <f>Summary!AD$19</f>
        <v>22</v>
      </c>
      <c r="AE4" s="148">
        <f>Summary!AE$19</f>
        <v>23</v>
      </c>
      <c r="AF4" s="148">
        <f>Summary!AF$19</f>
        <v>24</v>
      </c>
      <c r="AG4" s="148">
        <f>Summary!AG$19</f>
        <v>25</v>
      </c>
      <c r="AH4" s="148">
        <f>Summary!AH$19</f>
        <v>26</v>
      </c>
      <c r="AI4" s="26">
        <f>Summary!AI$19</f>
        <v>27</v>
      </c>
      <c r="AJ4" s="150">
        <f>Summary!AJ$19</f>
        <v>28</v>
      </c>
    </row>
    <row r="5" spans="2:36" ht="15" thickBot="1" x14ac:dyDescent="0.35">
      <c r="B5" s="283" t="s">
        <v>163</v>
      </c>
      <c r="C5" s="284"/>
      <c r="D5" s="149">
        <f>Summary!D$20</f>
        <v>0</v>
      </c>
      <c r="E5" s="149">
        <f>Summary!E$20</f>
        <v>0</v>
      </c>
      <c r="F5" s="149">
        <f>Summary!F$20</f>
        <v>0</v>
      </c>
      <c r="G5" s="149">
        <f>Summary!G$20</f>
        <v>0</v>
      </c>
      <c r="H5" s="149">
        <f>Summary!H$20</f>
        <v>0</v>
      </c>
      <c r="I5" s="149">
        <f>Summary!I$20</f>
        <v>0</v>
      </c>
      <c r="J5" s="149">
        <f>Summary!J$20</f>
        <v>1</v>
      </c>
      <c r="K5" s="149">
        <f>Summary!K$20</f>
        <v>1</v>
      </c>
      <c r="L5" s="149">
        <f>Summary!L$20</f>
        <v>1</v>
      </c>
      <c r="M5" s="149">
        <f>Summary!M$20</f>
        <v>1</v>
      </c>
      <c r="N5" s="149">
        <f>Summary!N$20</f>
        <v>1</v>
      </c>
      <c r="O5" s="149">
        <f>Summary!O$20</f>
        <v>1</v>
      </c>
      <c r="P5" s="149">
        <f>Summary!P$20</f>
        <v>1</v>
      </c>
      <c r="Q5" s="149">
        <f>Summary!Q$20</f>
        <v>1</v>
      </c>
      <c r="R5" s="149">
        <f>Summary!R$20</f>
        <v>1</v>
      </c>
      <c r="S5" s="149">
        <f>Summary!S$20</f>
        <v>1</v>
      </c>
      <c r="T5" s="149">
        <f>Summary!T$20</f>
        <v>1</v>
      </c>
      <c r="U5" s="149">
        <f>Summary!U$20</f>
        <v>1</v>
      </c>
      <c r="V5" s="149">
        <f>Summary!V$20</f>
        <v>1</v>
      </c>
      <c r="W5" s="149">
        <f>Summary!W$20</f>
        <v>1</v>
      </c>
      <c r="X5" s="149">
        <f>Summary!X$20</f>
        <v>1</v>
      </c>
      <c r="Y5" s="149">
        <f>Summary!Y$20</f>
        <v>1</v>
      </c>
      <c r="Z5" s="149">
        <f>Summary!Z$20</f>
        <v>1</v>
      </c>
      <c r="AA5" s="149">
        <f>Summary!AA$20</f>
        <v>1</v>
      </c>
      <c r="AB5" s="149">
        <f>Summary!AB$20</f>
        <v>1</v>
      </c>
      <c r="AC5" s="149">
        <f>Summary!AC$20</f>
        <v>1</v>
      </c>
      <c r="AD5" s="149">
        <f>Summary!AD$20</f>
        <v>1</v>
      </c>
      <c r="AE5" s="149">
        <f>Summary!AE$20</f>
        <v>1</v>
      </c>
      <c r="AF5" s="149">
        <f>Summary!AF$20</f>
        <v>1</v>
      </c>
      <c r="AG5" s="149">
        <f>Summary!AG$20</f>
        <v>1</v>
      </c>
      <c r="AH5" s="149">
        <f>Summary!AH$20</f>
        <v>1</v>
      </c>
      <c r="AI5" s="149">
        <f>Summary!AI$20</f>
        <v>0</v>
      </c>
      <c r="AJ5" s="151">
        <f>Summary!AJ$20</f>
        <v>0</v>
      </c>
    </row>
    <row r="6" spans="2:36" s="29" customFormat="1" ht="7.2" customHeight="1" thickBot="1" x14ac:dyDescent="0.35">
      <c r="B6" s="169"/>
      <c r="C6" s="170"/>
      <c r="D6" s="14"/>
      <c r="E6" s="14"/>
      <c r="F6" s="14"/>
      <c r="G6" s="14"/>
      <c r="H6" s="28"/>
      <c r="I6" s="14"/>
      <c r="J6" s="14"/>
      <c r="K6" s="14"/>
      <c r="L6" s="14"/>
      <c r="M6" s="14"/>
      <c r="N6" s="14"/>
      <c r="O6" s="14"/>
      <c r="P6" s="14"/>
      <c r="Q6" s="14"/>
      <c r="R6" s="14"/>
      <c r="S6" s="14"/>
      <c r="T6" s="14"/>
      <c r="U6" s="14"/>
      <c r="V6" s="14"/>
      <c r="W6" s="14"/>
      <c r="X6" s="14"/>
      <c r="Y6" s="14"/>
      <c r="Z6" s="14"/>
      <c r="AA6" s="14"/>
      <c r="AB6" s="14"/>
      <c r="AC6" s="14"/>
      <c r="AD6" s="14"/>
      <c r="AE6" s="14"/>
      <c r="AF6" s="14"/>
      <c r="AG6" s="14"/>
      <c r="AH6" s="14"/>
      <c r="AI6" s="28"/>
      <c r="AJ6" s="28"/>
    </row>
    <row r="7" spans="2:36" s="29" customFormat="1" ht="15" thickBot="1" x14ac:dyDescent="0.35">
      <c r="B7" s="285" t="s">
        <v>171</v>
      </c>
      <c r="C7" s="286"/>
      <c r="D7" s="83">
        <f>Summary!D$24</f>
        <v>0</v>
      </c>
      <c r="E7" s="83">
        <f>Summary!E$24</f>
        <v>0</v>
      </c>
      <c r="F7" s="83">
        <f>Summary!F$24</f>
        <v>0</v>
      </c>
      <c r="G7" s="83">
        <f>Summary!G$24</f>
        <v>0</v>
      </c>
      <c r="H7" s="83">
        <f>Summary!H$24</f>
        <v>0</v>
      </c>
      <c r="I7" s="83">
        <f>Summary!I$24</f>
        <v>0</v>
      </c>
      <c r="J7" s="83">
        <f>Summary!J$24</f>
        <v>1</v>
      </c>
      <c r="K7" s="83">
        <f>Summary!K$24</f>
        <v>1</v>
      </c>
      <c r="L7" s="83">
        <f>Summary!L$24</f>
        <v>1</v>
      </c>
      <c r="M7" s="83">
        <f>Summary!M$24</f>
        <v>1</v>
      </c>
      <c r="N7" s="83">
        <f>Summary!N$24</f>
        <v>1</v>
      </c>
      <c r="O7" s="83">
        <f>Summary!O$24</f>
        <v>1</v>
      </c>
      <c r="P7" s="83">
        <f>Summary!P$24</f>
        <v>1</v>
      </c>
      <c r="Q7" s="83">
        <f>Summary!Q$24</f>
        <v>1</v>
      </c>
      <c r="R7" s="83">
        <f>Summary!R$24</f>
        <v>1</v>
      </c>
      <c r="S7" s="83">
        <f>Summary!S$24</f>
        <v>1</v>
      </c>
      <c r="T7" s="83">
        <f>Summary!T$24</f>
        <v>1</v>
      </c>
      <c r="U7" s="83">
        <f>Summary!U$24</f>
        <v>1</v>
      </c>
      <c r="V7" s="83">
        <f>Summary!V$24</f>
        <v>1</v>
      </c>
      <c r="W7" s="83">
        <f>Summary!W$24</f>
        <v>1</v>
      </c>
      <c r="X7" s="83">
        <f>Summary!X$24</f>
        <v>1</v>
      </c>
      <c r="Y7" s="83">
        <f>Summary!Y$24</f>
        <v>1</v>
      </c>
      <c r="Z7" s="83">
        <f>Summary!Z$24</f>
        <v>1</v>
      </c>
      <c r="AA7" s="83">
        <f>Summary!AA$24</f>
        <v>1</v>
      </c>
      <c r="AB7" s="83">
        <f>Summary!AB$24</f>
        <v>1</v>
      </c>
      <c r="AC7" s="83">
        <f>Summary!AC$24</f>
        <v>1</v>
      </c>
      <c r="AD7" s="83">
        <f>Summary!AD$24</f>
        <v>1</v>
      </c>
      <c r="AE7" s="83">
        <f>Summary!AE$24</f>
        <v>1</v>
      </c>
      <c r="AF7" s="83">
        <f>Summary!AF$24</f>
        <v>1</v>
      </c>
      <c r="AG7" s="83">
        <f>Summary!AG$24</f>
        <v>1</v>
      </c>
      <c r="AH7" s="83">
        <f>Summary!AH$24</f>
        <v>1</v>
      </c>
      <c r="AI7" s="83">
        <f>Summary!AI$24</f>
        <v>0</v>
      </c>
      <c r="AJ7" s="84">
        <f>Summary!AJ$24</f>
        <v>0</v>
      </c>
    </row>
    <row r="8" spans="2:36" s="29" customFormat="1" ht="7.2" customHeight="1" x14ac:dyDescent="0.3">
      <c r="B8" s="27"/>
      <c r="C8" s="14"/>
      <c r="D8" s="14"/>
      <c r="E8" s="14"/>
      <c r="F8" s="14"/>
      <c r="G8" s="14"/>
      <c r="H8" s="28"/>
      <c r="I8" s="14"/>
      <c r="J8" s="14"/>
      <c r="K8" s="14"/>
      <c r="L8" s="14"/>
      <c r="M8" s="14"/>
      <c r="N8" s="14"/>
      <c r="O8" s="14"/>
      <c r="P8" s="14"/>
      <c r="Q8" s="14"/>
      <c r="R8" s="14"/>
      <c r="S8" s="14"/>
      <c r="T8" s="14"/>
      <c r="U8" s="14"/>
      <c r="V8" s="14"/>
      <c r="W8" s="14"/>
      <c r="X8" s="14"/>
      <c r="Y8" s="14"/>
      <c r="Z8" s="14"/>
      <c r="AA8" s="14"/>
      <c r="AB8" s="14"/>
      <c r="AC8" s="14"/>
      <c r="AD8" s="14"/>
      <c r="AE8" s="14"/>
      <c r="AF8" s="14"/>
      <c r="AG8" s="14"/>
      <c r="AH8" s="14"/>
      <c r="AI8" s="28"/>
      <c r="AJ8" s="28"/>
    </row>
    <row r="9" spans="2:36" x14ac:dyDescent="0.3">
      <c r="B9" s="44" t="s">
        <v>51</v>
      </c>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6"/>
    </row>
    <row r="10" spans="2:36" x14ac:dyDescent="0.3">
      <c r="B10" s="287" t="s">
        <v>35</v>
      </c>
      <c r="C10" s="288"/>
      <c r="D10" s="21">
        <f>Summary!$C$3</f>
        <v>0.02</v>
      </c>
      <c r="E10" s="21">
        <f>Summary!$C$3</f>
        <v>0.02</v>
      </c>
      <c r="F10" s="21">
        <f>Summary!$C$3</f>
        <v>0.02</v>
      </c>
      <c r="G10" s="21">
        <f>Summary!$C$3</f>
        <v>0.02</v>
      </c>
      <c r="H10" s="21">
        <f>Summary!$C$3</f>
        <v>0.02</v>
      </c>
      <c r="I10" s="21">
        <f>Summary!$C$3</f>
        <v>0.02</v>
      </c>
      <c r="J10" s="21">
        <f>Summary!$C$3</f>
        <v>0.02</v>
      </c>
      <c r="K10" s="21">
        <f>Summary!$C$3</f>
        <v>0.02</v>
      </c>
      <c r="L10" s="21">
        <f>Summary!$C$3</f>
        <v>0.02</v>
      </c>
      <c r="M10" s="21">
        <f>Summary!$C$3</f>
        <v>0.02</v>
      </c>
      <c r="N10" s="21">
        <f>Summary!$C$3</f>
        <v>0.02</v>
      </c>
      <c r="O10" s="21">
        <f>Summary!$C$3</f>
        <v>0.02</v>
      </c>
      <c r="P10" s="21">
        <f>Summary!$C$3</f>
        <v>0.02</v>
      </c>
      <c r="Q10" s="21">
        <f>Summary!$C$3</f>
        <v>0.02</v>
      </c>
      <c r="R10" s="21">
        <f>Summary!$C$3</f>
        <v>0.02</v>
      </c>
      <c r="S10" s="21">
        <f>Summary!$C$3</f>
        <v>0.02</v>
      </c>
      <c r="T10" s="21">
        <f>Summary!$C$3</f>
        <v>0.02</v>
      </c>
      <c r="U10" s="21">
        <f>Summary!$C$3</f>
        <v>0.02</v>
      </c>
      <c r="V10" s="21">
        <f>Summary!$C$3</f>
        <v>0.02</v>
      </c>
      <c r="W10" s="21">
        <f>Summary!$C$3</f>
        <v>0.02</v>
      </c>
      <c r="X10" s="21">
        <f>Summary!$C$3</f>
        <v>0.02</v>
      </c>
      <c r="Y10" s="21">
        <f>Summary!$C$3</f>
        <v>0.02</v>
      </c>
      <c r="Z10" s="21">
        <f>Summary!$C$3</f>
        <v>0.02</v>
      </c>
      <c r="AA10" s="21">
        <f>Summary!$C$3</f>
        <v>0.02</v>
      </c>
      <c r="AB10" s="21">
        <f>Summary!$C$3</f>
        <v>0.02</v>
      </c>
      <c r="AC10" s="21">
        <f>Summary!$C$3</f>
        <v>0.02</v>
      </c>
      <c r="AD10" s="21">
        <f>Summary!$C$3</f>
        <v>0.02</v>
      </c>
      <c r="AE10" s="21">
        <f>Summary!$C$3</f>
        <v>0.02</v>
      </c>
      <c r="AF10" s="21">
        <f>Summary!$C$3</f>
        <v>0.02</v>
      </c>
      <c r="AG10" s="21">
        <f>Summary!$C$3</f>
        <v>0.02</v>
      </c>
      <c r="AH10" s="21">
        <f>Summary!$C$3</f>
        <v>0.02</v>
      </c>
      <c r="AI10" s="21">
        <f>Summary!$C$3</f>
        <v>0.02</v>
      </c>
      <c r="AJ10" s="102">
        <f>Summary!$C$3</f>
        <v>0.02</v>
      </c>
    </row>
    <row r="11" spans="2:36" x14ac:dyDescent="0.3">
      <c r="B11" s="278" t="s">
        <v>93</v>
      </c>
      <c r="C11" s="279"/>
      <c r="D11" s="21">
        <f>Summary!$C$4</f>
        <v>0.25</v>
      </c>
      <c r="E11" s="21">
        <f>Summary!$C$4</f>
        <v>0.25</v>
      </c>
      <c r="F11" s="21">
        <f>Summary!$C$4</f>
        <v>0.25</v>
      </c>
      <c r="G11" s="21">
        <f>Summary!$C$4</f>
        <v>0.25</v>
      </c>
      <c r="H11" s="21">
        <f>Summary!$C$4</f>
        <v>0.25</v>
      </c>
      <c r="I11" s="21">
        <f>Summary!$C$4</f>
        <v>0.25</v>
      </c>
      <c r="J11" s="21">
        <f>Summary!$C$4</f>
        <v>0.25</v>
      </c>
      <c r="K11" s="21">
        <f>Summary!$C$4</f>
        <v>0.25</v>
      </c>
      <c r="L11" s="21">
        <f>Summary!$C$4</f>
        <v>0.25</v>
      </c>
      <c r="M11" s="21">
        <f>Summary!$C$4</f>
        <v>0.25</v>
      </c>
      <c r="N11" s="21">
        <f>Summary!$C$4</f>
        <v>0.25</v>
      </c>
      <c r="O11" s="21">
        <f>Summary!$C$4</f>
        <v>0.25</v>
      </c>
      <c r="P11" s="21">
        <f>Summary!$C$4</f>
        <v>0.25</v>
      </c>
      <c r="Q11" s="21">
        <f>Summary!$C$4</f>
        <v>0.25</v>
      </c>
      <c r="R11" s="21">
        <f>Summary!$C$4</f>
        <v>0.25</v>
      </c>
      <c r="S11" s="21">
        <f>Summary!$C$4</f>
        <v>0.25</v>
      </c>
      <c r="T11" s="21">
        <f>Summary!$C$4</f>
        <v>0.25</v>
      </c>
      <c r="U11" s="21">
        <f>Summary!$C$4</f>
        <v>0.25</v>
      </c>
      <c r="V11" s="21">
        <f>Summary!$C$4</f>
        <v>0.25</v>
      </c>
      <c r="W11" s="21">
        <f>Summary!$C$4</f>
        <v>0.25</v>
      </c>
      <c r="X11" s="21">
        <f>Summary!$C$4</f>
        <v>0.25</v>
      </c>
      <c r="Y11" s="21">
        <f>Summary!$C$4</f>
        <v>0.25</v>
      </c>
      <c r="Z11" s="21">
        <f>Summary!$C$4</f>
        <v>0.25</v>
      </c>
      <c r="AA11" s="21">
        <f>Summary!$C$4</f>
        <v>0.25</v>
      </c>
      <c r="AB11" s="21">
        <f>Summary!$C$4</f>
        <v>0.25</v>
      </c>
      <c r="AC11" s="21">
        <f>Summary!$C$4</f>
        <v>0.25</v>
      </c>
      <c r="AD11" s="21">
        <f>Summary!$C$4</f>
        <v>0.25</v>
      </c>
      <c r="AE11" s="21">
        <f>Summary!$C$4</f>
        <v>0.25</v>
      </c>
      <c r="AF11" s="21">
        <f>Summary!$C$4</f>
        <v>0.25</v>
      </c>
      <c r="AG11" s="21">
        <f>Summary!$C$4</f>
        <v>0.25</v>
      </c>
      <c r="AH11" s="21">
        <f>Summary!$C$4</f>
        <v>0.25</v>
      </c>
      <c r="AI11" s="21">
        <f>Summary!$C$4</f>
        <v>0.25</v>
      </c>
      <c r="AJ11" s="37">
        <f>Summary!$C$4</f>
        <v>0.25</v>
      </c>
    </row>
    <row r="12" spans="2:36" x14ac:dyDescent="0.3">
      <c r="B12" s="278" t="s">
        <v>65</v>
      </c>
      <c r="C12" s="279"/>
      <c r="D12" s="21">
        <f>Summary!$C$7</f>
        <v>5.2000000000000005E-2</v>
      </c>
      <c r="E12" s="21">
        <f>Summary!$C$7</f>
        <v>5.2000000000000005E-2</v>
      </c>
      <c r="F12" s="21">
        <f>Summary!$C$7</f>
        <v>5.2000000000000005E-2</v>
      </c>
      <c r="G12" s="21">
        <f>Summary!$C$7</f>
        <v>5.2000000000000005E-2</v>
      </c>
      <c r="H12" s="21">
        <f>Summary!$C$7</f>
        <v>5.2000000000000005E-2</v>
      </c>
      <c r="I12" s="21">
        <f>Summary!$C$7</f>
        <v>5.2000000000000005E-2</v>
      </c>
      <c r="J12" s="21">
        <f>Summary!$C$7</f>
        <v>5.2000000000000005E-2</v>
      </c>
      <c r="K12" s="21">
        <f>Summary!$C$7</f>
        <v>5.2000000000000005E-2</v>
      </c>
      <c r="L12" s="21">
        <f>Summary!$C$7</f>
        <v>5.2000000000000005E-2</v>
      </c>
      <c r="M12" s="21">
        <f>Summary!$C$7</f>
        <v>5.2000000000000005E-2</v>
      </c>
      <c r="N12" s="21">
        <f>Summary!$C$7</f>
        <v>5.2000000000000005E-2</v>
      </c>
      <c r="O12" s="21">
        <f>Summary!$C$7</f>
        <v>5.2000000000000005E-2</v>
      </c>
      <c r="P12" s="21">
        <f>Summary!$C$7</f>
        <v>5.2000000000000005E-2</v>
      </c>
      <c r="Q12" s="21">
        <f>Summary!$C$7</f>
        <v>5.2000000000000005E-2</v>
      </c>
      <c r="R12" s="21">
        <f>Summary!$C$7</f>
        <v>5.2000000000000005E-2</v>
      </c>
      <c r="S12" s="21">
        <f>Summary!$C$7</f>
        <v>5.2000000000000005E-2</v>
      </c>
      <c r="T12" s="21">
        <f>Summary!$C$7</f>
        <v>5.2000000000000005E-2</v>
      </c>
      <c r="U12" s="21">
        <f>Summary!$C$7</f>
        <v>5.2000000000000005E-2</v>
      </c>
      <c r="V12" s="21">
        <f>Summary!$C$7</f>
        <v>5.2000000000000005E-2</v>
      </c>
      <c r="W12" s="21">
        <f>Summary!$C$7</f>
        <v>5.2000000000000005E-2</v>
      </c>
      <c r="X12" s="21">
        <f>Summary!$C$7</f>
        <v>5.2000000000000005E-2</v>
      </c>
      <c r="Y12" s="21">
        <f>Summary!$C$7</f>
        <v>5.2000000000000005E-2</v>
      </c>
      <c r="Z12" s="21">
        <f>Summary!$C$7</f>
        <v>5.2000000000000005E-2</v>
      </c>
      <c r="AA12" s="21">
        <f>Summary!$C$7</f>
        <v>5.2000000000000005E-2</v>
      </c>
      <c r="AB12" s="21">
        <f>Summary!$C$7</f>
        <v>5.2000000000000005E-2</v>
      </c>
      <c r="AC12" s="21">
        <f>Summary!$C$7</f>
        <v>5.2000000000000005E-2</v>
      </c>
      <c r="AD12" s="21">
        <f>Summary!$C$7</f>
        <v>5.2000000000000005E-2</v>
      </c>
      <c r="AE12" s="21">
        <f>Summary!$C$7</f>
        <v>5.2000000000000005E-2</v>
      </c>
      <c r="AF12" s="21">
        <f>Summary!$C$7</f>
        <v>5.2000000000000005E-2</v>
      </c>
      <c r="AG12" s="21">
        <f>Summary!$C$7</f>
        <v>5.2000000000000005E-2</v>
      </c>
      <c r="AH12" s="21">
        <f>Summary!$C$7</f>
        <v>5.2000000000000005E-2</v>
      </c>
      <c r="AI12" s="21">
        <f>Summary!$C$7</f>
        <v>5.2000000000000005E-2</v>
      </c>
      <c r="AJ12" s="37">
        <f>Summary!$C$7</f>
        <v>5.2000000000000005E-2</v>
      </c>
    </row>
    <row r="13" spans="2:36" x14ac:dyDescent="0.3">
      <c r="B13" s="278" t="s">
        <v>63</v>
      </c>
      <c r="C13" s="279"/>
      <c r="D13" s="21">
        <f>Summary!$C$8</f>
        <v>4.4999999999999998E-2</v>
      </c>
      <c r="E13" s="21">
        <f>Summary!$C$8</f>
        <v>4.4999999999999998E-2</v>
      </c>
      <c r="F13" s="21">
        <f>Summary!$C$8</f>
        <v>4.4999999999999998E-2</v>
      </c>
      <c r="G13" s="21">
        <f>Summary!$C$8</f>
        <v>4.4999999999999998E-2</v>
      </c>
      <c r="H13" s="21">
        <f>Summary!$C$8</f>
        <v>4.4999999999999998E-2</v>
      </c>
      <c r="I13" s="21">
        <f>Summary!$C$8</f>
        <v>4.4999999999999998E-2</v>
      </c>
      <c r="J13" s="21">
        <f>Summary!$C$8</f>
        <v>4.4999999999999998E-2</v>
      </c>
      <c r="K13" s="21">
        <f>Summary!$C$8</f>
        <v>4.4999999999999998E-2</v>
      </c>
      <c r="L13" s="21">
        <f>Summary!$C$8</f>
        <v>4.4999999999999998E-2</v>
      </c>
      <c r="M13" s="21">
        <f>Summary!$C$8</f>
        <v>4.4999999999999998E-2</v>
      </c>
      <c r="N13" s="21">
        <f>Summary!$C$8</f>
        <v>4.4999999999999998E-2</v>
      </c>
      <c r="O13" s="21">
        <f>Summary!$C$8</f>
        <v>4.4999999999999998E-2</v>
      </c>
      <c r="P13" s="21">
        <f>Summary!$C$8</f>
        <v>4.4999999999999998E-2</v>
      </c>
      <c r="Q13" s="21">
        <f>Summary!$C$8</f>
        <v>4.4999999999999998E-2</v>
      </c>
      <c r="R13" s="21">
        <f>Summary!$C$8</f>
        <v>4.4999999999999998E-2</v>
      </c>
      <c r="S13" s="21">
        <f>Summary!$C$8</f>
        <v>4.4999999999999998E-2</v>
      </c>
      <c r="T13" s="21">
        <f>Summary!$C$8</f>
        <v>4.4999999999999998E-2</v>
      </c>
      <c r="U13" s="21">
        <f>Summary!$C$8</f>
        <v>4.4999999999999998E-2</v>
      </c>
      <c r="V13" s="21">
        <f>Summary!$C$8</f>
        <v>4.4999999999999998E-2</v>
      </c>
      <c r="W13" s="21">
        <f>Summary!$C$8</f>
        <v>4.4999999999999998E-2</v>
      </c>
      <c r="X13" s="21">
        <f>Summary!$C$8</f>
        <v>4.4999999999999998E-2</v>
      </c>
      <c r="Y13" s="21">
        <f>Summary!$C$8</f>
        <v>4.4999999999999998E-2</v>
      </c>
      <c r="Z13" s="21">
        <f>Summary!$C$8</f>
        <v>4.4999999999999998E-2</v>
      </c>
      <c r="AA13" s="21">
        <f>Summary!$C$8</f>
        <v>4.4999999999999998E-2</v>
      </c>
      <c r="AB13" s="21">
        <f>Summary!$C$8</f>
        <v>4.4999999999999998E-2</v>
      </c>
      <c r="AC13" s="21">
        <f>Summary!$C$8</f>
        <v>4.4999999999999998E-2</v>
      </c>
      <c r="AD13" s="21">
        <f>Summary!$C$8</f>
        <v>4.4999999999999998E-2</v>
      </c>
      <c r="AE13" s="21">
        <f>Summary!$C$8</f>
        <v>4.4999999999999998E-2</v>
      </c>
      <c r="AF13" s="21">
        <f>Summary!$C$8</f>
        <v>4.4999999999999998E-2</v>
      </c>
      <c r="AG13" s="21">
        <f>Summary!$C$8</f>
        <v>4.4999999999999998E-2</v>
      </c>
      <c r="AH13" s="21">
        <f>Summary!$C$8</f>
        <v>4.4999999999999998E-2</v>
      </c>
      <c r="AI13" s="21">
        <f>Summary!$C$8</f>
        <v>4.4999999999999998E-2</v>
      </c>
      <c r="AJ13" s="37">
        <f>Summary!$C$8</f>
        <v>4.4999999999999998E-2</v>
      </c>
    </row>
    <row r="14" spans="2:36" x14ac:dyDescent="0.3">
      <c r="B14" s="278" t="s">
        <v>86</v>
      </c>
      <c r="C14" s="279"/>
      <c r="D14" s="21">
        <f>Summary!$C$9</f>
        <v>3.1372549019607954E-2</v>
      </c>
      <c r="E14" s="21">
        <f>Summary!$C$9</f>
        <v>3.1372549019607954E-2</v>
      </c>
      <c r="F14" s="21">
        <f>Summary!$C$9</f>
        <v>3.1372549019607954E-2</v>
      </c>
      <c r="G14" s="21">
        <f>Summary!$C$9</f>
        <v>3.1372549019607954E-2</v>
      </c>
      <c r="H14" s="21">
        <f>Summary!$C$9</f>
        <v>3.1372549019607954E-2</v>
      </c>
      <c r="I14" s="21">
        <f>Summary!$C$9</f>
        <v>3.1372549019607954E-2</v>
      </c>
      <c r="J14" s="21">
        <f>Summary!$C$9</f>
        <v>3.1372549019607954E-2</v>
      </c>
      <c r="K14" s="21">
        <f>Summary!$C$9</f>
        <v>3.1372549019607954E-2</v>
      </c>
      <c r="L14" s="21">
        <f>Summary!$C$9</f>
        <v>3.1372549019607954E-2</v>
      </c>
      <c r="M14" s="21">
        <f>Summary!$C$9</f>
        <v>3.1372549019607954E-2</v>
      </c>
      <c r="N14" s="21">
        <f>Summary!$C$9</f>
        <v>3.1372549019607954E-2</v>
      </c>
      <c r="O14" s="21">
        <f>Summary!$C$9</f>
        <v>3.1372549019607954E-2</v>
      </c>
      <c r="P14" s="21">
        <f>Summary!$C$9</f>
        <v>3.1372549019607954E-2</v>
      </c>
      <c r="Q14" s="21">
        <f>Summary!$C$9</f>
        <v>3.1372549019607954E-2</v>
      </c>
      <c r="R14" s="21">
        <f>Summary!$C$9</f>
        <v>3.1372549019607954E-2</v>
      </c>
      <c r="S14" s="21">
        <f>Summary!$C$9</f>
        <v>3.1372549019607954E-2</v>
      </c>
      <c r="T14" s="21">
        <f>Summary!$C$9</f>
        <v>3.1372549019607954E-2</v>
      </c>
      <c r="U14" s="21">
        <f>Summary!$C$9</f>
        <v>3.1372549019607954E-2</v>
      </c>
      <c r="V14" s="21">
        <f>Summary!$C$9</f>
        <v>3.1372549019607954E-2</v>
      </c>
      <c r="W14" s="21">
        <f>Summary!$C$9</f>
        <v>3.1372549019607954E-2</v>
      </c>
      <c r="X14" s="21">
        <f>Summary!$C$9</f>
        <v>3.1372549019607954E-2</v>
      </c>
      <c r="Y14" s="21">
        <f>Summary!$C$9</f>
        <v>3.1372549019607954E-2</v>
      </c>
      <c r="Z14" s="21">
        <f>Summary!$C$9</f>
        <v>3.1372549019607954E-2</v>
      </c>
      <c r="AA14" s="21">
        <f>Summary!$C$9</f>
        <v>3.1372549019607954E-2</v>
      </c>
      <c r="AB14" s="21">
        <f>Summary!$C$9</f>
        <v>3.1372549019607954E-2</v>
      </c>
      <c r="AC14" s="21">
        <f>Summary!$C$9</f>
        <v>3.1372549019607954E-2</v>
      </c>
      <c r="AD14" s="21">
        <f>Summary!$C$9</f>
        <v>3.1372549019607954E-2</v>
      </c>
      <c r="AE14" s="21">
        <f>Summary!$C$9</f>
        <v>3.1372549019607954E-2</v>
      </c>
      <c r="AF14" s="21">
        <f>Summary!$C$9</f>
        <v>3.1372549019607954E-2</v>
      </c>
      <c r="AG14" s="21">
        <f>Summary!$C$9</f>
        <v>3.1372549019607954E-2</v>
      </c>
      <c r="AH14" s="21">
        <f>Summary!$C$9</f>
        <v>3.1372549019607954E-2</v>
      </c>
      <c r="AI14" s="21">
        <f>Summary!$C$9</f>
        <v>3.1372549019607954E-2</v>
      </c>
      <c r="AJ14" s="37">
        <f>Summary!$C$9</f>
        <v>3.1372549019607954E-2</v>
      </c>
    </row>
    <row r="15" spans="2:36" x14ac:dyDescent="0.3">
      <c r="B15" s="289" t="s">
        <v>64</v>
      </c>
      <c r="C15" s="290"/>
      <c r="D15" s="39">
        <f>Summary!$C$10</f>
        <v>2.450980392156854E-2</v>
      </c>
      <c r="E15" s="39">
        <f>Summary!$C$10</f>
        <v>2.450980392156854E-2</v>
      </c>
      <c r="F15" s="39">
        <f>Summary!$C$10</f>
        <v>2.450980392156854E-2</v>
      </c>
      <c r="G15" s="39">
        <f>Summary!$C$10</f>
        <v>2.450980392156854E-2</v>
      </c>
      <c r="H15" s="39">
        <f>Summary!$C$10</f>
        <v>2.450980392156854E-2</v>
      </c>
      <c r="I15" s="39">
        <f>Summary!$C$10</f>
        <v>2.450980392156854E-2</v>
      </c>
      <c r="J15" s="39">
        <f>Summary!$C$10</f>
        <v>2.450980392156854E-2</v>
      </c>
      <c r="K15" s="39">
        <f>Summary!$C$10</f>
        <v>2.450980392156854E-2</v>
      </c>
      <c r="L15" s="39">
        <f>Summary!$C$10</f>
        <v>2.450980392156854E-2</v>
      </c>
      <c r="M15" s="39">
        <f>Summary!$C$10</f>
        <v>2.450980392156854E-2</v>
      </c>
      <c r="N15" s="39">
        <f>Summary!$C$10</f>
        <v>2.450980392156854E-2</v>
      </c>
      <c r="O15" s="39">
        <f>Summary!$C$10</f>
        <v>2.450980392156854E-2</v>
      </c>
      <c r="P15" s="39">
        <f>Summary!$C$10</f>
        <v>2.450980392156854E-2</v>
      </c>
      <c r="Q15" s="39">
        <f>Summary!$C$10</f>
        <v>2.450980392156854E-2</v>
      </c>
      <c r="R15" s="39">
        <f>Summary!$C$10</f>
        <v>2.450980392156854E-2</v>
      </c>
      <c r="S15" s="39">
        <f>Summary!$C$10</f>
        <v>2.450980392156854E-2</v>
      </c>
      <c r="T15" s="39">
        <f>Summary!$C$10</f>
        <v>2.450980392156854E-2</v>
      </c>
      <c r="U15" s="39">
        <f>Summary!$C$10</f>
        <v>2.450980392156854E-2</v>
      </c>
      <c r="V15" s="39">
        <f>Summary!$C$10</f>
        <v>2.450980392156854E-2</v>
      </c>
      <c r="W15" s="39">
        <f>Summary!$C$10</f>
        <v>2.450980392156854E-2</v>
      </c>
      <c r="X15" s="39">
        <f>Summary!$C$10</f>
        <v>2.450980392156854E-2</v>
      </c>
      <c r="Y15" s="39">
        <f>Summary!$C$10</f>
        <v>2.450980392156854E-2</v>
      </c>
      <c r="Z15" s="39">
        <f>Summary!$C$10</f>
        <v>2.450980392156854E-2</v>
      </c>
      <c r="AA15" s="39">
        <f>Summary!$C$10</f>
        <v>2.450980392156854E-2</v>
      </c>
      <c r="AB15" s="39">
        <f>Summary!$C$10</f>
        <v>2.450980392156854E-2</v>
      </c>
      <c r="AC15" s="39">
        <f>Summary!$C$10</f>
        <v>2.450980392156854E-2</v>
      </c>
      <c r="AD15" s="39">
        <f>Summary!$C$10</f>
        <v>2.450980392156854E-2</v>
      </c>
      <c r="AE15" s="39">
        <f>Summary!$C$10</f>
        <v>2.450980392156854E-2</v>
      </c>
      <c r="AF15" s="39">
        <f>Summary!$C$10</f>
        <v>2.450980392156854E-2</v>
      </c>
      <c r="AG15" s="39">
        <f>Summary!$C$10</f>
        <v>2.450980392156854E-2</v>
      </c>
      <c r="AH15" s="39">
        <f>Summary!$C$10</f>
        <v>2.450980392156854E-2</v>
      </c>
      <c r="AI15" s="39">
        <f>Summary!$C$10</f>
        <v>2.450980392156854E-2</v>
      </c>
      <c r="AJ15" s="40">
        <f>Summary!$C$10</f>
        <v>2.450980392156854E-2</v>
      </c>
    </row>
    <row r="16" spans="2:36" ht="7.2" customHeight="1" x14ac:dyDescent="0.3">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row>
    <row r="17" spans="2:36" ht="14.4" customHeight="1" x14ac:dyDescent="0.3">
      <c r="B17" s="44" t="s">
        <v>157</v>
      </c>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6"/>
    </row>
    <row r="18" spans="2:36" x14ac:dyDescent="0.3">
      <c r="B18" s="291" t="s">
        <v>75</v>
      </c>
      <c r="C18" s="292"/>
      <c r="D18" s="12">
        <f t="shared" ref="D18:AJ18" si="0">(1+D12)^-D4</f>
        <v>1.2247937436160004</v>
      </c>
      <c r="E18" s="12">
        <f t="shared" si="0"/>
        <v>1.1642526080000002</v>
      </c>
      <c r="F18" s="12">
        <f t="shared" si="0"/>
        <v>1.1067040000000001</v>
      </c>
      <c r="G18" s="12">
        <f t="shared" si="0"/>
        <v>1.052</v>
      </c>
      <c r="H18" s="12">
        <f>(1+H12)^-H4</f>
        <v>1</v>
      </c>
      <c r="I18" s="12">
        <f t="shared" si="0"/>
        <v>0.9505703422053231</v>
      </c>
      <c r="J18" s="12">
        <f t="shared" si="0"/>
        <v>0.90358397548034508</v>
      </c>
      <c r="K18" s="12">
        <f t="shared" si="0"/>
        <v>0.85892012878359802</v>
      </c>
      <c r="L18" s="12">
        <f t="shared" si="0"/>
        <v>0.81646400074486492</v>
      </c>
      <c r="M18" s="12">
        <f t="shared" si="0"/>
        <v>0.77610646458637356</v>
      </c>
      <c r="N18" s="12">
        <f t="shared" si="0"/>
        <v>0.73774378762963255</v>
      </c>
      <c r="O18" s="12">
        <f t="shared" si="0"/>
        <v>0.70127736466695112</v>
      </c>
      <c r="P18" s="12">
        <f t="shared" si="0"/>
        <v>0.66661346451231074</v>
      </c>
      <c r="Q18" s="12">
        <f t="shared" si="0"/>
        <v>0.63366298908014329</v>
      </c>
      <c r="R18" s="12">
        <f t="shared" si="0"/>
        <v>0.60234124437275971</v>
      </c>
      <c r="S18" s="12">
        <f t="shared" si="0"/>
        <v>0.57256772278779433</v>
      </c>
      <c r="T18" s="12">
        <f t="shared" si="0"/>
        <v>0.5442658961861162</v>
      </c>
      <c r="U18" s="12">
        <f t="shared" si="0"/>
        <v>0.51736301918832339</v>
      </c>
      <c r="V18" s="12">
        <f t="shared" si="0"/>
        <v>0.49178994219422373</v>
      </c>
      <c r="W18" s="12">
        <f t="shared" si="0"/>
        <v>0.46748093364469939</v>
      </c>
      <c r="X18" s="12">
        <f t="shared" si="0"/>
        <v>0.44437351106910578</v>
      </c>
      <c r="Y18" s="12">
        <f t="shared" si="0"/>
        <v>0.4224082804839408</v>
      </c>
      <c r="Z18" s="12">
        <f t="shared" si="0"/>
        <v>0.4015287837299818</v>
      </c>
      <c r="AA18" s="12">
        <f t="shared" si="0"/>
        <v>0.38168135335549591</v>
      </c>
      <c r="AB18" s="12">
        <f t="shared" si="0"/>
        <v>0.36281497467252466</v>
      </c>
      <c r="AC18" s="12">
        <f t="shared" si="0"/>
        <v>0.3448811546316774</v>
      </c>
      <c r="AD18" s="12">
        <f t="shared" si="0"/>
        <v>0.32783379717840055</v>
      </c>
      <c r="AE18" s="12">
        <f t="shared" si="0"/>
        <v>0.31162908477034273</v>
      </c>
      <c r="AF18" s="12">
        <f t="shared" si="0"/>
        <v>0.29622536575127628</v>
      </c>
      <c r="AG18" s="12">
        <f t="shared" si="0"/>
        <v>0.28158304729208772</v>
      </c>
      <c r="AH18" s="12">
        <f t="shared" si="0"/>
        <v>0.26766449362365752</v>
      </c>
      <c r="AI18" s="12">
        <f t="shared" si="0"/>
        <v>0.2544339293000546</v>
      </c>
      <c r="AJ18" s="89">
        <f t="shared" si="0"/>
        <v>0.24185734724339791</v>
      </c>
    </row>
    <row r="19" spans="2:36" x14ac:dyDescent="0.3">
      <c r="B19" s="278" t="s">
        <v>76</v>
      </c>
      <c r="C19" s="279"/>
      <c r="D19" s="12">
        <f t="shared" ref="D19:AJ19" si="1">(1+D13)^-D4</f>
        <v>1.1925186006249995</v>
      </c>
      <c r="E19" s="12">
        <f t="shared" si="1"/>
        <v>1.1411661249999998</v>
      </c>
      <c r="F19" s="12">
        <f t="shared" si="1"/>
        <v>1.0920249999999998</v>
      </c>
      <c r="G19" s="12">
        <f t="shared" si="1"/>
        <v>1.0449999999999999</v>
      </c>
      <c r="H19" s="12">
        <f t="shared" si="1"/>
        <v>1</v>
      </c>
      <c r="I19" s="12">
        <f t="shared" si="1"/>
        <v>0.95693779904306231</v>
      </c>
      <c r="J19" s="12">
        <f>(1+J13)^-J4</f>
        <v>0.91572995123738021</v>
      </c>
      <c r="K19" s="12">
        <f t="shared" si="1"/>
        <v>0.87629660405490928</v>
      </c>
      <c r="L19" s="12">
        <f t="shared" si="1"/>
        <v>0.83856134359321488</v>
      </c>
      <c r="M19" s="12">
        <f t="shared" si="1"/>
        <v>0.80245104650068411</v>
      </c>
      <c r="N19" s="12">
        <f t="shared" si="1"/>
        <v>0.76789573827816682</v>
      </c>
      <c r="O19" s="12">
        <f t="shared" si="1"/>
        <v>0.73482845768245619</v>
      </c>
      <c r="P19" s="12">
        <f t="shared" si="1"/>
        <v>0.70318512696885782</v>
      </c>
      <c r="Q19" s="12">
        <f t="shared" si="1"/>
        <v>0.67290442772139514</v>
      </c>
      <c r="R19" s="12">
        <f t="shared" si="1"/>
        <v>0.64392768203004325</v>
      </c>
      <c r="S19" s="12">
        <f t="shared" si="1"/>
        <v>0.61619873878473042</v>
      </c>
      <c r="T19" s="12">
        <f t="shared" si="1"/>
        <v>0.58966386486577083</v>
      </c>
      <c r="U19" s="12">
        <f t="shared" si="1"/>
        <v>0.56427164101987637</v>
      </c>
      <c r="V19" s="12">
        <f t="shared" si="1"/>
        <v>0.53997286221997753</v>
      </c>
      <c r="W19" s="12">
        <f t="shared" si="1"/>
        <v>0.51672044231576797</v>
      </c>
      <c r="X19" s="12">
        <f t="shared" si="1"/>
        <v>0.49446932279020878</v>
      </c>
      <c r="Y19" s="12">
        <f t="shared" si="1"/>
        <v>0.47317638544517582</v>
      </c>
      <c r="Z19" s="12">
        <f t="shared" si="1"/>
        <v>0.45280036884705832</v>
      </c>
      <c r="AA19" s="12">
        <f t="shared" si="1"/>
        <v>0.43330178837039074</v>
      </c>
      <c r="AB19" s="12">
        <f t="shared" si="1"/>
        <v>0.41464285968458453</v>
      </c>
      <c r="AC19" s="12">
        <f t="shared" si="1"/>
        <v>0.39678742553548757</v>
      </c>
      <c r="AD19" s="12">
        <f t="shared" si="1"/>
        <v>0.37970088567989252</v>
      </c>
      <c r="AE19" s="12">
        <f t="shared" si="1"/>
        <v>0.36335012983721771</v>
      </c>
      <c r="AF19" s="12">
        <f t="shared" si="1"/>
        <v>0.34770347352843806</v>
      </c>
      <c r="AG19" s="12">
        <f t="shared" si="1"/>
        <v>0.3327305966779312</v>
      </c>
      <c r="AH19" s="12">
        <f t="shared" si="1"/>
        <v>0.31840248485926437</v>
      </c>
      <c r="AI19" s="12">
        <f t="shared" si="1"/>
        <v>0.30469137307106642</v>
      </c>
      <c r="AJ19" s="47">
        <f t="shared" si="1"/>
        <v>0.2915706919340349</v>
      </c>
    </row>
    <row r="20" spans="2:36" x14ac:dyDescent="0.3">
      <c r="B20" s="278" t="s">
        <v>88</v>
      </c>
      <c r="C20" s="279"/>
      <c r="D20" s="12">
        <f t="shared" ref="D20:AJ20" si="2">(1+D14)^-D4</f>
        <v>1.1315200978655331</v>
      </c>
      <c r="E20" s="12">
        <f t="shared" si="2"/>
        <v>1.0971012355730454</v>
      </c>
      <c r="F20" s="12">
        <f t="shared" si="2"/>
        <v>1.0637293348712036</v>
      </c>
      <c r="G20" s="12">
        <f t="shared" si="2"/>
        <v>1.031372549019608</v>
      </c>
      <c r="H20" s="12">
        <f t="shared" si="2"/>
        <v>1</v>
      </c>
      <c r="I20" s="12">
        <f t="shared" si="2"/>
        <v>0.96958174904942951</v>
      </c>
      <c r="J20" s="12">
        <f t="shared" si="2"/>
        <v>0.94008876808975106</v>
      </c>
      <c r="K20" s="12">
        <f t="shared" si="2"/>
        <v>0.91149291202618432</v>
      </c>
      <c r="L20" s="12">
        <f t="shared" si="2"/>
        <v>0.88376689188850577</v>
      </c>
      <c r="M20" s="12">
        <f t="shared" si="2"/>
        <v>0.85688424878923553</v>
      </c>
      <c r="N20" s="12">
        <f t="shared" si="2"/>
        <v>0.83081932867397346</v>
      </c>
      <c r="O20" s="12">
        <f t="shared" si="2"/>
        <v>0.80554725783978409</v>
      </c>
      <c r="P20" s="12">
        <f t="shared" si="2"/>
        <v>0.78104391919826976</v>
      </c>
      <c r="Q20" s="12">
        <f t="shared" si="2"/>
        <v>0.75728592926067972</v>
      </c>
      <c r="R20" s="12">
        <f t="shared" si="2"/>
        <v>0.73425061582309248</v>
      </c>
      <c r="S20" s="12">
        <f t="shared" si="2"/>
        <v>0.71191599633037483</v>
      </c>
      <c r="T20" s="12">
        <f t="shared" si="2"/>
        <v>0.69026075689827204</v>
      </c>
      <c r="U20" s="12">
        <f t="shared" si="2"/>
        <v>0.66926423197360985</v>
      </c>
      <c r="V20" s="12">
        <f t="shared" si="2"/>
        <v>0.64890638461319561</v>
      </c>
      <c r="W20" s="12">
        <f t="shared" si="2"/>
        <v>0.62916778736260415</v>
      </c>
      <c r="X20" s="12">
        <f t="shared" si="2"/>
        <v>0.61002960371659343</v>
      </c>
      <c r="Y20" s="12">
        <f t="shared" si="2"/>
        <v>0.59147357014346502</v>
      </c>
      <c r="Z20" s="12">
        <f t="shared" si="2"/>
        <v>0.5734819786562112</v>
      </c>
      <c r="AA20" s="12">
        <f t="shared" si="2"/>
        <v>0.55603765991381693</v>
      </c>
      <c r="AB20" s="12">
        <f t="shared" si="2"/>
        <v>0.53912396683659058</v>
      </c>
      <c r="AC20" s="12">
        <f t="shared" si="2"/>
        <v>0.52272475871988822</v>
      </c>
      <c r="AD20" s="12">
        <f t="shared" si="2"/>
        <v>0.50682438583107015</v>
      </c>
      <c r="AE20" s="12">
        <f t="shared" si="2"/>
        <v>0.49140767447499201</v>
      </c>
      <c r="AF20" s="12">
        <f t="shared" si="2"/>
        <v>0.47645991251377545</v>
      </c>
      <c r="AG20" s="12">
        <f t="shared" si="2"/>
        <v>0.46196683532704469</v>
      </c>
      <c r="AH20" s="12">
        <f t="shared" si="2"/>
        <v>0.44791461219922568</v>
      </c>
      <c r="AI20" s="12">
        <f t="shared" si="2"/>
        <v>0.43428983312092223</v>
      </c>
      <c r="AJ20" s="47">
        <f t="shared" si="2"/>
        <v>0.42107949599176869</v>
      </c>
    </row>
    <row r="21" spans="2:36" x14ac:dyDescent="0.3">
      <c r="B21" s="289" t="s">
        <v>66</v>
      </c>
      <c r="C21" s="290"/>
      <c r="D21" s="48">
        <f t="shared" ref="D21:AJ21" si="3">(1+D15)^-D4</f>
        <v>1.1017028546389454</v>
      </c>
      <c r="E21" s="48">
        <f t="shared" si="3"/>
        <v>1.0753463270160042</v>
      </c>
      <c r="F21" s="48">
        <f t="shared" si="3"/>
        <v>1.0496203383314109</v>
      </c>
      <c r="G21" s="48">
        <f t="shared" si="3"/>
        <v>1.0245098039215685</v>
      </c>
      <c r="H21" s="48">
        <f t="shared" si="3"/>
        <v>1</v>
      </c>
      <c r="I21" s="48">
        <f t="shared" si="3"/>
        <v>0.97607655502392354</v>
      </c>
      <c r="J21" s="48">
        <f t="shared" si="3"/>
        <v>0.95272544126737035</v>
      </c>
      <c r="K21" s="48">
        <f t="shared" si="3"/>
        <v>0.9299329665959023</v>
      </c>
      <c r="L21" s="48">
        <f t="shared" si="3"/>
        <v>0.90768576643810561</v>
      </c>
      <c r="M21" s="48">
        <f t="shared" si="3"/>
        <v>0.88597079594915584</v>
      </c>
      <c r="N21" s="48">
        <f t="shared" si="3"/>
        <v>0.86477532236185539</v>
      </c>
      <c r="O21" s="48">
        <f t="shared" si="3"/>
        <v>0.84408691752066289</v>
      </c>
      <c r="P21" s="48">
        <f t="shared" si="3"/>
        <v>0.82389345059433128</v>
      </c>
      <c r="Q21" s="48">
        <f t="shared" si="3"/>
        <v>0.80418308096288793</v>
      </c>
      <c r="R21" s="48">
        <f t="shared" si="3"/>
        <v>0.78494425127478062</v>
      </c>
      <c r="S21" s="48">
        <f t="shared" si="3"/>
        <v>0.76616568067012081</v>
      </c>
      <c r="T21" s="48">
        <f t="shared" si="3"/>
        <v>0.74783635816605099</v>
      </c>
      <c r="U21" s="48">
        <f t="shared" si="3"/>
        <v>0.72994553620035618</v>
      </c>
      <c r="V21" s="48">
        <f t="shared" si="3"/>
        <v>0.71248272432953419</v>
      </c>
      <c r="W21" s="48">
        <f t="shared" si="3"/>
        <v>0.69543768307763165</v>
      </c>
      <c r="X21" s="48">
        <f t="shared" si="3"/>
        <v>0.67880041793223367</v>
      </c>
      <c r="Y21" s="48">
        <f t="shared" si="3"/>
        <v>0.66256117348409427</v>
      </c>
      <c r="Z21" s="48">
        <f t="shared" si="3"/>
        <v>0.64671042770696285</v>
      </c>
      <c r="AA21" s="48">
        <f t="shared" si="3"/>
        <v>0.6312388863742604</v>
      </c>
      <c r="AB21" s="48">
        <f t="shared" si="3"/>
        <v>0.61613747760932602</v>
      </c>
      <c r="AC21" s="48">
        <f t="shared" si="3"/>
        <v>0.60139734656604082</v>
      </c>
      <c r="AD21" s="48">
        <f t="shared" si="3"/>
        <v>0.5870098502367096</v>
      </c>
      <c r="AE21" s="48">
        <f t="shared" si="3"/>
        <v>0.57296655238415684</v>
      </c>
      <c r="AF21" s="48">
        <f t="shared" si="3"/>
        <v>0.55925921859506222</v>
      </c>
      <c r="AG21" s="48">
        <f t="shared" si="3"/>
        <v>0.54587981145163966</v>
      </c>
      <c r="AH21" s="48">
        <f t="shared" si="3"/>
        <v>0.53282048581882535</v>
      </c>
      <c r="AI21" s="48">
        <f t="shared" si="3"/>
        <v>0.52007358424421235</v>
      </c>
      <c r="AJ21" s="49">
        <f t="shared" si="3"/>
        <v>0.507631632468035</v>
      </c>
    </row>
    <row r="22" spans="2:36" ht="6.6" customHeight="1" thickBot="1" x14ac:dyDescent="0.35">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row>
    <row r="23" spans="2:36" ht="15" thickBot="1" x14ac:dyDescent="0.35">
      <c r="B23" s="280" t="s">
        <v>180</v>
      </c>
      <c r="C23" s="281"/>
      <c r="D23" s="281"/>
      <c r="E23" s="282"/>
    </row>
    <row r="24" spans="2:36" ht="7.2" customHeight="1" x14ac:dyDescent="0.3"/>
    <row r="25" spans="2:36" x14ac:dyDescent="0.3">
      <c r="B25" s="44" t="s">
        <v>104</v>
      </c>
      <c r="C25" s="82" t="s">
        <v>103</v>
      </c>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6"/>
    </row>
    <row r="26" spans="2:36" s="1" customFormat="1" x14ac:dyDescent="0.3">
      <c r="B26" s="153" t="s">
        <v>207</v>
      </c>
      <c r="C26" s="179">
        <f>SUM(D26:AJ26)</f>
        <v>82612.874826352374</v>
      </c>
      <c r="D26" s="76">
        <f>Summary!D$45</f>
        <v>0</v>
      </c>
      <c r="E26" s="76">
        <f>Summary!E$45</f>
        <v>0</v>
      </c>
      <c r="F26" s="76">
        <f>Summary!F$45</f>
        <v>0</v>
      </c>
      <c r="G26" s="76">
        <f>Summary!G$45</f>
        <v>0</v>
      </c>
      <c r="H26" s="76">
        <f>Summary!H$45</f>
        <v>0</v>
      </c>
      <c r="I26" s="76">
        <f>Summary!I$45</f>
        <v>0</v>
      </c>
      <c r="J26" s="76">
        <f>Summary!J$45</f>
        <v>3304.5149930540961</v>
      </c>
      <c r="K26" s="76">
        <f>Summary!K$45</f>
        <v>3304.5149930540961</v>
      </c>
      <c r="L26" s="76">
        <f>Summary!L$45</f>
        <v>3304.5149930540961</v>
      </c>
      <c r="M26" s="76">
        <f>Summary!M$45</f>
        <v>3304.5149930540961</v>
      </c>
      <c r="N26" s="76">
        <f>Summary!N$45</f>
        <v>3304.5149930540961</v>
      </c>
      <c r="O26" s="76">
        <f>Summary!O$45</f>
        <v>3304.5149930540961</v>
      </c>
      <c r="P26" s="76">
        <f>Summary!P$45</f>
        <v>3304.5149930540961</v>
      </c>
      <c r="Q26" s="76">
        <f>Summary!Q$45</f>
        <v>3304.5149930540961</v>
      </c>
      <c r="R26" s="76">
        <f>Summary!R$45</f>
        <v>3304.5149930540961</v>
      </c>
      <c r="S26" s="76">
        <f>Summary!S$45</f>
        <v>3304.5149930540961</v>
      </c>
      <c r="T26" s="76">
        <f>Summary!T$45</f>
        <v>3304.5149930540961</v>
      </c>
      <c r="U26" s="76">
        <f>Summary!U$45</f>
        <v>3304.5149930540961</v>
      </c>
      <c r="V26" s="76">
        <f>Summary!V$45</f>
        <v>3304.5149930540961</v>
      </c>
      <c r="W26" s="76">
        <f>Summary!W$45</f>
        <v>3304.5149930540961</v>
      </c>
      <c r="X26" s="76">
        <f>Summary!X$45</f>
        <v>3304.5149930540961</v>
      </c>
      <c r="Y26" s="76">
        <f>Summary!Y$45</f>
        <v>3304.5149930540961</v>
      </c>
      <c r="Z26" s="76">
        <f>Summary!Z$45</f>
        <v>3304.5149930540961</v>
      </c>
      <c r="AA26" s="76">
        <f>Summary!AA$45</f>
        <v>3304.5149930540961</v>
      </c>
      <c r="AB26" s="76">
        <f>Summary!AB$45</f>
        <v>3304.5149930540961</v>
      </c>
      <c r="AC26" s="76">
        <f>Summary!AC$45</f>
        <v>3304.5149930540961</v>
      </c>
      <c r="AD26" s="76">
        <f>Summary!AD$45</f>
        <v>3304.5149930540961</v>
      </c>
      <c r="AE26" s="76">
        <f>Summary!AE$45</f>
        <v>3304.5149930540961</v>
      </c>
      <c r="AF26" s="76">
        <f>Summary!AF$45</f>
        <v>3304.5149930540961</v>
      </c>
      <c r="AG26" s="76">
        <f>Summary!AG$45</f>
        <v>3304.5149930540961</v>
      </c>
      <c r="AH26" s="76">
        <f>Summary!AH$45</f>
        <v>3304.5149930540961</v>
      </c>
      <c r="AI26" s="76">
        <f>Summary!AI$45</f>
        <v>0</v>
      </c>
      <c r="AJ26" s="77">
        <f>Summary!AJ$45</f>
        <v>0</v>
      </c>
    </row>
    <row r="27" spans="2:36" ht="7.2" customHeight="1" x14ac:dyDescent="0.3"/>
    <row r="28" spans="2:36" s="1" customFormat="1" x14ac:dyDescent="0.3">
      <c r="B28" s="44" t="s">
        <v>105</v>
      </c>
      <c r="C28" s="82" t="s">
        <v>98</v>
      </c>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6"/>
    </row>
    <row r="29" spans="2:36" x14ac:dyDescent="0.3">
      <c r="B29" s="51" t="s">
        <v>279</v>
      </c>
      <c r="C29" s="51"/>
      <c r="D29" s="154">
        <f>Summary!D$49</f>
        <v>0</v>
      </c>
      <c r="E29" s="154">
        <f>Summary!E$49</f>
        <v>0</v>
      </c>
      <c r="F29" s="154">
        <f>Summary!F$49</f>
        <v>0</v>
      </c>
      <c r="G29" s="154">
        <f>Summary!G$49</f>
        <v>0</v>
      </c>
      <c r="H29" s="154">
        <f>Summary!H$49</f>
        <v>0</v>
      </c>
      <c r="I29" s="154">
        <f>Summary!I$49</f>
        <v>0</v>
      </c>
      <c r="J29" s="154">
        <f>Summary!J$49</f>
        <v>1</v>
      </c>
      <c r="K29" s="154">
        <f>Summary!K$49</f>
        <v>1</v>
      </c>
      <c r="L29" s="154">
        <f>Summary!L$49</f>
        <v>1</v>
      </c>
      <c r="M29" s="154">
        <f>Summary!M$49</f>
        <v>1</v>
      </c>
      <c r="N29" s="154">
        <f>Summary!N$49</f>
        <v>1</v>
      </c>
      <c r="O29" s="154">
        <f>Summary!O$49</f>
        <v>1</v>
      </c>
      <c r="P29" s="154">
        <f>Summary!P$49</f>
        <v>1</v>
      </c>
      <c r="Q29" s="154">
        <f>Summary!Q$49</f>
        <v>1</v>
      </c>
      <c r="R29" s="154">
        <f>Summary!R$49</f>
        <v>1</v>
      </c>
      <c r="S29" s="154">
        <f>Summary!S$49</f>
        <v>1</v>
      </c>
      <c r="T29" s="154">
        <f>Summary!T$49</f>
        <v>1</v>
      </c>
      <c r="U29" s="154">
        <f>Summary!U$49</f>
        <v>1</v>
      </c>
      <c r="V29" s="154">
        <f>Summary!V$49</f>
        <v>1</v>
      </c>
      <c r="W29" s="154">
        <f>Summary!W$49</f>
        <v>1</v>
      </c>
      <c r="X29" s="154">
        <f>Summary!X$49</f>
        <v>0</v>
      </c>
      <c r="Y29" s="154">
        <f>Summary!Y$49</f>
        <v>0</v>
      </c>
      <c r="Z29" s="154">
        <f>Summary!Z$49</f>
        <v>0</v>
      </c>
      <c r="AA29" s="154">
        <f>Summary!AA$49</f>
        <v>0</v>
      </c>
      <c r="AB29" s="154">
        <f>Summary!AB$49</f>
        <v>0</v>
      </c>
      <c r="AC29" s="154">
        <f>Summary!AC$49</f>
        <v>0</v>
      </c>
      <c r="AD29" s="154">
        <f>Summary!AD$49</f>
        <v>0</v>
      </c>
      <c r="AE29" s="154">
        <f>Summary!AE$49</f>
        <v>0</v>
      </c>
      <c r="AF29" s="154">
        <f>Summary!AF$49</f>
        <v>0</v>
      </c>
      <c r="AG29" s="154">
        <f>Summary!AG$49</f>
        <v>0</v>
      </c>
      <c r="AH29" s="154">
        <f>Summary!AH$49</f>
        <v>0</v>
      </c>
      <c r="AI29" s="154">
        <f>Summary!AI$49</f>
        <v>0</v>
      </c>
      <c r="AJ29" s="246">
        <f>Summary!AJ$49</f>
        <v>0</v>
      </c>
    </row>
    <row r="30" spans="2:36" x14ac:dyDescent="0.3">
      <c r="B30" s="66" t="s">
        <v>280</v>
      </c>
      <c r="C30" s="66"/>
      <c r="D30" s="63">
        <f>D$26*Summary!D$50/1000</f>
        <v>0</v>
      </c>
      <c r="E30" s="63">
        <f>E$26*Summary!E$50/1000</f>
        <v>0</v>
      </c>
      <c r="F30" s="63">
        <f>F$26*Summary!F$50/1000</f>
        <v>0</v>
      </c>
      <c r="G30" s="63">
        <f>G$26*Summary!G$50/1000</f>
        <v>0</v>
      </c>
      <c r="H30" s="63">
        <f>H$26*Summary!H$50/1000</f>
        <v>0</v>
      </c>
      <c r="I30" s="63">
        <f>I$26*Summary!I$50/1000</f>
        <v>0</v>
      </c>
      <c r="J30" s="63">
        <f>J$26*Summary!J$50/1000</f>
        <v>175.9654233801306</v>
      </c>
      <c r="K30" s="63">
        <f>K$26*Summary!K$50/1000</f>
        <v>175.9654233801306</v>
      </c>
      <c r="L30" s="63">
        <f>L$26*Summary!L$50/1000</f>
        <v>175.9654233801306</v>
      </c>
      <c r="M30" s="63">
        <f>M$26*Summary!M$50/1000</f>
        <v>175.9654233801306</v>
      </c>
      <c r="N30" s="63">
        <f>N$26*Summary!N$50/1000</f>
        <v>175.9654233801306</v>
      </c>
      <c r="O30" s="63">
        <f>O$26*Summary!O$50/1000</f>
        <v>175.9654233801306</v>
      </c>
      <c r="P30" s="63">
        <f>P$26*Summary!P$50/1000</f>
        <v>175.9654233801306</v>
      </c>
      <c r="Q30" s="63">
        <f>Q$26*Summary!Q$50/1000</f>
        <v>175.9654233801306</v>
      </c>
      <c r="R30" s="63">
        <f>R$26*Summary!R$50/1000</f>
        <v>175.9654233801306</v>
      </c>
      <c r="S30" s="63">
        <f>S$26*Summary!S$50/1000</f>
        <v>175.9654233801306</v>
      </c>
      <c r="T30" s="63">
        <f>T$26*Summary!T$50/1000</f>
        <v>175.9654233801306</v>
      </c>
      <c r="U30" s="63">
        <f>U$26*Summary!U$50/1000</f>
        <v>175.9654233801306</v>
      </c>
      <c r="V30" s="63">
        <f>V$26*Summary!V$50/1000</f>
        <v>175.9654233801306</v>
      </c>
      <c r="W30" s="63">
        <f>W$26*Summary!W$50/1000</f>
        <v>175.9654233801306</v>
      </c>
      <c r="X30" s="63">
        <f>X$26*Summary!X$50/1000</f>
        <v>3.304514993054096</v>
      </c>
      <c r="Y30" s="63">
        <f>Y$26*Summary!Y$50/1000</f>
        <v>0</v>
      </c>
      <c r="Z30" s="63">
        <f>Z$26*Summary!Z$50/1000</f>
        <v>0</v>
      </c>
      <c r="AA30" s="63">
        <f>AA$26*Summary!AA$50/1000</f>
        <v>0</v>
      </c>
      <c r="AB30" s="63">
        <f>AB$26*Summary!AB$50/1000</f>
        <v>0</v>
      </c>
      <c r="AC30" s="63">
        <f>AC$26*Summary!AC$50/1000</f>
        <v>0</v>
      </c>
      <c r="AD30" s="63">
        <f>AD$26*Summary!AD$50/1000</f>
        <v>0</v>
      </c>
      <c r="AE30" s="63">
        <f>AE$26*Summary!AE$50/1000</f>
        <v>0</v>
      </c>
      <c r="AF30" s="63">
        <f>AF$26*Summary!AF$50/1000</f>
        <v>0</v>
      </c>
      <c r="AG30" s="63">
        <f>AG$26*Summary!AG$50/1000</f>
        <v>0</v>
      </c>
      <c r="AH30" s="63">
        <f>AH$26*Summary!AH$50/1000</f>
        <v>0</v>
      </c>
      <c r="AI30" s="63">
        <f>AI$26*Summary!AI$50/1000</f>
        <v>0</v>
      </c>
      <c r="AJ30" s="64">
        <f>AJ$26*Summary!AJ$50/1000</f>
        <v>0</v>
      </c>
    </row>
    <row r="31" spans="2:36" x14ac:dyDescent="0.3">
      <c r="B31" s="66" t="s">
        <v>281</v>
      </c>
      <c r="C31" s="66"/>
      <c r="D31" s="63">
        <f>D$26*Summary!D$51/1000</f>
        <v>0</v>
      </c>
      <c r="E31" s="63">
        <f>E$26*Summary!E$51/1000</f>
        <v>0</v>
      </c>
      <c r="F31" s="63">
        <f>F$26*Summary!F$51/1000</f>
        <v>0</v>
      </c>
      <c r="G31" s="63">
        <f>G$26*Summary!G$51/1000</f>
        <v>0</v>
      </c>
      <c r="H31" s="63">
        <f>H$26*Summary!H$51/1000</f>
        <v>0</v>
      </c>
      <c r="I31" s="63">
        <f>I$26*Summary!I$51/1000</f>
        <v>0</v>
      </c>
      <c r="J31" s="63">
        <f>J$26*Summary!J$51/1000</f>
        <v>0</v>
      </c>
      <c r="K31" s="63">
        <f>K$26*Summary!K$51/1000</f>
        <v>0</v>
      </c>
      <c r="L31" s="63">
        <f>L$26*Summary!L$51/1000</f>
        <v>0</v>
      </c>
      <c r="M31" s="63">
        <f>M$26*Summary!M$51/1000</f>
        <v>0</v>
      </c>
      <c r="N31" s="63">
        <f>N$26*Summary!N$51/1000</f>
        <v>0</v>
      </c>
      <c r="O31" s="63">
        <f>O$26*Summary!O$51/1000</f>
        <v>0</v>
      </c>
      <c r="P31" s="63">
        <f>P$26*Summary!P$51/1000</f>
        <v>0</v>
      </c>
      <c r="Q31" s="63">
        <f>Q$26*Summary!Q$51/1000</f>
        <v>0</v>
      </c>
      <c r="R31" s="63">
        <f>R$26*Summary!R$51/1000</f>
        <v>0</v>
      </c>
      <c r="S31" s="63">
        <f>S$26*Summary!S$51/1000</f>
        <v>0</v>
      </c>
      <c r="T31" s="63">
        <f>T$26*Summary!T$51/1000</f>
        <v>0</v>
      </c>
      <c r="U31" s="63">
        <f>U$26*Summary!U$51/1000</f>
        <v>0</v>
      </c>
      <c r="V31" s="63">
        <f>V$26*Summary!V$51/1000</f>
        <v>0</v>
      </c>
      <c r="W31" s="63">
        <f>W$26*Summary!W$51/1000</f>
        <v>0</v>
      </c>
      <c r="X31" s="63">
        <f>X$26*Summary!X$51/1000</f>
        <v>165.22574965270479</v>
      </c>
      <c r="Y31" s="63">
        <f>Y$26*Summary!Y$51/1000</f>
        <v>165.22574965270479</v>
      </c>
      <c r="Z31" s="63">
        <f>Z$26*Summary!Z$51/1000</f>
        <v>165.22574965270479</v>
      </c>
      <c r="AA31" s="63">
        <f>AA$26*Summary!AA$51/1000</f>
        <v>165.22574965270479</v>
      </c>
      <c r="AB31" s="63">
        <f>AB$26*Summary!AB$51/1000</f>
        <v>165.22574965270479</v>
      </c>
      <c r="AC31" s="63">
        <f>AC$26*Summary!AC$51/1000</f>
        <v>165.22574965270479</v>
      </c>
      <c r="AD31" s="63">
        <f>AD$26*Summary!AD$51/1000</f>
        <v>165.22574965270479</v>
      </c>
      <c r="AE31" s="63">
        <f>AE$26*Summary!AE$51/1000</f>
        <v>165.22574965270479</v>
      </c>
      <c r="AF31" s="63">
        <f>AF$26*Summary!AF$51/1000</f>
        <v>165.22574965270479</v>
      </c>
      <c r="AG31" s="63">
        <f>AG$26*Summary!AG$51/1000</f>
        <v>165.22574965270479</v>
      </c>
      <c r="AH31" s="63">
        <f>AH$26*Summary!AH$51/1000</f>
        <v>165.22574965270479</v>
      </c>
      <c r="AI31" s="63">
        <f>AI$26*Summary!AI$51/1000</f>
        <v>0</v>
      </c>
      <c r="AJ31" s="64">
        <f>AJ$26*Summary!AJ$51/1000</f>
        <v>0</v>
      </c>
    </row>
    <row r="32" spans="2:36" x14ac:dyDescent="0.3">
      <c r="B32" s="72" t="s">
        <v>282</v>
      </c>
      <c r="C32" s="178">
        <f>SUM(D32:AJ32)</f>
        <v>4284.3036884946368</v>
      </c>
      <c r="D32" s="75">
        <f>SUM(D30:D31)</f>
        <v>0</v>
      </c>
      <c r="E32" s="75">
        <f t="shared" ref="E32:AJ32" si="4">SUM(E30:E31)</f>
        <v>0</v>
      </c>
      <c r="F32" s="75">
        <f t="shared" si="4"/>
        <v>0</v>
      </c>
      <c r="G32" s="75">
        <f t="shared" si="4"/>
        <v>0</v>
      </c>
      <c r="H32" s="75">
        <f t="shared" si="4"/>
        <v>0</v>
      </c>
      <c r="I32" s="75">
        <f t="shared" si="4"/>
        <v>0</v>
      </c>
      <c r="J32" s="75">
        <f t="shared" si="4"/>
        <v>175.9654233801306</v>
      </c>
      <c r="K32" s="75">
        <f t="shared" si="4"/>
        <v>175.9654233801306</v>
      </c>
      <c r="L32" s="75">
        <f t="shared" si="4"/>
        <v>175.9654233801306</v>
      </c>
      <c r="M32" s="75">
        <f t="shared" si="4"/>
        <v>175.9654233801306</v>
      </c>
      <c r="N32" s="75">
        <f t="shared" si="4"/>
        <v>175.9654233801306</v>
      </c>
      <c r="O32" s="75">
        <f t="shared" si="4"/>
        <v>175.9654233801306</v>
      </c>
      <c r="P32" s="75">
        <f t="shared" si="4"/>
        <v>175.9654233801306</v>
      </c>
      <c r="Q32" s="75">
        <f t="shared" si="4"/>
        <v>175.9654233801306</v>
      </c>
      <c r="R32" s="75">
        <f t="shared" si="4"/>
        <v>175.9654233801306</v>
      </c>
      <c r="S32" s="75">
        <f t="shared" si="4"/>
        <v>175.9654233801306</v>
      </c>
      <c r="T32" s="75">
        <f t="shared" si="4"/>
        <v>175.9654233801306</v>
      </c>
      <c r="U32" s="75">
        <f t="shared" si="4"/>
        <v>175.9654233801306</v>
      </c>
      <c r="V32" s="75">
        <f t="shared" si="4"/>
        <v>175.9654233801306</v>
      </c>
      <c r="W32" s="75">
        <f t="shared" si="4"/>
        <v>175.9654233801306</v>
      </c>
      <c r="X32" s="75">
        <f t="shared" si="4"/>
        <v>168.53026464575888</v>
      </c>
      <c r="Y32" s="75">
        <f t="shared" si="4"/>
        <v>165.22574965270479</v>
      </c>
      <c r="Z32" s="75">
        <f t="shared" si="4"/>
        <v>165.22574965270479</v>
      </c>
      <c r="AA32" s="75">
        <f t="shared" si="4"/>
        <v>165.22574965270479</v>
      </c>
      <c r="AB32" s="75">
        <f t="shared" si="4"/>
        <v>165.22574965270479</v>
      </c>
      <c r="AC32" s="75">
        <f t="shared" si="4"/>
        <v>165.22574965270479</v>
      </c>
      <c r="AD32" s="75">
        <f t="shared" si="4"/>
        <v>165.22574965270479</v>
      </c>
      <c r="AE32" s="75">
        <f t="shared" si="4"/>
        <v>165.22574965270479</v>
      </c>
      <c r="AF32" s="75">
        <f t="shared" si="4"/>
        <v>165.22574965270479</v>
      </c>
      <c r="AG32" s="75">
        <f t="shared" si="4"/>
        <v>165.22574965270479</v>
      </c>
      <c r="AH32" s="75">
        <f t="shared" si="4"/>
        <v>165.22574965270479</v>
      </c>
      <c r="AI32" s="75">
        <f t="shared" si="4"/>
        <v>0</v>
      </c>
      <c r="AJ32" s="155">
        <f t="shared" si="4"/>
        <v>0</v>
      </c>
    </row>
    <row r="33" spans="2:36" ht="7.2" customHeight="1" x14ac:dyDescent="0.3">
      <c r="B33" s="156"/>
      <c r="C33" s="60"/>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row>
    <row r="34" spans="2:36" x14ac:dyDescent="0.3">
      <c r="B34" s="44" t="s">
        <v>175</v>
      </c>
      <c r="C34" s="82"/>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6"/>
    </row>
    <row r="35" spans="2:36" x14ac:dyDescent="0.3">
      <c r="B35" s="53" t="s">
        <v>204</v>
      </c>
      <c r="C35" s="166">
        <f>SUM(D35:AJ35)</f>
        <v>4284.3036884946368</v>
      </c>
      <c r="D35" s="12">
        <f>D$32</f>
        <v>0</v>
      </c>
      <c r="E35" s="12">
        <f t="shared" ref="E35:AJ35" si="5">E$32</f>
        <v>0</v>
      </c>
      <c r="F35" s="12">
        <f t="shared" si="5"/>
        <v>0</v>
      </c>
      <c r="G35" s="12">
        <f t="shared" si="5"/>
        <v>0</v>
      </c>
      <c r="H35" s="12">
        <f t="shared" si="5"/>
        <v>0</v>
      </c>
      <c r="I35" s="12">
        <f t="shared" si="5"/>
        <v>0</v>
      </c>
      <c r="J35" s="12">
        <f>J$32</f>
        <v>175.9654233801306</v>
      </c>
      <c r="K35" s="12">
        <f t="shared" si="5"/>
        <v>175.9654233801306</v>
      </c>
      <c r="L35" s="12">
        <f t="shared" si="5"/>
        <v>175.9654233801306</v>
      </c>
      <c r="M35" s="12">
        <f>M$32</f>
        <v>175.9654233801306</v>
      </c>
      <c r="N35" s="12">
        <f t="shared" si="5"/>
        <v>175.9654233801306</v>
      </c>
      <c r="O35" s="12">
        <f t="shared" si="5"/>
        <v>175.9654233801306</v>
      </c>
      <c r="P35" s="12">
        <f t="shared" si="5"/>
        <v>175.9654233801306</v>
      </c>
      <c r="Q35" s="12">
        <f t="shared" si="5"/>
        <v>175.9654233801306</v>
      </c>
      <c r="R35" s="12">
        <f t="shared" si="5"/>
        <v>175.9654233801306</v>
      </c>
      <c r="S35" s="12">
        <f t="shared" si="5"/>
        <v>175.9654233801306</v>
      </c>
      <c r="T35" s="12">
        <f t="shared" si="5"/>
        <v>175.9654233801306</v>
      </c>
      <c r="U35" s="12">
        <f t="shared" si="5"/>
        <v>175.9654233801306</v>
      </c>
      <c r="V35" s="12">
        <f t="shared" si="5"/>
        <v>175.9654233801306</v>
      </c>
      <c r="W35" s="12">
        <f t="shared" si="5"/>
        <v>175.9654233801306</v>
      </c>
      <c r="X35" s="12">
        <f t="shared" si="5"/>
        <v>168.53026464575888</v>
      </c>
      <c r="Y35" s="12">
        <f t="shared" si="5"/>
        <v>165.22574965270479</v>
      </c>
      <c r="Z35" s="12">
        <f t="shared" si="5"/>
        <v>165.22574965270479</v>
      </c>
      <c r="AA35" s="12">
        <f t="shared" si="5"/>
        <v>165.22574965270479</v>
      </c>
      <c r="AB35" s="12">
        <f t="shared" si="5"/>
        <v>165.22574965270479</v>
      </c>
      <c r="AC35" s="12">
        <f t="shared" si="5"/>
        <v>165.22574965270479</v>
      </c>
      <c r="AD35" s="12">
        <f t="shared" si="5"/>
        <v>165.22574965270479</v>
      </c>
      <c r="AE35" s="12">
        <f t="shared" si="5"/>
        <v>165.22574965270479</v>
      </c>
      <c r="AF35" s="12">
        <f t="shared" si="5"/>
        <v>165.22574965270479</v>
      </c>
      <c r="AG35" s="12">
        <f t="shared" si="5"/>
        <v>165.22574965270479</v>
      </c>
      <c r="AH35" s="12">
        <f t="shared" si="5"/>
        <v>165.22574965270479</v>
      </c>
      <c r="AI35" s="12">
        <f t="shared" si="5"/>
        <v>0</v>
      </c>
      <c r="AJ35" s="89">
        <f t="shared" si="5"/>
        <v>0</v>
      </c>
    </row>
    <row r="36" spans="2:36" x14ac:dyDescent="0.3">
      <c r="B36" s="52" t="s">
        <v>205</v>
      </c>
      <c r="C36" s="165">
        <f>SUM(D36:AJ36)</f>
        <v>-1202.2137499999992</v>
      </c>
      <c r="D36" s="12">
        <f>-Summary!D$36</f>
        <v>0</v>
      </c>
      <c r="E36" s="12">
        <f>-Summary!E$36</f>
        <v>0</v>
      </c>
      <c r="F36" s="12">
        <f>-Summary!F$36</f>
        <v>0</v>
      </c>
      <c r="G36" s="12">
        <f>-Summary!G$36</f>
        <v>0</v>
      </c>
      <c r="H36" s="12">
        <f>-Summary!H$36</f>
        <v>0</v>
      </c>
      <c r="I36" s="12">
        <f>-Summary!I$36</f>
        <v>0</v>
      </c>
      <c r="J36" s="12">
        <f>-Summary!J$36</f>
        <v>-48.088549999999998</v>
      </c>
      <c r="K36" s="12">
        <f>-Summary!K$36</f>
        <v>-48.088549999999998</v>
      </c>
      <c r="L36" s="12">
        <f>-Summary!L$36</f>
        <v>-48.088549999999998</v>
      </c>
      <c r="M36" s="12">
        <f>-Summary!M$36</f>
        <v>-48.088549999999998</v>
      </c>
      <c r="N36" s="12">
        <f>-Summary!N$36</f>
        <v>-48.088549999999998</v>
      </c>
      <c r="O36" s="12">
        <f>-Summary!O$36</f>
        <v>-48.088549999999998</v>
      </c>
      <c r="P36" s="12">
        <f>-Summary!P$36</f>
        <v>-48.088549999999998</v>
      </c>
      <c r="Q36" s="12">
        <f>-Summary!Q$36</f>
        <v>-48.088549999999998</v>
      </c>
      <c r="R36" s="12">
        <f>-Summary!R$36</f>
        <v>-48.088549999999998</v>
      </c>
      <c r="S36" s="12">
        <f>-Summary!S$36</f>
        <v>-48.088549999999998</v>
      </c>
      <c r="T36" s="12">
        <f>-Summary!T$36</f>
        <v>-48.088549999999998</v>
      </c>
      <c r="U36" s="12">
        <f>-Summary!U$36</f>
        <v>-48.088549999999998</v>
      </c>
      <c r="V36" s="12">
        <f>-Summary!V$36</f>
        <v>-48.088549999999998</v>
      </c>
      <c r="W36" s="12">
        <f>-Summary!W$36</f>
        <v>-48.088549999999998</v>
      </c>
      <c r="X36" s="12">
        <f>-Summary!X$36</f>
        <v>-48.088549999999998</v>
      </c>
      <c r="Y36" s="12">
        <f>-Summary!Y$36</f>
        <v>-48.088549999999998</v>
      </c>
      <c r="Z36" s="12">
        <f>-Summary!Z$36</f>
        <v>-48.088549999999998</v>
      </c>
      <c r="AA36" s="12">
        <f>-Summary!AA$36</f>
        <v>-48.088549999999998</v>
      </c>
      <c r="AB36" s="12">
        <f>-Summary!AB$36</f>
        <v>-48.088549999999998</v>
      </c>
      <c r="AC36" s="12">
        <f>-Summary!AC$36</f>
        <v>-48.088549999999998</v>
      </c>
      <c r="AD36" s="12">
        <f>-Summary!AD$36</f>
        <v>-48.088549999999998</v>
      </c>
      <c r="AE36" s="12">
        <f>-Summary!AE$36</f>
        <v>-48.088549999999998</v>
      </c>
      <c r="AF36" s="12">
        <f>-Summary!AF$36</f>
        <v>-48.088549999999998</v>
      </c>
      <c r="AG36" s="12">
        <f>-Summary!AG$36</f>
        <v>-48.088549999999998</v>
      </c>
      <c r="AH36" s="12">
        <f>-Summary!AH$36</f>
        <v>-48.088549999999998</v>
      </c>
      <c r="AI36" s="12">
        <f>-Summary!AI$36</f>
        <v>0</v>
      </c>
      <c r="AJ36" s="47">
        <f>-Summary!AJ$36</f>
        <v>0</v>
      </c>
    </row>
    <row r="37" spans="2:36" x14ac:dyDescent="0.3">
      <c r="B37" s="17" t="s">
        <v>173</v>
      </c>
      <c r="C37" s="167">
        <f t="shared" ref="C37:AJ37" si="6">SUM(C35:C36)</f>
        <v>3082.0899384946379</v>
      </c>
      <c r="D37" s="48">
        <f t="shared" si="6"/>
        <v>0</v>
      </c>
      <c r="E37" s="48">
        <f t="shared" si="6"/>
        <v>0</v>
      </c>
      <c r="F37" s="48">
        <f t="shared" si="6"/>
        <v>0</v>
      </c>
      <c r="G37" s="48">
        <f t="shared" si="6"/>
        <v>0</v>
      </c>
      <c r="H37" s="48">
        <f t="shared" si="6"/>
        <v>0</v>
      </c>
      <c r="I37" s="48">
        <f t="shared" si="6"/>
        <v>0</v>
      </c>
      <c r="J37" s="48">
        <f t="shared" si="6"/>
        <v>127.8768733801306</v>
      </c>
      <c r="K37" s="48">
        <f t="shared" si="6"/>
        <v>127.8768733801306</v>
      </c>
      <c r="L37" s="48">
        <f t="shared" si="6"/>
        <v>127.8768733801306</v>
      </c>
      <c r="M37" s="48">
        <f t="shared" si="6"/>
        <v>127.8768733801306</v>
      </c>
      <c r="N37" s="48">
        <f t="shared" si="6"/>
        <v>127.8768733801306</v>
      </c>
      <c r="O37" s="48">
        <f t="shared" si="6"/>
        <v>127.8768733801306</v>
      </c>
      <c r="P37" s="48">
        <f t="shared" si="6"/>
        <v>127.8768733801306</v>
      </c>
      <c r="Q37" s="48">
        <f t="shared" si="6"/>
        <v>127.8768733801306</v>
      </c>
      <c r="R37" s="48">
        <f t="shared" si="6"/>
        <v>127.8768733801306</v>
      </c>
      <c r="S37" s="48">
        <f t="shared" si="6"/>
        <v>127.8768733801306</v>
      </c>
      <c r="T37" s="48">
        <f t="shared" si="6"/>
        <v>127.8768733801306</v>
      </c>
      <c r="U37" s="48">
        <f t="shared" si="6"/>
        <v>127.8768733801306</v>
      </c>
      <c r="V37" s="48">
        <f t="shared" si="6"/>
        <v>127.8768733801306</v>
      </c>
      <c r="W37" s="48">
        <f t="shared" si="6"/>
        <v>127.8768733801306</v>
      </c>
      <c r="X37" s="48">
        <f t="shared" si="6"/>
        <v>120.44171464575888</v>
      </c>
      <c r="Y37" s="48">
        <f t="shared" si="6"/>
        <v>117.13719965270479</v>
      </c>
      <c r="Z37" s="48">
        <f t="shared" si="6"/>
        <v>117.13719965270479</v>
      </c>
      <c r="AA37" s="48">
        <f t="shared" si="6"/>
        <v>117.13719965270479</v>
      </c>
      <c r="AB37" s="48">
        <f t="shared" si="6"/>
        <v>117.13719965270479</v>
      </c>
      <c r="AC37" s="48">
        <f t="shared" si="6"/>
        <v>117.13719965270479</v>
      </c>
      <c r="AD37" s="48">
        <f t="shared" si="6"/>
        <v>117.13719965270479</v>
      </c>
      <c r="AE37" s="48">
        <f t="shared" si="6"/>
        <v>117.13719965270479</v>
      </c>
      <c r="AF37" s="48">
        <f t="shared" si="6"/>
        <v>117.13719965270479</v>
      </c>
      <c r="AG37" s="48">
        <f t="shared" si="6"/>
        <v>117.13719965270479</v>
      </c>
      <c r="AH37" s="48">
        <f t="shared" si="6"/>
        <v>117.13719965270479</v>
      </c>
      <c r="AI37" s="48">
        <f t="shared" si="6"/>
        <v>0</v>
      </c>
      <c r="AJ37" s="49">
        <f t="shared" si="6"/>
        <v>0</v>
      </c>
    </row>
    <row r="38" spans="2:36" ht="7.2" customHeight="1" x14ac:dyDescent="0.3">
      <c r="B38" s="156"/>
      <c r="C38" s="60"/>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row>
    <row r="39" spans="2:36" x14ac:dyDescent="0.3">
      <c r="B39" s="44" t="s">
        <v>174</v>
      </c>
      <c r="C39" s="82" t="s">
        <v>98</v>
      </c>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6"/>
    </row>
    <row r="40" spans="2:36" x14ac:dyDescent="0.3">
      <c r="B40" s="57" t="s">
        <v>79</v>
      </c>
      <c r="C40" s="53"/>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16"/>
    </row>
    <row r="41" spans="2:36" x14ac:dyDescent="0.3">
      <c r="B41" s="198" t="s">
        <v>237</v>
      </c>
      <c r="C41" s="52"/>
      <c r="D41" s="12">
        <v>0</v>
      </c>
      <c r="E41" s="12">
        <f>D45</f>
        <v>8.9250000000000007</v>
      </c>
      <c r="F41" s="12">
        <f>E45</f>
        <v>17.850000000000001</v>
      </c>
      <c r="G41" s="12">
        <f t="shared" ref="G41:AJ41" si="7">F45</f>
        <v>53.550000000000004</v>
      </c>
      <c r="H41" s="12">
        <f t="shared" si="7"/>
        <v>89.25</v>
      </c>
      <c r="I41" s="12">
        <f t="shared" si="7"/>
        <v>857.53242748930961</v>
      </c>
      <c r="J41" s="12">
        <f t="shared" si="7"/>
        <v>1625.8148549786192</v>
      </c>
      <c r="K41" s="12">
        <f t="shared" si="7"/>
        <v>1929.5578259743431</v>
      </c>
      <c r="L41" s="12">
        <f t="shared" si="7"/>
        <v>1849.1595832254122</v>
      </c>
      <c r="M41" s="12">
        <f t="shared" si="7"/>
        <v>1768.7613404764813</v>
      </c>
      <c r="N41" s="12">
        <f t="shared" si="7"/>
        <v>1688.3630977275504</v>
      </c>
      <c r="O41" s="12">
        <f t="shared" si="7"/>
        <v>1607.9648549786195</v>
      </c>
      <c r="P41" s="12">
        <f t="shared" si="7"/>
        <v>1527.5666122296886</v>
      </c>
      <c r="Q41" s="12">
        <f t="shared" si="7"/>
        <v>1447.1683694807577</v>
      </c>
      <c r="R41" s="12">
        <f t="shared" si="7"/>
        <v>1366.7701267318268</v>
      </c>
      <c r="S41" s="12">
        <f t="shared" si="7"/>
        <v>1286.371883982896</v>
      </c>
      <c r="T41" s="12">
        <f t="shared" si="7"/>
        <v>1205.9736412339651</v>
      </c>
      <c r="U41" s="12">
        <f t="shared" si="7"/>
        <v>1125.5753984850342</v>
      </c>
      <c r="V41" s="12">
        <f t="shared" si="7"/>
        <v>1045.1771557361033</v>
      </c>
      <c r="W41" s="12">
        <f t="shared" si="7"/>
        <v>964.77891298717236</v>
      </c>
      <c r="X41" s="12">
        <f t="shared" si="7"/>
        <v>884.38067023824146</v>
      </c>
      <c r="Y41" s="12">
        <f t="shared" si="7"/>
        <v>803.98242748931057</v>
      </c>
      <c r="Z41" s="12">
        <f t="shared" si="7"/>
        <v>723.58418474037967</v>
      </c>
      <c r="AA41" s="12">
        <f t="shared" si="7"/>
        <v>643.18594199144877</v>
      </c>
      <c r="AB41" s="12">
        <f t="shared" si="7"/>
        <v>562.78769924251787</v>
      </c>
      <c r="AC41" s="12">
        <f t="shared" si="7"/>
        <v>482.38945649358692</v>
      </c>
      <c r="AD41" s="12">
        <f t="shared" si="7"/>
        <v>401.99121374465597</v>
      </c>
      <c r="AE41" s="12">
        <f t="shared" si="7"/>
        <v>321.59297099572501</v>
      </c>
      <c r="AF41" s="12">
        <f t="shared" si="7"/>
        <v>241.19472824679406</v>
      </c>
      <c r="AG41" s="12">
        <f t="shared" si="7"/>
        <v>160.7964854978631</v>
      </c>
      <c r="AH41" s="12">
        <f t="shared" si="7"/>
        <v>80.398242748932148</v>
      </c>
      <c r="AI41" s="12">
        <f>AH45</f>
        <v>1.1937117960769683E-12</v>
      </c>
      <c r="AJ41" s="47">
        <f t="shared" si="7"/>
        <v>0</v>
      </c>
    </row>
    <row r="42" spans="2:36" x14ac:dyDescent="0.3">
      <c r="B42" s="38" t="s">
        <v>106</v>
      </c>
      <c r="C42" s="165">
        <f>SUM(D42:AJ42)</f>
        <v>2009.956068723274</v>
      </c>
      <c r="D42" s="12">
        <f>Summary!D$40</f>
        <v>8.9250000000000007</v>
      </c>
      <c r="E42" s="12">
        <f>Summary!E$40</f>
        <v>8.9250000000000007</v>
      </c>
      <c r="F42" s="12">
        <f>Summary!F$40</f>
        <v>35.700000000000003</v>
      </c>
      <c r="G42" s="12">
        <f>Summary!G$40</f>
        <v>35.700000000000003</v>
      </c>
      <c r="H42" s="12">
        <f>Summary!H$40</f>
        <v>768.28242748930961</v>
      </c>
      <c r="I42" s="12">
        <f>Summary!I$40</f>
        <v>768.28242748930961</v>
      </c>
      <c r="J42" s="12">
        <f>Summary!J$40</f>
        <v>384.14121374465481</v>
      </c>
      <c r="K42" s="12">
        <f>Summary!K$40</f>
        <v>0</v>
      </c>
      <c r="L42" s="12">
        <f>Summary!L$40</f>
        <v>0</v>
      </c>
      <c r="M42" s="12">
        <f>Summary!M$40</f>
        <v>0</v>
      </c>
      <c r="N42" s="12">
        <f>Summary!N$40</f>
        <v>0</v>
      </c>
      <c r="O42" s="12">
        <f>Summary!O$40</f>
        <v>0</v>
      </c>
      <c r="P42" s="12">
        <f>Summary!P$40</f>
        <v>0</v>
      </c>
      <c r="Q42" s="12">
        <f>Summary!Q$40</f>
        <v>0</v>
      </c>
      <c r="R42" s="12">
        <f>Summary!R$40</f>
        <v>0</v>
      </c>
      <c r="S42" s="12">
        <f>Summary!S$40</f>
        <v>0</v>
      </c>
      <c r="T42" s="12">
        <f>Summary!T$40</f>
        <v>0</v>
      </c>
      <c r="U42" s="12">
        <f>Summary!U$40</f>
        <v>0</v>
      </c>
      <c r="V42" s="12">
        <f>Summary!V$40</f>
        <v>0</v>
      </c>
      <c r="W42" s="12">
        <f>Summary!W$40</f>
        <v>0</v>
      </c>
      <c r="X42" s="12">
        <f>Summary!X$40</f>
        <v>0</v>
      </c>
      <c r="Y42" s="12">
        <f>Summary!Y$40</f>
        <v>0</v>
      </c>
      <c r="Z42" s="12">
        <f>Summary!Z$40</f>
        <v>0</v>
      </c>
      <c r="AA42" s="12">
        <f>Summary!AA$40</f>
        <v>0</v>
      </c>
      <c r="AB42" s="12">
        <f>Summary!AB$40</f>
        <v>0</v>
      </c>
      <c r="AC42" s="12">
        <f>Summary!AC$40</f>
        <v>0</v>
      </c>
      <c r="AD42" s="12">
        <f>Summary!AD$40</f>
        <v>0</v>
      </c>
      <c r="AE42" s="12">
        <f>Summary!AE$40</f>
        <v>0</v>
      </c>
      <c r="AF42" s="12">
        <f>Summary!AF$40</f>
        <v>0</v>
      </c>
      <c r="AG42" s="12">
        <f>Summary!AG$40</f>
        <v>0</v>
      </c>
      <c r="AH42" s="12">
        <f>Summary!AH$40</f>
        <v>0</v>
      </c>
      <c r="AI42" s="12">
        <f>Summary!AI$40</f>
        <v>0</v>
      </c>
      <c r="AJ42" s="47">
        <f>Summary!AJ$40</f>
        <v>0</v>
      </c>
    </row>
    <row r="43" spans="2:36" x14ac:dyDescent="0.3">
      <c r="B43" s="38" t="s">
        <v>107</v>
      </c>
      <c r="C43" s="52"/>
      <c r="D43" s="12">
        <v>0</v>
      </c>
      <c r="E43" s="12">
        <v>0</v>
      </c>
      <c r="F43" s="12">
        <v>0</v>
      </c>
      <c r="G43" s="12">
        <v>0</v>
      </c>
      <c r="H43" s="12">
        <v>0</v>
      </c>
      <c r="I43" s="12">
        <v>0</v>
      </c>
      <c r="J43" s="12">
        <f>$C$42/'FIN_Inputs&amp;ProjectTimeline'!$C$8</f>
        <v>80.398242748930954</v>
      </c>
      <c r="K43" s="12">
        <f>$C$42/'FIN_Inputs&amp;ProjectTimeline'!$C$8</f>
        <v>80.398242748930954</v>
      </c>
      <c r="L43" s="12">
        <f>$C$42/'FIN_Inputs&amp;ProjectTimeline'!$C$8</f>
        <v>80.398242748930954</v>
      </c>
      <c r="M43" s="12">
        <f>$C$42/'FIN_Inputs&amp;ProjectTimeline'!$C$8</f>
        <v>80.398242748930954</v>
      </c>
      <c r="N43" s="12">
        <f>$C$42/'FIN_Inputs&amp;ProjectTimeline'!$C$8</f>
        <v>80.398242748930954</v>
      </c>
      <c r="O43" s="12">
        <f>$C$42/'FIN_Inputs&amp;ProjectTimeline'!$C$8</f>
        <v>80.398242748930954</v>
      </c>
      <c r="P43" s="12">
        <f>$C$42/'FIN_Inputs&amp;ProjectTimeline'!$C$8</f>
        <v>80.398242748930954</v>
      </c>
      <c r="Q43" s="12">
        <f>$C$42/'FIN_Inputs&amp;ProjectTimeline'!$C$8</f>
        <v>80.398242748930954</v>
      </c>
      <c r="R43" s="12">
        <f>$C$42/'FIN_Inputs&amp;ProjectTimeline'!$C$8</f>
        <v>80.398242748930954</v>
      </c>
      <c r="S43" s="12">
        <f>$C$42/'FIN_Inputs&amp;ProjectTimeline'!$C$8</f>
        <v>80.398242748930954</v>
      </c>
      <c r="T43" s="12">
        <f>$C$42/'FIN_Inputs&amp;ProjectTimeline'!$C$8</f>
        <v>80.398242748930954</v>
      </c>
      <c r="U43" s="12">
        <f>$C$42/'FIN_Inputs&amp;ProjectTimeline'!$C$8</f>
        <v>80.398242748930954</v>
      </c>
      <c r="V43" s="12">
        <f>$C$42/'FIN_Inputs&amp;ProjectTimeline'!$C$8</f>
        <v>80.398242748930954</v>
      </c>
      <c r="W43" s="12">
        <f>$C$42/'FIN_Inputs&amp;ProjectTimeline'!$C$8</f>
        <v>80.398242748930954</v>
      </c>
      <c r="X43" s="12">
        <f>$C$42/'FIN_Inputs&amp;ProjectTimeline'!$C$8</f>
        <v>80.398242748930954</v>
      </c>
      <c r="Y43" s="12">
        <f>$C$42/'FIN_Inputs&amp;ProjectTimeline'!$C$8</f>
        <v>80.398242748930954</v>
      </c>
      <c r="Z43" s="12">
        <f>$C$42/'FIN_Inputs&amp;ProjectTimeline'!$C$8</f>
        <v>80.398242748930954</v>
      </c>
      <c r="AA43" s="12">
        <f>$C$42/'FIN_Inputs&amp;ProjectTimeline'!$C$8</f>
        <v>80.398242748930954</v>
      </c>
      <c r="AB43" s="12">
        <f>$C$42/'FIN_Inputs&amp;ProjectTimeline'!$C$8</f>
        <v>80.398242748930954</v>
      </c>
      <c r="AC43" s="12">
        <f>$C$42/'FIN_Inputs&amp;ProjectTimeline'!$C$8</f>
        <v>80.398242748930954</v>
      </c>
      <c r="AD43" s="12">
        <f>$C$42/'FIN_Inputs&amp;ProjectTimeline'!$C$8</f>
        <v>80.398242748930954</v>
      </c>
      <c r="AE43" s="12">
        <f>$C$42/'FIN_Inputs&amp;ProjectTimeline'!$C$8</f>
        <v>80.398242748930954</v>
      </c>
      <c r="AF43" s="12">
        <f>$C$42/'FIN_Inputs&amp;ProjectTimeline'!$C$8</f>
        <v>80.398242748930954</v>
      </c>
      <c r="AG43" s="12">
        <f>$C$42/'FIN_Inputs&amp;ProjectTimeline'!$C$8</f>
        <v>80.398242748930954</v>
      </c>
      <c r="AH43" s="12">
        <f>$C$42/'FIN_Inputs&amp;ProjectTimeline'!$C$8</f>
        <v>80.398242748930954</v>
      </c>
      <c r="AI43" s="12">
        <v>0</v>
      </c>
      <c r="AJ43" s="47">
        <v>0</v>
      </c>
    </row>
    <row r="44" spans="2:36" x14ac:dyDescent="0.3">
      <c r="B44" s="38" t="s">
        <v>77</v>
      </c>
      <c r="C44" s="52"/>
      <c r="D44" s="12">
        <f>D41</f>
        <v>0</v>
      </c>
      <c r="E44" s="12">
        <f>E41</f>
        <v>8.9250000000000007</v>
      </c>
      <c r="F44" s="12">
        <f>F41</f>
        <v>17.850000000000001</v>
      </c>
      <c r="G44" s="12">
        <f t="shared" ref="G44:AJ44" si="8">G41</f>
        <v>53.550000000000004</v>
      </c>
      <c r="H44" s="12">
        <f t="shared" si="8"/>
        <v>89.25</v>
      </c>
      <c r="I44" s="12">
        <f t="shared" si="8"/>
        <v>857.53242748930961</v>
      </c>
      <c r="J44" s="12">
        <f>J41</f>
        <v>1625.8148549786192</v>
      </c>
      <c r="K44" s="12">
        <f>K41</f>
        <v>1929.5578259743431</v>
      </c>
      <c r="L44" s="12">
        <f t="shared" si="8"/>
        <v>1849.1595832254122</v>
      </c>
      <c r="M44" s="12">
        <f t="shared" si="8"/>
        <v>1768.7613404764813</v>
      </c>
      <c r="N44" s="12">
        <f t="shared" si="8"/>
        <v>1688.3630977275504</v>
      </c>
      <c r="O44" s="12">
        <f t="shared" si="8"/>
        <v>1607.9648549786195</v>
      </c>
      <c r="P44" s="12">
        <f t="shared" si="8"/>
        <v>1527.5666122296886</v>
      </c>
      <c r="Q44" s="12">
        <f t="shared" si="8"/>
        <v>1447.1683694807577</v>
      </c>
      <c r="R44" s="12">
        <f t="shared" si="8"/>
        <v>1366.7701267318268</v>
      </c>
      <c r="S44" s="12">
        <f t="shared" si="8"/>
        <v>1286.371883982896</v>
      </c>
      <c r="T44" s="12">
        <f t="shared" si="8"/>
        <v>1205.9736412339651</v>
      </c>
      <c r="U44" s="12">
        <f t="shared" si="8"/>
        <v>1125.5753984850342</v>
      </c>
      <c r="V44" s="12">
        <f t="shared" si="8"/>
        <v>1045.1771557361033</v>
      </c>
      <c r="W44" s="12">
        <f t="shared" si="8"/>
        <v>964.77891298717236</v>
      </c>
      <c r="X44" s="12">
        <f t="shared" si="8"/>
        <v>884.38067023824146</v>
      </c>
      <c r="Y44" s="12">
        <f t="shared" si="8"/>
        <v>803.98242748931057</v>
      </c>
      <c r="Z44" s="12">
        <f t="shared" si="8"/>
        <v>723.58418474037967</v>
      </c>
      <c r="AA44" s="12">
        <f t="shared" si="8"/>
        <v>643.18594199144877</v>
      </c>
      <c r="AB44" s="12">
        <f t="shared" si="8"/>
        <v>562.78769924251787</v>
      </c>
      <c r="AC44" s="12">
        <f t="shared" si="8"/>
        <v>482.38945649358692</v>
      </c>
      <c r="AD44" s="12">
        <f t="shared" si="8"/>
        <v>401.99121374465597</v>
      </c>
      <c r="AE44" s="12">
        <f t="shared" si="8"/>
        <v>321.59297099572501</v>
      </c>
      <c r="AF44" s="12">
        <f t="shared" si="8"/>
        <v>241.19472824679406</v>
      </c>
      <c r="AG44" s="12">
        <f t="shared" si="8"/>
        <v>160.7964854978631</v>
      </c>
      <c r="AH44" s="12">
        <f t="shared" si="8"/>
        <v>80.398242748932148</v>
      </c>
      <c r="AI44" s="12">
        <f>AI41</f>
        <v>1.1937117960769683E-12</v>
      </c>
      <c r="AJ44" s="47">
        <f t="shared" si="8"/>
        <v>0</v>
      </c>
    </row>
    <row r="45" spans="2:36" x14ac:dyDescent="0.3">
      <c r="B45" s="38" t="s">
        <v>78</v>
      </c>
      <c r="C45" s="52"/>
      <c r="D45" s="12">
        <f>D42+D44-D43</f>
        <v>8.9250000000000007</v>
      </c>
      <c r="E45" s="12">
        <f>E42+E44-E43</f>
        <v>17.850000000000001</v>
      </c>
      <c r="F45" s="12">
        <f t="shared" ref="F45:AG45" si="9">F42+F44-F43</f>
        <v>53.550000000000004</v>
      </c>
      <c r="G45" s="12">
        <f t="shared" si="9"/>
        <v>89.25</v>
      </c>
      <c r="H45" s="12">
        <f t="shared" si="9"/>
        <v>857.53242748930961</v>
      </c>
      <c r="I45" s="12">
        <f t="shared" si="9"/>
        <v>1625.8148549786192</v>
      </c>
      <c r="J45" s="12">
        <f>J42+J44-J43</f>
        <v>1929.5578259743431</v>
      </c>
      <c r="K45" s="12">
        <f t="shared" si="9"/>
        <v>1849.1595832254122</v>
      </c>
      <c r="L45" s="12">
        <f t="shared" si="9"/>
        <v>1768.7613404764813</v>
      </c>
      <c r="M45" s="12">
        <f t="shared" si="9"/>
        <v>1688.3630977275504</v>
      </c>
      <c r="N45" s="12">
        <f t="shared" si="9"/>
        <v>1607.9648549786195</v>
      </c>
      <c r="O45" s="12">
        <f t="shared" si="9"/>
        <v>1527.5666122296886</v>
      </c>
      <c r="P45" s="12">
        <f t="shared" si="9"/>
        <v>1447.1683694807577</v>
      </c>
      <c r="Q45" s="12">
        <f t="shared" si="9"/>
        <v>1366.7701267318268</v>
      </c>
      <c r="R45" s="12">
        <f t="shared" si="9"/>
        <v>1286.371883982896</v>
      </c>
      <c r="S45" s="12">
        <f t="shared" si="9"/>
        <v>1205.9736412339651</v>
      </c>
      <c r="T45" s="12">
        <f t="shared" si="9"/>
        <v>1125.5753984850342</v>
      </c>
      <c r="U45" s="12">
        <f t="shared" si="9"/>
        <v>1045.1771557361033</v>
      </c>
      <c r="V45" s="12">
        <f t="shared" si="9"/>
        <v>964.77891298717236</v>
      </c>
      <c r="W45" s="12">
        <f t="shared" si="9"/>
        <v>884.38067023824146</v>
      </c>
      <c r="X45" s="12">
        <f t="shared" si="9"/>
        <v>803.98242748931057</v>
      </c>
      <c r="Y45" s="12">
        <f t="shared" si="9"/>
        <v>723.58418474037967</v>
      </c>
      <c r="Z45" s="12">
        <f t="shared" si="9"/>
        <v>643.18594199144877</v>
      </c>
      <c r="AA45" s="12">
        <f t="shared" si="9"/>
        <v>562.78769924251787</v>
      </c>
      <c r="AB45" s="12">
        <f t="shared" si="9"/>
        <v>482.38945649358692</v>
      </c>
      <c r="AC45" s="12">
        <f t="shared" si="9"/>
        <v>401.99121374465597</v>
      </c>
      <c r="AD45" s="12">
        <f t="shared" si="9"/>
        <v>321.59297099572501</v>
      </c>
      <c r="AE45" s="12">
        <f t="shared" si="9"/>
        <v>241.19472824679406</v>
      </c>
      <c r="AF45" s="12">
        <f t="shared" si="9"/>
        <v>160.7964854978631</v>
      </c>
      <c r="AG45" s="12">
        <f t="shared" si="9"/>
        <v>80.398242748932148</v>
      </c>
      <c r="AH45" s="226">
        <f>AH42+AH44-AH43</f>
        <v>1.1937117960769683E-12</v>
      </c>
      <c r="AI45" s="12">
        <v>0</v>
      </c>
      <c r="AJ45" s="47">
        <v>0</v>
      </c>
    </row>
    <row r="46" spans="2:36" x14ac:dyDescent="0.3">
      <c r="B46" s="38"/>
      <c r="C46" s="52"/>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16"/>
    </row>
    <row r="47" spans="2:36" x14ac:dyDescent="0.3">
      <c r="B47" s="57" t="s">
        <v>80</v>
      </c>
      <c r="C47" s="52"/>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16"/>
    </row>
    <row r="48" spans="2:36" x14ac:dyDescent="0.3">
      <c r="B48" s="86" t="s">
        <v>108</v>
      </c>
      <c r="C48" s="87">
        <v>0</v>
      </c>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16"/>
    </row>
    <row r="49" spans="2:36" x14ac:dyDescent="0.3">
      <c r="B49" s="38" t="s">
        <v>81</v>
      </c>
      <c r="C49" s="52"/>
      <c r="D49" s="58">
        <f>'FIN_Inputs&amp;ProjectTimeline'!$C$26</f>
        <v>0.2</v>
      </c>
      <c r="E49" s="58">
        <f>'FIN_Inputs&amp;ProjectTimeline'!$C$26</f>
        <v>0.2</v>
      </c>
      <c r="F49" s="58">
        <f>'FIN_Inputs&amp;ProjectTimeline'!$C$26</f>
        <v>0.2</v>
      </c>
      <c r="G49" s="58">
        <f>'FIN_Inputs&amp;ProjectTimeline'!$C$26</f>
        <v>0.2</v>
      </c>
      <c r="H49" s="58">
        <f>'FIN_Inputs&amp;ProjectTimeline'!$C$26</f>
        <v>0.2</v>
      </c>
      <c r="I49" s="58">
        <f>'FIN_Inputs&amp;ProjectTimeline'!$C$26</f>
        <v>0.2</v>
      </c>
      <c r="J49" s="58">
        <f>'FIN_Inputs&amp;ProjectTimeline'!$C$26</f>
        <v>0.2</v>
      </c>
      <c r="K49" s="58">
        <f>'FIN_Inputs&amp;ProjectTimeline'!$C$26</f>
        <v>0.2</v>
      </c>
      <c r="L49" s="58">
        <f>'FIN_Inputs&amp;ProjectTimeline'!$C$26</f>
        <v>0.2</v>
      </c>
      <c r="M49" s="58">
        <f>'FIN_Inputs&amp;ProjectTimeline'!$C$26</f>
        <v>0.2</v>
      </c>
      <c r="N49" s="58">
        <f>'FIN_Inputs&amp;ProjectTimeline'!$C$26</f>
        <v>0.2</v>
      </c>
      <c r="O49" s="58">
        <f>'FIN_Inputs&amp;ProjectTimeline'!$C$26</f>
        <v>0.2</v>
      </c>
      <c r="P49" s="58">
        <f>'FIN_Inputs&amp;ProjectTimeline'!$C$26</f>
        <v>0.2</v>
      </c>
      <c r="Q49" s="58">
        <f>'FIN_Inputs&amp;ProjectTimeline'!$C$26</f>
        <v>0.2</v>
      </c>
      <c r="R49" s="58">
        <f>'FIN_Inputs&amp;ProjectTimeline'!$C$26</f>
        <v>0.2</v>
      </c>
      <c r="S49" s="58">
        <f>'FIN_Inputs&amp;ProjectTimeline'!$C$26</f>
        <v>0.2</v>
      </c>
      <c r="T49" s="58">
        <f>'FIN_Inputs&amp;ProjectTimeline'!$C$26</f>
        <v>0.2</v>
      </c>
      <c r="U49" s="58">
        <f>'FIN_Inputs&amp;ProjectTimeline'!$C$26</f>
        <v>0.2</v>
      </c>
      <c r="V49" s="58">
        <f>'FIN_Inputs&amp;ProjectTimeline'!$C$26</f>
        <v>0.2</v>
      </c>
      <c r="W49" s="58">
        <f>'FIN_Inputs&amp;ProjectTimeline'!$C$26</f>
        <v>0.2</v>
      </c>
      <c r="X49" s="58">
        <f>'FIN_Inputs&amp;ProjectTimeline'!$C$26</f>
        <v>0.2</v>
      </c>
      <c r="Y49" s="58">
        <f>'FIN_Inputs&amp;ProjectTimeline'!$C$26</f>
        <v>0.2</v>
      </c>
      <c r="Z49" s="58">
        <f>'FIN_Inputs&amp;ProjectTimeline'!$C$26</f>
        <v>0.2</v>
      </c>
      <c r="AA49" s="58">
        <f>'FIN_Inputs&amp;ProjectTimeline'!$C$26</f>
        <v>0.2</v>
      </c>
      <c r="AB49" s="58">
        <f>'FIN_Inputs&amp;ProjectTimeline'!$C$26</f>
        <v>0.2</v>
      </c>
      <c r="AC49" s="58">
        <f>'FIN_Inputs&amp;ProjectTimeline'!$C$26</f>
        <v>0.2</v>
      </c>
      <c r="AD49" s="58">
        <f>'FIN_Inputs&amp;ProjectTimeline'!$C$26</f>
        <v>0.2</v>
      </c>
      <c r="AE49" s="58">
        <f>'FIN_Inputs&amp;ProjectTimeline'!$C$26</f>
        <v>0.2</v>
      </c>
      <c r="AF49" s="58">
        <f>'FIN_Inputs&amp;ProjectTimeline'!$C$26</f>
        <v>0.2</v>
      </c>
      <c r="AG49" s="58">
        <f>'FIN_Inputs&amp;ProjectTimeline'!$C$26</f>
        <v>0.2</v>
      </c>
      <c r="AH49" s="58">
        <f>'FIN_Inputs&amp;ProjectTimeline'!$C$26</f>
        <v>0.2</v>
      </c>
      <c r="AI49" s="58">
        <f>'FIN_Inputs&amp;ProjectTimeline'!$C$26</f>
        <v>0.2</v>
      </c>
      <c r="AJ49" s="59">
        <f>'FIN_Inputs&amp;ProjectTimeline'!$C$26</f>
        <v>0.2</v>
      </c>
    </row>
    <row r="50" spans="2:36" x14ac:dyDescent="0.3">
      <c r="B50" s="38"/>
      <c r="C50" s="52"/>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9"/>
    </row>
    <row r="51" spans="2:36" x14ac:dyDescent="0.3">
      <c r="B51" s="38" t="s">
        <v>237</v>
      </c>
      <c r="C51" s="52"/>
      <c r="D51" s="12">
        <v>0</v>
      </c>
      <c r="E51" s="12">
        <f>D55</f>
        <v>8.9250000000000007</v>
      </c>
      <c r="F51" s="12">
        <f t="shared" ref="F51:AJ51" si="10">E55</f>
        <v>17.850000000000001</v>
      </c>
      <c r="G51" s="12">
        <f t="shared" si="10"/>
        <v>53.550000000000004</v>
      </c>
      <c r="H51" s="12">
        <f t="shared" si="10"/>
        <v>89.25</v>
      </c>
      <c r="I51" s="12">
        <f t="shared" si="10"/>
        <v>857.53242748930961</v>
      </c>
      <c r="J51" s="12">
        <f t="shared" si="10"/>
        <v>1625.8148549786192</v>
      </c>
      <c r="K51" s="12">
        <f t="shared" si="10"/>
        <v>1684.79309772755</v>
      </c>
      <c r="L51" s="12">
        <f t="shared" si="10"/>
        <v>1347.8344781820401</v>
      </c>
      <c r="M51" s="12">
        <f t="shared" si="10"/>
        <v>1078.2675825456322</v>
      </c>
      <c r="N51" s="12">
        <f t="shared" si="10"/>
        <v>862.61406603650573</v>
      </c>
      <c r="O51" s="12">
        <f t="shared" si="10"/>
        <v>690.09125282920456</v>
      </c>
      <c r="P51" s="12">
        <f t="shared" si="10"/>
        <v>552.07300226336361</v>
      </c>
      <c r="Q51" s="12">
        <f t="shared" si="10"/>
        <v>441.65840181069086</v>
      </c>
      <c r="R51" s="12">
        <f t="shared" si="10"/>
        <v>353.32672144855269</v>
      </c>
      <c r="S51" s="12">
        <f t="shared" si="10"/>
        <v>282.66137715884213</v>
      </c>
      <c r="T51" s="12">
        <f t="shared" si="10"/>
        <v>226.1291017270737</v>
      </c>
      <c r="U51" s="12">
        <f t="shared" si="10"/>
        <v>180.90328138165896</v>
      </c>
      <c r="V51" s="12">
        <f t="shared" si="10"/>
        <v>144.72262510532715</v>
      </c>
      <c r="W51" s="12">
        <f t="shared" si="10"/>
        <v>115.77810008426172</v>
      </c>
      <c r="X51" s="12">
        <f t="shared" si="10"/>
        <v>92.622480067409384</v>
      </c>
      <c r="Y51" s="12">
        <f t="shared" si="10"/>
        <v>74.097984053927505</v>
      </c>
      <c r="Z51" s="12">
        <f t="shared" si="10"/>
        <v>59.278387243142006</v>
      </c>
      <c r="AA51" s="12">
        <f t="shared" si="10"/>
        <v>47.422709794513608</v>
      </c>
      <c r="AB51" s="12">
        <f t="shared" si="10"/>
        <v>37.938167835610884</v>
      </c>
      <c r="AC51" s="12">
        <f t="shared" si="10"/>
        <v>30.350534268488708</v>
      </c>
      <c r="AD51" s="12">
        <f t="shared" si="10"/>
        <v>24.280427414790967</v>
      </c>
      <c r="AE51" s="12">
        <f t="shared" si="10"/>
        <v>19.424341931832775</v>
      </c>
      <c r="AF51" s="12">
        <f t="shared" si="10"/>
        <v>15.539473545466219</v>
      </c>
      <c r="AG51" s="12">
        <f t="shared" si="10"/>
        <v>12.431578836372974</v>
      </c>
      <c r="AH51" s="12">
        <f t="shared" si="10"/>
        <v>9.9452630690983792</v>
      </c>
      <c r="AI51" s="12">
        <f>AH55</f>
        <v>0</v>
      </c>
      <c r="AJ51" s="47">
        <f t="shared" si="10"/>
        <v>0</v>
      </c>
    </row>
    <row r="52" spans="2:36" x14ac:dyDescent="0.3">
      <c r="B52" s="38" t="s">
        <v>106</v>
      </c>
      <c r="C52" s="165">
        <f>SUM(D52:AJ52)</f>
        <v>2009.956068723274</v>
      </c>
      <c r="D52" s="55">
        <f>Summary!D$40</f>
        <v>8.9250000000000007</v>
      </c>
      <c r="E52" s="55">
        <f>Summary!E$40</f>
        <v>8.9250000000000007</v>
      </c>
      <c r="F52" s="55">
        <f>Summary!F$40</f>
        <v>35.700000000000003</v>
      </c>
      <c r="G52" s="55">
        <f>Summary!G$40</f>
        <v>35.700000000000003</v>
      </c>
      <c r="H52" s="55">
        <f>Summary!H$40</f>
        <v>768.28242748930961</v>
      </c>
      <c r="I52" s="55">
        <f>Summary!I$40</f>
        <v>768.28242748930961</v>
      </c>
      <c r="J52" s="55">
        <f>Summary!J$40</f>
        <v>384.14121374465481</v>
      </c>
      <c r="K52" s="55">
        <f>Summary!K$40</f>
        <v>0</v>
      </c>
      <c r="L52" s="55">
        <f>Summary!L$40</f>
        <v>0</v>
      </c>
      <c r="M52" s="55">
        <f>Summary!M$40</f>
        <v>0</v>
      </c>
      <c r="N52" s="55">
        <f>Summary!N$40</f>
        <v>0</v>
      </c>
      <c r="O52" s="55">
        <f>Summary!O$40</f>
        <v>0</v>
      </c>
      <c r="P52" s="55">
        <f>Summary!P$40</f>
        <v>0</v>
      </c>
      <c r="Q52" s="55">
        <f>Summary!Q$40</f>
        <v>0</v>
      </c>
      <c r="R52" s="55">
        <f>Summary!R$40</f>
        <v>0</v>
      </c>
      <c r="S52" s="55">
        <f>Summary!S$40</f>
        <v>0</v>
      </c>
      <c r="T52" s="55">
        <f>Summary!T$40</f>
        <v>0</v>
      </c>
      <c r="U52" s="55">
        <f>Summary!U$40</f>
        <v>0</v>
      </c>
      <c r="V52" s="55">
        <f>Summary!V$40</f>
        <v>0</v>
      </c>
      <c r="W52" s="55">
        <f>Summary!W$40</f>
        <v>0</v>
      </c>
      <c r="X52" s="55">
        <f>Summary!X$40</f>
        <v>0</v>
      </c>
      <c r="Y52" s="55">
        <f>Summary!Y$40</f>
        <v>0</v>
      </c>
      <c r="Z52" s="55">
        <f>Summary!Z$40</f>
        <v>0</v>
      </c>
      <c r="AA52" s="55">
        <f>Summary!AA$40</f>
        <v>0</v>
      </c>
      <c r="AB52" s="55">
        <f>Summary!AB$40</f>
        <v>0</v>
      </c>
      <c r="AC52" s="55">
        <f>Summary!AC$40</f>
        <v>0</v>
      </c>
      <c r="AD52" s="55">
        <f>Summary!AD$40</f>
        <v>0</v>
      </c>
      <c r="AE52" s="55">
        <f>Summary!AE$40</f>
        <v>0</v>
      </c>
      <c r="AF52" s="55">
        <f>Summary!AF$40</f>
        <v>0</v>
      </c>
      <c r="AG52" s="55">
        <f>Summary!AG$40</f>
        <v>0</v>
      </c>
      <c r="AH52" s="55">
        <f>Summary!AH$40</f>
        <v>0</v>
      </c>
      <c r="AI52" s="55">
        <f>Summary!AI$40</f>
        <v>0</v>
      </c>
      <c r="AJ52" s="56">
        <f>Summary!AJ$40</f>
        <v>0</v>
      </c>
    </row>
    <row r="53" spans="2:36" x14ac:dyDescent="0.3">
      <c r="B53" s="38" t="s">
        <v>107</v>
      </c>
      <c r="C53" s="52"/>
      <c r="D53" s="55">
        <v>0</v>
      </c>
      <c r="E53" s="55">
        <v>0</v>
      </c>
      <c r="F53" s="55">
        <v>0</v>
      </c>
      <c r="G53" s="55">
        <v>0</v>
      </c>
      <c r="H53" s="55">
        <v>0</v>
      </c>
      <c r="I53" s="55">
        <v>0</v>
      </c>
      <c r="J53" s="55">
        <f>J54*J49</f>
        <v>325.16297099572387</v>
      </c>
      <c r="K53" s="85">
        <f t="shared" ref="K53:AG53" si="11">K54*K49*K7</f>
        <v>336.95861954551003</v>
      </c>
      <c r="L53" s="55">
        <f t="shared" si="11"/>
        <v>269.56689563640805</v>
      </c>
      <c r="M53" s="55">
        <f t="shared" si="11"/>
        <v>215.65351650912646</v>
      </c>
      <c r="N53" s="55">
        <f t="shared" si="11"/>
        <v>172.52281320730117</v>
      </c>
      <c r="O53" s="55">
        <f t="shared" si="11"/>
        <v>138.01825056584093</v>
      </c>
      <c r="P53" s="55">
        <f t="shared" si="11"/>
        <v>110.41460045267273</v>
      </c>
      <c r="Q53" s="55">
        <f t="shared" si="11"/>
        <v>88.331680362138172</v>
      </c>
      <c r="R53" s="55">
        <f t="shared" si="11"/>
        <v>70.665344289710546</v>
      </c>
      <c r="S53" s="55">
        <f t="shared" si="11"/>
        <v>56.532275431768426</v>
      </c>
      <c r="T53" s="55">
        <f t="shared" si="11"/>
        <v>45.225820345414746</v>
      </c>
      <c r="U53" s="55">
        <f t="shared" si="11"/>
        <v>36.180656276331796</v>
      </c>
      <c r="V53" s="55">
        <f t="shared" si="11"/>
        <v>28.944525021065431</v>
      </c>
      <c r="W53" s="55">
        <f t="shared" si="11"/>
        <v>23.155620016852346</v>
      </c>
      <c r="X53" s="55">
        <f t="shared" si="11"/>
        <v>18.524496013481876</v>
      </c>
      <c r="Y53" s="55">
        <f t="shared" si="11"/>
        <v>14.819596810785502</v>
      </c>
      <c r="Z53" s="55">
        <f t="shared" si="11"/>
        <v>11.855677448628402</v>
      </c>
      <c r="AA53" s="55">
        <f t="shared" si="11"/>
        <v>9.4845419589027227</v>
      </c>
      <c r="AB53" s="55">
        <f t="shared" si="11"/>
        <v>7.5876335671221771</v>
      </c>
      <c r="AC53" s="55">
        <f t="shared" si="11"/>
        <v>6.0701068536977418</v>
      </c>
      <c r="AD53" s="55">
        <f t="shared" si="11"/>
        <v>4.8560854829581936</v>
      </c>
      <c r="AE53" s="55">
        <f t="shared" si="11"/>
        <v>3.8848683863665552</v>
      </c>
      <c r="AF53" s="55">
        <f t="shared" si="11"/>
        <v>3.1078947090932441</v>
      </c>
      <c r="AG53" s="55">
        <f t="shared" si="11"/>
        <v>2.4863157672745952</v>
      </c>
      <c r="AH53" s="55">
        <f>AG55</f>
        <v>9.9452630690983792</v>
      </c>
      <c r="AI53" s="12">
        <v>0</v>
      </c>
      <c r="AJ53" s="47">
        <v>0</v>
      </c>
    </row>
    <row r="54" spans="2:36" x14ac:dyDescent="0.3">
      <c r="B54" s="38" t="s">
        <v>77</v>
      </c>
      <c r="C54" s="52"/>
      <c r="D54" s="55">
        <f>D51</f>
        <v>0</v>
      </c>
      <c r="E54" s="55">
        <f>E51</f>
        <v>8.9250000000000007</v>
      </c>
      <c r="F54" s="55">
        <f t="shared" ref="F54:AJ54" si="12">F51</f>
        <v>17.850000000000001</v>
      </c>
      <c r="G54" s="55">
        <f t="shared" si="12"/>
        <v>53.550000000000004</v>
      </c>
      <c r="H54" s="55">
        <f t="shared" si="12"/>
        <v>89.25</v>
      </c>
      <c r="I54" s="55">
        <f t="shared" si="12"/>
        <v>857.53242748930961</v>
      </c>
      <c r="J54" s="55">
        <f t="shared" si="12"/>
        <v>1625.8148549786192</v>
      </c>
      <c r="K54" s="55">
        <f t="shared" si="12"/>
        <v>1684.79309772755</v>
      </c>
      <c r="L54" s="55">
        <f t="shared" si="12"/>
        <v>1347.8344781820401</v>
      </c>
      <c r="M54" s="55">
        <f t="shared" si="12"/>
        <v>1078.2675825456322</v>
      </c>
      <c r="N54" s="55">
        <f t="shared" si="12"/>
        <v>862.61406603650573</v>
      </c>
      <c r="O54" s="55">
        <f t="shared" si="12"/>
        <v>690.09125282920456</v>
      </c>
      <c r="P54" s="55">
        <f t="shared" si="12"/>
        <v>552.07300226336361</v>
      </c>
      <c r="Q54" s="55">
        <f t="shared" si="12"/>
        <v>441.65840181069086</v>
      </c>
      <c r="R54" s="55">
        <f t="shared" si="12"/>
        <v>353.32672144855269</v>
      </c>
      <c r="S54" s="55">
        <f t="shared" si="12"/>
        <v>282.66137715884213</v>
      </c>
      <c r="T54" s="55">
        <f t="shared" si="12"/>
        <v>226.1291017270737</v>
      </c>
      <c r="U54" s="55">
        <f t="shared" si="12"/>
        <v>180.90328138165896</v>
      </c>
      <c r="V54" s="55">
        <f t="shared" si="12"/>
        <v>144.72262510532715</v>
      </c>
      <c r="W54" s="55">
        <f t="shared" si="12"/>
        <v>115.77810008426172</v>
      </c>
      <c r="X54" s="55">
        <f t="shared" si="12"/>
        <v>92.622480067409384</v>
      </c>
      <c r="Y54" s="55">
        <f t="shared" si="12"/>
        <v>74.097984053927505</v>
      </c>
      <c r="Z54" s="55">
        <f t="shared" si="12"/>
        <v>59.278387243142006</v>
      </c>
      <c r="AA54" s="55">
        <f t="shared" si="12"/>
        <v>47.422709794513608</v>
      </c>
      <c r="AB54" s="55">
        <f t="shared" si="12"/>
        <v>37.938167835610884</v>
      </c>
      <c r="AC54" s="55">
        <f t="shared" si="12"/>
        <v>30.350534268488708</v>
      </c>
      <c r="AD54" s="55">
        <f t="shared" si="12"/>
        <v>24.280427414790967</v>
      </c>
      <c r="AE54" s="55">
        <f t="shared" si="12"/>
        <v>19.424341931832775</v>
      </c>
      <c r="AF54" s="55">
        <f t="shared" si="12"/>
        <v>15.539473545466219</v>
      </c>
      <c r="AG54" s="55">
        <f t="shared" si="12"/>
        <v>12.431578836372974</v>
      </c>
      <c r="AH54" s="55">
        <f t="shared" si="12"/>
        <v>9.9452630690983792</v>
      </c>
      <c r="AI54" s="55">
        <f t="shared" si="12"/>
        <v>0</v>
      </c>
      <c r="AJ54" s="56">
        <f t="shared" si="12"/>
        <v>0</v>
      </c>
    </row>
    <row r="55" spans="2:36" x14ac:dyDescent="0.3">
      <c r="B55" s="9" t="s">
        <v>78</v>
      </c>
      <c r="C55" s="17"/>
      <c r="D55" s="88">
        <f t="shared" ref="D55:AH55" si="13">D52+D54-D53</f>
        <v>8.9250000000000007</v>
      </c>
      <c r="E55" s="88">
        <f>E52+E54-E53</f>
        <v>17.850000000000001</v>
      </c>
      <c r="F55" s="88">
        <f>F52+F54-F53</f>
        <v>53.550000000000004</v>
      </c>
      <c r="G55" s="88">
        <f t="shared" si="13"/>
        <v>89.25</v>
      </c>
      <c r="H55" s="88">
        <f t="shared" si="13"/>
        <v>857.53242748930961</v>
      </c>
      <c r="I55" s="88">
        <f t="shared" si="13"/>
        <v>1625.8148549786192</v>
      </c>
      <c r="J55" s="88">
        <f t="shared" si="13"/>
        <v>1684.79309772755</v>
      </c>
      <c r="K55" s="88">
        <f t="shared" si="13"/>
        <v>1347.8344781820401</v>
      </c>
      <c r="L55" s="88">
        <f t="shared" si="13"/>
        <v>1078.2675825456322</v>
      </c>
      <c r="M55" s="88">
        <f t="shared" si="13"/>
        <v>862.61406603650573</v>
      </c>
      <c r="N55" s="88">
        <f t="shared" si="13"/>
        <v>690.09125282920456</v>
      </c>
      <c r="O55" s="88">
        <f t="shared" si="13"/>
        <v>552.07300226336361</v>
      </c>
      <c r="P55" s="88">
        <f t="shared" si="13"/>
        <v>441.65840181069086</v>
      </c>
      <c r="Q55" s="88">
        <f t="shared" si="13"/>
        <v>353.32672144855269</v>
      </c>
      <c r="R55" s="88">
        <f t="shared" si="13"/>
        <v>282.66137715884213</v>
      </c>
      <c r="S55" s="88">
        <f t="shared" si="13"/>
        <v>226.1291017270737</v>
      </c>
      <c r="T55" s="88">
        <f t="shared" si="13"/>
        <v>180.90328138165896</v>
      </c>
      <c r="U55" s="88">
        <f t="shared" si="13"/>
        <v>144.72262510532715</v>
      </c>
      <c r="V55" s="88">
        <f t="shared" si="13"/>
        <v>115.77810008426172</v>
      </c>
      <c r="W55" s="88">
        <f t="shared" si="13"/>
        <v>92.622480067409384</v>
      </c>
      <c r="X55" s="88">
        <f t="shared" si="13"/>
        <v>74.097984053927505</v>
      </c>
      <c r="Y55" s="88">
        <f t="shared" si="13"/>
        <v>59.278387243142006</v>
      </c>
      <c r="Z55" s="88">
        <f t="shared" si="13"/>
        <v>47.422709794513608</v>
      </c>
      <c r="AA55" s="88">
        <f t="shared" si="13"/>
        <v>37.938167835610884</v>
      </c>
      <c r="AB55" s="88">
        <f t="shared" si="13"/>
        <v>30.350534268488708</v>
      </c>
      <c r="AC55" s="88">
        <f t="shared" si="13"/>
        <v>24.280427414790967</v>
      </c>
      <c r="AD55" s="88">
        <f t="shared" si="13"/>
        <v>19.424341931832775</v>
      </c>
      <c r="AE55" s="88">
        <f t="shared" si="13"/>
        <v>15.539473545466219</v>
      </c>
      <c r="AF55" s="88">
        <f t="shared" si="13"/>
        <v>12.431578836372974</v>
      </c>
      <c r="AG55" s="88">
        <f t="shared" si="13"/>
        <v>9.9452630690983792</v>
      </c>
      <c r="AH55" s="227">
        <f t="shared" si="13"/>
        <v>0</v>
      </c>
      <c r="AI55" s="48">
        <v>0</v>
      </c>
      <c r="AJ55" s="49">
        <v>0</v>
      </c>
    </row>
    <row r="56" spans="2:36" ht="7.2" customHeight="1" x14ac:dyDescent="0.3">
      <c r="B56" s="156"/>
      <c r="C56" s="60"/>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row>
    <row r="57" spans="2:36" x14ac:dyDescent="0.3">
      <c r="B57" s="44" t="s">
        <v>179</v>
      </c>
      <c r="C57" s="82"/>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6"/>
    </row>
    <row r="58" spans="2:36" x14ac:dyDescent="0.3">
      <c r="B58" s="51" t="s">
        <v>72</v>
      </c>
      <c r="C58" s="182"/>
      <c r="D58" s="65">
        <f>IF('FIN_Inputs&amp;ProjectTimeline'!$C$25='FIN_Inputs&amp;ProjectTimeline'!$G$26,DCF_Calculations!D43,DCF_Calculations!D53)</f>
        <v>0</v>
      </c>
      <c r="E58" s="65">
        <f>IF('FIN_Inputs&amp;ProjectTimeline'!$C$25='FIN_Inputs&amp;ProjectTimeline'!$G$26,DCF_Calculations!E43,DCF_Calculations!E53)</f>
        <v>0</v>
      </c>
      <c r="F58" s="65">
        <f>IF('FIN_Inputs&amp;ProjectTimeline'!$C$25='FIN_Inputs&amp;ProjectTimeline'!$G$26,DCF_Calculations!F43,DCF_Calculations!F53)</f>
        <v>0</v>
      </c>
      <c r="G58" s="65">
        <f>IF('FIN_Inputs&amp;ProjectTimeline'!$C$25='FIN_Inputs&amp;ProjectTimeline'!$G$26,DCF_Calculations!G43,DCF_Calculations!G53)</f>
        <v>0</v>
      </c>
      <c r="H58" s="65">
        <f>IF('FIN_Inputs&amp;ProjectTimeline'!$C$25='FIN_Inputs&amp;ProjectTimeline'!$G$26,DCF_Calculations!H43,DCF_Calculations!H53)</f>
        <v>0</v>
      </c>
      <c r="I58" s="65">
        <f>IF('FIN_Inputs&amp;ProjectTimeline'!$C$25='FIN_Inputs&amp;ProjectTimeline'!$G$26,DCF_Calculations!I43,DCF_Calculations!I53)</f>
        <v>0</v>
      </c>
      <c r="J58" s="65">
        <f>IF('FIN_Inputs&amp;ProjectTimeline'!$C$25='FIN_Inputs&amp;ProjectTimeline'!$G$26,DCF_Calculations!J43,DCF_Calculations!J53)</f>
        <v>80.398242748930954</v>
      </c>
      <c r="K58" s="65">
        <f>IF('FIN_Inputs&amp;ProjectTimeline'!$C$25='FIN_Inputs&amp;ProjectTimeline'!$G$26,DCF_Calculations!K43,DCF_Calculations!K53)</f>
        <v>80.398242748930954</v>
      </c>
      <c r="L58" s="65">
        <f>IF('FIN_Inputs&amp;ProjectTimeline'!$C$25='FIN_Inputs&amp;ProjectTimeline'!$G$26,DCF_Calculations!L43,DCF_Calculations!L53)</f>
        <v>80.398242748930954</v>
      </c>
      <c r="M58" s="65">
        <f>IF('FIN_Inputs&amp;ProjectTimeline'!$C$25='FIN_Inputs&amp;ProjectTimeline'!$G$26,DCF_Calculations!M43,DCF_Calculations!M53)</f>
        <v>80.398242748930954</v>
      </c>
      <c r="N58" s="65">
        <f>IF('FIN_Inputs&amp;ProjectTimeline'!$C$25='FIN_Inputs&amp;ProjectTimeline'!$G$26,DCF_Calculations!N43,DCF_Calculations!N53)</f>
        <v>80.398242748930954</v>
      </c>
      <c r="O58" s="65">
        <f>IF('FIN_Inputs&amp;ProjectTimeline'!$C$25='FIN_Inputs&amp;ProjectTimeline'!$G$26,DCF_Calculations!O43,DCF_Calculations!O53)</f>
        <v>80.398242748930954</v>
      </c>
      <c r="P58" s="65">
        <f>IF('FIN_Inputs&amp;ProjectTimeline'!$C$25='FIN_Inputs&amp;ProjectTimeline'!$G$26,DCF_Calculations!P43,DCF_Calculations!P53)</f>
        <v>80.398242748930954</v>
      </c>
      <c r="Q58" s="65">
        <f>IF('FIN_Inputs&amp;ProjectTimeline'!$C$25='FIN_Inputs&amp;ProjectTimeline'!$G$26,DCF_Calculations!Q43,DCF_Calculations!Q53)</f>
        <v>80.398242748930954</v>
      </c>
      <c r="R58" s="65">
        <f>IF('FIN_Inputs&amp;ProjectTimeline'!$C$25='FIN_Inputs&amp;ProjectTimeline'!$G$26,DCF_Calculations!R43,DCF_Calculations!R53)</f>
        <v>80.398242748930954</v>
      </c>
      <c r="S58" s="65">
        <f>IF('FIN_Inputs&amp;ProjectTimeline'!$C$25='FIN_Inputs&amp;ProjectTimeline'!$G$26,DCF_Calculations!S43,DCF_Calculations!S53)</f>
        <v>80.398242748930954</v>
      </c>
      <c r="T58" s="65">
        <f>IF('FIN_Inputs&amp;ProjectTimeline'!$C$25='FIN_Inputs&amp;ProjectTimeline'!$G$26,DCF_Calculations!T43,DCF_Calculations!T53)</f>
        <v>80.398242748930954</v>
      </c>
      <c r="U58" s="65">
        <f>IF('FIN_Inputs&amp;ProjectTimeline'!$C$25='FIN_Inputs&amp;ProjectTimeline'!$G$26,DCF_Calculations!U43,DCF_Calculations!U53)</f>
        <v>80.398242748930954</v>
      </c>
      <c r="V58" s="65">
        <f>IF('FIN_Inputs&amp;ProjectTimeline'!$C$25='FIN_Inputs&amp;ProjectTimeline'!$G$26,DCF_Calculations!V43,DCF_Calculations!V53)</f>
        <v>80.398242748930954</v>
      </c>
      <c r="W58" s="65">
        <f>IF('FIN_Inputs&amp;ProjectTimeline'!$C$25='FIN_Inputs&amp;ProjectTimeline'!$G$26,DCF_Calculations!W43,DCF_Calculations!W53)</f>
        <v>80.398242748930954</v>
      </c>
      <c r="X58" s="65">
        <f>IF('FIN_Inputs&amp;ProjectTimeline'!$C$25='FIN_Inputs&amp;ProjectTimeline'!$G$26,DCF_Calculations!X43,DCF_Calculations!X53)</f>
        <v>80.398242748930954</v>
      </c>
      <c r="Y58" s="65">
        <f>IF('FIN_Inputs&amp;ProjectTimeline'!$C$25='FIN_Inputs&amp;ProjectTimeline'!$G$26,DCF_Calculations!Y43,DCF_Calculations!Y53)</f>
        <v>80.398242748930954</v>
      </c>
      <c r="Z58" s="65">
        <f>IF('FIN_Inputs&amp;ProjectTimeline'!$C$25='FIN_Inputs&amp;ProjectTimeline'!$G$26,DCF_Calculations!Z43,DCF_Calculations!Z53)</f>
        <v>80.398242748930954</v>
      </c>
      <c r="AA58" s="65">
        <f>IF('FIN_Inputs&amp;ProjectTimeline'!$C$25='FIN_Inputs&amp;ProjectTimeline'!$G$26,DCF_Calculations!AA43,DCF_Calculations!AA53)</f>
        <v>80.398242748930954</v>
      </c>
      <c r="AB58" s="65">
        <f>IF('FIN_Inputs&amp;ProjectTimeline'!$C$25='FIN_Inputs&amp;ProjectTimeline'!$G$26,DCF_Calculations!AB43,DCF_Calculations!AB53)</f>
        <v>80.398242748930954</v>
      </c>
      <c r="AC58" s="65">
        <f>IF('FIN_Inputs&amp;ProjectTimeline'!$C$25='FIN_Inputs&amp;ProjectTimeline'!$G$26,DCF_Calculations!AC43,DCF_Calculations!AC53)</f>
        <v>80.398242748930954</v>
      </c>
      <c r="AD58" s="65">
        <f>IF('FIN_Inputs&amp;ProjectTimeline'!$C$25='FIN_Inputs&amp;ProjectTimeline'!$G$26,DCF_Calculations!AD43,DCF_Calculations!AD53)</f>
        <v>80.398242748930954</v>
      </c>
      <c r="AE58" s="65">
        <f>IF('FIN_Inputs&amp;ProjectTimeline'!$C$25='FIN_Inputs&amp;ProjectTimeline'!$G$26,DCF_Calculations!AE43,DCF_Calculations!AE53)</f>
        <v>80.398242748930954</v>
      </c>
      <c r="AF58" s="65">
        <f>IF('FIN_Inputs&amp;ProjectTimeline'!$C$25='FIN_Inputs&amp;ProjectTimeline'!$G$26,DCF_Calculations!AF43,DCF_Calculations!AF53)</f>
        <v>80.398242748930954</v>
      </c>
      <c r="AG58" s="65">
        <f>IF('FIN_Inputs&amp;ProjectTimeline'!$C$25='FIN_Inputs&amp;ProjectTimeline'!$G$26,DCF_Calculations!AG43,DCF_Calculations!AG53)</f>
        <v>80.398242748930954</v>
      </c>
      <c r="AH58" s="65">
        <f>IF('FIN_Inputs&amp;ProjectTimeline'!$C$25='FIN_Inputs&amp;ProjectTimeline'!$G$26,DCF_Calculations!AH43,DCF_Calculations!AH53)</f>
        <v>80.398242748930954</v>
      </c>
      <c r="AI58" s="65">
        <f>IF('FIN_Inputs&amp;ProjectTimeline'!$C$25='FIN_Inputs&amp;ProjectTimeline'!$G$26,DCF_Calculations!AI43,DCF_Calculations!AI53)</f>
        <v>0</v>
      </c>
      <c r="AJ58" s="158">
        <f>IF('FIN_Inputs&amp;ProjectTimeline'!$C$25='FIN_Inputs&amp;ProjectTimeline'!$G$26,DCF_Calculations!AJ43,DCF_Calculations!AJ53)</f>
        <v>0</v>
      </c>
    </row>
    <row r="59" spans="2:36" x14ac:dyDescent="0.3">
      <c r="B59" s="66" t="s">
        <v>176</v>
      </c>
      <c r="C59" s="19"/>
      <c r="D59" s="65">
        <f t="shared" ref="D59:AJ59" si="14">D37-D58</f>
        <v>0</v>
      </c>
      <c r="E59" s="65">
        <f t="shared" si="14"/>
        <v>0</v>
      </c>
      <c r="F59" s="65">
        <f t="shared" si="14"/>
        <v>0</v>
      </c>
      <c r="G59" s="65">
        <f t="shared" si="14"/>
        <v>0</v>
      </c>
      <c r="H59" s="65">
        <f t="shared" si="14"/>
        <v>0</v>
      </c>
      <c r="I59" s="65">
        <f t="shared" si="14"/>
        <v>0</v>
      </c>
      <c r="J59" s="65">
        <f>J37-J58</f>
        <v>47.47863063119965</v>
      </c>
      <c r="K59" s="65">
        <f>K37-K58</f>
        <v>47.47863063119965</v>
      </c>
      <c r="L59" s="65">
        <f t="shared" si="14"/>
        <v>47.47863063119965</v>
      </c>
      <c r="M59" s="65">
        <f t="shared" si="14"/>
        <v>47.47863063119965</v>
      </c>
      <c r="N59" s="65">
        <f t="shared" si="14"/>
        <v>47.47863063119965</v>
      </c>
      <c r="O59" s="65">
        <f t="shared" si="14"/>
        <v>47.47863063119965</v>
      </c>
      <c r="P59" s="65">
        <f t="shared" si="14"/>
        <v>47.47863063119965</v>
      </c>
      <c r="Q59" s="65">
        <f t="shared" si="14"/>
        <v>47.47863063119965</v>
      </c>
      <c r="R59" s="65">
        <f t="shared" si="14"/>
        <v>47.47863063119965</v>
      </c>
      <c r="S59" s="65">
        <f t="shared" si="14"/>
        <v>47.47863063119965</v>
      </c>
      <c r="T59" s="65">
        <f t="shared" si="14"/>
        <v>47.47863063119965</v>
      </c>
      <c r="U59" s="65">
        <f t="shared" si="14"/>
        <v>47.47863063119965</v>
      </c>
      <c r="V59" s="65">
        <f t="shared" si="14"/>
        <v>47.47863063119965</v>
      </c>
      <c r="W59" s="65">
        <f t="shared" si="14"/>
        <v>47.47863063119965</v>
      </c>
      <c r="X59" s="65">
        <f t="shared" si="14"/>
        <v>40.043471896827924</v>
      </c>
      <c r="Y59" s="65">
        <f>Y37-Y58</f>
        <v>36.73895690377384</v>
      </c>
      <c r="Z59" s="65">
        <f t="shared" si="14"/>
        <v>36.73895690377384</v>
      </c>
      <c r="AA59" s="65">
        <f t="shared" si="14"/>
        <v>36.73895690377384</v>
      </c>
      <c r="AB59" s="65">
        <f t="shared" si="14"/>
        <v>36.73895690377384</v>
      </c>
      <c r="AC59" s="65">
        <f t="shared" si="14"/>
        <v>36.73895690377384</v>
      </c>
      <c r="AD59" s="65">
        <f t="shared" si="14"/>
        <v>36.73895690377384</v>
      </c>
      <c r="AE59" s="65">
        <f t="shared" si="14"/>
        <v>36.73895690377384</v>
      </c>
      <c r="AF59" s="65">
        <f t="shared" si="14"/>
        <v>36.73895690377384</v>
      </c>
      <c r="AG59" s="65">
        <f t="shared" si="14"/>
        <v>36.73895690377384</v>
      </c>
      <c r="AH59" s="65">
        <f t="shared" si="14"/>
        <v>36.73895690377384</v>
      </c>
      <c r="AI59" s="65">
        <f t="shared" si="14"/>
        <v>0</v>
      </c>
      <c r="AJ59" s="158">
        <f t="shared" si="14"/>
        <v>0</v>
      </c>
    </row>
    <row r="60" spans="2:36" x14ac:dyDescent="0.3">
      <c r="B60" s="66" t="s">
        <v>178</v>
      </c>
      <c r="C60" s="19"/>
      <c r="D60" s="65">
        <f t="shared" ref="D60:AH60" si="15">MIN(0,D59+C60)</f>
        <v>0</v>
      </c>
      <c r="E60" s="65">
        <f t="shared" si="15"/>
        <v>0</v>
      </c>
      <c r="F60" s="65">
        <f t="shared" si="15"/>
        <v>0</v>
      </c>
      <c r="G60" s="65">
        <f t="shared" si="15"/>
        <v>0</v>
      </c>
      <c r="H60" s="65">
        <f t="shared" si="15"/>
        <v>0</v>
      </c>
      <c r="I60" s="65">
        <f t="shared" si="15"/>
        <v>0</v>
      </c>
      <c r="J60" s="65">
        <f>MIN(0,J59+I60)</f>
        <v>0</v>
      </c>
      <c r="K60" s="65">
        <f t="shared" si="15"/>
        <v>0</v>
      </c>
      <c r="L60" s="65">
        <f t="shared" si="15"/>
        <v>0</v>
      </c>
      <c r="M60" s="65">
        <f t="shared" si="15"/>
        <v>0</v>
      </c>
      <c r="N60" s="65">
        <f t="shared" si="15"/>
        <v>0</v>
      </c>
      <c r="O60" s="65">
        <f t="shared" si="15"/>
        <v>0</v>
      </c>
      <c r="P60" s="65">
        <f t="shared" si="15"/>
        <v>0</v>
      </c>
      <c r="Q60" s="65">
        <f t="shared" si="15"/>
        <v>0</v>
      </c>
      <c r="R60" s="65">
        <f t="shared" si="15"/>
        <v>0</v>
      </c>
      <c r="S60" s="65">
        <f t="shared" si="15"/>
        <v>0</v>
      </c>
      <c r="T60" s="65">
        <f t="shared" si="15"/>
        <v>0</v>
      </c>
      <c r="U60" s="65">
        <f t="shared" si="15"/>
        <v>0</v>
      </c>
      <c r="V60" s="65">
        <f t="shared" si="15"/>
        <v>0</v>
      </c>
      <c r="W60" s="65">
        <f t="shared" si="15"/>
        <v>0</v>
      </c>
      <c r="X60" s="65">
        <f t="shared" si="15"/>
        <v>0</v>
      </c>
      <c r="Y60" s="65">
        <f>MIN(0,Y59+X60)</f>
        <v>0</v>
      </c>
      <c r="Z60" s="65">
        <f t="shared" si="15"/>
        <v>0</v>
      </c>
      <c r="AA60" s="65">
        <f t="shared" si="15"/>
        <v>0</v>
      </c>
      <c r="AB60" s="65">
        <f t="shared" si="15"/>
        <v>0</v>
      </c>
      <c r="AC60" s="65">
        <f t="shared" si="15"/>
        <v>0</v>
      </c>
      <c r="AD60" s="65">
        <f t="shared" si="15"/>
        <v>0</v>
      </c>
      <c r="AE60" s="65">
        <f t="shared" si="15"/>
        <v>0</v>
      </c>
      <c r="AF60" s="65">
        <f t="shared" si="15"/>
        <v>0</v>
      </c>
      <c r="AG60" s="65">
        <f t="shared" si="15"/>
        <v>0</v>
      </c>
      <c r="AH60" s="65">
        <f t="shared" si="15"/>
        <v>0</v>
      </c>
      <c r="AI60" s="157">
        <f>AI59</f>
        <v>0</v>
      </c>
      <c r="AJ60" s="159">
        <f>AJ59</f>
        <v>0</v>
      </c>
    </row>
    <row r="61" spans="2:36" x14ac:dyDescent="0.3">
      <c r="B61" s="180" t="s">
        <v>177</v>
      </c>
      <c r="C61" s="19"/>
      <c r="D61" s="65">
        <f t="shared" ref="D61:AG61" si="16">MAX(0,C60+D59)</f>
        <v>0</v>
      </c>
      <c r="E61" s="65">
        <f t="shared" si="16"/>
        <v>0</v>
      </c>
      <c r="F61" s="65">
        <f t="shared" si="16"/>
        <v>0</v>
      </c>
      <c r="G61" s="65">
        <f t="shared" si="16"/>
        <v>0</v>
      </c>
      <c r="H61" s="65">
        <f t="shared" si="16"/>
        <v>0</v>
      </c>
      <c r="I61" s="65">
        <f t="shared" si="16"/>
        <v>0</v>
      </c>
      <c r="J61" s="65">
        <f t="shared" si="16"/>
        <v>47.47863063119965</v>
      </c>
      <c r="K61" s="65">
        <f t="shared" si="16"/>
        <v>47.47863063119965</v>
      </c>
      <c r="L61" s="65">
        <f t="shared" si="16"/>
        <v>47.47863063119965</v>
      </c>
      <c r="M61" s="65">
        <f t="shared" si="16"/>
        <v>47.47863063119965</v>
      </c>
      <c r="N61" s="65">
        <f t="shared" si="16"/>
        <v>47.47863063119965</v>
      </c>
      <c r="O61" s="65">
        <f t="shared" si="16"/>
        <v>47.47863063119965</v>
      </c>
      <c r="P61" s="65">
        <f t="shared" si="16"/>
        <v>47.47863063119965</v>
      </c>
      <c r="Q61" s="65">
        <f t="shared" si="16"/>
        <v>47.47863063119965</v>
      </c>
      <c r="R61" s="65">
        <f t="shared" si="16"/>
        <v>47.47863063119965</v>
      </c>
      <c r="S61" s="65">
        <f t="shared" si="16"/>
        <v>47.47863063119965</v>
      </c>
      <c r="T61" s="65">
        <f t="shared" si="16"/>
        <v>47.47863063119965</v>
      </c>
      <c r="U61" s="65">
        <f t="shared" si="16"/>
        <v>47.47863063119965</v>
      </c>
      <c r="V61" s="65">
        <f t="shared" si="16"/>
        <v>47.47863063119965</v>
      </c>
      <c r="W61" s="65">
        <f t="shared" si="16"/>
        <v>47.47863063119965</v>
      </c>
      <c r="X61" s="65">
        <f t="shared" si="16"/>
        <v>40.043471896827924</v>
      </c>
      <c r="Y61" s="65">
        <f t="shared" si="16"/>
        <v>36.73895690377384</v>
      </c>
      <c r="Z61" s="65">
        <f t="shared" si="16"/>
        <v>36.73895690377384</v>
      </c>
      <c r="AA61" s="65">
        <f t="shared" si="16"/>
        <v>36.73895690377384</v>
      </c>
      <c r="AB61" s="65">
        <f t="shared" si="16"/>
        <v>36.73895690377384</v>
      </c>
      <c r="AC61" s="65">
        <f t="shared" si="16"/>
        <v>36.73895690377384</v>
      </c>
      <c r="AD61" s="65">
        <f t="shared" si="16"/>
        <v>36.73895690377384</v>
      </c>
      <c r="AE61" s="65">
        <f t="shared" si="16"/>
        <v>36.73895690377384</v>
      </c>
      <c r="AF61" s="65">
        <f t="shared" si="16"/>
        <v>36.73895690377384</v>
      </c>
      <c r="AG61" s="65">
        <f t="shared" si="16"/>
        <v>36.73895690377384</v>
      </c>
      <c r="AH61" s="65">
        <f>MAX(0,AG60+AH59)</f>
        <v>36.73895690377384</v>
      </c>
      <c r="AI61" s="157">
        <f>AI60</f>
        <v>0</v>
      </c>
      <c r="AJ61" s="159">
        <f>AJ60</f>
        <v>0</v>
      </c>
    </row>
    <row r="62" spans="2:36" x14ac:dyDescent="0.3">
      <c r="B62" s="180"/>
      <c r="C62" s="19"/>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160"/>
      <c r="AJ62" s="161"/>
    </row>
    <row r="63" spans="2:36" x14ac:dyDescent="0.3">
      <c r="B63" s="181" t="s">
        <v>208</v>
      </c>
      <c r="C63" s="178">
        <f>SUM(D63:AJ63)</f>
        <v>268.03346744284045</v>
      </c>
      <c r="D63" s="75">
        <f t="shared" ref="D63:AJ63" si="17">D61*D11</f>
        <v>0</v>
      </c>
      <c r="E63" s="75">
        <f t="shared" si="17"/>
        <v>0</v>
      </c>
      <c r="F63" s="75">
        <f t="shared" si="17"/>
        <v>0</v>
      </c>
      <c r="G63" s="75">
        <f t="shared" si="17"/>
        <v>0</v>
      </c>
      <c r="H63" s="75">
        <f t="shared" si="17"/>
        <v>0</v>
      </c>
      <c r="I63" s="75">
        <f t="shared" si="17"/>
        <v>0</v>
      </c>
      <c r="J63" s="75">
        <f t="shared" si="17"/>
        <v>11.869657657799912</v>
      </c>
      <c r="K63" s="75">
        <f t="shared" si="17"/>
        <v>11.869657657799912</v>
      </c>
      <c r="L63" s="75">
        <f t="shared" si="17"/>
        <v>11.869657657799912</v>
      </c>
      <c r="M63" s="75">
        <f t="shared" si="17"/>
        <v>11.869657657799912</v>
      </c>
      <c r="N63" s="75">
        <f t="shared" si="17"/>
        <v>11.869657657799912</v>
      </c>
      <c r="O63" s="75">
        <f t="shared" si="17"/>
        <v>11.869657657799912</v>
      </c>
      <c r="P63" s="75">
        <f t="shared" si="17"/>
        <v>11.869657657799912</v>
      </c>
      <c r="Q63" s="75">
        <f t="shared" si="17"/>
        <v>11.869657657799912</v>
      </c>
      <c r="R63" s="75">
        <f t="shared" si="17"/>
        <v>11.869657657799912</v>
      </c>
      <c r="S63" s="75">
        <f t="shared" si="17"/>
        <v>11.869657657799912</v>
      </c>
      <c r="T63" s="75">
        <f t="shared" si="17"/>
        <v>11.869657657799912</v>
      </c>
      <c r="U63" s="75">
        <f t="shared" si="17"/>
        <v>11.869657657799912</v>
      </c>
      <c r="V63" s="75">
        <f t="shared" si="17"/>
        <v>11.869657657799912</v>
      </c>
      <c r="W63" s="75">
        <f t="shared" si="17"/>
        <v>11.869657657799912</v>
      </c>
      <c r="X63" s="75">
        <f t="shared" si="17"/>
        <v>10.010867974206981</v>
      </c>
      <c r="Y63" s="75">
        <f t="shared" si="17"/>
        <v>9.1847392259434599</v>
      </c>
      <c r="Z63" s="75">
        <f t="shared" si="17"/>
        <v>9.1847392259434599</v>
      </c>
      <c r="AA63" s="75">
        <f t="shared" si="17"/>
        <v>9.1847392259434599</v>
      </c>
      <c r="AB63" s="75">
        <f t="shared" si="17"/>
        <v>9.1847392259434599</v>
      </c>
      <c r="AC63" s="75">
        <f t="shared" si="17"/>
        <v>9.1847392259434599</v>
      </c>
      <c r="AD63" s="75">
        <f t="shared" si="17"/>
        <v>9.1847392259434599</v>
      </c>
      <c r="AE63" s="75">
        <f t="shared" si="17"/>
        <v>9.1847392259434599</v>
      </c>
      <c r="AF63" s="75">
        <f t="shared" si="17"/>
        <v>9.1847392259434599</v>
      </c>
      <c r="AG63" s="75">
        <f t="shared" si="17"/>
        <v>9.1847392259434599</v>
      </c>
      <c r="AH63" s="75">
        <f t="shared" si="17"/>
        <v>9.1847392259434599</v>
      </c>
      <c r="AI63" s="75">
        <f t="shared" si="17"/>
        <v>0</v>
      </c>
      <c r="AJ63" s="155">
        <f t="shared" si="17"/>
        <v>0</v>
      </c>
    </row>
    <row r="64" spans="2:36" ht="7.2" customHeight="1" x14ac:dyDescent="0.3">
      <c r="B64" s="156"/>
      <c r="C64" s="60"/>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row>
    <row r="65" spans="2:36" x14ac:dyDescent="0.3">
      <c r="B65" s="90" t="s">
        <v>109</v>
      </c>
      <c r="C65" s="90"/>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row>
    <row r="66" spans="2:36" ht="7.2" customHeight="1" x14ac:dyDescent="0.3"/>
    <row r="67" spans="2:36" s="1" customFormat="1" x14ac:dyDescent="0.3">
      <c r="B67" s="51" t="s">
        <v>110</v>
      </c>
      <c r="C67" s="93">
        <f>SUM(D67:AJ67)</f>
        <v>3082.089938494637</v>
      </c>
      <c r="D67" s="73">
        <f>D37</f>
        <v>0</v>
      </c>
      <c r="E67" s="73">
        <f t="shared" ref="E67:AJ67" si="18">E37</f>
        <v>0</v>
      </c>
      <c r="F67" s="73">
        <f t="shared" si="18"/>
        <v>0</v>
      </c>
      <c r="G67" s="73">
        <f t="shared" si="18"/>
        <v>0</v>
      </c>
      <c r="H67" s="73">
        <f t="shared" si="18"/>
        <v>0</v>
      </c>
      <c r="I67" s="73">
        <f t="shared" si="18"/>
        <v>0</v>
      </c>
      <c r="J67" s="73">
        <f t="shared" si="18"/>
        <v>127.8768733801306</v>
      </c>
      <c r="K67" s="73">
        <f t="shared" si="18"/>
        <v>127.8768733801306</v>
      </c>
      <c r="L67" s="73">
        <f t="shared" si="18"/>
        <v>127.8768733801306</v>
      </c>
      <c r="M67" s="73">
        <f t="shared" si="18"/>
        <v>127.8768733801306</v>
      </c>
      <c r="N67" s="73">
        <f t="shared" si="18"/>
        <v>127.8768733801306</v>
      </c>
      <c r="O67" s="73">
        <f t="shared" si="18"/>
        <v>127.8768733801306</v>
      </c>
      <c r="P67" s="73">
        <f t="shared" si="18"/>
        <v>127.8768733801306</v>
      </c>
      <c r="Q67" s="73">
        <f t="shared" si="18"/>
        <v>127.8768733801306</v>
      </c>
      <c r="R67" s="73">
        <f t="shared" si="18"/>
        <v>127.8768733801306</v>
      </c>
      <c r="S67" s="73">
        <f t="shared" si="18"/>
        <v>127.8768733801306</v>
      </c>
      <c r="T67" s="73">
        <f t="shared" si="18"/>
        <v>127.8768733801306</v>
      </c>
      <c r="U67" s="73">
        <f t="shared" si="18"/>
        <v>127.8768733801306</v>
      </c>
      <c r="V67" s="73">
        <f t="shared" si="18"/>
        <v>127.8768733801306</v>
      </c>
      <c r="W67" s="73">
        <f t="shared" si="18"/>
        <v>127.8768733801306</v>
      </c>
      <c r="X67" s="73">
        <f t="shared" si="18"/>
        <v>120.44171464575888</v>
      </c>
      <c r="Y67" s="73">
        <f t="shared" si="18"/>
        <v>117.13719965270479</v>
      </c>
      <c r="Z67" s="73">
        <f t="shared" si="18"/>
        <v>117.13719965270479</v>
      </c>
      <c r="AA67" s="73">
        <f t="shared" si="18"/>
        <v>117.13719965270479</v>
      </c>
      <c r="AB67" s="73">
        <f t="shared" si="18"/>
        <v>117.13719965270479</v>
      </c>
      <c r="AC67" s="73">
        <f t="shared" si="18"/>
        <v>117.13719965270479</v>
      </c>
      <c r="AD67" s="73">
        <f t="shared" si="18"/>
        <v>117.13719965270479</v>
      </c>
      <c r="AE67" s="73">
        <f t="shared" si="18"/>
        <v>117.13719965270479</v>
      </c>
      <c r="AF67" s="73">
        <f t="shared" si="18"/>
        <v>117.13719965270479</v>
      </c>
      <c r="AG67" s="73">
        <f t="shared" si="18"/>
        <v>117.13719965270479</v>
      </c>
      <c r="AH67" s="73">
        <f>AH37</f>
        <v>117.13719965270479</v>
      </c>
      <c r="AI67" s="73">
        <f t="shared" si="18"/>
        <v>0</v>
      </c>
      <c r="AJ67" s="74">
        <f t="shared" si="18"/>
        <v>0</v>
      </c>
    </row>
    <row r="68" spans="2:36" x14ac:dyDescent="0.3">
      <c r="B68" s="66" t="s">
        <v>111</v>
      </c>
      <c r="C68" s="47">
        <f>SUM(D68:AJ68)</f>
        <v>-2009.9560687232729</v>
      </c>
      <c r="D68" s="63">
        <f>-D58</f>
        <v>0</v>
      </c>
      <c r="E68" s="63">
        <f t="shared" ref="E68:AJ68" si="19">-E58</f>
        <v>0</v>
      </c>
      <c r="F68" s="63">
        <f t="shared" si="19"/>
        <v>0</v>
      </c>
      <c r="G68" s="63">
        <f t="shared" si="19"/>
        <v>0</v>
      </c>
      <c r="H68" s="63">
        <f t="shared" si="19"/>
        <v>0</v>
      </c>
      <c r="I68" s="63">
        <f t="shared" si="19"/>
        <v>0</v>
      </c>
      <c r="J68" s="63">
        <f t="shared" si="19"/>
        <v>-80.398242748930954</v>
      </c>
      <c r="K68" s="63">
        <f t="shared" si="19"/>
        <v>-80.398242748930954</v>
      </c>
      <c r="L68" s="63">
        <f t="shared" si="19"/>
        <v>-80.398242748930954</v>
      </c>
      <c r="M68" s="63">
        <f t="shared" si="19"/>
        <v>-80.398242748930954</v>
      </c>
      <c r="N68" s="63">
        <f t="shared" si="19"/>
        <v>-80.398242748930954</v>
      </c>
      <c r="O68" s="63">
        <f t="shared" si="19"/>
        <v>-80.398242748930954</v>
      </c>
      <c r="P68" s="63">
        <f t="shared" si="19"/>
        <v>-80.398242748930954</v>
      </c>
      <c r="Q68" s="63">
        <f t="shared" si="19"/>
        <v>-80.398242748930954</v>
      </c>
      <c r="R68" s="63">
        <f t="shared" si="19"/>
        <v>-80.398242748930954</v>
      </c>
      <c r="S68" s="63">
        <f t="shared" si="19"/>
        <v>-80.398242748930954</v>
      </c>
      <c r="T68" s="63">
        <f t="shared" si="19"/>
        <v>-80.398242748930954</v>
      </c>
      <c r="U68" s="63">
        <f t="shared" si="19"/>
        <v>-80.398242748930954</v>
      </c>
      <c r="V68" s="63">
        <f t="shared" si="19"/>
        <v>-80.398242748930954</v>
      </c>
      <c r="W68" s="63">
        <f t="shared" si="19"/>
        <v>-80.398242748930954</v>
      </c>
      <c r="X68" s="63">
        <f t="shared" si="19"/>
        <v>-80.398242748930954</v>
      </c>
      <c r="Y68" s="63">
        <f t="shared" si="19"/>
        <v>-80.398242748930954</v>
      </c>
      <c r="Z68" s="63">
        <f t="shared" si="19"/>
        <v>-80.398242748930954</v>
      </c>
      <c r="AA68" s="63">
        <f t="shared" si="19"/>
        <v>-80.398242748930954</v>
      </c>
      <c r="AB68" s="63">
        <f t="shared" si="19"/>
        <v>-80.398242748930954</v>
      </c>
      <c r="AC68" s="63">
        <f t="shared" si="19"/>
        <v>-80.398242748930954</v>
      </c>
      <c r="AD68" s="63">
        <f t="shared" si="19"/>
        <v>-80.398242748930954</v>
      </c>
      <c r="AE68" s="63">
        <f t="shared" si="19"/>
        <v>-80.398242748930954</v>
      </c>
      <c r="AF68" s="63">
        <f t="shared" si="19"/>
        <v>-80.398242748930954</v>
      </c>
      <c r="AG68" s="63">
        <f t="shared" si="19"/>
        <v>-80.398242748930954</v>
      </c>
      <c r="AH68" s="63">
        <f t="shared" si="19"/>
        <v>-80.398242748930954</v>
      </c>
      <c r="AI68" s="63">
        <f t="shared" si="19"/>
        <v>0</v>
      </c>
      <c r="AJ68" s="64">
        <f t="shared" si="19"/>
        <v>0</v>
      </c>
    </row>
    <row r="69" spans="2:36" x14ac:dyDescent="0.3">
      <c r="B69" s="19"/>
      <c r="C69" s="16"/>
      <c r="D69" s="12"/>
      <c r="E69" s="12"/>
      <c r="F69" s="12"/>
      <c r="G69" s="12"/>
      <c r="H69" s="12"/>
      <c r="I69" s="12"/>
      <c r="J69" s="7"/>
      <c r="K69" s="7"/>
      <c r="L69" s="7"/>
      <c r="M69" s="7"/>
      <c r="N69" s="7"/>
      <c r="O69" s="7"/>
      <c r="P69" s="7"/>
      <c r="Q69" s="7"/>
      <c r="R69" s="7"/>
      <c r="S69" s="7"/>
      <c r="T69" s="7"/>
      <c r="U69" s="7"/>
      <c r="V69" s="7"/>
      <c r="W69" s="7"/>
      <c r="X69" s="7"/>
      <c r="Y69" s="7"/>
      <c r="Z69" s="7"/>
      <c r="AA69" s="7"/>
      <c r="AB69" s="7"/>
      <c r="AC69" s="7"/>
      <c r="AD69" s="7"/>
      <c r="AE69" s="7"/>
      <c r="AF69" s="7"/>
      <c r="AG69" s="7"/>
      <c r="AH69" s="7"/>
      <c r="AI69" s="12"/>
      <c r="AJ69" s="47"/>
    </row>
    <row r="70" spans="2:36" x14ac:dyDescent="0.3">
      <c r="B70" s="66" t="s">
        <v>89</v>
      </c>
      <c r="C70" s="47">
        <f>SUM(D70:AJ70)</f>
        <v>1072.1338697713618</v>
      </c>
      <c r="D70" s="12">
        <f>SUM(D67:D68)</f>
        <v>0</v>
      </c>
      <c r="E70" s="12">
        <f t="shared" ref="E70:I70" si="20">SUM(E67:E68)</f>
        <v>0</v>
      </c>
      <c r="F70" s="12">
        <f t="shared" si="20"/>
        <v>0</v>
      </c>
      <c r="G70" s="12">
        <f t="shared" si="20"/>
        <v>0</v>
      </c>
      <c r="H70" s="12">
        <f t="shared" si="20"/>
        <v>0</v>
      </c>
      <c r="I70" s="12">
        <f t="shared" si="20"/>
        <v>0</v>
      </c>
      <c r="J70" s="12">
        <f>SUM(J67:J68)</f>
        <v>47.47863063119965</v>
      </c>
      <c r="K70" s="12">
        <f t="shared" ref="K70:AJ70" si="21">SUM(K67:K68)</f>
        <v>47.47863063119965</v>
      </c>
      <c r="L70" s="12">
        <f t="shared" si="21"/>
        <v>47.47863063119965</v>
      </c>
      <c r="M70" s="12">
        <f t="shared" si="21"/>
        <v>47.47863063119965</v>
      </c>
      <c r="N70" s="12">
        <f t="shared" si="21"/>
        <v>47.47863063119965</v>
      </c>
      <c r="O70" s="12">
        <f t="shared" si="21"/>
        <v>47.47863063119965</v>
      </c>
      <c r="P70" s="12">
        <f t="shared" si="21"/>
        <v>47.47863063119965</v>
      </c>
      <c r="Q70" s="12">
        <f t="shared" si="21"/>
        <v>47.47863063119965</v>
      </c>
      <c r="R70" s="12">
        <f t="shared" si="21"/>
        <v>47.47863063119965</v>
      </c>
      <c r="S70" s="12">
        <f t="shared" si="21"/>
        <v>47.47863063119965</v>
      </c>
      <c r="T70" s="12">
        <f t="shared" si="21"/>
        <v>47.47863063119965</v>
      </c>
      <c r="U70" s="12">
        <f t="shared" si="21"/>
        <v>47.47863063119965</v>
      </c>
      <c r="V70" s="12">
        <f t="shared" si="21"/>
        <v>47.47863063119965</v>
      </c>
      <c r="W70" s="12">
        <f t="shared" si="21"/>
        <v>47.47863063119965</v>
      </c>
      <c r="X70" s="12">
        <f t="shared" si="21"/>
        <v>40.043471896827924</v>
      </c>
      <c r="Y70" s="12">
        <f t="shared" si="21"/>
        <v>36.73895690377384</v>
      </c>
      <c r="Z70" s="12">
        <f t="shared" si="21"/>
        <v>36.73895690377384</v>
      </c>
      <c r="AA70" s="12">
        <f t="shared" si="21"/>
        <v>36.73895690377384</v>
      </c>
      <c r="AB70" s="12">
        <f t="shared" si="21"/>
        <v>36.73895690377384</v>
      </c>
      <c r="AC70" s="12">
        <f t="shared" si="21"/>
        <v>36.73895690377384</v>
      </c>
      <c r="AD70" s="12">
        <f t="shared" si="21"/>
        <v>36.73895690377384</v>
      </c>
      <c r="AE70" s="12">
        <f t="shared" si="21"/>
        <v>36.73895690377384</v>
      </c>
      <c r="AF70" s="12">
        <f t="shared" si="21"/>
        <v>36.73895690377384</v>
      </c>
      <c r="AG70" s="12">
        <f t="shared" si="21"/>
        <v>36.73895690377384</v>
      </c>
      <c r="AH70" s="12">
        <f t="shared" si="21"/>
        <v>36.73895690377384</v>
      </c>
      <c r="AI70" s="12">
        <f t="shared" si="21"/>
        <v>0</v>
      </c>
      <c r="AJ70" s="47">
        <f t="shared" si="21"/>
        <v>0</v>
      </c>
    </row>
    <row r="71" spans="2:36" x14ac:dyDescent="0.3">
      <c r="B71" s="66" t="s">
        <v>90</v>
      </c>
      <c r="C71" s="47">
        <f>SUM(D71:AJ71)</f>
        <v>-268.03346744284045</v>
      </c>
      <c r="D71" s="55">
        <f>-D63</f>
        <v>0</v>
      </c>
      <c r="E71" s="55">
        <f t="shared" ref="E71:AJ71" si="22">-E63</f>
        <v>0</v>
      </c>
      <c r="F71" s="55">
        <f t="shared" si="22"/>
        <v>0</v>
      </c>
      <c r="G71" s="55">
        <f t="shared" si="22"/>
        <v>0</v>
      </c>
      <c r="H71" s="55">
        <f t="shared" si="22"/>
        <v>0</v>
      </c>
      <c r="I71" s="55">
        <f t="shared" si="22"/>
        <v>0</v>
      </c>
      <c r="J71" s="55">
        <f>-J63</f>
        <v>-11.869657657799912</v>
      </c>
      <c r="K71" s="55">
        <f t="shared" si="22"/>
        <v>-11.869657657799912</v>
      </c>
      <c r="L71" s="55">
        <f t="shared" si="22"/>
        <v>-11.869657657799912</v>
      </c>
      <c r="M71" s="55">
        <f t="shared" si="22"/>
        <v>-11.869657657799912</v>
      </c>
      <c r="N71" s="55">
        <f t="shared" si="22"/>
        <v>-11.869657657799912</v>
      </c>
      <c r="O71" s="55">
        <f t="shared" si="22"/>
        <v>-11.869657657799912</v>
      </c>
      <c r="P71" s="55">
        <f t="shared" si="22"/>
        <v>-11.869657657799912</v>
      </c>
      <c r="Q71" s="55">
        <f t="shared" si="22"/>
        <v>-11.869657657799912</v>
      </c>
      <c r="R71" s="55">
        <f t="shared" si="22"/>
        <v>-11.869657657799912</v>
      </c>
      <c r="S71" s="55">
        <f t="shared" si="22"/>
        <v>-11.869657657799912</v>
      </c>
      <c r="T71" s="55">
        <f t="shared" si="22"/>
        <v>-11.869657657799912</v>
      </c>
      <c r="U71" s="55">
        <f t="shared" si="22"/>
        <v>-11.869657657799912</v>
      </c>
      <c r="V71" s="55">
        <f t="shared" si="22"/>
        <v>-11.869657657799912</v>
      </c>
      <c r="W71" s="55">
        <f t="shared" si="22"/>
        <v>-11.869657657799912</v>
      </c>
      <c r="X71" s="55">
        <f t="shared" si="22"/>
        <v>-10.010867974206981</v>
      </c>
      <c r="Y71" s="55">
        <f t="shared" si="22"/>
        <v>-9.1847392259434599</v>
      </c>
      <c r="Z71" s="55">
        <f t="shared" si="22"/>
        <v>-9.1847392259434599</v>
      </c>
      <c r="AA71" s="55">
        <f t="shared" si="22"/>
        <v>-9.1847392259434599</v>
      </c>
      <c r="AB71" s="55">
        <f t="shared" si="22"/>
        <v>-9.1847392259434599</v>
      </c>
      <c r="AC71" s="55">
        <f t="shared" si="22"/>
        <v>-9.1847392259434599</v>
      </c>
      <c r="AD71" s="55">
        <f t="shared" si="22"/>
        <v>-9.1847392259434599</v>
      </c>
      <c r="AE71" s="55">
        <f t="shared" si="22"/>
        <v>-9.1847392259434599</v>
      </c>
      <c r="AF71" s="55">
        <f t="shared" si="22"/>
        <v>-9.1847392259434599</v>
      </c>
      <c r="AG71" s="55">
        <f t="shared" si="22"/>
        <v>-9.1847392259434599</v>
      </c>
      <c r="AH71" s="55">
        <f>-AH63</f>
        <v>-9.1847392259434599</v>
      </c>
      <c r="AI71" s="55">
        <f t="shared" si="22"/>
        <v>0</v>
      </c>
      <c r="AJ71" s="56">
        <f t="shared" si="22"/>
        <v>0</v>
      </c>
    </row>
    <row r="72" spans="2:36" x14ac:dyDescent="0.3">
      <c r="B72" s="52"/>
      <c r="C72" s="4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16"/>
    </row>
    <row r="73" spans="2:36" x14ac:dyDescent="0.3">
      <c r="B73" s="52" t="s">
        <v>158</v>
      </c>
      <c r="C73" s="47">
        <f>SUM(D73:AJ73)</f>
        <v>804.10040232852077</v>
      </c>
      <c r="D73" s="12">
        <f>SUM(D70:D71)</f>
        <v>0</v>
      </c>
      <c r="E73" s="12">
        <f t="shared" ref="E73:AJ73" si="23">SUM(E70:E71)</f>
        <v>0</v>
      </c>
      <c r="F73" s="12">
        <f t="shared" si="23"/>
        <v>0</v>
      </c>
      <c r="G73" s="12">
        <f t="shared" si="23"/>
        <v>0</v>
      </c>
      <c r="H73" s="12">
        <f t="shared" si="23"/>
        <v>0</v>
      </c>
      <c r="I73" s="12">
        <f t="shared" si="23"/>
        <v>0</v>
      </c>
      <c r="J73" s="12">
        <f t="shared" si="23"/>
        <v>35.608972973399737</v>
      </c>
      <c r="K73" s="12">
        <f t="shared" si="23"/>
        <v>35.608972973399737</v>
      </c>
      <c r="L73" s="12">
        <f t="shared" si="23"/>
        <v>35.608972973399737</v>
      </c>
      <c r="M73" s="12">
        <f t="shared" si="23"/>
        <v>35.608972973399737</v>
      </c>
      <c r="N73" s="12">
        <f t="shared" si="23"/>
        <v>35.608972973399737</v>
      </c>
      <c r="O73" s="12">
        <f t="shared" si="23"/>
        <v>35.608972973399737</v>
      </c>
      <c r="P73" s="12">
        <f t="shared" si="23"/>
        <v>35.608972973399737</v>
      </c>
      <c r="Q73" s="12">
        <f>SUM(Q70:Q71)</f>
        <v>35.608972973399737</v>
      </c>
      <c r="R73" s="12">
        <f t="shared" si="23"/>
        <v>35.608972973399737</v>
      </c>
      <c r="S73" s="12">
        <f t="shared" si="23"/>
        <v>35.608972973399737</v>
      </c>
      <c r="T73" s="12">
        <f t="shared" si="23"/>
        <v>35.608972973399737</v>
      </c>
      <c r="U73" s="12">
        <f t="shared" si="23"/>
        <v>35.608972973399737</v>
      </c>
      <c r="V73" s="12">
        <f t="shared" si="23"/>
        <v>35.608972973399737</v>
      </c>
      <c r="W73" s="12">
        <f t="shared" si="23"/>
        <v>35.608972973399737</v>
      </c>
      <c r="X73" s="12">
        <f t="shared" si="23"/>
        <v>30.032603922620943</v>
      </c>
      <c r="Y73" s="12">
        <f t="shared" si="23"/>
        <v>27.55421767783038</v>
      </c>
      <c r="Z73" s="12">
        <f t="shared" si="23"/>
        <v>27.55421767783038</v>
      </c>
      <c r="AA73" s="12">
        <f t="shared" si="23"/>
        <v>27.55421767783038</v>
      </c>
      <c r="AB73" s="12">
        <f t="shared" si="23"/>
        <v>27.55421767783038</v>
      </c>
      <c r="AC73" s="12">
        <f t="shared" si="23"/>
        <v>27.55421767783038</v>
      </c>
      <c r="AD73" s="12">
        <f t="shared" si="23"/>
        <v>27.55421767783038</v>
      </c>
      <c r="AE73" s="12">
        <f t="shared" si="23"/>
        <v>27.55421767783038</v>
      </c>
      <c r="AF73" s="12">
        <f t="shared" si="23"/>
        <v>27.55421767783038</v>
      </c>
      <c r="AG73" s="12">
        <f t="shared" si="23"/>
        <v>27.55421767783038</v>
      </c>
      <c r="AH73" s="12">
        <f t="shared" si="23"/>
        <v>27.55421767783038</v>
      </c>
      <c r="AI73" s="12">
        <f t="shared" si="23"/>
        <v>0</v>
      </c>
      <c r="AJ73" s="47">
        <f t="shared" si="23"/>
        <v>0</v>
      </c>
    </row>
    <row r="74" spans="2:36" x14ac:dyDescent="0.3">
      <c r="B74" s="52"/>
      <c r="C74" s="47"/>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47"/>
    </row>
    <row r="75" spans="2:36" x14ac:dyDescent="0.3">
      <c r="B75" s="52" t="s">
        <v>107</v>
      </c>
      <c r="C75" s="47"/>
      <c r="D75" s="55">
        <f>D58</f>
        <v>0</v>
      </c>
      <c r="E75" s="55">
        <f t="shared" ref="E75:AJ75" si="24">E58</f>
        <v>0</v>
      </c>
      <c r="F75" s="55">
        <f t="shared" si="24"/>
        <v>0</v>
      </c>
      <c r="G75" s="55">
        <f t="shared" si="24"/>
        <v>0</v>
      </c>
      <c r="H75" s="55">
        <f t="shared" si="24"/>
        <v>0</v>
      </c>
      <c r="I75" s="55">
        <f t="shared" si="24"/>
        <v>0</v>
      </c>
      <c r="J75" s="55">
        <f t="shared" si="24"/>
        <v>80.398242748930954</v>
      </c>
      <c r="K75" s="55">
        <f t="shared" si="24"/>
        <v>80.398242748930954</v>
      </c>
      <c r="L75" s="55">
        <f t="shared" si="24"/>
        <v>80.398242748930954</v>
      </c>
      <c r="M75" s="55">
        <f t="shared" si="24"/>
        <v>80.398242748930954</v>
      </c>
      <c r="N75" s="55">
        <f t="shared" si="24"/>
        <v>80.398242748930954</v>
      </c>
      <c r="O75" s="55">
        <f t="shared" si="24"/>
        <v>80.398242748930954</v>
      </c>
      <c r="P75" s="55">
        <f t="shared" si="24"/>
        <v>80.398242748930954</v>
      </c>
      <c r="Q75" s="55">
        <f t="shared" si="24"/>
        <v>80.398242748930954</v>
      </c>
      <c r="R75" s="55">
        <f t="shared" si="24"/>
        <v>80.398242748930954</v>
      </c>
      <c r="S75" s="55">
        <f t="shared" si="24"/>
        <v>80.398242748930954</v>
      </c>
      <c r="T75" s="55">
        <f t="shared" si="24"/>
        <v>80.398242748930954</v>
      </c>
      <c r="U75" s="55">
        <f t="shared" si="24"/>
        <v>80.398242748930954</v>
      </c>
      <c r="V75" s="55">
        <f t="shared" si="24"/>
        <v>80.398242748930954</v>
      </c>
      <c r="W75" s="55">
        <f t="shared" si="24"/>
        <v>80.398242748930954</v>
      </c>
      <c r="X75" s="55">
        <f t="shared" si="24"/>
        <v>80.398242748930954</v>
      </c>
      <c r="Y75" s="55">
        <f t="shared" si="24"/>
        <v>80.398242748930954</v>
      </c>
      <c r="Z75" s="55">
        <f t="shared" si="24"/>
        <v>80.398242748930954</v>
      </c>
      <c r="AA75" s="55">
        <f t="shared" si="24"/>
        <v>80.398242748930954</v>
      </c>
      <c r="AB75" s="55">
        <f t="shared" si="24"/>
        <v>80.398242748930954</v>
      </c>
      <c r="AC75" s="55">
        <f t="shared" si="24"/>
        <v>80.398242748930954</v>
      </c>
      <c r="AD75" s="55">
        <f t="shared" si="24"/>
        <v>80.398242748930954</v>
      </c>
      <c r="AE75" s="55">
        <f t="shared" si="24"/>
        <v>80.398242748930954</v>
      </c>
      <c r="AF75" s="55">
        <f t="shared" si="24"/>
        <v>80.398242748930954</v>
      </c>
      <c r="AG75" s="55">
        <f t="shared" si="24"/>
        <v>80.398242748930954</v>
      </c>
      <c r="AH75" s="55">
        <f t="shared" si="24"/>
        <v>80.398242748930954</v>
      </c>
      <c r="AI75" s="55">
        <f t="shared" si="24"/>
        <v>0</v>
      </c>
      <c r="AJ75" s="56">
        <f t="shared" si="24"/>
        <v>0</v>
      </c>
    </row>
    <row r="76" spans="2:36" x14ac:dyDescent="0.3">
      <c r="B76" s="52" t="s">
        <v>40</v>
      </c>
      <c r="C76" s="16"/>
      <c r="D76" s="12">
        <f>-Summary!D29</f>
        <v>-8.9250000000000007</v>
      </c>
      <c r="E76" s="12">
        <f>-Summary!E29</f>
        <v>-8.9250000000000007</v>
      </c>
      <c r="F76" s="12">
        <f>-Summary!F29</f>
        <v>-35.700000000000003</v>
      </c>
      <c r="G76" s="12">
        <f>-Summary!G29</f>
        <v>-35.700000000000003</v>
      </c>
      <c r="H76" s="12">
        <f>-Summary!H29</f>
        <v>0</v>
      </c>
      <c r="I76" s="12">
        <f>-Summary!I29</f>
        <v>0</v>
      </c>
      <c r="J76" s="12">
        <f>-Summary!J29</f>
        <v>0</v>
      </c>
      <c r="K76" s="12">
        <f>-Summary!K29</f>
        <v>0</v>
      </c>
      <c r="L76" s="12">
        <f>-Summary!L29</f>
        <v>0</v>
      </c>
      <c r="M76" s="12">
        <f>-Summary!M29</f>
        <v>0</v>
      </c>
      <c r="N76" s="12">
        <f>-Summary!N29</f>
        <v>0</v>
      </c>
      <c r="O76" s="12">
        <f>-Summary!O29</f>
        <v>0</v>
      </c>
      <c r="P76" s="12">
        <f>-Summary!P29</f>
        <v>0</v>
      </c>
      <c r="Q76" s="12">
        <f>-Summary!Q29</f>
        <v>0</v>
      </c>
      <c r="R76" s="12">
        <f>-Summary!R29</f>
        <v>0</v>
      </c>
      <c r="S76" s="12">
        <f>-Summary!S29</f>
        <v>0</v>
      </c>
      <c r="T76" s="12">
        <f>-Summary!T29</f>
        <v>0</v>
      </c>
      <c r="U76" s="12">
        <f>-Summary!U29</f>
        <v>0</v>
      </c>
      <c r="V76" s="12">
        <f>-Summary!V29</f>
        <v>0</v>
      </c>
      <c r="W76" s="12">
        <f>-Summary!W29</f>
        <v>0</v>
      </c>
      <c r="X76" s="12">
        <f>-Summary!X29</f>
        <v>0</v>
      </c>
      <c r="Y76" s="12">
        <f>-Summary!Y29</f>
        <v>0</v>
      </c>
      <c r="Z76" s="12">
        <f>-Summary!Z29</f>
        <v>0</v>
      </c>
      <c r="AA76" s="12">
        <f>-Summary!AA29</f>
        <v>0</v>
      </c>
      <c r="AB76" s="12">
        <f>-Summary!AB29</f>
        <v>0</v>
      </c>
      <c r="AC76" s="12">
        <f>-Summary!AC29</f>
        <v>0</v>
      </c>
      <c r="AD76" s="12">
        <f>-Summary!AD29</f>
        <v>0</v>
      </c>
      <c r="AE76" s="12">
        <f>-Summary!AE29</f>
        <v>0</v>
      </c>
      <c r="AF76" s="12">
        <f>-Summary!AF29</f>
        <v>0</v>
      </c>
      <c r="AG76" s="12">
        <f>-Summary!AG29</f>
        <v>0</v>
      </c>
      <c r="AH76" s="12">
        <f>-Summary!AH29</f>
        <v>0</v>
      </c>
      <c r="AI76" s="12">
        <f>-Summary!AI29</f>
        <v>0</v>
      </c>
      <c r="AJ76" s="47">
        <f>-Summary!AJ29</f>
        <v>0</v>
      </c>
    </row>
    <row r="77" spans="2:36" x14ac:dyDescent="0.3">
      <c r="B77" s="70" t="s">
        <v>94</v>
      </c>
      <c r="C77" s="16"/>
      <c r="D77" s="79">
        <f>-Summary!D30</f>
        <v>0</v>
      </c>
      <c r="E77" s="79">
        <f>-Summary!E30</f>
        <v>0</v>
      </c>
      <c r="F77" s="79">
        <f>-Summary!F30</f>
        <v>0</v>
      </c>
      <c r="G77" s="79">
        <f>-Summary!G30</f>
        <v>0</v>
      </c>
      <c r="H77" s="79">
        <f>-Summary!H30</f>
        <v>-1000</v>
      </c>
      <c r="I77" s="79">
        <f>-Summary!I30</f>
        <v>0</v>
      </c>
      <c r="J77" s="79">
        <f>-Summary!J30</f>
        <v>0</v>
      </c>
      <c r="K77" s="79">
        <f>-Summary!K30</f>
        <v>0</v>
      </c>
      <c r="L77" s="79">
        <f>-Summary!L30</f>
        <v>0</v>
      </c>
      <c r="M77" s="79">
        <f>-Summary!M30</f>
        <v>0</v>
      </c>
      <c r="N77" s="79">
        <f>-Summary!N30</f>
        <v>0</v>
      </c>
      <c r="O77" s="79">
        <f>-Summary!O30</f>
        <v>0</v>
      </c>
      <c r="P77" s="79">
        <f>-Summary!P30</f>
        <v>0</v>
      </c>
      <c r="Q77" s="79">
        <f>-Summary!Q30</f>
        <v>0</v>
      </c>
      <c r="R77" s="79">
        <f>-Summary!R30</f>
        <v>0</v>
      </c>
      <c r="S77" s="79">
        <f>-Summary!S30</f>
        <v>0</v>
      </c>
      <c r="T77" s="79">
        <f>-Summary!T30</f>
        <v>0</v>
      </c>
      <c r="U77" s="79">
        <f>-Summary!U30</f>
        <v>0</v>
      </c>
      <c r="V77" s="79">
        <f>-Summary!V30</f>
        <v>0</v>
      </c>
      <c r="W77" s="79">
        <f>-Summary!W30</f>
        <v>0</v>
      </c>
      <c r="X77" s="79">
        <f>-Summary!X30</f>
        <v>0</v>
      </c>
      <c r="Y77" s="79">
        <f>-Summary!Y30</f>
        <v>0</v>
      </c>
      <c r="Z77" s="79">
        <f>-Summary!Z30</f>
        <v>0</v>
      </c>
      <c r="AA77" s="79">
        <f>-Summary!AA30</f>
        <v>0</v>
      </c>
      <c r="AB77" s="79">
        <f>-Summary!AB30</f>
        <v>0</v>
      </c>
      <c r="AC77" s="79">
        <f>-Summary!AC30</f>
        <v>0</v>
      </c>
      <c r="AD77" s="79">
        <f>-Summary!AD30</f>
        <v>0</v>
      </c>
      <c r="AE77" s="79">
        <f>-Summary!AE30</f>
        <v>0</v>
      </c>
      <c r="AF77" s="79">
        <f>-Summary!AF30</f>
        <v>0</v>
      </c>
      <c r="AG77" s="79">
        <f>-Summary!AG30</f>
        <v>0</v>
      </c>
      <c r="AH77" s="79">
        <f>-Summary!AH30</f>
        <v>0</v>
      </c>
      <c r="AI77" s="79">
        <f>-Summary!AI30</f>
        <v>0</v>
      </c>
      <c r="AJ77" s="168">
        <f>-Summary!AJ30</f>
        <v>0</v>
      </c>
    </row>
    <row r="78" spans="2:36" x14ac:dyDescent="0.3">
      <c r="B78" s="70" t="s">
        <v>95</v>
      </c>
      <c r="C78" s="16"/>
      <c r="D78" s="79">
        <f>-Summary!D31</f>
        <v>0</v>
      </c>
      <c r="E78" s="79">
        <f>-Summary!E31</f>
        <v>0</v>
      </c>
      <c r="F78" s="79">
        <f>-Summary!F31</f>
        <v>0</v>
      </c>
      <c r="G78" s="79">
        <f>-Summary!G31</f>
        <v>0</v>
      </c>
      <c r="H78" s="79">
        <f>-Summary!H31</f>
        <v>-214</v>
      </c>
      <c r="I78" s="79">
        <f>-Summary!I31</f>
        <v>0</v>
      </c>
      <c r="J78" s="79">
        <f>-Summary!J31</f>
        <v>0</v>
      </c>
      <c r="K78" s="79">
        <f>-Summary!K31</f>
        <v>0</v>
      </c>
      <c r="L78" s="79">
        <f>-Summary!L31</f>
        <v>0</v>
      </c>
      <c r="M78" s="79">
        <f>-Summary!M31</f>
        <v>0</v>
      </c>
      <c r="N78" s="79">
        <f>-Summary!N31</f>
        <v>0</v>
      </c>
      <c r="O78" s="79">
        <f>-Summary!O31</f>
        <v>0</v>
      </c>
      <c r="P78" s="79">
        <f>-Summary!P31</f>
        <v>0</v>
      </c>
      <c r="Q78" s="79">
        <f>-Summary!Q31</f>
        <v>0</v>
      </c>
      <c r="R78" s="79">
        <f>-Summary!R31</f>
        <v>0</v>
      </c>
      <c r="S78" s="79">
        <f>-Summary!S31</f>
        <v>0</v>
      </c>
      <c r="T78" s="79">
        <f>-Summary!T31</f>
        <v>0</v>
      </c>
      <c r="U78" s="79">
        <f>-Summary!U31</f>
        <v>0</v>
      </c>
      <c r="V78" s="79">
        <f>-Summary!V31</f>
        <v>0</v>
      </c>
      <c r="W78" s="79">
        <f>-Summary!W31</f>
        <v>0</v>
      </c>
      <c r="X78" s="79">
        <f>-Summary!X31</f>
        <v>0</v>
      </c>
      <c r="Y78" s="79">
        <f>-Summary!Y31</f>
        <v>0</v>
      </c>
      <c r="Z78" s="79">
        <f>-Summary!Z31</f>
        <v>0</v>
      </c>
      <c r="AA78" s="79">
        <f>-Summary!AA31</f>
        <v>0</v>
      </c>
      <c r="AB78" s="79">
        <f>-Summary!AB31</f>
        <v>0</v>
      </c>
      <c r="AC78" s="79">
        <f>-Summary!AC31</f>
        <v>0</v>
      </c>
      <c r="AD78" s="79">
        <f>-Summary!AD31</f>
        <v>0</v>
      </c>
      <c r="AE78" s="79">
        <f>-Summary!AE31</f>
        <v>0</v>
      </c>
      <c r="AF78" s="79">
        <f>-Summary!AF31</f>
        <v>0</v>
      </c>
      <c r="AG78" s="79">
        <f>-Summary!AG31</f>
        <v>0</v>
      </c>
      <c r="AH78" s="79">
        <f>-Summary!AH31</f>
        <v>0</v>
      </c>
      <c r="AI78" s="79">
        <f>-Summary!AI31</f>
        <v>0</v>
      </c>
      <c r="AJ78" s="168">
        <f>-Summary!AJ31</f>
        <v>0</v>
      </c>
    </row>
    <row r="79" spans="2:36" x14ac:dyDescent="0.3">
      <c r="B79" s="70" t="s">
        <v>100</v>
      </c>
      <c r="C79" s="16"/>
      <c r="D79" s="79">
        <f>-Summary!D32</f>
        <v>0</v>
      </c>
      <c r="E79" s="79">
        <f>-Summary!E32</f>
        <v>0</v>
      </c>
      <c r="F79" s="79">
        <f>-Summary!F32</f>
        <v>0</v>
      </c>
      <c r="G79" s="79">
        <f>-Summary!G32</f>
        <v>0</v>
      </c>
      <c r="H79" s="79">
        <f>-Summary!H32</f>
        <v>-272.07293749999997</v>
      </c>
      <c r="I79" s="79">
        <f>-Summary!I32</f>
        <v>0</v>
      </c>
      <c r="J79" s="79">
        <f>-Summary!J32</f>
        <v>0</v>
      </c>
      <c r="K79" s="79">
        <f>-Summary!K32</f>
        <v>0</v>
      </c>
      <c r="L79" s="79">
        <f>-Summary!L32</f>
        <v>0</v>
      </c>
      <c r="M79" s="79">
        <f>-Summary!M32</f>
        <v>0</v>
      </c>
      <c r="N79" s="79">
        <f>-Summary!N32</f>
        <v>0</v>
      </c>
      <c r="O79" s="79">
        <f>-Summary!O32</f>
        <v>0</v>
      </c>
      <c r="P79" s="79">
        <f>-Summary!P32</f>
        <v>0</v>
      </c>
      <c r="Q79" s="79">
        <f>-Summary!Q32</f>
        <v>0</v>
      </c>
      <c r="R79" s="79">
        <f>-Summary!R32</f>
        <v>0</v>
      </c>
      <c r="S79" s="79">
        <f>-Summary!S32</f>
        <v>0</v>
      </c>
      <c r="T79" s="79">
        <f>-Summary!T32</f>
        <v>0</v>
      </c>
      <c r="U79" s="79">
        <f>-Summary!U32</f>
        <v>0</v>
      </c>
      <c r="V79" s="79">
        <f>-Summary!V32</f>
        <v>0</v>
      </c>
      <c r="W79" s="79">
        <f>-Summary!W32</f>
        <v>0</v>
      </c>
      <c r="X79" s="79">
        <f>-Summary!X32</f>
        <v>0</v>
      </c>
      <c r="Y79" s="79">
        <f>-Summary!Y32</f>
        <v>0</v>
      </c>
      <c r="Z79" s="79">
        <f>-Summary!Z32</f>
        <v>0</v>
      </c>
      <c r="AA79" s="79">
        <f>-Summary!AA32</f>
        <v>0</v>
      </c>
      <c r="AB79" s="79">
        <f>-Summary!AB32</f>
        <v>0</v>
      </c>
      <c r="AC79" s="79">
        <f>-Summary!AC32</f>
        <v>0</v>
      </c>
      <c r="AD79" s="79">
        <f>-Summary!AD32</f>
        <v>0</v>
      </c>
      <c r="AE79" s="79">
        <f>-Summary!AE32</f>
        <v>0</v>
      </c>
      <c r="AF79" s="79">
        <f>-Summary!AF32</f>
        <v>0</v>
      </c>
      <c r="AG79" s="79">
        <f>-Summary!AG32</f>
        <v>0</v>
      </c>
      <c r="AH79" s="79">
        <f>-Summary!AH32</f>
        <v>0</v>
      </c>
      <c r="AI79" s="79">
        <f>-Summary!AI32</f>
        <v>0</v>
      </c>
      <c r="AJ79" s="168">
        <f>-Summary!AJ32</f>
        <v>0</v>
      </c>
    </row>
    <row r="80" spans="2:36" x14ac:dyDescent="0.3">
      <c r="B80" s="70" t="s">
        <v>96</v>
      </c>
      <c r="C80" s="16"/>
      <c r="D80" s="79">
        <f>-Summary!D33</f>
        <v>0</v>
      </c>
      <c r="E80" s="79">
        <f>-Summary!E33</f>
        <v>0</v>
      </c>
      <c r="F80" s="79">
        <f>-Summary!F33</f>
        <v>0</v>
      </c>
      <c r="G80" s="79">
        <f>-Summary!G33</f>
        <v>0</v>
      </c>
      <c r="H80" s="79">
        <f>-Summary!H33</f>
        <v>-230.61176855285601</v>
      </c>
      <c r="I80" s="79">
        <f>-Summary!I33</f>
        <v>0</v>
      </c>
      <c r="J80" s="79">
        <f>-Summary!J33</f>
        <v>0</v>
      </c>
      <c r="K80" s="79">
        <f>-Summary!K33</f>
        <v>0</v>
      </c>
      <c r="L80" s="79">
        <f>-Summary!L33</f>
        <v>0</v>
      </c>
      <c r="M80" s="79">
        <f>-Summary!M33</f>
        <v>0</v>
      </c>
      <c r="N80" s="79">
        <f>-Summary!N33</f>
        <v>0</v>
      </c>
      <c r="O80" s="79">
        <f>-Summary!O33</f>
        <v>0</v>
      </c>
      <c r="P80" s="79">
        <f>-Summary!P33</f>
        <v>0</v>
      </c>
      <c r="Q80" s="79">
        <f>-Summary!Q33</f>
        <v>0</v>
      </c>
      <c r="R80" s="79">
        <f>-Summary!R33</f>
        <v>0</v>
      </c>
      <c r="S80" s="79">
        <f>-Summary!S33</f>
        <v>0</v>
      </c>
      <c r="T80" s="79">
        <f>-Summary!T33</f>
        <v>0</v>
      </c>
      <c r="U80" s="79">
        <f>-Summary!U33</f>
        <v>0</v>
      </c>
      <c r="V80" s="79">
        <f>-Summary!V33</f>
        <v>0</v>
      </c>
      <c r="W80" s="79">
        <f>-Summary!W33</f>
        <v>0</v>
      </c>
      <c r="X80" s="79">
        <f>-Summary!X33</f>
        <v>0</v>
      </c>
      <c r="Y80" s="79">
        <f>-Summary!Y33</f>
        <v>0</v>
      </c>
      <c r="Z80" s="79">
        <f>-Summary!Z33</f>
        <v>0</v>
      </c>
      <c r="AA80" s="79">
        <f>-Summary!AA33</f>
        <v>0</v>
      </c>
      <c r="AB80" s="79">
        <f>-Summary!AB33</f>
        <v>0</v>
      </c>
      <c r="AC80" s="79">
        <f>-Summary!AC33</f>
        <v>0</v>
      </c>
      <c r="AD80" s="79">
        <f>-Summary!AD33</f>
        <v>0</v>
      </c>
      <c r="AE80" s="79">
        <f>-Summary!AE33</f>
        <v>0</v>
      </c>
      <c r="AF80" s="79">
        <f>-Summary!AF33</f>
        <v>0</v>
      </c>
      <c r="AG80" s="79">
        <f>-Summary!AG33</f>
        <v>0</v>
      </c>
      <c r="AH80" s="79">
        <f>-Summary!AH33</f>
        <v>0</v>
      </c>
      <c r="AI80" s="79">
        <f>-Summary!AI33</f>
        <v>0</v>
      </c>
      <c r="AJ80" s="168">
        <f>-Summary!AJ33</f>
        <v>0</v>
      </c>
    </row>
    <row r="81" spans="2:36" x14ac:dyDescent="0.3">
      <c r="B81" s="70" t="s">
        <v>101</v>
      </c>
      <c r="C81" s="16"/>
      <c r="D81" s="79">
        <f>-Summary!D34</f>
        <v>0</v>
      </c>
      <c r="E81" s="79">
        <f>-Summary!E34</f>
        <v>0</v>
      </c>
      <c r="F81" s="79">
        <f>-Summary!F34</f>
        <v>0</v>
      </c>
      <c r="G81" s="79">
        <f>-Summary!G34</f>
        <v>0</v>
      </c>
      <c r="H81" s="79">
        <f>-Summary!H34</f>
        <v>-204.02136267041777</v>
      </c>
      <c r="I81" s="79">
        <f>-Summary!I34</f>
        <v>0</v>
      </c>
      <c r="J81" s="79">
        <f>-Summary!J34</f>
        <v>0</v>
      </c>
      <c r="K81" s="79">
        <f>-Summary!K34</f>
        <v>0</v>
      </c>
      <c r="L81" s="79">
        <f>-Summary!L34</f>
        <v>0</v>
      </c>
      <c r="M81" s="79">
        <f>-Summary!M34</f>
        <v>0</v>
      </c>
      <c r="N81" s="79">
        <f>-Summary!N34</f>
        <v>0</v>
      </c>
      <c r="O81" s="79">
        <f>-Summary!O34</f>
        <v>0</v>
      </c>
      <c r="P81" s="79">
        <f>-Summary!P34</f>
        <v>0</v>
      </c>
      <c r="Q81" s="79">
        <f>-Summary!Q34</f>
        <v>0</v>
      </c>
      <c r="R81" s="79">
        <f>-Summary!R34</f>
        <v>0</v>
      </c>
      <c r="S81" s="79">
        <f>-Summary!S34</f>
        <v>0</v>
      </c>
      <c r="T81" s="79">
        <f>-Summary!T34</f>
        <v>0</v>
      </c>
      <c r="U81" s="79">
        <f>-Summary!U34</f>
        <v>0</v>
      </c>
      <c r="V81" s="79">
        <f>-Summary!V34</f>
        <v>0</v>
      </c>
      <c r="W81" s="79">
        <f>-Summary!W34</f>
        <v>0</v>
      </c>
      <c r="X81" s="79">
        <f>-Summary!X34</f>
        <v>0</v>
      </c>
      <c r="Y81" s="79">
        <f>-Summary!Y34</f>
        <v>0</v>
      </c>
      <c r="Z81" s="79">
        <f>-Summary!Z34</f>
        <v>0</v>
      </c>
      <c r="AA81" s="79">
        <f>-Summary!AA34</f>
        <v>0</v>
      </c>
      <c r="AB81" s="79">
        <f>-Summary!AB34</f>
        <v>0</v>
      </c>
      <c r="AC81" s="79">
        <f>-Summary!AC34</f>
        <v>0</v>
      </c>
      <c r="AD81" s="79">
        <f>-Summary!AD34</f>
        <v>0</v>
      </c>
      <c r="AE81" s="79">
        <f>-Summary!AE34</f>
        <v>0</v>
      </c>
      <c r="AF81" s="79">
        <f>-Summary!AF34</f>
        <v>0</v>
      </c>
      <c r="AG81" s="79">
        <f>-Summary!AG34</f>
        <v>0</v>
      </c>
      <c r="AH81" s="79">
        <f>-Summary!AH34</f>
        <v>0</v>
      </c>
      <c r="AI81" s="79">
        <f>-Summary!AI34</f>
        <v>0</v>
      </c>
      <c r="AJ81" s="168">
        <f>-Summary!AJ34</f>
        <v>0</v>
      </c>
    </row>
    <row r="82" spans="2:36" x14ac:dyDescent="0.3">
      <c r="B82" s="52" t="s">
        <v>52</v>
      </c>
      <c r="C82" s="16"/>
      <c r="D82" s="55">
        <f>-Summary!D35</f>
        <v>0</v>
      </c>
      <c r="E82" s="55">
        <f>-Summary!E35</f>
        <v>0</v>
      </c>
      <c r="F82" s="55">
        <f>-Summary!F35</f>
        <v>0</v>
      </c>
      <c r="G82" s="55">
        <f>-Summary!G35</f>
        <v>0</v>
      </c>
      <c r="H82" s="55">
        <f>-Summary!H35</f>
        <v>-768.28242748930961</v>
      </c>
      <c r="I82" s="55">
        <f>-Summary!I35</f>
        <v>-768.28242748930961</v>
      </c>
      <c r="J82" s="55">
        <f>-Summary!J35</f>
        <v>-384.14121374465481</v>
      </c>
      <c r="K82" s="55">
        <f>-Summary!K35</f>
        <v>0</v>
      </c>
      <c r="L82" s="55">
        <f>-Summary!L35</f>
        <v>0</v>
      </c>
      <c r="M82" s="55">
        <f>-Summary!M35</f>
        <v>0</v>
      </c>
      <c r="N82" s="55">
        <f>-Summary!N35</f>
        <v>0</v>
      </c>
      <c r="O82" s="55">
        <f>-Summary!O35</f>
        <v>0</v>
      </c>
      <c r="P82" s="55">
        <f>-Summary!P35</f>
        <v>0</v>
      </c>
      <c r="Q82" s="55">
        <f>-Summary!Q35</f>
        <v>0</v>
      </c>
      <c r="R82" s="55">
        <f>-Summary!R35</f>
        <v>0</v>
      </c>
      <c r="S82" s="55">
        <f>-Summary!S35</f>
        <v>0</v>
      </c>
      <c r="T82" s="55">
        <f>-Summary!T35</f>
        <v>0</v>
      </c>
      <c r="U82" s="55">
        <f>-Summary!U35</f>
        <v>0</v>
      </c>
      <c r="V82" s="55">
        <f>-Summary!V35</f>
        <v>0</v>
      </c>
      <c r="W82" s="55">
        <f>-Summary!W35</f>
        <v>0</v>
      </c>
      <c r="X82" s="55">
        <f>-Summary!X35</f>
        <v>0</v>
      </c>
      <c r="Y82" s="55">
        <f>-Summary!Y35</f>
        <v>0</v>
      </c>
      <c r="Z82" s="55">
        <f>-Summary!Z35</f>
        <v>0</v>
      </c>
      <c r="AA82" s="55">
        <f>-Summary!AA35</f>
        <v>0</v>
      </c>
      <c r="AB82" s="55">
        <f>-Summary!AB35</f>
        <v>0</v>
      </c>
      <c r="AC82" s="55">
        <f>-Summary!AC35</f>
        <v>0</v>
      </c>
      <c r="AD82" s="55">
        <f>-Summary!AD35</f>
        <v>0</v>
      </c>
      <c r="AE82" s="55">
        <f>-Summary!AE35</f>
        <v>0</v>
      </c>
      <c r="AF82" s="55">
        <f>-Summary!AF35</f>
        <v>0</v>
      </c>
      <c r="AG82" s="55">
        <f>-Summary!AG35</f>
        <v>0</v>
      </c>
      <c r="AH82" s="55">
        <f>-Summary!AH35</f>
        <v>0</v>
      </c>
      <c r="AI82" s="55">
        <f>-Summary!AI35</f>
        <v>0</v>
      </c>
      <c r="AJ82" s="56">
        <f>-Summary!AJ35</f>
        <v>0</v>
      </c>
    </row>
    <row r="83" spans="2:36" x14ac:dyDescent="0.3">
      <c r="B83" s="52" t="s">
        <v>206</v>
      </c>
      <c r="C83" s="16"/>
      <c r="D83" s="55">
        <f>-Summary!D$37</f>
        <v>0</v>
      </c>
      <c r="E83" s="55">
        <f>-Summary!E$37</f>
        <v>0</v>
      </c>
      <c r="F83" s="55">
        <f>-Summary!F$37</f>
        <v>0</v>
      </c>
      <c r="G83" s="55">
        <f>-Summary!G$37</f>
        <v>0</v>
      </c>
      <c r="H83" s="55">
        <f>-Summary!H$37</f>
        <v>0</v>
      </c>
      <c r="I83" s="55">
        <f>-Summary!I$37</f>
        <v>0</v>
      </c>
      <c r="J83" s="55">
        <f>-Summary!J$37</f>
        <v>0</v>
      </c>
      <c r="K83" s="55">
        <f>-Summary!K$37</f>
        <v>0</v>
      </c>
      <c r="L83" s="55">
        <f>-Summary!L$37</f>
        <v>0</v>
      </c>
      <c r="M83" s="55">
        <f>-Summary!M$37</f>
        <v>0</v>
      </c>
      <c r="N83" s="55">
        <f>-Summary!N$37</f>
        <v>0</v>
      </c>
      <c r="O83" s="55">
        <f>-Summary!O$37</f>
        <v>0</v>
      </c>
      <c r="P83" s="55">
        <f>-Summary!P$37</f>
        <v>0</v>
      </c>
      <c r="Q83" s="55">
        <f>-Summary!Q$37</f>
        <v>0</v>
      </c>
      <c r="R83" s="55">
        <f>-Summary!R$37</f>
        <v>0</v>
      </c>
      <c r="S83" s="55">
        <f>-Summary!S$37</f>
        <v>0</v>
      </c>
      <c r="T83" s="55">
        <f>-Summary!T$37</f>
        <v>0</v>
      </c>
      <c r="U83" s="55">
        <f>-Summary!U$37</f>
        <v>0</v>
      </c>
      <c r="V83" s="55">
        <f>-Summary!V$37</f>
        <v>0</v>
      </c>
      <c r="W83" s="55">
        <f>-Summary!W$37</f>
        <v>0</v>
      </c>
      <c r="X83" s="55">
        <f>-Summary!X$37</f>
        <v>0</v>
      </c>
      <c r="Y83" s="55">
        <f>-Summary!Y$37</f>
        <v>0</v>
      </c>
      <c r="Z83" s="55">
        <f>-Summary!Z$37</f>
        <v>0</v>
      </c>
      <c r="AA83" s="55">
        <f>-Summary!AA$37</f>
        <v>0</v>
      </c>
      <c r="AB83" s="55">
        <f>-Summary!AB$37</f>
        <v>0</v>
      </c>
      <c r="AC83" s="55">
        <f>-Summary!AC$37</f>
        <v>0</v>
      </c>
      <c r="AD83" s="55">
        <f>-Summary!AD$37</f>
        <v>0</v>
      </c>
      <c r="AE83" s="55">
        <f>-Summary!AE$37</f>
        <v>0</v>
      </c>
      <c r="AF83" s="55">
        <f>-Summary!AF$37</f>
        <v>0</v>
      </c>
      <c r="AG83" s="55">
        <f>-Summary!AG$37</f>
        <v>0</v>
      </c>
      <c r="AH83" s="55">
        <f>-Summary!AH$37</f>
        <v>0</v>
      </c>
      <c r="AI83" s="55">
        <f>-Summary!AI$37</f>
        <v>-88.423704687499992</v>
      </c>
      <c r="AJ83" s="56">
        <f>-Summary!AJ$37</f>
        <v>-88.423704687499992</v>
      </c>
    </row>
    <row r="84" spans="2:36" x14ac:dyDescent="0.3">
      <c r="B84" s="52"/>
      <c r="C84" s="16"/>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16"/>
    </row>
    <row r="85" spans="2:36" x14ac:dyDescent="0.3">
      <c r="B85" s="52" t="s">
        <v>112</v>
      </c>
      <c r="C85" s="47">
        <f>SUM(D85:AJ85)</f>
        <v>627.25299295352124</v>
      </c>
      <c r="D85" s="12">
        <f>SUM(D73:D76,D82:D83)</f>
        <v>-8.9250000000000007</v>
      </c>
      <c r="E85" s="12">
        <f t="shared" ref="E85:AJ85" si="25">SUM(E73:E76,E82:E83)</f>
        <v>-8.9250000000000007</v>
      </c>
      <c r="F85" s="12">
        <f t="shared" si="25"/>
        <v>-35.700000000000003</v>
      </c>
      <c r="G85" s="12">
        <f t="shared" si="25"/>
        <v>-35.700000000000003</v>
      </c>
      <c r="H85" s="12">
        <f t="shared" si="25"/>
        <v>-768.28242748930961</v>
      </c>
      <c r="I85" s="12">
        <f t="shared" si="25"/>
        <v>-768.28242748930961</v>
      </c>
      <c r="J85" s="12">
        <f t="shared" si="25"/>
        <v>-268.13399802232414</v>
      </c>
      <c r="K85" s="12">
        <f t="shared" si="25"/>
        <v>116.0072157223307</v>
      </c>
      <c r="L85" s="12">
        <f t="shared" si="25"/>
        <v>116.0072157223307</v>
      </c>
      <c r="M85" s="12">
        <f t="shared" si="25"/>
        <v>116.0072157223307</v>
      </c>
      <c r="N85" s="12">
        <f t="shared" si="25"/>
        <v>116.0072157223307</v>
      </c>
      <c r="O85" s="12">
        <f t="shared" si="25"/>
        <v>116.0072157223307</v>
      </c>
      <c r="P85" s="12">
        <f t="shared" si="25"/>
        <v>116.0072157223307</v>
      </c>
      <c r="Q85" s="12">
        <f t="shared" si="25"/>
        <v>116.0072157223307</v>
      </c>
      <c r="R85" s="12">
        <f t="shared" si="25"/>
        <v>116.0072157223307</v>
      </c>
      <c r="S85" s="12">
        <f t="shared" si="25"/>
        <v>116.0072157223307</v>
      </c>
      <c r="T85" s="12">
        <f t="shared" si="25"/>
        <v>116.0072157223307</v>
      </c>
      <c r="U85" s="12">
        <f t="shared" si="25"/>
        <v>116.0072157223307</v>
      </c>
      <c r="V85" s="12">
        <f t="shared" si="25"/>
        <v>116.0072157223307</v>
      </c>
      <c r="W85" s="12">
        <f t="shared" si="25"/>
        <v>116.0072157223307</v>
      </c>
      <c r="X85" s="12">
        <f t="shared" si="25"/>
        <v>110.4308466715519</v>
      </c>
      <c r="Y85" s="12">
        <f t="shared" si="25"/>
        <v>107.95246042676133</v>
      </c>
      <c r="Z85" s="12">
        <f t="shared" si="25"/>
        <v>107.95246042676133</v>
      </c>
      <c r="AA85" s="12">
        <f t="shared" si="25"/>
        <v>107.95246042676133</v>
      </c>
      <c r="AB85" s="12">
        <f t="shared" si="25"/>
        <v>107.95246042676133</v>
      </c>
      <c r="AC85" s="12">
        <f t="shared" si="25"/>
        <v>107.95246042676133</v>
      </c>
      <c r="AD85" s="12">
        <f t="shared" si="25"/>
        <v>107.95246042676133</v>
      </c>
      <c r="AE85" s="12">
        <f t="shared" si="25"/>
        <v>107.95246042676133</v>
      </c>
      <c r="AF85" s="12">
        <f t="shared" si="25"/>
        <v>107.95246042676133</v>
      </c>
      <c r="AG85" s="12">
        <f t="shared" si="25"/>
        <v>107.95246042676133</v>
      </c>
      <c r="AH85" s="12">
        <f t="shared" si="25"/>
        <v>107.95246042676133</v>
      </c>
      <c r="AI85" s="12">
        <f t="shared" si="25"/>
        <v>-88.423704687499992</v>
      </c>
      <c r="AJ85" s="47">
        <f t="shared" si="25"/>
        <v>-88.423704687499992</v>
      </c>
    </row>
    <row r="86" spans="2:36" x14ac:dyDescent="0.3">
      <c r="B86" s="52" t="s">
        <v>113</v>
      </c>
      <c r="C86" s="47">
        <f>SUM(D86:AJ86)</f>
        <v>895.28646039636078</v>
      </c>
      <c r="D86" s="12">
        <f>D85-D71</f>
        <v>-8.9250000000000007</v>
      </c>
      <c r="E86" s="12">
        <f t="shared" ref="E86:AJ86" si="26">E85-E71</f>
        <v>-8.9250000000000007</v>
      </c>
      <c r="F86" s="12">
        <f t="shared" si="26"/>
        <v>-35.700000000000003</v>
      </c>
      <c r="G86" s="12">
        <f t="shared" si="26"/>
        <v>-35.700000000000003</v>
      </c>
      <c r="H86" s="12">
        <f t="shared" si="26"/>
        <v>-768.28242748930961</v>
      </c>
      <c r="I86" s="12">
        <f t="shared" si="26"/>
        <v>-768.28242748930961</v>
      </c>
      <c r="J86" s="12">
        <f t="shared" si="26"/>
        <v>-256.26434036452423</v>
      </c>
      <c r="K86" s="12">
        <f>K85-K71</f>
        <v>127.8768733801306</v>
      </c>
      <c r="L86" s="12">
        <f t="shared" si="26"/>
        <v>127.8768733801306</v>
      </c>
      <c r="M86" s="12">
        <f t="shared" si="26"/>
        <v>127.8768733801306</v>
      </c>
      <c r="N86" s="12">
        <f>N85-N71</f>
        <v>127.8768733801306</v>
      </c>
      <c r="O86" s="12">
        <f t="shared" si="26"/>
        <v>127.8768733801306</v>
      </c>
      <c r="P86" s="12">
        <f t="shared" si="26"/>
        <v>127.8768733801306</v>
      </c>
      <c r="Q86" s="12">
        <f t="shared" si="26"/>
        <v>127.8768733801306</v>
      </c>
      <c r="R86" s="12">
        <f t="shared" si="26"/>
        <v>127.8768733801306</v>
      </c>
      <c r="S86" s="12">
        <f t="shared" si="26"/>
        <v>127.8768733801306</v>
      </c>
      <c r="T86" s="12">
        <f t="shared" si="26"/>
        <v>127.8768733801306</v>
      </c>
      <c r="U86" s="12">
        <f t="shared" si="26"/>
        <v>127.8768733801306</v>
      </c>
      <c r="V86" s="12">
        <f t="shared" si="26"/>
        <v>127.8768733801306</v>
      </c>
      <c r="W86" s="12">
        <f t="shared" si="26"/>
        <v>127.8768733801306</v>
      </c>
      <c r="X86" s="12">
        <f>X85-X71</f>
        <v>120.44171464575888</v>
      </c>
      <c r="Y86" s="12">
        <f t="shared" si="26"/>
        <v>117.13719965270479</v>
      </c>
      <c r="Z86" s="12">
        <f t="shared" si="26"/>
        <v>117.13719965270479</v>
      </c>
      <c r="AA86" s="12">
        <f t="shared" si="26"/>
        <v>117.13719965270479</v>
      </c>
      <c r="AB86" s="12">
        <f t="shared" si="26"/>
        <v>117.13719965270479</v>
      </c>
      <c r="AC86" s="12">
        <f t="shared" si="26"/>
        <v>117.13719965270479</v>
      </c>
      <c r="AD86" s="12">
        <f t="shared" si="26"/>
        <v>117.13719965270479</v>
      </c>
      <c r="AE86" s="12">
        <f t="shared" si="26"/>
        <v>117.13719965270479</v>
      </c>
      <c r="AF86" s="12">
        <f t="shared" si="26"/>
        <v>117.13719965270479</v>
      </c>
      <c r="AG86" s="12">
        <f t="shared" si="26"/>
        <v>117.13719965270479</v>
      </c>
      <c r="AH86" s="12">
        <f t="shared" si="26"/>
        <v>117.13719965270479</v>
      </c>
      <c r="AI86" s="12">
        <f>AI85-AI71</f>
        <v>-88.423704687499992</v>
      </c>
      <c r="AJ86" s="47">
        <f t="shared" si="26"/>
        <v>-88.423704687499992</v>
      </c>
    </row>
    <row r="87" spans="2:36" x14ac:dyDescent="0.3">
      <c r="B87" s="52"/>
      <c r="C87" s="16"/>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16"/>
    </row>
    <row r="88" spans="2:36" x14ac:dyDescent="0.3">
      <c r="B88" s="19" t="s">
        <v>159</v>
      </c>
      <c r="C88" s="16"/>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16"/>
    </row>
    <row r="89" spans="2:36" x14ac:dyDescent="0.3">
      <c r="B89" s="52" t="s">
        <v>189</v>
      </c>
      <c r="C89" s="47">
        <f>SUM(D89:AJ89)</f>
        <v>-22.302506009377318</v>
      </c>
      <c r="D89" s="12">
        <f t="shared" ref="D89:AJ89" si="27">D85*D21</f>
        <v>-9.8326979776525878</v>
      </c>
      <c r="E89" s="12">
        <f t="shared" si="27"/>
        <v>-9.5974659686178381</v>
      </c>
      <c r="F89" s="12">
        <f t="shared" si="27"/>
        <v>-37.47144607843137</v>
      </c>
      <c r="G89" s="12">
        <f t="shared" si="27"/>
        <v>-36.575000000000003</v>
      </c>
      <c r="H89" s="12">
        <f t="shared" si="27"/>
        <v>-768.28242748930961</v>
      </c>
      <c r="I89" s="12">
        <f t="shared" si="27"/>
        <v>-749.90246510918269</v>
      </c>
      <c r="J89" s="12">
        <f t="shared" si="27"/>
        <v>-255.45808158460298</v>
      </c>
      <c r="K89" s="12">
        <f t="shared" si="27"/>
        <v>107.87893426319779</v>
      </c>
      <c r="L89" s="12">
        <f t="shared" si="27"/>
        <v>105.29809851527439</v>
      </c>
      <c r="M89" s="12">
        <f t="shared" si="27"/>
        <v>102.77900524935876</v>
      </c>
      <c r="N89" s="12">
        <f t="shared" si="27"/>
        <v>100.32017737257983</v>
      </c>
      <c r="O89" s="12">
        <f t="shared" si="27"/>
        <v>97.920173129216707</v>
      </c>
      <c r="P89" s="12">
        <f t="shared" si="27"/>
        <v>95.577585255312002</v>
      </c>
      <c r="Q89" s="12">
        <f t="shared" si="27"/>
        <v>93.291040153510281</v>
      </c>
      <c r="R89" s="12">
        <f t="shared" si="27"/>
        <v>91.059197087636832</v>
      </c>
      <c r="S89" s="12">
        <f t="shared" si="27"/>
        <v>88.880747396545047</v>
      </c>
      <c r="T89" s="12">
        <f t="shared" si="27"/>
        <v>86.754413726771247</v>
      </c>
      <c r="U89" s="12">
        <f t="shared" si="27"/>
        <v>84.67894928354707</v>
      </c>
      <c r="V89" s="12">
        <f t="shared" si="27"/>
        <v>82.653137099730145</v>
      </c>
      <c r="W89" s="12">
        <f t="shared" si="27"/>
        <v>80.675789322224659</v>
      </c>
      <c r="X89" s="12">
        <f t="shared" si="27"/>
        <v>74.96050487325985</v>
      </c>
      <c r="Y89" s="12">
        <f t="shared" si="27"/>
        <v>71.525108860850239</v>
      </c>
      <c r="Z89" s="12">
        <f t="shared" si="27"/>
        <v>69.813981854609807</v>
      </c>
      <c r="AA89" s="12">
        <f t="shared" si="27"/>
        <v>68.14379090115024</v>
      </c>
      <c r="AB89" s="12">
        <f t="shared" si="27"/>
        <v>66.513556669065309</v>
      </c>
      <c r="AC89" s="12">
        <f t="shared" si="27"/>
        <v>64.922323255929797</v>
      </c>
      <c r="AD89" s="12">
        <f t="shared" si="27"/>
        <v>63.369157627797492</v>
      </c>
      <c r="AE89" s="12">
        <f t="shared" si="27"/>
        <v>61.853149072108565</v>
      </c>
      <c r="AF89" s="12">
        <f t="shared" si="27"/>
        <v>60.37340866368492</v>
      </c>
      <c r="AG89" s="12">
        <f t="shared" si="27"/>
        <v>58.92906874350107</v>
      </c>
      <c r="AH89" s="12">
        <f t="shared" si="27"/>
        <v>57.519282409924493</v>
      </c>
      <c r="AI89" s="12">
        <f t="shared" si="27"/>
        <v>-45.986833028979881</v>
      </c>
      <c r="AJ89" s="47">
        <f t="shared" si="27"/>
        <v>-44.886669559387059</v>
      </c>
    </row>
    <row r="90" spans="2:36" x14ac:dyDescent="0.3">
      <c r="B90" s="17" t="s">
        <v>190</v>
      </c>
      <c r="C90" s="49">
        <f>SUM(D90:AJ90)</f>
        <v>21.680134506437156</v>
      </c>
      <c r="D90" s="48">
        <f t="shared" ref="D90:AJ90" si="28">D86*D20</f>
        <v>-10.098816873449884</v>
      </c>
      <c r="E90" s="48">
        <f t="shared" si="28"/>
        <v>-9.791628527489431</v>
      </c>
      <c r="F90" s="48">
        <f t="shared" si="28"/>
        <v>-37.975137254901973</v>
      </c>
      <c r="G90" s="48">
        <f t="shared" si="28"/>
        <v>-36.820000000000007</v>
      </c>
      <c r="H90" s="48">
        <f t="shared" si="28"/>
        <v>-768.28242748930961</v>
      </c>
      <c r="I90" s="48">
        <f t="shared" si="28"/>
        <v>-744.9126198090263</v>
      </c>
      <c r="J90" s="48">
        <f t="shared" si="28"/>
        <v>-240.91122803861825</v>
      </c>
      <c r="K90" s="48">
        <f t="shared" si="28"/>
        <v>116.5588636980589</v>
      </c>
      <c r="L90" s="48">
        <f t="shared" si="28"/>
        <v>113.01334693157803</v>
      </c>
      <c r="M90" s="48">
        <f t="shared" si="28"/>
        <v>109.5756785838494</v>
      </c>
      <c r="N90" s="48">
        <f t="shared" si="28"/>
        <v>106.24257809460681</v>
      </c>
      <c r="O90" s="48">
        <f t="shared" si="28"/>
        <v>103.01086469248949</v>
      </c>
      <c r="P90" s="48">
        <f t="shared" si="28"/>
        <v>99.877454359638108</v>
      </c>
      <c r="Q90" s="48">
        <f t="shared" si="28"/>
        <v>96.83935688862249</v>
      </c>
      <c r="R90" s="48">
        <f t="shared" si="28"/>
        <v>93.893673028892522</v>
      </c>
      <c r="S90" s="48">
        <f t="shared" si="28"/>
        <v>91.037591720028871</v>
      </c>
      <c r="T90" s="48">
        <f t="shared" si="28"/>
        <v>88.268387409153448</v>
      </c>
      <c r="U90" s="48">
        <f t="shared" si="28"/>
        <v>85.58341744993966</v>
      </c>
      <c r="V90" s="48">
        <f t="shared" si="28"/>
        <v>82.980119580739938</v>
      </c>
      <c r="W90" s="48">
        <f t="shared" si="28"/>
        <v>80.456009479424665</v>
      </c>
      <c r="X90" s="48">
        <f t="shared" si="28"/>
        <v>73.473011456299318</v>
      </c>
      <c r="Y90" s="48">
        <f t="shared" si="28"/>
        <v>69.283557675193151</v>
      </c>
      <c r="Z90" s="48">
        <f t="shared" si="28"/>
        <v>67.176073031080804</v>
      </c>
      <c r="AA90" s="48">
        <f t="shared" si="28"/>
        <v>65.132694383747548</v>
      </c>
      <c r="AB90" s="48">
        <f t="shared" si="28"/>
        <v>63.151471740895907</v>
      </c>
      <c r="AC90" s="48">
        <f t="shared" si="28"/>
        <v>61.230514425583486</v>
      </c>
      <c r="AD90" s="48">
        <f t="shared" si="28"/>
        <v>59.367989271953547</v>
      </c>
      <c r="AE90" s="48">
        <f t="shared" si="28"/>
        <v>57.562118875848505</v>
      </c>
      <c r="AF90" s="48">
        <f t="shared" si="28"/>
        <v>55.811179898636375</v>
      </c>
      <c r="AG90" s="48">
        <f t="shared" si="28"/>
        <v>54.113501422632233</v>
      </c>
      <c r="AH90" s="48">
        <f t="shared" si="28"/>
        <v>52.467463356544542</v>
      </c>
      <c r="AI90" s="48">
        <f t="shared" si="28"/>
        <v>-38.401515952668078</v>
      </c>
      <c r="AJ90" s="49">
        <f t="shared" si="28"/>
        <v>-37.233409003537489</v>
      </c>
    </row>
    <row r="91" spans="2:36" x14ac:dyDescent="0.3">
      <c r="B91" s="228" t="s">
        <v>256</v>
      </c>
      <c r="C91" s="12"/>
      <c r="D91" s="12">
        <f>SUM($D$90:D$90)</f>
        <v>-10.098816873449884</v>
      </c>
      <c r="E91" s="12">
        <f>SUM($D$90:E$90)</f>
        <v>-19.890445400939313</v>
      </c>
      <c r="F91" s="12">
        <f>SUM($D$90:F$90)</f>
        <v>-57.865582655841287</v>
      </c>
      <c r="G91" s="12">
        <f>SUM($D$90:G$90)</f>
        <v>-94.685582655841301</v>
      </c>
      <c r="H91" s="12">
        <f>SUM($D$90:H$90)</f>
        <v>-862.96801014515086</v>
      </c>
      <c r="I91" s="12">
        <f>SUM($D$90:I$90)</f>
        <v>-1607.880629954177</v>
      </c>
      <c r="J91" s="12">
        <f>SUM($D$90:J$90)</f>
        <v>-1848.7918579927953</v>
      </c>
      <c r="K91" s="12">
        <f>SUM($D$90:K$90)</f>
        <v>-1732.2329942947363</v>
      </c>
      <c r="L91" s="12">
        <f>SUM($D$90:L$90)</f>
        <v>-1619.2196473631582</v>
      </c>
      <c r="M91" s="12">
        <f>SUM($D$90:M$90)</f>
        <v>-1509.6439687793088</v>
      </c>
      <c r="N91" s="12">
        <f>SUM($D$90:N$90)</f>
        <v>-1403.4013906847019</v>
      </c>
      <c r="O91" s="12">
        <f>SUM($D$90:O$90)</f>
        <v>-1300.3905259922124</v>
      </c>
      <c r="P91" s="12">
        <f>SUM($D$90:P$90)</f>
        <v>-1200.5130716325743</v>
      </c>
      <c r="Q91" s="12">
        <f>SUM($D$90:Q$90)</f>
        <v>-1103.6737147439519</v>
      </c>
      <c r="R91" s="12">
        <f>SUM($D$90:R$90)</f>
        <v>-1009.7800417150594</v>
      </c>
      <c r="S91" s="12">
        <f>SUM($D$90:S$90)</f>
        <v>-918.74244999503048</v>
      </c>
      <c r="T91" s="12">
        <f>SUM($D$90:T$90)</f>
        <v>-830.47406258587705</v>
      </c>
      <c r="U91" s="12">
        <f>SUM($D$90:U$90)</f>
        <v>-744.89064513593735</v>
      </c>
      <c r="V91" s="12">
        <f>SUM($D$90:V$90)</f>
        <v>-661.91052555519741</v>
      </c>
      <c r="W91" s="12">
        <f>SUM($D$90:W$90)</f>
        <v>-581.45451607577274</v>
      </c>
      <c r="X91" s="12">
        <f>SUM($D$90:X$90)</f>
        <v>-507.98150461947341</v>
      </c>
      <c r="Y91" s="12">
        <f>SUM($D$90:Y$90)</f>
        <v>-438.69794694428026</v>
      </c>
      <c r="Z91" s="12">
        <f>SUM($D$90:Z$90)</f>
        <v>-371.52187391319944</v>
      </c>
      <c r="AA91" s="12">
        <f>SUM($D$90:AA$90)</f>
        <v>-306.38917952945189</v>
      </c>
      <c r="AB91" s="12">
        <f>SUM($D$90:AB$90)</f>
        <v>-243.23770778855598</v>
      </c>
      <c r="AC91" s="12">
        <f>SUM($D$90:AC$90)</f>
        <v>-182.00719336297249</v>
      </c>
      <c r="AD91" s="12">
        <f>SUM($D$90:AD$90)</f>
        <v>-122.63920409101894</v>
      </c>
      <c r="AE91" s="12">
        <f>SUM($D$90:AE$90)</f>
        <v>-65.077085215170428</v>
      </c>
      <c r="AF91" s="12">
        <f>SUM($D$90:AF$90)</f>
        <v>-9.2659053165340524</v>
      </c>
      <c r="AG91" s="12">
        <f>SUM($D$90:AG$90)</f>
        <v>44.84759610609818</v>
      </c>
      <c r="AH91" s="12">
        <f>SUM($D$90:AH$90)</f>
        <v>97.315059462642722</v>
      </c>
      <c r="AI91" s="12">
        <f>SUM($D$90:AI$90)</f>
        <v>58.913543509974645</v>
      </c>
      <c r="AJ91" s="12">
        <f>SUM($D$90:AJ$90)</f>
        <v>21.680134506437156</v>
      </c>
    </row>
    <row r="92" spans="2:36" x14ac:dyDescent="0.3">
      <c r="B92" s="228" t="s">
        <v>260</v>
      </c>
      <c r="C92" s="12"/>
      <c r="D92" s="12">
        <f>SUM($D$89:D$89)</f>
        <v>-9.8326979776525878</v>
      </c>
      <c r="E92" s="12">
        <f>SUM($D$89:E$89)</f>
        <v>-19.430163946270426</v>
      </c>
      <c r="F92" s="12">
        <f>SUM($D$89:F$89)</f>
        <v>-56.901610024701796</v>
      </c>
      <c r="G92" s="12">
        <f>SUM($D$89:G$89)</f>
        <v>-93.476610024701799</v>
      </c>
      <c r="H92" s="12">
        <f>SUM($D$89:H$89)</f>
        <v>-861.75903751401142</v>
      </c>
      <c r="I92" s="12">
        <f>SUM($D$89:I$89)</f>
        <v>-1611.6615026231941</v>
      </c>
      <c r="J92" s="12">
        <f>SUM($D$89:J$89)</f>
        <v>-1867.1195842077971</v>
      </c>
      <c r="K92" s="12">
        <f>SUM($D$89:K$89)</f>
        <v>-1759.2406499445992</v>
      </c>
      <c r="L92" s="12">
        <f>SUM($D$89:L$89)</f>
        <v>-1653.9425514293248</v>
      </c>
      <c r="M92" s="12">
        <f>SUM($D$89:M$89)</f>
        <v>-1551.163546179966</v>
      </c>
      <c r="N92" s="12">
        <f>SUM($D$89:N$89)</f>
        <v>-1450.8433688073862</v>
      </c>
      <c r="O92" s="12">
        <f>SUM($D$89:O$89)</f>
        <v>-1352.9231956781696</v>
      </c>
      <c r="P92" s="12">
        <f>SUM($D$89:P$89)</f>
        <v>-1257.3456104228576</v>
      </c>
      <c r="Q92" s="12">
        <f>SUM($D$89:Q$89)</f>
        <v>-1164.0545702693473</v>
      </c>
      <c r="R92" s="12">
        <f>SUM($D$89:R$89)</f>
        <v>-1072.9953731817104</v>
      </c>
      <c r="S92" s="12">
        <f>SUM($D$89:S$89)</f>
        <v>-984.11462578516534</v>
      </c>
      <c r="T92" s="12">
        <f>SUM($D$89:T$89)</f>
        <v>-897.36021205839415</v>
      </c>
      <c r="U92" s="12">
        <f>SUM($D$89:U$89)</f>
        <v>-812.68126277484703</v>
      </c>
      <c r="V92" s="12">
        <f>SUM($D$89:V$89)</f>
        <v>-730.02812567511683</v>
      </c>
      <c r="W92" s="12">
        <f>SUM($D$89:W$89)</f>
        <v>-649.35233635289217</v>
      </c>
      <c r="X92" s="12">
        <f>SUM($D$89:X$89)</f>
        <v>-574.39183147963229</v>
      </c>
      <c r="Y92" s="12">
        <f>SUM($D$89:Y$89)</f>
        <v>-502.86672261878203</v>
      </c>
      <c r="Z92" s="12">
        <f>SUM($D$89:Z$89)</f>
        <v>-433.0527407641722</v>
      </c>
      <c r="AA92" s="12">
        <f>SUM($D$89:AA$89)</f>
        <v>-364.90894986302197</v>
      </c>
      <c r="AB92" s="12">
        <f>SUM($D$89:AB$89)</f>
        <v>-298.39539319395669</v>
      </c>
      <c r="AC92" s="12">
        <f>SUM($D$89:AC$89)</f>
        <v>-233.4730699380269</v>
      </c>
      <c r="AD92" s="12">
        <f>SUM($D$89:AD$89)</f>
        <v>-170.10391231022942</v>
      </c>
      <c r="AE92" s="12">
        <f>SUM($D$89:AE$89)</f>
        <v>-108.25076323812085</v>
      </c>
      <c r="AF92" s="12">
        <f>SUM($D$89:AF$89)</f>
        <v>-47.877354574435934</v>
      </c>
      <c r="AG92" s="12">
        <f>SUM($D$89:AG$89)</f>
        <v>11.051714169065136</v>
      </c>
      <c r="AH92" s="12">
        <f>SUM($D$89:AH$89)</f>
        <v>68.570996578989622</v>
      </c>
      <c r="AI92" s="12">
        <f>SUM($D$89:AI$89)</f>
        <v>22.584163550009741</v>
      </c>
      <c r="AJ92" s="12">
        <f>SUM($D$89:AJ$89)</f>
        <v>-22.302506009377318</v>
      </c>
    </row>
    <row r="93" spans="2:36" ht="7.2" customHeight="1" thickBot="1" x14ac:dyDescent="0.35"/>
    <row r="94" spans="2:36" x14ac:dyDescent="0.3">
      <c r="B94" s="109" t="s">
        <v>191</v>
      </c>
      <c r="C94" s="107">
        <f>IRR(D85:AJ85,5%)</f>
        <v>2.3473748548857865E-2</v>
      </c>
    </row>
    <row r="95" spans="2:36" ht="15" thickBot="1" x14ac:dyDescent="0.35">
      <c r="B95" s="110" t="s">
        <v>192</v>
      </c>
      <c r="C95" s="108">
        <f>IRR(D86:AJ86,5%)</f>
        <v>3.2408387904218072E-2</v>
      </c>
    </row>
    <row r="96" spans="2:36" x14ac:dyDescent="0.3">
      <c r="B96" s="60"/>
      <c r="C96" s="21"/>
      <c r="F96" s="98"/>
    </row>
    <row r="97" spans="2:36" ht="15" thickBot="1" x14ac:dyDescent="0.35">
      <c r="B97" s="156"/>
      <c r="C97" s="60"/>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row>
    <row r="98" spans="2:36" ht="15" thickBot="1" x14ac:dyDescent="0.35">
      <c r="B98" s="280" t="s">
        <v>203</v>
      </c>
      <c r="C98" s="281"/>
      <c r="D98" s="281"/>
      <c r="E98" s="282"/>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row>
    <row r="99" spans="2:36" s="1" customFormat="1" ht="7.2" customHeight="1" x14ac:dyDescent="0.3">
      <c r="B99" s="60"/>
      <c r="C99" s="60"/>
      <c r="D99" s="36"/>
      <c r="E99" s="36"/>
      <c r="F99" s="36"/>
      <c r="G99" s="36"/>
      <c r="H99" s="36"/>
      <c r="I99" s="36"/>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2"/>
      <c r="AJ99" s="62"/>
    </row>
    <row r="100" spans="2:36" s="1" customFormat="1" x14ac:dyDescent="0.3">
      <c r="B100" s="44" t="s">
        <v>99</v>
      </c>
      <c r="C100" s="82" t="s">
        <v>98</v>
      </c>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6"/>
    </row>
    <row r="101" spans="2:36" s="1" customFormat="1" x14ac:dyDescent="0.3">
      <c r="B101" s="53" t="s">
        <v>40</v>
      </c>
      <c r="C101" s="53"/>
      <c r="D101" s="12">
        <f>Summary!D29*DCF_Calculations!D$20</f>
        <v>10.098816873449884</v>
      </c>
      <c r="E101" s="12">
        <f>Summary!E29*DCF_Calculations!E20</f>
        <v>9.791628527489431</v>
      </c>
      <c r="F101" s="12">
        <f>Summary!F29*DCF_Calculations!F20</f>
        <v>37.975137254901973</v>
      </c>
      <c r="G101" s="12">
        <f>Summary!G29*DCF_Calculations!G20</f>
        <v>36.820000000000007</v>
      </c>
      <c r="H101" s="12">
        <f>Summary!H29*DCF_Calculations!H20</f>
        <v>0</v>
      </c>
      <c r="I101" s="12">
        <f>Summary!I29*DCF_Calculations!I20</f>
        <v>0</v>
      </c>
      <c r="J101" s="12">
        <f>Summary!J29*DCF_Calculations!J20</f>
        <v>0</v>
      </c>
      <c r="K101" s="12">
        <f>Summary!K29*DCF_Calculations!K20</f>
        <v>0</v>
      </c>
      <c r="L101" s="12">
        <f>Summary!L29*DCF_Calculations!L20</f>
        <v>0</v>
      </c>
      <c r="M101" s="12">
        <f>Summary!M29*DCF_Calculations!M20</f>
        <v>0</v>
      </c>
      <c r="N101" s="12">
        <f>Summary!N29*DCF_Calculations!N20</f>
        <v>0</v>
      </c>
      <c r="O101" s="12">
        <f>Summary!O29*DCF_Calculations!O20</f>
        <v>0</v>
      </c>
      <c r="P101" s="12">
        <f>Summary!P29*DCF_Calculations!P20</f>
        <v>0</v>
      </c>
      <c r="Q101" s="12">
        <f>Summary!Q29*DCF_Calculations!Q20</f>
        <v>0</v>
      </c>
      <c r="R101" s="12">
        <f>Summary!R29*DCF_Calculations!R20</f>
        <v>0</v>
      </c>
      <c r="S101" s="12">
        <f>Summary!S29*DCF_Calculations!S20</f>
        <v>0</v>
      </c>
      <c r="T101" s="12">
        <f>Summary!T29*DCF_Calculations!T20</f>
        <v>0</v>
      </c>
      <c r="U101" s="12">
        <f>Summary!U29*DCF_Calculations!U20</f>
        <v>0</v>
      </c>
      <c r="V101" s="12">
        <f>Summary!V29*DCF_Calculations!V20</f>
        <v>0</v>
      </c>
      <c r="W101" s="12">
        <f>Summary!W29*DCF_Calculations!W20</f>
        <v>0</v>
      </c>
      <c r="X101" s="12">
        <f>Summary!X29*DCF_Calculations!X20</f>
        <v>0</v>
      </c>
      <c r="Y101" s="12">
        <f>Summary!Y29*DCF_Calculations!Y20</f>
        <v>0</v>
      </c>
      <c r="Z101" s="12">
        <f>Summary!Z29*DCF_Calculations!Z20</f>
        <v>0</v>
      </c>
      <c r="AA101" s="12">
        <f>Summary!AA29*DCF_Calculations!AA20</f>
        <v>0</v>
      </c>
      <c r="AB101" s="12">
        <f>Summary!AB29*DCF_Calculations!AB20</f>
        <v>0</v>
      </c>
      <c r="AC101" s="12">
        <f>Summary!AC29*DCF_Calculations!AC20</f>
        <v>0</v>
      </c>
      <c r="AD101" s="12">
        <f>Summary!AD29*DCF_Calculations!AD20</f>
        <v>0</v>
      </c>
      <c r="AE101" s="12">
        <f>Summary!AE29*DCF_Calculations!AE20</f>
        <v>0</v>
      </c>
      <c r="AF101" s="12">
        <f>Summary!AF29*DCF_Calculations!AF20</f>
        <v>0</v>
      </c>
      <c r="AG101" s="12">
        <f>Summary!AG29*DCF_Calculations!AG20</f>
        <v>0</v>
      </c>
      <c r="AH101" s="12">
        <f>Summary!AH29*DCF_Calculations!AH20</f>
        <v>0</v>
      </c>
      <c r="AI101" s="12">
        <f>Summary!AI29*DCF_Calculations!AI20</f>
        <v>0</v>
      </c>
      <c r="AJ101" s="89">
        <f>Summary!AJ29*DCF_Calculations!AJ20</f>
        <v>0</v>
      </c>
    </row>
    <row r="102" spans="2:36" s="1" customFormat="1" x14ac:dyDescent="0.3">
      <c r="B102" s="70" t="s">
        <v>94</v>
      </c>
      <c r="C102" s="52"/>
      <c r="D102" s="71">
        <f>Summary!D30*DCF_Calculations!D$20</f>
        <v>0</v>
      </c>
      <c r="E102" s="71">
        <f>Summary!E30*DCF_Calculations!E$20</f>
        <v>0</v>
      </c>
      <c r="F102" s="71">
        <f>Summary!F30*DCF_Calculations!F$20</f>
        <v>0</v>
      </c>
      <c r="G102" s="71">
        <f>Summary!G30*DCF_Calculations!G$20</f>
        <v>0</v>
      </c>
      <c r="H102" s="71">
        <f>Summary!H30*DCF_Calculations!H$20</f>
        <v>1000</v>
      </c>
      <c r="I102" s="71">
        <f>Summary!I30*DCF_Calculations!I$20</f>
        <v>0</v>
      </c>
      <c r="J102" s="71">
        <f>Summary!J30*DCF_Calculations!J$20</f>
        <v>0</v>
      </c>
      <c r="K102" s="71">
        <f>Summary!K30*DCF_Calculations!K$20</f>
        <v>0</v>
      </c>
      <c r="L102" s="71">
        <f>Summary!L30*DCF_Calculations!L$20</f>
        <v>0</v>
      </c>
      <c r="M102" s="71">
        <f>Summary!M30*DCF_Calculations!M$20</f>
        <v>0</v>
      </c>
      <c r="N102" s="71">
        <f>Summary!N30*DCF_Calculations!N$20</f>
        <v>0</v>
      </c>
      <c r="O102" s="71">
        <f>Summary!O30*DCF_Calculations!O$20</f>
        <v>0</v>
      </c>
      <c r="P102" s="71">
        <f>Summary!P30*DCF_Calculations!P$20</f>
        <v>0</v>
      </c>
      <c r="Q102" s="71">
        <f>Summary!Q30*DCF_Calculations!Q$20</f>
        <v>0</v>
      </c>
      <c r="R102" s="71">
        <f>Summary!R30*DCF_Calculations!R$20</f>
        <v>0</v>
      </c>
      <c r="S102" s="71">
        <f>Summary!S30*DCF_Calculations!S$20</f>
        <v>0</v>
      </c>
      <c r="T102" s="71">
        <f>Summary!T30*DCF_Calculations!T$20</f>
        <v>0</v>
      </c>
      <c r="U102" s="71">
        <f>Summary!U30*DCF_Calculations!U$20</f>
        <v>0</v>
      </c>
      <c r="V102" s="71">
        <f>Summary!V30*DCF_Calculations!V$20</f>
        <v>0</v>
      </c>
      <c r="W102" s="71">
        <f>Summary!W30*DCF_Calculations!W$20</f>
        <v>0</v>
      </c>
      <c r="X102" s="71">
        <f>Summary!X30*DCF_Calculations!X$20</f>
        <v>0</v>
      </c>
      <c r="Y102" s="71">
        <f>Summary!Y30*DCF_Calculations!Y$20</f>
        <v>0</v>
      </c>
      <c r="Z102" s="71">
        <f>Summary!Z30*DCF_Calculations!Z$20</f>
        <v>0</v>
      </c>
      <c r="AA102" s="71">
        <f>Summary!AA30*DCF_Calculations!AA$20</f>
        <v>0</v>
      </c>
      <c r="AB102" s="71">
        <f>Summary!AB30*DCF_Calculations!AB$20</f>
        <v>0</v>
      </c>
      <c r="AC102" s="71">
        <f>Summary!AC30*DCF_Calculations!AC$20</f>
        <v>0</v>
      </c>
      <c r="AD102" s="71">
        <f>Summary!AD30*DCF_Calculations!AD$20</f>
        <v>0</v>
      </c>
      <c r="AE102" s="71">
        <f>Summary!AE30*DCF_Calculations!AE$20</f>
        <v>0</v>
      </c>
      <c r="AF102" s="71">
        <f>Summary!AF30*DCF_Calculations!AF$20</f>
        <v>0</v>
      </c>
      <c r="AG102" s="71">
        <f>Summary!AG30*DCF_Calculations!AG$20</f>
        <v>0</v>
      </c>
      <c r="AH102" s="71">
        <f>Summary!AH30*DCF_Calculations!AH$20</f>
        <v>0</v>
      </c>
      <c r="AI102" s="71">
        <f>Summary!AI30*DCF_Calculations!AI$20</f>
        <v>0</v>
      </c>
      <c r="AJ102" s="152">
        <f>Summary!AJ30*DCF_Calculations!AJ$20</f>
        <v>0</v>
      </c>
    </row>
    <row r="103" spans="2:36" s="1" customFormat="1" x14ac:dyDescent="0.3">
      <c r="B103" s="70" t="s">
        <v>95</v>
      </c>
      <c r="C103" s="52"/>
      <c r="D103" s="71">
        <f>Summary!D31*DCF_Calculations!D$20</f>
        <v>0</v>
      </c>
      <c r="E103" s="71">
        <f>Summary!E31*DCF_Calculations!E$20</f>
        <v>0</v>
      </c>
      <c r="F103" s="71">
        <f>Summary!F31*DCF_Calculations!F$20</f>
        <v>0</v>
      </c>
      <c r="G103" s="71">
        <f>Summary!G31*DCF_Calculations!G$20</f>
        <v>0</v>
      </c>
      <c r="H103" s="71">
        <f>Summary!H31*DCF_Calculations!H$20</f>
        <v>214</v>
      </c>
      <c r="I103" s="71">
        <f>Summary!I31*DCF_Calculations!I$20</f>
        <v>0</v>
      </c>
      <c r="J103" s="71">
        <f>Summary!J31*DCF_Calculations!J$20</f>
        <v>0</v>
      </c>
      <c r="K103" s="71">
        <f>Summary!K31*DCF_Calculations!K$20</f>
        <v>0</v>
      </c>
      <c r="L103" s="71">
        <f>Summary!L31*DCF_Calculations!L$20</f>
        <v>0</v>
      </c>
      <c r="M103" s="71">
        <f>Summary!M31*DCF_Calculations!M$20</f>
        <v>0</v>
      </c>
      <c r="N103" s="71">
        <f>Summary!N31*DCF_Calculations!N$20</f>
        <v>0</v>
      </c>
      <c r="O103" s="71">
        <f>Summary!O31*DCF_Calculations!O$20</f>
        <v>0</v>
      </c>
      <c r="P103" s="71">
        <f>Summary!P31*DCF_Calculations!P$20</f>
        <v>0</v>
      </c>
      <c r="Q103" s="71">
        <f>Summary!Q31*DCF_Calculations!Q$20</f>
        <v>0</v>
      </c>
      <c r="R103" s="71">
        <f>Summary!R31*DCF_Calculations!R$20</f>
        <v>0</v>
      </c>
      <c r="S103" s="71">
        <f>Summary!S31*DCF_Calculations!S$20</f>
        <v>0</v>
      </c>
      <c r="T103" s="71">
        <f>Summary!T31*DCF_Calculations!T$20</f>
        <v>0</v>
      </c>
      <c r="U103" s="71">
        <f>Summary!U31*DCF_Calculations!U$20</f>
        <v>0</v>
      </c>
      <c r="V103" s="71">
        <f>Summary!V31*DCF_Calculations!V$20</f>
        <v>0</v>
      </c>
      <c r="W103" s="71">
        <f>Summary!W31*DCF_Calculations!W$20</f>
        <v>0</v>
      </c>
      <c r="X103" s="71">
        <f>Summary!X31*DCF_Calculations!X$20</f>
        <v>0</v>
      </c>
      <c r="Y103" s="71">
        <f>Summary!Y31*DCF_Calculations!Y$20</f>
        <v>0</v>
      </c>
      <c r="Z103" s="71">
        <f>Summary!Z31*DCF_Calculations!Z$20</f>
        <v>0</v>
      </c>
      <c r="AA103" s="71">
        <f>Summary!AA31*DCF_Calculations!AA$20</f>
        <v>0</v>
      </c>
      <c r="AB103" s="71">
        <f>Summary!AB31*DCF_Calculations!AB$20</f>
        <v>0</v>
      </c>
      <c r="AC103" s="71">
        <f>Summary!AC31*DCF_Calculations!AC$20</f>
        <v>0</v>
      </c>
      <c r="AD103" s="71">
        <f>Summary!AD31*DCF_Calculations!AD$20</f>
        <v>0</v>
      </c>
      <c r="AE103" s="71">
        <f>Summary!AE31*DCF_Calculations!AE$20</f>
        <v>0</v>
      </c>
      <c r="AF103" s="71">
        <f>Summary!AF31*DCF_Calculations!AF$20</f>
        <v>0</v>
      </c>
      <c r="AG103" s="71">
        <f>Summary!AG31*DCF_Calculations!AG$20</f>
        <v>0</v>
      </c>
      <c r="AH103" s="71">
        <f>Summary!AH31*DCF_Calculations!AH$20</f>
        <v>0</v>
      </c>
      <c r="AI103" s="71">
        <f>Summary!AI31*DCF_Calculations!AI$20</f>
        <v>0</v>
      </c>
      <c r="AJ103" s="152">
        <f>Summary!AJ31*DCF_Calculations!AJ$20</f>
        <v>0</v>
      </c>
    </row>
    <row r="104" spans="2:36" s="1" customFormat="1" x14ac:dyDescent="0.3">
      <c r="B104" s="70" t="s">
        <v>100</v>
      </c>
      <c r="C104" s="52"/>
      <c r="D104" s="71">
        <f>Summary!D32*DCF_Calculations!D$20</f>
        <v>0</v>
      </c>
      <c r="E104" s="71">
        <f>Summary!E32*DCF_Calculations!E$20</f>
        <v>0</v>
      </c>
      <c r="F104" s="71">
        <f>Summary!F32*DCF_Calculations!F$20</f>
        <v>0</v>
      </c>
      <c r="G104" s="71">
        <f>Summary!G32*DCF_Calculations!G$20</f>
        <v>0</v>
      </c>
      <c r="H104" s="71">
        <f>Summary!H32*DCF_Calculations!H$20</f>
        <v>272.07293749999997</v>
      </c>
      <c r="I104" s="71">
        <f>Summary!I32*DCF_Calculations!I$20</f>
        <v>0</v>
      </c>
      <c r="J104" s="71">
        <f>Summary!J32*DCF_Calculations!J$20</f>
        <v>0</v>
      </c>
      <c r="K104" s="71">
        <f>Summary!K32*DCF_Calculations!K$20</f>
        <v>0</v>
      </c>
      <c r="L104" s="71">
        <f>Summary!L32*DCF_Calculations!L$20</f>
        <v>0</v>
      </c>
      <c r="M104" s="71">
        <f>Summary!M32*DCF_Calculations!M$20</f>
        <v>0</v>
      </c>
      <c r="N104" s="71">
        <f>Summary!N32*DCF_Calculations!N$20</f>
        <v>0</v>
      </c>
      <c r="O104" s="71">
        <f>Summary!O32*DCF_Calculations!O$20</f>
        <v>0</v>
      </c>
      <c r="P104" s="71">
        <f>Summary!P32*DCF_Calculations!P$20</f>
        <v>0</v>
      </c>
      <c r="Q104" s="71">
        <f>Summary!Q32*DCF_Calculations!Q$20</f>
        <v>0</v>
      </c>
      <c r="R104" s="71">
        <f>Summary!R32*DCF_Calculations!R$20</f>
        <v>0</v>
      </c>
      <c r="S104" s="71">
        <f>Summary!S32*DCF_Calculations!S$20</f>
        <v>0</v>
      </c>
      <c r="T104" s="71">
        <f>Summary!T32*DCF_Calculations!T$20</f>
        <v>0</v>
      </c>
      <c r="U104" s="71">
        <f>Summary!U32*DCF_Calculations!U$20</f>
        <v>0</v>
      </c>
      <c r="V104" s="71">
        <f>Summary!V32*DCF_Calculations!V$20</f>
        <v>0</v>
      </c>
      <c r="W104" s="71">
        <f>Summary!W32*DCF_Calculations!W$20</f>
        <v>0</v>
      </c>
      <c r="X104" s="71">
        <f>Summary!X32*DCF_Calculations!X$20</f>
        <v>0</v>
      </c>
      <c r="Y104" s="71">
        <f>Summary!Y32*DCF_Calculations!Y$20</f>
        <v>0</v>
      </c>
      <c r="Z104" s="71">
        <f>Summary!Z32*DCF_Calculations!Z$20</f>
        <v>0</v>
      </c>
      <c r="AA104" s="71">
        <f>Summary!AA32*DCF_Calculations!AA$20</f>
        <v>0</v>
      </c>
      <c r="AB104" s="71">
        <f>Summary!AB32*DCF_Calculations!AB$20</f>
        <v>0</v>
      </c>
      <c r="AC104" s="71">
        <f>Summary!AC32*DCF_Calculations!AC$20</f>
        <v>0</v>
      </c>
      <c r="AD104" s="71">
        <f>Summary!AD32*DCF_Calculations!AD$20</f>
        <v>0</v>
      </c>
      <c r="AE104" s="71">
        <f>Summary!AE32*DCF_Calculations!AE$20</f>
        <v>0</v>
      </c>
      <c r="AF104" s="71">
        <f>Summary!AF32*DCF_Calculations!AF$20</f>
        <v>0</v>
      </c>
      <c r="AG104" s="71">
        <f>Summary!AG32*DCF_Calculations!AG$20</f>
        <v>0</v>
      </c>
      <c r="AH104" s="71">
        <f>Summary!AH32*DCF_Calculations!AH$20</f>
        <v>0</v>
      </c>
      <c r="AI104" s="71">
        <f>Summary!AI32*DCF_Calculations!AI$20</f>
        <v>0</v>
      </c>
      <c r="AJ104" s="152">
        <f>Summary!AJ32*DCF_Calculations!AJ$20</f>
        <v>0</v>
      </c>
    </row>
    <row r="105" spans="2:36" s="1" customFormat="1" x14ac:dyDescent="0.3">
      <c r="B105" s="70" t="s">
        <v>96</v>
      </c>
      <c r="C105" s="52"/>
      <c r="D105" s="71">
        <f>Summary!D33*DCF_Calculations!D$20</f>
        <v>0</v>
      </c>
      <c r="E105" s="71">
        <f>Summary!E33*DCF_Calculations!E$20</f>
        <v>0</v>
      </c>
      <c r="F105" s="71">
        <f>Summary!F33*DCF_Calculations!F$20</f>
        <v>0</v>
      </c>
      <c r="G105" s="71">
        <f>Summary!G33*DCF_Calculations!G$20</f>
        <v>0</v>
      </c>
      <c r="H105" s="71">
        <f>Summary!H33*DCF_Calculations!H$20</f>
        <v>230.61176855285601</v>
      </c>
      <c r="I105" s="71">
        <f>Summary!I33*DCF_Calculations!I$20</f>
        <v>0</v>
      </c>
      <c r="J105" s="71">
        <f>Summary!J33*DCF_Calculations!J$20</f>
        <v>0</v>
      </c>
      <c r="K105" s="71">
        <f>Summary!K33*DCF_Calculations!K$20</f>
        <v>0</v>
      </c>
      <c r="L105" s="71">
        <f>Summary!L33*DCF_Calculations!L$20</f>
        <v>0</v>
      </c>
      <c r="M105" s="71">
        <f>Summary!M33*DCF_Calculations!M$20</f>
        <v>0</v>
      </c>
      <c r="N105" s="71">
        <f>Summary!N33*DCF_Calculations!N$20</f>
        <v>0</v>
      </c>
      <c r="O105" s="71">
        <f>Summary!O33*DCF_Calculations!O$20</f>
        <v>0</v>
      </c>
      <c r="P105" s="71">
        <f>Summary!P33*DCF_Calculations!P$20</f>
        <v>0</v>
      </c>
      <c r="Q105" s="71">
        <f>Summary!Q33*DCF_Calculations!Q$20</f>
        <v>0</v>
      </c>
      <c r="R105" s="71">
        <f>Summary!R33*DCF_Calculations!R$20</f>
        <v>0</v>
      </c>
      <c r="S105" s="71">
        <f>Summary!S33*DCF_Calculations!S$20</f>
        <v>0</v>
      </c>
      <c r="T105" s="71">
        <f>Summary!T33*DCF_Calculations!T$20</f>
        <v>0</v>
      </c>
      <c r="U105" s="71">
        <f>Summary!U33*DCF_Calculations!U$20</f>
        <v>0</v>
      </c>
      <c r="V105" s="71">
        <f>Summary!V33*DCF_Calculations!V$20</f>
        <v>0</v>
      </c>
      <c r="W105" s="71">
        <f>Summary!W33*DCF_Calculations!W$20</f>
        <v>0</v>
      </c>
      <c r="X105" s="71">
        <f>Summary!X33*DCF_Calculations!X$20</f>
        <v>0</v>
      </c>
      <c r="Y105" s="71">
        <f>Summary!Y33*DCF_Calculations!Y$20</f>
        <v>0</v>
      </c>
      <c r="Z105" s="71">
        <f>Summary!Z33*DCF_Calculations!Z$20</f>
        <v>0</v>
      </c>
      <c r="AA105" s="71">
        <f>Summary!AA33*DCF_Calculations!AA$20</f>
        <v>0</v>
      </c>
      <c r="AB105" s="71">
        <f>Summary!AB33*DCF_Calculations!AB$20</f>
        <v>0</v>
      </c>
      <c r="AC105" s="71">
        <f>Summary!AC33*DCF_Calculations!AC$20</f>
        <v>0</v>
      </c>
      <c r="AD105" s="71">
        <f>Summary!AD33*DCF_Calculations!AD$20</f>
        <v>0</v>
      </c>
      <c r="AE105" s="71">
        <f>Summary!AE33*DCF_Calculations!AE$20</f>
        <v>0</v>
      </c>
      <c r="AF105" s="71">
        <f>Summary!AF33*DCF_Calculations!AF$20</f>
        <v>0</v>
      </c>
      <c r="AG105" s="71">
        <f>Summary!AG33*DCF_Calculations!AG$20</f>
        <v>0</v>
      </c>
      <c r="AH105" s="71">
        <f>Summary!AH33*DCF_Calculations!AH$20</f>
        <v>0</v>
      </c>
      <c r="AI105" s="71">
        <f>Summary!AI33*DCF_Calculations!AI$20</f>
        <v>0</v>
      </c>
      <c r="AJ105" s="152">
        <f>Summary!AJ33*DCF_Calculations!AJ$20</f>
        <v>0</v>
      </c>
    </row>
    <row r="106" spans="2:36" s="1" customFormat="1" x14ac:dyDescent="0.3">
      <c r="B106" s="70" t="s">
        <v>101</v>
      </c>
      <c r="C106" s="52"/>
      <c r="D106" s="71">
        <f>Summary!D34*DCF_Calculations!D$20</f>
        <v>0</v>
      </c>
      <c r="E106" s="71">
        <f>Summary!E34*DCF_Calculations!E$20</f>
        <v>0</v>
      </c>
      <c r="F106" s="71">
        <f>Summary!F34*DCF_Calculations!F$20</f>
        <v>0</v>
      </c>
      <c r="G106" s="71">
        <f>Summary!G34*DCF_Calculations!G$20</f>
        <v>0</v>
      </c>
      <c r="H106" s="71">
        <f>Summary!H34*DCF_Calculations!H$20</f>
        <v>204.02136267041777</v>
      </c>
      <c r="I106" s="71">
        <f>Summary!I34*DCF_Calculations!I$20</f>
        <v>0</v>
      </c>
      <c r="J106" s="71">
        <f>Summary!J34*DCF_Calculations!J$20</f>
        <v>0</v>
      </c>
      <c r="K106" s="71">
        <f>Summary!K34*DCF_Calculations!K$20</f>
        <v>0</v>
      </c>
      <c r="L106" s="71">
        <f>Summary!L34*DCF_Calculations!L$20</f>
        <v>0</v>
      </c>
      <c r="M106" s="71">
        <f>Summary!M34*DCF_Calculations!M$20</f>
        <v>0</v>
      </c>
      <c r="N106" s="71">
        <f>Summary!N34*DCF_Calculations!N$20</f>
        <v>0</v>
      </c>
      <c r="O106" s="71">
        <f>Summary!O34*DCF_Calculations!O$20</f>
        <v>0</v>
      </c>
      <c r="P106" s="71">
        <f>Summary!P34*DCF_Calculations!P$20</f>
        <v>0</v>
      </c>
      <c r="Q106" s="71">
        <f>Summary!Q34*DCF_Calculations!Q$20</f>
        <v>0</v>
      </c>
      <c r="R106" s="71">
        <f>Summary!R34*DCF_Calculations!R$20</f>
        <v>0</v>
      </c>
      <c r="S106" s="71">
        <f>Summary!S34*DCF_Calculations!S$20</f>
        <v>0</v>
      </c>
      <c r="T106" s="71">
        <f>Summary!T34*DCF_Calculations!T$20</f>
        <v>0</v>
      </c>
      <c r="U106" s="71">
        <f>Summary!U34*DCF_Calculations!U$20</f>
        <v>0</v>
      </c>
      <c r="V106" s="71">
        <f>Summary!V34*DCF_Calculations!V$20</f>
        <v>0</v>
      </c>
      <c r="W106" s="71">
        <f>Summary!W34*DCF_Calculations!W$20</f>
        <v>0</v>
      </c>
      <c r="X106" s="71">
        <f>Summary!X34*DCF_Calculations!X$20</f>
        <v>0</v>
      </c>
      <c r="Y106" s="71">
        <f>Summary!Y34*DCF_Calculations!Y$20</f>
        <v>0</v>
      </c>
      <c r="Z106" s="71">
        <f>Summary!Z34*DCF_Calculations!Z$20</f>
        <v>0</v>
      </c>
      <c r="AA106" s="71">
        <f>Summary!AA34*DCF_Calculations!AA$20</f>
        <v>0</v>
      </c>
      <c r="AB106" s="71">
        <f>Summary!AB34*DCF_Calculations!AB$20</f>
        <v>0</v>
      </c>
      <c r="AC106" s="71">
        <f>Summary!AC34*DCF_Calculations!AC$20</f>
        <v>0</v>
      </c>
      <c r="AD106" s="71">
        <f>Summary!AD34*DCF_Calculations!AD$20</f>
        <v>0</v>
      </c>
      <c r="AE106" s="71">
        <f>Summary!AE34*DCF_Calculations!AE$20</f>
        <v>0</v>
      </c>
      <c r="AF106" s="71">
        <f>Summary!AF34*DCF_Calculations!AF$20</f>
        <v>0</v>
      </c>
      <c r="AG106" s="71">
        <f>Summary!AG34*DCF_Calculations!AG$20</f>
        <v>0</v>
      </c>
      <c r="AH106" s="71">
        <f>Summary!AH34*DCF_Calculations!AH$20</f>
        <v>0</v>
      </c>
      <c r="AI106" s="71">
        <f>Summary!AI34*DCF_Calculations!AI$20</f>
        <v>0</v>
      </c>
      <c r="AJ106" s="152">
        <f>Summary!AJ34*DCF_Calculations!AJ$20</f>
        <v>0</v>
      </c>
    </row>
    <row r="107" spans="2:36" s="1" customFormat="1" x14ac:dyDescent="0.3">
      <c r="B107" s="52" t="s">
        <v>52</v>
      </c>
      <c r="C107" s="52"/>
      <c r="D107" s="12">
        <f>Summary!D35*DCF_Calculations!D$20</f>
        <v>0</v>
      </c>
      <c r="E107" s="12">
        <f>Summary!E35*DCF_Calculations!E$20</f>
        <v>0</v>
      </c>
      <c r="F107" s="12">
        <f>Summary!F35*DCF_Calculations!F$20</f>
        <v>0</v>
      </c>
      <c r="G107" s="12">
        <f>Summary!G35*DCF_Calculations!G$20</f>
        <v>0</v>
      </c>
      <c r="H107" s="12">
        <f>Summary!H35*DCF_Calculations!H$20</f>
        <v>768.28242748930961</v>
      </c>
      <c r="I107" s="12">
        <f>Summary!I35*DCF_Calculations!I$20</f>
        <v>744.9126198090263</v>
      </c>
      <c r="J107" s="12">
        <f>Summary!J35*DCF_Calculations!J$20</f>
        <v>361.12684040171428</v>
      </c>
      <c r="K107" s="12">
        <f>Summary!K35*DCF_Calculations!K$20</f>
        <v>0</v>
      </c>
      <c r="L107" s="12">
        <f>Summary!L35*DCF_Calculations!L$20</f>
        <v>0</v>
      </c>
      <c r="M107" s="12">
        <f>Summary!M35*DCF_Calculations!M$20</f>
        <v>0</v>
      </c>
      <c r="N107" s="12">
        <f>Summary!N35*DCF_Calculations!N$20</f>
        <v>0</v>
      </c>
      <c r="O107" s="12">
        <f>Summary!O35*DCF_Calculations!O$20</f>
        <v>0</v>
      </c>
      <c r="P107" s="12">
        <f>Summary!P35*DCF_Calculations!P$20</f>
        <v>0</v>
      </c>
      <c r="Q107" s="12">
        <f>Summary!Q35*DCF_Calculations!Q$20</f>
        <v>0</v>
      </c>
      <c r="R107" s="12">
        <f>Summary!R35*DCF_Calculations!R$20</f>
        <v>0</v>
      </c>
      <c r="S107" s="12">
        <f>Summary!S35*DCF_Calculations!S$20</f>
        <v>0</v>
      </c>
      <c r="T107" s="12">
        <f>Summary!T35*DCF_Calculations!T$20</f>
        <v>0</v>
      </c>
      <c r="U107" s="12">
        <f>Summary!U35*DCF_Calculations!U$20</f>
        <v>0</v>
      </c>
      <c r="V107" s="12">
        <f>Summary!V35*DCF_Calculations!V$20</f>
        <v>0</v>
      </c>
      <c r="W107" s="12">
        <f>Summary!W35*DCF_Calculations!W$20</f>
        <v>0</v>
      </c>
      <c r="X107" s="12">
        <f>Summary!X35*DCF_Calculations!X$20</f>
        <v>0</v>
      </c>
      <c r="Y107" s="12">
        <f>Summary!Y35*DCF_Calculations!Y$20</f>
        <v>0</v>
      </c>
      <c r="Z107" s="12">
        <f>Summary!Z35*DCF_Calculations!Z$20</f>
        <v>0</v>
      </c>
      <c r="AA107" s="12">
        <f>Summary!AA35*DCF_Calculations!AA$20</f>
        <v>0</v>
      </c>
      <c r="AB107" s="12">
        <f>Summary!AB35*DCF_Calculations!AB$20</f>
        <v>0</v>
      </c>
      <c r="AC107" s="12">
        <f>Summary!AC35*DCF_Calculations!AC$20</f>
        <v>0</v>
      </c>
      <c r="AD107" s="12">
        <f>Summary!AD35*DCF_Calculations!AD$20</f>
        <v>0</v>
      </c>
      <c r="AE107" s="12">
        <f>Summary!AE35*DCF_Calculations!AE$20</f>
        <v>0</v>
      </c>
      <c r="AF107" s="12">
        <f>Summary!AF35*DCF_Calculations!AF$20</f>
        <v>0</v>
      </c>
      <c r="AG107" s="12">
        <f>Summary!AG35*DCF_Calculations!AG$20</f>
        <v>0</v>
      </c>
      <c r="AH107" s="12">
        <f>Summary!AH35*DCF_Calculations!AH$20</f>
        <v>0</v>
      </c>
      <c r="AI107" s="12">
        <f>Summary!AI35*DCF_Calculations!AI$20</f>
        <v>0</v>
      </c>
      <c r="AJ107" s="47">
        <f>Summary!AJ35*DCF_Calculations!AJ$20</f>
        <v>0</v>
      </c>
    </row>
    <row r="108" spans="2:36" s="1" customFormat="1" x14ac:dyDescent="0.3">
      <c r="B108" s="52" t="s">
        <v>42</v>
      </c>
      <c r="C108" s="52"/>
      <c r="D108" s="12">
        <f>Summary!D36*DCF_Calculations!D$20</f>
        <v>0</v>
      </c>
      <c r="E108" s="12">
        <f>Summary!E36*DCF_Calculations!E$20</f>
        <v>0</v>
      </c>
      <c r="F108" s="12">
        <f>Summary!F36*DCF_Calculations!F$20</f>
        <v>0</v>
      </c>
      <c r="G108" s="12">
        <f>Summary!G36*DCF_Calculations!G$20</f>
        <v>0</v>
      </c>
      <c r="H108" s="12">
        <f>Summary!H36*DCF_Calculations!H$20</f>
        <v>0</v>
      </c>
      <c r="I108" s="12">
        <f>Summary!I36*DCF_Calculations!I$20</f>
        <v>0</v>
      </c>
      <c r="J108" s="12">
        <f>Summary!J36*DCF_Calculations!J$20</f>
        <v>45.207505728722396</v>
      </c>
      <c r="K108" s="12">
        <f>Summary!K36*DCF_Calculations!K$20</f>
        <v>43.832372474616761</v>
      </c>
      <c r="L108" s="12">
        <f>Summary!L36*DCF_Calculations!L$20</f>
        <v>42.499068368925002</v>
      </c>
      <c r="M108" s="12">
        <f>Summary!M36*DCF_Calculations!M$20</f>
        <v>41.206321042113593</v>
      </c>
      <c r="N108" s="12">
        <f>Summary!N36*DCF_Calculations!N$20</f>
        <v>39.952896827904802</v>
      </c>
      <c r="O108" s="12">
        <f>Summary!O36*DCF_Calculations!O$20</f>
        <v>38.737599585991347</v>
      </c>
      <c r="P108" s="12">
        <f>Summary!P36*DCF_Calculations!P$20</f>
        <v>37.559269560561951</v>
      </c>
      <c r="Q108" s="12">
        <f>Summary!Q36*DCF_Calculations!Q$20</f>
        <v>36.416782273548655</v>
      </c>
      <c r="R108" s="12">
        <f>Summary!R36*DCF_Calculations!R$20</f>
        <v>35.30904745153957</v>
      </c>
      <c r="S108" s="12">
        <f>Summary!S36*DCF_Calculations!S$20</f>
        <v>34.235007985333048</v>
      </c>
      <c r="T108" s="12">
        <f>Summary!T36*DCF_Calculations!T$20</f>
        <v>33.193638921140398</v>
      </c>
      <c r="U108" s="12">
        <f>Summary!U36*DCF_Calculations!U$20</f>
        <v>32.183946482474532</v>
      </c>
      <c r="V108" s="12">
        <f>Summary!V36*DCF_Calculations!V$20</f>
        <v>31.204967121790887</v>
      </c>
      <c r="W108" s="12">
        <f>Summary!W36*DCF_Calculations!W$20</f>
        <v>30.255766600975956</v>
      </c>
      <c r="X108" s="12">
        <f>Summary!X36*DCF_Calculations!X$20</f>
        <v>29.335439099805587</v>
      </c>
      <c r="Y108" s="12">
        <f>Summary!Y36*DCF_Calculations!Y$20</f>
        <v>28.443106351522523</v>
      </c>
      <c r="Z108" s="12">
        <f>Summary!Z36*DCF_Calculations!Z$20</f>
        <v>27.577916804708146</v>
      </c>
      <c r="AA108" s="12">
        <f>Summary!AA36*DCF_Calculations!AA$20</f>
        <v>26.739044810648579</v>
      </c>
      <c r="AB108" s="12">
        <f>Summary!AB36*DCF_Calculations!AB$20</f>
        <v>25.925689835419728</v>
      </c>
      <c r="AC108" s="12">
        <f>Summary!AC36*DCF_Calculations!AC$20</f>
        <v>25.137075695939281</v>
      </c>
      <c r="AD108" s="12">
        <f>Summary!AD36*DCF_Calculations!AD$20</f>
        <v>24.372449819256708</v>
      </c>
      <c r="AE108" s="12">
        <f>Summary!AE36*DCF_Calculations!AE$20</f>
        <v>23.631082524374374</v>
      </c>
      <c r="AF108" s="12">
        <f>Summary!AF36*DCF_Calculations!AF$20</f>
        <v>22.912266325914317</v>
      </c>
      <c r="AG108" s="12">
        <f>Summary!AG36*DCF_Calculations!AG$20</f>
        <v>22.215315258966353</v>
      </c>
      <c r="AH108" s="12">
        <f>Summary!AH36*DCF_Calculations!AH$20</f>
        <v>21.539564224473072</v>
      </c>
      <c r="AI108" s="12">
        <f>Summary!AI36*DCF_Calculations!AI$20</f>
        <v>0</v>
      </c>
      <c r="AJ108" s="47">
        <f>Summary!AJ36*DCF_Calculations!AJ$20</f>
        <v>0</v>
      </c>
    </row>
    <row r="109" spans="2:36" s="1" customFormat="1" x14ac:dyDescent="0.3">
      <c r="B109" s="52" t="s">
        <v>43</v>
      </c>
      <c r="C109" s="52"/>
      <c r="D109" s="12">
        <f>Summary!D37*DCF_Calculations!D$20</f>
        <v>0</v>
      </c>
      <c r="E109" s="12">
        <f>Summary!E37*DCF_Calculations!E$20</f>
        <v>0</v>
      </c>
      <c r="F109" s="12">
        <f>Summary!F37*DCF_Calculations!F$20</f>
        <v>0</v>
      </c>
      <c r="G109" s="12">
        <f>Summary!G37*DCF_Calculations!G$20</f>
        <v>0</v>
      </c>
      <c r="H109" s="12">
        <f>Summary!H37*DCF_Calculations!H$20</f>
        <v>0</v>
      </c>
      <c r="I109" s="12">
        <f>Summary!I37*DCF_Calculations!I$20</f>
        <v>0</v>
      </c>
      <c r="J109" s="12">
        <f>Summary!J37*DCF_Calculations!J$20</f>
        <v>0</v>
      </c>
      <c r="K109" s="12">
        <f>Summary!K37*DCF_Calculations!K$20</f>
        <v>0</v>
      </c>
      <c r="L109" s="12">
        <f>Summary!L37*DCF_Calculations!L$20</f>
        <v>0</v>
      </c>
      <c r="M109" s="12">
        <f>Summary!M37*DCF_Calculations!M$20</f>
        <v>0</v>
      </c>
      <c r="N109" s="12">
        <f>Summary!N37*DCF_Calculations!N$20</f>
        <v>0</v>
      </c>
      <c r="O109" s="12">
        <f>Summary!O37*DCF_Calculations!O$20</f>
        <v>0</v>
      </c>
      <c r="P109" s="12">
        <f>Summary!P37*DCF_Calculations!P$20</f>
        <v>0</v>
      </c>
      <c r="Q109" s="12">
        <f>Summary!Q37*DCF_Calculations!Q$20</f>
        <v>0</v>
      </c>
      <c r="R109" s="12">
        <f>Summary!R37*DCF_Calculations!R$20</f>
        <v>0</v>
      </c>
      <c r="S109" s="12">
        <f>Summary!S37*DCF_Calculations!S$20</f>
        <v>0</v>
      </c>
      <c r="T109" s="12">
        <f>Summary!T37*DCF_Calculations!T$20</f>
        <v>0</v>
      </c>
      <c r="U109" s="12">
        <f>Summary!U37*DCF_Calculations!U$20</f>
        <v>0</v>
      </c>
      <c r="V109" s="12">
        <f>Summary!V37*DCF_Calculations!V$20</f>
        <v>0</v>
      </c>
      <c r="W109" s="12">
        <f>Summary!W37*DCF_Calculations!W$20</f>
        <v>0</v>
      </c>
      <c r="X109" s="12">
        <f>Summary!X37*DCF_Calculations!X$20</f>
        <v>0</v>
      </c>
      <c r="Y109" s="12">
        <f>Summary!Y37*DCF_Calculations!Y$20</f>
        <v>0</v>
      </c>
      <c r="Z109" s="12">
        <f>Summary!Z37*DCF_Calculations!Z$20</f>
        <v>0</v>
      </c>
      <c r="AA109" s="12">
        <f>Summary!AA37*DCF_Calculations!AA$20</f>
        <v>0</v>
      </c>
      <c r="AB109" s="12">
        <f>Summary!AB37*DCF_Calculations!AB$20</f>
        <v>0</v>
      </c>
      <c r="AC109" s="12">
        <f>Summary!AC37*DCF_Calculations!AC$20</f>
        <v>0</v>
      </c>
      <c r="AD109" s="12">
        <f>Summary!AD37*DCF_Calculations!AD$20</f>
        <v>0</v>
      </c>
      <c r="AE109" s="12">
        <f>Summary!AE37*DCF_Calculations!AE$20</f>
        <v>0</v>
      </c>
      <c r="AF109" s="12">
        <f>Summary!AF37*DCF_Calculations!AF$20</f>
        <v>0</v>
      </c>
      <c r="AG109" s="12">
        <f>Summary!AG37*DCF_Calculations!AG$20</f>
        <v>0</v>
      </c>
      <c r="AH109" s="12">
        <f>Summary!AH37*DCF_Calculations!AH$20</f>
        <v>0</v>
      </c>
      <c r="AI109" s="12">
        <f>Summary!AI37*DCF_Calculations!AI$20</f>
        <v>38.401515952668078</v>
      </c>
      <c r="AJ109" s="47">
        <f>Summary!AJ37*DCF_Calculations!AJ$20</f>
        <v>37.233409003537489</v>
      </c>
    </row>
    <row r="110" spans="2:36" s="1" customFormat="1" x14ac:dyDescent="0.3">
      <c r="B110" s="80" t="s">
        <v>26</v>
      </c>
      <c r="C110" s="81">
        <f>SUM(D110:AJ110)</f>
        <v>2844.2655364887651</v>
      </c>
      <c r="D110" s="76">
        <f>SUM(D101,D107:D109)</f>
        <v>10.098816873449884</v>
      </c>
      <c r="E110" s="76">
        <f t="shared" ref="E110:AJ110" si="29">SUM(E101,E107:E109)</f>
        <v>9.791628527489431</v>
      </c>
      <c r="F110" s="76">
        <f t="shared" si="29"/>
        <v>37.975137254901973</v>
      </c>
      <c r="G110" s="76">
        <f t="shared" si="29"/>
        <v>36.820000000000007</v>
      </c>
      <c r="H110" s="76">
        <f t="shared" si="29"/>
        <v>768.28242748930961</v>
      </c>
      <c r="I110" s="76">
        <f t="shared" si="29"/>
        <v>744.9126198090263</v>
      </c>
      <c r="J110" s="76">
        <f t="shared" si="29"/>
        <v>406.33434613043664</v>
      </c>
      <c r="K110" s="76">
        <f t="shared" si="29"/>
        <v>43.832372474616761</v>
      </c>
      <c r="L110" s="76">
        <f t="shared" si="29"/>
        <v>42.499068368925002</v>
      </c>
      <c r="M110" s="76">
        <f t="shared" si="29"/>
        <v>41.206321042113593</v>
      </c>
      <c r="N110" s="76">
        <f t="shared" si="29"/>
        <v>39.952896827904802</v>
      </c>
      <c r="O110" s="76">
        <f t="shared" si="29"/>
        <v>38.737599585991347</v>
      </c>
      <c r="P110" s="76">
        <f t="shared" si="29"/>
        <v>37.559269560561951</v>
      </c>
      <c r="Q110" s="76">
        <f t="shared" si="29"/>
        <v>36.416782273548655</v>
      </c>
      <c r="R110" s="76">
        <f t="shared" si="29"/>
        <v>35.30904745153957</v>
      </c>
      <c r="S110" s="76">
        <f t="shared" si="29"/>
        <v>34.235007985333048</v>
      </c>
      <c r="T110" s="76">
        <f t="shared" si="29"/>
        <v>33.193638921140398</v>
      </c>
      <c r="U110" s="76">
        <f t="shared" si="29"/>
        <v>32.183946482474532</v>
      </c>
      <c r="V110" s="76">
        <f t="shared" si="29"/>
        <v>31.204967121790887</v>
      </c>
      <c r="W110" s="76">
        <f t="shared" si="29"/>
        <v>30.255766600975956</v>
      </c>
      <c r="X110" s="76">
        <f t="shared" si="29"/>
        <v>29.335439099805587</v>
      </c>
      <c r="Y110" s="76">
        <f t="shared" si="29"/>
        <v>28.443106351522523</v>
      </c>
      <c r="Z110" s="76">
        <f t="shared" si="29"/>
        <v>27.577916804708146</v>
      </c>
      <c r="AA110" s="76">
        <f t="shared" si="29"/>
        <v>26.739044810648579</v>
      </c>
      <c r="AB110" s="76">
        <f t="shared" si="29"/>
        <v>25.925689835419728</v>
      </c>
      <c r="AC110" s="76">
        <f t="shared" si="29"/>
        <v>25.137075695939281</v>
      </c>
      <c r="AD110" s="76">
        <f t="shared" si="29"/>
        <v>24.372449819256708</v>
      </c>
      <c r="AE110" s="76">
        <f t="shared" si="29"/>
        <v>23.631082524374374</v>
      </c>
      <c r="AF110" s="76">
        <f t="shared" si="29"/>
        <v>22.912266325914317</v>
      </c>
      <c r="AG110" s="76">
        <f t="shared" si="29"/>
        <v>22.215315258966353</v>
      </c>
      <c r="AH110" s="76">
        <f t="shared" si="29"/>
        <v>21.539564224473072</v>
      </c>
      <c r="AI110" s="76">
        <f t="shared" si="29"/>
        <v>38.401515952668078</v>
      </c>
      <c r="AJ110" s="77">
        <f t="shared" si="29"/>
        <v>37.233409003537489</v>
      </c>
    </row>
    <row r="111" spans="2:36" s="1" customFormat="1" ht="7.2" customHeight="1" x14ac:dyDescent="0.3">
      <c r="B111" s="60"/>
      <c r="C111" s="61"/>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row>
    <row r="112" spans="2:36" s="1" customFormat="1" x14ac:dyDescent="0.3">
      <c r="B112" s="44" t="s">
        <v>102</v>
      </c>
      <c r="C112" s="82" t="s">
        <v>98</v>
      </c>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6"/>
    </row>
    <row r="113" spans="2:36" s="1" customFormat="1" x14ac:dyDescent="0.3">
      <c r="B113" s="53" t="s">
        <v>40</v>
      </c>
      <c r="C113" s="53"/>
      <c r="D113" s="12">
        <f>Summary!D29*DCF_Calculations!D$21</f>
        <v>9.8326979776525878</v>
      </c>
      <c r="E113" s="12">
        <f>Summary!E29*DCF_Calculations!E$21</f>
        <v>9.5974659686178381</v>
      </c>
      <c r="F113" s="12">
        <f>Summary!F29*DCF_Calculations!F$21</f>
        <v>37.47144607843137</v>
      </c>
      <c r="G113" s="12">
        <f>Summary!G29*DCF_Calculations!G$21</f>
        <v>36.575000000000003</v>
      </c>
      <c r="H113" s="12">
        <f>Summary!H29*DCF_Calculations!H$21</f>
        <v>0</v>
      </c>
      <c r="I113" s="12">
        <f>Summary!I29*DCF_Calculations!I$21</f>
        <v>0</v>
      </c>
      <c r="J113" s="12">
        <f>Summary!J29*DCF_Calculations!J$21</f>
        <v>0</v>
      </c>
      <c r="K113" s="12">
        <f>Summary!K29*DCF_Calculations!K$21</f>
        <v>0</v>
      </c>
      <c r="L113" s="12">
        <f>Summary!L29*DCF_Calculations!L$21</f>
        <v>0</v>
      </c>
      <c r="M113" s="12">
        <f>Summary!M29*DCF_Calculations!M$21</f>
        <v>0</v>
      </c>
      <c r="N113" s="12">
        <f>Summary!N29*DCF_Calculations!N$21</f>
        <v>0</v>
      </c>
      <c r="O113" s="12">
        <f>Summary!O29*DCF_Calculations!O$21</f>
        <v>0</v>
      </c>
      <c r="P113" s="12">
        <f>Summary!P29*DCF_Calculations!P$21</f>
        <v>0</v>
      </c>
      <c r="Q113" s="12">
        <f>Summary!Q29*DCF_Calculations!Q$21</f>
        <v>0</v>
      </c>
      <c r="R113" s="12">
        <f>Summary!R29*DCF_Calculations!R$21</f>
        <v>0</v>
      </c>
      <c r="S113" s="12">
        <f>Summary!S29*DCF_Calculations!S$21</f>
        <v>0</v>
      </c>
      <c r="T113" s="12">
        <f>Summary!T29*DCF_Calculations!T$21</f>
        <v>0</v>
      </c>
      <c r="U113" s="12">
        <f>Summary!U29*DCF_Calculations!U$21</f>
        <v>0</v>
      </c>
      <c r="V113" s="12">
        <f>Summary!V29*DCF_Calculations!V$21</f>
        <v>0</v>
      </c>
      <c r="W113" s="12">
        <f>Summary!W29*DCF_Calculations!W$21</f>
        <v>0</v>
      </c>
      <c r="X113" s="12">
        <f>Summary!X29*DCF_Calculations!X$21</f>
        <v>0</v>
      </c>
      <c r="Y113" s="12">
        <f>Summary!Y29*DCF_Calculations!Y$21</f>
        <v>0</v>
      </c>
      <c r="Z113" s="12">
        <f>Summary!Z29*DCF_Calculations!Z$21</f>
        <v>0</v>
      </c>
      <c r="AA113" s="12">
        <f>Summary!AA29*DCF_Calculations!AA$21</f>
        <v>0</v>
      </c>
      <c r="AB113" s="12">
        <f>Summary!AB29*DCF_Calculations!AB$21</f>
        <v>0</v>
      </c>
      <c r="AC113" s="12">
        <f>Summary!AC29*DCF_Calculations!AC$21</f>
        <v>0</v>
      </c>
      <c r="AD113" s="12">
        <f>Summary!AD29*DCF_Calculations!AD$21</f>
        <v>0</v>
      </c>
      <c r="AE113" s="12">
        <f>Summary!AE29*DCF_Calculations!AE$21</f>
        <v>0</v>
      </c>
      <c r="AF113" s="12">
        <f>Summary!AF29*DCF_Calculations!AF$21</f>
        <v>0</v>
      </c>
      <c r="AG113" s="12">
        <f>Summary!AG29*DCF_Calculations!AG$21</f>
        <v>0</v>
      </c>
      <c r="AH113" s="12">
        <f>Summary!AH29*DCF_Calculations!AH$21</f>
        <v>0</v>
      </c>
      <c r="AI113" s="12">
        <f>Summary!AI29*DCF_Calculations!AI$21</f>
        <v>0</v>
      </c>
      <c r="AJ113" s="89">
        <f>Summary!AJ29*DCF_Calculations!AJ$21</f>
        <v>0</v>
      </c>
    </row>
    <row r="114" spans="2:36" s="1" customFormat="1" x14ac:dyDescent="0.3">
      <c r="B114" s="70" t="s">
        <v>94</v>
      </c>
      <c r="C114" s="52"/>
      <c r="D114" s="71">
        <f>Summary!D30*DCF_Calculations!D$21</f>
        <v>0</v>
      </c>
      <c r="E114" s="71">
        <f>Summary!E30*DCF_Calculations!E$21</f>
        <v>0</v>
      </c>
      <c r="F114" s="71">
        <f>Summary!F30*DCF_Calculations!F$21</f>
        <v>0</v>
      </c>
      <c r="G114" s="71">
        <f>Summary!G30*DCF_Calculations!G$21</f>
        <v>0</v>
      </c>
      <c r="H114" s="71">
        <f>Summary!H30*DCF_Calculations!H$21</f>
        <v>1000</v>
      </c>
      <c r="I114" s="71">
        <f>Summary!I30*DCF_Calculations!I$21</f>
        <v>0</v>
      </c>
      <c r="J114" s="71">
        <f>Summary!J30*DCF_Calculations!J$21</f>
        <v>0</v>
      </c>
      <c r="K114" s="71">
        <f>Summary!K30*DCF_Calculations!K$21</f>
        <v>0</v>
      </c>
      <c r="L114" s="71">
        <f>Summary!L30*DCF_Calculations!L$21</f>
        <v>0</v>
      </c>
      <c r="M114" s="71">
        <f>Summary!M30*DCF_Calculations!M$21</f>
        <v>0</v>
      </c>
      <c r="N114" s="71">
        <f>Summary!N30*DCF_Calculations!N$21</f>
        <v>0</v>
      </c>
      <c r="O114" s="71">
        <f>Summary!O30*DCF_Calculations!O$21</f>
        <v>0</v>
      </c>
      <c r="P114" s="71">
        <f>Summary!P30*DCF_Calculations!P$21</f>
        <v>0</v>
      </c>
      <c r="Q114" s="71">
        <f>Summary!Q30*DCF_Calculations!Q$21</f>
        <v>0</v>
      </c>
      <c r="R114" s="71">
        <f>Summary!R30*DCF_Calculations!R$21</f>
        <v>0</v>
      </c>
      <c r="S114" s="71">
        <f>Summary!S30*DCF_Calculations!S$21</f>
        <v>0</v>
      </c>
      <c r="T114" s="71">
        <f>Summary!T30*DCF_Calculations!T$21</f>
        <v>0</v>
      </c>
      <c r="U114" s="71">
        <f>Summary!U30*DCF_Calculations!U$21</f>
        <v>0</v>
      </c>
      <c r="V114" s="71">
        <f>Summary!V30*DCF_Calculations!V$21</f>
        <v>0</v>
      </c>
      <c r="W114" s="71">
        <f>Summary!W30*DCF_Calculations!W$21</f>
        <v>0</v>
      </c>
      <c r="X114" s="71">
        <f>Summary!X30*DCF_Calculations!X$21</f>
        <v>0</v>
      </c>
      <c r="Y114" s="71">
        <f>Summary!Y30*DCF_Calculations!Y$21</f>
        <v>0</v>
      </c>
      <c r="Z114" s="71">
        <f>Summary!Z30*DCF_Calculations!Z$21</f>
        <v>0</v>
      </c>
      <c r="AA114" s="71">
        <f>Summary!AA30*DCF_Calculations!AA$21</f>
        <v>0</v>
      </c>
      <c r="AB114" s="71">
        <f>Summary!AB30*DCF_Calculations!AB$21</f>
        <v>0</v>
      </c>
      <c r="AC114" s="71">
        <f>Summary!AC30*DCF_Calculations!AC$21</f>
        <v>0</v>
      </c>
      <c r="AD114" s="71">
        <f>Summary!AD30*DCF_Calculations!AD$21</f>
        <v>0</v>
      </c>
      <c r="AE114" s="71">
        <f>Summary!AE30*DCF_Calculations!AE$21</f>
        <v>0</v>
      </c>
      <c r="AF114" s="71">
        <f>Summary!AF30*DCF_Calculations!AF$21</f>
        <v>0</v>
      </c>
      <c r="AG114" s="71">
        <f>Summary!AG30*DCF_Calculations!AG$21</f>
        <v>0</v>
      </c>
      <c r="AH114" s="71">
        <f>Summary!AH30*DCF_Calculations!AH$21</f>
        <v>0</v>
      </c>
      <c r="AI114" s="71">
        <f>Summary!AI30*DCF_Calculations!AI$21</f>
        <v>0</v>
      </c>
      <c r="AJ114" s="152">
        <f>Summary!AJ30*DCF_Calculations!AJ$21</f>
        <v>0</v>
      </c>
    </row>
    <row r="115" spans="2:36" s="1" customFormat="1" x14ac:dyDescent="0.3">
      <c r="B115" s="70" t="s">
        <v>95</v>
      </c>
      <c r="C115" s="52"/>
      <c r="D115" s="71">
        <f>Summary!D31*DCF_Calculations!D$21</f>
        <v>0</v>
      </c>
      <c r="E115" s="71">
        <f>Summary!E31*DCF_Calculations!E$21</f>
        <v>0</v>
      </c>
      <c r="F115" s="71">
        <f>Summary!F31*DCF_Calculations!F$21</f>
        <v>0</v>
      </c>
      <c r="G115" s="71">
        <f>Summary!G31*DCF_Calculations!G$21</f>
        <v>0</v>
      </c>
      <c r="H115" s="71">
        <f>Summary!H31*DCF_Calculations!H$21</f>
        <v>214</v>
      </c>
      <c r="I115" s="71">
        <f>Summary!I31*DCF_Calculations!I$21</f>
        <v>0</v>
      </c>
      <c r="J115" s="71">
        <f>Summary!J31*DCF_Calculations!J$21</f>
        <v>0</v>
      </c>
      <c r="K115" s="71">
        <f>Summary!K31*DCF_Calculations!K$21</f>
        <v>0</v>
      </c>
      <c r="L115" s="71">
        <f>Summary!L31*DCF_Calculations!L$21</f>
        <v>0</v>
      </c>
      <c r="M115" s="71">
        <f>Summary!M31*DCF_Calculations!M$21</f>
        <v>0</v>
      </c>
      <c r="N115" s="71">
        <f>Summary!N31*DCF_Calculations!N$21</f>
        <v>0</v>
      </c>
      <c r="O115" s="71">
        <f>Summary!O31*DCF_Calculations!O$21</f>
        <v>0</v>
      </c>
      <c r="P115" s="71">
        <f>Summary!P31*DCF_Calculations!P$21</f>
        <v>0</v>
      </c>
      <c r="Q115" s="71">
        <f>Summary!Q31*DCF_Calculations!Q$21</f>
        <v>0</v>
      </c>
      <c r="R115" s="71">
        <f>Summary!R31*DCF_Calculations!R$21</f>
        <v>0</v>
      </c>
      <c r="S115" s="71">
        <f>Summary!S31*DCF_Calculations!S$21</f>
        <v>0</v>
      </c>
      <c r="T115" s="71">
        <f>Summary!T31*DCF_Calculations!T$21</f>
        <v>0</v>
      </c>
      <c r="U115" s="71">
        <f>Summary!U31*DCF_Calculations!U$21</f>
        <v>0</v>
      </c>
      <c r="V115" s="71">
        <f>Summary!V31*DCF_Calculations!V$21</f>
        <v>0</v>
      </c>
      <c r="W115" s="71">
        <f>Summary!W31*DCF_Calculations!W$21</f>
        <v>0</v>
      </c>
      <c r="X115" s="71">
        <f>Summary!X31*DCF_Calculations!X$21</f>
        <v>0</v>
      </c>
      <c r="Y115" s="71">
        <f>Summary!Y31*DCF_Calculations!Y$21</f>
        <v>0</v>
      </c>
      <c r="Z115" s="71">
        <f>Summary!Z31*DCF_Calculations!Z$21</f>
        <v>0</v>
      </c>
      <c r="AA115" s="71">
        <f>Summary!AA31*DCF_Calculations!AA$21</f>
        <v>0</v>
      </c>
      <c r="AB115" s="71">
        <f>Summary!AB31*DCF_Calculations!AB$21</f>
        <v>0</v>
      </c>
      <c r="AC115" s="71">
        <f>Summary!AC31*DCF_Calculations!AC$21</f>
        <v>0</v>
      </c>
      <c r="AD115" s="71">
        <f>Summary!AD31*DCF_Calculations!AD$21</f>
        <v>0</v>
      </c>
      <c r="AE115" s="71">
        <f>Summary!AE31*DCF_Calculations!AE$21</f>
        <v>0</v>
      </c>
      <c r="AF115" s="71">
        <f>Summary!AF31*DCF_Calculations!AF$21</f>
        <v>0</v>
      </c>
      <c r="AG115" s="71">
        <f>Summary!AG31*DCF_Calculations!AG$21</f>
        <v>0</v>
      </c>
      <c r="AH115" s="71">
        <f>Summary!AH31*DCF_Calculations!AH$21</f>
        <v>0</v>
      </c>
      <c r="AI115" s="71">
        <f>Summary!AI31*DCF_Calculations!AI$21</f>
        <v>0</v>
      </c>
      <c r="AJ115" s="152">
        <f>Summary!AJ31*DCF_Calculations!AJ$21</f>
        <v>0</v>
      </c>
    </row>
    <row r="116" spans="2:36" s="1" customFormat="1" x14ac:dyDescent="0.3">
      <c r="B116" s="70" t="s">
        <v>100</v>
      </c>
      <c r="C116" s="52"/>
      <c r="D116" s="71">
        <f>Summary!D32*DCF_Calculations!D$21</f>
        <v>0</v>
      </c>
      <c r="E116" s="71">
        <f>Summary!E32*DCF_Calculations!E$21</f>
        <v>0</v>
      </c>
      <c r="F116" s="71">
        <f>Summary!F32*DCF_Calculations!F$21</f>
        <v>0</v>
      </c>
      <c r="G116" s="71">
        <f>Summary!G32*DCF_Calculations!G$21</f>
        <v>0</v>
      </c>
      <c r="H116" s="71">
        <f>Summary!H32*DCF_Calculations!H$21</f>
        <v>272.07293749999997</v>
      </c>
      <c r="I116" s="71">
        <f>Summary!I32*DCF_Calculations!I$21</f>
        <v>0</v>
      </c>
      <c r="J116" s="71">
        <f>Summary!J32*DCF_Calculations!J$21</f>
        <v>0</v>
      </c>
      <c r="K116" s="71">
        <f>Summary!K32*DCF_Calculations!K$21</f>
        <v>0</v>
      </c>
      <c r="L116" s="71">
        <f>Summary!L32*DCF_Calculations!L$21</f>
        <v>0</v>
      </c>
      <c r="M116" s="71">
        <f>Summary!M32*DCF_Calculations!M$21</f>
        <v>0</v>
      </c>
      <c r="N116" s="71">
        <f>Summary!N32*DCF_Calculations!N$21</f>
        <v>0</v>
      </c>
      <c r="O116" s="71">
        <f>Summary!O32*DCF_Calculations!O$21</f>
        <v>0</v>
      </c>
      <c r="P116" s="71">
        <f>Summary!P32*DCF_Calculations!P$21</f>
        <v>0</v>
      </c>
      <c r="Q116" s="71">
        <f>Summary!Q32*DCF_Calculations!Q$21</f>
        <v>0</v>
      </c>
      <c r="R116" s="71">
        <f>Summary!R32*DCF_Calculations!R$21</f>
        <v>0</v>
      </c>
      <c r="S116" s="71">
        <f>Summary!S32*DCF_Calculations!S$21</f>
        <v>0</v>
      </c>
      <c r="T116" s="71">
        <f>Summary!T32*DCF_Calculations!T$21</f>
        <v>0</v>
      </c>
      <c r="U116" s="71">
        <f>Summary!U32*DCF_Calculations!U$21</f>
        <v>0</v>
      </c>
      <c r="V116" s="71">
        <f>Summary!V32*DCF_Calculations!V$21</f>
        <v>0</v>
      </c>
      <c r="W116" s="71">
        <f>Summary!W32*DCF_Calculations!W$21</f>
        <v>0</v>
      </c>
      <c r="X116" s="71">
        <f>Summary!X32*DCF_Calculations!X$21</f>
        <v>0</v>
      </c>
      <c r="Y116" s="71">
        <f>Summary!Y32*DCF_Calculations!Y$21</f>
        <v>0</v>
      </c>
      <c r="Z116" s="71">
        <f>Summary!Z32*DCF_Calculations!Z$21</f>
        <v>0</v>
      </c>
      <c r="AA116" s="71">
        <f>Summary!AA32*DCF_Calculations!AA$21</f>
        <v>0</v>
      </c>
      <c r="AB116" s="71">
        <f>Summary!AB32*DCF_Calculations!AB$21</f>
        <v>0</v>
      </c>
      <c r="AC116" s="71">
        <f>Summary!AC32*DCF_Calculations!AC$21</f>
        <v>0</v>
      </c>
      <c r="AD116" s="71">
        <f>Summary!AD32*DCF_Calculations!AD$21</f>
        <v>0</v>
      </c>
      <c r="AE116" s="71">
        <f>Summary!AE32*DCF_Calculations!AE$21</f>
        <v>0</v>
      </c>
      <c r="AF116" s="71">
        <f>Summary!AF32*DCF_Calculations!AF$21</f>
        <v>0</v>
      </c>
      <c r="AG116" s="71">
        <f>Summary!AG32*DCF_Calculations!AG$21</f>
        <v>0</v>
      </c>
      <c r="AH116" s="71">
        <f>Summary!AH32*DCF_Calculations!AH$21</f>
        <v>0</v>
      </c>
      <c r="AI116" s="71">
        <f>Summary!AI32*DCF_Calculations!AI$21</f>
        <v>0</v>
      </c>
      <c r="AJ116" s="152">
        <f>Summary!AJ32*DCF_Calculations!AJ$21</f>
        <v>0</v>
      </c>
    </row>
    <row r="117" spans="2:36" s="1" customFormat="1" x14ac:dyDescent="0.3">
      <c r="B117" s="70" t="s">
        <v>96</v>
      </c>
      <c r="C117" s="52"/>
      <c r="D117" s="71">
        <f>Summary!D33*DCF_Calculations!D$21</f>
        <v>0</v>
      </c>
      <c r="E117" s="71">
        <f>Summary!E33*DCF_Calculations!E$21</f>
        <v>0</v>
      </c>
      <c r="F117" s="71">
        <f>Summary!F33*DCF_Calculations!F$21</f>
        <v>0</v>
      </c>
      <c r="G117" s="71">
        <f>Summary!G33*DCF_Calculations!G$21</f>
        <v>0</v>
      </c>
      <c r="H117" s="71">
        <f>Summary!H33*DCF_Calculations!H$21</f>
        <v>230.61176855285601</v>
      </c>
      <c r="I117" s="71">
        <f>Summary!I33*DCF_Calculations!I$21</f>
        <v>0</v>
      </c>
      <c r="J117" s="71">
        <f>Summary!J33*DCF_Calculations!J$21</f>
        <v>0</v>
      </c>
      <c r="K117" s="71">
        <f>Summary!K33*DCF_Calculations!K$21</f>
        <v>0</v>
      </c>
      <c r="L117" s="71">
        <f>Summary!L33*DCF_Calculations!L$21</f>
        <v>0</v>
      </c>
      <c r="M117" s="71">
        <f>Summary!M33*DCF_Calculations!M$21</f>
        <v>0</v>
      </c>
      <c r="N117" s="71">
        <f>Summary!N33*DCF_Calculations!N$21</f>
        <v>0</v>
      </c>
      <c r="O117" s="71">
        <f>Summary!O33*DCF_Calculations!O$21</f>
        <v>0</v>
      </c>
      <c r="P117" s="71">
        <f>Summary!P33*DCF_Calculations!P$21</f>
        <v>0</v>
      </c>
      <c r="Q117" s="71">
        <f>Summary!Q33*DCF_Calculations!Q$21</f>
        <v>0</v>
      </c>
      <c r="R117" s="71">
        <f>Summary!R33*DCF_Calculations!R$21</f>
        <v>0</v>
      </c>
      <c r="S117" s="71">
        <f>Summary!S33*DCF_Calculations!S$21</f>
        <v>0</v>
      </c>
      <c r="T117" s="71">
        <f>Summary!T33*DCF_Calculations!T$21</f>
        <v>0</v>
      </c>
      <c r="U117" s="71">
        <f>Summary!U33*DCF_Calculations!U$21</f>
        <v>0</v>
      </c>
      <c r="V117" s="71">
        <f>Summary!V33*DCF_Calculations!V$21</f>
        <v>0</v>
      </c>
      <c r="W117" s="71">
        <f>Summary!W33*DCF_Calculations!W$21</f>
        <v>0</v>
      </c>
      <c r="X117" s="71">
        <f>Summary!X33*DCF_Calculations!X$21</f>
        <v>0</v>
      </c>
      <c r="Y117" s="71">
        <f>Summary!Y33*DCF_Calculations!Y$21</f>
        <v>0</v>
      </c>
      <c r="Z117" s="71">
        <f>Summary!Z33*DCF_Calculations!Z$21</f>
        <v>0</v>
      </c>
      <c r="AA117" s="71">
        <f>Summary!AA33*DCF_Calculations!AA$21</f>
        <v>0</v>
      </c>
      <c r="AB117" s="71">
        <f>Summary!AB33*DCF_Calculations!AB$21</f>
        <v>0</v>
      </c>
      <c r="AC117" s="71">
        <f>Summary!AC33*DCF_Calculations!AC$21</f>
        <v>0</v>
      </c>
      <c r="AD117" s="71">
        <f>Summary!AD33*DCF_Calculations!AD$21</f>
        <v>0</v>
      </c>
      <c r="AE117" s="71">
        <f>Summary!AE33*DCF_Calculations!AE$21</f>
        <v>0</v>
      </c>
      <c r="AF117" s="71">
        <f>Summary!AF33*DCF_Calculations!AF$21</f>
        <v>0</v>
      </c>
      <c r="AG117" s="71">
        <f>Summary!AG33*DCF_Calculations!AG$21</f>
        <v>0</v>
      </c>
      <c r="AH117" s="71">
        <f>Summary!AH33*DCF_Calculations!AH$21</f>
        <v>0</v>
      </c>
      <c r="AI117" s="71">
        <f>Summary!AI33*DCF_Calculations!AI$21</f>
        <v>0</v>
      </c>
      <c r="AJ117" s="152">
        <f>Summary!AJ33*DCF_Calculations!AJ$21</f>
        <v>0</v>
      </c>
    </row>
    <row r="118" spans="2:36" s="1" customFormat="1" x14ac:dyDescent="0.3">
      <c r="B118" s="70" t="s">
        <v>101</v>
      </c>
      <c r="C118" s="52"/>
      <c r="D118" s="71">
        <f>Summary!D34*DCF_Calculations!D$21</f>
        <v>0</v>
      </c>
      <c r="E118" s="71">
        <f>Summary!E34*DCF_Calculations!E$21</f>
        <v>0</v>
      </c>
      <c r="F118" s="71">
        <f>Summary!F34*DCF_Calculations!F$21</f>
        <v>0</v>
      </c>
      <c r="G118" s="71">
        <f>Summary!G34*DCF_Calculations!G$21</f>
        <v>0</v>
      </c>
      <c r="H118" s="71">
        <f>Summary!H34*DCF_Calculations!H$21</f>
        <v>204.02136267041777</v>
      </c>
      <c r="I118" s="71">
        <f>Summary!I34*DCF_Calculations!I$21</f>
        <v>0</v>
      </c>
      <c r="J118" s="71">
        <f>Summary!J34*DCF_Calculations!J$21</f>
        <v>0</v>
      </c>
      <c r="K118" s="71">
        <f>Summary!K34*DCF_Calculations!K$21</f>
        <v>0</v>
      </c>
      <c r="L118" s="71">
        <f>Summary!L34*DCF_Calculations!L$21</f>
        <v>0</v>
      </c>
      <c r="M118" s="71">
        <f>Summary!M34*DCF_Calculations!M$21</f>
        <v>0</v>
      </c>
      <c r="N118" s="71">
        <f>Summary!N34*DCF_Calculations!N$21</f>
        <v>0</v>
      </c>
      <c r="O118" s="71">
        <f>Summary!O34*DCF_Calculations!O$21</f>
        <v>0</v>
      </c>
      <c r="P118" s="71">
        <f>Summary!P34*DCF_Calculations!P$21</f>
        <v>0</v>
      </c>
      <c r="Q118" s="71">
        <f>Summary!Q34*DCF_Calculations!Q$21</f>
        <v>0</v>
      </c>
      <c r="R118" s="71">
        <f>Summary!R34*DCF_Calculations!R$21</f>
        <v>0</v>
      </c>
      <c r="S118" s="71">
        <f>Summary!S34*DCF_Calculations!S$21</f>
        <v>0</v>
      </c>
      <c r="T118" s="71">
        <f>Summary!T34*DCF_Calculations!T$21</f>
        <v>0</v>
      </c>
      <c r="U118" s="71">
        <f>Summary!U34*DCF_Calculations!U$21</f>
        <v>0</v>
      </c>
      <c r="V118" s="71">
        <f>Summary!V34*DCF_Calculations!V$21</f>
        <v>0</v>
      </c>
      <c r="W118" s="71">
        <f>Summary!W34*DCF_Calculations!W$21</f>
        <v>0</v>
      </c>
      <c r="X118" s="71">
        <f>Summary!X34*DCF_Calculations!X$21</f>
        <v>0</v>
      </c>
      <c r="Y118" s="71">
        <f>Summary!Y34*DCF_Calculations!Y$21</f>
        <v>0</v>
      </c>
      <c r="Z118" s="71">
        <f>Summary!Z34*DCF_Calculations!Z$21</f>
        <v>0</v>
      </c>
      <c r="AA118" s="71">
        <f>Summary!AA34*DCF_Calculations!AA$21</f>
        <v>0</v>
      </c>
      <c r="AB118" s="71">
        <f>Summary!AB34*DCF_Calculations!AB$21</f>
        <v>0</v>
      </c>
      <c r="AC118" s="71">
        <f>Summary!AC34*DCF_Calculations!AC$21</f>
        <v>0</v>
      </c>
      <c r="AD118" s="71">
        <f>Summary!AD34*DCF_Calculations!AD$21</f>
        <v>0</v>
      </c>
      <c r="AE118" s="71">
        <f>Summary!AE34*DCF_Calculations!AE$21</f>
        <v>0</v>
      </c>
      <c r="AF118" s="71">
        <f>Summary!AF34*DCF_Calculations!AF$21</f>
        <v>0</v>
      </c>
      <c r="AG118" s="71">
        <f>Summary!AG34*DCF_Calculations!AG$21</f>
        <v>0</v>
      </c>
      <c r="AH118" s="71">
        <f>Summary!AH34*DCF_Calculations!AH$21</f>
        <v>0</v>
      </c>
      <c r="AI118" s="71">
        <f>Summary!AI34*DCF_Calculations!AI$21</f>
        <v>0</v>
      </c>
      <c r="AJ118" s="152">
        <f>Summary!AJ34*DCF_Calculations!AJ$21</f>
        <v>0</v>
      </c>
    </row>
    <row r="119" spans="2:36" s="1" customFormat="1" x14ac:dyDescent="0.3">
      <c r="B119" s="52" t="s">
        <v>52</v>
      </c>
      <c r="C119" s="52"/>
      <c r="D119" s="12">
        <f>Summary!D35*DCF_Calculations!D$21</f>
        <v>0</v>
      </c>
      <c r="E119" s="12">
        <f>Summary!E35*DCF_Calculations!E$21</f>
        <v>0</v>
      </c>
      <c r="F119" s="12">
        <f>Summary!F35*DCF_Calculations!F$21</f>
        <v>0</v>
      </c>
      <c r="G119" s="12">
        <f>Summary!G35*DCF_Calculations!G$21</f>
        <v>0</v>
      </c>
      <c r="H119" s="12">
        <f>Summary!H35*DCF_Calculations!H$21</f>
        <v>768.28242748930961</v>
      </c>
      <c r="I119" s="12">
        <f>Summary!I35*DCF_Calculations!I$21</f>
        <v>749.90246510918269</v>
      </c>
      <c r="J119" s="12">
        <f>Summary!J35*DCF_Calculations!J$21</f>
        <v>365.98110737385946</v>
      </c>
      <c r="K119" s="12">
        <f>Summary!K35*DCF_Calculations!K$21</f>
        <v>0</v>
      </c>
      <c r="L119" s="12">
        <f>Summary!L35*DCF_Calculations!L$21</f>
        <v>0</v>
      </c>
      <c r="M119" s="12">
        <f>Summary!M35*DCF_Calculations!M$21</f>
        <v>0</v>
      </c>
      <c r="N119" s="12">
        <f>Summary!N35*DCF_Calculations!N$21</f>
        <v>0</v>
      </c>
      <c r="O119" s="12">
        <f>Summary!O35*DCF_Calculations!O$21</f>
        <v>0</v>
      </c>
      <c r="P119" s="12">
        <f>Summary!P35*DCF_Calculations!P$21</f>
        <v>0</v>
      </c>
      <c r="Q119" s="12">
        <f>Summary!Q35*DCF_Calculations!Q$21</f>
        <v>0</v>
      </c>
      <c r="R119" s="12">
        <f>Summary!R35*DCF_Calculations!R$21</f>
        <v>0</v>
      </c>
      <c r="S119" s="12">
        <f>Summary!S35*DCF_Calculations!S$21</f>
        <v>0</v>
      </c>
      <c r="T119" s="12">
        <f>Summary!T35*DCF_Calculations!T$21</f>
        <v>0</v>
      </c>
      <c r="U119" s="12">
        <f>Summary!U35*DCF_Calculations!U$21</f>
        <v>0</v>
      </c>
      <c r="V119" s="12">
        <f>Summary!V35*DCF_Calculations!V$21</f>
        <v>0</v>
      </c>
      <c r="W119" s="12">
        <f>Summary!W35*DCF_Calculations!W$21</f>
        <v>0</v>
      </c>
      <c r="X119" s="12">
        <f>Summary!X35*DCF_Calculations!X$21</f>
        <v>0</v>
      </c>
      <c r="Y119" s="12">
        <f>Summary!Y35*DCF_Calculations!Y$21</f>
        <v>0</v>
      </c>
      <c r="Z119" s="12">
        <f>Summary!Z35*DCF_Calculations!Z$21</f>
        <v>0</v>
      </c>
      <c r="AA119" s="12">
        <f>Summary!AA35*DCF_Calculations!AA$21</f>
        <v>0</v>
      </c>
      <c r="AB119" s="12">
        <f>Summary!AB35*DCF_Calculations!AB$21</f>
        <v>0</v>
      </c>
      <c r="AC119" s="12">
        <f>Summary!AC35*DCF_Calculations!AC$21</f>
        <v>0</v>
      </c>
      <c r="AD119" s="12">
        <f>Summary!AD35*DCF_Calculations!AD$21</f>
        <v>0</v>
      </c>
      <c r="AE119" s="12">
        <f>Summary!AE35*DCF_Calculations!AE$21</f>
        <v>0</v>
      </c>
      <c r="AF119" s="12">
        <f>Summary!AF35*DCF_Calculations!AF$21</f>
        <v>0</v>
      </c>
      <c r="AG119" s="12">
        <f>Summary!AG35*DCF_Calculations!AG$21</f>
        <v>0</v>
      </c>
      <c r="AH119" s="12">
        <f>Summary!AH35*DCF_Calculations!AH$21</f>
        <v>0</v>
      </c>
      <c r="AI119" s="12">
        <f>Summary!AI35*DCF_Calculations!AI$21</f>
        <v>0</v>
      </c>
      <c r="AJ119" s="47">
        <f>Summary!AJ35*DCF_Calculations!AJ$21</f>
        <v>0</v>
      </c>
    </row>
    <row r="120" spans="2:36" s="1" customFormat="1" x14ac:dyDescent="0.3">
      <c r="B120" s="52" t="s">
        <v>42</v>
      </c>
      <c r="C120" s="52"/>
      <c r="D120" s="12">
        <f>Summary!D36*DCF_Calculations!D$21</f>
        <v>0</v>
      </c>
      <c r="E120" s="12">
        <f>Summary!E36*DCF_Calculations!E$21</f>
        <v>0</v>
      </c>
      <c r="F120" s="12">
        <f>Summary!F36*DCF_Calculations!F$21</f>
        <v>0</v>
      </c>
      <c r="G120" s="12">
        <f>Summary!G36*DCF_Calculations!G$21</f>
        <v>0</v>
      </c>
      <c r="H120" s="12">
        <f>Summary!H36*DCF_Calculations!H$21</f>
        <v>0</v>
      </c>
      <c r="I120" s="12">
        <f>Summary!I36*DCF_Calculations!I$21</f>
        <v>0</v>
      </c>
      <c r="J120" s="12">
        <f>Summary!J36*DCF_Calculations!J$21</f>
        <v>45.815185018657999</v>
      </c>
      <c r="K120" s="12">
        <f>Summary!K36*DCF_Calculations!K$21</f>
        <v>44.719127960795376</v>
      </c>
      <c r="L120" s="12">
        <f>Summary!L36*DCF_Calculations!L$21</f>
        <v>43.649292363647163</v>
      </c>
      <c r="M120" s="12">
        <f>Summary!M36*DCF_Calculations!M$21</f>
        <v>42.60505091954078</v>
      </c>
      <c r="N120" s="12">
        <f>Summary!N36*DCF_Calculations!N$21</f>
        <v>41.585791328164198</v>
      </c>
      <c r="O120" s="12">
        <f>Summary!O36*DCF_Calculations!O$21</f>
        <v>40.59091593753827</v>
      </c>
      <c r="P120" s="12">
        <f>Summary!P36*DCF_Calculations!P$21</f>
        <v>39.619841393578028</v>
      </c>
      <c r="Q120" s="12">
        <f>Summary!Q36*DCF_Calculations!Q$21</f>
        <v>38.671998298037884</v>
      </c>
      <c r="R120" s="12">
        <f>Summary!R36*DCF_Calculations!R$21</f>
        <v>37.746830874639848</v>
      </c>
      <c r="S120" s="12">
        <f>Summary!S36*DCF_Calculations!S$21</f>
        <v>36.843796643189137</v>
      </c>
      <c r="T120" s="12">
        <f>Summary!T36*DCF_Calculations!T$21</f>
        <v>35.962366101486047</v>
      </c>
      <c r="U120" s="12">
        <f>Summary!U36*DCF_Calculations!U$21</f>
        <v>35.102022414847639</v>
      </c>
      <c r="V120" s="12">
        <f>Summary!V36*DCF_Calculations!V$21</f>
        <v>34.262261113057022</v>
      </c>
      <c r="W120" s="12">
        <f>Summary!W36*DCF_Calculations!W$21</f>
        <v>33.442589794562842</v>
      </c>
      <c r="X120" s="12">
        <f>Summary!X36*DCF_Calculations!X$21</f>
        <v>32.642527837755111</v>
      </c>
      <c r="Y120" s="12">
        <f>Summary!Y36*DCF_Calculations!Y$21</f>
        <v>31.86160611914854</v>
      </c>
      <c r="Z120" s="12">
        <f>Summary!Z36*DCF_Calculations!Z$21</f>
        <v>31.099366738307666</v>
      </c>
      <c r="AA120" s="12">
        <f>Summary!AA36*DCF_Calculations!AA$21</f>
        <v>30.355362749352938</v>
      </c>
      <c r="AB120" s="12">
        <f>Summary!AB36*DCF_Calculations!AB$21</f>
        <v>29.629157898889954</v>
      </c>
      <c r="AC120" s="12">
        <f>Summary!AC36*DCF_Calculations!AC$21</f>
        <v>28.920326370208382</v>
      </c>
      <c r="AD120" s="12">
        <f>Summary!AD36*DCF_Calculations!AD$21</f>
        <v>28.228452533600521</v>
      </c>
      <c r="AE120" s="12">
        <f>Summary!AE36*DCF_Calculations!AE$21</f>
        <v>27.553130702653142</v>
      </c>
      <c r="AF120" s="12">
        <f>Summary!AF36*DCF_Calculations!AF$21</f>
        <v>26.893964896369578</v>
      </c>
      <c r="AG120" s="12">
        <f>Summary!AG36*DCF_Calculations!AG$21</f>
        <v>26.250568606982746</v>
      </c>
      <c r="AH120" s="12">
        <f>Summary!AH36*DCF_Calculations!AH$21</f>
        <v>25.622564573322872</v>
      </c>
      <c r="AI120" s="12">
        <f>Summary!AI36*DCF_Calculations!AI$21</f>
        <v>0</v>
      </c>
      <c r="AJ120" s="47">
        <f>Summary!AJ36*DCF_Calculations!AJ$21</f>
        <v>0</v>
      </c>
    </row>
    <row r="121" spans="2:36" s="1" customFormat="1" x14ac:dyDescent="0.3">
      <c r="B121" s="52" t="s">
        <v>43</v>
      </c>
      <c r="C121" s="52"/>
      <c r="D121" s="12">
        <f>Summary!D37*DCF_Calculations!D$21</f>
        <v>0</v>
      </c>
      <c r="E121" s="12">
        <f>Summary!E37*DCF_Calculations!E$21</f>
        <v>0</v>
      </c>
      <c r="F121" s="12">
        <f>Summary!F37*DCF_Calculations!F$21</f>
        <v>0</v>
      </c>
      <c r="G121" s="12">
        <f>Summary!G37*DCF_Calculations!G$21</f>
        <v>0</v>
      </c>
      <c r="H121" s="12">
        <f>Summary!H37*DCF_Calculations!H$21</f>
        <v>0</v>
      </c>
      <c r="I121" s="12">
        <f>Summary!I37*DCF_Calculations!I$21</f>
        <v>0</v>
      </c>
      <c r="J121" s="12">
        <f>Summary!J37*DCF_Calculations!J$21</f>
        <v>0</v>
      </c>
      <c r="K121" s="12">
        <f>Summary!K37*DCF_Calculations!K$21</f>
        <v>0</v>
      </c>
      <c r="L121" s="12">
        <f>Summary!L37*DCF_Calculations!L$21</f>
        <v>0</v>
      </c>
      <c r="M121" s="12">
        <f>Summary!M37*DCF_Calculations!M$21</f>
        <v>0</v>
      </c>
      <c r="N121" s="12">
        <f>Summary!N37*DCF_Calculations!N$21</f>
        <v>0</v>
      </c>
      <c r="O121" s="12">
        <f>Summary!O37*DCF_Calculations!O$21</f>
        <v>0</v>
      </c>
      <c r="P121" s="12">
        <f>Summary!P37*DCF_Calculations!P$21</f>
        <v>0</v>
      </c>
      <c r="Q121" s="12">
        <f>Summary!Q37*DCF_Calculations!Q$21</f>
        <v>0</v>
      </c>
      <c r="R121" s="12">
        <f>Summary!R37*DCF_Calculations!R$21</f>
        <v>0</v>
      </c>
      <c r="S121" s="12">
        <f>Summary!S37*DCF_Calculations!S$21</f>
        <v>0</v>
      </c>
      <c r="T121" s="12">
        <f>Summary!T37*DCF_Calculations!T$21</f>
        <v>0</v>
      </c>
      <c r="U121" s="12">
        <f>Summary!U37*DCF_Calculations!U$21</f>
        <v>0</v>
      </c>
      <c r="V121" s="12">
        <f>Summary!V37*DCF_Calculations!V$21</f>
        <v>0</v>
      </c>
      <c r="W121" s="12">
        <f>Summary!W37*DCF_Calculations!W$21</f>
        <v>0</v>
      </c>
      <c r="X121" s="12">
        <f>Summary!X37*DCF_Calculations!X$21</f>
        <v>0</v>
      </c>
      <c r="Y121" s="12">
        <f>Summary!Y37*DCF_Calculations!Y$21</f>
        <v>0</v>
      </c>
      <c r="Z121" s="12">
        <f>Summary!Z37*DCF_Calculations!Z$21</f>
        <v>0</v>
      </c>
      <c r="AA121" s="12">
        <f>Summary!AA37*DCF_Calculations!AA$21</f>
        <v>0</v>
      </c>
      <c r="AB121" s="12">
        <f>Summary!AB37*DCF_Calculations!AB$21</f>
        <v>0</v>
      </c>
      <c r="AC121" s="12">
        <f>Summary!AC37*DCF_Calculations!AC$21</f>
        <v>0</v>
      </c>
      <c r="AD121" s="12">
        <f>Summary!AD37*DCF_Calculations!AD$21</f>
        <v>0</v>
      </c>
      <c r="AE121" s="12">
        <f>Summary!AE37*DCF_Calculations!AE$21</f>
        <v>0</v>
      </c>
      <c r="AF121" s="12">
        <f>Summary!AF37*DCF_Calculations!AF$21</f>
        <v>0</v>
      </c>
      <c r="AG121" s="12">
        <f>Summary!AG37*DCF_Calculations!AG$21</f>
        <v>0</v>
      </c>
      <c r="AH121" s="12">
        <f>Summary!AH37*DCF_Calculations!AH$21</f>
        <v>0</v>
      </c>
      <c r="AI121" s="12">
        <f>Summary!AI37*DCF_Calculations!AI$21</f>
        <v>45.986833028979881</v>
      </c>
      <c r="AJ121" s="47">
        <f>Summary!AJ37*DCF_Calculations!AJ$21</f>
        <v>44.886669559387059</v>
      </c>
    </row>
    <row r="122" spans="2:36" s="1" customFormat="1" x14ac:dyDescent="0.3">
      <c r="B122" s="80" t="s">
        <v>26</v>
      </c>
      <c r="C122" s="81">
        <f>SUM(D122:AJ122)</f>
        <v>2938.1902117737545</v>
      </c>
      <c r="D122" s="76">
        <f>SUM(D113,D119:D121)</f>
        <v>9.8326979776525878</v>
      </c>
      <c r="E122" s="76">
        <f t="shared" ref="E122:AJ122" si="30">SUM(E113,E119:E121)</f>
        <v>9.5974659686178381</v>
      </c>
      <c r="F122" s="76">
        <f t="shared" si="30"/>
        <v>37.47144607843137</v>
      </c>
      <c r="G122" s="76">
        <f t="shared" si="30"/>
        <v>36.575000000000003</v>
      </c>
      <c r="H122" s="76">
        <f t="shared" si="30"/>
        <v>768.28242748930961</v>
      </c>
      <c r="I122" s="76">
        <f t="shared" si="30"/>
        <v>749.90246510918269</v>
      </c>
      <c r="J122" s="76">
        <f t="shared" si="30"/>
        <v>411.79629239251744</v>
      </c>
      <c r="K122" s="76">
        <f t="shared" si="30"/>
        <v>44.719127960795376</v>
      </c>
      <c r="L122" s="76">
        <f t="shared" si="30"/>
        <v>43.649292363647163</v>
      </c>
      <c r="M122" s="76">
        <f t="shared" si="30"/>
        <v>42.60505091954078</v>
      </c>
      <c r="N122" s="76">
        <f t="shared" si="30"/>
        <v>41.585791328164198</v>
      </c>
      <c r="O122" s="76">
        <f t="shared" si="30"/>
        <v>40.59091593753827</v>
      </c>
      <c r="P122" s="76">
        <f t="shared" si="30"/>
        <v>39.619841393578028</v>
      </c>
      <c r="Q122" s="76">
        <f t="shared" si="30"/>
        <v>38.671998298037884</v>
      </c>
      <c r="R122" s="76">
        <f t="shared" si="30"/>
        <v>37.746830874639848</v>
      </c>
      <c r="S122" s="76">
        <f t="shared" si="30"/>
        <v>36.843796643189137</v>
      </c>
      <c r="T122" s="76">
        <f t="shared" si="30"/>
        <v>35.962366101486047</v>
      </c>
      <c r="U122" s="76">
        <f t="shared" si="30"/>
        <v>35.102022414847639</v>
      </c>
      <c r="V122" s="76">
        <f t="shared" si="30"/>
        <v>34.262261113057022</v>
      </c>
      <c r="W122" s="76">
        <f t="shared" si="30"/>
        <v>33.442589794562842</v>
      </c>
      <c r="X122" s="76">
        <f t="shared" si="30"/>
        <v>32.642527837755111</v>
      </c>
      <c r="Y122" s="76">
        <f t="shared" si="30"/>
        <v>31.86160611914854</v>
      </c>
      <c r="Z122" s="76">
        <f t="shared" si="30"/>
        <v>31.099366738307666</v>
      </c>
      <c r="AA122" s="76">
        <f t="shared" si="30"/>
        <v>30.355362749352938</v>
      </c>
      <c r="AB122" s="76">
        <f t="shared" si="30"/>
        <v>29.629157898889954</v>
      </c>
      <c r="AC122" s="76">
        <f t="shared" si="30"/>
        <v>28.920326370208382</v>
      </c>
      <c r="AD122" s="76">
        <f t="shared" si="30"/>
        <v>28.228452533600521</v>
      </c>
      <c r="AE122" s="76">
        <f t="shared" si="30"/>
        <v>27.553130702653142</v>
      </c>
      <c r="AF122" s="76">
        <f t="shared" si="30"/>
        <v>26.893964896369578</v>
      </c>
      <c r="AG122" s="76">
        <f t="shared" si="30"/>
        <v>26.250568606982746</v>
      </c>
      <c r="AH122" s="76">
        <f t="shared" si="30"/>
        <v>25.622564573322872</v>
      </c>
      <c r="AI122" s="76">
        <f t="shared" si="30"/>
        <v>45.986833028979881</v>
      </c>
      <c r="AJ122" s="77">
        <f t="shared" si="30"/>
        <v>44.886669559387059</v>
      </c>
    </row>
    <row r="123" spans="2:36" ht="7.2" customHeight="1" x14ac:dyDescent="0.3"/>
    <row r="124" spans="2:36" x14ac:dyDescent="0.3">
      <c r="B124" s="44" t="s">
        <v>181</v>
      </c>
      <c r="C124" s="82"/>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6"/>
    </row>
    <row r="125" spans="2:36" x14ac:dyDescent="0.3">
      <c r="B125" s="182" t="s">
        <v>182</v>
      </c>
      <c r="C125" s="183">
        <f>SUM(D125:AJ125)</f>
        <v>54947.937893974973</v>
      </c>
      <c r="D125" s="12">
        <f t="shared" ref="D125:AJ125" si="31">D26*D20</f>
        <v>0</v>
      </c>
      <c r="E125" s="12">
        <f t="shared" si="31"/>
        <v>0</v>
      </c>
      <c r="F125" s="12">
        <f t="shared" si="31"/>
        <v>0</v>
      </c>
      <c r="G125" s="12">
        <f t="shared" si="31"/>
        <v>0</v>
      </c>
      <c r="H125" s="12">
        <f t="shared" si="31"/>
        <v>0</v>
      </c>
      <c r="I125" s="12">
        <f t="shared" si="31"/>
        <v>0</v>
      </c>
      <c r="J125" s="12">
        <f t="shared" si="31"/>
        <v>3106.5374289543374</v>
      </c>
      <c r="K125" s="12">
        <f t="shared" si="31"/>
        <v>3012.0419938530645</v>
      </c>
      <c r="L125" s="12">
        <f t="shared" si="31"/>
        <v>2920.4209446103855</v>
      </c>
      <c r="M125" s="12">
        <f t="shared" si="31"/>
        <v>2831.5868474359249</v>
      </c>
      <c r="N125" s="12">
        <f t="shared" si="31"/>
        <v>2745.4549281222839</v>
      </c>
      <c r="O125" s="12">
        <f t="shared" si="31"/>
        <v>2661.9429911451803</v>
      </c>
      <c r="P125" s="12">
        <f t="shared" si="31"/>
        <v>2580.9713412244146</v>
      </c>
      <c r="Q125" s="12">
        <f t="shared" si="31"/>
        <v>2502.4627072708199</v>
      </c>
      <c r="R125" s="12">
        <f t="shared" si="31"/>
        <v>2426.3421686466122</v>
      </c>
      <c r="S125" s="12">
        <f t="shared" si="31"/>
        <v>2352.5370836687684</v>
      </c>
      <c r="T125" s="12">
        <f t="shared" si="31"/>
        <v>2280.9770202872087</v>
      </c>
      <c r="U125" s="12">
        <f t="shared" si="31"/>
        <v>2211.5936888716283</v>
      </c>
      <c r="V125" s="12">
        <f t="shared" si="31"/>
        <v>2144.3208770428328</v>
      </c>
      <c r="W125" s="12">
        <f t="shared" si="31"/>
        <v>2079.0943864863966</v>
      </c>
      <c r="X125" s="12">
        <f t="shared" si="31"/>
        <v>2015.8519716883318</v>
      </c>
      <c r="Y125" s="12">
        <f t="shared" si="31"/>
        <v>1954.5332805343137</v>
      </c>
      <c r="Z125" s="12">
        <f t="shared" si="31"/>
        <v>1895.0797967157789</v>
      </c>
      <c r="AA125" s="12">
        <f t="shared" si="31"/>
        <v>1837.4347838879225</v>
      </c>
      <c r="AB125" s="12">
        <f t="shared" si="31"/>
        <v>1781.5432315263129</v>
      </c>
      <c r="AC125" s="12">
        <f t="shared" si="31"/>
        <v>1727.3518024304556</v>
      </c>
      <c r="AD125" s="12">
        <f t="shared" si="31"/>
        <v>1674.8087818242052</v>
      </c>
      <c r="AE125" s="12">
        <f t="shared" si="31"/>
        <v>1623.8640280044576</v>
      </c>
      <c r="AF125" s="12">
        <f t="shared" si="31"/>
        <v>1574.4689244910139</v>
      </c>
      <c r="AG125" s="12">
        <f t="shared" si="31"/>
        <v>1526.5763336319719</v>
      </c>
      <c r="AH125" s="12">
        <f t="shared" si="31"/>
        <v>1480.1405516203524</v>
      </c>
      <c r="AI125" s="12">
        <f t="shared" si="31"/>
        <v>0</v>
      </c>
      <c r="AJ125" s="47">
        <f t="shared" si="31"/>
        <v>0</v>
      </c>
    </row>
    <row r="126" spans="2:36" x14ac:dyDescent="0.3">
      <c r="B126" s="20" t="s">
        <v>183</v>
      </c>
      <c r="C126" s="177">
        <f>SUM(D126:AJ126)</f>
        <v>59761.650119179394</v>
      </c>
      <c r="D126" s="48">
        <f t="shared" ref="D126:AJ126" si="32">D26*D21</f>
        <v>0</v>
      </c>
      <c r="E126" s="48">
        <f t="shared" si="32"/>
        <v>0</v>
      </c>
      <c r="F126" s="48">
        <f t="shared" si="32"/>
        <v>0</v>
      </c>
      <c r="G126" s="48">
        <f t="shared" si="32"/>
        <v>0</v>
      </c>
      <c r="H126" s="48">
        <f t="shared" si="32"/>
        <v>0</v>
      </c>
      <c r="I126" s="48">
        <f t="shared" si="32"/>
        <v>0</v>
      </c>
      <c r="J126" s="48">
        <f t="shared" si="32"/>
        <v>3148.2955049321049</v>
      </c>
      <c r="K126" s="48">
        <f t="shared" si="32"/>
        <v>3072.9774306514332</v>
      </c>
      <c r="L126" s="48">
        <f t="shared" si="32"/>
        <v>2999.4612241765185</v>
      </c>
      <c r="M126" s="48">
        <f t="shared" si="32"/>
        <v>2927.7037786220567</v>
      </c>
      <c r="N126" s="48">
        <f t="shared" si="32"/>
        <v>2857.6630183679404</v>
      </c>
      <c r="O126" s="48">
        <f t="shared" si="32"/>
        <v>2789.2978743878466</v>
      </c>
      <c r="P126" s="48">
        <f t="shared" si="32"/>
        <v>2722.5682601680419</v>
      </c>
      <c r="Q126" s="48">
        <f t="shared" si="32"/>
        <v>2657.4350482022992</v>
      </c>
      <c r="R126" s="48">
        <f t="shared" si="32"/>
        <v>2593.8600470491342</v>
      </c>
      <c r="S126" s="48">
        <f t="shared" si="32"/>
        <v>2531.8059789379108</v>
      </c>
      <c r="T126" s="48">
        <f t="shared" si="32"/>
        <v>2471.2364579106884</v>
      </c>
      <c r="U126" s="48">
        <f t="shared" si="32"/>
        <v>2412.1159684869885</v>
      </c>
      <c r="V126" s="48">
        <f t="shared" si="32"/>
        <v>2354.4098448389741</v>
      </c>
      <c r="W126" s="48">
        <f t="shared" si="32"/>
        <v>2298.0842504648367</v>
      </c>
      <c r="X126" s="48">
        <f t="shared" si="32"/>
        <v>2243.1061583484525</v>
      </c>
      <c r="Y126" s="48">
        <f t="shared" si="32"/>
        <v>2189.4433315937054</v>
      </c>
      <c r="Z126" s="48">
        <f t="shared" si="32"/>
        <v>2137.0643045220859</v>
      </c>
      <c r="AA126" s="48">
        <f t="shared" si="32"/>
        <v>2085.9383642225143</v>
      </c>
      <c r="AB126" s="48">
        <f t="shared" si="32"/>
        <v>2036.0355325425503</v>
      </c>
      <c r="AC126" s="48">
        <f t="shared" si="32"/>
        <v>1987.3265485104323</v>
      </c>
      <c r="AD126" s="48">
        <f t="shared" si="32"/>
        <v>1939.7828511776463</v>
      </c>
      <c r="AE126" s="48">
        <f t="shared" si="32"/>
        <v>1893.3765628719614</v>
      </c>
      <c r="AF126" s="48">
        <f t="shared" si="32"/>
        <v>1848.0804728511011</v>
      </c>
      <c r="AG126" s="48">
        <f t="shared" si="32"/>
        <v>1803.8680213474863</v>
      </c>
      <c r="AH126" s="48">
        <f t="shared" si="32"/>
        <v>1760.7132839946757</v>
      </c>
      <c r="AI126" s="48">
        <f t="shared" si="32"/>
        <v>0</v>
      </c>
      <c r="AJ126" s="49">
        <f t="shared" si="32"/>
        <v>0</v>
      </c>
    </row>
    <row r="128" spans="2:36" x14ac:dyDescent="0.3">
      <c r="B128" s="54" t="s">
        <v>184</v>
      </c>
      <c r="C128" s="78">
        <f>SUM(D128:AJ128)</f>
        <v>197.40787908633035</v>
      </c>
      <c r="D128" s="43">
        <f t="shared" ref="D128:AJ128" si="33">D63*D21</f>
        <v>0</v>
      </c>
      <c r="E128" s="43">
        <f t="shared" si="33"/>
        <v>0</v>
      </c>
      <c r="F128" s="43">
        <f t="shared" si="33"/>
        <v>0</v>
      </c>
      <c r="G128" s="43">
        <f t="shared" si="33"/>
        <v>0</v>
      </c>
      <c r="H128" s="43">
        <f t="shared" si="33"/>
        <v>0</v>
      </c>
      <c r="I128" s="43">
        <f t="shared" si="33"/>
        <v>0</v>
      </c>
      <c r="J128" s="43">
        <f t="shared" si="33"/>
        <v>11.308524829720044</v>
      </c>
      <c r="K128" s="43">
        <f t="shared" si="33"/>
        <v>11.037985958195643</v>
      </c>
      <c r="L128" s="43">
        <f t="shared" si="33"/>
        <v>10.773919308478042</v>
      </c>
      <c r="M128" s="43">
        <f t="shared" si="33"/>
        <v>10.516170042724982</v>
      </c>
      <c r="N128" s="43">
        <f t="shared" si="33"/>
        <v>10.264587027348785</v>
      </c>
      <c r="O128" s="43">
        <f t="shared" si="33"/>
        <v>10.019022744397859</v>
      </c>
      <c r="P128" s="43">
        <f t="shared" si="33"/>
        <v>9.7793332050581974</v>
      </c>
      <c r="Q128" s="43">
        <f t="shared" si="33"/>
        <v>9.5453778652242693</v>
      </c>
      <c r="R128" s="43">
        <f t="shared" si="33"/>
        <v>9.3170195430897191</v>
      </c>
      <c r="S128" s="43">
        <f t="shared" si="33"/>
        <v>9.094124338709582</v>
      </c>
      <c r="T128" s="43">
        <f t="shared" si="33"/>
        <v>8.876561555486866</v>
      </c>
      <c r="U128" s="43">
        <f t="shared" si="33"/>
        <v>8.6642036235374214</v>
      </c>
      <c r="V128" s="43">
        <f t="shared" si="33"/>
        <v>8.4569260248881992</v>
      </c>
      <c r="W128" s="43">
        <f t="shared" si="33"/>
        <v>8.2546072204650383</v>
      </c>
      <c r="X128" s="43">
        <f t="shared" si="33"/>
        <v>6.7953813647561123</v>
      </c>
      <c r="Y128" s="43">
        <f t="shared" si="33"/>
        <v>6.0854515996864906</v>
      </c>
      <c r="Z128" s="43">
        <f t="shared" si="33"/>
        <v>5.9398666331868135</v>
      </c>
      <c r="AA128" s="43">
        <f t="shared" si="33"/>
        <v>5.7977645606225359</v>
      </c>
      <c r="AB128" s="43">
        <f t="shared" si="33"/>
        <v>5.6590620591722374</v>
      </c>
      <c r="AC128" s="43">
        <f t="shared" si="33"/>
        <v>5.523677799383429</v>
      </c>
      <c r="AD128" s="43">
        <f t="shared" si="33"/>
        <v>5.3915323974843021</v>
      </c>
      <c r="AE128" s="43">
        <f t="shared" si="33"/>
        <v>5.2625483688363532</v>
      </c>
      <c r="AF128" s="43">
        <f t="shared" si="33"/>
        <v>5.1366500825005561</v>
      </c>
      <c r="AG128" s="43">
        <f t="shared" si="33"/>
        <v>5.0137637168904945</v>
      </c>
      <c r="AH128" s="43">
        <f t="shared" si="33"/>
        <v>4.8938172164864167</v>
      </c>
      <c r="AI128" s="43">
        <f t="shared" si="33"/>
        <v>0</v>
      </c>
      <c r="AJ128" s="125">
        <f t="shared" si="33"/>
        <v>0</v>
      </c>
    </row>
    <row r="130" spans="2:36" x14ac:dyDescent="0.3">
      <c r="B130" s="14" t="s">
        <v>209</v>
      </c>
    </row>
    <row r="131" spans="2:36" x14ac:dyDescent="0.3">
      <c r="B131" t="s">
        <v>210</v>
      </c>
      <c r="C131" s="4">
        <f>SUM(D131:AJ131)</f>
        <v>2865.945670995201</v>
      </c>
      <c r="D131" s="4">
        <f>D32*D20</f>
        <v>0</v>
      </c>
      <c r="E131" s="4">
        <f t="shared" ref="E131:AJ131" si="34">E32*E20</f>
        <v>0</v>
      </c>
      <c r="F131" s="4">
        <f t="shared" si="34"/>
        <v>0</v>
      </c>
      <c r="G131" s="4">
        <f t="shared" si="34"/>
        <v>0</v>
      </c>
      <c r="H131" s="4">
        <f t="shared" si="34"/>
        <v>0</v>
      </c>
      <c r="I131" s="4">
        <f t="shared" si="34"/>
        <v>0</v>
      </c>
      <c r="J131" s="4">
        <f t="shared" si="34"/>
        <v>165.42311809181845</v>
      </c>
      <c r="K131" s="4">
        <f t="shared" si="34"/>
        <v>160.39123617267566</v>
      </c>
      <c r="L131" s="4">
        <f t="shared" si="34"/>
        <v>155.51241530050302</v>
      </c>
      <c r="M131" s="4">
        <f t="shared" si="34"/>
        <v>150.78199962596298</v>
      </c>
      <c r="N131" s="4">
        <f t="shared" si="34"/>
        <v>146.19547492251161</v>
      </c>
      <c r="O131" s="4">
        <f t="shared" si="34"/>
        <v>141.74846427848084</v>
      </c>
      <c r="P131" s="4">
        <f t="shared" si="34"/>
        <v>137.43672392020005</v>
      </c>
      <c r="Q131" s="4">
        <f t="shared" si="34"/>
        <v>133.25613916217114</v>
      </c>
      <c r="R131" s="4">
        <f t="shared" si="34"/>
        <v>129.20272048043208</v>
      </c>
      <c r="S131" s="4">
        <f t="shared" si="34"/>
        <v>125.27259970536191</v>
      </c>
      <c r="T131" s="4">
        <f t="shared" si="34"/>
        <v>121.46202633029384</v>
      </c>
      <c r="U131" s="4">
        <f t="shared" si="34"/>
        <v>117.7673639324142</v>
      </c>
      <c r="V131" s="4">
        <f t="shared" si="34"/>
        <v>114.18508670253082</v>
      </c>
      <c r="W131" s="4">
        <f t="shared" si="34"/>
        <v>110.71177608040063</v>
      </c>
      <c r="X131" s="4">
        <f t="shared" si="34"/>
        <v>102.8084505561049</v>
      </c>
      <c r="Y131" s="4">
        <f t="shared" si="34"/>
        <v>97.726664026715682</v>
      </c>
      <c r="Z131" s="4">
        <f t="shared" si="34"/>
        <v>94.753989835788943</v>
      </c>
      <c r="AA131" s="4">
        <f t="shared" si="34"/>
        <v>91.871739194396127</v>
      </c>
      <c r="AB131" s="4">
        <f t="shared" si="34"/>
        <v>89.077161576315632</v>
      </c>
      <c r="AC131" s="4">
        <f t="shared" si="34"/>
        <v>86.367590121522767</v>
      </c>
      <c r="AD131" s="4">
        <f t="shared" si="34"/>
        <v>83.740439091210263</v>
      </c>
      <c r="AE131" s="4">
        <f t="shared" si="34"/>
        <v>81.193201400222875</v>
      </c>
      <c r="AF131" s="4">
        <f t="shared" si="34"/>
        <v>78.723446224550685</v>
      </c>
      <c r="AG131" s="4">
        <f t="shared" si="34"/>
        <v>76.328816681598582</v>
      </c>
      <c r="AH131" s="4">
        <f t="shared" si="34"/>
        <v>74.00702758101761</v>
      </c>
      <c r="AI131" s="4">
        <f t="shared" si="34"/>
        <v>0</v>
      </c>
      <c r="AJ131" s="4">
        <f t="shared" si="34"/>
        <v>0</v>
      </c>
    </row>
    <row r="132" spans="2:36" x14ac:dyDescent="0.3">
      <c r="B132" s="187" t="s">
        <v>211</v>
      </c>
      <c r="C132" s="4">
        <f>SUM(D132:AJ132)</f>
        <v>3113.2955848507058</v>
      </c>
      <c r="D132" s="4">
        <f>D32*D21</f>
        <v>0</v>
      </c>
      <c r="E132" s="4">
        <f t="shared" ref="E132:AJ132" si="35">E32*E21</f>
        <v>0</v>
      </c>
      <c r="F132" s="4">
        <f t="shared" si="35"/>
        <v>0</v>
      </c>
      <c r="G132" s="4">
        <f t="shared" si="35"/>
        <v>0</v>
      </c>
      <c r="H132" s="4">
        <f t="shared" si="35"/>
        <v>0</v>
      </c>
      <c r="I132" s="4">
        <f t="shared" si="35"/>
        <v>0</v>
      </c>
      <c r="J132" s="4">
        <f t="shared" si="35"/>
        <v>167.64673563763458</v>
      </c>
      <c r="K132" s="4">
        <f t="shared" si="35"/>
        <v>163.6360481821888</v>
      </c>
      <c r="L132" s="4">
        <f t="shared" si="35"/>
        <v>159.72131018739958</v>
      </c>
      <c r="M132" s="4">
        <f t="shared" si="35"/>
        <v>155.9002262116245</v>
      </c>
      <c r="N132" s="4">
        <f t="shared" si="35"/>
        <v>152.17055572809281</v>
      </c>
      <c r="O132" s="4">
        <f t="shared" si="35"/>
        <v>148.53011181115284</v>
      </c>
      <c r="P132" s="4">
        <f t="shared" si="35"/>
        <v>144.97675985394821</v>
      </c>
      <c r="Q132" s="4">
        <f t="shared" si="35"/>
        <v>141.50841631677241</v>
      </c>
      <c r="R132" s="4">
        <f t="shared" si="35"/>
        <v>138.1230475053664</v>
      </c>
      <c r="S132" s="4">
        <f t="shared" si="35"/>
        <v>134.81866837844376</v>
      </c>
      <c r="T132" s="4">
        <f t="shared" si="35"/>
        <v>131.59334138374416</v>
      </c>
      <c r="U132" s="4">
        <f t="shared" si="35"/>
        <v>128.44517532193211</v>
      </c>
      <c r="V132" s="4">
        <f t="shared" si="35"/>
        <v>125.37232423767536</v>
      </c>
      <c r="W132" s="4">
        <f t="shared" si="35"/>
        <v>122.37298633725254</v>
      </c>
      <c r="X132" s="4">
        <f t="shared" si="35"/>
        <v>114.39841407577107</v>
      </c>
      <c r="Y132" s="4">
        <f t="shared" si="35"/>
        <v>109.47216657968526</v>
      </c>
      <c r="Z132" s="4">
        <f t="shared" si="35"/>
        <v>106.85321522610428</v>
      </c>
      <c r="AA132" s="4">
        <f t="shared" si="35"/>
        <v>104.29691821112571</v>
      </c>
      <c r="AB132" s="4">
        <f t="shared" si="35"/>
        <v>101.80177662712751</v>
      </c>
      <c r="AC132" s="4">
        <f t="shared" si="35"/>
        <v>99.366327425521604</v>
      </c>
      <c r="AD132" s="4">
        <f t="shared" si="35"/>
        <v>96.989142558882307</v>
      </c>
      <c r="AE132" s="4">
        <f t="shared" si="35"/>
        <v>94.668828143598063</v>
      </c>
      <c r="AF132" s="4">
        <f t="shared" si="35"/>
        <v>92.40402364255506</v>
      </c>
      <c r="AG132" s="4">
        <f t="shared" si="35"/>
        <v>90.19340106737431</v>
      </c>
      <c r="AH132" s="4">
        <f t="shared" si="35"/>
        <v>88.035664199733787</v>
      </c>
      <c r="AI132" s="4">
        <f t="shared" si="35"/>
        <v>0</v>
      </c>
      <c r="AJ132" s="4">
        <f t="shared" si="35"/>
        <v>0</v>
      </c>
    </row>
  </sheetData>
  <mergeCells count="15">
    <mergeCell ref="B12:C12"/>
    <mergeCell ref="B98:E98"/>
    <mergeCell ref="B4:C4"/>
    <mergeCell ref="B5:C5"/>
    <mergeCell ref="B7:C7"/>
    <mergeCell ref="B10:C10"/>
    <mergeCell ref="B11:C11"/>
    <mergeCell ref="B21:C21"/>
    <mergeCell ref="B23:E23"/>
    <mergeCell ref="B13:C13"/>
    <mergeCell ref="B14:C14"/>
    <mergeCell ref="B15:C15"/>
    <mergeCell ref="B18:C18"/>
    <mergeCell ref="B19:C19"/>
    <mergeCell ref="B20:C20"/>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FD20D-FE86-48CA-AF35-DE4620AD0122}">
  <dimension ref="B1:X32"/>
  <sheetViews>
    <sheetView workbookViewId="0">
      <selection activeCell="B1" sqref="B1"/>
    </sheetView>
  </sheetViews>
  <sheetFormatPr defaultRowHeight="14.4" x14ac:dyDescent="0.3"/>
  <cols>
    <col min="1" max="1" width="2.109375" customWidth="1"/>
    <col min="2" max="2" width="22.44140625" bestFit="1" customWidth="1"/>
    <col min="3" max="3" width="10.33203125" bestFit="1" customWidth="1"/>
    <col min="4" max="4" width="11.33203125" bestFit="1" customWidth="1"/>
    <col min="5" max="5" width="13.33203125" bestFit="1" customWidth="1"/>
    <col min="10" max="10" width="19.33203125" bestFit="1" customWidth="1"/>
    <col min="11" max="11" width="10.33203125" bestFit="1" customWidth="1"/>
    <col min="12" max="12" width="10.6640625" bestFit="1" customWidth="1"/>
    <col min="13" max="13" width="12.6640625" bestFit="1" customWidth="1"/>
  </cols>
  <sheetData>
    <row r="1" spans="2:24" ht="15" thickBot="1" x14ac:dyDescent="0.35"/>
    <row r="2" spans="2:24" ht="16.2" thickBot="1" x14ac:dyDescent="0.35">
      <c r="B2" s="295" t="s">
        <v>156</v>
      </c>
      <c r="C2" s="296"/>
      <c r="D2" s="296"/>
      <c r="E2" s="296"/>
      <c r="F2" s="296"/>
      <c r="G2" s="296"/>
      <c r="H2" s="296"/>
      <c r="I2" s="296"/>
      <c r="J2" s="296"/>
      <c r="K2" s="296"/>
      <c r="L2" s="297"/>
    </row>
    <row r="4" spans="2:24" x14ac:dyDescent="0.3">
      <c r="B4" s="1" t="s">
        <v>197</v>
      </c>
    </row>
    <row r="5" spans="2:24" x14ac:dyDescent="0.3">
      <c r="B5" t="s">
        <v>193</v>
      </c>
      <c r="C5" s="4">
        <f>Summary!C40</f>
        <v>2009.956068723274</v>
      </c>
      <c r="D5" t="s">
        <v>0</v>
      </c>
    </row>
    <row r="6" spans="2:24" x14ac:dyDescent="0.3">
      <c r="B6" t="s">
        <v>194</v>
      </c>
      <c r="C6" s="4">
        <f>Summary!C42</f>
        <v>2.6799414249643654</v>
      </c>
      <c r="D6" t="s">
        <v>195</v>
      </c>
    </row>
    <row r="7" spans="2:24" x14ac:dyDescent="0.3">
      <c r="B7" t="s">
        <v>185</v>
      </c>
      <c r="C7" s="4">
        <f>DCF_Calculations!C90</f>
        <v>21.680134506437156</v>
      </c>
      <c r="D7" t="s">
        <v>0</v>
      </c>
    </row>
    <row r="8" spans="2:24" x14ac:dyDescent="0.3">
      <c r="B8" t="s">
        <v>188</v>
      </c>
      <c r="C8" s="4">
        <f>DCF_Calculations!C89</f>
        <v>-22.302506009377318</v>
      </c>
      <c r="D8" t="s">
        <v>0</v>
      </c>
    </row>
    <row r="9" spans="2:24" x14ac:dyDescent="0.3">
      <c r="B9" s="1" t="s">
        <v>186</v>
      </c>
      <c r="C9" s="247">
        <f>DCF_Calculations!C95</f>
        <v>3.2408387904218072E-2</v>
      </c>
      <c r="D9" s="1" t="s">
        <v>196</v>
      </c>
    </row>
    <row r="10" spans="2:24" x14ac:dyDescent="0.3">
      <c r="B10" s="1" t="s">
        <v>187</v>
      </c>
      <c r="C10" s="247">
        <f>DCF_Calculations!C94</f>
        <v>2.3473748548857865E-2</v>
      </c>
      <c r="D10" s="1" t="s">
        <v>196</v>
      </c>
    </row>
    <row r="13" spans="2:24" x14ac:dyDescent="0.3">
      <c r="B13" s="298" t="s">
        <v>297</v>
      </c>
      <c r="C13" s="299"/>
      <c r="D13" s="299"/>
      <c r="E13" s="300"/>
      <c r="J13" s="298" t="s">
        <v>298</v>
      </c>
      <c r="K13" s="299"/>
      <c r="L13" s="299"/>
      <c r="M13" s="300"/>
    </row>
    <row r="14" spans="2:24" x14ac:dyDescent="0.3">
      <c r="B14" s="53"/>
      <c r="C14" s="54" t="s">
        <v>116</v>
      </c>
      <c r="D14" s="18" t="s">
        <v>114</v>
      </c>
      <c r="E14" s="69" t="s">
        <v>115</v>
      </c>
      <c r="J14" s="53"/>
      <c r="K14" s="54" t="s">
        <v>116</v>
      </c>
      <c r="L14" s="18" t="s">
        <v>122</v>
      </c>
      <c r="M14" s="69" t="s">
        <v>123</v>
      </c>
    </row>
    <row r="15" spans="2:24" x14ac:dyDescent="0.3">
      <c r="B15" s="188" t="s">
        <v>40</v>
      </c>
      <c r="C15" s="165">
        <f>D15/E15</f>
        <v>1.7231871892725485</v>
      </c>
      <c r="D15" s="12">
        <f>SUM(DCF_Calculations!D101:AJ101)</f>
        <v>94.685582655841301</v>
      </c>
      <c r="E15" s="47">
        <f>DCF_Calculations!$C$125/1000</f>
        <v>54.947937893974974</v>
      </c>
      <c r="J15" s="188" t="s">
        <v>40</v>
      </c>
      <c r="K15" s="165">
        <f>L15/M15</f>
        <v>1.5641571114299304</v>
      </c>
      <c r="L15" s="12">
        <f>SUM(DCF_Calculations!D113:AJ113)</f>
        <v>93.476610024701799</v>
      </c>
      <c r="M15" s="47">
        <f>DCF_Calculations!$C$126/1000</f>
        <v>59.761650119179393</v>
      </c>
    </row>
    <row r="16" spans="2:24" x14ac:dyDescent="0.3">
      <c r="B16" s="70" t="s">
        <v>119</v>
      </c>
      <c r="C16" s="190">
        <f t="shared" ref="C16:C23" si="0">D16/E16</f>
        <v>18.199045102102907</v>
      </c>
      <c r="D16" s="71">
        <f>SUM(DCF_Calculations!D102:AJ102)</f>
        <v>1000</v>
      </c>
      <c r="E16" s="47">
        <f>DCF_Calculations!$C$125/1000</f>
        <v>54.947937893974974</v>
      </c>
      <c r="J16" s="70" t="s">
        <v>119</v>
      </c>
      <c r="K16" s="190">
        <f t="shared" ref="K16:K24" si="1">L16/M16</f>
        <v>16.733139028218844</v>
      </c>
      <c r="L16" s="71">
        <f>SUM(DCF_Calculations!D114:AJ114)</f>
        <v>1000</v>
      </c>
      <c r="M16" s="47">
        <f>DCF_Calculations!$C$126/1000</f>
        <v>59.761650119179393</v>
      </c>
      <c r="Q16" s="293" t="s">
        <v>283</v>
      </c>
      <c r="R16" s="294"/>
      <c r="S16" s="294"/>
      <c r="T16" s="294"/>
      <c r="U16" s="294"/>
      <c r="V16" s="294"/>
      <c r="W16" s="294"/>
      <c r="X16" s="294"/>
    </row>
    <row r="17" spans="2:24" x14ac:dyDescent="0.3">
      <c r="B17" s="70" t="s">
        <v>120</v>
      </c>
      <c r="C17" s="190">
        <f t="shared" si="0"/>
        <v>3.8945956518500222</v>
      </c>
      <c r="D17" s="71">
        <f>SUM(DCF_Calculations!D103:AJ103)</f>
        <v>214</v>
      </c>
      <c r="E17" s="47">
        <f>DCF_Calculations!$C$125/1000</f>
        <v>54.947937893974974</v>
      </c>
      <c r="J17" s="70" t="s">
        <v>120</v>
      </c>
      <c r="K17" s="190">
        <f t="shared" si="1"/>
        <v>3.5808917520388324</v>
      </c>
      <c r="L17" s="71">
        <f>SUM(DCF_Calculations!D115:AJ115)</f>
        <v>214</v>
      </c>
      <c r="M17" s="47">
        <f>DCF_Calculations!$C$126/1000</f>
        <v>59.761650119179393</v>
      </c>
      <c r="Q17" s="294"/>
      <c r="R17" s="294"/>
      <c r="S17" s="294"/>
      <c r="T17" s="294"/>
      <c r="U17" s="294"/>
      <c r="V17" s="294"/>
      <c r="W17" s="294"/>
      <c r="X17" s="294"/>
    </row>
    <row r="18" spans="2:24" x14ac:dyDescent="0.3">
      <c r="B18" s="70" t="s">
        <v>100</v>
      </c>
      <c r="C18" s="190">
        <f t="shared" si="0"/>
        <v>4.9514676606241252</v>
      </c>
      <c r="D18" s="71">
        <f>SUM(DCF_Calculations!D104:AJ104)</f>
        <v>272.07293749999997</v>
      </c>
      <c r="E18" s="47">
        <f>DCF_Calculations!$C$125/1000</f>
        <v>54.947937893974974</v>
      </c>
      <c r="J18" s="70" t="s">
        <v>100</v>
      </c>
      <c r="K18" s="190">
        <f t="shared" si="1"/>
        <v>4.5526342890033957</v>
      </c>
      <c r="L18" s="71">
        <f>SUM(DCF_Calculations!D116:AJ116)</f>
        <v>272.07293749999997</v>
      </c>
      <c r="M18" s="47">
        <f>DCF_Calculations!$C$126/1000</f>
        <v>59.761650119179393</v>
      </c>
      <c r="Q18" s="294"/>
      <c r="R18" s="294"/>
      <c r="S18" s="294"/>
      <c r="T18" s="294"/>
      <c r="U18" s="294"/>
      <c r="V18" s="294"/>
      <c r="W18" s="294"/>
      <c r="X18" s="294"/>
    </row>
    <row r="19" spans="2:24" x14ac:dyDescent="0.3">
      <c r="B19" s="70" t="s">
        <v>121</v>
      </c>
      <c r="C19" s="190">
        <f t="shared" si="0"/>
        <v>4.1969139769691433</v>
      </c>
      <c r="D19" s="71">
        <f>SUM(DCF_Calculations!D105:AJ105)</f>
        <v>230.61176855285601</v>
      </c>
      <c r="E19" s="47">
        <f>DCF_Calculations!$C$125/1000</f>
        <v>54.947937893974974</v>
      </c>
      <c r="J19" s="70" t="s">
        <v>121</v>
      </c>
      <c r="K19" s="190">
        <f t="shared" si="1"/>
        <v>3.858858784738366</v>
      </c>
      <c r="L19" s="71">
        <f>SUM(DCF_Calculations!D117:AJ117)</f>
        <v>230.61176855285601</v>
      </c>
      <c r="M19" s="47">
        <f>DCF_Calculations!$C$126/1000</f>
        <v>59.761650119179393</v>
      </c>
      <c r="Q19" s="294"/>
      <c r="R19" s="294"/>
      <c r="S19" s="294"/>
      <c r="T19" s="294"/>
      <c r="U19" s="294"/>
      <c r="V19" s="294"/>
      <c r="W19" s="294"/>
      <c r="X19" s="294"/>
    </row>
    <row r="20" spans="2:24" x14ac:dyDescent="0.3">
      <c r="B20" s="70" t="s">
        <v>101</v>
      </c>
      <c r="C20" s="190">
        <f t="shared" si="0"/>
        <v>3.7129939810314276</v>
      </c>
      <c r="D20" s="71">
        <f>SUM(DCF_Calculations!D106:AJ106)</f>
        <v>204.02136267041777</v>
      </c>
      <c r="E20" s="47">
        <f>DCF_Calculations!$C$125/1000</f>
        <v>54.947937893974974</v>
      </c>
      <c r="J20" s="70" t="s">
        <v>101</v>
      </c>
      <c r="K20" s="190">
        <f t="shared" si="1"/>
        <v>3.4139178262907586</v>
      </c>
      <c r="L20" s="71">
        <f>SUM(DCF_Calculations!D118:AJ118)</f>
        <v>204.02136267041777</v>
      </c>
      <c r="M20" s="47">
        <f>DCF_Calculations!$C$126/1000</f>
        <v>59.761650119179393</v>
      </c>
      <c r="Q20" s="294"/>
      <c r="R20" s="294"/>
      <c r="S20" s="294"/>
      <c r="T20" s="294"/>
      <c r="U20" s="294"/>
      <c r="V20" s="294"/>
      <c r="W20" s="294"/>
      <c r="X20" s="294"/>
    </row>
    <row r="21" spans="2:24" x14ac:dyDescent="0.3">
      <c r="B21" s="188" t="s">
        <v>117</v>
      </c>
      <c r="C21" s="165">
        <f t="shared" si="0"/>
        <v>34.110868570111869</v>
      </c>
      <c r="D21" s="12">
        <f>SUM(DCF_Calculations!D107:AJ107)</f>
        <v>1874.32188770005</v>
      </c>
      <c r="E21" s="47">
        <f>DCF_Calculations!$C$125/1000</f>
        <v>54.947937893974974</v>
      </c>
      <c r="J21" s="188" t="s">
        <v>117</v>
      </c>
      <c r="K21" s="165">
        <f t="shared" si="1"/>
        <v>31.528011629780345</v>
      </c>
      <c r="L21" s="12">
        <f>SUM(DCF_Calculations!D119:AJ119)</f>
        <v>1884.1659999723518</v>
      </c>
      <c r="M21" s="47">
        <f>DCF_Calculations!$C$126/1000</f>
        <v>59.761650119179393</v>
      </c>
      <c r="Q21" s="294"/>
      <c r="R21" s="294"/>
      <c r="S21" s="294"/>
      <c r="T21" s="294"/>
      <c r="U21" s="294"/>
      <c r="V21" s="294"/>
      <c r="W21" s="294"/>
      <c r="X21" s="294"/>
    </row>
    <row r="22" spans="2:24" x14ac:dyDescent="0.3">
      <c r="B22" s="188" t="s">
        <v>42</v>
      </c>
      <c r="C22" s="165">
        <f t="shared" si="0"/>
        <v>14.552377610959375</v>
      </c>
      <c r="D22" s="12">
        <f>SUM(DCF_Calculations!D108:AJ108)</f>
        <v>799.62314117666767</v>
      </c>
      <c r="E22" s="47">
        <f>DCF_Calculations!$C$125/1000</f>
        <v>54.947937893974974</v>
      </c>
      <c r="J22" s="188" t="s">
        <v>42</v>
      </c>
      <c r="K22" s="165">
        <f t="shared" si="1"/>
        <v>14.55237761095937</v>
      </c>
      <c r="L22" s="12">
        <f>SUM(DCF_Calculations!D120:AJ120)</f>
        <v>869.67409918833357</v>
      </c>
      <c r="M22" s="47">
        <f>DCF_Calculations!$C$126/1000</f>
        <v>59.761650119179393</v>
      </c>
      <c r="Q22" s="294"/>
      <c r="R22" s="294"/>
      <c r="S22" s="294"/>
      <c r="T22" s="294"/>
      <c r="U22" s="294"/>
      <c r="V22" s="294"/>
      <c r="W22" s="294"/>
      <c r="X22" s="294"/>
    </row>
    <row r="23" spans="2:24" x14ac:dyDescent="0.3">
      <c r="B23" s="188" t="s">
        <v>43</v>
      </c>
      <c r="C23" s="165">
        <f t="shared" si="0"/>
        <v>1.376483410572154</v>
      </c>
      <c r="D23" s="12">
        <f>SUM(DCF_Calculations!D109:AJ109)</f>
        <v>75.634924956205566</v>
      </c>
      <c r="E23" s="47">
        <f>DCF_Calculations!$C$125/1000</f>
        <v>54.947937893974974</v>
      </c>
      <c r="J23" s="188" t="s">
        <v>43</v>
      </c>
      <c r="K23" s="165">
        <f t="shared" si="1"/>
        <v>1.5205989527923489</v>
      </c>
      <c r="L23" s="12">
        <f>SUM(DCF_Calculations!D121:AJ121)</f>
        <v>90.873502588366932</v>
      </c>
      <c r="M23" s="47">
        <f>DCF_Calculations!$C$126/1000</f>
        <v>59.761650119179393</v>
      </c>
    </row>
    <row r="24" spans="2:24" x14ac:dyDescent="0.3">
      <c r="B24" s="199" t="s">
        <v>118</v>
      </c>
      <c r="C24" s="78">
        <f>D24/E24</f>
        <v>51.762916780915958</v>
      </c>
      <c r="D24" s="200">
        <f>DCF_Calculations!$C$110</f>
        <v>2844.2655364887651</v>
      </c>
      <c r="E24" s="125">
        <f>DCF_Calculations!$C$125/1000</f>
        <v>54.947937893974974</v>
      </c>
      <c r="J24" s="189" t="s">
        <v>127</v>
      </c>
      <c r="K24" s="165">
        <f t="shared" si="1"/>
        <v>3.3032534860173808</v>
      </c>
      <c r="L24" s="12">
        <f>SUM(DCF_Calculations!D128:AJ128)</f>
        <v>197.40787908633035</v>
      </c>
      <c r="M24" s="47">
        <f>DCF_Calculations!$C$126/1000</f>
        <v>59.761650119179393</v>
      </c>
    </row>
    <row r="25" spans="2:24" x14ac:dyDescent="0.3">
      <c r="J25" s="199" t="s">
        <v>118</v>
      </c>
      <c r="K25" s="78">
        <f>L25/M25</f>
        <v>52.468398790979386</v>
      </c>
      <c r="L25" s="200">
        <f>SUM(DCF_Calculations!$C$122+DCF_Calculations!$C$128)</f>
        <v>3135.598090860085</v>
      </c>
      <c r="M25" s="125">
        <f>DCF_Calculations!$C$126/1000</f>
        <v>59.761650119179393</v>
      </c>
    </row>
    <row r="27" spans="2:24" x14ac:dyDescent="0.3">
      <c r="B27" s="298" t="s">
        <v>299</v>
      </c>
      <c r="C27" s="299"/>
      <c r="D27" s="299"/>
      <c r="E27" s="300"/>
      <c r="J27" s="298" t="s">
        <v>300</v>
      </c>
      <c r="K27" s="299"/>
      <c r="L27" s="299"/>
      <c r="M27" s="300"/>
    </row>
    <row r="28" spans="2:24" x14ac:dyDescent="0.3">
      <c r="B28" s="38" t="s">
        <v>212</v>
      </c>
      <c r="C28" s="12">
        <f>D28/E28</f>
        <v>52.157474526618245</v>
      </c>
      <c r="D28" s="12">
        <f>DCF_Calculations!C131</f>
        <v>2865.945670995201</v>
      </c>
      <c r="E28" s="47">
        <f>DCF_Calculations!$C$125/1000</f>
        <v>54.947937893974974</v>
      </c>
      <c r="J28" s="38" t="s">
        <v>213</v>
      </c>
      <c r="K28" s="12">
        <f>L28/M28</f>
        <v>52.095207857246756</v>
      </c>
      <c r="L28" s="12">
        <f>DCF_Calculations!C132</f>
        <v>3113.2955848507058</v>
      </c>
      <c r="M28" s="47">
        <f>DCF_Calculations!$C$126/1000</f>
        <v>59.761650119179393</v>
      </c>
    </row>
    <row r="29" spans="2:24" x14ac:dyDescent="0.3">
      <c r="B29" s="38" t="s">
        <v>214</v>
      </c>
      <c r="C29" s="12">
        <f>C28-C24</f>
        <v>0.39455774570228641</v>
      </c>
      <c r="D29" s="7"/>
      <c r="E29" s="16"/>
      <c r="J29" s="38" t="s">
        <v>215</v>
      </c>
      <c r="K29" s="12">
        <f>K28-K25</f>
        <v>-0.37319093373263001</v>
      </c>
      <c r="L29" s="7"/>
      <c r="M29" s="16"/>
    </row>
    <row r="30" spans="2:24" x14ac:dyDescent="0.3">
      <c r="B30" s="9" t="s">
        <v>216</v>
      </c>
      <c r="C30" s="248" t="str">
        <f>IF(C7&gt;0&amp;C29&gt;0,"OK","LOSS")</f>
        <v>OK</v>
      </c>
      <c r="D30" s="191"/>
      <c r="E30" s="192"/>
      <c r="J30" s="9" t="s">
        <v>216</v>
      </c>
      <c r="K30" s="248" t="str">
        <f>IF(C8&gt;0&amp;K29&gt;0,"OK","LOSS")</f>
        <v>OK</v>
      </c>
      <c r="L30" s="191"/>
      <c r="M30" s="192"/>
    </row>
    <row r="32" spans="2:24" x14ac:dyDescent="0.3">
      <c r="C32" s="4"/>
    </row>
  </sheetData>
  <mergeCells count="6">
    <mergeCell ref="Q16:X22"/>
    <mergeCell ref="B2:L2"/>
    <mergeCell ref="B13:E13"/>
    <mergeCell ref="J13:M13"/>
    <mergeCell ref="B27:E27"/>
    <mergeCell ref="J27:M27"/>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Index</vt:lpstr>
      <vt:lpstr>CAPEX-Input</vt:lpstr>
      <vt:lpstr>FIN_Inputs&amp;ProjectTimeline</vt:lpstr>
      <vt:lpstr>OPEX Input</vt:lpstr>
      <vt:lpstr>AEP_Calculation</vt:lpstr>
      <vt:lpstr>AEP Input</vt:lpstr>
      <vt:lpstr>Summary</vt:lpstr>
      <vt:lpstr>DCF_Calculations</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2021-01-13T22:17:05Z</dcterms:modified>
</cp:coreProperties>
</file>