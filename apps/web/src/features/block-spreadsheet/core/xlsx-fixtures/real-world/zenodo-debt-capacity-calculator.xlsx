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d.docs.live.net/8b623fa678b383d5/Dokumenty/Doktorat/Pojemność zadłużeniowa/Wikipedia/"/>
    </mc:Choice>
  </mc:AlternateContent>
  <xr:revisionPtr revIDLastSave="178" documentId="8_{A691CCE7-9F28-4BF6-8BEB-6E23E3E108AC}" xr6:coauthVersionLast="47" xr6:coauthVersionMax="47" xr10:uidLastSave="{EACF1422-C9FC-48E8-8579-D8614D4B0034}"/>
  <bookViews>
    <workbookView xWindow="-120" yWindow="-120" windowWidth="20730" windowHeight="11160" tabRatio="722" firstSheet="1" activeTab="1" xr2:uid="{00000000-000D-0000-FFFF-FFFF00000000}"/>
  </bookViews>
  <sheets>
    <sheet name="Tabela " sheetId="13" state="hidden" r:id="rId1"/>
    <sheet name="Debt capacity" sheetId="2" r:id="rId2"/>
  </sheets>
  <externalReferences>
    <externalReference r:id="rId3"/>
  </externalReferences>
  <definedNames>
    <definedName name="bledy">[1]Wniosek!$D$355:$BC$370</definedName>
    <definedName name="blok">[1]Wniosek!$D$214:$BC$361</definedName>
    <definedName name="blok1">[1]Wniosek!$AB$9:$BC$197</definedName>
    <definedName name="lata">[1]Parametry!$B$95:$C$102</definedName>
    <definedName name="lata1">[1]Parametry!$B$94:$C$102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K8" i="2"/>
  <c r="K6" i="2"/>
  <c r="M16" i="2" l="1"/>
  <c r="L16" i="2" s="1"/>
  <c r="M18" i="2"/>
  <c r="L18" i="2" s="1"/>
  <c r="M12" i="2"/>
  <c r="L12" i="2" s="1"/>
  <c r="K12" i="2" s="1"/>
  <c r="M19" i="2"/>
  <c r="L19" i="2" s="1"/>
  <c r="K19" i="2" s="1"/>
  <c r="M14" i="2"/>
  <c r="L14" i="2" s="1"/>
  <c r="M22" i="2"/>
  <c r="L22" i="2" s="1"/>
  <c r="K22" i="2" s="1"/>
  <c r="M15" i="2"/>
  <c r="L15" i="2" s="1"/>
  <c r="K15" i="2" s="1"/>
  <c r="M23" i="2"/>
  <c r="L23" i="2" s="1"/>
  <c r="K23" i="2" s="1"/>
  <c r="M21" i="2"/>
  <c r="L21" i="2" s="1"/>
  <c r="M17" i="2"/>
  <c r="L17" i="2" s="1"/>
  <c r="K17" i="2" s="1"/>
  <c r="M13" i="2"/>
  <c r="L13" i="2" s="1"/>
  <c r="K13" i="2" s="1"/>
  <c r="M20" i="2"/>
  <c r="L20" i="2" s="1"/>
  <c r="K20" i="2" s="1"/>
  <c r="K14" i="2"/>
  <c r="K18" i="2" l="1"/>
  <c r="K16" i="2"/>
  <c r="K21" i="2"/>
  <c r="B8" i="2"/>
  <c r="G20" i="2" l="1"/>
  <c r="G16" i="2"/>
  <c r="G13" i="2"/>
  <c r="G18" i="2"/>
  <c r="G15" i="2"/>
  <c r="G21" i="2"/>
  <c r="G12" i="2"/>
  <c r="H12" i="2" s="1"/>
  <c r="G19" i="2"/>
  <c r="G14" i="2"/>
  <c r="G17" i="2"/>
  <c r="C12" i="2"/>
  <c r="C17" i="2"/>
  <c r="D17" i="2" s="1"/>
  <c r="C15" i="2"/>
  <c r="D15" i="2" s="1"/>
  <c r="C13" i="2"/>
  <c r="D13" i="2" s="1"/>
  <c r="C18" i="2"/>
  <c r="D18" i="2" s="1"/>
  <c r="C21" i="2"/>
  <c r="D21" i="2" s="1"/>
  <c r="C20" i="2"/>
  <c r="D20" i="2" s="1"/>
  <c r="C19" i="2"/>
  <c r="D19" i="2" s="1"/>
  <c r="C14" i="2"/>
  <c r="D14" i="2" s="1"/>
  <c r="C16" i="2"/>
  <c r="D16" i="2" s="1"/>
  <c r="B12" i="2"/>
  <c r="B16" i="2"/>
  <c r="B15" i="2"/>
  <c r="B21" i="2"/>
  <c r="E21" i="2" s="1"/>
  <c r="B17" i="2"/>
  <c r="B13" i="2"/>
  <c r="B19" i="2"/>
  <c r="B18" i="2"/>
  <c r="B14" i="2"/>
  <c r="B20" i="2"/>
  <c r="D12" i="2" l="1"/>
  <c r="H21" i="2"/>
  <c r="H17" i="2"/>
  <c r="H14" i="2"/>
  <c r="H15" i="2"/>
  <c r="H16" i="2"/>
  <c r="H18" i="2"/>
  <c r="H13" i="2"/>
  <c r="H20" i="2"/>
  <c r="H19" i="2"/>
  <c r="E13" i="2"/>
  <c r="E14" i="2"/>
  <c r="E17" i="2"/>
  <c r="E16" i="2"/>
  <c r="E19" i="2"/>
  <c r="E15" i="2"/>
  <c r="E12" i="2"/>
  <c r="F12" i="2" s="1"/>
  <c r="E20" i="2"/>
  <c r="E18" i="2"/>
  <c r="F17" i="2" l="1"/>
  <c r="F19" i="2"/>
  <c r="F15" i="2"/>
  <c r="F18" i="2"/>
  <c r="F16" i="2"/>
  <c r="F20" i="2"/>
  <c r="F21" i="2"/>
  <c r="F14" i="2"/>
  <c r="F13" i="2"/>
</calcChain>
</file>

<file path=xl/sharedStrings.xml><?xml version="1.0" encoding="utf-8"?>
<sst xmlns="http://schemas.openxmlformats.org/spreadsheetml/2006/main" count="89" uniqueCount="56">
  <si>
    <t>Dr</t>
  </si>
  <si>
    <t>i</t>
  </si>
  <si>
    <t>n</t>
  </si>
  <si>
    <t>-</t>
  </si>
  <si>
    <t>KON</t>
  </si>
  <si>
    <t>dla zobowiązań krokoterminowych (do roku)</t>
  </si>
  <si>
    <t>dla zobowiązań długoterminowych (powyżej roku)</t>
  </si>
  <si>
    <t>Rodzaj zobowiązania</t>
  </si>
  <si>
    <t>Elementy konstrukcyjne  formy finansowania</t>
  </si>
  <si>
    <t>Nie zapewniają wykorzystania efektu tarczy podatkowej</t>
  </si>
  <si>
    <t>Zapewniają wykorzystanie efektu tarczy podatkowej</t>
  </si>
  <si>
    <t>Prowizje, odsetki</t>
  </si>
  <si>
    <t>Kapitał</t>
  </si>
  <si>
    <t>Prowizje, opłata wstępna (czynsz inicjalny), raty miesięczne, wartość rezydualna, inne opłaty i prowizje</t>
  </si>
  <si>
    <t>Wydatki powyżej limitów kosztów uzyskania przychodów i próg potrącenia podatku VAT</t>
  </si>
  <si>
    <t>Prowizje, odsetki i inne opłaty</t>
  </si>
  <si>
    <t>Podstawa wyznaczenia PZ</t>
  </si>
  <si>
    <t>Kaucje gwarancyjne</t>
  </si>
  <si>
    <t xml:space="preserve">Czynsz i inne opłaty </t>
  </si>
  <si>
    <t xml:space="preserve">W zależności od rodzaju finansowania, celu i pozostałych ograniczeń. </t>
  </si>
  <si>
    <t>Dr (KON*)</t>
  </si>
  <si>
    <t>Prowizje, raty miesięczne, wartość rezydualna, inne opłaty i prowizje</t>
  </si>
  <si>
    <t>Opłata wstępna (czynsz inicjalny). Wydatki powyżej limitów kosztów uzyskania przychodów i próg potrącenia podatku VAT</t>
  </si>
  <si>
    <t>* W przypadku finansowania zapotrzebowania na kapitał obrotowy netto, źródłem spłaty powinien być KON, natomiast w przypadku fiiansowania środków trwałych źródłem spłaty powinien być Dr.</t>
  </si>
  <si>
    <t xml:space="preserve"> inne Inne formy finansowania,  w tym hybrydowe i mieszane</t>
  </si>
  <si>
    <t>WC*12-(WC*12*i)*n</t>
  </si>
  <si>
    <t>(WC*12*i/12)*n</t>
  </si>
  <si>
    <t>WC</t>
  </si>
  <si>
    <t>WC/12</t>
  </si>
  <si>
    <t>r</t>
  </si>
  <si>
    <t>r/12</t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</si>
  <si>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>B</t>
    </r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</si>
  <si>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>B</t>
    </r>
    <r>
      <rPr>
        <i/>
        <sz val="11"/>
        <color theme="1"/>
        <rFont val="Calibri"/>
        <family val="2"/>
        <charset val="238"/>
        <scheme val="minor"/>
      </rPr>
      <t>/12</t>
    </r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</si>
  <si>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 xml:space="preserve">A </t>
    </r>
    <r>
      <rPr>
        <i/>
        <sz val="11"/>
        <color theme="1"/>
        <rFont val="Calibri"/>
        <family val="2"/>
        <charset val="238"/>
        <scheme val="minor"/>
      </rPr>
      <t>= (DC</t>
    </r>
    <r>
      <rPr>
        <i/>
        <vertAlign val="subscript"/>
        <sz val="11"/>
        <color theme="1"/>
        <rFont val="Calibri"/>
        <family val="2"/>
        <charset val="238"/>
        <scheme val="minor"/>
      </rPr>
      <t>B</t>
    </r>
    <r>
      <rPr>
        <i/>
        <sz val="11"/>
        <color theme="1"/>
        <rFont val="Calibri"/>
        <family val="2"/>
        <charset val="238"/>
        <scheme val="minor"/>
      </rPr>
      <t>*n/n)/((i*(1+i)^n)/((1+n)^n-1))</t>
    </r>
  </si>
  <si>
    <t>i=r/12</t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</si>
  <si>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 xml:space="preserve">A </t>
    </r>
    <r>
      <rPr>
        <i/>
        <sz val="11"/>
        <color theme="1"/>
        <rFont val="Calibri"/>
        <family val="2"/>
        <charset val="238"/>
        <scheme val="minor"/>
      </rPr>
      <t>(raty annuitetowe)</t>
    </r>
  </si>
  <si>
    <t>Odsetki (I)</t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</si>
  <si>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 xml:space="preserve">RB </t>
    </r>
    <r>
      <rPr>
        <i/>
        <sz val="11"/>
        <color theme="1"/>
        <rFont val="Calibri"/>
        <family val="2"/>
        <charset val="238"/>
        <scheme val="minor"/>
      </rPr>
      <t>= DC</t>
    </r>
    <r>
      <rPr>
        <i/>
        <vertAlign val="subscript"/>
        <sz val="11"/>
        <color theme="1"/>
        <rFont val="Calibri"/>
        <family val="2"/>
        <charset val="238"/>
        <scheme val="minor"/>
      </rPr>
      <t>B</t>
    </r>
    <r>
      <rPr>
        <i/>
        <sz val="11"/>
        <color theme="1"/>
        <rFont val="Calibri"/>
        <family val="2"/>
        <charset val="238"/>
        <scheme val="minor"/>
      </rPr>
      <t>*12/(n*1+1)</t>
    </r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</si>
  <si>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 xml:space="preserve">RB </t>
    </r>
    <r>
      <rPr>
        <i/>
        <sz val="11"/>
        <color theme="1"/>
        <rFont val="Calibri"/>
        <family val="2"/>
        <charset val="238"/>
        <scheme val="minor"/>
      </rPr>
      <t>(rata balonowa) (&gt;=12 m)</t>
    </r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</si>
  <si>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>RM</t>
    </r>
    <r>
      <rPr>
        <i/>
        <sz val="11"/>
        <color theme="1"/>
        <rFont val="Calibri"/>
        <family val="2"/>
        <charset val="238"/>
        <scheme val="minor"/>
      </rPr>
      <t xml:space="preserve"> = ((DC</t>
    </r>
    <r>
      <rPr>
        <i/>
        <vertAlign val="subscript"/>
        <sz val="11"/>
        <color theme="1"/>
        <rFont val="Calibri"/>
        <family val="2"/>
        <charset val="238"/>
        <scheme val="minor"/>
      </rPr>
      <t>B</t>
    </r>
    <r>
      <rPr>
        <i/>
        <sz val="11"/>
        <color theme="1"/>
        <rFont val="Calibri"/>
        <family val="2"/>
        <charset val="238"/>
        <scheme val="minor"/>
      </rPr>
      <t>*n)/((n*(n+1)/2)*i+n)*n</t>
    </r>
  </si>
  <si>
    <t>Odsetki miesięcznie</t>
  </si>
  <si>
    <t>Pozycja</t>
  </si>
  <si>
    <t>Wartość</t>
  </si>
  <si>
    <t>Ilość rat miesięcznych</t>
  </si>
  <si>
    <r>
      <t>i*12-DC</t>
    </r>
    <r>
      <rPr>
        <i/>
        <vertAlign val="subscript"/>
        <sz val="11"/>
        <color theme="1"/>
        <rFont val="Calibri"/>
        <family val="2"/>
        <charset val="238"/>
        <scheme val="minor"/>
      </rPr>
      <t>RM</t>
    </r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</si>
  <si>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>RB</t>
    </r>
    <r>
      <rPr>
        <i/>
        <sz val="11"/>
        <color theme="1"/>
        <rFont val="Calibri"/>
        <family val="2"/>
        <charset val="238"/>
        <scheme val="minor"/>
      </rPr>
      <t xml:space="preserve"> (rata balonowa) (&lt;=12 m)</t>
    </r>
  </si>
  <si>
    <r>
      <t>DC</t>
    </r>
    <r>
      <rPr>
        <vertAlign val="subscript"/>
        <sz val="11"/>
        <color theme="1"/>
        <rFont val="Calibri"/>
        <family val="2"/>
        <charset val="238"/>
        <scheme val="minor"/>
      </rPr>
      <t>RM</t>
    </r>
    <r>
      <rPr>
        <sz val="11"/>
        <color theme="1"/>
        <rFont val="Calibri"/>
        <family val="2"/>
        <charset val="238"/>
        <scheme val="minor"/>
      </rPr>
      <t xml:space="preserve"> (raty malejące)</t>
    </r>
  </si>
  <si>
    <r>
      <t>WC = DC</t>
    </r>
    <r>
      <rPr>
        <i/>
        <vertAlign val="subscript"/>
        <sz val="11"/>
        <color theme="1"/>
        <rFont val="Calibri"/>
        <family val="2"/>
        <charset val="238"/>
        <scheme val="minor"/>
      </rPr>
      <t>B</t>
    </r>
  </si>
  <si>
    <t>Ilość miesięcy</t>
  </si>
  <si>
    <r>
      <t>i*12-DC</t>
    </r>
    <r>
      <rPr>
        <i/>
        <vertAlign val="subscript"/>
        <sz val="11"/>
        <color theme="1"/>
        <rFont val="Calibri"/>
        <family val="2"/>
        <charset val="238"/>
        <scheme val="minor"/>
      </rPr>
      <t>A</t>
    </r>
  </si>
  <si>
    <r>
      <t>i*12-DC</t>
    </r>
    <r>
      <rPr>
        <i/>
        <vertAlign val="subscript"/>
        <sz val="11"/>
        <color theme="1"/>
        <rFont val="Calibri"/>
        <family val="2"/>
        <charset val="238"/>
        <scheme val="minor"/>
      </rPr>
      <t>RB</t>
    </r>
  </si>
  <si>
    <t>Bibliografia:</t>
  </si>
  <si>
    <t>Piotr Cirin, The Relationship between Debt Capacity Base and Structural Risk: Evidence from the Warsaw Stock Exchange, „Zeszyty Naukowe Uniwersytetu Ekonomicznego w Krakowie / Cracow Review of Economics and Management”, 0 (4(988)), 2021, s. 83–102, DOI: 10.15678/ZNUEK.2020.0988.0405 [dostęp 2021-04-11] (ang.).</t>
  </si>
  <si>
    <r>
      <t>DC</t>
    </r>
    <r>
      <rPr>
        <i/>
        <vertAlign val="subscript"/>
        <sz val="11"/>
        <color theme="1"/>
        <rFont val="Calibri"/>
        <family val="2"/>
        <charset val="238"/>
        <scheme val="minor"/>
      </rPr>
      <t>B</t>
    </r>
    <r>
      <rPr>
        <i/>
        <sz val="11"/>
        <color theme="1"/>
        <rFont val="Calibri"/>
        <family val="2"/>
        <charset val="238"/>
        <scheme val="minor"/>
      </rPr>
      <t xml:space="preserve"> = DR</t>
    </r>
  </si>
  <si>
    <t>Piotr Cirin, Strategie finansowania, podstawa pojemności zadłużeniowej i dźwignia finansowa wybranych spółek notowanych na giełdzie papierów wartościowych w Warszawie w okresie pandemii COVID-19, [w:] Teresa Pakulska, Patrycja Szczepańska (red.), Badania młdoych naukowców w zakresie nauk ekonomicznych - wyzwania gospodarcze w czasie pandemii, Oficyna Wydawnicza SGH - Szkoła Główna Handlowa w Warszawie, 2021, s. 25-50, ISBN 978-83-8030-482-6.</t>
  </si>
  <si>
    <r>
      <t>Kalkulator pojemności zadłużeniowej (ang.</t>
    </r>
    <r>
      <rPr>
        <b/>
        <i/>
        <sz val="11"/>
        <color theme="1"/>
        <rFont val="Calibri"/>
        <family val="2"/>
        <charset val="238"/>
        <scheme val="minor"/>
      </rPr>
      <t xml:space="preserve"> debt capacity base</t>
    </r>
    <r>
      <rPr>
        <b/>
        <sz val="11"/>
        <color theme="1"/>
        <rFont val="Calibri"/>
        <family val="2"/>
        <charset val="238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</si>
</sst>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z_ł_-;\-* #,##0.00\ _z_ł_-;_-* &quot;-&quot;??\ _z_ł_-;_-@_-"/>
    <numFmt numFmtId="169" formatCode="0.0000%"/>
    <numFmt numFmtId="174" formatCode="_-* #,##0.000000_-;\-* #,##0.000000_-;_-* &quot;-&quot;??_-;_-@_-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vertAlign val="subscript"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i/>
      <sz val="10"/>
      <color theme="1"/>
      <name val="Times New Roman"/>
      <family val="1"/>
      <charset val="238"/>
    </font>
    <font>
      <sz val="10"/>
      <color rgb="FF0000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9" fontId="0" fillId="0" borderId="0" xfId="2" applyNumberFormat="1" applyFont="1"/>
    <xf numFmtId="43" fontId="0" fillId="0" borderId="6" xfId="1" applyFont="1" applyBorder="1"/>
    <xf numFmtId="0" fontId="4" fillId="0" borderId="0" xfId="0" applyFont="1"/>
    <xf numFmtId="43" fontId="0" fillId="0" borderId="1" xfId="1" applyFont="1" applyBorder="1"/>
    <xf numFmtId="43" fontId="0" fillId="0" borderId="2" xfId="1" applyFont="1" applyBorder="1"/>
    <xf numFmtId="0" fontId="2" fillId="2" borderId="3" xfId="0" applyFont="1" applyFill="1" applyBorder="1" applyAlignment="1">
      <alignment horizontal="center"/>
    </xf>
    <xf numFmtId="43" fontId="0" fillId="0" borderId="5" xfId="1" applyFont="1" applyBorder="1"/>
    <xf numFmtId="0" fontId="6" fillId="0" borderId="3" xfId="0" applyFont="1" applyBorder="1" applyAlignment="1">
      <alignment vertical="top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4" fontId="0" fillId="0" borderId="3" xfId="1" applyNumberFormat="1" applyFont="1" applyBorder="1"/>
    <xf numFmtId="0" fontId="2" fillId="2" borderId="3" xfId="0" applyFont="1" applyFill="1" applyBorder="1"/>
    <xf numFmtId="43" fontId="0" fillId="0" borderId="3" xfId="1" applyFont="1" applyBorder="1"/>
    <xf numFmtId="43" fontId="0" fillId="0" borderId="3" xfId="1" applyFont="1" applyFill="1" applyBorder="1"/>
    <xf numFmtId="169" fontId="0" fillId="0" borderId="3" xfId="2" applyNumberFormat="1" applyFont="1" applyBorder="1"/>
    <xf numFmtId="0" fontId="2" fillId="0" borderId="0" xfId="0" applyFont="1" applyFill="1" applyBorder="1" applyAlignment="1">
      <alignment horizontal="center"/>
    </xf>
    <xf numFmtId="43" fontId="0" fillId="0" borderId="0" xfId="1" applyFont="1" applyFill="1" applyBorder="1"/>
    <xf numFmtId="43" fontId="0" fillId="0" borderId="4" xfId="1" applyFont="1" applyBorder="1"/>
    <xf numFmtId="0" fontId="0" fillId="0" borderId="0" xfId="0" applyFont="1"/>
    <xf numFmtId="0" fontId="0" fillId="0" borderId="0" xfId="0" applyFont="1" applyBorder="1"/>
    <xf numFmtId="0" fontId="7" fillId="0" borderId="0" xfId="0" applyFont="1" applyAlignment="1">
      <alignment horizontal="center" vertical="center"/>
    </xf>
    <xf numFmtId="10" fontId="0" fillId="0" borderId="3" xfId="0" applyNumberFormat="1" applyFont="1" applyBorder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169" fontId="0" fillId="0" borderId="4" xfId="0" applyNumberFormat="1" applyFont="1" applyBorder="1"/>
    <xf numFmtId="164" fontId="0" fillId="0" borderId="4" xfId="0" applyNumberFormat="1" applyFont="1" applyBorder="1"/>
    <xf numFmtId="164" fontId="0" fillId="0" borderId="1" xfId="0" applyNumberFormat="1" applyFont="1" applyBorder="1"/>
    <xf numFmtId="164" fontId="0" fillId="0" borderId="0" xfId="0" applyNumberFormat="1" applyFont="1"/>
    <xf numFmtId="2" fontId="0" fillId="0" borderId="0" xfId="0" applyNumberFormat="1" applyFont="1"/>
    <xf numFmtId="0" fontId="0" fillId="0" borderId="6" xfId="0" applyFont="1" applyBorder="1"/>
    <xf numFmtId="169" fontId="0" fillId="0" borderId="5" xfId="0" applyNumberFormat="1" applyFont="1" applyBorder="1"/>
    <xf numFmtId="164" fontId="0" fillId="0" borderId="5" xfId="0" applyNumberFormat="1" applyFont="1" applyBorder="1"/>
    <xf numFmtId="164" fontId="0" fillId="0" borderId="2" xfId="0" applyNumberFormat="1" applyFont="1" applyBorder="1"/>
    <xf numFmtId="10" fontId="0" fillId="0" borderId="0" xfId="0" applyNumberFormat="1" applyFont="1"/>
    <xf numFmtId="10" fontId="0" fillId="0" borderId="0" xfId="0" applyNumberFormat="1" applyFont="1" applyFill="1" applyBorder="1"/>
    <xf numFmtId="164" fontId="0" fillId="0" borderId="0" xfId="0" applyNumberFormat="1" applyFont="1" applyFill="1" applyBorder="1"/>
    <xf numFmtId="164" fontId="0" fillId="0" borderId="6" xfId="0" applyNumberFormat="1" applyFont="1" applyBorder="1"/>
    <xf numFmtId="0" fontId="2" fillId="0" borderId="0" xfId="0" applyFont="1" applyAlignment="1">
      <alignment horizontal="left" wrapText="1"/>
    </xf>
    <xf numFmtId="43" fontId="0" fillId="3" borderId="3" xfId="1" applyFont="1" applyFill="1" applyBorder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</xdr:row>
      <xdr:rowOff>0</xdr:rowOff>
    </xdr:from>
    <xdr:to>
      <xdr:col>1</xdr:col>
      <xdr:colOff>400050</xdr:colOff>
      <xdr:row>4</xdr:row>
      <xdr:rowOff>161925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800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161925</xdr:colOff>
      <xdr:row>5</xdr:row>
      <xdr:rowOff>9525</xdr:rowOff>
    </xdr:from>
    <xdr:to>
      <xdr:col>1</xdr:col>
      <xdr:colOff>447675</xdr:colOff>
      <xdr:row>5</xdr:row>
      <xdr:rowOff>171450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009650"/>
          <a:ext cx="2857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6</xdr:row>
      <xdr:rowOff>19050</xdr:rowOff>
    </xdr:from>
    <xdr:to>
      <xdr:col>1</xdr:col>
      <xdr:colOff>504825</xdr:colOff>
      <xdr:row>6</xdr:row>
      <xdr:rowOff>180975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19200"/>
          <a:ext cx="3524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7</xdr:row>
      <xdr:rowOff>9525</xdr:rowOff>
    </xdr:from>
    <xdr:to>
      <xdr:col>1</xdr:col>
      <xdr:colOff>371475</xdr:colOff>
      <xdr:row>7</xdr:row>
      <xdr:rowOff>171450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409700"/>
          <a:ext cx="2000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133350</xdr:colOff>
      <xdr:row>8</xdr:row>
      <xdr:rowOff>47625</xdr:rowOff>
    </xdr:from>
    <xdr:to>
      <xdr:col>1</xdr:col>
      <xdr:colOff>323850</xdr:colOff>
      <xdr:row>8</xdr:row>
      <xdr:rowOff>209550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333625"/>
          <a:ext cx="1905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114300</xdr:colOff>
      <xdr:row>9</xdr:row>
      <xdr:rowOff>19050</xdr:rowOff>
    </xdr:from>
    <xdr:to>
      <xdr:col>1</xdr:col>
      <xdr:colOff>438150</xdr:colOff>
      <xdr:row>9</xdr:row>
      <xdr:rowOff>180975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19275"/>
          <a:ext cx="3238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95250</xdr:colOff>
      <xdr:row>10</xdr:row>
      <xdr:rowOff>114300</xdr:rowOff>
    </xdr:from>
    <xdr:to>
      <xdr:col>1</xdr:col>
      <xdr:colOff>419100</xdr:colOff>
      <xdr:row>10</xdr:row>
      <xdr:rowOff>276226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733800"/>
          <a:ext cx="323850" cy="161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133350</xdr:colOff>
      <xdr:row>11</xdr:row>
      <xdr:rowOff>19050</xdr:rowOff>
    </xdr:from>
    <xdr:to>
      <xdr:col>1</xdr:col>
      <xdr:colOff>342900</xdr:colOff>
      <xdr:row>11</xdr:row>
      <xdr:rowOff>180975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21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104775</xdr:colOff>
      <xdr:row>12</xdr:row>
      <xdr:rowOff>0</xdr:rowOff>
    </xdr:from>
    <xdr:to>
      <xdr:col>1</xdr:col>
      <xdr:colOff>276225</xdr:colOff>
      <xdr:row>12</xdr:row>
      <xdr:rowOff>161925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581525"/>
          <a:ext cx="1714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1304925</xdr:colOff>
      <xdr:row>13</xdr:row>
      <xdr:rowOff>57150</xdr:rowOff>
    </xdr:from>
    <xdr:to>
      <xdr:col>1</xdr:col>
      <xdr:colOff>1533525</xdr:colOff>
      <xdr:row>13</xdr:row>
      <xdr:rowOff>190500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4829175"/>
          <a:ext cx="2286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5121" name="AutoShape 1" descr="{\displaystyle DC_{A}={\frac {\left({\frac {FCFn}{n}}\right)}{\left({\frac {i(1+n)^{n}}{((1+n)^{n-1})}}\right)}}}">
          <a:extLst>
            <a:ext uri="{FF2B5EF4-FFF2-40B4-BE49-F238E27FC236}">
              <a16:creationId xmlns:a16="http://schemas.microsoft.com/office/drawing/2014/main" id="{FA5AC21F-2DBD-1321-2064-2E57538BECD5}"/>
            </a:ext>
          </a:extLst>
        </xdr:cNvPr>
        <xdr:cNvSpPr>
          <a:spLocks noChangeAspect="1" noChangeArrowheads="1"/>
        </xdr:cNvSpPr>
      </xdr:nvSpPr>
      <xdr:spPr bwMode="auto">
        <a:xfrm>
          <a:off x="171450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873125</xdr:colOff>
      <xdr:row>22</xdr:row>
      <xdr:rowOff>158750</xdr:rowOff>
    </xdr:from>
    <xdr:to>
      <xdr:col>2</xdr:col>
      <xdr:colOff>2511425</xdr:colOff>
      <xdr:row>27</xdr:row>
      <xdr:rowOff>82550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83EF3B1-599F-CF7C-0D1F-F3633501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2250" y="4095750"/>
          <a:ext cx="1638300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412750</xdr:colOff>
      <xdr:row>23</xdr:row>
      <xdr:rowOff>63500</xdr:rowOff>
    </xdr:from>
    <xdr:to>
      <xdr:col>4</xdr:col>
      <xdr:colOff>2727325</xdr:colOff>
      <xdr:row>27</xdr:row>
      <xdr:rowOff>15875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3DEBF91-DCED-D409-2578-DF498F368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4191000"/>
          <a:ext cx="2314575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904875</xdr:colOff>
      <xdr:row>23</xdr:row>
      <xdr:rowOff>63500</xdr:rowOff>
    </xdr:from>
    <xdr:to>
      <xdr:col>7</xdr:col>
      <xdr:colOff>215900</xdr:colOff>
      <xdr:row>25</xdr:row>
      <xdr:rowOff>149225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1F0E8DE1-35B1-65CA-7996-591563109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1750" y="4191000"/>
          <a:ext cx="1390650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619125</xdr:colOff>
      <xdr:row>24</xdr:row>
      <xdr:rowOff>142875</xdr:rowOff>
    </xdr:from>
    <xdr:to>
      <xdr:col>11</xdr:col>
      <xdr:colOff>552450</xdr:colOff>
      <xdr:row>25</xdr:row>
      <xdr:rowOff>171450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F703AD6-D573-CDDD-8A2F-04E37EC1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0" y="4460875"/>
          <a:ext cx="2743200" cy="219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Inne/AEF-PK-ver%205.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_imp"/>
      <sheetName val="Wniosek"/>
      <sheetName val="AEF"/>
      <sheetName val="Klasyfikacja"/>
      <sheetName val="Parametry"/>
      <sheetName val="FX test"/>
      <sheetName val="Opis"/>
      <sheetName val="Arkusz1"/>
      <sheetName val="Arkusz2"/>
      <sheetName val="Arkusz3"/>
    </sheetNames>
    <sheetDataSet>
      <sheetData sheetId="0"/>
      <sheetData sheetId="1">
        <row r="9">
          <cell r="AB9" t="str">
            <v>okres</v>
          </cell>
          <cell r="AC9" t="str">
            <v>okres</v>
          </cell>
          <cell r="AD9" t="str">
            <v>okres</v>
          </cell>
          <cell r="AE9" t="str">
            <v>okres</v>
          </cell>
          <cell r="AF9" t="str">
            <v>okres</v>
          </cell>
          <cell r="AG9" t="str">
            <v>okres</v>
          </cell>
          <cell r="AH9" t="str">
            <v>okres</v>
          </cell>
          <cell r="AI9" t="str">
            <v>okres</v>
          </cell>
          <cell r="AJ9" t="str">
            <v>okres</v>
          </cell>
          <cell r="AK9" t="str">
            <v>okres</v>
          </cell>
          <cell r="AL9" t="str">
            <v>okres</v>
          </cell>
          <cell r="AM9" t="str">
            <v>okres</v>
          </cell>
          <cell r="AN9" t="str">
            <v>okres</v>
          </cell>
          <cell r="AO9" t="str">
            <v>okres</v>
          </cell>
          <cell r="AP9" t="str">
            <v>okres</v>
          </cell>
          <cell r="AQ9" t="str">
            <v>okres</v>
          </cell>
          <cell r="AR9" t="str">
            <v>okres</v>
          </cell>
          <cell r="AS9" t="str">
            <v>okres</v>
          </cell>
          <cell r="AT9" t="str">
            <v>okres</v>
          </cell>
          <cell r="AU9" t="str">
            <v>okres</v>
          </cell>
          <cell r="AV9" t="str">
            <v>okres</v>
          </cell>
          <cell r="AW9" t="str">
            <v>okres</v>
          </cell>
          <cell r="AX9" t="str">
            <v>okres</v>
          </cell>
          <cell r="AY9" t="str">
            <v>okres</v>
          </cell>
          <cell r="AZ9" t="str">
            <v>okres</v>
          </cell>
          <cell r="BA9" t="str">
            <v>okres</v>
          </cell>
          <cell r="BB9" t="str">
            <v>okres</v>
          </cell>
          <cell r="BC9" t="str">
            <v>okres</v>
          </cell>
        </row>
        <row r="10"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</row>
        <row r="24"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</row>
        <row r="25"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</row>
        <row r="29"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3"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</row>
        <row r="34"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</row>
        <row r="40"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</row>
        <row r="45"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</row>
        <row r="48"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</row>
        <row r="49"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</row>
        <row r="53"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</row>
        <row r="58">
          <cell r="AB58" t="str">
            <v>okres</v>
          </cell>
          <cell r="AC58" t="str">
            <v>okres</v>
          </cell>
          <cell r="AD58" t="str">
            <v>okres</v>
          </cell>
          <cell r="AE58" t="str">
            <v>okres</v>
          </cell>
          <cell r="AF58" t="str">
            <v>okres</v>
          </cell>
          <cell r="AG58" t="str">
            <v>okres</v>
          </cell>
          <cell r="AH58" t="str">
            <v>okres</v>
          </cell>
          <cell r="AI58" t="str">
            <v>okres</v>
          </cell>
          <cell r="AJ58" t="str">
            <v>okres</v>
          </cell>
          <cell r="AK58" t="str">
            <v>okres</v>
          </cell>
          <cell r="AL58" t="str">
            <v>okres</v>
          </cell>
          <cell r="AM58" t="str">
            <v>okres</v>
          </cell>
          <cell r="AN58" t="str">
            <v>okres</v>
          </cell>
          <cell r="AO58" t="str">
            <v>okres</v>
          </cell>
          <cell r="AP58" t="str">
            <v>okres</v>
          </cell>
          <cell r="AQ58" t="str">
            <v>okres</v>
          </cell>
          <cell r="AR58" t="str">
            <v>okres</v>
          </cell>
          <cell r="AS58" t="str">
            <v>okres</v>
          </cell>
          <cell r="AT58" t="str">
            <v>okres</v>
          </cell>
          <cell r="AU58" t="str">
            <v>okres</v>
          </cell>
          <cell r="AV58" t="str">
            <v>okres</v>
          </cell>
          <cell r="AW58" t="str">
            <v>okres</v>
          </cell>
          <cell r="AX58" t="str">
            <v>okres</v>
          </cell>
          <cell r="AY58" t="str">
            <v>okres</v>
          </cell>
          <cell r="AZ58" t="str">
            <v>okres</v>
          </cell>
          <cell r="BA58" t="str">
            <v>okres</v>
          </cell>
          <cell r="BB58" t="str">
            <v>okres</v>
          </cell>
          <cell r="BC58" t="str">
            <v>okres</v>
          </cell>
        </row>
        <row r="59"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</row>
        <row r="60"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</row>
        <row r="65"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</row>
        <row r="66"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</row>
        <row r="74"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</row>
        <row r="77"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80"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</row>
        <row r="81"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</row>
        <row r="86"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</row>
        <row r="92"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</row>
        <row r="95"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</row>
        <row r="96"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</row>
        <row r="102"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</row>
        <row r="103"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</row>
        <row r="104"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</row>
        <row r="108"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</row>
        <row r="109"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</row>
        <row r="115"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</row>
        <row r="116"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</row>
        <row r="117"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</row>
        <row r="122"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</row>
        <row r="127"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</row>
        <row r="133"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</row>
        <row r="136">
          <cell r="AB136" t="str">
            <v>okres</v>
          </cell>
          <cell r="AC136" t="str">
            <v>okres</v>
          </cell>
          <cell r="AD136" t="str">
            <v>okres</v>
          </cell>
          <cell r="AE136" t="str">
            <v>okres</v>
          </cell>
          <cell r="AF136" t="str">
            <v>okres</v>
          </cell>
          <cell r="AG136" t="str">
            <v>okres</v>
          </cell>
          <cell r="AH136" t="str">
            <v>okres</v>
          </cell>
          <cell r="AI136" t="str">
            <v>okres</v>
          </cell>
          <cell r="AJ136" t="str">
            <v>okres</v>
          </cell>
          <cell r="AK136" t="str">
            <v>okres</v>
          </cell>
          <cell r="AL136" t="str">
            <v>okres</v>
          </cell>
          <cell r="AM136" t="str">
            <v>okres</v>
          </cell>
          <cell r="AN136" t="str">
            <v>okres</v>
          </cell>
          <cell r="AO136" t="str">
            <v>okres</v>
          </cell>
          <cell r="AP136" t="str">
            <v>okres</v>
          </cell>
          <cell r="AQ136" t="str">
            <v>okres</v>
          </cell>
          <cell r="AR136" t="str">
            <v>okres</v>
          </cell>
          <cell r="AS136" t="str">
            <v>okres</v>
          </cell>
          <cell r="AT136" t="str">
            <v>okres</v>
          </cell>
          <cell r="AU136" t="str">
            <v>okres</v>
          </cell>
          <cell r="AV136" t="str">
            <v>okres</v>
          </cell>
          <cell r="AW136" t="str">
            <v>okres</v>
          </cell>
          <cell r="AX136" t="str">
            <v>okres</v>
          </cell>
          <cell r="AY136" t="str">
            <v>okres</v>
          </cell>
          <cell r="AZ136" t="str">
            <v>okres</v>
          </cell>
          <cell r="BA136" t="str">
            <v>okres</v>
          </cell>
          <cell r="BB136" t="str">
            <v>okres</v>
          </cell>
          <cell r="BC136" t="str">
            <v>okres</v>
          </cell>
        </row>
        <row r="137"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</row>
        <row r="147"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</row>
        <row r="148"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</row>
        <row r="150"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</row>
        <row r="153"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</row>
        <row r="156"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</row>
        <row r="158"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</row>
        <row r="163"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</row>
        <row r="164"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</row>
        <row r="165"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</row>
        <row r="169"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</row>
        <row r="173"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</row>
        <row r="182"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</row>
        <row r="184"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</row>
        <row r="187"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</row>
        <row r="188"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</row>
        <row r="191">
          <cell r="AB191" t="str">
            <v>okres</v>
          </cell>
          <cell r="AC191" t="str">
            <v>okres</v>
          </cell>
          <cell r="AD191" t="str">
            <v>okres</v>
          </cell>
          <cell r="AE191" t="str">
            <v>okres</v>
          </cell>
          <cell r="AF191" t="str">
            <v>okres</v>
          </cell>
          <cell r="AG191" t="str">
            <v>okres</v>
          </cell>
          <cell r="AH191" t="str">
            <v>okres</v>
          </cell>
          <cell r="AI191" t="str">
            <v>okres</v>
          </cell>
          <cell r="AJ191" t="str">
            <v>okres</v>
          </cell>
          <cell r="AK191" t="str">
            <v>okres</v>
          </cell>
          <cell r="AL191" t="str">
            <v>okres</v>
          </cell>
          <cell r="AM191" t="str">
            <v>okres</v>
          </cell>
          <cell r="AN191" t="str">
            <v>okres</v>
          </cell>
          <cell r="AO191" t="str">
            <v>okres</v>
          </cell>
          <cell r="AP191" t="str">
            <v>okres</v>
          </cell>
          <cell r="AQ191" t="str">
            <v>okres</v>
          </cell>
          <cell r="AR191" t="str">
            <v>okres</v>
          </cell>
          <cell r="AS191" t="str">
            <v>okres</v>
          </cell>
          <cell r="AT191" t="str">
            <v>okres</v>
          </cell>
          <cell r="AU191" t="str">
            <v>okres</v>
          </cell>
          <cell r="AV191" t="str">
            <v>okres</v>
          </cell>
          <cell r="AW191" t="str">
            <v>okres</v>
          </cell>
          <cell r="AX191" t="str">
            <v>okres</v>
          </cell>
          <cell r="AY191" t="str">
            <v>okres</v>
          </cell>
          <cell r="AZ191" t="str">
            <v>okres</v>
          </cell>
          <cell r="BA191" t="str">
            <v>okres</v>
          </cell>
          <cell r="BB191" t="str">
            <v>okres</v>
          </cell>
          <cell r="BC191" t="str">
            <v>okres</v>
          </cell>
        </row>
        <row r="214">
          <cell r="D214" t="str">
            <v>okres</v>
          </cell>
          <cell r="E214" t="str">
            <v>okres</v>
          </cell>
          <cell r="F214" t="str">
            <v>okres</v>
          </cell>
          <cell r="G214" t="str">
            <v>okres</v>
          </cell>
          <cell r="H214" t="str">
            <v>okres</v>
          </cell>
          <cell r="I214" t="str">
            <v>okres</v>
          </cell>
          <cell r="J214" t="str">
            <v>okres</v>
          </cell>
          <cell r="K214" t="str">
            <v>okres</v>
          </cell>
          <cell r="L214" t="str">
            <v>okres</v>
          </cell>
          <cell r="M214" t="str">
            <v>okres</v>
          </cell>
          <cell r="N214" t="str">
            <v>okres</v>
          </cell>
          <cell r="O214" t="str">
            <v>okres</v>
          </cell>
          <cell r="P214" t="str">
            <v>okres</v>
          </cell>
          <cell r="Q214" t="str">
            <v>okres</v>
          </cell>
          <cell r="R214" t="str">
            <v>okres</v>
          </cell>
          <cell r="S214" t="str">
            <v>okres</v>
          </cell>
          <cell r="T214" t="str">
            <v>okres</v>
          </cell>
          <cell r="U214" t="str">
            <v>okres</v>
          </cell>
          <cell r="V214" t="str">
            <v>okres</v>
          </cell>
          <cell r="W214" t="str">
            <v>okres</v>
          </cell>
          <cell r="X214" t="str">
            <v>okres</v>
          </cell>
          <cell r="AB214" t="str">
            <v>okres</v>
          </cell>
          <cell r="AC214" t="str">
            <v>okres</v>
          </cell>
          <cell r="AD214" t="str">
            <v>okres</v>
          </cell>
          <cell r="AE214" t="str">
            <v>okres</v>
          </cell>
          <cell r="AF214" t="str">
            <v>okres</v>
          </cell>
          <cell r="AG214" t="str">
            <v>okres</v>
          </cell>
          <cell r="AH214" t="str">
            <v>okres</v>
          </cell>
          <cell r="AI214" t="str">
            <v>okres</v>
          </cell>
          <cell r="AJ214" t="str">
            <v>okres</v>
          </cell>
          <cell r="AK214" t="str">
            <v>okres</v>
          </cell>
          <cell r="AL214" t="str">
            <v>okres</v>
          </cell>
          <cell r="AM214" t="str">
            <v>okres</v>
          </cell>
          <cell r="AN214" t="str">
            <v>okres</v>
          </cell>
          <cell r="AO214" t="str">
            <v>okres</v>
          </cell>
          <cell r="AP214" t="str">
            <v>okres</v>
          </cell>
          <cell r="AQ214" t="str">
            <v>okres</v>
          </cell>
          <cell r="AR214" t="str">
            <v>okres</v>
          </cell>
          <cell r="AS214" t="str">
            <v>okres</v>
          </cell>
          <cell r="AT214" t="str">
            <v>okres</v>
          </cell>
          <cell r="AU214" t="str">
            <v>okres</v>
          </cell>
          <cell r="AV214" t="str">
            <v>okres</v>
          </cell>
          <cell r="AW214" t="str">
            <v>okres</v>
          </cell>
          <cell r="AX214" t="str">
            <v>okres</v>
          </cell>
          <cell r="AY214" t="str">
            <v>okres</v>
          </cell>
          <cell r="AZ214" t="str">
            <v>okres</v>
          </cell>
          <cell r="BA214" t="str">
            <v>okres</v>
          </cell>
          <cell r="BB214" t="str">
            <v>okres</v>
          </cell>
          <cell r="BC214" t="str">
            <v>okres</v>
          </cell>
        </row>
        <row r="215">
          <cell r="D215" t="str">
            <v>S</v>
          </cell>
          <cell r="E215" t="str">
            <v>S</v>
          </cell>
          <cell r="F215" t="str">
            <v>S</v>
          </cell>
          <cell r="G215" t="str">
            <v>S</v>
          </cell>
          <cell r="H215" t="str">
            <v>S</v>
          </cell>
          <cell r="I215" t="str">
            <v>S</v>
          </cell>
          <cell r="J215" t="str">
            <v>S</v>
          </cell>
          <cell r="K215" t="str">
            <v>S</v>
          </cell>
          <cell r="L215" t="str">
            <v>S</v>
          </cell>
          <cell r="M215" t="str">
            <v>S</v>
          </cell>
          <cell r="N215" t="str">
            <v>S</v>
          </cell>
          <cell r="O215" t="str">
            <v>S</v>
          </cell>
          <cell r="P215" t="str">
            <v>S</v>
          </cell>
          <cell r="Q215" t="str">
            <v>S</v>
          </cell>
          <cell r="R215" t="str">
            <v>S</v>
          </cell>
          <cell r="S215" t="str">
            <v>S</v>
          </cell>
          <cell r="T215" t="str">
            <v>S</v>
          </cell>
          <cell r="U215" t="str">
            <v>S</v>
          </cell>
          <cell r="V215" t="str">
            <v>S</v>
          </cell>
          <cell r="W215" t="str">
            <v>S</v>
          </cell>
          <cell r="X215" t="str">
            <v>S</v>
          </cell>
          <cell r="AB215" t="str">
            <v>N</v>
          </cell>
          <cell r="AC215" t="str">
            <v>N</v>
          </cell>
          <cell r="AD215" t="str">
            <v>N</v>
          </cell>
          <cell r="AE215" t="str">
            <v>N</v>
          </cell>
          <cell r="AF215" t="str">
            <v>N</v>
          </cell>
          <cell r="AG215" t="str">
            <v>N</v>
          </cell>
          <cell r="AH215" t="str">
            <v>N</v>
          </cell>
          <cell r="AI215" t="str">
            <v>N</v>
          </cell>
          <cell r="AJ215" t="str">
            <v>N</v>
          </cell>
          <cell r="AK215" t="str">
            <v>N</v>
          </cell>
          <cell r="AL215" t="str">
            <v>N</v>
          </cell>
          <cell r="AM215" t="str">
            <v>N</v>
          </cell>
          <cell r="AN215" t="str">
            <v>N</v>
          </cell>
          <cell r="AO215" t="str">
            <v>N</v>
          </cell>
          <cell r="AP215" t="str">
            <v>N</v>
          </cell>
          <cell r="AQ215" t="str">
            <v>N</v>
          </cell>
          <cell r="AR215" t="str">
            <v>N</v>
          </cell>
          <cell r="AS215" t="str">
            <v>N</v>
          </cell>
          <cell r="AT215" t="str">
            <v>N</v>
          </cell>
          <cell r="AU215" t="str">
            <v>N</v>
          </cell>
          <cell r="AV215" t="str">
            <v>N</v>
          </cell>
          <cell r="AW215" t="str">
            <v>N</v>
          </cell>
          <cell r="AX215" t="str">
            <v>N</v>
          </cell>
          <cell r="AY215" t="str">
            <v>N</v>
          </cell>
          <cell r="AZ215" t="str">
            <v>N</v>
          </cell>
          <cell r="BA215" t="str">
            <v>N</v>
          </cell>
          <cell r="BB215" t="str">
            <v>N</v>
          </cell>
          <cell r="BC215" t="str">
            <v>N</v>
          </cell>
        </row>
        <row r="217">
          <cell r="D217">
            <v>365</v>
          </cell>
          <cell r="E217">
            <v>365</v>
          </cell>
          <cell r="F217">
            <v>365</v>
          </cell>
          <cell r="G217">
            <v>365</v>
          </cell>
          <cell r="H217">
            <v>365</v>
          </cell>
          <cell r="I217">
            <v>365</v>
          </cell>
          <cell r="J217">
            <v>365</v>
          </cell>
          <cell r="K217">
            <v>365</v>
          </cell>
          <cell r="L217">
            <v>365</v>
          </cell>
          <cell r="M217">
            <v>365</v>
          </cell>
          <cell r="N217">
            <v>365</v>
          </cell>
          <cell r="O217">
            <v>365</v>
          </cell>
          <cell r="P217">
            <v>365</v>
          </cell>
          <cell r="Q217">
            <v>365</v>
          </cell>
          <cell r="R217">
            <v>365</v>
          </cell>
          <cell r="S217">
            <v>365</v>
          </cell>
          <cell r="T217">
            <v>365</v>
          </cell>
          <cell r="U217">
            <v>365</v>
          </cell>
          <cell r="V217">
            <v>365</v>
          </cell>
          <cell r="W217">
            <v>365</v>
          </cell>
          <cell r="X217">
            <v>365</v>
          </cell>
          <cell r="AB217">
            <v>365</v>
          </cell>
          <cell r="AC217">
            <v>365</v>
          </cell>
          <cell r="AD217">
            <v>365</v>
          </cell>
          <cell r="AE217">
            <v>365</v>
          </cell>
          <cell r="AF217">
            <v>365</v>
          </cell>
          <cell r="AG217">
            <v>365</v>
          </cell>
          <cell r="AH217">
            <v>365</v>
          </cell>
          <cell r="AI217">
            <v>365</v>
          </cell>
          <cell r="AJ217">
            <v>365</v>
          </cell>
          <cell r="AK217">
            <v>365</v>
          </cell>
          <cell r="AL217">
            <v>365</v>
          </cell>
          <cell r="AM217">
            <v>365</v>
          </cell>
          <cell r="AN217">
            <v>365</v>
          </cell>
          <cell r="AO217">
            <v>365</v>
          </cell>
          <cell r="AP217">
            <v>365</v>
          </cell>
          <cell r="AQ217">
            <v>365</v>
          </cell>
          <cell r="AR217">
            <v>365</v>
          </cell>
          <cell r="AS217">
            <v>365</v>
          </cell>
          <cell r="AT217">
            <v>365</v>
          </cell>
          <cell r="AU217">
            <v>365</v>
          </cell>
          <cell r="AV217">
            <v>365</v>
          </cell>
          <cell r="AW217">
            <v>365</v>
          </cell>
          <cell r="AX217">
            <v>365</v>
          </cell>
          <cell r="AY217">
            <v>365</v>
          </cell>
          <cell r="AZ217">
            <v>365</v>
          </cell>
          <cell r="BA217">
            <v>365</v>
          </cell>
          <cell r="BB217">
            <v>365</v>
          </cell>
          <cell r="BC217">
            <v>365</v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</row>
        <row r="219">
          <cell r="D219" t="str">
            <v>okres</v>
          </cell>
          <cell r="E219" t="str">
            <v>okres</v>
          </cell>
          <cell r="F219" t="str">
            <v>okres</v>
          </cell>
          <cell r="G219" t="str">
            <v>okres</v>
          </cell>
          <cell r="H219" t="str">
            <v>okres</v>
          </cell>
          <cell r="I219" t="str">
            <v>okres</v>
          </cell>
          <cell r="J219" t="str">
            <v>okres</v>
          </cell>
          <cell r="K219" t="str">
            <v>okres</v>
          </cell>
          <cell r="L219" t="str">
            <v>okres</v>
          </cell>
          <cell r="M219" t="str">
            <v>okres</v>
          </cell>
          <cell r="N219" t="str">
            <v>okres</v>
          </cell>
          <cell r="O219" t="str">
            <v>okres</v>
          </cell>
          <cell r="P219" t="str">
            <v>okres</v>
          </cell>
          <cell r="Q219" t="str">
            <v>okres</v>
          </cell>
          <cell r="R219" t="str">
            <v>okres</v>
          </cell>
          <cell r="S219" t="str">
            <v>okres</v>
          </cell>
          <cell r="T219" t="str">
            <v>okres</v>
          </cell>
          <cell r="U219" t="str">
            <v>okres</v>
          </cell>
          <cell r="V219" t="str">
            <v>okres</v>
          </cell>
          <cell r="W219" t="str">
            <v>okres</v>
          </cell>
          <cell r="X219" t="str">
            <v>okres</v>
          </cell>
          <cell r="AA219" t="str">
            <v>Badane okresy</v>
          </cell>
          <cell r="AB219" t="str">
            <v>okres</v>
          </cell>
          <cell r="AC219" t="str">
            <v>okres</v>
          </cell>
          <cell r="AD219" t="str">
            <v>okres</v>
          </cell>
          <cell r="AE219" t="str">
            <v>okres</v>
          </cell>
          <cell r="AF219" t="str">
            <v>okres</v>
          </cell>
          <cell r="AG219" t="str">
            <v>okres</v>
          </cell>
          <cell r="AH219" t="str">
            <v>okres</v>
          </cell>
          <cell r="AI219" t="str">
            <v>okres</v>
          </cell>
          <cell r="AJ219" t="str">
            <v>okres</v>
          </cell>
          <cell r="AK219" t="str">
            <v>okres</v>
          </cell>
          <cell r="AL219" t="str">
            <v>okres</v>
          </cell>
          <cell r="AM219" t="str">
            <v>okres</v>
          </cell>
          <cell r="AN219" t="str">
            <v>okres</v>
          </cell>
          <cell r="AO219" t="str">
            <v>okres</v>
          </cell>
          <cell r="AP219" t="str">
            <v>okres</v>
          </cell>
          <cell r="AQ219" t="str">
            <v>okres</v>
          </cell>
          <cell r="AR219" t="str">
            <v>okres</v>
          </cell>
          <cell r="AS219" t="str">
            <v>okres</v>
          </cell>
          <cell r="AT219" t="str">
            <v>okres</v>
          </cell>
          <cell r="AU219" t="str">
            <v>okres</v>
          </cell>
          <cell r="AV219" t="str">
            <v>okres</v>
          </cell>
          <cell r="AW219" t="str">
            <v>okres</v>
          </cell>
          <cell r="AX219" t="str">
            <v>okres</v>
          </cell>
          <cell r="AY219" t="str">
            <v>okres</v>
          </cell>
          <cell r="AZ219" t="str">
            <v>okres</v>
          </cell>
          <cell r="BA219" t="str">
            <v>okres</v>
          </cell>
          <cell r="BB219" t="str">
            <v>okres</v>
          </cell>
          <cell r="BC219" t="str">
            <v>okres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Z220" t="str">
            <v>A.</v>
          </cell>
          <cell r="AA220" t="str">
            <v>Przychody ogółem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Z221" t="str">
            <v>1.</v>
          </cell>
          <cell r="AA221" t="str">
            <v>przychody ze sprzedaży produktów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Z222" t="str">
            <v>2.</v>
          </cell>
          <cell r="AA222" t="str">
            <v>przychody ze sprzedaży towarów i materiałów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Z223" t="str">
            <v>3.</v>
          </cell>
          <cell r="AA223" t="str">
            <v>zmiana stanu produktów (wzrost+/ spadek-)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Z224" t="str">
            <v>4.</v>
          </cell>
          <cell r="AA224" t="str">
            <v>koszt wytworzenia świadczeń na własne potrzeby jednostki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Z225" t="str">
            <v>B.</v>
          </cell>
          <cell r="AA225" t="str">
            <v>Koszty działalności operacyjnej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Z226" t="str">
            <v>1.</v>
          </cell>
          <cell r="AA226" t="str">
            <v>wartość sprzedanych towarów i materiałów w cenie zakupu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Z227" t="str">
            <v>2.</v>
          </cell>
          <cell r="AA227" t="str">
            <v>koszt wytworzenia sprzedanych produktów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Z228" t="str">
            <v>3.</v>
          </cell>
          <cell r="AA228" t="str">
            <v>koszty sprzedaży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Z229" t="str">
            <v>4.</v>
          </cell>
          <cell r="AA229" t="str">
            <v>koszy ogólnego zarządu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Z230" t="str">
            <v>5.</v>
          </cell>
          <cell r="AA230" t="str">
            <v>koszty ogółem (wg rodzaju)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Z231" t="str">
            <v>C.</v>
          </cell>
          <cell r="AA231" t="str">
            <v>Zysk/ strata ze sprzedaży (A-B)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Z232" t="str">
            <v>D.</v>
          </cell>
          <cell r="AA232" t="str">
            <v>Pozostałe przychody operacyjne razem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Z233" t="str">
            <v>1.</v>
          </cell>
          <cell r="AA233" t="str">
            <v>przychody ze sprzedaży składników majątku trwałego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Z234" t="str">
            <v>2.</v>
          </cell>
          <cell r="AA234" t="str">
            <v>dotacje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Z235" t="str">
            <v>3.</v>
          </cell>
          <cell r="AA235" t="str">
            <v>pozostałe przychody operacyjne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Z236" t="str">
            <v>E.</v>
          </cell>
          <cell r="AA236" t="str">
            <v>Pozostałe koszty operacyjne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Z237" t="str">
            <v>1.</v>
          </cell>
          <cell r="AA237" t="str">
            <v>wartość sprzedanych składników majątku trwałego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Z238" t="str">
            <v>2.</v>
          </cell>
          <cell r="AA238" t="str">
            <v>pozostałe koszty operacyjne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Z239" t="str">
            <v>F.</v>
          </cell>
          <cell r="AA239" t="str">
            <v>Zysk/ strata na działalności operacyjnej (C+D-E)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Z240" t="str">
            <v>G.</v>
          </cell>
          <cell r="AA240" t="str">
            <v>Przychody finansowe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Z241" t="str">
            <v>1.</v>
          </cell>
          <cell r="AA241" t="str">
            <v>dywidendy z tytułu udziałów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Z242" t="str">
            <v>2.</v>
          </cell>
          <cell r="AA242" t="str">
            <v xml:space="preserve">   w tym jednostek zależnych i stowarzyszonych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Z243" t="str">
            <v>3.</v>
          </cell>
          <cell r="AA243" t="str">
            <v>odsetki uzyskane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Z244" t="str">
            <v>4.</v>
          </cell>
          <cell r="AA244" t="str">
            <v>pozostałe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Z245" t="str">
            <v>H.</v>
          </cell>
          <cell r="AA245" t="str">
            <v>Koszty finansowe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Z246" t="str">
            <v>1.</v>
          </cell>
          <cell r="AA246" t="str">
            <v>odpisy aktualizujące wartość finansowego majątku trwałego oraz krótkoterminowych papierów wartościowych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Z247" t="str">
            <v>2.</v>
          </cell>
          <cell r="AA247" t="str">
            <v>odsetki do zapłacenia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Z248" t="str">
            <v>3.</v>
          </cell>
          <cell r="AA248" t="str">
            <v xml:space="preserve">   w tym jednostkom zależnym i stowarzyszonym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Z249" t="str">
            <v>4.</v>
          </cell>
          <cell r="AA249" t="str">
            <v>pozostałe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Z250" t="str">
            <v>I.</v>
          </cell>
          <cell r="AA250" t="str">
            <v xml:space="preserve">Zysk/ strata brutto na działalności gospodarczej  (F+G-H) 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Z251" t="str">
            <v>J.</v>
          </cell>
          <cell r="AA251" t="str">
            <v>Zyski nadzwyczajne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Z252" t="str">
            <v>K.</v>
          </cell>
          <cell r="AA252" t="str">
            <v>Straty nadzwyczajne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Z253" t="str">
            <v>L.</v>
          </cell>
          <cell r="AA253" t="str">
            <v>Zysk/ strata brutto (I+J-K)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Z254" t="str">
            <v>M.</v>
          </cell>
          <cell r="AA254" t="str">
            <v>Obowiązkowe obciążenia wyniku finansowego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Z255" t="str">
            <v>1.</v>
          </cell>
          <cell r="AA255" t="str">
            <v>podatek dochodowy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Z256" t="str">
            <v>2.</v>
          </cell>
          <cell r="AA256" t="str">
            <v>inne obowiązkowe obciążenia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Z257" t="str">
            <v>N.</v>
          </cell>
          <cell r="AA257" t="str">
            <v>Zysk/ strata netto (L-M)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</row>
        <row r="261">
          <cell r="Z261" t="str">
            <v>Bilans - Aktywa</v>
          </cell>
        </row>
        <row r="262">
          <cell r="D262" t="str">
            <v>okres</v>
          </cell>
          <cell r="E262" t="str">
            <v>okres</v>
          </cell>
          <cell r="F262" t="str">
            <v>okres</v>
          </cell>
          <cell r="G262" t="str">
            <v>okres</v>
          </cell>
          <cell r="H262" t="str">
            <v>okres</v>
          </cell>
          <cell r="I262" t="str">
            <v>okres</v>
          </cell>
          <cell r="J262" t="str">
            <v>okres</v>
          </cell>
          <cell r="K262" t="str">
            <v>okres</v>
          </cell>
          <cell r="L262" t="str">
            <v>okres</v>
          </cell>
          <cell r="M262" t="str">
            <v>okres</v>
          </cell>
          <cell r="N262" t="str">
            <v>okres</v>
          </cell>
          <cell r="O262" t="str">
            <v>okres</v>
          </cell>
          <cell r="P262" t="str">
            <v>okres</v>
          </cell>
          <cell r="Q262" t="str">
            <v>okres</v>
          </cell>
          <cell r="R262" t="str">
            <v>okres</v>
          </cell>
          <cell r="S262" t="str">
            <v>okres</v>
          </cell>
          <cell r="T262" t="str">
            <v>okres</v>
          </cell>
          <cell r="U262" t="str">
            <v>okres</v>
          </cell>
          <cell r="V262" t="str">
            <v>okres</v>
          </cell>
          <cell r="W262" t="str">
            <v>okres</v>
          </cell>
          <cell r="X262" t="str">
            <v>okres</v>
          </cell>
          <cell r="AA262" t="str">
            <v>Badane okresy</v>
          </cell>
          <cell r="AB262" t="str">
            <v>okres</v>
          </cell>
          <cell r="AC262" t="str">
            <v>okres</v>
          </cell>
          <cell r="AD262" t="str">
            <v>okres</v>
          </cell>
          <cell r="AE262" t="str">
            <v>okres</v>
          </cell>
          <cell r="AF262" t="str">
            <v>okres</v>
          </cell>
          <cell r="AG262" t="str">
            <v>okres</v>
          </cell>
          <cell r="AH262" t="str">
            <v>okres</v>
          </cell>
          <cell r="AI262" t="str">
            <v>okres</v>
          </cell>
          <cell r="AJ262" t="str">
            <v>okres</v>
          </cell>
          <cell r="AK262" t="str">
            <v>okres</v>
          </cell>
          <cell r="AL262" t="str">
            <v>okres</v>
          </cell>
          <cell r="AM262" t="str">
            <v>okres</v>
          </cell>
          <cell r="AN262" t="str">
            <v>okres</v>
          </cell>
          <cell r="AO262" t="str">
            <v>okres</v>
          </cell>
          <cell r="AP262" t="str">
            <v>okres</v>
          </cell>
          <cell r="AQ262" t="str">
            <v>okres</v>
          </cell>
          <cell r="AR262" t="str">
            <v>okres</v>
          </cell>
          <cell r="AS262" t="str">
            <v>okres</v>
          </cell>
          <cell r="AT262" t="str">
            <v>okres</v>
          </cell>
          <cell r="AU262" t="str">
            <v>okres</v>
          </cell>
          <cell r="AV262" t="str">
            <v>okres</v>
          </cell>
          <cell r="AW262" t="str">
            <v>okres</v>
          </cell>
          <cell r="AX262" t="str">
            <v>okres</v>
          </cell>
          <cell r="AY262" t="str">
            <v>okres</v>
          </cell>
          <cell r="AZ262" t="str">
            <v>okres</v>
          </cell>
          <cell r="BA262" t="str">
            <v>okres</v>
          </cell>
          <cell r="BB262" t="str">
            <v>okres</v>
          </cell>
          <cell r="BC262" t="str">
            <v>okres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Z263" t="str">
            <v>A.</v>
          </cell>
          <cell r="AA263" t="str">
            <v xml:space="preserve">Majątek trwały 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Z264" t="str">
            <v>I.</v>
          </cell>
          <cell r="AA264" t="str">
            <v>Wartości niematerialne i prawne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Z265" t="str">
            <v>1.</v>
          </cell>
          <cell r="AA265" t="str">
            <v>koszty organizacji poniesione przy założeniu lub późniejszym rozszerzeniu spółki akcyjnej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Z266" t="str">
            <v>2.</v>
          </cell>
          <cell r="AA266" t="str">
            <v>koszty prac rozwojowych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Z267" t="str">
            <v>3.</v>
          </cell>
          <cell r="AA267" t="str">
            <v>wartość firmy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Z268" t="str">
            <v>4.</v>
          </cell>
          <cell r="AA268" t="str">
            <v>inne wartości niematerialne i prawne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Z269" t="str">
            <v>5.</v>
          </cell>
          <cell r="AA269" t="str">
            <v>zaliczki na poczet wartości niematerialnych i prawnych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Z270" t="str">
            <v>II.</v>
          </cell>
          <cell r="AA270" t="str">
            <v>Rzeczowy majątek trwały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Z271" t="str">
            <v>1.</v>
          </cell>
          <cell r="AA271" t="str">
            <v>grunty własne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Z272" t="str">
            <v>2.</v>
          </cell>
          <cell r="AA272" t="str">
            <v>budynki i budowle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Z273" t="str">
            <v>3.</v>
          </cell>
          <cell r="AA273" t="str">
            <v>urządzenia techniczne i maszyny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Z274" t="str">
            <v>4.</v>
          </cell>
          <cell r="AA274" t="str">
            <v>środki transportu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Z275" t="str">
            <v>5.</v>
          </cell>
          <cell r="AA275" t="str">
            <v>pozostałe środki trwałe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Z276" t="str">
            <v>6.</v>
          </cell>
          <cell r="AA276" t="str">
            <v>inwestycje rozpoczęte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Z277" t="str">
            <v>7.</v>
          </cell>
          <cell r="AA277" t="str">
            <v>zaliczki na poczet inwestycji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Z278" t="str">
            <v>III.</v>
          </cell>
          <cell r="AA278" t="str">
            <v>Finansowy majątek trwały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Z279" t="str">
            <v>1.</v>
          </cell>
          <cell r="AA279" t="str">
            <v>udziały i akcje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Z280" t="str">
            <v>2.</v>
          </cell>
          <cell r="AA280" t="str">
            <v>papiery wartościowe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Z281" t="str">
            <v>3.</v>
          </cell>
          <cell r="AA281" t="str">
            <v>udzielone pożyczki długoterminowe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Z282" t="str">
            <v>4.</v>
          </cell>
          <cell r="AA282" t="str">
            <v>inne składniki finansowego majątku trwałego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Z283" t="str">
            <v>IV.</v>
          </cell>
          <cell r="AA283" t="str">
            <v>Należności długoterminowe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Z284" t="str">
            <v>B.</v>
          </cell>
          <cell r="AA284" t="str">
            <v>Majątek obrotowy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Z285" t="str">
            <v>I.</v>
          </cell>
          <cell r="AA285" t="str">
            <v>Zapasy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Z286" t="str">
            <v>1.</v>
          </cell>
          <cell r="AA286" t="str">
            <v>materiały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Z287" t="str">
            <v>2.</v>
          </cell>
          <cell r="AA287" t="str">
            <v>półprodukty i produkty w toku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Z288" t="str">
            <v>3.</v>
          </cell>
          <cell r="AA288" t="str">
            <v>produkty gotowe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Z289" t="str">
            <v>4.</v>
          </cell>
          <cell r="AA289" t="str">
            <v>towary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Z290" t="str">
            <v>5.</v>
          </cell>
          <cell r="AA290" t="str">
            <v>zaliczki na poczet dostaw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Z291" t="str">
            <v>II.</v>
          </cell>
          <cell r="AA291" t="str">
            <v>Należności i roszczenia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Z292" t="str">
            <v>1.</v>
          </cell>
          <cell r="AA292" t="str">
            <v>należności z tytułu dostaw i usług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Z293" t="str">
            <v>2.</v>
          </cell>
          <cell r="AA293" t="str">
            <v>należności z tytułu podatków, dotacji i ubezp. społeczn.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Z294" t="str">
            <v>3.</v>
          </cell>
          <cell r="AA294" t="str">
            <v>inne aktywa bieżace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Z295" t="str">
            <v>4.</v>
          </cell>
          <cell r="AA295" t="str">
            <v>pozostałe należności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Z296" t="str">
            <v>5.</v>
          </cell>
          <cell r="AA296" t="str">
            <v>należności dochodzone na drodze sądowej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Z297" t="str">
            <v>III.</v>
          </cell>
          <cell r="AA297" t="str">
            <v>Papiery wartościowe przeznaczone do obrotu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Z298" t="str">
            <v>1.</v>
          </cell>
          <cell r="AA298" t="str">
            <v>udziały lub akcje własne do zbycia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Z299" t="str">
            <v>2.</v>
          </cell>
          <cell r="AA299" t="str">
            <v>inne papiery wartościowe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Z300" t="str">
            <v>IV.</v>
          </cell>
          <cell r="AA300" t="str">
            <v>Środki pieniężne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Z301" t="str">
            <v>1.</v>
          </cell>
          <cell r="AA301" t="str">
            <v>środki pieniężne w kasie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Z302" t="str">
            <v>2.</v>
          </cell>
          <cell r="AA302" t="str">
            <v>środki pieniężne w banku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Z303" t="str">
            <v>3.</v>
          </cell>
          <cell r="AA303" t="str">
            <v>inne środki pieniężne (weksle, czeki obce itp.)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Z304" t="str">
            <v>C.</v>
          </cell>
          <cell r="AA304" t="str">
            <v>Rozliczenia miedzyokresowe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Z305" t="str">
            <v>I.</v>
          </cell>
          <cell r="AA305" t="str">
            <v>Rozliczenia miedzyokresowe krótkoterminowe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Z306" t="str">
            <v>II.</v>
          </cell>
          <cell r="AA306" t="str">
            <v>Rozliczenia miedzyokresowe długoterminowe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AA307" t="str">
            <v>SUMA AKTYWÓW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</row>
        <row r="309">
          <cell r="Z309" t="str">
            <v>Bilans - pasywa</v>
          </cell>
        </row>
        <row r="310">
          <cell r="D310" t="str">
            <v>okres</v>
          </cell>
          <cell r="E310" t="str">
            <v>okres</v>
          </cell>
          <cell r="F310" t="str">
            <v>okres</v>
          </cell>
          <cell r="G310" t="str">
            <v>okres</v>
          </cell>
          <cell r="H310" t="str">
            <v>okres</v>
          </cell>
          <cell r="I310" t="str">
            <v>okres</v>
          </cell>
          <cell r="J310" t="str">
            <v>okres</v>
          </cell>
          <cell r="K310" t="str">
            <v>okres</v>
          </cell>
          <cell r="L310" t="str">
            <v>okres</v>
          </cell>
          <cell r="M310" t="str">
            <v>okres</v>
          </cell>
          <cell r="N310" t="str">
            <v>okres</v>
          </cell>
          <cell r="O310" t="str">
            <v>okres</v>
          </cell>
          <cell r="P310" t="str">
            <v>okres</v>
          </cell>
          <cell r="Q310" t="str">
            <v>okres</v>
          </cell>
          <cell r="R310" t="str">
            <v>okres</v>
          </cell>
          <cell r="S310" t="str">
            <v>okres</v>
          </cell>
          <cell r="T310" t="str">
            <v>okres</v>
          </cell>
          <cell r="U310" t="str">
            <v>okres</v>
          </cell>
          <cell r="V310" t="str">
            <v>okres</v>
          </cell>
          <cell r="W310" t="str">
            <v>okres</v>
          </cell>
          <cell r="X310" t="str">
            <v>okres</v>
          </cell>
          <cell r="AA310" t="str">
            <v>Badane okresy</v>
          </cell>
          <cell r="AB310" t="str">
            <v>okres</v>
          </cell>
          <cell r="AC310" t="str">
            <v>okres</v>
          </cell>
          <cell r="AD310" t="str">
            <v>okres</v>
          </cell>
          <cell r="AE310" t="str">
            <v>okres</v>
          </cell>
          <cell r="AF310" t="str">
            <v>okres</v>
          </cell>
          <cell r="AG310" t="str">
            <v>okres</v>
          </cell>
          <cell r="AH310" t="str">
            <v>okres</v>
          </cell>
          <cell r="AI310" t="str">
            <v>okres</v>
          </cell>
          <cell r="AJ310" t="str">
            <v>okres</v>
          </cell>
          <cell r="AK310" t="str">
            <v>okres</v>
          </cell>
          <cell r="AL310" t="str">
            <v>okres</v>
          </cell>
          <cell r="AM310" t="str">
            <v>okres</v>
          </cell>
          <cell r="AN310" t="str">
            <v>okres</v>
          </cell>
          <cell r="AO310" t="str">
            <v>okres</v>
          </cell>
          <cell r="AP310" t="str">
            <v>okres</v>
          </cell>
          <cell r="AQ310" t="str">
            <v>okres</v>
          </cell>
          <cell r="AR310" t="str">
            <v>okres</v>
          </cell>
          <cell r="AS310" t="str">
            <v>okres</v>
          </cell>
          <cell r="AT310" t="str">
            <v>okres</v>
          </cell>
          <cell r="AU310" t="str">
            <v>okres</v>
          </cell>
          <cell r="AV310" t="str">
            <v>okres</v>
          </cell>
          <cell r="AW310" t="str">
            <v>okres</v>
          </cell>
          <cell r="AX310" t="str">
            <v>okres</v>
          </cell>
          <cell r="AY310" t="str">
            <v>okres</v>
          </cell>
          <cell r="AZ310" t="str">
            <v>okres</v>
          </cell>
          <cell r="BA310" t="str">
            <v>okres</v>
          </cell>
          <cell r="BB310" t="str">
            <v>okres</v>
          </cell>
          <cell r="BC310" t="str">
            <v>okres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Z311" t="str">
            <v>A.</v>
          </cell>
          <cell r="AA311" t="str">
            <v>Kapitał ( fundusz ) własny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Z312" t="str">
            <v>I.</v>
          </cell>
          <cell r="AA312" t="str">
            <v xml:space="preserve">Kapitał ( fundusz) podstawowy 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Z313" t="str">
            <v>II.</v>
          </cell>
          <cell r="AA313" t="str">
            <v>Należne, lecz nie wniesione wkłady na poczet kapitału podstawowego (wielkość ujemna)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Z314" t="str">
            <v>III.</v>
          </cell>
          <cell r="AA314" t="str">
            <v>Kapitał ( fundusz ) zapasowy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Z315" t="str">
            <v>1.</v>
          </cell>
          <cell r="AA315" t="str">
            <v>ze sprzedaży akcji powyżej ich wartości nominalnej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Z316" t="str">
            <v>2.</v>
          </cell>
          <cell r="AA316" t="str">
            <v>tworzony ustawowo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Z317" t="str">
            <v>3.</v>
          </cell>
          <cell r="AA317" t="str">
            <v>tworzony zgodnie ze statutem lub umową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Z318" t="str">
            <v>4.</v>
          </cell>
          <cell r="AA318" t="str">
            <v>z dopłat wspólników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Z319" t="str">
            <v>5.</v>
          </cell>
          <cell r="AA319" t="str">
            <v>inny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Z320" t="str">
            <v>IV.</v>
          </cell>
          <cell r="AA320" t="str">
            <v>Kapitał (fundusz) rezerwowy z aktualizacji wyceny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Z321" t="str">
            <v>V.</v>
          </cell>
          <cell r="AA321" t="str">
            <v>Pozostałe kapitały (fundusze) rezerwowe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Z322" t="str">
            <v>VI.</v>
          </cell>
          <cell r="AA322" t="str">
            <v>Niepodzielony wynik finansowy z lat ubiegłych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Z323" t="str">
            <v>1.</v>
          </cell>
          <cell r="AA323" t="str">
            <v>zysk (wielkość dodatnia)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Z324" t="str">
            <v>2.</v>
          </cell>
          <cell r="AA324" t="str">
            <v>strata (wielkość ujemna)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Z325" t="str">
            <v>VII.</v>
          </cell>
          <cell r="AA325" t="str">
            <v>Wynik finansowy netto roku obrotowego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Z326" t="str">
            <v>1.</v>
          </cell>
          <cell r="AA326" t="str">
            <v>zysk netto (wielkość dodatnia)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Z327" t="str">
            <v>2.</v>
          </cell>
          <cell r="AA327" t="str">
            <v>strata netto (wielkość ujemna)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Z328" t="str">
            <v>3.</v>
          </cell>
          <cell r="AA328" t="str">
            <v>odpisy z wyniku finansowego bieżącego roku obrotowego (wielkość ujemna)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Z329" t="str">
            <v>B.</v>
          </cell>
          <cell r="AA329" t="str">
            <v>Rezerwy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Z330" t="str">
            <v>I.</v>
          </cell>
          <cell r="AA330" t="str">
            <v>Rezerwy na podatek dochodowy od osób prawnych lub fizycznych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Z331" t="str">
            <v>II.</v>
          </cell>
          <cell r="AA331" t="str">
            <v>Pozostałe rezerwy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Z332" t="str">
            <v>C.</v>
          </cell>
          <cell r="AA332" t="str">
            <v>Zobowiązania długoterminowe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Z333" t="str">
            <v>I.</v>
          </cell>
          <cell r="AA333" t="str">
            <v>Długoterminowe pożyczki, obligacje i inne papiery wartościowe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Z334" t="str">
            <v>II.</v>
          </cell>
          <cell r="AA334" t="str">
            <v>Długoterminowe kredyty bankowe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Z335" t="str">
            <v>III.</v>
          </cell>
          <cell r="AA335" t="str">
            <v>Pozostałe zobowiązania długoterminowe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Z336" t="str">
            <v>D.</v>
          </cell>
          <cell r="AA336" t="str">
            <v>Zobowiązania krótkoterminowe i fundusze specjalne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Z337" t="str">
            <v>I.</v>
          </cell>
          <cell r="AA337" t="str">
            <v>Zobowiązania krótkoterminowe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Z338" t="str">
            <v>1.</v>
          </cell>
          <cell r="AA338" t="str">
            <v>pożyczki, obligacje i papiery wartościowe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Z339" t="str">
            <v>2.</v>
          </cell>
          <cell r="AA339" t="str">
            <v>kredyty bankowe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Z340" t="str">
            <v>3.</v>
          </cell>
          <cell r="AA340" t="str">
            <v>zaliczki otrzymane na poczet dostaw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Z341" t="str">
            <v>4.</v>
          </cell>
          <cell r="AA341" t="str">
            <v>zobowiązania z tytułu dostaw i usług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Z342" t="str">
            <v>5.</v>
          </cell>
          <cell r="AA342" t="str">
            <v>zobowiązania wekslowe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Z343" t="str">
            <v>6.</v>
          </cell>
          <cell r="AA343" t="str">
            <v>zobowiązania z tytułu podatków, ceł, ubezpieczeń społecznych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Z344" t="str">
            <v>7.</v>
          </cell>
          <cell r="AA344" t="str">
            <v>zobowiązania z tytułu wynagrodzeń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Z345" t="str">
            <v>8.</v>
          </cell>
          <cell r="AA345" t="str">
            <v>zobowiązania wewnątrzzakładowe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Z346" t="str">
            <v>9.</v>
          </cell>
          <cell r="AA346" t="str">
            <v>pozostałe zobowiązania krótkoterminowe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Z347" t="str">
            <v>II.</v>
          </cell>
          <cell r="AA347" t="str">
            <v>Fundusze specjalne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Z348" t="str">
            <v>E.</v>
          </cell>
          <cell r="AA348" t="str">
            <v>Rozliczenia miedzyokresowe i przychody przyszłych okresów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Z349" t="str">
            <v>I.</v>
          </cell>
          <cell r="AA349" t="str">
            <v>Bierne rozliczenia międzyokresowe kosztów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Z350" t="str">
            <v>II.</v>
          </cell>
          <cell r="AA350" t="str">
            <v>Przychody przyszłych okresów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AA351" t="str">
            <v>SUMA PASYWÓW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AA352" t="str">
            <v>suma kontrolna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</row>
        <row r="354">
          <cell r="Z354" t="str">
            <v>Informacje uzupełniające</v>
          </cell>
        </row>
        <row r="355">
          <cell r="D355" t="str">
            <v>okres</v>
          </cell>
          <cell r="E355" t="str">
            <v>okres</v>
          </cell>
          <cell r="F355" t="str">
            <v>okres</v>
          </cell>
          <cell r="G355" t="str">
            <v>okres</v>
          </cell>
          <cell r="H355" t="str">
            <v>okres</v>
          </cell>
          <cell r="I355" t="str">
            <v>okres</v>
          </cell>
          <cell r="J355" t="str">
            <v>okres</v>
          </cell>
          <cell r="K355" t="str">
            <v>okres</v>
          </cell>
          <cell r="L355" t="str">
            <v>okres</v>
          </cell>
          <cell r="M355" t="str">
            <v>okres</v>
          </cell>
          <cell r="N355" t="str">
            <v>okres</v>
          </cell>
          <cell r="O355" t="str">
            <v>okres</v>
          </cell>
          <cell r="P355" t="str">
            <v>okres</v>
          </cell>
          <cell r="Q355" t="str">
            <v>okres</v>
          </cell>
          <cell r="R355" t="str">
            <v>okres</v>
          </cell>
          <cell r="S355" t="str">
            <v>okres</v>
          </cell>
          <cell r="T355" t="str">
            <v>okres</v>
          </cell>
          <cell r="U355" t="str">
            <v>okres</v>
          </cell>
          <cell r="V355" t="str">
            <v>okres</v>
          </cell>
          <cell r="W355" t="str">
            <v>okres</v>
          </cell>
          <cell r="X355" t="str">
            <v>okres</v>
          </cell>
          <cell r="AA355" t="str">
            <v>Badane okresy</v>
          </cell>
          <cell r="AB355" t="str">
            <v>okres</v>
          </cell>
          <cell r="AC355" t="str">
            <v>okres</v>
          </cell>
          <cell r="AD355" t="str">
            <v>okres</v>
          </cell>
          <cell r="AE355" t="str">
            <v>okres</v>
          </cell>
          <cell r="AF355" t="str">
            <v>okres</v>
          </cell>
          <cell r="AG355" t="str">
            <v>okres</v>
          </cell>
          <cell r="AH355" t="str">
            <v>okres</v>
          </cell>
          <cell r="AI355" t="str">
            <v>okres</v>
          </cell>
          <cell r="AJ355" t="str">
            <v>okres</v>
          </cell>
          <cell r="AK355" t="str">
            <v>okres</v>
          </cell>
          <cell r="AL355" t="str">
            <v>okres</v>
          </cell>
          <cell r="AM355" t="str">
            <v>okres</v>
          </cell>
          <cell r="AN355" t="str">
            <v>okres</v>
          </cell>
          <cell r="AO355" t="str">
            <v>okres</v>
          </cell>
          <cell r="AP355" t="str">
            <v>okres</v>
          </cell>
          <cell r="AQ355" t="str">
            <v>okres</v>
          </cell>
          <cell r="AR355" t="str">
            <v>okres</v>
          </cell>
          <cell r="AS355" t="str">
            <v>okres</v>
          </cell>
          <cell r="AT355" t="str">
            <v>okres</v>
          </cell>
          <cell r="AU355" t="str">
            <v>okres</v>
          </cell>
          <cell r="AV355" t="str">
            <v>okres</v>
          </cell>
          <cell r="AW355" t="str">
            <v>okres</v>
          </cell>
          <cell r="AX355" t="str">
            <v>okres</v>
          </cell>
          <cell r="AY355" t="str">
            <v>okres</v>
          </cell>
          <cell r="AZ355" t="str">
            <v>okres</v>
          </cell>
          <cell r="BA355" t="str">
            <v>okres</v>
          </cell>
          <cell r="BB355" t="str">
            <v>okres</v>
          </cell>
          <cell r="BC355" t="str">
            <v>okres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Z356" t="str">
            <v>1.</v>
          </cell>
          <cell r="AA356" t="str">
            <v>Amortyzacja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Z357" t="str">
            <v>2.</v>
          </cell>
          <cell r="AA357" t="str">
            <v>Odsetki od kredytów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Z358" t="str">
            <v>3.</v>
          </cell>
          <cell r="AA358" t="str">
            <v>Dywidenda w roku obrachunkowym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</row>
        <row r="359"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Z359" t="str">
            <v>4.</v>
          </cell>
          <cell r="AA359" t="str">
            <v>Inne znaczące korekty zysku brutto nie związane z podstawową działalnością (przychodowe "-"; kosztowe "+")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</row>
        <row r="360"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Z360" t="str">
            <v>5.</v>
          </cell>
          <cell r="AA360" t="str">
            <v>Znaczące należności bieżące nie związane z podstawową działalnością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</row>
        <row r="361"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Z361" t="str">
            <v>6.</v>
          </cell>
          <cell r="AA361" t="str">
            <v>Znaczące zobowiązania bieżące nie związane z podstawową działalnością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</row>
        <row r="363"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</row>
        <row r="364"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</row>
        <row r="365"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</row>
        <row r="366"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</row>
        <row r="367"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</row>
        <row r="368">
          <cell r="D368">
            <v>1</v>
          </cell>
          <cell r="E368">
            <v>1</v>
          </cell>
          <cell r="F368">
            <v>1</v>
          </cell>
          <cell r="G368">
            <v>1</v>
          </cell>
          <cell r="H368">
            <v>1</v>
          </cell>
          <cell r="I368">
            <v>1</v>
          </cell>
          <cell r="J368">
            <v>1</v>
          </cell>
          <cell r="K368">
            <v>1</v>
          </cell>
          <cell r="L368">
            <v>1</v>
          </cell>
          <cell r="M368">
            <v>1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</row>
        <row r="369">
          <cell r="D369" t="str">
            <v>OK.</v>
          </cell>
          <cell r="E369" t="str">
            <v>Błąd (1)</v>
          </cell>
          <cell r="F369" t="str">
            <v>Błąd (1)</v>
          </cell>
          <cell r="G369" t="str">
            <v>Błąd (1)</v>
          </cell>
          <cell r="H369" t="str">
            <v>Błąd (1)</v>
          </cell>
          <cell r="I369" t="str">
            <v>Błąd (1)</v>
          </cell>
          <cell r="J369" t="str">
            <v>Błąd (1)</v>
          </cell>
          <cell r="K369" t="str">
            <v>Błąd (1)</v>
          </cell>
          <cell r="L369" t="str">
            <v>Błąd (1)</v>
          </cell>
          <cell r="M369" t="str">
            <v>Błąd (1)</v>
          </cell>
          <cell r="N369" t="str">
            <v>Błąd (1)</v>
          </cell>
          <cell r="O369" t="str">
            <v>Błąd (1)</v>
          </cell>
          <cell r="P369" t="str">
            <v>Błąd (1)</v>
          </cell>
          <cell r="Q369" t="str">
            <v>Błąd (1)</v>
          </cell>
          <cell r="R369" t="str">
            <v>Błąd (1)</v>
          </cell>
          <cell r="S369" t="str">
            <v>Błąd (1)</v>
          </cell>
          <cell r="T369" t="str">
            <v>Błąd (1)</v>
          </cell>
          <cell r="U369" t="str">
            <v>Błąd (1)</v>
          </cell>
          <cell r="V369" t="str">
            <v>Błąd (1)</v>
          </cell>
          <cell r="W369" t="str">
            <v>Błąd (1)</v>
          </cell>
          <cell r="X369" t="str">
            <v>Błąd (1)</v>
          </cell>
          <cell r="AB369" t="str">
            <v>Błąd (1)</v>
          </cell>
          <cell r="AC369" t="str">
            <v>Błąd (1)</v>
          </cell>
          <cell r="AD369" t="str">
            <v>Błąd (1)</v>
          </cell>
          <cell r="AE369" t="str">
            <v>Błąd (1)</v>
          </cell>
          <cell r="AF369" t="str">
            <v>Błąd (1)</v>
          </cell>
          <cell r="AG369" t="str">
            <v>Błąd (1)</v>
          </cell>
          <cell r="AH369" t="str">
            <v>Błąd (1)</v>
          </cell>
          <cell r="AI369" t="str">
            <v>Błąd (1)</v>
          </cell>
          <cell r="AJ369" t="str">
            <v>Błąd (1)</v>
          </cell>
          <cell r="AK369" t="str">
            <v>Błąd (1)</v>
          </cell>
          <cell r="AL369" t="str">
            <v>Błąd (1)</v>
          </cell>
          <cell r="AM369" t="str">
            <v>Błąd (1)</v>
          </cell>
          <cell r="AN369" t="str">
            <v>Błąd (1)</v>
          </cell>
          <cell r="AO369" t="str">
            <v>Błąd (1)</v>
          </cell>
          <cell r="AP369" t="str">
            <v>Błąd (1)</v>
          </cell>
          <cell r="AQ369" t="str">
            <v>Błąd (1)</v>
          </cell>
          <cell r="AR369" t="str">
            <v>Błąd (1)</v>
          </cell>
          <cell r="AS369" t="str">
            <v>Błąd (1)</v>
          </cell>
          <cell r="AT369" t="str">
            <v>Błąd (1)</v>
          </cell>
          <cell r="AU369" t="str">
            <v>Błąd (1)</v>
          </cell>
          <cell r="AV369" t="str">
            <v>Błąd (1)</v>
          </cell>
          <cell r="AW369" t="str">
            <v>Błąd (1)</v>
          </cell>
          <cell r="AX369" t="str">
            <v>Błąd (1)</v>
          </cell>
          <cell r="AY369" t="str">
            <v>Błąd (1)</v>
          </cell>
          <cell r="AZ369" t="str">
            <v>Błąd (1)</v>
          </cell>
          <cell r="BA369" t="str">
            <v>Błąd (1)</v>
          </cell>
          <cell r="BB369" t="str">
            <v>Błąd (1)</v>
          </cell>
          <cell r="BC369" t="str">
            <v>Błąd (1)</v>
          </cell>
        </row>
        <row r="370">
          <cell r="D370" t="str">
            <v>Błąd (2)</v>
          </cell>
          <cell r="E370" t="str">
            <v>Błąd (2)</v>
          </cell>
          <cell r="F370" t="str">
            <v>Błąd (2)</v>
          </cell>
          <cell r="G370" t="str">
            <v>Błąd (2)</v>
          </cell>
          <cell r="H370" t="str">
            <v>Błąd (2)</v>
          </cell>
          <cell r="I370" t="str">
            <v>Błąd (2)</v>
          </cell>
          <cell r="J370" t="str">
            <v>Błąd (2)</v>
          </cell>
          <cell r="K370" t="str">
            <v>Błąd (2)</v>
          </cell>
          <cell r="L370" t="str">
            <v>Błąd (2)</v>
          </cell>
          <cell r="M370" t="str">
            <v>Błąd (2)</v>
          </cell>
          <cell r="N370" t="str">
            <v>Błąd (2)</v>
          </cell>
          <cell r="O370" t="str">
            <v>Błąd (2)</v>
          </cell>
          <cell r="P370" t="str">
            <v>Błąd (2)</v>
          </cell>
          <cell r="Q370" t="str">
            <v>Błąd (2)</v>
          </cell>
          <cell r="R370" t="str">
            <v>Błąd (2)</v>
          </cell>
          <cell r="S370" t="str">
            <v>Błąd (2)</v>
          </cell>
          <cell r="T370" t="str">
            <v>Błąd (2)</v>
          </cell>
          <cell r="U370" t="str">
            <v>Błąd (2)</v>
          </cell>
          <cell r="V370" t="str">
            <v>Błąd (2)</v>
          </cell>
          <cell r="W370" t="str">
            <v>Błąd (2)</v>
          </cell>
          <cell r="X370" t="str">
            <v>Błąd (2)</v>
          </cell>
          <cell r="AB370" t="str">
            <v>Błąd (2)</v>
          </cell>
          <cell r="AC370" t="str">
            <v>Błąd (2)</v>
          </cell>
          <cell r="AD370" t="str">
            <v>Błąd (2)</v>
          </cell>
          <cell r="AE370" t="str">
            <v>Błąd (2)</v>
          </cell>
          <cell r="AF370" t="str">
            <v>Błąd (2)</v>
          </cell>
          <cell r="AG370" t="str">
            <v>Błąd (2)</v>
          </cell>
          <cell r="AH370" t="str">
            <v>Błąd (2)</v>
          </cell>
          <cell r="AI370" t="str">
            <v>Błąd (2)</v>
          </cell>
          <cell r="AJ370" t="str">
            <v>Błąd (2)</v>
          </cell>
          <cell r="AK370" t="str">
            <v>Błąd (2)</v>
          </cell>
          <cell r="AL370" t="str">
            <v>Błąd (2)</v>
          </cell>
          <cell r="AM370" t="str">
            <v>Błąd (2)</v>
          </cell>
          <cell r="AN370" t="str">
            <v>Błąd (2)</v>
          </cell>
          <cell r="AO370" t="str">
            <v>Błąd (2)</v>
          </cell>
          <cell r="AP370" t="str">
            <v>Błąd (2)</v>
          </cell>
          <cell r="AQ370" t="str">
            <v>Błąd (2)</v>
          </cell>
          <cell r="AR370" t="str">
            <v>Błąd (2)</v>
          </cell>
          <cell r="AS370" t="str">
            <v>Błąd (2)</v>
          </cell>
          <cell r="AT370" t="str">
            <v>Błąd (2)</v>
          </cell>
          <cell r="AU370" t="str">
            <v>Błąd (2)</v>
          </cell>
          <cell r="AV370" t="str">
            <v>Błąd (2)</v>
          </cell>
          <cell r="AW370" t="str">
            <v>Błąd (2)</v>
          </cell>
          <cell r="AX370" t="str">
            <v>Błąd (2)</v>
          </cell>
          <cell r="AY370" t="str">
            <v>Błąd (2)</v>
          </cell>
          <cell r="AZ370" t="str">
            <v>Błąd (2)</v>
          </cell>
          <cell r="BA370" t="str">
            <v>Błąd (2)</v>
          </cell>
          <cell r="BB370" t="str">
            <v>Błąd (2)</v>
          </cell>
          <cell r="BC370" t="str">
            <v>Błąd (2)</v>
          </cell>
        </row>
      </sheetData>
      <sheetData sheetId="2"/>
      <sheetData sheetId="3">
        <row r="6">
          <cell r="C6" t="str">
            <v>Nieklasyfikowany</v>
          </cell>
        </row>
      </sheetData>
      <sheetData sheetId="4">
        <row r="29">
          <cell r="F29" t="str">
            <v>Zarządcze</v>
          </cell>
        </row>
        <row r="94">
          <cell r="B94" t="str">
            <v xml:space="preserve">  ---</v>
          </cell>
        </row>
        <row r="95">
          <cell r="B95" t="str">
            <v>VI 1999</v>
          </cell>
          <cell r="C95" t="str">
            <v>wyniki_I_poł.1999</v>
          </cell>
        </row>
        <row r="96">
          <cell r="B96">
            <v>1999</v>
          </cell>
          <cell r="C96" t="str">
            <v>wyniki_1999</v>
          </cell>
        </row>
        <row r="97">
          <cell r="B97" t="str">
            <v>VI 2000</v>
          </cell>
          <cell r="C97" t="str">
            <v>wyniki_I_poł.2000</v>
          </cell>
        </row>
        <row r="98">
          <cell r="B98">
            <v>2000</v>
          </cell>
          <cell r="C98" t="str">
            <v>wyniki_2000</v>
          </cell>
        </row>
        <row r="99">
          <cell r="B99" t="str">
            <v>VI 2001</v>
          </cell>
          <cell r="C99" t="str">
            <v>wyniki_I_poł.2001</v>
          </cell>
        </row>
        <row r="100">
          <cell r="B100">
            <v>2001</v>
          </cell>
          <cell r="C100" t="str">
            <v>wyniki_2001</v>
          </cell>
        </row>
        <row r="101">
          <cell r="B101" t="str">
            <v>VI 2002</v>
          </cell>
          <cell r="C101" t="str">
            <v>wyniki_I_poł.2002</v>
          </cell>
        </row>
        <row r="102">
          <cell r="B102">
            <v>2002</v>
          </cell>
          <cell r="C102" t="str">
            <v>wyniki_2002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5"/>
  <sheetViews>
    <sheetView showGridLines="0" workbookViewId="0">
      <selection activeCell="B20" sqref="B20"/>
    </sheetView>
  </sheetViews>
  <sheetFormatPr defaultRowHeight="15" x14ac:dyDescent="0.25"/>
  <cols>
    <col min="2" max="2" width="25.42578125" customWidth="1"/>
    <col min="3" max="3" width="26.5703125" customWidth="1"/>
    <col min="4" max="4" width="36.7109375" customWidth="1"/>
    <col min="5" max="5" width="26.85546875" customWidth="1"/>
    <col min="6" max="6" width="29.42578125" customWidth="1"/>
  </cols>
  <sheetData>
    <row r="2" spans="2:6" ht="15" customHeight="1" x14ac:dyDescent="0.25">
      <c r="B2" s="16" t="s">
        <v>7</v>
      </c>
      <c r="C2" s="14" t="s">
        <v>16</v>
      </c>
      <c r="D2" s="14"/>
      <c r="E2" s="15" t="s">
        <v>8</v>
      </c>
      <c r="F2" s="15"/>
    </row>
    <row r="3" spans="2:6" x14ac:dyDescent="0.25">
      <c r="B3" s="16"/>
      <c r="C3" s="14" t="s">
        <v>5</v>
      </c>
      <c r="D3" s="14" t="s">
        <v>6</v>
      </c>
      <c r="E3" s="15" t="s">
        <v>10</v>
      </c>
      <c r="F3" s="15" t="s">
        <v>9</v>
      </c>
    </row>
    <row r="4" spans="2:6" x14ac:dyDescent="0.25">
      <c r="B4" s="16"/>
      <c r="C4" s="14"/>
      <c r="D4" s="14"/>
      <c r="E4" s="15"/>
      <c r="F4" s="15"/>
    </row>
    <row r="5" spans="2:6" x14ac:dyDescent="0.25">
      <c r="B5" s="11"/>
      <c r="C5" s="12" t="s">
        <v>20</v>
      </c>
      <c r="D5" s="12" t="s">
        <v>0</v>
      </c>
      <c r="E5" s="13" t="s">
        <v>11</v>
      </c>
      <c r="F5" s="13" t="s">
        <v>12</v>
      </c>
    </row>
    <row r="6" spans="2:6" x14ac:dyDescent="0.25">
      <c r="B6" s="11"/>
      <c r="C6" s="12" t="s">
        <v>20</v>
      </c>
      <c r="D6" s="12" t="s">
        <v>0</v>
      </c>
      <c r="E6" s="13" t="s">
        <v>11</v>
      </c>
      <c r="F6" s="13" t="s">
        <v>12</v>
      </c>
    </row>
    <row r="7" spans="2:6" x14ac:dyDescent="0.25">
      <c r="B7" s="11"/>
      <c r="C7" s="12" t="s">
        <v>20</v>
      </c>
      <c r="D7" s="12" t="s">
        <v>0</v>
      </c>
      <c r="E7" s="13" t="s">
        <v>11</v>
      </c>
      <c r="F7" s="13" t="s">
        <v>12</v>
      </c>
    </row>
    <row r="8" spans="2:6" ht="75" x14ac:dyDescent="0.25">
      <c r="B8" s="11"/>
      <c r="C8" s="12" t="s">
        <v>0</v>
      </c>
      <c r="D8" s="12" t="s">
        <v>0</v>
      </c>
      <c r="E8" s="13" t="s">
        <v>13</v>
      </c>
      <c r="F8" s="13" t="s">
        <v>14</v>
      </c>
    </row>
    <row r="9" spans="2:6" ht="90.75" customHeight="1" x14ac:dyDescent="0.25">
      <c r="B9" s="11"/>
      <c r="C9" s="12" t="s">
        <v>0</v>
      </c>
      <c r="D9" s="12" t="s">
        <v>0</v>
      </c>
      <c r="E9" s="13" t="s">
        <v>21</v>
      </c>
      <c r="F9" s="13" t="s">
        <v>22</v>
      </c>
    </row>
    <row r="10" spans="2:6" ht="30" x14ac:dyDescent="0.25">
      <c r="B10" s="11"/>
      <c r="C10" s="12" t="s">
        <v>4</v>
      </c>
      <c r="D10" s="12" t="s">
        <v>3</v>
      </c>
      <c r="E10" s="13" t="s">
        <v>15</v>
      </c>
      <c r="F10" s="13" t="s">
        <v>12</v>
      </c>
    </row>
    <row r="11" spans="2:6" ht="30" x14ac:dyDescent="0.25">
      <c r="B11" s="11"/>
      <c r="C11" s="12" t="s">
        <v>4</v>
      </c>
      <c r="D11" s="12" t="s">
        <v>3</v>
      </c>
      <c r="E11" s="13" t="s">
        <v>15</v>
      </c>
      <c r="F11" s="13" t="s">
        <v>12</v>
      </c>
    </row>
    <row r="12" spans="2:6" ht="30" x14ac:dyDescent="0.25">
      <c r="B12" s="11"/>
      <c r="C12" s="12" t="s">
        <v>0</v>
      </c>
      <c r="D12" s="12" t="s">
        <v>0</v>
      </c>
      <c r="E12" s="13" t="s">
        <v>15</v>
      </c>
      <c r="F12" s="13" t="s">
        <v>12</v>
      </c>
    </row>
    <row r="13" spans="2:6" x14ac:dyDescent="0.25">
      <c r="B13" s="11"/>
      <c r="C13" s="12" t="s">
        <v>0</v>
      </c>
      <c r="D13" s="12" t="s">
        <v>0</v>
      </c>
      <c r="E13" s="13" t="s">
        <v>18</v>
      </c>
      <c r="F13" s="13" t="s">
        <v>17</v>
      </c>
    </row>
    <row r="14" spans="2:6" ht="45" x14ac:dyDescent="0.25">
      <c r="B14" s="13" t="s">
        <v>24</v>
      </c>
      <c r="C14" s="12" t="s">
        <v>20</v>
      </c>
      <c r="D14" s="13" t="s">
        <v>0</v>
      </c>
      <c r="E14" s="13" t="s">
        <v>19</v>
      </c>
      <c r="F14" s="13" t="s">
        <v>19</v>
      </c>
    </row>
    <row r="15" spans="2:6" x14ac:dyDescent="0.25">
      <c r="B15" t="s">
        <v>23</v>
      </c>
    </row>
  </sheetData>
  <mergeCells count="7">
    <mergeCell ref="C2:D2"/>
    <mergeCell ref="E3:E4"/>
    <mergeCell ref="F3:F4"/>
    <mergeCell ref="E2:F2"/>
    <mergeCell ref="B2:B4"/>
    <mergeCell ref="C3:C4"/>
    <mergeCell ref="D3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36"/>
  <sheetViews>
    <sheetView showGridLines="0" tabSelected="1" zoomScale="98" zoomScaleNormal="98" workbookViewId="0">
      <selection activeCell="E5" sqref="E5"/>
    </sheetView>
  </sheetViews>
  <sheetFormatPr defaultRowHeight="15" x14ac:dyDescent="0.25"/>
  <cols>
    <col min="1" max="1" width="25.7109375" style="25" bestFit="1" customWidth="1"/>
    <col min="2" max="2" width="21.7109375" style="25" customWidth="1"/>
    <col min="3" max="3" width="46.42578125" style="25" customWidth="1"/>
    <col min="4" max="4" width="16.42578125" style="25" customWidth="1"/>
    <col min="5" max="5" width="43.28515625" style="25" customWidth="1"/>
    <col min="6" max="6" width="23.85546875" style="25" customWidth="1"/>
    <col min="7" max="7" width="31.140625" style="25" customWidth="1"/>
    <col min="8" max="8" width="20" style="25" customWidth="1"/>
    <col min="9" max="9" width="23.140625" style="25" customWidth="1"/>
    <col min="10" max="10" width="21.85546875" style="25" bestFit="1" customWidth="1"/>
    <col min="11" max="11" width="42.140625" style="25" customWidth="1"/>
    <col min="12" max="12" width="16.85546875" style="25" bestFit="1" customWidth="1"/>
    <col min="13" max="13" width="15.5703125" style="25" customWidth="1"/>
    <col min="14" max="14" width="14" style="25" customWidth="1"/>
    <col min="15" max="15" width="20.7109375" style="25" bestFit="1" customWidth="1"/>
    <col min="16" max="16" width="28.28515625" style="25" customWidth="1"/>
    <col min="17" max="17" width="27.42578125" style="25" customWidth="1"/>
    <col min="18" max="18" width="24.5703125" style="25" customWidth="1"/>
    <col min="19" max="19" width="12.28515625" style="25" bestFit="1" customWidth="1"/>
    <col min="20" max="20" width="9.140625" style="25"/>
    <col min="21" max="21" width="34.42578125" style="25" bestFit="1" customWidth="1"/>
    <col min="22" max="22" width="16" style="25" customWidth="1"/>
    <col min="23" max="23" width="13.28515625" style="25" customWidth="1"/>
    <col min="24" max="25" width="13.42578125" style="25" bestFit="1" customWidth="1"/>
    <col min="26" max="26" width="20" style="25" customWidth="1"/>
    <col min="27" max="27" width="15.28515625" style="25" customWidth="1"/>
    <col min="28" max="29" width="13.140625" style="25" bestFit="1" customWidth="1"/>
    <col min="30" max="16384" width="9.140625" style="25"/>
  </cols>
  <sheetData>
    <row r="2" spans="1:30" x14ac:dyDescent="0.25">
      <c r="A2" s="6" t="s">
        <v>55</v>
      </c>
    </row>
    <row r="3" spans="1:30" x14ac:dyDescent="0.25">
      <c r="C3" s="26"/>
      <c r="D3" s="26"/>
    </row>
    <row r="4" spans="1:30" x14ac:dyDescent="0.25">
      <c r="A4" s="18" t="s">
        <v>41</v>
      </c>
      <c r="B4" s="18" t="s">
        <v>42</v>
      </c>
      <c r="E4" s="27"/>
      <c r="F4" s="27"/>
      <c r="G4" s="27"/>
      <c r="J4" s="18" t="s">
        <v>41</v>
      </c>
      <c r="K4" s="18" t="s">
        <v>42</v>
      </c>
    </row>
    <row r="5" spans="1:30" ht="18" x14ac:dyDescent="0.35">
      <c r="A5" s="18" t="s">
        <v>53</v>
      </c>
      <c r="B5" s="45">
        <v>60000</v>
      </c>
      <c r="J5" s="18" t="s">
        <v>47</v>
      </c>
      <c r="K5" s="45">
        <v>60000</v>
      </c>
    </row>
    <row r="6" spans="1:30" ht="18" x14ac:dyDescent="0.35">
      <c r="A6" s="18" t="s">
        <v>32</v>
      </c>
      <c r="B6" s="20">
        <f>B5/12</f>
        <v>5000</v>
      </c>
      <c r="J6" s="18" t="s">
        <v>28</v>
      </c>
      <c r="K6" s="19">
        <f>60000/12</f>
        <v>5000</v>
      </c>
    </row>
    <row r="7" spans="1:30" x14ac:dyDescent="0.25">
      <c r="A7" s="18" t="s">
        <v>29</v>
      </c>
      <c r="B7" s="28">
        <v>0.05</v>
      </c>
      <c r="J7" s="18" t="s">
        <v>29</v>
      </c>
      <c r="K7" s="28">
        <v>0.05</v>
      </c>
    </row>
    <row r="8" spans="1:30" x14ac:dyDescent="0.25">
      <c r="A8" s="18" t="s">
        <v>34</v>
      </c>
      <c r="B8" s="21">
        <f>B7/12</f>
        <v>4.1666666666666666E-3</v>
      </c>
      <c r="J8" s="18" t="s">
        <v>30</v>
      </c>
      <c r="K8" s="17">
        <f>K7/12</f>
        <v>4.1666666666666666E-3</v>
      </c>
    </row>
    <row r="9" spans="1:30" x14ac:dyDescent="0.25">
      <c r="A9" s="3"/>
      <c r="B9" s="4"/>
      <c r="L9" s="2"/>
    </row>
    <row r="10" spans="1:30" s="30" customFormat="1" ht="18" x14ac:dyDescent="0.35">
      <c r="A10" s="9" t="s">
        <v>43</v>
      </c>
      <c r="B10" s="9" t="s">
        <v>40</v>
      </c>
      <c r="C10" s="9" t="s">
        <v>35</v>
      </c>
      <c r="D10" s="9" t="s">
        <v>36</v>
      </c>
      <c r="E10" s="9" t="s">
        <v>46</v>
      </c>
      <c r="F10" s="9" t="s">
        <v>36</v>
      </c>
      <c r="G10" s="9" t="s">
        <v>38</v>
      </c>
      <c r="H10" s="9" t="s">
        <v>36</v>
      </c>
      <c r="I10" s="29"/>
      <c r="J10" s="9" t="s">
        <v>48</v>
      </c>
      <c r="K10" s="9" t="s">
        <v>45</v>
      </c>
      <c r="L10" s="9" t="s">
        <v>36</v>
      </c>
      <c r="M10" s="9" t="s">
        <v>31</v>
      </c>
    </row>
    <row r="11" spans="1:30" ht="18" x14ac:dyDescent="0.35">
      <c r="A11" s="9" t="s">
        <v>2</v>
      </c>
      <c r="B11" s="9" t="s">
        <v>1</v>
      </c>
      <c r="C11" s="9" t="s">
        <v>33</v>
      </c>
      <c r="D11" s="9" t="s">
        <v>49</v>
      </c>
      <c r="E11" s="9" t="s">
        <v>39</v>
      </c>
      <c r="F11" s="9" t="s">
        <v>44</v>
      </c>
      <c r="G11" s="9" t="s">
        <v>37</v>
      </c>
      <c r="H11" s="9" t="s">
        <v>50</v>
      </c>
      <c r="I11" s="22"/>
      <c r="J11" s="9" t="s">
        <v>2</v>
      </c>
      <c r="K11" s="9" t="s">
        <v>25</v>
      </c>
      <c r="L11" s="9" t="s">
        <v>26</v>
      </c>
      <c r="M11" s="9" t="s">
        <v>27</v>
      </c>
    </row>
    <row r="12" spans="1:30" x14ac:dyDescent="0.25">
      <c r="A12" s="25">
        <v>12</v>
      </c>
      <c r="B12" s="31">
        <f>$B$8</f>
        <v>4.1666666666666666E-3</v>
      </c>
      <c r="C12" s="7">
        <f>$B$6*A12/A12/($B$8*(1+$B$8)^A12/((1+$B$8)^A12-1))</f>
        <v>58406.110021491288</v>
      </c>
      <c r="D12" s="32">
        <f>$B$6*A12-$C12</f>
        <v>1593.8899785087124</v>
      </c>
      <c r="E12" s="7">
        <f>(($B$6*A12)/((A12*(A12+1)/2)*B12+A12)*A12)</f>
        <v>58417.849898580127</v>
      </c>
      <c r="F12" s="32">
        <f>$B$6*$A12-E12</f>
        <v>1582.150101419873</v>
      </c>
      <c r="G12" s="24">
        <f>($B$6*A12)/(A12*$B$8+1)</f>
        <v>57142.857142857138</v>
      </c>
      <c r="H12" s="33">
        <f>$B$6*$A12-G12</f>
        <v>2857.1428571428623</v>
      </c>
      <c r="I12" s="23"/>
      <c r="J12" s="25">
        <v>1</v>
      </c>
      <c r="K12" s="34">
        <f>M12-L12</f>
        <v>59750</v>
      </c>
      <c r="L12" s="1">
        <f>(M12*$B$7/12)*J12</f>
        <v>250</v>
      </c>
      <c r="M12" s="34">
        <f>$B$6*12</f>
        <v>60000</v>
      </c>
    </row>
    <row r="13" spans="1:30" x14ac:dyDescent="0.25">
      <c r="A13" s="25">
        <v>24</v>
      </c>
      <c r="B13" s="31">
        <f>$B$8</f>
        <v>4.1666666666666666E-3</v>
      </c>
      <c r="C13" s="7">
        <f>$B$6*A13/A13/($B$8*(1+$B$8)^A13/((1+$B$8)^A13-1))</f>
        <v>113969.49196978043</v>
      </c>
      <c r="D13" s="32">
        <f>$B$6*A13-$C13</f>
        <v>6030.5080302195711</v>
      </c>
      <c r="E13" s="7">
        <f>(($B$6*A13)/((A13*(A13+1)/2)*B13+A13)*A13)</f>
        <v>114059.40594059406</v>
      </c>
      <c r="F13" s="32">
        <f>$B$6*$A13-E13</f>
        <v>5940.5940594059357</v>
      </c>
      <c r="G13" s="24">
        <f>($B$6*A13)/(A13*$B$8+1)</f>
        <v>109090.90909090909</v>
      </c>
      <c r="H13" s="33">
        <f>$B$6*$A13-G13</f>
        <v>10909.090909090912</v>
      </c>
      <c r="I13" s="23"/>
      <c r="J13" s="25">
        <v>2</v>
      </c>
      <c r="K13" s="34">
        <f t="shared" ref="K13:K23" si="0">M13-L13</f>
        <v>59500</v>
      </c>
      <c r="L13" s="1">
        <f>(M13*$B$7/12)*J13</f>
        <v>500</v>
      </c>
      <c r="M13" s="34">
        <f>$B$6*12</f>
        <v>60000</v>
      </c>
    </row>
    <row r="14" spans="1:30" x14ac:dyDescent="0.25">
      <c r="A14" s="25">
        <v>36</v>
      </c>
      <c r="B14" s="31">
        <f>$B$8</f>
        <v>4.1666666666666666E-3</v>
      </c>
      <c r="C14" s="7">
        <f>$B$6*A14/A14/($B$8*(1+$B$8)^A14/((1+$B$8)^A14-1))</f>
        <v>166828.50641870449</v>
      </c>
      <c r="D14" s="32">
        <f>$B$6*A14-$C14</f>
        <v>13171.493581295508</v>
      </c>
      <c r="E14" s="7">
        <f>(($B$6*A14)/((A14*(A14+1)/2)*B14+A14)*A14)</f>
        <v>167117.98839458416</v>
      </c>
      <c r="F14" s="32">
        <f>$B$6*$A14-E14</f>
        <v>12882.011605415842</v>
      </c>
      <c r="G14" s="24">
        <f>($B$6*A14)/(A14*$B$8+1)</f>
        <v>156521.73913043478</v>
      </c>
      <c r="H14" s="33">
        <f>$B$6*$A14-G14</f>
        <v>23478.260869565216</v>
      </c>
      <c r="I14" s="23"/>
      <c r="J14" s="25">
        <v>3</v>
      </c>
      <c r="K14" s="34">
        <f t="shared" si="0"/>
        <v>59250</v>
      </c>
      <c r="L14" s="1">
        <f>(M14*$B$7/12)*J14</f>
        <v>750</v>
      </c>
      <c r="M14" s="34">
        <f>$B$6*12</f>
        <v>60000</v>
      </c>
    </row>
    <row r="15" spans="1:30" x14ac:dyDescent="0.25">
      <c r="A15" s="25">
        <v>48</v>
      </c>
      <c r="B15" s="31">
        <f>$B$8</f>
        <v>4.1666666666666666E-3</v>
      </c>
      <c r="C15" s="7">
        <f>$B$6*A15/A15/($B$8*(1+$B$8)^A15/((1+$B$8)^A15-1))</f>
        <v>217114.77968968591</v>
      </c>
      <c r="D15" s="32">
        <f>$B$6*A15-$C15</f>
        <v>22885.220310314093</v>
      </c>
      <c r="E15" s="7">
        <f>(($B$6*A15)/((A15*(A15+1)/2)*B15+A15)*A15)</f>
        <v>217769.37618147448</v>
      </c>
      <c r="F15" s="32">
        <f>$B$6*$A15-E15</f>
        <v>22230.623818525521</v>
      </c>
      <c r="G15" s="24">
        <f>($B$6*A15)/(A15*$B$8+1)</f>
        <v>200000</v>
      </c>
      <c r="H15" s="33">
        <f>$B$6*$A15-G15</f>
        <v>40000</v>
      </c>
      <c r="I15" s="23"/>
      <c r="J15" s="25">
        <v>4</v>
      </c>
      <c r="K15" s="34">
        <f t="shared" si="0"/>
        <v>59000</v>
      </c>
      <c r="L15" s="1">
        <f>(M15*$B$7/12)*J15</f>
        <v>1000</v>
      </c>
      <c r="M15" s="34">
        <f>$B$6*12</f>
        <v>60000</v>
      </c>
    </row>
    <row r="16" spans="1:30" x14ac:dyDescent="0.25">
      <c r="A16" s="25">
        <v>60</v>
      </c>
      <c r="B16" s="31">
        <f>$B$8</f>
        <v>4.1666666666666666E-3</v>
      </c>
      <c r="C16" s="7">
        <f>$B$6*A16/A16/($B$8*(1+$B$8)^A16/((1+$B$8)^A16-1))</f>
        <v>264953.53161963739</v>
      </c>
      <c r="D16" s="32">
        <f>$B$6*A16-$C16</f>
        <v>35046.46838036261</v>
      </c>
      <c r="E16" s="7">
        <f>(($B$6*A16)/((A16*(A16+1)/2)*B16+A16)*A16)</f>
        <v>266173.75231053605</v>
      </c>
      <c r="F16" s="32">
        <f>$B$6*$A16-E16</f>
        <v>33826.247689463955</v>
      </c>
      <c r="G16" s="24">
        <f>($B$6*A16)/(A16*$B$8+1)</f>
        <v>240000</v>
      </c>
      <c r="H16" s="33">
        <f>$B$6*$A16-G16</f>
        <v>60000</v>
      </c>
      <c r="I16" s="23"/>
      <c r="J16" s="25">
        <v>5</v>
      </c>
      <c r="K16" s="34">
        <f t="shared" si="0"/>
        <v>58750</v>
      </c>
      <c r="L16" s="1">
        <f>(M16*$B$7/12)*J16</f>
        <v>1250</v>
      </c>
      <c r="M16" s="34">
        <f>$B$6*12</f>
        <v>60000</v>
      </c>
      <c r="U16" s="35"/>
      <c r="V16" s="34"/>
      <c r="W16" s="34"/>
      <c r="X16" s="34"/>
      <c r="AC16" s="1"/>
      <c r="AD16" s="34"/>
    </row>
    <row r="17" spans="1:30" x14ac:dyDescent="0.25">
      <c r="A17" s="25">
        <v>72</v>
      </c>
      <c r="B17" s="31">
        <f>$B$8</f>
        <v>4.1666666666666666E-3</v>
      </c>
      <c r="C17" s="7">
        <f>$B$6*A17/A17/($B$8*(1+$B$8)^A17/((1+$B$8)^A17-1))</f>
        <v>310463.88737582933</v>
      </c>
      <c r="D17" s="32">
        <f>$B$6*A17-$C17</f>
        <v>49536.112624170666</v>
      </c>
      <c r="E17" s="7">
        <f>(($B$6*A17)/((A17*(A17+1)/2)*B17+A17)*A17)</f>
        <v>312477.39602169982</v>
      </c>
      <c r="F17" s="32">
        <f>$B$6*$A17-E17</f>
        <v>47522.603978300176</v>
      </c>
      <c r="G17" s="24">
        <f>($B$6*A17)/(A17*$B$8+1)</f>
        <v>276923.07692307694</v>
      </c>
      <c r="H17" s="33">
        <f>$B$6*$A17-G17</f>
        <v>83076.923076923063</v>
      </c>
      <c r="I17" s="23"/>
      <c r="J17" s="25">
        <v>6</v>
      </c>
      <c r="K17" s="34">
        <f t="shared" si="0"/>
        <v>58500</v>
      </c>
      <c r="L17" s="1">
        <f>(M17*$B$7/12)*J17</f>
        <v>1500</v>
      </c>
      <c r="M17" s="34">
        <f>$B$6*12</f>
        <v>60000</v>
      </c>
      <c r="U17" s="35"/>
      <c r="V17" s="34"/>
      <c r="W17" s="34"/>
      <c r="X17" s="34"/>
      <c r="AC17" s="1"/>
      <c r="AD17" s="34"/>
    </row>
    <row r="18" spans="1:30" x14ac:dyDescent="0.25">
      <c r="A18" s="25">
        <v>84</v>
      </c>
      <c r="B18" s="31">
        <f>$B$8</f>
        <v>4.1666666666666666E-3</v>
      </c>
      <c r="C18" s="7">
        <f>$B$6*A18/A18/($B$8*(1+$B$8)^A18/((1+$B$8)^A18-1))</f>
        <v>353759.17409417679</v>
      </c>
      <c r="D18" s="32">
        <f>$B$6*A18-$C18</f>
        <v>66240.825905823207</v>
      </c>
      <c r="E18" s="7">
        <f>(($B$6*A18)/((A18*(A18+1)/2)*B18+A18)*A18)</f>
        <v>356814.15929203539</v>
      </c>
      <c r="F18" s="32">
        <f>$B$6*$A18-E18</f>
        <v>63185.840707964613</v>
      </c>
      <c r="G18" s="24">
        <f>($B$6*A18)/(A18*$B$8+1)</f>
        <v>311111.11111111107</v>
      </c>
      <c r="H18" s="33">
        <f>$B$6*$A18-G18</f>
        <v>108888.88888888893</v>
      </c>
      <c r="I18" s="23"/>
      <c r="J18" s="25">
        <v>7</v>
      </c>
      <c r="K18" s="34">
        <f t="shared" si="0"/>
        <v>58250</v>
      </c>
      <c r="L18" s="1">
        <f>(M18*$B$7/12)*J18</f>
        <v>1750</v>
      </c>
      <c r="M18" s="34">
        <f>$B$6*12</f>
        <v>60000</v>
      </c>
      <c r="U18" s="35"/>
      <c r="V18" s="34"/>
      <c r="W18" s="34"/>
      <c r="X18" s="34"/>
      <c r="AC18" s="1"/>
      <c r="AD18" s="34"/>
    </row>
    <row r="19" spans="1:30" x14ac:dyDescent="0.25">
      <c r="A19" s="25">
        <v>96</v>
      </c>
      <c r="B19" s="31">
        <f>$B$8</f>
        <v>4.1666666666666666E-3</v>
      </c>
      <c r="C19" s="7">
        <f>$B$6*A19/A19/($B$8*(1+$B$8)^A19/((1+$B$8)^A19-1))</f>
        <v>394947.20307962102</v>
      </c>
      <c r="D19" s="32">
        <f>$B$6*A19-$C19</f>
        <v>85052.796920378983</v>
      </c>
      <c r="E19" s="7">
        <f>(($B$6*A19)/((A19*(A19+1)/2)*B19+A19)*A19)</f>
        <v>399306.75909878686</v>
      </c>
      <c r="F19" s="32">
        <f>$B$6*$A19-E19</f>
        <v>80693.240901213139</v>
      </c>
      <c r="G19" s="24">
        <f>($B$6*A19)/(A19*$B$8+1)</f>
        <v>342857.1428571429</v>
      </c>
      <c r="H19" s="33">
        <f>$B$6*$A19-G19</f>
        <v>137142.8571428571</v>
      </c>
      <c r="I19" s="23"/>
      <c r="J19" s="25">
        <v>8</v>
      </c>
      <c r="K19" s="34">
        <f t="shared" si="0"/>
        <v>58000</v>
      </c>
      <c r="L19" s="1">
        <f>(M19*$B$7/12)*J19</f>
        <v>2000</v>
      </c>
      <c r="M19" s="34">
        <f>$B$6*12</f>
        <v>60000</v>
      </c>
      <c r="U19" s="35"/>
      <c r="V19" s="34"/>
      <c r="W19" s="34"/>
      <c r="X19" s="34"/>
      <c r="AC19" s="1"/>
      <c r="AD19" s="34"/>
    </row>
    <row r="20" spans="1:30" x14ac:dyDescent="0.25">
      <c r="A20" s="25">
        <v>108</v>
      </c>
      <c r="B20" s="31">
        <f>$B$8</f>
        <v>4.1666666666666666E-3</v>
      </c>
      <c r="C20" s="7">
        <f>$B$6*A20/A20/($B$8*(1+$B$8)^A20/((1+$B$8)^A20-1))</f>
        <v>434130.53827132174</v>
      </c>
      <c r="D20" s="32">
        <f>$B$6*A20-$C20</f>
        <v>105869.46172867826</v>
      </c>
      <c r="E20" s="7">
        <f>(($B$6*A20)/((A20*(A20+1)/2)*B20+A20)*A20)</f>
        <v>440067.91171477077</v>
      </c>
      <c r="F20" s="32">
        <f>$B$6*$A20-E20</f>
        <v>99932.088285229227</v>
      </c>
      <c r="G20" s="24">
        <f>($B$6*A20)/(A20*$B$8+1)</f>
        <v>372413.79310344829</v>
      </c>
      <c r="H20" s="33">
        <f>$B$6*$A20-G20</f>
        <v>167586.20689655171</v>
      </c>
      <c r="I20" s="23"/>
      <c r="J20" s="25">
        <v>9</v>
      </c>
      <c r="K20" s="34">
        <f t="shared" si="0"/>
        <v>57750</v>
      </c>
      <c r="L20" s="1">
        <f>(M20*$B$7/12)*J20</f>
        <v>2250</v>
      </c>
      <c r="M20" s="34">
        <f>$B$6*12</f>
        <v>60000</v>
      </c>
      <c r="U20" s="35"/>
      <c r="V20" s="34"/>
      <c r="W20" s="34"/>
      <c r="X20" s="34"/>
      <c r="AC20" s="1"/>
      <c r="AD20" s="34"/>
    </row>
    <row r="21" spans="1:30" x14ac:dyDescent="0.25">
      <c r="A21" s="36">
        <v>120</v>
      </c>
      <c r="B21" s="37">
        <f>$B$8</f>
        <v>4.1666666666666666E-3</v>
      </c>
      <c r="C21" s="10">
        <f>$B$6*A21/A21/($B$8*(1+$B$8)^A21/((1+$B$8)^A21-1))</f>
        <v>471406.75164117635</v>
      </c>
      <c r="D21" s="38">
        <f>$B$6*A21-$C21</f>
        <v>128593.24835882365</v>
      </c>
      <c r="E21" s="8">
        <f>(($B$6*A21)/((A21*(A21+1)/2)*B21+A21)*A21)</f>
        <v>479201.33111480862</v>
      </c>
      <c r="F21" s="38">
        <f>$B$6*$A21-E21</f>
        <v>120798.66888519138</v>
      </c>
      <c r="G21" s="10">
        <f>($B$6*A21)/(A21*$B$8+1)</f>
        <v>400000</v>
      </c>
      <c r="H21" s="39">
        <f>$B$6*$A21-G21</f>
        <v>200000</v>
      </c>
      <c r="I21" s="23"/>
      <c r="J21" s="25">
        <v>10</v>
      </c>
      <c r="K21" s="34">
        <f t="shared" si="0"/>
        <v>57500</v>
      </c>
      <c r="L21" s="1">
        <f>(M21*$B$7/12)*J21</f>
        <v>2500</v>
      </c>
      <c r="M21" s="34">
        <f>$B$6*12</f>
        <v>60000</v>
      </c>
      <c r="U21" s="35"/>
      <c r="V21" s="34"/>
      <c r="W21" s="34"/>
      <c r="X21" s="34"/>
      <c r="AC21" s="1"/>
      <c r="AD21" s="34"/>
    </row>
    <row r="22" spans="1:30" x14ac:dyDescent="0.25">
      <c r="B22" s="40"/>
      <c r="C22" s="1"/>
      <c r="D22" s="1"/>
      <c r="I22" s="41"/>
      <c r="J22" s="25">
        <v>11</v>
      </c>
      <c r="K22" s="34">
        <f t="shared" si="0"/>
        <v>57250</v>
      </c>
      <c r="L22" s="1">
        <f>(M22*$B$7/12)*J22</f>
        <v>2750</v>
      </c>
      <c r="M22" s="34">
        <f>$B$6*12</f>
        <v>60000</v>
      </c>
      <c r="U22" s="35"/>
      <c r="V22" s="34"/>
      <c r="W22" s="34"/>
      <c r="X22" s="34"/>
      <c r="AC22" s="1"/>
      <c r="AD22" s="34"/>
    </row>
    <row r="23" spans="1:30" x14ac:dyDescent="0.25">
      <c r="C23" s="34"/>
      <c r="F23" s="34"/>
      <c r="G23" s="34"/>
      <c r="H23" s="34"/>
      <c r="I23" s="42"/>
      <c r="J23" s="36">
        <v>12</v>
      </c>
      <c r="K23" s="43">
        <f t="shared" si="0"/>
        <v>57000</v>
      </c>
      <c r="L23" s="5">
        <f>(M23*$B$7/12)*J23</f>
        <v>3000</v>
      </c>
      <c r="M23" s="43">
        <f>$B$6*12</f>
        <v>60000</v>
      </c>
      <c r="U23" s="35"/>
      <c r="V23" s="34"/>
      <c r="W23" s="34"/>
      <c r="X23" s="34"/>
      <c r="AC23" s="1"/>
      <c r="AD23" s="34"/>
    </row>
    <row r="24" spans="1:30" x14ac:dyDescent="0.25">
      <c r="F24" s="34"/>
      <c r="G24" s="34"/>
      <c r="H24" s="34"/>
      <c r="I24" s="34"/>
      <c r="U24" s="35"/>
      <c r="V24" s="34"/>
      <c r="W24" s="34"/>
      <c r="X24" s="34"/>
      <c r="AC24" s="1"/>
      <c r="AD24" s="34"/>
    </row>
    <row r="29" spans="1:30" x14ac:dyDescent="0.25">
      <c r="B29"/>
    </row>
    <row r="31" spans="1:30" x14ac:dyDescent="0.25">
      <c r="A31" s="25" t="s">
        <v>51</v>
      </c>
    </row>
    <row r="32" spans="1:30" x14ac:dyDescent="0.25">
      <c r="A32" s="44" t="s">
        <v>52</v>
      </c>
      <c r="B32" s="44"/>
      <c r="C32" s="44"/>
      <c r="D32" s="44"/>
      <c r="E32" s="44"/>
    </row>
    <row r="33" spans="1:5" x14ac:dyDescent="0.25">
      <c r="A33" s="44"/>
      <c r="B33" s="44"/>
      <c r="C33" s="44"/>
      <c r="D33" s="44"/>
      <c r="E33" s="44"/>
    </row>
    <row r="34" spans="1:5" ht="15" customHeight="1" x14ac:dyDescent="0.25">
      <c r="A34" s="44" t="s">
        <v>54</v>
      </c>
      <c r="B34" s="44"/>
      <c r="C34" s="44"/>
      <c r="D34" s="44"/>
      <c r="E34" s="44"/>
    </row>
    <row r="35" spans="1:5" x14ac:dyDescent="0.25">
      <c r="A35" s="44"/>
      <c r="B35" s="44"/>
      <c r="C35" s="44"/>
      <c r="D35" s="44"/>
      <c r="E35" s="44"/>
    </row>
    <row r="36" spans="1:5" x14ac:dyDescent="0.25">
      <c r="A36" s="44"/>
      <c r="B36" s="44"/>
      <c r="C36" s="44"/>
      <c r="D36" s="44"/>
      <c r="E36" s="44"/>
    </row>
  </sheetData>
  <mergeCells count="2">
    <mergeCell ref="A32:E33"/>
    <mergeCell ref="A34:E36"/>
  </mergeCells>
  <pageMargins left="0.7" right="0.7" top="0.75" bottom="0.75" header="0.3" footer="0.3"/>
  <pageSetup paperSize="9" scale="38" orientation="portrait" verticalDpi="0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Tabela </vt:lpstr>
      <vt:lpstr>Debt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Piotr Cirin</cp:lastModifiedBy>
  <dcterms:created xsi:type="dcterms:W3CDTF">2020-02-08T19:29:30Z</dcterms:created>
  <dcterms:modified xsi:type="dcterms:W3CDTF">2023-01-19T21:24:38Z</dcterms:modified>
</cp:coreProperties>
</file>