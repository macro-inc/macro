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tima\Documents\DR_ASAD_DATA\OneDrive - University College London\Documents\SEM_Paper\"/>
    </mc:Choice>
  </mc:AlternateContent>
  <bookViews>
    <workbookView xWindow="-120" yWindow="-120" windowWidth="20730" windowHeight="11160" activeTab="1"/>
  </bookViews>
  <sheets>
    <sheet name="Main Center" sheetId="3" r:id="rId1"/>
    <sheet name="Satellite Centers" sheetId="1" r:id="rId2"/>
    <sheet name="Staff Costs" sheetId="4" r:id="rId3"/>
    <sheet name="Reagent_Costing" sheetId="17" r:id="rId4"/>
    <sheet name="Overhead Costs" sheetId="16" r:id="rId5"/>
    <sheet name="Average_charge_3_Main_centers" sheetId="6" r:id="rId6"/>
    <sheet name="Central _support" sheetId="18" r:id="rId7"/>
    <sheet name="Summary_Tables" sheetId="9" r:id="rId8"/>
    <sheet name="Charts_Labs" sheetId="10" r:id="rId9"/>
    <sheet name="Charts_Providers" sheetId="11" r:id="rId10"/>
    <sheet name="Charts_Patients" sheetId="12" r:id="rId11"/>
    <sheet name="Labs" sheetId="13" r:id="rId12"/>
    <sheet name="Providers" sheetId="14" r:id="rId13"/>
    <sheet name="Patients" sheetId="15" r:id="rId14"/>
    <sheet name="Assumptions_charts" sheetId="19" r:id="rId15"/>
    <sheet name="Sheet1" sheetId="7" state="hidden" r:id="rId16"/>
    <sheet name="Sheet3" sheetId="8" state="hidden" r:id="rId17"/>
  </sheets>
  <definedNames>
    <definedName name="_xlnm._FilterDatabase" localSheetId="11" hidden="1">Labs!$AJ$1:$AJ$163</definedName>
    <definedName name="_xlnm._FilterDatabase" localSheetId="16" hidden="1">Sheet3!$A$1:$A$4669</definedName>
  </definedNames>
  <calcPr calcId="152511"/>
  <pivotCaches>
    <pivotCache cacheId="0" r:id="rId18"/>
    <pivotCache cacheId="1" r:id="rId19"/>
    <pivotCache cacheId="2" r:id="rId20"/>
    <pivotCache cacheId="3" r:id="rId21"/>
    <pivotCache cacheId="4" r:id="rId22"/>
    <pivotCache cacheId="5" r:id="rId23"/>
    <pivotCache cacheId="6" r:id="rId24"/>
    <pivotCache cacheId="7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Z23" i="1" l="1"/>
  <c r="F23" i="1"/>
  <c r="E23" i="1"/>
  <c r="E28" i="1"/>
  <c r="E24" i="1"/>
  <c r="D11" i="18" l="1"/>
  <c r="D10" i="18"/>
  <c r="D72" i="1"/>
  <c r="K9" i="3" l="1"/>
  <c r="K9" i="1"/>
  <c r="C83" i="1"/>
  <c r="C84" i="1"/>
  <c r="C85" i="1"/>
  <c r="C82" i="1"/>
  <c r="C83" i="3"/>
  <c r="C84" i="3"/>
  <c r="C85" i="3"/>
  <c r="C86" i="3"/>
  <c r="D86" i="3"/>
  <c r="E86" i="3"/>
  <c r="F86" i="3"/>
  <c r="C82" i="3"/>
  <c r="C75" i="1"/>
  <c r="C80" i="1" s="1"/>
  <c r="C74" i="1"/>
  <c r="C79" i="1" s="1"/>
  <c r="C73" i="1"/>
  <c r="C78" i="1" s="1"/>
  <c r="C72" i="1"/>
  <c r="C77" i="1" s="1"/>
  <c r="C78" i="3"/>
  <c r="C79" i="3"/>
  <c r="C80" i="3"/>
  <c r="C77" i="3"/>
  <c r="C75" i="3" l="1"/>
  <c r="C74" i="3"/>
  <c r="U9" i="1"/>
  <c r="V9" i="1" s="1"/>
  <c r="W9" i="1" s="1"/>
  <c r="X9" i="1" s="1"/>
  <c r="D7" i="3"/>
  <c r="D49" i="3" s="1"/>
  <c r="D7" i="1"/>
  <c r="D49" i="1" s="1"/>
  <c r="D48" i="1" s="1"/>
  <c r="D51" i="1" s="1"/>
  <c r="C29" i="1"/>
  <c r="D48" i="3" l="1"/>
  <c r="D52" i="3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19" i="16"/>
  <c r="E23" i="3" l="1"/>
  <c r="C11" i="6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I3" i="18"/>
  <c r="I4" i="18"/>
  <c r="I5" i="18"/>
  <c r="I6" i="18"/>
  <c r="I7" i="18"/>
  <c r="I2" i="18"/>
  <c r="H8" i="18"/>
  <c r="I8" i="18" s="1"/>
  <c r="B7" i="18"/>
  <c r="C6" i="18"/>
  <c r="D6" i="18" s="1"/>
  <c r="E6" i="18" s="1"/>
  <c r="C5" i="18"/>
  <c r="D5" i="18" s="1"/>
  <c r="E5" i="18" s="1"/>
  <c r="C4" i="18"/>
  <c r="D4" i="18" s="1"/>
  <c r="E4" i="18" s="1"/>
  <c r="C3" i="18"/>
  <c r="D3" i="18" s="1"/>
  <c r="E3" i="18" s="1"/>
  <c r="C2" i="18"/>
  <c r="D2" i="18" s="1"/>
  <c r="Y49" i="3" l="1"/>
  <c r="D7" i="18"/>
  <c r="C10" i="18" s="1"/>
  <c r="E2" i="18"/>
  <c r="E7" i="18" s="1"/>
  <c r="C7" i="18"/>
  <c r="BC31" i="17"/>
  <c r="BD31" i="17" s="1"/>
  <c r="BE31" i="17" s="1"/>
  <c r="BH27" i="17"/>
  <c r="AN27" i="17"/>
  <c r="AT27" i="17" s="1"/>
  <c r="AU27" i="17" s="1"/>
  <c r="AV27" i="17" s="1"/>
  <c r="AL27" i="17"/>
  <c r="AL28" i="17" s="1"/>
  <c r="BH26" i="17"/>
  <c r="AN26" i="17"/>
  <c r="AT26" i="17" s="1"/>
  <c r="AU26" i="17" s="1"/>
  <c r="AV26" i="17" s="1"/>
  <c r="AN25" i="17"/>
  <c r="AT25" i="17" s="1"/>
  <c r="AU25" i="17" s="1"/>
  <c r="AV25" i="17" s="1"/>
  <c r="R22" i="17"/>
  <c r="AM17" i="17" s="1"/>
  <c r="Y21" i="17"/>
  <c r="AL3" i="17" s="1"/>
  <c r="R18" i="17"/>
  <c r="E18" i="17"/>
  <c r="D18" i="17"/>
  <c r="C18" i="17"/>
  <c r="R8" i="17"/>
  <c r="Y7" i="17"/>
  <c r="AM5" i="17"/>
  <c r="AM6" i="17" s="1"/>
  <c r="AM7" i="17" s="1"/>
  <c r="AM8" i="17" s="1"/>
  <c r="AM9" i="17" s="1"/>
  <c r="AM10" i="17" s="1"/>
  <c r="AM11" i="17" s="1"/>
  <c r="AM12" i="17" s="1"/>
  <c r="AM13" i="17" s="1"/>
  <c r="AM14" i="17" s="1"/>
  <c r="AM15" i="17" s="1"/>
  <c r="AM16" i="17" s="1"/>
  <c r="Y5" i="17"/>
  <c r="AM4" i="17"/>
  <c r="AM3" i="17"/>
  <c r="AN3" i="17" l="1"/>
  <c r="E39" i="1"/>
  <c r="E39" i="3"/>
  <c r="F39" i="3" s="1"/>
  <c r="AL4" i="17"/>
  <c r="AL5" i="17" s="1"/>
  <c r="F18" i="17"/>
  <c r="AL6" i="17"/>
  <c r="AN5" i="17"/>
  <c r="AT5" i="17" s="1"/>
  <c r="AU5" i="17" s="1"/>
  <c r="AV5" i="17" s="1"/>
  <c r="AW27" i="17" s="1"/>
  <c r="AO25" i="17"/>
  <c r="AT3" i="17"/>
  <c r="AU3" i="17" s="1"/>
  <c r="AV3" i="17" s="1"/>
  <c r="AW25" i="17" s="1"/>
  <c r="AL29" i="17"/>
  <c r="AN28" i="17"/>
  <c r="BH37" i="17"/>
  <c r="AN4" i="17"/>
  <c r="AO27" i="17" l="1"/>
  <c r="AT28" i="17"/>
  <c r="AU28" i="17" s="1"/>
  <c r="AV28" i="17" s="1"/>
  <c r="AN6" i="17"/>
  <c r="AT6" i="17" s="1"/>
  <c r="AU6" i="17" s="1"/>
  <c r="AV6" i="17" s="1"/>
  <c r="AL7" i="17"/>
  <c r="BJ36" i="17"/>
  <c r="BK36" i="17" s="1"/>
  <c r="BJ32" i="17"/>
  <c r="BK32" i="17" s="1"/>
  <c r="BJ27" i="17"/>
  <c r="BK27" i="17" s="1"/>
  <c r="BJ35" i="17"/>
  <c r="BK35" i="17" s="1"/>
  <c r="BJ31" i="17"/>
  <c r="BK31" i="17" s="1"/>
  <c r="BJ30" i="17"/>
  <c r="BK30" i="17" s="1"/>
  <c r="BJ33" i="17"/>
  <c r="BK33" i="17" s="1"/>
  <c r="BJ28" i="17"/>
  <c r="BK28" i="17" s="1"/>
  <c r="BJ25" i="17"/>
  <c r="BK25" i="17" s="1"/>
  <c r="BJ34" i="17"/>
  <c r="BK34" i="17" s="1"/>
  <c r="BJ29" i="17"/>
  <c r="BK29" i="17" s="1"/>
  <c r="AO26" i="17"/>
  <c r="AT4" i="17"/>
  <c r="AU4" i="17" s="1"/>
  <c r="AV4" i="17" s="1"/>
  <c r="AW26" i="17" s="1"/>
  <c r="AL30" i="17"/>
  <c r="AN29" i="17"/>
  <c r="BJ26" i="17"/>
  <c r="BK26" i="17" s="1"/>
  <c r="BK37" i="17" l="1"/>
  <c r="BK39" i="17" s="1"/>
  <c r="AT29" i="17"/>
  <c r="AU29" i="17" s="1"/>
  <c r="AV29" i="17" s="1"/>
  <c r="AL31" i="17"/>
  <c r="AN30" i="17"/>
  <c r="AW28" i="17"/>
  <c r="AL8" i="17"/>
  <c r="AN7" i="17"/>
  <c r="AT7" i="17" s="1"/>
  <c r="AU7" i="17" s="1"/>
  <c r="AV7" i="17" s="1"/>
  <c r="AO28" i="17"/>
  <c r="C35" i="3" l="1"/>
  <c r="C35" i="1"/>
  <c r="AT30" i="17"/>
  <c r="AU30" i="17" s="1"/>
  <c r="AV30" i="17" s="1"/>
  <c r="AL32" i="17"/>
  <c r="AN31" i="17"/>
  <c r="AL9" i="17"/>
  <c r="AN8" i="17"/>
  <c r="AT8" i="17" s="1"/>
  <c r="AU8" i="17" s="1"/>
  <c r="AV8" i="17" s="1"/>
  <c r="AO29" i="17"/>
  <c r="AW29" i="17"/>
  <c r="AW30" i="17" l="1"/>
  <c r="AT31" i="17"/>
  <c r="AU31" i="17" s="1"/>
  <c r="AV31" i="17" s="1"/>
  <c r="AL33" i="17"/>
  <c r="AN32" i="17"/>
  <c r="AO30" i="17"/>
  <c r="AL10" i="17"/>
  <c r="AN9" i="17"/>
  <c r="AT9" i="17" s="1"/>
  <c r="AU9" i="17" s="1"/>
  <c r="AV9" i="17" s="1"/>
  <c r="AL34" i="17" l="1"/>
  <c r="AN33" i="17"/>
  <c r="AL11" i="17"/>
  <c r="AN10" i="17"/>
  <c r="AT10" i="17" s="1"/>
  <c r="AU10" i="17" s="1"/>
  <c r="AV10" i="17" s="1"/>
  <c r="AO31" i="17"/>
  <c r="AT32" i="17"/>
  <c r="AU32" i="17" s="1"/>
  <c r="AV32" i="17" s="1"/>
  <c r="AW31" i="17"/>
  <c r="AW32" i="17" l="1"/>
  <c r="AT33" i="17"/>
  <c r="AU33" i="17" s="1"/>
  <c r="AV33" i="17" s="1"/>
  <c r="AO32" i="17"/>
  <c r="AL12" i="17"/>
  <c r="AN11" i="17"/>
  <c r="AT11" i="17" s="1"/>
  <c r="AU11" i="17" s="1"/>
  <c r="AV11" i="17" s="1"/>
  <c r="AL35" i="17"/>
  <c r="AN34" i="17"/>
  <c r="AW33" i="17" l="1"/>
  <c r="AT34" i="17"/>
  <c r="AU34" i="17" s="1"/>
  <c r="AV34" i="17" s="1"/>
  <c r="AN35" i="17"/>
  <c r="AL36" i="17"/>
  <c r="AO33" i="17"/>
  <c r="AL13" i="17"/>
  <c r="AN12" i="17"/>
  <c r="AT12" i="17" s="1"/>
  <c r="AU12" i="17" s="1"/>
  <c r="AV12" i="17" s="1"/>
  <c r="AT35" i="17" l="1"/>
  <c r="AU35" i="17" s="1"/>
  <c r="AV35" i="17" s="1"/>
  <c r="AL14" i="17"/>
  <c r="AN13" i="17"/>
  <c r="AT13" i="17" s="1"/>
  <c r="AU13" i="17" s="1"/>
  <c r="AV13" i="17" s="1"/>
  <c r="AO34" i="17"/>
  <c r="AL37" i="17"/>
  <c r="AN36" i="17"/>
  <c r="AW34" i="17"/>
  <c r="AT36" i="17" l="1"/>
  <c r="AU36" i="17" s="1"/>
  <c r="AV36" i="17" s="1"/>
  <c r="AL15" i="17"/>
  <c r="AN14" i="17"/>
  <c r="AT14" i="17" s="1"/>
  <c r="AU14" i="17" s="1"/>
  <c r="AV14" i="17" s="1"/>
  <c r="AL38" i="17"/>
  <c r="AN37" i="17"/>
  <c r="AO35" i="17"/>
  <c r="AW35" i="17"/>
  <c r="AL16" i="17" l="1"/>
  <c r="AN15" i="17"/>
  <c r="AT15" i="17" s="1"/>
  <c r="AU15" i="17" s="1"/>
  <c r="AV15" i="17" s="1"/>
  <c r="AO37" i="17"/>
  <c r="AT37" i="17"/>
  <c r="AU37" i="17" s="1"/>
  <c r="AV37" i="17" s="1"/>
  <c r="AW37" i="17" s="1"/>
  <c r="AO36" i="17"/>
  <c r="AN38" i="17"/>
  <c r="AL39" i="17"/>
  <c r="AN39" i="17" s="1"/>
  <c r="AW36" i="17"/>
  <c r="AT39" i="17" l="1"/>
  <c r="AU39" i="17" s="1"/>
  <c r="AV39" i="17" s="1"/>
  <c r="AT38" i="17"/>
  <c r="AU38" i="17" s="1"/>
  <c r="AV38" i="17" s="1"/>
  <c r="AL17" i="17"/>
  <c r="AN17" i="17" s="1"/>
  <c r="AT17" i="17" s="1"/>
  <c r="AU17" i="17" s="1"/>
  <c r="AV17" i="17" s="1"/>
  <c r="AN16" i="17"/>
  <c r="AT16" i="17" s="1"/>
  <c r="AU16" i="17" s="1"/>
  <c r="AV16" i="17" s="1"/>
  <c r="AO38" i="17" l="1"/>
  <c r="AW38" i="17"/>
  <c r="AW39" i="17"/>
  <c r="AO39" i="17"/>
  <c r="D32" i="16" l="1"/>
  <c r="C32" i="16"/>
  <c r="D15" i="16"/>
  <c r="D34" i="16" s="1"/>
  <c r="C15" i="16"/>
  <c r="C34" i="16" s="1"/>
  <c r="P9" i="1" l="1"/>
  <c r="Q9" i="1" s="1"/>
  <c r="R9" i="1" s="1"/>
  <c r="S9" i="1" s="1"/>
  <c r="L9" i="1"/>
  <c r="M9" i="1" s="1"/>
  <c r="N9" i="1" s="1"/>
  <c r="F9" i="1"/>
  <c r="G9" i="1" s="1"/>
  <c r="H9" i="1" s="1"/>
  <c r="I9" i="1" s="1"/>
  <c r="C55" i="1"/>
  <c r="C40" i="1"/>
  <c r="F39" i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C19" i="1"/>
  <c r="C18" i="1"/>
  <c r="C19" i="3"/>
  <c r="C18" i="3"/>
  <c r="C16" i="1"/>
  <c r="C17" i="1" s="1"/>
  <c r="C20" i="3" l="1"/>
  <c r="C21" i="3" s="1"/>
  <c r="B21" i="3" s="1"/>
  <c r="C20" i="1"/>
  <c r="E15" i="16"/>
  <c r="E4" i="16"/>
  <c r="E5" i="16"/>
  <c r="E6" i="16"/>
  <c r="E7" i="16"/>
  <c r="E8" i="16"/>
  <c r="E9" i="16"/>
  <c r="E10" i="16"/>
  <c r="E11" i="16"/>
  <c r="E12" i="16"/>
  <c r="E13" i="16"/>
  <c r="E14" i="16"/>
  <c r="E3" i="16"/>
  <c r="C16" i="3" l="1"/>
  <c r="C17" i="3" s="1"/>
  <c r="E17" i="3" s="1"/>
  <c r="R7" i="12"/>
  <c r="S7" i="12" s="1"/>
  <c r="T7" i="12" s="1"/>
  <c r="R6" i="12"/>
  <c r="S6" i="12" s="1"/>
  <c r="T6" i="12" s="1"/>
  <c r="R5" i="12"/>
  <c r="S5" i="12" s="1"/>
  <c r="T5" i="12" s="1"/>
  <c r="P7" i="11"/>
  <c r="Q7" i="11" s="1"/>
  <c r="Q6" i="11"/>
  <c r="R6" i="11" s="1"/>
  <c r="U6" i="11" s="1"/>
  <c r="P6" i="11"/>
  <c r="P5" i="11"/>
  <c r="Q5" i="11" s="1"/>
  <c r="L7" i="10"/>
  <c r="M7" i="10" s="1"/>
  <c r="N7" i="10" s="1"/>
  <c r="L6" i="10"/>
  <c r="M6" i="10" s="1"/>
  <c r="N6" i="10" s="1"/>
  <c r="L5" i="10"/>
  <c r="M5" i="10" s="1"/>
  <c r="N5" i="10" s="1"/>
  <c r="E19" i="9"/>
  <c r="F19" i="9" s="1"/>
  <c r="E18" i="9"/>
  <c r="F18" i="9" s="1"/>
  <c r="E17" i="9"/>
  <c r="F17" i="9" s="1"/>
  <c r="E11" i="9"/>
  <c r="F11" i="9" s="1"/>
  <c r="G11" i="9" s="1"/>
  <c r="J11" i="9" s="1"/>
  <c r="E10" i="9"/>
  <c r="F10" i="9" s="1"/>
  <c r="I10" i="9" s="1"/>
  <c r="O9" i="9" s="1"/>
  <c r="E9" i="9"/>
  <c r="F9" i="9" s="1"/>
  <c r="D5" i="9"/>
  <c r="E5" i="9" s="1"/>
  <c r="D4" i="9"/>
  <c r="E4" i="9" s="1"/>
  <c r="D3" i="9"/>
  <c r="E3" i="9" s="1"/>
  <c r="N8" i="9" s="1"/>
  <c r="N9" i="9" l="1"/>
  <c r="F4" i="9"/>
  <c r="I11" i="9"/>
  <c r="O10" i="9" s="1"/>
  <c r="T6" i="11"/>
  <c r="G9" i="9"/>
  <c r="J9" i="9" s="1"/>
  <c r="I9" i="9"/>
  <c r="O8" i="9" s="1"/>
  <c r="G19" i="9"/>
  <c r="P10" i="9"/>
  <c r="G18" i="9"/>
  <c r="P9" i="9"/>
  <c r="Q9" i="9"/>
  <c r="R9" i="9" s="1"/>
  <c r="F5" i="9"/>
  <c r="N10" i="9"/>
  <c r="G17" i="9"/>
  <c r="P8" i="9"/>
  <c r="Q8" i="9" s="1"/>
  <c r="R8" i="9" s="1"/>
  <c r="T5" i="11"/>
  <c r="R5" i="11"/>
  <c r="U5" i="11" s="1"/>
  <c r="T7" i="11"/>
  <c r="R7" i="11"/>
  <c r="U7" i="11" s="1"/>
  <c r="F3" i="9"/>
  <c r="G10" i="9"/>
  <c r="J10" i="9" s="1"/>
  <c r="Q10" i="9" l="1"/>
  <c r="R10" i="9" s="1"/>
  <c r="Y1741" i="8"/>
  <c r="V1741" i="8" s="1"/>
  <c r="Z1741" i="8"/>
  <c r="AA1741" i="8"/>
  <c r="AB1741" i="8"/>
  <c r="AC1741" i="8"/>
  <c r="AD1741" i="8"/>
  <c r="AE1741" i="8"/>
  <c r="AF1741" i="8"/>
  <c r="AG1741" i="8"/>
  <c r="AH1741" i="8"/>
  <c r="AI1741" i="8"/>
  <c r="AJ1741" i="8"/>
  <c r="Y2221" i="8"/>
  <c r="Z2221" i="8"/>
  <c r="AA2221" i="8"/>
  <c r="AB2221" i="8"/>
  <c r="AC2221" i="8"/>
  <c r="AD2221" i="8"/>
  <c r="AE2221" i="8"/>
  <c r="AF2221" i="8"/>
  <c r="AG2221" i="8"/>
  <c r="AH2221" i="8"/>
  <c r="AI2221" i="8"/>
  <c r="AJ2221" i="8"/>
  <c r="Y2974" i="8"/>
  <c r="V2974" i="8" s="1"/>
  <c r="Z2974" i="8"/>
  <c r="AA2974" i="8"/>
  <c r="AB2974" i="8"/>
  <c r="AC2974" i="8"/>
  <c r="AD2974" i="8"/>
  <c r="AE2974" i="8"/>
  <c r="AF2974" i="8"/>
  <c r="AG2974" i="8"/>
  <c r="AH2974" i="8"/>
  <c r="AI2974" i="8"/>
  <c r="AJ2974" i="8"/>
  <c r="T4672" i="8"/>
  <c r="U4672" i="8"/>
  <c r="W4672" i="8"/>
  <c r="X4672" i="8"/>
  <c r="Y2098" i="7"/>
  <c r="Z2098" i="7"/>
  <c r="AA2098" i="7"/>
  <c r="AB2098" i="7"/>
  <c r="AC2098" i="7"/>
  <c r="AD2098" i="7"/>
  <c r="AE2098" i="7"/>
  <c r="AF2098" i="7"/>
  <c r="AG2098" i="7"/>
  <c r="AH2098" i="7"/>
  <c r="B7" i="6"/>
  <c r="B9" i="6" s="1"/>
  <c r="C24" i="3" s="1"/>
  <c r="C24" i="1" s="1"/>
  <c r="C7" i="6"/>
  <c r="Y4672" i="8" l="1"/>
  <c r="P4672" i="8" s="1"/>
  <c r="V2221" i="8"/>
  <c r="E24" i="3"/>
  <c r="E28" i="3" l="1"/>
  <c r="L9" i="3"/>
  <c r="G39" i="3"/>
  <c r="H39" i="3" s="1"/>
  <c r="I39" i="3" s="1"/>
  <c r="J39" i="3" s="1"/>
  <c r="K39" i="3" s="1"/>
  <c r="L39" i="3" s="1"/>
  <c r="M39" i="3" s="1"/>
  <c r="N39" i="3" s="1"/>
  <c r="O39" i="3" s="1"/>
  <c r="P39" i="3" s="1"/>
  <c r="Q39" i="3" s="1"/>
  <c r="F9" i="3"/>
  <c r="F14" i="3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E48" i="3" l="1"/>
  <c r="G9" i="3"/>
  <c r="H9" i="3" s="1"/>
  <c r="I9" i="3" s="1"/>
  <c r="F23" i="3"/>
  <c r="E63" i="3"/>
  <c r="E64" i="3" s="1"/>
  <c r="D2" i="19" s="1"/>
  <c r="E35" i="3"/>
  <c r="R39" i="3"/>
  <c r="S39" i="3" s="1"/>
  <c r="T39" i="3" s="1"/>
  <c r="U39" i="3" s="1"/>
  <c r="V39" i="3" s="1"/>
  <c r="W39" i="3" s="1"/>
  <c r="X39" i="3" s="1"/>
  <c r="M9" i="3"/>
  <c r="N9" i="3" s="1"/>
  <c r="P9" i="3" s="1"/>
  <c r="Q9" i="3" s="1"/>
  <c r="R9" i="3" s="1"/>
  <c r="S9" i="3" s="1"/>
  <c r="U9" i="3" s="1"/>
  <c r="V9" i="3" s="1"/>
  <c r="W9" i="3" s="1"/>
  <c r="X9" i="3" s="1"/>
  <c r="E16" i="3"/>
  <c r="F17" i="3" s="1"/>
  <c r="G17" i="3" s="1"/>
  <c r="H17" i="3" s="1"/>
  <c r="D41" i="3"/>
  <c r="C40" i="3"/>
  <c r="E40" i="3" s="1"/>
  <c r="D30" i="3"/>
  <c r="E20" i="3"/>
  <c r="E38" i="3" s="1"/>
  <c r="E19" i="3"/>
  <c r="E37" i="3" s="1"/>
  <c r="A19" i="3"/>
  <c r="E18" i="3"/>
  <c r="E36" i="3" s="1"/>
  <c r="A18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D43" i="3" l="1"/>
  <c r="D51" i="3" s="1"/>
  <c r="F19" i="3"/>
  <c r="G19" i="3" s="1"/>
  <c r="F18" i="3"/>
  <c r="F36" i="3" s="1"/>
  <c r="E34" i="3"/>
  <c r="F20" i="3"/>
  <c r="F38" i="3" s="1"/>
  <c r="H34" i="3"/>
  <c r="I17" i="3"/>
  <c r="F24" i="3"/>
  <c r="F34" i="3"/>
  <c r="G34" i="3"/>
  <c r="X49" i="1"/>
  <c r="W49" i="1"/>
  <c r="U49" i="1"/>
  <c r="T49" i="1"/>
  <c r="S49" i="1"/>
  <c r="R49" i="1"/>
  <c r="Q49" i="1"/>
  <c r="P49" i="1"/>
  <c r="K49" i="1"/>
  <c r="D41" i="1"/>
  <c r="D30" i="1"/>
  <c r="D43" i="1" s="1"/>
  <c r="U16" i="1"/>
  <c r="G23" i="3" l="1"/>
  <c r="H23" i="3" s="1"/>
  <c r="I23" i="3" s="1"/>
  <c r="J23" i="3" s="1"/>
  <c r="F37" i="3"/>
  <c r="G18" i="3"/>
  <c r="G36" i="3" s="1"/>
  <c r="F28" i="3"/>
  <c r="G24" i="3"/>
  <c r="I34" i="3"/>
  <c r="J17" i="3"/>
  <c r="G20" i="3"/>
  <c r="G38" i="3" s="1"/>
  <c r="G37" i="3"/>
  <c r="H19" i="3"/>
  <c r="E29" i="3"/>
  <c r="F35" i="3"/>
  <c r="G35" i="3" s="1"/>
  <c r="H35" i="3" s="1"/>
  <c r="I35" i="3" s="1"/>
  <c r="J35" i="3" s="1"/>
  <c r="K35" i="3" s="1"/>
  <c r="L35" i="3" s="1"/>
  <c r="M35" i="3" s="1"/>
  <c r="N35" i="3" s="1"/>
  <c r="O35" i="3" s="1"/>
  <c r="P35" i="3" s="1"/>
  <c r="Q35" i="3" s="1"/>
  <c r="R35" i="3" s="1"/>
  <c r="S35" i="3" s="1"/>
  <c r="T35" i="3" s="1"/>
  <c r="U35" i="3" s="1"/>
  <c r="V35" i="3" s="1"/>
  <c r="W35" i="3" s="1"/>
  <c r="X35" i="3" s="1"/>
  <c r="G16" i="1"/>
  <c r="K16" i="1"/>
  <c r="O16" i="1"/>
  <c r="S16" i="1"/>
  <c r="X16" i="1"/>
  <c r="H16" i="1"/>
  <c r="L16" i="1"/>
  <c r="P16" i="1"/>
  <c r="T16" i="1"/>
  <c r="E17" i="1"/>
  <c r="E18" i="1"/>
  <c r="E36" i="1" s="1"/>
  <c r="E19" i="1"/>
  <c r="E37" i="1" s="1"/>
  <c r="E20" i="1"/>
  <c r="E38" i="1" s="1"/>
  <c r="E16" i="1"/>
  <c r="I16" i="1"/>
  <c r="M16" i="1"/>
  <c r="Q16" i="1"/>
  <c r="V16" i="1"/>
  <c r="F16" i="1"/>
  <c r="J16" i="1"/>
  <c r="N16" i="1"/>
  <c r="R16" i="1"/>
  <c r="W16" i="1"/>
  <c r="V49" i="1"/>
  <c r="E30" i="3" l="1"/>
  <c r="AE6" i="3"/>
  <c r="G23" i="1"/>
  <c r="H23" i="1" s="1"/>
  <c r="I23" i="1" s="1"/>
  <c r="J23" i="1" s="1"/>
  <c r="K23" i="3"/>
  <c r="L23" i="3" s="1"/>
  <c r="M23" i="3" s="1"/>
  <c r="N23" i="3" s="1"/>
  <c r="O23" i="3" s="1"/>
  <c r="F63" i="3"/>
  <c r="F64" i="3" s="1"/>
  <c r="E2" i="19" s="1"/>
  <c r="F48" i="3"/>
  <c r="E34" i="1"/>
  <c r="H18" i="3"/>
  <c r="F40" i="3"/>
  <c r="F29" i="3"/>
  <c r="H20" i="3"/>
  <c r="H38" i="3" s="1"/>
  <c r="G28" i="3"/>
  <c r="H24" i="3"/>
  <c r="H37" i="3"/>
  <c r="I19" i="3"/>
  <c r="J34" i="3"/>
  <c r="K17" i="3"/>
  <c r="F24" i="1"/>
  <c r="F17" i="1"/>
  <c r="F34" i="1" s="1"/>
  <c r="F20" i="1"/>
  <c r="F38" i="1" s="1"/>
  <c r="F19" i="1"/>
  <c r="F37" i="1" s="1"/>
  <c r="D52" i="1"/>
  <c r="O49" i="1"/>
  <c r="F18" i="1"/>
  <c r="F36" i="1" s="1"/>
  <c r="AE6" i="1" l="1"/>
  <c r="K23" i="1"/>
  <c r="L23" i="1" s="1"/>
  <c r="M23" i="1" s="1"/>
  <c r="N23" i="1" s="1"/>
  <c r="O23" i="1" s="1"/>
  <c r="P23" i="3"/>
  <c r="Q23" i="3" s="1"/>
  <c r="R23" i="3" s="1"/>
  <c r="S23" i="3" s="1"/>
  <c r="T23" i="3" s="1"/>
  <c r="AF6" i="3"/>
  <c r="E63" i="1"/>
  <c r="E64" i="1" s="1"/>
  <c r="E48" i="1"/>
  <c r="G63" i="3"/>
  <c r="G64" i="3" s="1"/>
  <c r="F2" i="19" s="1"/>
  <c r="G48" i="3"/>
  <c r="E40" i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H36" i="3"/>
  <c r="I18" i="3"/>
  <c r="F30" i="3"/>
  <c r="K34" i="3"/>
  <c r="L17" i="3"/>
  <c r="I37" i="3"/>
  <c r="J19" i="3"/>
  <c r="I20" i="3"/>
  <c r="I38" i="3" s="1"/>
  <c r="H28" i="3"/>
  <c r="I24" i="3"/>
  <c r="E41" i="3"/>
  <c r="G29" i="3"/>
  <c r="G40" i="3"/>
  <c r="G19" i="1"/>
  <c r="G37" i="1" s="1"/>
  <c r="G17" i="1"/>
  <c r="G34" i="1" s="1"/>
  <c r="G20" i="1"/>
  <c r="G38" i="1" s="1"/>
  <c r="F28" i="1"/>
  <c r="F48" i="1" s="1"/>
  <c r="G24" i="1"/>
  <c r="G18" i="1"/>
  <c r="G36" i="1" s="1"/>
  <c r="E29" i="1"/>
  <c r="AG6" i="3" l="1"/>
  <c r="AF6" i="1"/>
  <c r="P23" i="1"/>
  <c r="Q23" i="1" s="1"/>
  <c r="R23" i="1" s="1"/>
  <c r="S23" i="1" s="1"/>
  <c r="T23" i="1" s="1"/>
  <c r="U23" i="3"/>
  <c r="V23" i="3" s="1"/>
  <c r="W23" i="3" s="1"/>
  <c r="X23" i="3" s="1"/>
  <c r="H63" i="3"/>
  <c r="H64" i="3" s="1"/>
  <c r="G2" i="19" s="1"/>
  <c r="H48" i="3"/>
  <c r="F40" i="1"/>
  <c r="F63" i="1"/>
  <c r="F64" i="1" s="1"/>
  <c r="J18" i="3"/>
  <c r="I36" i="3"/>
  <c r="E43" i="3"/>
  <c r="G30" i="3"/>
  <c r="E30" i="1"/>
  <c r="F41" i="3"/>
  <c r="F43" i="3" s="1"/>
  <c r="F51" i="3" s="1"/>
  <c r="J37" i="3"/>
  <c r="K19" i="3"/>
  <c r="L34" i="3"/>
  <c r="M17" i="3"/>
  <c r="H29" i="3"/>
  <c r="H40" i="3"/>
  <c r="I28" i="3"/>
  <c r="J24" i="3"/>
  <c r="J20" i="3"/>
  <c r="J38" i="3" s="1"/>
  <c r="G28" i="1"/>
  <c r="G48" i="1" s="1"/>
  <c r="H24" i="1"/>
  <c r="H17" i="1"/>
  <c r="H34" i="1" s="1"/>
  <c r="H20" i="1"/>
  <c r="H38" i="1" s="1"/>
  <c r="H19" i="1"/>
  <c r="H37" i="1" s="1"/>
  <c r="F29" i="1"/>
  <c r="H18" i="1"/>
  <c r="H36" i="1" s="1"/>
  <c r="AE7" i="3" l="1"/>
  <c r="C72" i="3"/>
  <c r="AH6" i="3"/>
  <c r="AG6" i="1"/>
  <c r="U23" i="1"/>
  <c r="V23" i="1" s="1"/>
  <c r="W23" i="1" s="1"/>
  <c r="X23" i="1" s="1"/>
  <c r="E51" i="3"/>
  <c r="E44" i="3"/>
  <c r="E52" i="3" s="1"/>
  <c r="I63" i="3"/>
  <c r="I64" i="3" s="1"/>
  <c r="H2" i="19" s="1"/>
  <c r="I48" i="3"/>
  <c r="G40" i="1"/>
  <c r="G63" i="1"/>
  <c r="G64" i="1" s="1"/>
  <c r="E46" i="3"/>
  <c r="J36" i="3"/>
  <c r="K18" i="3"/>
  <c r="H30" i="3"/>
  <c r="K37" i="3"/>
  <c r="L19" i="3"/>
  <c r="K24" i="3"/>
  <c r="J28" i="3"/>
  <c r="I29" i="3"/>
  <c r="I40" i="3"/>
  <c r="N17" i="3"/>
  <c r="M34" i="3"/>
  <c r="F44" i="3"/>
  <c r="F52" i="3" s="1"/>
  <c r="F46" i="3"/>
  <c r="K20" i="3"/>
  <c r="K38" i="3" s="1"/>
  <c r="G41" i="3"/>
  <c r="G43" i="3" s="1"/>
  <c r="F30" i="1"/>
  <c r="H28" i="1"/>
  <c r="I24" i="1"/>
  <c r="I19" i="1"/>
  <c r="I37" i="1" s="1"/>
  <c r="G29" i="1"/>
  <c r="I20" i="1"/>
  <c r="I38" i="1" s="1"/>
  <c r="I17" i="1"/>
  <c r="I34" i="1" s="1"/>
  <c r="E41" i="1"/>
  <c r="I18" i="1"/>
  <c r="I36" i="1" s="1"/>
  <c r="AH6" i="1" l="1"/>
  <c r="E43" i="1"/>
  <c r="E44" i="1" s="1"/>
  <c r="E52" i="1" s="1"/>
  <c r="H48" i="1"/>
  <c r="J63" i="3"/>
  <c r="J64" i="3" s="1"/>
  <c r="I2" i="19" s="1"/>
  <c r="J48" i="3"/>
  <c r="E60" i="3"/>
  <c r="H40" i="1"/>
  <c r="H63" i="1"/>
  <c r="H64" i="1" s="1"/>
  <c r="G30" i="1"/>
  <c r="F60" i="3"/>
  <c r="K36" i="3"/>
  <c r="L18" i="3"/>
  <c r="I30" i="3"/>
  <c r="G51" i="3"/>
  <c r="G44" i="3"/>
  <c r="G52" i="3" s="1"/>
  <c r="G46" i="3"/>
  <c r="J29" i="3"/>
  <c r="J40" i="3"/>
  <c r="L37" i="3"/>
  <c r="M19" i="3"/>
  <c r="L20" i="3"/>
  <c r="L38" i="3" s="1"/>
  <c r="N34" i="3"/>
  <c r="O17" i="3"/>
  <c r="L24" i="3"/>
  <c r="K28" i="3"/>
  <c r="H41" i="3"/>
  <c r="H43" i="3" s="1"/>
  <c r="J20" i="1"/>
  <c r="J38" i="1" s="1"/>
  <c r="H29" i="1"/>
  <c r="I28" i="1"/>
  <c r="I48" i="1" s="1"/>
  <c r="J24" i="1"/>
  <c r="J18" i="1"/>
  <c r="J36" i="1" s="1"/>
  <c r="F41" i="1"/>
  <c r="F43" i="1" s="1"/>
  <c r="J17" i="1"/>
  <c r="J34" i="1" s="1"/>
  <c r="J19" i="1"/>
  <c r="J37" i="1" s="1"/>
  <c r="AE8" i="3" l="1"/>
  <c r="C73" i="3"/>
  <c r="E51" i="1"/>
  <c r="E46" i="1"/>
  <c r="AE7" i="1"/>
  <c r="K63" i="3"/>
  <c r="K64" i="3" s="1"/>
  <c r="J2" i="19" s="1"/>
  <c r="K48" i="3"/>
  <c r="E61" i="3"/>
  <c r="I40" i="1"/>
  <c r="I63" i="1"/>
  <c r="I64" i="1" s="1"/>
  <c r="L36" i="3"/>
  <c r="M18" i="3"/>
  <c r="J30" i="3"/>
  <c r="H30" i="1"/>
  <c r="H51" i="3"/>
  <c r="H46" i="3"/>
  <c r="H44" i="3"/>
  <c r="H52" i="3" s="1"/>
  <c r="K40" i="3"/>
  <c r="K29" i="3"/>
  <c r="M20" i="3"/>
  <c r="M38" i="3" s="1"/>
  <c r="L28" i="3"/>
  <c r="M24" i="3"/>
  <c r="O34" i="3"/>
  <c r="P17" i="3"/>
  <c r="M37" i="3"/>
  <c r="N19" i="3"/>
  <c r="G60" i="3"/>
  <c r="F51" i="1"/>
  <c r="F46" i="1"/>
  <c r="F44" i="1"/>
  <c r="F52" i="1" s="1"/>
  <c r="K19" i="1"/>
  <c r="K37" i="1" s="1"/>
  <c r="G41" i="1"/>
  <c r="G43" i="1" s="1"/>
  <c r="J28" i="1"/>
  <c r="K24" i="1"/>
  <c r="I29" i="1"/>
  <c r="K17" i="1"/>
  <c r="K34" i="1" s="1"/>
  <c r="K18" i="1"/>
  <c r="K36" i="1" s="1"/>
  <c r="K20" i="1"/>
  <c r="K38" i="1" s="1"/>
  <c r="E60" i="1"/>
  <c r="F60" i="1" l="1"/>
  <c r="E61" i="1" s="1"/>
  <c r="J48" i="1"/>
  <c r="H60" i="3"/>
  <c r="G61" i="3" s="1"/>
  <c r="L63" i="3"/>
  <c r="L64" i="3" s="1"/>
  <c r="K2" i="19" s="1"/>
  <c r="L48" i="3"/>
  <c r="J40" i="1"/>
  <c r="J63" i="1"/>
  <c r="J64" i="1" s="1"/>
  <c r="I30" i="1"/>
  <c r="AE8" i="1" s="1"/>
  <c r="N18" i="3"/>
  <c r="M36" i="3"/>
  <c r="K30" i="3"/>
  <c r="K41" i="3" s="1"/>
  <c r="K43" i="3" s="1"/>
  <c r="N37" i="3"/>
  <c r="O19" i="3"/>
  <c r="M28" i="3"/>
  <c r="N24" i="3"/>
  <c r="F61" i="3"/>
  <c r="L29" i="3"/>
  <c r="L40" i="3"/>
  <c r="I41" i="3"/>
  <c r="I43" i="3" s="1"/>
  <c r="AE9" i="3" s="1"/>
  <c r="J41" i="3"/>
  <c r="P34" i="3"/>
  <c r="Q17" i="3"/>
  <c r="N20" i="3"/>
  <c r="N38" i="3" s="1"/>
  <c r="G51" i="1"/>
  <c r="G46" i="1"/>
  <c r="G44" i="1"/>
  <c r="G52" i="1" s="1"/>
  <c r="L18" i="1"/>
  <c r="L36" i="1" s="1"/>
  <c r="L20" i="1"/>
  <c r="L38" i="1" s="1"/>
  <c r="L17" i="1"/>
  <c r="L34" i="1" s="1"/>
  <c r="K28" i="1"/>
  <c r="K48" i="1" s="1"/>
  <c r="L24" i="1"/>
  <c r="J29" i="1"/>
  <c r="L19" i="1"/>
  <c r="L37" i="1" s="1"/>
  <c r="H41" i="1"/>
  <c r="H43" i="1" s="1"/>
  <c r="J43" i="3" l="1"/>
  <c r="M63" i="3"/>
  <c r="M64" i="3" s="1"/>
  <c r="L2" i="19" s="1"/>
  <c r="M48" i="3"/>
  <c r="K40" i="1"/>
  <c r="K63" i="1"/>
  <c r="K64" i="1" s="1"/>
  <c r="N36" i="3"/>
  <c r="O18" i="3"/>
  <c r="L30" i="3"/>
  <c r="L41" i="3" s="1"/>
  <c r="L43" i="3" s="1"/>
  <c r="K51" i="3"/>
  <c r="K44" i="3"/>
  <c r="K52" i="3" s="1"/>
  <c r="K46" i="3"/>
  <c r="J51" i="3"/>
  <c r="J44" i="3"/>
  <c r="J52" i="3" s="1"/>
  <c r="J46" i="3"/>
  <c r="N28" i="3"/>
  <c r="O24" i="3"/>
  <c r="O20" i="3"/>
  <c r="O38" i="3" s="1"/>
  <c r="I46" i="3"/>
  <c r="I44" i="3"/>
  <c r="I52" i="3" s="1"/>
  <c r="I51" i="3"/>
  <c r="M29" i="3"/>
  <c r="M40" i="3"/>
  <c r="Q34" i="3"/>
  <c r="R17" i="3"/>
  <c r="O37" i="3"/>
  <c r="P19" i="3"/>
  <c r="J30" i="1"/>
  <c r="H51" i="1"/>
  <c r="H60" i="1" s="1"/>
  <c r="H46" i="1"/>
  <c r="H44" i="1"/>
  <c r="H52" i="1" s="1"/>
  <c r="L28" i="1"/>
  <c r="L48" i="1" s="1"/>
  <c r="M24" i="1"/>
  <c r="M20" i="1"/>
  <c r="M38" i="1" s="1"/>
  <c r="M18" i="1"/>
  <c r="M36" i="1" s="1"/>
  <c r="M19" i="1"/>
  <c r="M37" i="1" s="1"/>
  <c r="K29" i="1"/>
  <c r="M17" i="1"/>
  <c r="M34" i="1" s="1"/>
  <c r="G60" i="1"/>
  <c r="AF7" i="3" l="1"/>
  <c r="D72" i="3"/>
  <c r="D77" i="3" s="1"/>
  <c r="D82" i="3" s="1"/>
  <c r="AE10" i="3"/>
  <c r="N63" i="3"/>
  <c r="N64" i="3" s="1"/>
  <c r="M2" i="19" s="1"/>
  <c r="N48" i="3"/>
  <c r="L40" i="1"/>
  <c r="L63" i="1"/>
  <c r="L64" i="1" s="1"/>
  <c r="O36" i="3"/>
  <c r="P18" i="3"/>
  <c r="M30" i="3"/>
  <c r="M41" i="3" s="1"/>
  <c r="I41" i="1"/>
  <c r="L51" i="3"/>
  <c r="L60" i="3" s="1"/>
  <c r="L44" i="3"/>
  <c r="L52" i="3" s="1"/>
  <c r="L46" i="3"/>
  <c r="I60" i="3"/>
  <c r="J60" i="3"/>
  <c r="N40" i="3"/>
  <c r="N29" i="3"/>
  <c r="Q19" i="3"/>
  <c r="P37" i="3"/>
  <c r="P24" i="3"/>
  <c r="O28" i="3"/>
  <c r="P20" i="3"/>
  <c r="P38" i="3" s="1"/>
  <c r="R34" i="3"/>
  <c r="S17" i="3"/>
  <c r="K60" i="3"/>
  <c r="K30" i="1"/>
  <c r="N17" i="1"/>
  <c r="N34" i="1" s="1"/>
  <c r="N18" i="1"/>
  <c r="N36" i="1" s="1"/>
  <c r="M28" i="1"/>
  <c r="M48" i="1" s="1"/>
  <c r="N24" i="1"/>
  <c r="L29" i="1"/>
  <c r="N20" i="1"/>
  <c r="N38" i="1" s="1"/>
  <c r="G61" i="1"/>
  <c r="F61" i="1"/>
  <c r="N19" i="1"/>
  <c r="N37" i="1" s="1"/>
  <c r="J41" i="1"/>
  <c r="M43" i="3" l="1"/>
  <c r="M44" i="3" s="1"/>
  <c r="M52" i="3" s="1"/>
  <c r="I43" i="1"/>
  <c r="I46" i="1" s="1"/>
  <c r="J43" i="1"/>
  <c r="O63" i="3"/>
  <c r="O64" i="3" s="1"/>
  <c r="N2" i="19" s="1"/>
  <c r="O48" i="3"/>
  <c r="M40" i="1"/>
  <c r="M63" i="1"/>
  <c r="M64" i="1" s="1"/>
  <c r="K41" i="1"/>
  <c r="K43" i="1" s="1"/>
  <c r="P36" i="3"/>
  <c r="Q18" i="3"/>
  <c r="N30" i="3"/>
  <c r="D73" i="3" s="1"/>
  <c r="D78" i="3" s="1"/>
  <c r="D83" i="3" s="1"/>
  <c r="K61" i="3"/>
  <c r="M46" i="3"/>
  <c r="J61" i="3"/>
  <c r="Q37" i="3"/>
  <c r="R19" i="3"/>
  <c r="Q24" i="3"/>
  <c r="P28" i="3"/>
  <c r="Q20" i="3"/>
  <c r="Q38" i="3" s="1"/>
  <c r="S34" i="3"/>
  <c r="T17" i="3"/>
  <c r="O29" i="3"/>
  <c r="O40" i="3"/>
  <c r="I61" i="3"/>
  <c r="H61" i="3"/>
  <c r="L30" i="1"/>
  <c r="M29" i="1"/>
  <c r="O17" i="1"/>
  <c r="O34" i="1" s="1"/>
  <c r="O18" i="1"/>
  <c r="O36" i="1" s="1"/>
  <c r="N28" i="1"/>
  <c r="N48" i="1" s="1"/>
  <c r="O24" i="1"/>
  <c r="O19" i="1"/>
  <c r="O37" i="1" s="1"/>
  <c r="O20" i="1"/>
  <c r="O38" i="1" s="1"/>
  <c r="M51" i="3" l="1"/>
  <c r="M60" i="3" s="1"/>
  <c r="D77" i="1"/>
  <c r="D82" i="1" s="1"/>
  <c r="I51" i="1"/>
  <c r="AE9" i="1"/>
  <c r="AF7" i="1"/>
  <c r="J51" i="1"/>
  <c r="J44" i="1"/>
  <c r="J52" i="1" s="1"/>
  <c r="I44" i="1"/>
  <c r="I52" i="1" s="1"/>
  <c r="J46" i="1"/>
  <c r="N41" i="3"/>
  <c r="AF8" i="3"/>
  <c r="P63" i="3"/>
  <c r="P64" i="3" s="1"/>
  <c r="O2" i="19" s="1"/>
  <c r="P48" i="3"/>
  <c r="N40" i="1"/>
  <c r="N63" i="1"/>
  <c r="N64" i="1" s="1"/>
  <c r="K51" i="1"/>
  <c r="K46" i="1"/>
  <c r="K44" i="1"/>
  <c r="K52" i="1" s="1"/>
  <c r="L41" i="1"/>
  <c r="L43" i="1" s="1"/>
  <c r="L46" i="1" s="1"/>
  <c r="R18" i="3"/>
  <c r="Q36" i="3"/>
  <c r="O30" i="3"/>
  <c r="T34" i="3"/>
  <c r="U17" i="3"/>
  <c r="P29" i="3"/>
  <c r="P40" i="3"/>
  <c r="R37" i="3"/>
  <c r="S19" i="3"/>
  <c r="Q28" i="3"/>
  <c r="R24" i="3"/>
  <c r="R20" i="3"/>
  <c r="R38" i="3" s="1"/>
  <c r="M30" i="1"/>
  <c r="M41" i="1" s="1"/>
  <c r="M43" i="1" s="1"/>
  <c r="P19" i="1"/>
  <c r="P37" i="1" s="1"/>
  <c r="O28" i="1"/>
  <c r="P24" i="1"/>
  <c r="P17" i="1"/>
  <c r="P34" i="1" s="1"/>
  <c r="P18" i="1"/>
  <c r="P36" i="1" s="1"/>
  <c r="P20" i="1"/>
  <c r="P38" i="1" s="1"/>
  <c r="N29" i="1"/>
  <c r="N43" i="3" l="1"/>
  <c r="AF9" i="3" s="1"/>
  <c r="D74" i="3"/>
  <c r="D79" i="3" s="1"/>
  <c r="D84" i="3" s="1"/>
  <c r="J60" i="1"/>
  <c r="N46" i="3"/>
  <c r="N51" i="3"/>
  <c r="K60" i="1"/>
  <c r="AE10" i="1"/>
  <c r="I60" i="1"/>
  <c r="H61" i="1" s="1"/>
  <c r="N44" i="3"/>
  <c r="N52" i="3" s="1"/>
  <c r="O48" i="1"/>
  <c r="O41" i="3"/>
  <c r="Q63" i="3"/>
  <c r="Q64" i="3" s="1"/>
  <c r="P2" i="19" s="1"/>
  <c r="Q48" i="3"/>
  <c r="O40" i="1"/>
  <c r="O63" i="1"/>
  <c r="O64" i="1" s="1"/>
  <c r="N30" i="1"/>
  <c r="D73" i="1" s="1"/>
  <c r="D78" i="1" s="1"/>
  <c r="D83" i="1" s="1"/>
  <c r="L44" i="1"/>
  <c r="L52" i="1" s="1"/>
  <c r="L51" i="1"/>
  <c r="L60" i="1" s="1"/>
  <c r="R36" i="3"/>
  <c r="S18" i="3"/>
  <c r="P30" i="3"/>
  <c r="P41" i="3" s="1"/>
  <c r="P43" i="3" s="1"/>
  <c r="L61" i="3"/>
  <c r="Q29" i="3"/>
  <c r="Q40" i="3"/>
  <c r="S24" i="3"/>
  <c r="R28" i="3"/>
  <c r="V17" i="3"/>
  <c r="U34" i="3"/>
  <c r="S20" i="3"/>
  <c r="S38" i="3" s="1"/>
  <c r="S37" i="3"/>
  <c r="T19" i="3"/>
  <c r="Q19" i="1"/>
  <c r="Q37" i="1" s="1"/>
  <c r="O29" i="1"/>
  <c r="M51" i="1"/>
  <c r="M46" i="1"/>
  <c r="M44" i="1"/>
  <c r="M52" i="1" s="1"/>
  <c r="Q17" i="1"/>
  <c r="Q34" i="1" s="1"/>
  <c r="Q20" i="1"/>
  <c r="Q38" i="1" s="1"/>
  <c r="Q18" i="1"/>
  <c r="Q36" i="1" s="1"/>
  <c r="P28" i="1"/>
  <c r="P48" i="1" s="1"/>
  <c r="Q24" i="1"/>
  <c r="O43" i="3" l="1"/>
  <c r="O44" i="3" s="1"/>
  <c r="O52" i="3" s="1"/>
  <c r="AF10" i="3"/>
  <c r="D75" i="3"/>
  <c r="D80" i="3" s="1"/>
  <c r="D85" i="3" s="1"/>
  <c r="N60" i="3"/>
  <c r="M61" i="3" s="1"/>
  <c r="J61" i="1"/>
  <c r="N41" i="1"/>
  <c r="AF8" i="1"/>
  <c r="I61" i="1"/>
  <c r="O46" i="3"/>
  <c r="M60" i="1"/>
  <c r="L61" i="1" s="1"/>
  <c r="R63" i="3"/>
  <c r="R64" i="3" s="1"/>
  <c r="Q2" i="19" s="1"/>
  <c r="R48" i="3"/>
  <c r="P40" i="1"/>
  <c r="P63" i="1"/>
  <c r="P64" i="1" s="1"/>
  <c r="S36" i="3"/>
  <c r="T18" i="3"/>
  <c r="Q30" i="3"/>
  <c r="Q41" i="3" s="1"/>
  <c r="Q43" i="3" s="1"/>
  <c r="P51" i="3"/>
  <c r="P44" i="3"/>
  <c r="P52" i="3" s="1"/>
  <c r="P46" i="3"/>
  <c r="T24" i="3"/>
  <c r="S28" i="3"/>
  <c r="U19" i="3"/>
  <c r="T37" i="3"/>
  <c r="V34" i="3"/>
  <c r="W17" i="3"/>
  <c r="T20" i="3"/>
  <c r="T38" i="3" s="1"/>
  <c r="R29" i="3"/>
  <c r="R40" i="3"/>
  <c r="O30" i="1"/>
  <c r="P29" i="1"/>
  <c r="R18" i="1"/>
  <c r="R36" i="1" s="1"/>
  <c r="K61" i="1"/>
  <c r="R17" i="1"/>
  <c r="R34" i="1" s="1"/>
  <c r="Q28" i="1"/>
  <c r="Q48" i="1" s="1"/>
  <c r="R24" i="1"/>
  <c r="R20" i="1"/>
  <c r="R38" i="1" s="1"/>
  <c r="R19" i="1"/>
  <c r="R37" i="1" s="1"/>
  <c r="O51" i="3" l="1"/>
  <c r="E75" i="3" s="1"/>
  <c r="E80" i="3" s="1"/>
  <c r="E85" i="3" s="1"/>
  <c r="N43" i="1"/>
  <c r="AF9" i="1" s="1"/>
  <c r="D74" i="1"/>
  <c r="D79" i="1" s="1"/>
  <c r="D84" i="1" s="1"/>
  <c r="N44" i="1"/>
  <c r="N52" i="1" s="1"/>
  <c r="AG7" i="3"/>
  <c r="E72" i="3"/>
  <c r="E77" i="3" s="1"/>
  <c r="E82" i="3" s="1"/>
  <c r="N46" i="1"/>
  <c r="N51" i="1"/>
  <c r="O60" i="3"/>
  <c r="N61" i="3" s="1"/>
  <c r="P60" i="3"/>
  <c r="S63" i="3"/>
  <c r="S64" i="3" s="1"/>
  <c r="R2" i="19" s="1"/>
  <c r="S48" i="3"/>
  <c r="Q40" i="1"/>
  <c r="Q63" i="1"/>
  <c r="Q64" i="1" s="1"/>
  <c r="O41" i="1"/>
  <c r="U18" i="3"/>
  <c r="T36" i="3"/>
  <c r="R30" i="3"/>
  <c r="R41" i="3" s="1"/>
  <c r="R43" i="3" s="1"/>
  <c r="Q46" i="3"/>
  <c r="Q44" i="3"/>
  <c r="Q52" i="3" s="1"/>
  <c r="Q51" i="3"/>
  <c r="Q60" i="3" s="1"/>
  <c r="U20" i="3"/>
  <c r="U38" i="3" s="1"/>
  <c r="S29" i="3"/>
  <c r="S40" i="3"/>
  <c r="U24" i="3"/>
  <c r="T28" i="3"/>
  <c r="U37" i="3"/>
  <c r="V19" i="3"/>
  <c r="W34" i="3"/>
  <c r="X17" i="3"/>
  <c r="X34" i="3" s="1"/>
  <c r="P30" i="1"/>
  <c r="S19" i="1"/>
  <c r="S37" i="1" s="1"/>
  <c r="R28" i="1"/>
  <c r="R48" i="1" s="1"/>
  <c r="S24" i="1"/>
  <c r="S18" i="1"/>
  <c r="S36" i="1" s="1"/>
  <c r="Q29" i="1"/>
  <c r="S20" i="1"/>
  <c r="S38" i="1" s="1"/>
  <c r="S17" i="1"/>
  <c r="S34" i="1" s="1"/>
  <c r="N60" i="1" l="1"/>
  <c r="M61" i="1" s="1"/>
  <c r="D75" i="1"/>
  <c r="D80" i="1" s="1"/>
  <c r="D85" i="1" s="1"/>
  <c r="AF10" i="1"/>
  <c r="P61" i="3"/>
  <c r="O61" i="3"/>
  <c r="O43" i="1"/>
  <c r="O46" i="1" s="1"/>
  <c r="T63" i="3"/>
  <c r="T64" i="3" s="1"/>
  <c r="S2" i="19" s="1"/>
  <c r="T48" i="3"/>
  <c r="R40" i="1"/>
  <c r="R63" i="1"/>
  <c r="R64" i="1" s="1"/>
  <c r="P41" i="1"/>
  <c r="P43" i="1" s="1"/>
  <c r="P46" i="1" s="1"/>
  <c r="V18" i="3"/>
  <c r="U36" i="3"/>
  <c r="S30" i="3"/>
  <c r="S41" i="3" s="1"/>
  <c r="S43" i="3" s="1"/>
  <c r="AG9" i="3" s="1"/>
  <c r="R51" i="3"/>
  <c r="R60" i="3" s="1"/>
  <c r="R44" i="3"/>
  <c r="R52" i="3" s="1"/>
  <c r="R46" i="3"/>
  <c r="U28" i="3"/>
  <c r="V24" i="3"/>
  <c r="V20" i="3"/>
  <c r="V38" i="3" s="1"/>
  <c r="V37" i="3"/>
  <c r="W19" i="3"/>
  <c r="T29" i="3"/>
  <c r="T40" i="3"/>
  <c r="Q30" i="1"/>
  <c r="T17" i="1"/>
  <c r="T34" i="1" s="1"/>
  <c r="T19" i="1"/>
  <c r="T37" i="1" s="1"/>
  <c r="T18" i="1"/>
  <c r="T36" i="1" s="1"/>
  <c r="T20" i="1"/>
  <c r="T38" i="1" s="1"/>
  <c r="S28" i="1"/>
  <c r="T24" i="1"/>
  <c r="R29" i="1"/>
  <c r="E74" i="3" l="1"/>
  <c r="E79" i="3" s="1"/>
  <c r="E84" i="3" s="1"/>
  <c r="S48" i="1"/>
  <c r="E72" i="1"/>
  <c r="E77" i="1" s="1"/>
  <c r="E82" i="1" s="1"/>
  <c r="E73" i="3"/>
  <c r="E78" i="3" s="1"/>
  <c r="E83" i="3" s="1"/>
  <c r="O51" i="1"/>
  <c r="E75" i="1" s="1"/>
  <c r="E80" i="1" s="1"/>
  <c r="E85" i="1" s="1"/>
  <c r="AG7" i="1"/>
  <c r="O44" i="1"/>
  <c r="O52" i="1" s="1"/>
  <c r="AG8" i="3"/>
  <c r="U63" i="3"/>
  <c r="U64" i="3" s="1"/>
  <c r="T2" i="19" s="1"/>
  <c r="U48" i="3"/>
  <c r="S40" i="1"/>
  <c r="S63" i="1"/>
  <c r="S64" i="1" s="1"/>
  <c r="O60" i="1"/>
  <c r="N61" i="1" s="1"/>
  <c r="P51" i="1"/>
  <c r="P44" i="1"/>
  <c r="P52" i="1" s="1"/>
  <c r="Q41" i="1"/>
  <c r="W18" i="3"/>
  <c r="V36" i="3"/>
  <c r="T30" i="3"/>
  <c r="S51" i="3"/>
  <c r="S60" i="3" s="1"/>
  <c r="R61" i="3" s="1"/>
  <c r="S46" i="3"/>
  <c r="S44" i="3"/>
  <c r="S52" i="3" s="1"/>
  <c r="V28" i="3"/>
  <c r="W24" i="3"/>
  <c r="U29" i="3"/>
  <c r="U40" i="3"/>
  <c r="Q61" i="3"/>
  <c r="W37" i="3"/>
  <c r="X19" i="3"/>
  <c r="X37" i="3" s="1"/>
  <c r="W20" i="3"/>
  <c r="W38" i="3" s="1"/>
  <c r="R30" i="1"/>
  <c r="U20" i="1"/>
  <c r="U38" i="1" s="1"/>
  <c r="S29" i="1"/>
  <c r="U18" i="1"/>
  <c r="U36" i="1" s="1"/>
  <c r="U17" i="1"/>
  <c r="U34" i="1" s="1"/>
  <c r="T28" i="1"/>
  <c r="U24" i="1"/>
  <c r="U19" i="1"/>
  <c r="U37" i="1" s="1"/>
  <c r="P60" i="1" l="1"/>
  <c r="O61" i="1" s="1"/>
  <c r="T48" i="1"/>
  <c r="Q43" i="1"/>
  <c r="Q51" i="1" s="1"/>
  <c r="AG10" i="3"/>
  <c r="T41" i="3"/>
  <c r="V63" i="3"/>
  <c r="V64" i="3" s="1"/>
  <c r="U2" i="19" s="1"/>
  <c r="V48" i="3"/>
  <c r="T40" i="1"/>
  <c r="T63" i="1"/>
  <c r="T64" i="1" s="1"/>
  <c r="R41" i="1"/>
  <c r="R43" i="1" s="1"/>
  <c r="X18" i="3"/>
  <c r="X36" i="3" s="1"/>
  <c r="W36" i="3"/>
  <c r="U30" i="3"/>
  <c r="U41" i="3" s="1"/>
  <c r="U43" i="3" s="1"/>
  <c r="V29" i="3"/>
  <c r="V40" i="3"/>
  <c r="X24" i="3"/>
  <c r="X28" i="3" s="1"/>
  <c r="W28" i="3"/>
  <c r="X20" i="3"/>
  <c r="X38" i="3" s="1"/>
  <c r="S30" i="1"/>
  <c r="E73" i="1" s="1"/>
  <c r="E78" i="1" s="1"/>
  <c r="E83" i="1" s="1"/>
  <c r="V19" i="1"/>
  <c r="V37" i="1" s="1"/>
  <c r="T29" i="1"/>
  <c r="V18" i="1"/>
  <c r="V36" i="1" s="1"/>
  <c r="U28" i="1"/>
  <c r="U48" i="1" s="1"/>
  <c r="V24" i="1"/>
  <c r="V17" i="1"/>
  <c r="V34" i="1" s="1"/>
  <c r="V20" i="1"/>
  <c r="V38" i="1" s="1"/>
  <c r="T43" i="3" l="1"/>
  <c r="T44" i="3" s="1"/>
  <c r="T52" i="3" s="1"/>
  <c r="F72" i="3"/>
  <c r="F77" i="3" s="1"/>
  <c r="F82" i="3" s="1"/>
  <c r="AH7" i="3"/>
  <c r="Q46" i="1"/>
  <c r="S41" i="1"/>
  <c r="S43" i="1" s="1"/>
  <c r="S44" i="1" s="1"/>
  <c r="S52" i="1" s="1"/>
  <c r="AG8" i="1"/>
  <c r="Q44" i="1"/>
  <c r="Q52" i="1" s="1"/>
  <c r="T46" i="3"/>
  <c r="W63" i="3"/>
  <c r="W64" i="3" s="1"/>
  <c r="V2" i="19" s="1"/>
  <c r="W48" i="3"/>
  <c r="X63" i="3"/>
  <c r="X64" i="3" s="1"/>
  <c r="W2" i="19" s="1"/>
  <c r="X48" i="3"/>
  <c r="U40" i="1"/>
  <c r="U63" i="1"/>
  <c r="U64" i="1" s="1"/>
  <c r="R46" i="1"/>
  <c r="R51" i="1"/>
  <c r="R60" i="1" s="1"/>
  <c r="Q60" i="1"/>
  <c r="P61" i="1" s="1"/>
  <c r="R44" i="1"/>
  <c r="R52" i="1" s="1"/>
  <c r="V30" i="3"/>
  <c r="V41" i="3" s="1"/>
  <c r="V43" i="3" s="1"/>
  <c r="U46" i="3"/>
  <c r="U44" i="3"/>
  <c r="U52" i="3" s="1"/>
  <c r="U51" i="3"/>
  <c r="W29" i="3"/>
  <c r="W40" i="3"/>
  <c r="X29" i="3"/>
  <c r="X40" i="3"/>
  <c r="T30" i="1"/>
  <c r="S46" i="1"/>
  <c r="U29" i="1"/>
  <c r="W19" i="1"/>
  <c r="W37" i="1" s="1"/>
  <c r="W18" i="1"/>
  <c r="W36" i="1" s="1"/>
  <c r="W17" i="1"/>
  <c r="W34" i="1" s="1"/>
  <c r="W20" i="1"/>
  <c r="W38" i="1" s="1"/>
  <c r="V28" i="1"/>
  <c r="V48" i="1" s="1"/>
  <c r="W24" i="1"/>
  <c r="T51" i="3" l="1"/>
  <c r="T60" i="3" s="1"/>
  <c r="S61" i="3" s="1"/>
  <c r="E74" i="1"/>
  <c r="E79" i="1" s="1"/>
  <c r="E84" i="1" s="1"/>
  <c r="S51" i="1"/>
  <c r="AG10" i="1" s="1"/>
  <c r="AG9" i="1"/>
  <c r="U60" i="3"/>
  <c r="V40" i="1"/>
  <c r="V63" i="1"/>
  <c r="V64" i="1" s="1"/>
  <c r="Q61" i="1"/>
  <c r="T41" i="1"/>
  <c r="U30" i="1"/>
  <c r="U41" i="1" s="1"/>
  <c r="U43" i="1" s="1"/>
  <c r="X30" i="3"/>
  <c r="X41" i="3" s="1"/>
  <c r="X43" i="3" s="1"/>
  <c r="W30" i="3"/>
  <c r="W41" i="3" s="1"/>
  <c r="W43" i="3" s="1"/>
  <c r="V51" i="3"/>
  <c r="V60" i="3" s="1"/>
  <c r="V44" i="3"/>
  <c r="V52" i="3" s="1"/>
  <c r="V46" i="3"/>
  <c r="V29" i="1"/>
  <c r="X17" i="1"/>
  <c r="X34" i="1" s="1"/>
  <c r="X20" i="1"/>
  <c r="X38" i="1" s="1"/>
  <c r="X19" i="1"/>
  <c r="X37" i="1" s="1"/>
  <c r="W28" i="1"/>
  <c r="W48" i="1" s="1"/>
  <c r="X24" i="1"/>
  <c r="X28" i="1" s="1"/>
  <c r="X48" i="1" s="1"/>
  <c r="X18" i="1"/>
  <c r="X36" i="1" s="1"/>
  <c r="F74" i="3" l="1"/>
  <c r="F79" i="3" s="1"/>
  <c r="F84" i="3" s="1"/>
  <c r="S60" i="1"/>
  <c r="R61" i="1" s="1"/>
  <c r="F72" i="1"/>
  <c r="F77" i="1" s="1"/>
  <c r="F82" i="1" s="1"/>
  <c r="F73" i="3"/>
  <c r="F78" i="3" s="1"/>
  <c r="F83" i="3" s="1"/>
  <c r="AH9" i="3"/>
  <c r="T61" i="3"/>
  <c r="Y48" i="1"/>
  <c r="AH7" i="1"/>
  <c r="T43" i="1"/>
  <c r="U61" i="3"/>
  <c r="AH8" i="3"/>
  <c r="X40" i="1"/>
  <c r="X63" i="1"/>
  <c r="X64" i="1" s="1"/>
  <c r="W40" i="1"/>
  <c r="W63" i="1"/>
  <c r="W64" i="1" s="1"/>
  <c r="V30" i="1"/>
  <c r="V41" i="1" s="1"/>
  <c r="V43" i="1" s="1"/>
  <c r="X51" i="3"/>
  <c r="X46" i="3"/>
  <c r="X44" i="3"/>
  <c r="X52" i="3" s="1"/>
  <c r="Y52" i="3" s="1"/>
  <c r="D58" i="3" s="1"/>
  <c r="W51" i="3"/>
  <c r="W44" i="3"/>
  <c r="W52" i="3" s="1"/>
  <c r="W46" i="3"/>
  <c r="U51" i="1"/>
  <c r="U46" i="1"/>
  <c r="U44" i="1"/>
  <c r="U52" i="1" s="1"/>
  <c r="X29" i="1"/>
  <c r="W29" i="1"/>
  <c r="F59" i="3" l="1"/>
  <c r="F75" i="3"/>
  <c r="F80" i="3" s="1"/>
  <c r="F85" i="3" s="1"/>
  <c r="Y51" i="3"/>
  <c r="Z51" i="3" s="1"/>
  <c r="D55" i="3"/>
  <c r="E55" i="3" s="1"/>
  <c r="D57" i="3"/>
  <c r="T44" i="1"/>
  <c r="T52" i="1" s="1"/>
  <c r="T46" i="1"/>
  <c r="T51" i="1"/>
  <c r="W60" i="3"/>
  <c r="V61" i="3" s="1"/>
  <c r="AH10" i="3"/>
  <c r="W30" i="1"/>
  <c r="W41" i="1" s="1"/>
  <c r="X60" i="3"/>
  <c r="X61" i="3" s="1"/>
  <c r="D59" i="3" s="1"/>
  <c r="X30" i="1"/>
  <c r="X41" i="1" s="1"/>
  <c r="X43" i="1" s="1"/>
  <c r="V51" i="1"/>
  <c r="V46" i="1"/>
  <c r="V44" i="1"/>
  <c r="V52" i="1" s="1"/>
  <c r="F74" i="1" l="1"/>
  <c r="F79" i="1" s="1"/>
  <c r="F84" i="1" s="1"/>
  <c r="F73" i="1"/>
  <c r="F78" i="1" s="1"/>
  <c r="F83" i="1" s="1"/>
  <c r="T60" i="1"/>
  <c r="S61" i="1" s="1"/>
  <c r="D56" i="3"/>
  <c r="E56" i="3" s="1"/>
  <c r="V60" i="1"/>
  <c r="AH8" i="1"/>
  <c r="U60" i="1"/>
  <c r="T61" i="1" s="1"/>
  <c r="W43" i="1"/>
  <c r="AH9" i="1" s="1"/>
  <c r="W61" i="3"/>
  <c r="X51" i="1"/>
  <c r="X46" i="1"/>
  <c r="X44" i="1"/>
  <c r="X52" i="1" s="1"/>
  <c r="U61" i="1" l="1"/>
  <c r="W44" i="1"/>
  <c r="W52" i="1" s="1"/>
  <c r="Y52" i="1" s="1"/>
  <c r="D58" i="1" s="1"/>
  <c r="W46" i="1"/>
  <c r="W51" i="1"/>
  <c r="W60" i="1" l="1"/>
  <c r="V61" i="1" s="1"/>
  <c r="F75" i="1"/>
  <c r="F80" i="1" s="1"/>
  <c r="F85" i="1" s="1"/>
  <c r="Y51" i="1"/>
  <c r="D55" i="1"/>
  <c r="D56" i="1" s="1"/>
  <c r="E56" i="1" s="1"/>
  <c r="D57" i="1"/>
  <c r="AH10" i="1"/>
  <c r="X60" i="1"/>
  <c r="X61" i="1" s="1"/>
  <c r="W61" i="1" l="1"/>
  <c r="D59" i="1" s="1"/>
  <c r="F59" i="1"/>
</calcChain>
</file>

<file path=xl/comments1.xml><?xml version="1.0" encoding="utf-8"?>
<comments xmlns="http://schemas.openxmlformats.org/spreadsheetml/2006/main">
  <authors>
    <author>Usama Ibrahim</author>
  </authors>
  <commentList>
    <comment ref="A39" authorId="0" shapeId="0">
      <text>
        <r>
          <rPr>
            <b/>
            <sz val="9"/>
            <color indexed="81"/>
            <rFont val="Tahoma"/>
            <family val="2"/>
          </rPr>
          <t>Central Cost of Laboratory</t>
        </r>
      </text>
    </comment>
  </commentList>
</comments>
</file>

<file path=xl/sharedStrings.xml><?xml version="1.0" encoding="utf-8"?>
<sst xmlns="http://schemas.openxmlformats.org/spreadsheetml/2006/main" count="14184" uniqueCount="1488">
  <si>
    <t>South Karachi</t>
  </si>
  <si>
    <t>Year 00</t>
  </si>
  <si>
    <t>Year 01</t>
  </si>
  <si>
    <t>Year 02</t>
  </si>
  <si>
    <t>Year 03</t>
  </si>
  <si>
    <t>Year 04</t>
  </si>
  <si>
    <t>Year 05</t>
  </si>
  <si>
    <t>Year 06</t>
  </si>
  <si>
    <t>Year 07</t>
  </si>
  <si>
    <t>Year 08</t>
  </si>
  <si>
    <t>Year 09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</si>
  <si>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</si>
  <si>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</si>
  <si>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</si>
  <si>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</si>
  <si>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</si>
  <si>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</si>
  <si>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</si>
  <si>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</si>
  <si>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</si>
  <si>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</si>
  <si>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</si>
  <si>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Assumptions</t>
  </si>
  <si>
    <t>Volumes</t>
  </si>
  <si>
    <t>Price Increase</t>
  </si>
  <si>
    <t>Salary Increase</t>
  </si>
  <si>
    <t xml:space="preserve">Local Inflation </t>
  </si>
  <si>
    <t>Re. / $ Parity</t>
  </si>
  <si>
    <t>Number of FTEs</t>
  </si>
  <si>
    <t>Salary including Fringe</t>
  </si>
  <si>
    <t xml:space="preserve">Stats </t>
  </si>
  <si>
    <t>Average Charge</t>
  </si>
  <si>
    <t>Financials</t>
  </si>
  <si>
    <t>Gross Revenue</t>
  </si>
  <si>
    <t>Discount</t>
  </si>
  <si>
    <t>Net Revenue</t>
  </si>
  <si>
    <t>Expenses</t>
  </si>
  <si>
    <t>Staff Cost</t>
  </si>
  <si>
    <t>Med Surg</t>
  </si>
  <si>
    <t>Supplies</t>
  </si>
  <si>
    <t>Utilities</t>
  </si>
  <si>
    <t>Central Support</t>
  </si>
  <si>
    <t>Marketing</t>
  </si>
  <si>
    <t>General / Administration</t>
  </si>
  <si>
    <t>Total Expenses</t>
  </si>
  <si>
    <t>Earning / (Deficit) before Interest &amp; Depreciation</t>
  </si>
  <si>
    <t>Rs.</t>
  </si>
  <si>
    <t>$</t>
  </si>
  <si>
    <t>EBITDA Margin</t>
  </si>
  <si>
    <t>Ongoing Capital Equipment</t>
  </si>
  <si>
    <t>Excess / (Shortfall) of Revenues over Expenditure before Depreciation</t>
  </si>
  <si>
    <t>NPV in Rs</t>
  </si>
  <si>
    <t>NPV in $</t>
  </si>
  <si>
    <t>IRR (%)</t>
  </si>
  <si>
    <t>Payback</t>
  </si>
  <si>
    <t>Years</t>
  </si>
  <si>
    <t>Months</t>
  </si>
  <si>
    <t>Laboratory Volumes (`000)</t>
  </si>
  <si>
    <t>Outpatient</t>
  </si>
  <si>
    <t>Discounts</t>
  </si>
  <si>
    <t xml:space="preserve">Staff </t>
  </si>
  <si>
    <t>Medical / Surgical</t>
  </si>
  <si>
    <t>Central Support Services Costs</t>
  </si>
  <si>
    <t>Average Revenue</t>
  </si>
  <si>
    <t>Main Centers</t>
  </si>
  <si>
    <t>Total</t>
  </si>
  <si>
    <t>SZC-NAZIMABAD MAIN CENTER</t>
  </si>
  <si>
    <t>SZC-MALIR</t>
  </si>
  <si>
    <t>SZC-KORANGI</t>
  </si>
  <si>
    <t>Commerical Tests</t>
  </si>
  <si>
    <t>Net Sales</t>
  </si>
  <si>
    <t>Sr. #</t>
  </si>
  <si>
    <t>Page 76 of 76</t>
  </si>
  <si>
    <t>Over All Sales Summary</t>
  </si>
  <si>
    <t>HBA1C/GLYCOSYLATED HAEMOGLOBIN (WDF)</t>
  </si>
  <si>
    <t>GENEXPERT TB ASSAY</t>
  </si>
  <si>
    <t>CHEST-XR, GENEXP &amp; SPIROMETRY</t>
  </si>
  <si>
    <t>CHEST X-RAY FREE FOR TB / INFECTION</t>
  </si>
  <si>
    <t>AFB SMEAR MICROSCOPY - FREE FOR TB</t>
  </si>
  <si>
    <t>ABDOMEN SUPINE (DR/DIGITAL)</t>
  </si>
  <si>
    <t>SZC-ZAREEF ULLAH KHAN PALAZA (M) , NOWSHERA</t>
  </si>
  <si>
    <t>Z.N. STAIN / AFB STAIN -PRIVATE PATIENT</t>
  </si>
  <si>
    <t>Z.N. STAIN / AFB STAIN</t>
  </si>
  <si>
    <t>X-RAY L.S SPINE A/P</t>
  </si>
  <si>
    <t>WIDAL</t>
  </si>
  <si>
    <t>VITAMIN D (25-HYDROXY)</t>
  </si>
  <si>
    <t>VITAMIN B-12</t>
  </si>
  <si>
    <t>URINE HCG/PREGNANCY</t>
  </si>
  <si>
    <t>URINE EXAMINATION</t>
  </si>
  <si>
    <t>URINE C/S (CULTURE &amp; SENSITIVITY)</t>
  </si>
  <si>
    <t>URIC ACID</t>
  </si>
  <si>
    <t>UREA</t>
  </si>
  <si>
    <t>TYPHIDOT</t>
  </si>
  <si>
    <t>TSH/THYROID STIMULATING HORMONE</t>
  </si>
  <si>
    <t>TPHA</t>
  </si>
  <si>
    <t>TOTAL PROTEIN</t>
  </si>
  <si>
    <t>TIBC</t>
  </si>
  <si>
    <t>THYROID PROFILE</t>
  </si>
  <si>
    <t>T4/THYROXINE</t>
  </si>
  <si>
    <t>T3/TRIIODOTHYRONINE</t>
  </si>
  <si>
    <t>STOOL EXAMINATION</t>
  </si>
  <si>
    <t>SPUTUM FOR D/R</t>
  </si>
  <si>
    <t>SPUTUM FOR C/S</t>
  </si>
  <si>
    <t>SGPT (ALT)</t>
  </si>
  <si>
    <t>SGOT/AST</t>
  </si>
  <si>
    <t>SERUM IGE /IMMUNOGLOBULIN E</t>
  </si>
  <si>
    <t>RAPID ICT HEP B &amp; C</t>
  </si>
  <si>
    <t>RANDOM BLOOD SUGAR</t>
  </si>
  <si>
    <t>RADIOLOGY REPORT FEE</t>
  </si>
  <si>
    <t>RA FACTOR/ RHEUMATOID FACTOR (RF)</t>
  </si>
  <si>
    <t>PSA/PROSTATE SPECIFIC ANTIGEN</t>
  </si>
  <si>
    <t>PROTHROMBIN TIME /P.T.</t>
  </si>
  <si>
    <t>OPD / CONSULTANCY - DR TAHMINA WAQAS (UNI RD)</t>
  </si>
  <si>
    <t>OPD / CONSULTANCY - DR ASLAM PERVAIZ CHANNA (MALIR)</t>
  </si>
  <si>
    <t>MICROALBUMIN URINE</t>
  </si>
  <si>
    <t>MALARIAL PARASITE</t>
  </si>
  <si>
    <t>LUMBO SEDRAL SPINE EXTANTION &amp; FLEXION (DR/DIGITAL)</t>
  </si>
  <si>
    <t>LUMBO SEDRAL SPINE AP / LATERAL (DR/DIGITAL)</t>
  </si>
  <si>
    <t>LIVER FUNCTION TESTS</t>
  </si>
  <si>
    <t>LIPID PROFILE</t>
  </si>
  <si>
    <t>LDL CHOLESTEROL</t>
  </si>
  <si>
    <t>KNEE JOINT AP/LATERAL RIGHT (DR/DIGITAL)</t>
  </si>
  <si>
    <t>KNEE JOINT AP/LATERAL LEFT (DR/DIGITAL)</t>
  </si>
  <si>
    <t>ICT TUBERCULOSIS</t>
  </si>
  <si>
    <t>ICT MALARIA</t>
  </si>
  <si>
    <t>ICT H-PYLORI</t>
  </si>
  <si>
    <t>ICT HBSAG</t>
  </si>
  <si>
    <t>ICT ANTI HCV</t>
  </si>
  <si>
    <t>HIV/HUMAN IMMUNODEFICIENCY VIRUS AG/AB</t>
  </si>
  <si>
    <t>HIV SCREENING - TB PATIENTS</t>
  </si>
  <si>
    <t>HEPATITIS C VIRUS RNA QUANTITATIVE BY PCR</t>
  </si>
  <si>
    <t>HEPATITIS C VIRUS RNA BY PCR QUALITATIVE</t>
  </si>
  <si>
    <t>HEPATITIS C VIRUS ANTI BODY /ANTI HCV</t>
  </si>
  <si>
    <t>HEPATITIS BE ANTIGEN /HBE ANTIGEN</t>
  </si>
  <si>
    <t>HEPATITIS B VIRUS PCR QUALITATIVE</t>
  </si>
  <si>
    <t>HEPATITIS B SURFACE ANTIGEN /HBSAG</t>
  </si>
  <si>
    <t>HBA1C/GLYCOSYLATED HAEMOGLOBIN</t>
  </si>
  <si>
    <t>HAND RIGHT  A/P LATERAL (DR/DIGITAL)</t>
  </si>
  <si>
    <t>HAND LEFT AP/LATERAL (DR/DIGITAL)</t>
  </si>
  <si>
    <t>HAEMOGLOBIN</t>
  </si>
  <si>
    <t>GRAM STAIN</t>
  </si>
  <si>
    <t>GLUCOMETER SUGAR TEST</t>
  </si>
  <si>
    <t>GENERAL PHYSICAL EXAMINATION</t>
  </si>
  <si>
    <t>FIRST AID SVC - RBS/FBS</t>
  </si>
  <si>
    <t>FIRST AID SVC - IV INFUSION 500ML</t>
  </si>
  <si>
    <t>FIRST AID SVC - IV CANULA</t>
  </si>
  <si>
    <t>FIRST AID SVC - I/M INJECTION</t>
  </si>
  <si>
    <t>FIRST AID SVC - BLOOD PRESSURE</t>
  </si>
  <si>
    <t>FERRITIN</t>
  </si>
  <si>
    <t>FBS/RBS GLUCOMETER</t>
  </si>
  <si>
    <t>FASTING BLOOD SUGAR</t>
  </si>
  <si>
    <t>ESR / ERYTHROCYTE SEDIMENTATION RATE</t>
  </si>
  <si>
    <t>ELECTROLYTES</t>
  </si>
  <si>
    <t>DENGUE ANTIBODIES IGG/IGM (ICT)</t>
  </si>
  <si>
    <t>CRP / C-REACTIVE PROTEIN</t>
  </si>
  <si>
    <t>CREATININE</t>
  </si>
  <si>
    <t>CHOLESTEROL</t>
  </si>
  <si>
    <t>CBC-COMPLETE BLOOD COUNT</t>
  </si>
  <si>
    <t>CBC/ESR COMBINED</t>
  </si>
  <si>
    <t>CAMP X-RAY FOR REMARKS ONLY</t>
  </si>
  <si>
    <t>CALCIUM</t>
  </si>
  <si>
    <t>BP / BLOOD PRESSURE TEST</t>
  </si>
  <si>
    <t>BLOOD GROUP &amp; RH FACTOR</t>
  </si>
  <si>
    <t>BLOOD C/S (CULTURE &amp; SENSITIVITY)</t>
  </si>
  <si>
    <t>ASOT /ANTI STREPTOLYSIN O TITRE</t>
  </si>
  <si>
    <t>APTT/ACTIVATED PARTIAL THROMBOPLASTIN TIME</t>
  </si>
  <si>
    <t>ANA PROFILE</t>
  </si>
  <si>
    <t>AMYLASE</t>
  </si>
  <si>
    <t>AFB C/S (ACID FAST BACILLI CULTURE &amp; SENSITIVITY)</t>
  </si>
  <si>
    <t>24 HOURS URINE FOR MICROALBUMIN</t>
  </si>
  <si>
    <t>SZC-UNIVERSITY ROAD SATELLITE CENTER</t>
  </si>
  <si>
    <t>PROTEIN AG RATIO</t>
  </si>
  <si>
    <t>SZC-SURJANI SATELLITE CENTER</t>
  </si>
  <si>
    <t>ULTRASOUND WHOLE ABDOMEN</t>
  </si>
  <si>
    <t>ULTRASOUND PELVIS</t>
  </si>
  <si>
    <t>ULTRASOUND K.U.B</t>
  </si>
  <si>
    <t>TESTOSTERONE</t>
  </si>
  <si>
    <t>SYPHILIS TREPONEMA PALLIDUM ANTIBODIES (CMIA)</t>
  </si>
  <si>
    <t>STOOL FOR HELICOBACTER PYLORI ANTIGEN</t>
  </si>
  <si>
    <t>STOOL C/S (CULTURE &amp; SENSITIVITY)</t>
  </si>
  <si>
    <t>RPR / VDRL</t>
  </si>
  <si>
    <t>PROLACTIN</t>
  </si>
  <si>
    <t>LH</t>
  </si>
  <si>
    <t>IRON</t>
  </si>
  <si>
    <t>INSULIN</t>
  </si>
  <si>
    <t>HIP JOINT AP &amp; LATERAL LEFT (DR/DIGITAL)</t>
  </si>
  <si>
    <t>HEPATITIS SCREENING B &amp; C (DAR-UL-ULOOM KARACHI)</t>
  </si>
  <si>
    <t>HEPATITIS SCREENING B &amp; C (ADM)</t>
  </si>
  <si>
    <t>HEPATITIS C VIRUS RNA QUANTITATIVE BY PCR (PUNJAB)</t>
  </si>
  <si>
    <t>HEPATITIS A VIRUS ANTIBODY TOTAL</t>
  </si>
  <si>
    <t>HELICOBACTER PYLORI ANTIBODY IGG (ELISA)</t>
  </si>
  <si>
    <t>HDL CHOLESTEROL</t>
  </si>
  <si>
    <t>HB ELECTROPHORESIS</t>
  </si>
  <si>
    <t>FSH</t>
  </si>
  <si>
    <t>DORSAL SPINE  AP/LATERAL (DR/DIGITAL)</t>
  </si>
  <si>
    <t>DORSAL LUMBER AP/LATERAL (DR/DIGITAL)</t>
  </si>
  <si>
    <t>CERVICAL SPINE AP/LAT (DR/DIGITAL)</t>
  </si>
  <si>
    <t>CERVICAL SPINE</t>
  </si>
  <si>
    <t>BLOOD UREA NITROGEN / BUN</t>
  </si>
  <si>
    <t>ALKALINE PHOSPHATASE</t>
  </si>
  <si>
    <t xml:space="preserve"> ANKLE JOINT A/P &amp;LATERAL RIGHT (DR/DIGITAL)</t>
  </si>
  <si>
    <t>SZC-SULTANABAD</t>
  </si>
  <si>
    <t>X-RAY WRIST A/P</t>
  </si>
  <si>
    <t>X-RAY SKUL A/P</t>
  </si>
  <si>
    <t>X-RAY KNEE JOINT A/P</t>
  </si>
  <si>
    <t>X-RAY K.U.B</t>
  </si>
  <si>
    <t>X-RAY FOOT A/P VIEW</t>
  </si>
  <si>
    <t>X-RAY ANKLE JOINT A/P</t>
  </si>
  <si>
    <t>WRIST JOINT AP/LATERAL LEFT (DR/DIGITAL)</t>
  </si>
  <si>
    <t>SPOT URINE FOR URIC ACID</t>
  </si>
  <si>
    <t>SPOT URINE CREATININE</t>
  </si>
  <si>
    <t>SHOULDER AP/LATERAL LEFT (DR/DIGITAL)</t>
  </si>
  <si>
    <t>SHOULDER &amp; ELBOW CR X-RAY</t>
  </si>
  <si>
    <t>SHOULDER  JOINT AP LEFT (DR/DIGITAL)</t>
  </si>
  <si>
    <t>SERUM LIPASE</t>
  </si>
  <si>
    <t>SERUM IGA /IMMUNOGLOBULIN A</t>
  </si>
  <si>
    <t>SERUM BETA HCG</t>
  </si>
  <si>
    <t>RETICULOCYTES COUNT</t>
  </si>
  <si>
    <t>RBC/RED BLOOD CELLS</t>
  </si>
  <si>
    <t>PNS WATER'S VIEW (DR/DIGITAL)</t>
  </si>
  <si>
    <t>PLEURAL FLUID FOR GRAM STAIN</t>
  </si>
  <si>
    <t>PLEURAL FLUID D/R</t>
  </si>
  <si>
    <t>PELVIS AP (DR/DIGITAL)</t>
  </si>
  <si>
    <t>PAP SMEAR FOR CYTOLOGY</t>
  </si>
  <si>
    <t>ORBIT AP AND OBLIQUE RIGHT (DR/DIGITAL)</t>
  </si>
  <si>
    <t>OPD / CONSULTANCY - RS 100</t>
  </si>
  <si>
    <t>LEG AP/LAT RIGHT (DR/DIGITAL)</t>
  </si>
  <si>
    <t>K.U.B (DR/DIGITAL)</t>
  </si>
  <si>
    <t>HVS / HIGH VAGINAL SWAB FOR C/S</t>
  </si>
  <si>
    <t>HEPATITIS B VIRUS PCR QUANTITATIVE</t>
  </si>
  <si>
    <t>HEPATITIS B SURFACE ANTIBODY /ANTI HBS</t>
  </si>
  <si>
    <t>HAND AP VIEW</t>
  </si>
  <si>
    <t>FREE T4</t>
  </si>
  <si>
    <t>FREE T3</t>
  </si>
  <si>
    <t>FOOT RIGHT AP LATERAL (DR/DIGITAL)</t>
  </si>
  <si>
    <t>FOLATE / FOLIC ACID</t>
  </si>
  <si>
    <t>FEMUR RIGHT AP/LATERAL (DR/DIGITAL)</t>
  </si>
  <si>
    <t>FEMUR LEFT A/P LATERAL (DR/DIGITAL)</t>
  </si>
  <si>
    <t>EXFOLIATIVE CYTOLOGY FOR MALIGNANCE</t>
  </si>
  <si>
    <t>CYTOLOGY</t>
  </si>
  <si>
    <t>C-PEPTIDE</t>
  </si>
  <si>
    <t>CHEST X-RAY WITH FILM WELFARE</t>
  </si>
  <si>
    <t>CHEST X-RAY WITH FILM</t>
  </si>
  <si>
    <t>CHEST X-RAY SPECIAL DISCOUNT</t>
  </si>
  <si>
    <t>CHEST X-RAY 8 X 10</t>
  </si>
  <si>
    <t>BARIUM SALLOW X-RAY</t>
  </si>
  <si>
    <t>ASCITIC FLUID FOR D/R</t>
  </si>
  <si>
    <t>ASCITIC FLUID FOR C/S(CULTURE &amp; SENSITIVITY)</t>
  </si>
  <si>
    <t>ANTI T-TG IGA/ ANTI TISSUE TRANSGLUTAMINASE IGA</t>
  </si>
  <si>
    <t>ANA</t>
  </si>
  <si>
    <t>ABDOMEN ERECT (DR/DIGITAL)</t>
  </si>
  <si>
    <t>ABDOMEN ERECT &amp; SUPINE (DR/DIGITAL)</t>
  </si>
  <si>
    <t>SZC-SUKKUR</t>
  </si>
  <si>
    <t>TRIGLYCERIDES</t>
  </si>
  <si>
    <t>SPUTUM FOR GRAM STAIN</t>
  </si>
  <si>
    <t>RUBELLA IGG</t>
  </si>
  <si>
    <t>RED CELL ANTIBODY SCREENING</t>
  </si>
  <si>
    <t>PUS FOR C/S (CULTURE &amp;SENSITIVITY)</t>
  </si>
  <si>
    <t>POTASSIUM</t>
  </si>
  <si>
    <t>OPD / CONSULTANCY - DR SYED FAIZAN-UL-HAQQI MONTHLY PKG (SOLDR BZR)</t>
  </si>
  <si>
    <t>OPD / CONSULTANCY - DR SYED FAIZAN-UL-HAQQI (SOLDR BZR)</t>
  </si>
  <si>
    <t>OPD / CONSULTANCY - DR KHALIL AHMED PATHAN (SOLDER BZR)</t>
  </si>
  <si>
    <t>MAGNESIUM</t>
  </si>
  <si>
    <t>HEPATITIS E VIRUS ANTIBODY IGM</t>
  </si>
  <si>
    <t>HEPATITIS A VIRUS ANTIBODY IGM</t>
  </si>
  <si>
    <t>ECG</t>
  </si>
  <si>
    <t>CARDIAC ENZYMES</t>
  </si>
  <si>
    <t>BIOPSY SMALL</t>
  </si>
  <si>
    <t>ALBUMIN</t>
  </si>
  <si>
    <t>ACID PHOSPHATASE</t>
  </si>
  <si>
    <t>SZC-SOLDIER BAZAR</t>
  </si>
  <si>
    <t>XRAY PNS</t>
  </si>
  <si>
    <t>X-RAY HIP JOINT A/P</t>
  </si>
  <si>
    <t>WRIST JOINT AP/LATERAL RIGHT (DR/DIGITAL)</t>
  </si>
  <si>
    <t>STOOL OCCULT BLOOD</t>
  </si>
  <si>
    <t>SHOULDER JOINT AP RIGHT (DR/DIGITAL)</t>
  </si>
  <si>
    <t>SHOULDER AP/LATERAL RIGHT (DR/DIGITAL)</t>
  </si>
  <si>
    <t>PTH - (INTACT)</t>
  </si>
  <si>
    <t>PHOSPHORUS</t>
  </si>
  <si>
    <t>NECK SOFT TISSUE (DR/DIGITAL)</t>
  </si>
  <si>
    <t>NASAL BONE AP / LAT (DR/DIGITAL)</t>
  </si>
  <si>
    <t>MASTOID LEFT (DR/DIGITAL)</t>
  </si>
  <si>
    <t>LEG AP/LAT LEFT (DR/DIGITAL)</t>
  </si>
  <si>
    <t>HIP JOINT AP &amp; LATERAL RIGHT (DR/DIGITAL)</t>
  </si>
  <si>
    <t>HEPATITIS C VIRUS RNA BY PCR QUALITATIVE (PUNJAB)</t>
  </si>
  <si>
    <t>HEPATITIS B VIRUS PCR QUALITATIVE (PUNJAB)</t>
  </si>
  <si>
    <t>FORE ARM RIGHT AP &amp; LATERAL (DR/DIGITAL)</t>
  </si>
  <si>
    <t>FORE ARM LEFT AP &amp; LATERAL (DR/DIGITAL)</t>
  </si>
  <si>
    <t>FOOT LEFT AP LATERAL (DR/DIGITAL)</t>
  </si>
  <si>
    <t>ELBOW JOINT AP/LATERAL RIGHT (DR/DIGITAL)</t>
  </si>
  <si>
    <t>CORTISOL</t>
  </si>
  <si>
    <t>CHEST X-RAY SP DISCOUTN WTBD.</t>
  </si>
  <si>
    <t>CHEST P/A LAT (DR/DIGITAL)</t>
  </si>
  <si>
    <t>CERVICAL SPINE  AP/LAT/OBLIQUE (DR/DIGITAL)</t>
  </si>
  <si>
    <t>ANKLE JOINT A/P &amp; LATERAL LEFT (DR/DIGITAL)</t>
  </si>
  <si>
    <t>SZC-SIALKOT</t>
  </si>
  <si>
    <t>ULTRASOUND WHOLE ABDOMEN+ PELVIS</t>
  </si>
  <si>
    <t>ULTRASOUND F.W.B</t>
  </si>
  <si>
    <t>SODIUM</t>
  </si>
  <si>
    <t>RUBELLA IGM</t>
  </si>
  <si>
    <t>PLATELETS</t>
  </si>
  <si>
    <t>PELVIS AP / LAT (DR/DIGITAL)</t>
  </si>
  <si>
    <t>HAND LEFT A/P LATERAL (DR/DIGITAL)</t>
  </si>
  <si>
    <t>SZC-SHIRIN JINNAH COLONY</t>
  </si>
  <si>
    <t>SZC-SHER DAD CHOWAK KARAK</t>
  </si>
  <si>
    <t>ULTRA SOUND LOWER ABBDOMEN</t>
  </si>
  <si>
    <t>TYPHIDOT (SINDH/ PUNJAB)</t>
  </si>
  <si>
    <t>SKULL AP/LATERAL (DR/DIGITAL)</t>
  </si>
  <si>
    <t>DONATION UNDER 10,000</t>
  </si>
  <si>
    <t>CHEST AP VIEW (DR/DIGITAL)</t>
  </si>
  <si>
    <t>ALPHA FETOPROTEIN</t>
  </si>
  <si>
    <t>24 HOURS URINE FOR CREATININECLEARANCE</t>
  </si>
  <si>
    <t>SZC-SHEIKUPURA</t>
  </si>
  <si>
    <t>HAND RIGHT AP/ LATERAL (DR/DIGITAL)</t>
  </si>
  <si>
    <t>SZC-SHAIRSHAH SATELLITE CENTER</t>
  </si>
  <si>
    <t>HEPATITIS B VACCINE</t>
  </si>
  <si>
    <t>24 HOURS URINE FOR URIC ACID</t>
  </si>
  <si>
    <t>SZC-SHAHDRA</t>
  </si>
  <si>
    <t>OPD / CONSULTANCY - DR SHEHZAD AZIZ (SHAH-FAISAL)</t>
  </si>
  <si>
    <t>HEPATITIS SCREENING B &amp; C (CHANDIWALA GROUP)</t>
  </si>
  <si>
    <t>ELBOW JOINT LEFT AP/LATERAL (DR/DIGITAL)</t>
  </si>
  <si>
    <t>ELBOW AP (8 X 10)</t>
  </si>
  <si>
    <t>DENGUE NS1 ANTGEN RAPID</t>
  </si>
  <si>
    <t>SZC-SHAH FAISAL</t>
  </si>
  <si>
    <t>TOTAL BILIRUBIN</t>
  </si>
  <si>
    <t>THUMB AP/LAT LEFT (DR/DIGITAL)</t>
  </si>
  <si>
    <t>SPOT URINE FOR CALCIUM</t>
  </si>
  <si>
    <t>PLEURAL FLUID FOR C/S</t>
  </si>
  <si>
    <t>CHEST OBLIQUE (DR/DIGITAL)</t>
  </si>
  <si>
    <t>ANTI T-T IGG/ ANTI TISSUE TRANSGLUTAMINASE IGG</t>
  </si>
  <si>
    <t>SZC-SARGODHA</t>
  </si>
  <si>
    <t>WRIST JOINT AP FOR BONE AGE (DR/DIGITAL)</t>
  </si>
  <si>
    <t>TLC/TOTAL LEUCOCYTES COUNT</t>
  </si>
  <si>
    <t>RH (D) ANTIBODY TITRE</t>
  </si>
  <si>
    <t>PROGESTERONE</t>
  </si>
  <si>
    <t>NASOPHARYNX LAT (DR/DIGITAL)</t>
  </si>
  <si>
    <t>KNEE BOTH AP VIEW ONLY</t>
  </si>
  <si>
    <t>ESTRADIOL / OESTROGEN</t>
  </si>
  <si>
    <t>DLC/DIFFERENTIAL LEUCOCYTES COUNT</t>
  </si>
  <si>
    <t>DIRECT BILIRUBIN</t>
  </si>
  <si>
    <t>CULTURE &amp; SENSITIVITY</t>
  </si>
  <si>
    <t>CPK</t>
  </si>
  <si>
    <t>CLAVICLE AP (DR/DIGITAL)</t>
  </si>
  <si>
    <t>CHEST X-RAY WALFARE</t>
  </si>
  <si>
    <t>ASCITIC FLUID FOR LDH</t>
  </si>
  <si>
    <t>ANTI DSDNA</t>
  </si>
  <si>
    <t>ADENOIDS (DR/DIGITAL)</t>
  </si>
  <si>
    <t>SZC-SAHIWAL</t>
  </si>
  <si>
    <t>OPD / CONSULTANCY - DR FAISAL KHAN (SHAH FAISAL KHI)</t>
  </si>
  <si>
    <t>KNEE JOINT SKY LINE VIEW (DR/DIGITAL)</t>
  </si>
  <si>
    <t>ICT MALARIA (SINDH/ PUNJAB)</t>
  </si>
  <si>
    <t>HEEL RIGHT AP &amp; LATERAL (DR/DIGITAL)</t>
  </si>
  <si>
    <t>HEEL LEFT AP &amp; LATERAL (DR/DIGITAL)</t>
  </si>
  <si>
    <t>GAMMA GT</t>
  </si>
  <si>
    <t>SZC-QAIDABAD</t>
  </si>
  <si>
    <t>ULTRASOUND UPPER ABDOMEN</t>
  </si>
  <si>
    <t>ULTRASOUND PROSTATE GLAND</t>
  </si>
  <si>
    <t>ULTRASOUND LIVER &amp; GALL BLADDER</t>
  </si>
  <si>
    <t>SPOT URINE PROTEIN</t>
  </si>
  <si>
    <t>MASTOID RIGHT (DR/DIGITAL)</t>
  </si>
  <si>
    <t>MASTOID BOTH (DR/DIGITAL)</t>
  </si>
  <si>
    <t>HEPATITIS DELTA VIRUS BY PCR QUALITATIVE</t>
  </si>
  <si>
    <t>SZC-ORANGI QATAR SATELLITE CENTER</t>
  </si>
  <si>
    <t>X-RAY TIBIA A/P</t>
  </si>
  <si>
    <t>SCAPULA AP/LAT LEFT (DR/DIGITAL)</t>
  </si>
  <si>
    <t>RETURN PAYMENT TO PATIENT (SALES RETURN)</t>
  </si>
  <si>
    <t>HUMERUS AP/LATERAL LEFT (DR/DIGITAL)</t>
  </si>
  <si>
    <t>ACTH/ ADRENOCORTICOTROPIC HORMONE</t>
  </si>
  <si>
    <t>SZC-ORANGI MAIN CENTER</t>
  </si>
  <si>
    <t>SERUM IGG /IMMUNOGLOBULIN G</t>
  </si>
  <si>
    <t>OPD / CONSULTANCY - DR MASOOD(NEW KARACHI)</t>
  </si>
  <si>
    <t>24 HOURS URINE FOR CALCIUM</t>
  </si>
  <si>
    <t>SZC-NEW KARACHI MAIN CENTER</t>
  </si>
  <si>
    <t>GLUCOSE TOLLERANCE TEST/GTT</t>
  </si>
  <si>
    <t>SZC-NAWABSHAH</t>
  </si>
  <si>
    <t>OPD / CONSULTANCY - DR SYED MUHAMMAD SHAH BUKHAIR (NAVAL)</t>
  </si>
  <si>
    <t>SZC-NAVAL SATELLITE CENTER</t>
  </si>
  <si>
    <t>SERUM PROTEIN ELECTROPHORESIS</t>
  </si>
  <si>
    <t>HUMERUS AP/LATERAL RIGHT (DR/DIGITAL)</t>
  </si>
  <si>
    <t>SZC-MUGHAL PURA</t>
  </si>
  <si>
    <t>SZC-MOHALLA NAZAR KHEL TEHSIL (M) , SWABI</t>
  </si>
  <si>
    <t>L.D.H.</t>
  </si>
  <si>
    <t>SZC-MISRI SHAH</t>
  </si>
  <si>
    <t>OPD / CONSULTANCY - ISHRAT ISHAQ (MTROVL)</t>
  </si>
  <si>
    <t>CA-125</t>
  </si>
  <si>
    <t>SZC-METROVILLE SATELLITE CENTER</t>
  </si>
  <si>
    <t>OPD / CONSULTANCY - DR GHULAM MURTAZA(MEMON GOTH)</t>
  </si>
  <si>
    <t>HEPATITIS DELTA VIRUS BY PCR QUANTITATIVE</t>
  </si>
  <si>
    <t>HEPATITIS DELTA VIRUS ANTIBODY/ ANTI HDV</t>
  </si>
  <si>
    <t>SZC-MEMON GOTH</t>
  </si>
  <si>
    <t>ULTRA SOUND ABDOMEN LOUWER</t>
  </si>
  <si>
    <t>OPD / CONSULTANCY - DR NAYYAR ALI (MEHMOODABAD)</t>
  </si>
  <si>
    <t>HEPATITIS C VIRUS GENOTYPING</t>
  </si>
  <si>
    <t>ALDOLASE</t>
  </si>
  <si>
    <t>SZC-MEHMOODABAD TOWN</t>
  </si>
  <si>
    <t>URINE FOR SODIUM</t>
  </si>
  <si>
    <t>URINE FOR POTASSIUM</t>
  </si>
  <si>
    <t>SERUM IGM /IMMUNOGLOBULIN M</t>
  </si>
  <si>
    <t>SZC-MAYMAR SATELLITE CENTER</t>
  </si>
  <si>
    <t>SPOT URINE PROTEIN/ CREATININE RATIO</t>
  </si>
  <si>
    <t>OPD / CONSULTANCY - DR SHAHID (MALIR) - FOR TB PATIENT</t>
  </si>
  <si>
    <t>OPD / CONSULTANCY - DR SHAHID (MALIR)</t>
  </si>
  <si>
    <t>FIBRINOGEN LEVEL</t>
  </si>
  <si>
    <t>CHEST X-RAY WITH SPIROMETRY</t>
  </si>
  <si>
    <t>SZC-LIQUATABAD SATELLITE CENTER</t>
  </si>
  <si>
    <t>SZC-LATIFABAD - HYDERABAD (MAIN CENTER)</t>
  </si>
  <si>
    <t>SZC-LARKANA</t>
  </si>
  <si>
    <t>SZC-LANDHI</t>
  </si>
  <si>
    <t>SPIROMETRY</t>
  </si>
  <si>
    <t>OPD / CONSULTANCY - DR SHAIR ALI USMANI (KORANGI)</t>
  </si>
  <si>
    <t>HEARING TEST</t>
  </si>
  <si>
    <t>GENEXPERT SERVICE CHARGES</t>
  </si>
  <si>
    <t>SZC-KHARADAR</t>
  </si>
  <si>
    <t>SZC-KHAIRPUR</t>
  </si>
  <si>
    <t>SZC-KASUR</t>
  </si>
  <si>
    <t>FEMUR LEFT AP/LAT (DR/DIGITAL)</t>
  </si>
  <si>
    <t>SZC-ISLAM PURA (SANDHA) LHR</t>
  </si>
  <si>
    <t>OPD / CONSULTANCY - ALIZEH</t>
  </si>
  <si>
    <t>HEPATITIS E VIRUS ANTIBODY IGG</t>
  </si>
  <si>
    <t>SZC-ICHRA</t>
  </si>
  <si>
    <t>SHOULDER A/P 8X10</t>
  </si>
  <si>
    <t>OPD / CONSULTANCY - DR WASADEV (GULSHAN -E- HADEED)</t>
  </si>
  <si>
    <t>SZC-GULSHAN-E-HADID</t>
  </si>
  <si>
    <t>OPD / CONSULTANCY - DR ASMA (GULSHAN-MAIN)</t>
  </si>
  <si>
    <t>HEEL A/P VIEW</t>
  </si>
  <si>
    <t>FIRST AID SVC - IV INFUSION  1000ML</t>
  </si>
  <si>
    <t>SZC-GULSHAN MAIN CENTER</t>
  </si>
  <si>
    <t>THROAT SWAB FOR C/S (CULTURE &amp; SENSITIVITY)</t>
  </si>
  <si>
    <t>TABIA AP/LAT RIGHT (DR/DIGITAL)</t>
  </si>
  <si>
    <t>SZC-GULSHAN E RAVI</t>
  </si>
  <si>
    <t>SZC-GULAB DEVI / NASEERABAD</t>
  </si>
  <si>
    <t>SZC-GUL BAHAHR COLONY BR , PESHAWAR</t>
  </si>
  <si>
    <t>OPD / CONSULTANCY - DR SAMREEN GUL (GUJRAT)</t>
  </si>
  <si>
    <t>SZC-GUJRAT</t>
  </si>
  <si>
    <t>SZC-GARDEN</t>
  </si>
  <si>
    <t>SZC-FAISALABAD</t>
  </si>
  <si>
    <t>SZC-DABGARI/ HOSPITAL MARKET-PESHAWAR (M)</t>
  </si>
  <si>
    <t>SZC-CATTLE COLONY</t>
  </si>
  <si>
    <t>ULTRASOUND TESTIS/ SCROTUM</t>
  </si>
  <si>
    <t>OPD / CONSULTANCY - DR SHAKEEL (BFRZN)</t>
  </si>
  <si>
    <t>OPD / CONSULTANCY - DR AMBREEN NAZ (BFRZN)</t>
  </si>
  <si>
    <t>FLUID FOR D/R (DETAIL REPORT)</t>
  </si>
  <si>
    <t>ABSOLUTE INDICES</t>
  </si>
  <si>
    <t>SZC-BUFFERZONE SATELLITE CENTER</t>
  </si>
  <si>
    <t>EAR SWAB FOR C/S</t>
  </si>
  <si>
    <t>SZC-BILAL COLONY</t>
  </si>
  <si>
    <t>OPD / CONSULTANCY - DR SANA FAISAL (BALDIA)</t>
  </si>
  <si>
    <t>SZC-BALDIA SATELLITE CENTER</t>
  </si>
  <si>
    <t>OPD / CONSULTANCY - ALIZEH - SP DISCOUNT</t>
  </si>
  <si>
    <t>SZC-BAHUDRABAD</t>
  </si>
  <si>
    <t>OPD / CONSULTANCY - DR BATOOL FATIMA (AL-ASIF RD)</t>
  </si>
  <si>
    <t>SZC-AL ASIF SATELLITE CENTER</t>
  </si>
  <si>
    <t>SZC-AKHUNZADA TOWER DALAZAK ROAD , PESHAWAR</t>
  </si>
  <si>
    <t>X-RAY MANDIBLE</t>
  </si>
  <si>
    <t>SZC-AFANDI ROAD - HYDERABAD CITY</t>
  </si>
  <si>
    <t>HEPATITIS C VIRUS GENOTYPING (PUNJAB)</t>
  </si>
  <si>
    <t>CERULOPLASMIN SERUM</t>
  </si>
  <si>
    <t>SZC- SATTLITE TOWN</t>
  </si>
  <si>
    <t>SZC- DHOK SYEDAN</t>
  </si>
  <si>
    <t>BICARBONATE</t>
  </si>
  <si>
    <t>SZC - GM ABAD FAISALABAD</t>
  </si>
  <si>
    <t>KASHMIR CHOWK,MAIN HOSPITAL ROAD, MITHI, THARPAKAR</t>
  </si>
  <si>
    <t>ALLAMA IQBAL ROAD LAHORE (GHARI SHAW)</t>
  </si>
  <si>
    <t>Gross Amount</t>
  </si>
  <si>
    <t># of Tests</t>
  </si>
  <si>
    <t>Test Name</t>
  </si>
  <si>
    <t>Center Wise Tests Summary</t>
  </si>
  <si>
    <t>Revenue Per Lab Collection Unit</t>
  </si>
  <si>
    <t>Tests</t>
  </si>
  <si>
    <t>Spending</t>
  </si>
  <si>
    <t>Daily TR</t>
  </si>
  <si>
    <t>Monthly TR</t>
  </si>
  <si>
    <t>Annual TR</t>
  </si>
  <si>
    <t>Lower</t>
  </si>
  <si>
    <t>Median</t>
  </si>
  <si>
    <t>Upper</t>
  </si>
  <si>
    <t>Projected Revenues From Labs</t>
  </si>
  <si>
    <t>Revenue Per HealthCare Provider</t>
  </si>
  <si>
    <t xml:space="preserve">Labs </t>
  </si>
  <si>
    <t>Providers</t>
  </si>
  <si>
    <t>Patients</t>
  </si>
  <si>
    <t>Average Monthly</t>
  </si>
  <si>
    <t>Average Annual</t>
  </si>
  <si>
    <t>OPD</t>
  </si>
  <si>
    <t>% Tests</t>
  </si>
  <si>
    <t xml:space="preserve"> Providers</t>
  </si>
  <si>
    <t>Revenue Patients</t>
  </si>
  <si>
    <t xml:space="preserve"> Tests</t>
  </si>
  <si>
    <t>*Green cells are assumptions not based on survey</t>
  </si>
  <si>
    <t>Row Labels</t>
  </si>
  <si>
    <t>Count of How many daily clients come for lab tests in your branch?</t>
  </si>
  <si>
    <t>Count of On average how much does each patient spend during one visit</t>
  </si>
  <si>
    <t>10-20</t>
  </si>
  <si>
    <t>1000-1500</t>
  </si>
  <si>
    <t>20-30</t>
  </si>
  <si>
    <t>1500-2000</t>
  </si>
  <si>
    <t>30-40</t>
  </si>
  <si>
    <t>2000-2500</t>
  </si>
  <si>
    <t>40-50</t>
  </si>
  <si>
    <t>2500-3000</t>
  </si>
  <si>
    <t>50-60</t>
  </si>
  <si>
    <t>500-1000</t>
  </si>
  <si>
    <t>Less than 10</t>
  </si>
  <si>
    <t>Less than 500</t>
  </si>
  <si>
    <t>More than 60</t>
  </si>
  <si>
    <t>More than 3,000</t>
  </si>
  <si>
    <t>(blank)</t>
  </si>
  <si>
    <t>Grand Total</t>
  </si>
  <si>
    <t>Count of Daily Average OPD</t>
  </si>
  <si>
    <t>Count of What percentage of patients are prescribed lab tests?</t>
  </si>
  <si>
    <t>Count of On average how much does each patient spend on lab tests in your clinic?</t>
  </si>
  <si>
    <t>0-10%</t>
  </si>
  <si>
    <t>&lt; 500</t>
  </si>
  <si>
    <t>10-20%</t>
  </si>
  <si>
    <t>30 - 40</t>
  </si>
  <si>
    <t>20-30%</t>
  </si>
  <si>
    <t>40 - 50</t>
  </si>
  <si>
    <t>30-40%</t>
  </si>
  <si>
    <t>40-50%</t>
  </si>
  <si>
    <t>More than 50%</t>
  </si>
  <si>
    <t>Count of Total family members have had a lab test in past one month (incl self)</t>
  </si>
  <si>
    <t>Count of Total spending on lab tests in past one month</t>
  </si>
  <si>
    <t>Count of How many tests were done last month.?</t>
  </si>
  <si>
    <t>Four or More</t>
  </si>
  <si>
    <t>1000-2000</t>
  </si>
  <si>
    <t>None</t>
  </si>
  <si>
    <t>2000-3000</t>
  </si>
  <si>
    <t>One</t>
  </si>
  <si>
    <t>3000-5000</t>
  </si>
  <si>
    <t>Three</t>
  </si>
  <si>
    <t>5000-8000</t>
  </si>
  <si>
    <t>Two</t>
  </si>
  <si>
    <t>8000-10000</t>
  </si>
  <si>
    <t>Less than 1000</t>
  </si>
  <si>
    <t>More than 10,000</t>
  </si>
  <si>
    <t>Timestamp</t>
  </si>
  <si>
    <t>Name of Interviewer</t>
  </si>
  <si>
    <t>Responder name</t>
  </si>
  <si>
    <t>Designation</t>
  </si>
  <si>
    <t>Years of employment at current employer</t>
  </si>
  <si>
    <t>Qualifications</t>
  </si>
  <si>
    <t>Total Years of Experience</t>
  </si>
  <si>
    <t>How many daily clients come for lab tests in your branch?</t>
  </si>
  <si>
    <t>How many of the following tests are conducted on daily basis</t>
  </si>
  <si>
    <t>On average how much does each patient spend during one visit</t>
  </si>
  <si>
    <t>How many of the following tests are conducted on daily basis [0-5]</t>
  </si>
  <si>
    <t>What are the three most important reasons that patients choose your service?</t>
  </si>
  <si>
    <t>What is the staffing at your collection centers?</t>
  </si>
  <si>
    <t>What is the average area of each collection center?</t>
  </si>
  <si>
    <t>On average what is the daily clientele of your centers?</t>
  </si>
  <si>
    <t>On average what is the revenue of your collection centers?</t>
  </si>
  <si>
    <t>What is the revenue of the highest performing centers?</t>
  </si>
  <si>
    <t>What is the revenue of the lowest performing centers?</t>
  </si>
  <si>
    <t>Monthly cost of running your center</t>
  </si>
  <si>
    <t>How many full-time staff at your center?</t>
  </si>
  <si>
    <t>How many part-time staff at your center?</t>
  </si>
  <si>
    <t>What is the percentage of revenues for other management, marketing, development and overhead costs?</t>
  </si>
  <si>
    <t>Most important factor in deciding lab for testing</t>
  </si>
  <si>
    <t xml:space="preserve">What are the three best marketing strategies and initiatives? </t>
  </si>
  <si>
    <t>How long does it take for a center to be sustainable—covering operating costs?</t>
  </si>
  <si>
    <t>How long does it take for sales to become stable once centers are open?</t>
  </si>
  <si>
    <t xml:space="preserve">What is the average annual growth for a center once sales are stable? </t>
  </si>
  <si>
    <t>What are the top performing cities by average sales per center?</t>
  </si>
  <si>
    <t>Is there difference between rural vs urban in average sales per center?</t>
  </si>
  <si>
    <t>Is there difference between provinces?</t>
  </si>
  <si>
    <t xml:space="preserve"> [Row 1]</t>
  </si>
  <si>
    <t>% Spent on Tests: [What % is spent on CBC or CBC/ESR]</t>
  </si>
  <si>
    <t>% Spent on Tests: [What % is spent on Biochemistry (LFTs, Lipid Profile, Creatinine, Diabetes tests)]</t>
  </si>
  <si>
    <t>% Spent on Tests: [What % is spent on urine tests]</t>
  </si>
  <si>
    <t>% Spent on Tests: [What % is spent on special chemistry]</t>
  </si>
  <si>
    <t>LAB Name</t>
  </si>
  <si>
    <t>Branch</t>
  </si>
  <si>
    <t>How many of the following tests are conducted on daily basis [6-10]</t>
  </si>
  <si>
    <t>How many of the following tests are conducted on daily basis [15-20]</t>
  </si>
  <si>
    <t>How many of the following tests are conducted on daily basis [20-25]</t>
  </si>
  <si>
    <t>How many of the following tests are conducted on daily basis [11-15]</t>
  </si>
  <si>
    <t>How many of the following tests are conducted on daily basis [25+]</t>
  </si>
  <si>
    <t>How many of the following tests are conducted on daily basis [2. LFT]</t>
  </si>
  <si>
    <t>How many of the following tests are conducted on daily basis [3. Lipid Profile]</t>
  </si>
  <si>
    <t>How many of the following tests are conducted on daily basis [4. Dengue]</t>
  </si>
  <si>
    <t>How many of the following tests are conducted on daily basis [5. Malaria]</t>
  </si>
  <si>
    <t>How many of the following tests are conducted on daily basis [6. Typhoid]</t>
  </si>
  <si>
    <t>How many of the following tests are conducted on daily basis [7. Sugar test]</t>
  </si>
  <si>
    <t>How many of the following tests are conducted on daily basis [8. HbA1c]</t>
  </si>
  <si>
    <t>How many of the following tests are conducted on daily basis [9. Creatinine]</t>
  </si>
  <si>
    <t>How many of the following tests are conducted on daily basis [10. Hormones]</t>
  </si>
  <si>
    <t>How many of the following tests are conducted on daily basis [11. Urine]</t>
  </si>
  <si>
    <t>How many of the following tests are conducted on daily basis [12. PCRs]</t>
  </si>
  <si>
    <t/>
  </si>
  <si>
    <t>Usama</t>
  </si>
  <si>
    <t>Reception</t>
  </si>
  <si>
    <t>Lipid Profile, Dengue, Malaria, PCRs</t>
  </si>
  <si>
    <t>100000-150000</t>
  </si>
  <si>
    <t>Lab Reputation</t>
  </si>
  <si>
    <t>Radiology</t>
  </si>
  <si>
    <t>Bahadurabad</t>
  </si>
  <si>
    <t>CBC / ESR, LFT, Typhoid, Sugar test, HbA1c, Creatinine, Hormones, Urine</t>
  </si>
  <si>
    <t>Hafiza Shabana Ashraf</t>
  </si>
  <si>
    <t>Shift Incharge</t>
  </si>
  <si>
    <t>no Idea</t>
  </si>
  <si>
    <t>Lab Reputation, Lab Quality, Lab Staff, Referral by Doctor, Pathologist</t>
  </si>
  <si>
    <t>Chugtai Lab</t>
  </si>
  <si>
    <t>Dengue, Malaria, PCRs</t>
  </si>
  <si>
    <t>CBC / ESR, LFT, Lipid Profile, Typhoid, Sugar test, HbA1c, Creatinine, Hormones, Urine</t>
  </si>
  <si>
    <t>Agha Khan-Collection Centre</t>
  </si>
  <si>
    <t>No</t>
  </si>
  <si>
    <t>Dengue, Malaria, Typhoid, PCRs</t>
  </si>
  <si>
    <t>No idea</t>
  </si>
  <si>
    <t>Lab Reputation, Lab Quality, Referral by Doctor</t>
  </si>
  <si>
    <t>Agha Khan Mehmodabad</t>
  </si>
  <si>
    <t>Mehmodabad</t>
  </si>
  <si>
    <t>HbA1c</t>
  </si>
  <si>
    <t>Creatinine</t>
  </si>
  <si>
    <t>LFT, Lipid Profile, Sugar test, Urine</t>
  </si>
  <si>
    <t>CBC / ESR</t>
  </si>
  <si>
    <t xml:space="preserve">Agha Khan-Collection Point </t>
  </si>
  <si>
    <t>Not disclosing</t>
  </si>
  <si>
    <t>Lipid Profile, Dengue, Malaria, Typhoid</t>
  </si>
  <si>
    <t>Don't know</t>
  </si>
  <si>
    <t>Agha Khan</t>
  </si>
  <si>
    <t>DHA Phase 2</t>
  </si>
  <si>
    <t>HbA1c, Hormones, PCRs</t>
  </si>
  <si>
    <t>Urine</t>
  </si>
  <si>
    <t>LFT, Sugar test</t>
  </si>
  <si>
    <t>Bushra</t>
  </si>
  <si>
    <t>MR</t>
  </si>
  <si>
    <t>Dengue, Malaria, Typhoid, Sugar test</t>
  </si>
  <si>
    <t>150000 - 200000</t>
  </si>
  <si>
    <t>Lab Reputation, Lab Quality, Referral by Doctor, Location</t>
  </si>
  <si>
    <t>DOW</t>
  </si>
  <si>
    <t>Korangi 5.00</t>
  </si>
  <si>
    <t>PCRs</t>
  </si>
  <si>
    <t>HbA1c, Hormones</t>
  </si>
  <si>
    <t>CBC / ESR, LFT, Lipid Profile, Creatinine, Urine</t>
  </si>
  <si>
    <t>Junaid Ahmed</t>
  </si>
  <si>
    <t>Owner</t>
  </si>
  <si>
    <t>100000 - 150000</t>
  </si>
  <si>
    <t>Price, Lab Reputation, Referral by Doctor, Location</t>
  </si>
  <si>
    <t>The Medicare Lab</t>
  </si>
  <si>
    <t>Main Branch</t>
  </si>
  <si>
    <t>Lipid Profile, PCRs</t>
  </si>
  <si>
    <t>LFT</t>
  </si>
  <si>
    <t>CBC / ESR, Hormones</t>
  </si>
  <si>
    <t>Creatinine, Urine</t>
  </si>
  <si>
    <t>Dengue, Malaria, Hormones, PCRs</t>
  </si>
  <si>
    <t>Hussaini Lab</t>
  </si>
  <si>
    <t>Korangi</t>
  </si>
  <si>
    <t>Sugar test, HbA1c</t>
  </si>
  <si>
    <t>LFT, Creatinine, Urine</t>
  </si>
  <si>
    <t>Lipid Profile, Typhoid</t>
  </si>
  <si>
    <t>Owais Khan</t>
  </si>
  <si>
    <t>Dengue, Malaria, Typhoid</t>
  </si>
  <si>
    <t>LFT, Lipid Profile, Sugar test, PCRs</t>
  </si>
  <si>
    <t>CBC / ESR, HbA1c, Creatinine</t>
  </si>
  <si>
    <t>Hormones</t>
  </si>
  <si>
    <t>Receptionis</t>
  </si>
  <si>
    <t>LFT, Lipid Profile, Dengue, Malaria, Typhoid, HbA1c, Creatinine, Hormones, PCRs</t>
  </si>
  <si>
    <t>Price, Lab Reputation, Lab Quality, Location</t>
  </si>
  <si>
    <t>Al Khidmat</t>
  </si>
  <si>
    <t>Sugar test, Urine</t>
  </si>
  <si>
    <t>Noman</t>
  </si>
  <si>
    <t>Owner and X-Ray Tech</t>
  </si>
  <si>
    <t>LFT, Lipid Profile, Dengue, Malaria, HbA1c, Creatinine, Hormones, Urine, PCRs</t>
  </si>
  <si>
    <t>Referral by Doctor</t>
  </si>
  <si>
    <t>Smart Lab</t>
  </si>
  <si>
    <t>Main Branch-Korangi</t>
  </si>
  <si>
    <t>CBC / ESR, Typhoid, Sugar test</t>
  </si>
  <si>
    <t>Mehdi Manji</t>
  </si>
  <si>
    <t>Korangi-Main</t>
  </si>
  <si>
    <t>Lipid Profile</t>
  </si>
  <si>
    <t>Sugar test, HbA1c, PCRs</t>
  </si>
  <si>
    <t>CBC / ESR, LFT, Creatinine, Hormones, Urine</t>
  </si>
  <si>
    <t>Shaukat Khanum</t>
  </si>
  <si>
    <t>Sugar test</t>
  </si>
  <si>
    <t>HbA1c, Creatinine, Hormones</t>
  </si>
  <si>
    <t>CBC / ESR, LFT, Urine</t>
  </si>
  <si>
    <t>Recption</t>
  </si>
  <si>
    <t>Dengue, Malaria, Typhoid, HbA1c, PCRs</t>
  </si>
  <si>
    <t>Lab Reputation, Lab Quality, Pathologist</t>
  </si>
  <si>
    <t>Agha Khan Lab</t>
  </si>
  <si>
    <t>Clifton Teen Talwar</t>
  </si>
  <si>
    <t>CBC / ESR, LFT</t>
  </si>
  <si>
    <t>Azhar</t>
  </si>
  <si>
    <t>CBC / ESR, Malaria, Sugar test, HbA1c</t>
  </si>
  <si>
    <t>Price, Lab Quality</t>
  </si>
  <si>
    <t xml:space="preserve">AKU </t>
  </si>
  <si>
    <t>Aamir</t>
  </si>
  <si>
    <t>CBC / ESR, LFT, Malaria</t>
  </si>
  <si>
    <t>AKU</t>
  </si>
  <si>
    <t>Sugar test, HbA1c, Creatinine</t>
  </si>
  <si>
    <t>LFT, Malaria</t>
  </si>
  <si>
    <t>Price, Lab Quality, Referral by Doctor</t>
  </si>
  <si>
    <t>Essa Lab</t>
  </si>
  <si>
    <t>Zamzama</t>
  </si>
  <si>
    <t>CBC / ESR, Sugar test, HbA1c</t>
  </si>
  <si>
    <t>Lab Quality, Referral by Doctor</t>
  </si>
  <si>
    <t>Medilink</t>
  </si>
  <si>
    <t>Malaria, Creatinine, Urine</t>
  </si>
  <si>
    <t>LFT, HbA1c</t>
  </si>
  <si>
    <t>Malaria</t>
  </si>
  <si>
    <t>Badar Phase V (Ext)</t>
  </si>
  <si>
    <t>CBC / ESR, Sugar test</t>
  </si>
  <si>
    <t>Defence Delton Market</t>
  </si>
  <si>
    <t>Khayaban-e-Badar</t>
  </si>
  <si>
    <t>LFT, Malaria, Creatinine</t>
  </si>
  <si>
    <t>CBC / ESR, HbA1c</t>
  </si>
  <si>
    <t>Korangi Medical centre</t>
  </si>
  <si>
    <t>CBC / ESR, LFT, Malaria, Creatinine</t>
  </si>
  <si>
    <t>Block-8, Clifton</t>
  </si>
  <si>
    <t>Sugar test, Creatinine, Urine</t>
  </si>
  <si>
    <t>Chugtai lab</t>
  </si>
  <si>
    <t>Sehar Commercial DHA</t>
  </si>
  <si>
    <t>Malaria, Urine</t>
  </si>
  <si>
    <t>Malaria, Creatinine</t>
  </si>
  <si>
    <t>Malir Township colony</t>
  </si>
  <si>
    <t>LFT, Urine</t>
  </si>
  <si>
    <t>Sindh Lab</t>
  </si>
  <si>
    <t>Hilal-e-Ahmr</t>
  </si>
  <si>
    <t>LFT, Sugar test, HbA1c, Creatinine</t>
  </si>
  <si>
    <t>Anwar</t>
  </si>
  <si>
    <t>The Grace Laboratory</t>
  </si>
  <si>
    <t>Korangi 5</t>
  </si>
  <si>
    <t>CBC / ESR, Sugar test, Creatinine, Urine</t>
  </si>
  <si>
    <t>Global Lab Diagnostic Centre</t>
  </si>
  <si>
    <t>Hussaini</t>
  </si>
  <si>
    <t>LFT, Creatinine</t>
  </si>
  <si>
    <t>Sugar test, HbA1c, Urine</t>
  </si>
  <si>
    <t>Mehdi A Manji</t>
  </si>
  <si>
    <t>PECHS Block 2</t>
  </si>
  <si>
    <t>DHS Malir</t>
  </si>
  <si>
    <t>Farhan</t>
  </si>
  <si>
    <t>Dow Lab</t>
  </si>
  <si>
    <t>Jami Commercial</t>
  </si>
  <si>
    <t>CBC / ESR, Malaria</t>
  </si>
  <si>
    <t>CBC / ESR, LFT, Malaria, HbA1c</t>
  </si>
  <si>
    <t>Drs. Shamsi and Ansari Diagnostic</t>
  </si>
  <si>
    <t>Jami Commercial, DHA</t>
  </si>
  <si>
    <t>Sugar test, Creatinine</t>
  </si>
  <si>
    <t>Syed Mumtaz Ali</t>
  </si>
  <si>
    <t>Receptionist (Inchage)</t>
  </si>
  <si>
    <t>From 20 Years</t>
  </si>
  <si>
    <t>50,000/=</t>
  </si>
  <si>
    <t>Lab Quality</t>
  </si>
  <si>
    <t>Karachi XRay &amp; Lab</t>
  </si>
  <si>
    <t>Nazimabad -7</t>
  </si>
  <si>
    <t>CBC / ESR, Sugar test, HbA1c, Creatinine</t>
  </si>
  <si>
    <t>Kashan Akrm</t>
  </si>
  <si>
    <t>Admin</t>
  </si>
  <si>
    <t>5 years</t>
  </si>
  <si>
    <t>Malaria, HbA1c</t>
  </si>
  <si>
    <t>no</t>
  </si>
  <si>
    <t xml:space="preserve">Karachi XRay </t>
  </si>
  <si>
    <t>Nazimabad</t>
  </si>
  <si>
    <t>CBC / ESR, LFT, Creatinine</t>
  </si>
  <si>
    <t>Bassam</t>
  </si>
  <si>
    <t>Manager Lab</t>
  </si>
  <si>
    <t>1 year</t>
  </si>
  <si>
    <t>CBC / ESR, LFT, Malaria, Sugar test, HbA1c, Creatinine, Urine</t>
  </si>
  <si>
    <t>1 Lac</t>
  </si>
  <si>
    <t>Metro Lab</t>
  </si>
  <si>
    <t>Sunaina</t>
  </si>
  <si>
    <t>Receptionist</t>
  </si>
  <si>
    <t>From 5 Years</t>
  </si>
  <si>
    <t>80,000/=</t>
  </si>
  <si>
    <t>Price</t>
  </si>
  <si>
    <t>Ehsan Ullah Lab</t>
  </si>
  <si>
    <t>Nazimabad Head Office</t>
  </si>
  <si>
    <t>Luba Qasim</t>
  </si>
  <si>
    <t>Receptiousit</t>
  </si>
  <si>
    <t>5 Years</t>
  </si>
  <si>
    <t>LFT, Malaria, Sugar test</t>
  </si>
  <si>
    <t>50.000/=</t>
  </si>
  <si>
    <t>Qasim</t>
  </si>
  <si>
    <t>Karachi XRay &amp; Diaguostic Center</t>
  </si>
  <si>
    <t>CBC / ESR, Urine</t>
  </si>
  <si>
    <t>Ahmed Bilal</t>
  </si>
  <si>
    <t>Inchage</t>
  </si>
  <si>
    <t>3 Years</t>
  </si>
  <si>
    <t>6 to 7 Lac</t>
  </si>
  <si>
    <t>Memon Goth</t>
  </si>
  <si>
    <t>Malaria, Sugar test</t>
  </si>
  <si>
    <t>HbA1c, Creatinine, Urine</t>
  </si>
  <si>
    <t>Seema</t>
  </si>
  <si>
    <t>4 Month</t>
  </si>
  <si>
    <t>Raheel Lab</t>
  </si>
  <si>
    <t>Gulshan-e-Hadid</t>
  </si>
  <si>
    <t xml:space="preserve">Jameel Ahmed </t>
  </si>
  <si>
    <t>Incharge</t>
  </si>
  <si>
    <t>7 years</t>
  </si>
  <si>
    <t>40 to 50,000/=</t>
  </si>
  <si>
    <t>Fatha Lab</t>
  </si>
  <si>
    <t>Ali Raza Zadi</t>
  </si>
  <si>
    <t xml:space="preserve">Receptionist  </t>
  </si>
  <si>
    <t>4 Years</t>
  </si>
  <si>
    <t>2 Lac</t>
  </si>
  <si>
    <t>Shah Faisal Collection Point</t>
  </si>
  <si>
    <t>LFT, HbA1c, Creatinine</t>
  </si>
  <si>
    <t>CBC / ESR, Sugar test, Urine</t>
  </si>
  <si>
    <t>fiza</t>
  </si>
  <si>
    <t>Phelobtius</t>
  </si>
  <si>
    <t>1 years</t>
  </si>
  <si>
    <t>Dr Essa</t>
  </si>
  <si>
    <t xml:space="preserve">Shah Faisal </t>
  </si>
  <si>
    <t>Kiran Zehra</t>
  </si>
  <si>
    <t>Blood Bank Tech</t>
  </si>
  <si>
    <t>Since 2014</t>
  </si>
  <si>
    <t>CBC / ESR, LFT, Sugar test, Creatinine, Urine</t>
  </si>
  <si>
    <t>Hussani Lab</t>
  </si>
  <si>
    <t>Shah Faisal (BB18)</t>
  </si>
  <si>
    <t>Faisal</t>
  </si>
  <si>
    <t>Regional Manager</t>
  </si>
  <si>
    <t>20 Years</t>
  </si>
  <si>
    <t>LFT, Malaria, HbA1c</t>
  </si>
  <si>
    <t>2-3 Lac+</t>
  </si>
  <si>
    <t>Malir</t>
  </si>
  <si>
    <t>CBC / ESR, Sugar test, Creatinine</t>
  </si>
  <si>
    <t>Kamran (112040)</t>
  </si>
  <si>
    <t>Phelbotmist</t>
  </si>
  <si>
    <t>1 Lac+</t>
  </si>
  <si>
    <t>Garden Branch (Soldier Bazaar)</t>
  </si>
  <si>
    <t>HbA1c, Creatinine</t>
  </si>
  <si>
    <t>CBC / ESR, LFT, Sugar test, Urine</t>
  </si>
  <si>
    <t>S.Firdus Sultana</t>
  </si>
  <si>
    <t>12 YEARS</t>
  </si>
  <si>
    <t xml:space="preserve">3-4 Lac </t>
  </si>
  <si>
    <t>Ali Hussan</t>
  </si>
  <si>
    <t>MO</t>
  </si>
  <si>
    <t>3 YEARS</t>
  </si>
  <si>
    <t>CBC / ESR, LFT, Malaria, HbA1c, Creatinine, Urine</t>
  </si>
  <si>
    <t>1 LAC</t>
  </si>
  <si>
    <t>Chugtitai Lab</t>
  </si>
  <si>
    <t>Lab guy</t>
  </si>
  <si>
    <t>Lab assistant</t>
  </si>
  <si>
    <t>Nazimabad Branch</t>
  </si>
  <si>
    <t>Lab</t>
  </si>
  <si>
    <t>DOW Lab</t>
  </si>
  <si>
    <t>Assistant</t>
  </si>
  <si>
    <t>ESSA Lab</t>
  </si>
  <si>
    <t>Price, Referral by Doctor, Location</t>
  </si>
  <si>
    <t>Mothers Lab</t>
  </si>
  <si>
    <t>Nazimabad 2</t>
  </si>
  <si>
    <t>Sugar test, HbA1c, Creatinine, Urine</t>
  </si>
  <si>
    <t>Mehdi A Manjhi</t>
  </si>
  <si>
    <t>Shahra-e-Quaideen</t>
  </si>
  <si>
    <t>Dr. Ehsanullah Lab</t>
  </si>
  <si>
    <t>Liaquatabad</t>
  </si>
  <si>
    <t>Sindlab</t>
  </si>
  <si>
    <t>Lab Assistant</t>
  </si>
  <si>
    <t>Dr. Essa Lab</t>
  </si>
  <si>
    <t>Gulshan Branch</t>
  </si>
  <si>
    <t>Abul Asfani Road</t>
  </si>
  <si>
    <t>Sindlab Collection point</t>
  </si>
  <si>
    <t>Gulshan</t>
  </si>
  <si>
    <t>Name</t>
  </si>
  <si>
    <t>Age</t>
  </si>
  <si>
    <t>Sex</t>
  </si>
  <si>
    <t>Qualification</t>
  </si>
  <si>
    <t>Specialization</t>
  </si>
  <si>
    <t>Area</t>
  </si>
  <si>
    <t>Daily Average OPD</t>
  </si>
  <si>
    <t>How many hours on average do you practice your OPD/consultancy?</t>
  </si>
  <si>
    <t>How many patients on average do you see on a daily basis?</t>
  </si>
  <si>
    <t>What percentage of patients are prescribed lab tests?</t>
  </si>
  <si>
    <t>On average how many total tests do you prescribe per day?</t>
  </si>
  <si>
    <t>What are the most commonly prescribed tests in your clinical practice?</t>
  </si>
  <si>
    <t>Which 5 tests are most common?</t>
  </si>
  <si>
    <t>What percentage of patients need special chemistry tests?</t>
  </si>
  <si>
    <t>On average how much does each patient spend on lab tests in your clinic?</t>
  </si>
  <si>
    <t>How many labs do you refer patients to?</t>
  </si>
  <si>
    <t>What are the three most important reasons for which lab you refer?</t>
  </si>
  <si>
    <t>Do you refer patients to certain labs based on the type of test?</t>
  </si>
  <si>
    <t>Do you receive incentives from labs for carrying out tests?</t>
  </si>
  <si>
    <t>Do visits by Medical Reps or PRO’s influence your decision to send tests to a certain lab?</t>
  </si>
  <si>
    <t>What do you think are the right prices for the following tests:  [CBC-COMPLETE BLOOD COUNT]</t>
  </si>
  <si>
    <t>What do you think are the right prices for the following tests:  [CBC/ESR Combined]</t>
  </si>
  <si>
    <t>What do you think are the right prices for the following tests:  [MALARIAL PARASITE]</t>
  </si>
  <si>
    <t>What do you think are the right prices for the following tests:  [RANDOM BLOOD SUGAR]</t>
  </si>
  <si>
    <t>What do you think are the right prices for the following tests:  [FASTING BLOOD SUGAR]</t>
  </si>
  <si>
    <t>What do you think are the right prices for the following tests:  [CREATININE]</t>
  </si>
  <si>
    <t>What do you think are the right prices for the following tests:  [LIPID PROFILE]</t>
  </si>
  <si>
    <t>What do you think are the right prices for the following tests:  [LIVER FUNCTION TESTS]</t>
  </si>
  <si>
    <t>What do you think are the right prices for the following tests:  [HBA1C/GLYCOSYLATED HAEMOGLOBIN]</t>
  </si>
  <si>
    <t>What do you think are the right prices for the following tests:  [Dengue]</t>
  </si>
  <si>
    <t>What do you think are the right prices for the following tests:  [Typhoid]</t>
  </si>
  <si>
    <t>What do you think are the right prices for the following tests:  [Hepatitis Serology]</t>
  </si>
  <si>
    <t>What do you think are the right prices for the following tests:  [PCRs]</t>
  </si>
  <si>
    <t>Which labs do you refer patients to?</t>
  </si>
  <si>
    <t>Most important factor in deciding lab for testing?</t>
  </si>
  <si>
    <t>What are the criteria for you to refer the lab to your patients?</t>
  </si>
  <si>
    <t>What would you like labs to offer to doctors that will help doctors in improving their own practice/clinic?</t>
  </si>
  <si>
    <t>Dr Komal</t>
  </si>
  <si>
    <t>Female</t>
  </si>
  <si>
    <t>Other Medical Qualification</t>
  </si>
  <si>
    <t>Gynae</t>
  </si>
  <si>
    <t>Gadap Town</t>
  </si>
  <si>
    <t>Less than 5</t>
  </si>
  <si>
    <t>Other</t>
  </si>
  <si>
    <t>More than 6</t>
  </si>
  <si>
    <t>other</t>
  </si>
  <si>
    <t>Yes</t>
  </si>
  <si>
    <t>1. Price</t>
  </si>
  <si>
    <t>Dr Matloob Zaman</t>
  </si>
  <si>
    <t>Male</t>
  </si>
  <si>
    <t>MBBS</t>
  </si>
  <si>
    <t>General Practice</t>
  </si>
  <si>
    <t>Seminars on new technologies</t>
  </si>
  <si>
    <t>Sarwar Kumar</t>
  </si>
  <si>
    <t>3. Lab Quality</t>
  </si>
  <si>
    <t>Dr SANAULLAH</t>
  </si>
  <si>
    <t>SITE Town</t>
  </si>
  <si>
    <t>11-15</t>
  </si>
  <si>
    <t>OTHER</t>
  </si>
  <si>
    <t>Sher Muhammad Khan</t>
  </si>
  <si>
    <t>Online reporting</t>
  </si>
  <si>
    <t>Dr Irfan ACI</t>
  </si>
  <si>
    <t>Dr Khadil</t>
  </si>
  <si>
    <t>Liaquatabad Town</t>
  </si>
  <si>
    <t>Dr Akhter Hussain</t>
  </si>
  <si>
    <t>Dr Rubina Saleem</t>
  </si>
  <si>
    <t>6-10</t>
  </si>
  <si>
    <t>Essa</t>
  </si>
  <si>
    <t>Dr Jamal</t>
  </si>
  <si>
    <t>Chest Disease</t>
  </si>
  <si>
    <t>500, Other</t>
  </si>
  <si>
    <t>Dr Ratan</t>
  </si>
  <si>
    <t xml:space="preserve">Dr Noor </t>
  </si>
  <si>
    <t>Orangi Town</t>
  </si>
  <si>
    <t>Own Lab</t>
  </si>
  <si>
    <t>Dr Zahid</t>
  </si>
  <si>
    <t>Daw and IPL Lab</t>
  </si>
  <si>
    <t>Dr Shakeel A Warsi</t>
  </si>
  <si>
    <t>Dr Taj Bareem</t>
  </si>
  <si>
    <t>Local Labs</t>
  </si>
  <si>
    <t xml:space="preserve">Dr Ghulam Mustafa </t>
  </si>
  <si>
    <t>Naveed Khan</t>
  </si>
  <si>
    <t>Husaini</t>
  </si>
  <si>
    <t>Dr Muhammad Akram Quadri</t>
  </si>
  <si>
    <t>Shamim</t>
  </si>
  <si>
    <t>Jamil-ur-Rehman</t>
  </si>
  <si>
    <t>Noor Lan and Dow Lab</t>
  </si>
  <si>
    <t>Dr Ibrahim</t>
  </si>
  <si>
    <t>Nazir Ahmed Shaikh</t>
  </si>
  <si>
    <t>FCPS</t>
  </si>
  <si>
    <t>New Karachi Town</t>
  </si>
  <si>
    <t>Infomration about diagnostc machines</t>
  </si>
  <si>
    <t>Dr Sagram Das</t>
  </si>
  <si>
    <t>Jamshed Town</t>
  </si>
  <si>
    <t>Dr Yasmeen Asif Ahmed</t>
  </si>
  <si>
    <t>Column 15</t>
  </si>
  <si>
    <t>Sehatmant Zindagi Center</t>
  </si>
  <si>
    <t>Dr Nayyar Ali</t>
  </si>
  <si>
    <t>Diabetes</t>
  </si>
  <si>
    <t>Sehatmand zingadi center</t>
  </si>
  <si>
    <t>Dr Javed Hamed</t>
  </si>
  <si>
    <t>2. Lab Reputation</t>
  </si>
  <si>
    <t>Dr Adeel Ahmed</t>
  </si>
  <si>
    <t>Gulshan Town</t>
  </si>
  <si>
    <t>Sehatmand Zindagi Center</t>
  </si>
  <si>
    <t>Dr Wajid</t>
  </si>
  <si>
    <t>Dr Sarwar Iaqbal</t>
  </si>
  <si>
    <t>Dr Azeem Sultan</t>
  </si>
  <si>
    <t>Dr Abdul Rasheed</t>
  </si>
  <si>
    <t>100, 600</t>
  </si>
  <si>
    <t>Dr Meraj Hussain</t>
  </si>
  <si>
    <t>Dr Ishtiaq Ahmed Basar</t>
  </si>
  <si>
    <t>Dr Haeeb Nawaz</t>
  </si>
  <si>
    <t>Gulberg Town</t>
  </si>
  <si>
    <t>Dr Aqeel Mukhyar</t>
  </si>
  <si>
    <t>Dr Ashfaq</t>
  </si>
  <si>
    <t>Sehatmand Zingadi Center</t>
  </si>
  <si>
    <t>Dr Amir Siddiuqe</t>
  </si>
  <si>
    <t>Saddar Town</t>
  </si>
  <si>
    <t>Dr Hhassan Ali</t>
  </si>
  <si>
    <t>100, Other</t>
  </si>
  <si>
    <t>8. Location</t>
  </si>
  <si>
    <t>Dr Sadaf Sofia Siddique</t>
  </si>
  <si>
    <t>Dr Abdul Jabbar</t>
  </si>
  <si>
    <t>Kiamari Town</t>
  </si>
  <si>
    <t>Dr Tariq Nadeem</t>
  </si>
  <si>
    <t>Dr Sarfarz Khan</t>
  </si>
  <si>
    <t>Sehatmand zindagi center</t>
  </si>
  <si>
    <t>Dr Shaista Ehsan</t>
  </si>
  <si>
    <t>Dr Ayaz Ali Fawad</t>
  </si>
  <si>
    <t>Dr Sohail Khan</t>
  </si>
  <si>
    <t>Hazrat Noor</t>
  </si>
  <si>
    <t>6. Relationship</t>
  </si>
  <si>
    <t>Dr Maro</t>
  </si>
  <si>
    <t>Dr Raja Dewan</t>
  </si>
  <si>
    <t>Post Graduate Diploma</t>
  </si>
  <si>
    <t>Mehnan Lab</t>
  </si>
  <si>
    <t>Dr Asghar Hussain Abbassi</t>
  </si>
  <si>
    <t>Typhoid</t>
  </si>
  <si>
    <t>300, 600</t>
  </si>
  <si>
    <t>Dr Ali Akbar Abbasi</t>
  </si>
  <si>
    <t xml:space="preserve">Free Diagnosing camps for orneriness program </t>
  </si>
  <si>
    <t>Dr Sadaf</t>
  </si>
  <si>
    <t>MCPS</t>
  </si>
  <si>
    <t>Paeds</t>
  </si>
  <si>
    <t>Korangi Town</t>
  </si>
  <si>
    <t>Dr Danish Raja</t>
  </si>
  <si>
    <t>North Nazimabad Town</t>
  </si>
  <si>
    <t>Dr Mehreen</t>
  </si>
  <si>
    <t>Baldia Town</t>
  </si>
  <si>
    <t>Dr Nimrah Iftikhar</t>
  </si>
  <si>
    <t>Dr Shaheen Ahmed</t>
  </si>
  <si>
    <t>Dr Talha Ahmed</t>
  </si>
  <si>
    <t>400, 1200</t>
  </si>
  <si>
    <t>Shifa</t>
  </si>
  <si>
    <t>5. Referral by Doctor</t>
  </si>
  <si>
    <t>Dr Yasir Paracha</t>
  </si>
  <si>
    <t>600, 1200</t>
  </si>
  <si>
    <t>Nicvd</t>
  </si>
  <si>
    <t>Dr Sanam</t>
  </si>
  <si>
    <t>Dr Mehreena</t>
  </si>
  <si>
    <t>Dr Amjad</t>
  </si>
  <si>
    <t>Residence</t>
  </si>
  <si>
    <t>Monthly Household Income</t>
  </si>
  <si>
    <t>Employment</t>
  </si>
  <si>
    <t>Mode of Transport to Center</t>
  </si>
  <si>
    <t>Total Family Members</t>
  </si>
  <si>
    <t xml:space="preserve">Total family members under treatment for any illness (incl self) currently?  In last one month?  </t>
  </si>
  <si>
    <t>Total family members have had a lab test in past one month (incl self)</t>
  </si>
  <si>
    <t>How many tests were done last month.?</t>
  </si>
  <si>
    <t>Total spending on lab tests in past one month</t>
  </si>
  <si>
    <t>Which tests do you remember were conducted?  Do you have the prescription?</t>
  </si>
  <si>
    <t>How often does the doctor prescribe lab tests?</t>
  </si>
  <si>
    <t>Which laboratory have you used for tests?</t>
  </si>
  <si>
    <t>How many different laboratories have you visited for tests in the last year?</t>
  </si>
  <si>
    <t>Which Hospital/Doctor you have used during your illness? i. Name of Hospital, ii. Location, iii. Name of Doctor</t>
  </si>
  <si>
    <t>Email address</t>
  </si>
  <si>
    <t>Below PKR 30,000</t>
  </si>
  <si>
    <t>Unemployed</t>
  </si>
  <si>
    <t>Bus</t>
  </si>
  <si>
    <t>LFT, ICT HBSAG &amp; ICT HCV</t>
  </si>
  <si>
    <t>Every 3 visits</t>
  </si>
  <si>
    <t xml:space="preserve">M.M LABORATORY/ SINDH GOVERNMENT </t>
  </si>
  <si>
    <t xml:space="preserve">SINDH GOVERNMENT HOSPITAL </t>
  </si>
  <si>
    <t>Employed</t>
  </si>
  <si>
    <t>Motorcycle</t>
  </si>
  <si>
    <t>CBC, Malaria, Typhoid, Urine, BLOOD TEST</t>
  </si>
  <si>
    <t>Every 2 visits</t>
  </si>
  <si>
    <t xml:space="preserve">DOW / ASIAN LAB </t>
  </si>
  <si>
    <t>More than Three</t>
  </si>
  <si>
    <t>Price, Referral by Doctor</t>
  </si>
  <si>
    <t>DR.SOHAIL HAIDER BALOCH</t>
  </si>
  <si>
    <t>Sukkur</t>
  </si>
  <si>
    <t>Self-Employed</t>
  </si>
  <si>
    <t>ESR</t>
  </si>
  <si>
    <t>AL KHAIR HOSPITAL</t>
  </si>
  <si>
    <t>Price, Lab Staff, Location</t>
  </si>
  <si>
    <t>DR MUHAMMAD UMAR</t>
  </si>
  <si>
    <t>Student</t>
  </si>
  <si>
    <t>Rickshaw</t>
  </si>
  <si>
    <t xml:space="preserve">x-ray / </t>
  </si>
  <si>
    <t>More than 4</t>
  </si>
  <si>
    <t>ASIA LABORATORY</t>
  </si>
  <si>
    <t>Doctor shameem(Shameem clinic)</t>
  </si>
  <si>
    <t>PKR 30,000 - 60,000</t>
  </si>
  <si>
    <t>Walk-in</t>
  </si>
  <si>
    <t>NONE</t>
  </si>
  <si>
    <t>Every 4 visits</t>
  </si>
  <si>
    <t>AS PER DR INSTRUCTION</t>
  </si>
  <si>
    <t>GULZAR E HAJRI</t>
  </si>
  <si>
    <t>CHEST X-RAY</t>
  </si>
  <si>
    <t>DR WASEEM COLLECT BLOOD AND ISSUE REPORT</t>
  </si>
  <si>
    <t>DR. JUNAID/ DR WASEEM</t>
  </si>
  <si>
    <t>CBC, HbA1c</t>
  </si>
  <si>
    <t>SMZ</t>
  </si>
  <si>
    <t>DR AHMED</t>
  </si>
  <si>
    <t>CBC</t>
  </si>
  <si>
    <t>DR MEHMOOD</t>
  </si>
  <si>
    <t>X RAY CARVICAL</t>
  </si>
  <si>
    <t xml:space="preserve">RASHID LAB HOP LAB </t>
  </si>
  <si>
    <t>DR ADIL</t>
  </si>
  <si>
    <t>CBC, LFT, Malaria, Typhoid, Sugar test, Creatinine, Urine</t>
  </si>
  <si>
    <t>Every visit</t>
  </si>
  <si>
    <t>HOP LAB KKF LAB</t>
  </si>
  <si>
    <t>ABBASI HOSPITAL</t>
  </si>
  <si>
    <t>METRO LAB  HI CARE LAB</t>
  </si>
  <si>
    <t>dow ab</t>
  </si>
  <si>
    <t>dr noor</t>
  </si>
  <si>
    <t>Bin Qasim Town</t>
  </si>
  <si>
    <t>CBC, LFT, Sugar test, HbA1c</t>
  </si>
  <si>
    <t>Dr.Zahid Gulistan e Joher</t>
  </si>
  <si>
    <t>CBC, Urine</t>
  </si>
  <si>
    <t>UNIQUE LAB</t>
  </si>
  <si>
    <t>AL SHIFA CALINIC</t>
  </si>
  <si>
    <t>CBC, Sugar test, HbA1c, Urine, Igra</t>
  </si>
  <si>
    <t>Dr.Nawaz Gulshan e Iqbal khi</t>
  </si>
  <si>
    <t>CBC, Lipid Profile</t>
  </si>
  <si>
    <t>Dr.Amir Al-Mustafa hospital Gulshan</t>
  </si>
  <si>
    <t>GEN XPERT</t>
  </si>
  <si>
    <t xml:space="preserve">CHS SUKKUR </t>
  </si>
  <si>
    <t>Price, Lab Quality, Lab Staff, Referral by Doctor</t>
  </si>
  <si>
    <t>DR SIKANDER SHAIKH</t>
  </si>
  <si>
    <t>sohraab goth</t>
  </si>
  <si>
    <t>CBC, genexpert</t>
  </si>
  <si>
    <t>CHS</t>
  </si>
  <si>
    <t xml:space="preserve">government hospital liaquatabad </t>
  </si>
  <si>
    <t>al asif sq.</t>
  </si>
  <si>
    <t>CBC, AFB smear</t>
  </si>
  <si>
    <t>private clinic</t>
  </si>
  <si>
    <t>CBC, ESR &amp; ECG</t>
  </si>
  <si>
    <t xml:space="preserve">Sehetmand Zindagi Center </t>
  </si>
  <si>
    <t>Dr.Nasreen Gulshan e Iqbal Khi</t>
  </si>
  <si>
    <t>Memon Hospital</t>
  </si>
  <si>
    <t>Sindh Govt Hospital Liaquatabad</t>
  </si>
  <si>
    <t>Landhi Town</t>
  </si>
  <si>
    <t>Doctor Recommended</t>
  </si>
  <si>
    <t>Dr. Naveed Landhi</t>
  </si>
  <si>
    <t>Nawab Medical Center (Gul AHmed Chowrangi)</t>
  </si>
  <si>
    <t>Gene Xpert &amp; Chest X-ray</t>
  </si>
  <si>
    <t>Dr. Recommended</t>
  </si>
  <si>
    <t>Khokhar  Clinic Future Colony Landhi Dr. Nooruddin Khokhar</t>
  </si>
  <si>
    <t>CBC, LFT, Lipid Profile, Dengue, Malaria, Typhoid, Sugar test, HbA1c, Creatinine, Hormones, Urine</t>
  </si>
  <si>
    <t>Dow lab</t>
  </si>
  <si>
    <t>Ojha tb center malir</t>
  </si>
  <si>
    <t>CBC, Malaria, Typhoid, Urine</t>
  </si>
  <si>
    <t>KHAN LAB</t>
  </si>
  <si>
    <t xml:space="preserve">Govt hospital </t>
  </si>
  <si>
    <t>Dow</t>
  </si>
  <si>
    <t>Ali clinic Landhi Hidayatullah</t>
  </si>
  <si>
    <t>Chugtai</t>
  </si>
  <si>
    <t>DR TOQEER</t>
  </si>
  <si>
    <t>Malir Town</t>
  </si>
  <si>
    <t>dr sohai zaheer (al mustafa hospital)</t>
  </si>
  <si>
    <t>R.M.C LAB</t>
  </si>
  <si>
    <t>GHULAM MEMON</t>
  </si>
  <si>
    <t>CBC, LFT</t>
  </si>
  <si>
    <t>Lab Reputation, Lab Quality</t>
  </si>
  <si>
    <t>GOVT HOSPITAL</t>
  </si>
  <si>
    <t>Shah Faisal Town</t>
  </si>
  <si>
    <t xml:space="preserve">DR MINHAJ (CLINIC SHAHFAISAL COLONY) </t>
  </si>
  <si>
    <t>Car</t>
  </si>
  <si>
    <t>SEHATMAND ZINDAGI LAB</t>
  </si>
  <si>
    <t>DR SHAHZAD HAIDER (SADDAT COLONY MALIR)</t>
  </si>
  <si>
    <t>CBC, Malaria, Typhoid</t>
  </si>
  <si>
    <t>DOW LAB</t>
  </si>
  <si>
    <t>DR AQEEL AHMED ANSARI(MODEL COLONY)</t>
  </si>
  <si>
    <t>THATTHA</t>
  </si>
  <si>
    <t>CBC, LFT, Malaria, Typhoid, Urine</t>
  </si>
  <si>
    <t>JAMAL NOOR HOSPITAL</t>
  </si>
  <si>
    <t>DR ASHRAF MEMON (JAMAL NOOR) DOHRA JEE</t>
  </si>
  <si>
    <t>THE LAB</t>
  </si>
  <si>
    <t xml:space="preserve">DOCTOR  ALI </t>
  </si>
  <si>
    <t>Bara Dari</t>
  </si>
  <si>
    <t>CBC, Sugar test</t>
  </si>
  <si>
    <t>Dr Ishaq</t>
  </si>
  <si>
    <t>THE MEDICARE  LAB</t>
  </si>
  <si>
    <t>ABAD CLINIC</t>
  </si>
  <si>
    <t>ABAD CLINIC (NEW KARACHI)</t>
  </si>
  <si>
    <t>CBC, LFT, URIC ACID</t>
  </si>
  <si>
    <t>NATIONAL LAN</t>
  </si>
  <si>
    <t>Referral by Doctor, Location</t>
  </si>
  <si>
    <t>MUSLIM KHATRI  HOSPITAL</t>
  </si>
  <si>
    <t>SEHAT MAND ZINDAGI LAB</t>
  </si>
  <si>
    <t>Lab Quality, Lab Staff</t>
  </si>
  <si>
    <t>SURJANI TOWN</t>
  </si>
  <si>
    <t>Lab Reputation, Lab Quality, Lab Staff, Location</t>
  </si>
  <si>
    <t>AMJADI CLINIC (DR AMJAD)</t>
  </si>
  <si>
    <t>ALAM LAB</t>
  </si>
  <si>
    <t xml:space="preserve">DIFFERENT  </t>
  </si>
  <si>
    <t>MANGHOO PEER</t>
  </si>
  <si>
    <t>CBC, PCRs</t>
  </si>
  <si>
    <t>SEHAT MAND ZINDAGI</t>
  </si>
  <si>
    <t>SEHAT MAND ZINDAGI NEW KARACHI</t>
  </si>
  <si>
    <t>CBC, Malaria, Typhoid, HbA1c, PCRs</t>
  </si>
  <si>
    <t>ZIA UD DIN</t>
  </si>
  <si>
    <t>Lab Reputation, Lab Quality, Lab Staff</t>
  </si>
  <si>
    <t>ABBASI SHAHEED HOSPITAL</t>
  </si>
  <si>
    <t>Price, Location</t>
  </si>
  <si>
    <t>SEHAT MAND ZINDAGUI</t>
  </si>
  <si>
    <t>Lab Quality, Lab Staff, Location</t>
  </si>
  <si>
    <t>SEHAT MAND ZINDAGAI NEW KARACHI</t>
  </si>
  <si>
    <t>CBC, ESR</t>
  </si>
  <si>
    <t>Malaria, Typhoid</t>
  </si>
  <si>
    <t>NORTH MEHRAN</t>
  </si>
  <si>
    <t>Location</t>
  </si>
  <si>
    <t>DR KHALID CLINIC</t>
  </si>
  <si>
    <t>CBC, URIC ACID</t>
  </si>
  <si>
    <t>NOTHING</t>
  </si>
  <si>
    <t>CARDIO WATER PUMP</t>
  </si>
  <si>
    <t>SINDH GOVERNMENT HOSPITAL</t>
  </si>
  <si>
    <t>Lyari Town</t>
  </si>
  <si>
    <t>mango pir</t>
  </si>
  <si>
    <t>sehat mand zindagi</t>
  </si>
  <si>
    <t>not anser</t>
  </si>
  <si>
    <t>CBC, LFT, Urine</t>
  </si>
  <si>
    <t>hussaini</t>
  </si>
  <si>
    <t>different</t>
  </si>
  <si>
    <t>not answer</t>
  </si>
  <si>
    <t>Price, Lab Reputation</t>
  </si>
  <si>
    <t>abbasi</t>
  </si>
  <si>
    <t>goli mar</t>
  </si>
  <si>
    <t>karachi lab</t>
  </si>
  <si>
    <t>dr  ishaq</t>
  </si>
  <si>
    <t>CBC, LFT, Typhoid, Urine</t>
  </si>
  <si>
    <t>saifee</t>
  </si>
  <si>
    <t>Price, Lab Staff</t>
  </si>
  <si>
    <t>hopes</t>
  </si>
  <si>
    <t>ejaz</t>
  </si>
  <si>
    <t>CBC, LFT, HbA1c</t>
  </si>
  <si>
    <t>baqai</t>
  </si>
  <si>
    <t>karachi</t>
  </si>
  <si>
    <t>dr fayaz</t>
  </si>
  <si>
    <t>m zia clinic</t>
  </si>
  <si>
    <t>CBC, LFT, AFB</t>
  </si>
  <si>
    <t>Lab Reputation, Referral by Doctor</t>
  </si>
  <si>
    <t>dr ab.sattar</t>
  </si>
  <si>
    <t>PKR 60,000 - 100,000</t>
  </si>
  <si>
    <t>HUSSAINI</t>
  </si>
  <si>
    <t>CBC, ICT HBSAG</t>
  </si>
  <si>
    <t>SEHATMAND ZINDAGI</t>
  </si>
  <si>
    <t>Lab Reputation, Lab Quality, Lab Staff, Referral by Doctor</t>
  </si>
  <si>
    <t>BAQAI</t>
  </si>
  <si>
    <t>CBC, LFT, Sugar test</t>
  </si>
  <si>
    <t>HOPES</t>
  </si>
  <si>
    <t>NOT ANSWER</t>
  </si>
  <si>
    <t>QASBA</t>
  </si>
  <si>
    <t>UNCLE SARYA</t>
  </si>
  <si>
    <t>CBC, LFT, Malaria, SPUTUM D/R</t>
  </si>
  <si>
    <t>DR ASLAM</t>
  </si>
  <si>
    <t>JPCT MALIR</t>
  </si>
  <si>
    <t>Dr baber malir kalaboard (al mumtaz hosp)</t>
  </si>
  <si>
    <t>CBC, Dengue, Malaria, Typhoid, Sugar test, Urine</t>
  </si>
  <si>
    <t>GHAZI MEDICAL CENTER MALIR</t>
  </si>
  <si>
    <t>DR KAMAL ZAIB GHAZI MEDICAL (MALIR)</t>
  </si>
  <si>
    <t>CBC, LFT, ESR</t>
  </si>
  <si>
    <t>AL KHIDMAT HOSPITAL</t>
  </si>
  <si>
    <t>DR TOOBA (AL KHIDMAT HOSP) MALIR</t>
  </si>
  <si>
    <t>JPCT LAB &amp; EMAN MEDICAL&amp; SEHATMANDZINDAGI</t>
  </si>
  <si>
    <t>DR FARKHUNDA KAMAL (CLINIC MALIR TANKI SHISHA ST)</t>
  </si>
  <si>
    <t>CBC, LFT, Malaria, Typhoid</t>
  </si>
  <si>
    <t>DR SARA (CANTOMENT MALIR)</t>
  </si>
  <si>
    <t>AL KHIDMAT HOSP (MALIR)</t>
  </si>
  <si>
    <t>DR ADNAN (SINDH GOVR HOSP) MALIR</t>
  </si>
  <si>
    <t>SEHATMAND ZINDAGI LAB MALIR</t>
  </si>
  <si>
    <t>Price, Lab Quality, Lab Staff</t>
  </si>
  <si>
    <t>DR ALI HASSAN (ATIA HOSP MALIR)</t>
  </si>
  <si>
    <t>Mehran lab</t>
  </si>
  <si>
    <t>Al khidmat.Dr sumroo.gulshan e hadeed</t>
  </si>
  <si>
    <t>CBC, LFT, Lipid Profile, Malaria, Typhoid, Sugar test, Creatinine</t>
  </si>
  <si>
    <t>HUSSANI LAB</t>
  </si>
  <si>
    <t>Price, Lab Reputation, Referral by Doctor, Pathologist</t>
  </si>
  <si>
    <t>CIVIL HOSPITAL</t>
  </si>
  <si>
    <t>CBC, LFT, GENEXPRET</t>
  </si>
  <si>
    <t>Price, Lab Reputation, Lab Quality, Referral by Doctor</t>
  </si>
  <si>
    <t>JINNAH HOSPIRAL</t>
  </si>
  <si>
    <t>DR SADIQ (SIDDIQUE CLINIC MALIR)</t>
  </si>
  <si>
    <t>PKR 150,000+</t>
  </si>
  <si>
    <t>CBC, HUSSANI LAB</t>
  </si>
  <si>
    <t>HUSSANIK LAB</t>
  </si>
  <si>
    <t>Price, Lab Reputation, Referral by Doctor</t>
  </si>
  <si>
    <t>DR SHAHID  AKHTAR</t>
  </si>
  <si>
    <t>DR GHAZALA</t>
  </si>
  <si>
    <t>Price, Lab Reputation, Lab Quality, Referral by Doctor, Pathologist</t>
  </si>
  <si>
    <t>DR FAZAL</t>
  </si>
  <si>
    <t>CBC, ESR &amp; IGE LEVEL</t>
  </si>
  <si>
    <t>Price, Lab Reputation, Lab Quality, Referral by Doctor, Location</t>
  </si>
  <si>
    <t>AL KOUSAR CLINIC (MALIR DR KHALIL</t>
  </si>
  <si>
    <t>BALOCHISTAN</t>
  </si>
  <si>
    <t>PLURAL FLUID DR &amp; CS</t>
  </si>
  <si>
    <t>SEHATMAND ZINDAGI &amp; KHALID LAB</t>
  </si>
  <si>
    <t>Price, Lab Quality, Lab Staff, Location</t>
  </si>
  <si>
    <t>TB CENTRE BARAF KHANA</t>
  </si>
  <si>
    <t>CBC, LFT, Typhoid, Sugar test, HbA1c, Urine, PCRs</t>
  </si>
  <si>
    <t>Price, Lab Reputation, Lab Quality, Lab Staff</t>
  </si>
  <si>
    <t xml:space="preserve">DOE MEDICLA SAFOORA DR HAFEEZ ULLAH SHIEKH </t>
  </si>
  <si>
    <t>CBC, Genexpert</t>
  </si>
  <si>
    <t>Sehatmand Zindagi lab</t>
  </si>
  <si>
    <t>Price, Lab Reputation, Lab Quality, Lab Staff, Referral by Doctor</t>
  </si>
  <si>
    <t xml:space="preserve">govt hospital korangi  </t>
  </si>
  <si>
    <t>INDUS HOSPITAL</t>
  </si>
  <si>
    <t>LANDHI GOVT HOSPITAL</t>
  </si>
  <si>
    <t xml:space="preserve">DR TAHIR </t>
  </si>
  <si>
    <t>CBC, Creatinine, Urine</t>
  </si>
  <si>
    <t xml:space="preserve">DR ZAHID </t>
  </si>
  <si>
    <t>DOW &amp; SEHATMAND ZINDAGI LAB</t>
  </si>
  <si>
    <t>DR QAZI MALIR</t>
  </si>
  <si>
    <t>CBC, LFT, Lipid Profile, Malaria, Typhoid, HbA1c, Urine</t>
  </si>
  <si>
    <t>Lab Reputation, Lab Quality, Lab Staff, Pathologist</t>
  </si>
  <si>
    <t>DR JAMEEL MALIR 15</t>
  </si>
  <si>
    <t xml:space="preserve">SEHATMAND ZINDAGI LAB </t>
  </si>
  <si>
    <t>DR SHAHID MALIR NEHAL HOSP</t>
  </si>
  <si>
    <t>HUSSAINI LAB &amp; SEHATMAD ZINDAGI LAB</t>
  </si>
  <si>
    <t>Price, Lab Reputation, Lab Staff, Referral by Doctor</t>
  </si>
  <si>
    <t>DR NADEEM GOVR HOSPITAL MAIR</t>
  </si>
  <si>
    <t>Al khidmat lab</t>
  </si>
  <si>
    <t xml:space="preserve">Al khidmat,Dr g m shah,gulshan e hadeed phase 2 </t>
  </si>
  <si>
    <t>SABRI CHOWK</t>
  </si>
  <si>
    <t>CBC, X RAY</t>
  </si>
  <si>
    <t>PAKISTAN LAB</t>
  </si>
  <si>
    <t>DR ABDUL QADIR</t>
  </si>
  <si>
    <t>ITTEHAD TOWN</t>
  </si>
  <si>
    <t>CBC, cbc FNAC ultrasound ESR</t>
  </si>
  <si>
    <t>civil hospital dr qadir</t>
  </si>
  <si>
    <t>QASBA COLONY</t>
  </si>
  <si>
    <t>KARACHI X RAY</t>
  </si>
  <si>
    <t>DR SAEED ORANGI NO 4</t>
  </si>
  <si>
    <t>DR SHAH QASBA  HAYAT CLINIC</t>
  </si>
  <si>
    <t>FRONTIER MOOR</t>
  </si>
  <si>
    <t>NOT ANS</t>
  </si>
  <si>
    <t>NO ANS</t>
  </si>
  <si>
    <t xml:space="preserve">KHYBER NEW CLINIC DR SHAMSHAIR (FRONTIER MOORE) ORANGI TOWN </t>
  </si>
  <si>
    <t>MAIRAJUN NABI COLONY.ORANGI TOWN</t>
  </si>
  <si>
    <t>JINNAH HOSPITAL</t>
  </si>
  <si>
    <t>JINNAH HOSPITAL (DR BARKHA)</t>
  </si>
  <si>
    <t>11/E</t>
  </si>
  <si>
    <t>CBC, ULTRASOUND (KUB)</t>
  </si>
  <si>
    <t>PAKISTAN LABOATORY</t>
  </si>
  <si>
    <t>DR NADEEM CLINIC 5 NO ORANGI</t>
  </si>
  <si>
    <t>NISHAN-E-HAIDER</t>
  </si>
  <si>
    <t>ORANGI CHEST CLINIC.DR MEHMOOD(ORANGI TOWN 13 NO)</t>
  </si>
  <si>
    <t>CBC, C-XRAY &amp; GENEXPERT</t>
  </si>
  <si>
    <t>naeem hospital malir dr naeem</t>
  </si>
  <si>
    <t>LFT, Lipid Profile</t>
  </si>
  <si>
    <t>Dr shoaib.alhadeed,gulshan e hadeed</t>
  </si>
  <si>
    <t>Dr adil,iftikhar ,gulshan e hadeed</t>
  </si>
  <si>
    <t>Staff Member</t>
  </si>
  <si>
    <t>Average Monthly Salary (PKR)</t>
  </si>
  <si>
    <t>Fringe Benefits (PKR)</t>
  </si>
  <si>
    <t>Monthly Total Salary (PKR)</t>
  </si>
  <si>
    <t>Annual Salary (PKR)</t>
  </si>
  <si>
    <t>Senior Medical Officer</t>
  </si>
  <si>
    <t>Medical Representative</t>
  </si>
  <si>
    <t>Centre Technicians</t>
  </si>
  <si>
    <t>Screener / Nurse</t>
  </si>
  <si>
    <t xml:space="preserve">Medical Receptionist </t>
  </si>
  <si>
    <t>Cleaner/Helper</t>
  </si>
  <si>
    <t xml:space="preserve">Average Monthly Salary </t>
  </si>
  <si>
    <t>(PKR)</t>
  </si>
  <si>
    <t xml:space="preserve">Van Drivers </t>
  </si>
  <si>
    <t>Satellite Centers</t>
  </si>
  <si>
    <t>Line-Item</t>
  </si>
  <si>
    <t>Cost-Head</t>
  </si>
  <si>
    <t>Average Cost Per Center PKR)</t>
  </si>
  <si>
    <t>Annual Cost Per Center PKR)</t>
  </si>
  <si>
    <t xml:space="preserve">Rent </t>
  </si>
  <si>
    <t>SG&amp;A</t>
  </si>
  <si>
    <t xml:space="preserve">Electricity Bill </t>
  </si>
  <si>
    <t>Generator Fuel</t>
  </si>
  <si>
    <t>Internet</t>
  </si>
  <si>
    <t xml:space="preserve">Water-Tanker </t>
  </si>
  <si>
    <t>Grocery</t>
  </si>
  <si>
    <t>Drinking Water</t>
  </si>
  <si>
    <t>PTCL Bill</t>
  </si>
  <si>
    <t>Security services</t>
  </si>
  <si>
    <t>Repairs &amp; Maintenance</t>
  </si>
  <si>
    <t>Stationery</t>
  </si>
  <si>
    <t>Office Supplies</t>
  </si>
  <si>
    <t xml:space="preserve"> Average Cost Per Center PKR)</t>
  </si>
  <si>
    <t>Bike Fuel</t>
  </si>
  <si>
    <t>Weightage</t>
  </si>
  <si>
    <t>Revenue per day</t>
  </si>
  <si>
    <t>Revenue per month</t>
  </si>
  <si>
    <t>Discount Rate</t>
  </si>
  <si>
    <t>INDIRECT MATERIALS</t>
  </si>
  <si>
    <t>DIRECT MATERIALS CONSUMABLES</t>
  </si>
  <si>
    <t>DIRECT MATERIALS REAGENTS</t>
  </si>
  <si>
    <t>TESTS COSTING</t>
  </si>
  <si>
    <t>Platform</t>
  </si>
  <si>
    <t>Test</t>
  </si>
  <si>
    <t>Expected No. of Tests</t>
  </si>
  <si>
    <t>Tests Conducted</t>
  </si>
  <si>
    <t>Difference from Target</t>
  </si>
  <si>
    <t>Cost Efficiency (%)</t>
  </si>
  <si>
    <t>Cost Item</t>
  </si>
  <si>
    <t>Quantity in Unit</t>
  </si>
  <si>
    <t>Units Consumed</t>
  </si>
  <si>
    <t>Total Quantity</t>
  </si>
  <si>
    <t>Total Cost</t>
  </si>
  <si>
    <t>Per Test</t>
  </si>
  <si>
    <t>Regents Procured</t>
  </si>
  <si>
    <t>Cost per Unit (PKR)</t>
  </si>
  <si>
    <t>Reagent Cost Per Test (PKR)</t>
  </si>
  <si>
    <t>Direct Materials (Reagents)</t>
  </si>
  <si>
    <t>Direct Materials (Consumables)</t>
  </si>
  <si>
    <t>Indirect Material (Consumables)</t>
  </si>
  <si>
    <t>Total Cost (PKR)</t>
  </si>
  <si>
    <t>Cost (PKR)</t>
  </si>
  <si>
    <t>Gross Profit</t>
  </si>
  <si>
    <t>Gross Profit (%)</t>
  </si>
  <si>
    <t>Hematology</t>
  </si>
  <si>
    <t xml:space="preserve">Complete Blood Count </t>
  </si>
  <si>
    <t>(Units)</t>
  </si>
  <si>
    <t>Biochemistry</t>
  </si>
  <si>
    <t xml:space="preserve">Alkaline phosphate </t>
  </si>
  <si>
    <t xml:space="preserve">Gamma GT </t>
  </si>
  <si>
    <t>Anitseraset</t>
  </si>
  <si>
    <t>EDTA Vacutainer (1x100) - Purple</t>
  </si>
  <si>
    <t>(Diluent + Lyse)</t>
  </si>
  <si>
    <t xml:space="preserve">Bilirubin Total </t>
  </si>
  <si>
    <t>Eight Calibration Control 1.5 (Normal)</t>
  </si>
  <si>
    <t>-</t>
  </si>
  <si>
    <t>Biochemistry and HbA1c</t>
  </si>
  <si>
    <t xml:space="preserve">Bilirubin Direct </t>
  </si>
  <si>
    <t xml:space="preserve">Eight Calibration Control 1.5 (Low)           </t>
  </si>
  <si>
    <t>Gel Vacutainer (1x100) - Yellow</t>
  </si>
  <si>
    <t>Alanine Transferase</t>
  </si>
  <si>
    <t>General Consumables</t>
  </si>
  <si>
    <t xml:space="preserve">HDL Direct </t>
  </si>
  <si>
    <t>Syringes</t>
  </si>
  <si>
    <t xml:space="preserve">Triglycerides </t>
  </si>
  <si>
    <t>Eppindrof Cup</t>
  </si>
  <si>
    <t xml:space="preserve">Alcohol Swab </t>
  </si>
  <si>
    <t xml:space="preserve">Total Cholesterol </t>
  </si>
  <si>
    <t>Selectra cup</t>
  </si>
  <si>
    <t>Bandage</t>
  </si>
  <si>
    <t xml:space="preserve">LDL Direct  </t>
  </si>
  <si>
    <t>D/W Ampule glass</t>
  </si>
  <si>
    <t xml:space="preserve">Butterfly needle </t>
  </si>
  <si>
    <t xml:space="preserve">Uric Acid </t>
  </si>
  <si>
    <t>Boule Control (Normal)</t>
  </si>
  <si>
    <t>Vacant Needle Holder</t>
  </si>
  <si>
    <t xml:space="preserve">Urea UV </t>
  </si>
  <si>
    <t xml:space="preserve">Cleaning Solution </t>
  </si>
  <si>
    <t>Tagging roll</t>
  </si>
  <si>
    <t xml:space="preserve">Glucose PAP </t>
  </si>
  <si>
    <t>HSN - Normal Calibration</t>
  </si>
  <si>
    <t>Blood Tube rack</t>
  </si>
  <si>
    <t>HSP - Pathology Calibration</t>
  </si>
  <si>
    <t>Danger Box</t>
  </si>
  <si>
    <t>Hemoglobin (A1c)</t>
  </si>
  <si>
    <t xml:space="preserve">System Solution </t>
  </si>
  <si>
    <t>Tourniquet</t>
  </si>
  <si>
    <t>Immersion oil</t>
  </si>
  <si>
    <t>Normal Saline</t>
  </si>
  <si>
    <t>Yellow tip</t>
  </si>
  <si>
    <t>Plastic tube</t>
  </si>
  <si>
    <t>Q3 TESTS COSTING</t>
  </si>
  <si>
    <t>Q3-Q1</t>
  </si>
  <si>
    <t>No.</t>
  </si>
  <si>
    <t>Test Price</t>
  </si>
  <si>
    <t xml:space="preserve"> Per Test Cost (PKR) </t>
  </si>
  <si>
    <t xml:space="preserve"> Gross Profit </t>
  </si>
  <si>
    <t>Contribution Mix</t>
  </si>
  <si>
    <t>Weighted Gross Profit</t>
  </si>
  <si>
    <t>Liver Function Tests</t>
  </si>
  <si>
    <t>Lipid Profie</t>
  </si>
  <si>
    <t>HBV PCR Qualitative</t>
  </si>
  <si>
    <t>HBV PCR Quantitative</t>
  </si>
  <si>
    <t>HCV RNA PCR Qualitative</t>
  </si>
  <si>
    <t>HCV RNA Quantitative</t>
  </si>
  <si>
    <t>Reagents Cost %</t>
  </si>
  <si>
    <t xml:space="preserve">Monthly Salary </t>
  </si>
  <si>
    <t>Fringe</t>
  </si>
  <si>
    <t>Monthly  Total Salary</t>
  </si>
  <si>
    <t>Annual Salary</t>
  </si>
  <si>
    <t>Avearge Monthly Costs (PKR)</t>
  </si>
  <si>
    <t>Lab Manager</t>
  </si>
  <si>
    <t>Technicians</t>
  </si>
  <si>
    <t>Annual</t>
  </si>
  <si>
    <t>Monthly</t>
  </si>
  <si>
    <t>Number of Centers</t>
  </si>
  <si>
    <t>Costs of Center Setup (Investment)</t>
  </si>
  <si>
    <t>Sales Volumes</t>
  </si>
  <si>
    <t>Sales Growth</t>
  </si>
  <si>
    <t>Rent Inflation</t>
  </si>
  <si>
    <t>Reagents/Consumables Inflation</t>
  </si>
  <si>
    <t>Discount/Referral Incentive</t>
  </si>
  <si>
    <t>Reagents/Consumables</t>
  </si>
  <si>
    <t>Sales</t>
  </si>
  <si>
    <t>Revenue</t>
  </si>
  <si>
    <t>EBITDA</t>
  </si>
  <si>
    <t>Net Profit/Loss</t>
  </si>
  <si>
    <t>Year 06 - Year 10</t>
  </si>
  <si>
    <t>Year 11 - Year 15</t>
  </si>
  <si>
    <t>Year 16 - Year 20</t>
  </si>
  <si>
    <t>Year 00 - Year 05</t>
  </si>
  <si>
    <t>Sales Tax</t>
  </si>
  <si>
    <t>Depreciation</t>
  </si>
  <si>
    <t>Summary Table</t>
  </si>
  <si>
    <t>SG &amp; A</t>
  </si>
  <si>
    <t>Average Sales</t>
  </si>
  <si>
    <t>Competitor Labs (Lower Limit)</t>
  </si>
  <si>
    <t>Competitor Labs (Average)</t>
  </si>
  <si>
    <t>Competitor Labs (Higher Limit)</t>
  </si>
  <si>
    <t>Annualized RoI (%)</t>
  </si>
  <si>
    <t>Satellite Center</t>
  </si>
  <si>
    <t>2021 - 20205</t>
  </si>
  <si>
    <t>2026 - 2030</t>
  </si>
  <si>
    <t>2031- 2035</t>
  </si>
  <si>
    <t>2035 - 2040</t>
  </si>
  <si>
    <t>Summary Income Statements</t>
  </si>
  <si>
    <t>Operating Expenses</t>
  </si>
  <si>
    <t>USD (M)</t>
  </si>
  <si>
    <t>USD</t>
  </si>
  <si>
    <t>Gross Profit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</si>
</sst>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00_);_(* \(#,##0.000\);_(* &quot;-&quot;??_);_(@_)"/>
    <numFmt numFmtId="168" formatCode="0_);\(0\)"/>
    <numFmt numFmtId="169" formatCode="m/d/yyyy\ h:mm:ss"/>
    <numFmt numFmtId="170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sz val="14"/>
      <color indexed="8"/>
      <name val="Arial"/>
      <family val="2"/>
    </font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5DCE4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>
      <alignment vertical="top"/>
    </xf>
    <xf numFmtId="164" fontId="6" fillId="0" borderId="0" applyFont="0" applyFill="0" applyBorder="0" applyAlignment="0" applyProtection="0">
      <alignment vertical="top"/>
    </xf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9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165" fontId="0" fillId="3" borderId="0" xfId="1" applyNumberFormat="1" applyFont="1" applyFill="1"/>
    <xf numFmtId="165" fontId="0" fillId="0" borderId="0" xfId="1" applyNumberFormat="1" applyFont="1"/>
    <xf numFmtId="9" fontId="0" fillId="0" borderId="0" xfId="0" applyNumberFormat="1" applyAlignment="1">
      <alignment horizontal="center"/>
    </xf>
    <xf numFmtId="9" fontId="0" fillId="0" borderId="0" xfId="0" applyNumberFormat="1"/>
    <xf numFmtId="9" fontId="0" fillId="0" borderId="0" xfId="2" applyFont="1"/>
    <xf numFmtId="9" fontId="0" fillId="3" borderId="0" xfId="2" applyFont="1" applyFill="1"/>
    <xf numFmtId="9" fontId="0" fillId="0" borderId="0" xfId="2" applyFont="1" applyAlignment="1">
      <alignment horizontal="center"/>
    </xf>
    <xf numFmtId="165" fontId="0" fillId="0" borderId="0" xfId="1" applyNumberFormat="1" applyFont="1" applyAlignment="1">
      <alignment horizontal="center"/>
    </xf>
    <xf numFmtId="164" fontId="0" fillId="0" borderId="0" xfId="0" applyNumberFormat="1"/>
    <xf numFmtId="165" fontId="2" fillId="0" borderId="2" xfId="0" applyNumberFormat="1" applyFont="1" applyBorder="1"/>
    <xf numFmtId="166" fontId="0" fillId="0" borderId="0" xfId="2" applyNumberFormat="1" applyFont="1" applyAlignment="1">
      <alignment horizontal="center"/>
    </xf>
    <xf numFmtId="165" fontId="0" fillId="0" borderId="0" xfId="0" applyNumberForma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wrapText="1"/>
    </xf>
    <xf numFmtId="165" fontId="2" fillId="2" borderId="3" xfId="0" applyNumberFormat="1" applyFont="1" applyFill="1" applyBorder="1"/>
    <xf numFmtId="164" fontId="2" fillId="2" borderId="4" xfId="0" applyNumberFormat="1" applyFont="1" applyFill="1" applyBorder="1"/>
    <xf numFmtId="0" fontId="0" fillId="0" borderId="4" xfId="0" applyBorder="1"/>
    <xf numFmtId="9" fontId="2" fillId="0" borderId="1" xfId="2" applyFont="1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65" fontId="2" fillId="0" borderId="0" xfId="1" applyNumberFormat="1" applyFont="1"/>
    <xf numFmtId="164" fontId="0" fillId="3" borderId="0" xfId="1" applyFont="1" applyFill="1"/>
    <xf numFmtId="9" fontId="0" fillId="0" borderId="0" xfId="1" applyNumberFormat="1" applyFont="1"/>
    <xf numFmtId="0" fontId="0" fillId="4" borderId="0" xfId="0" applyFill="1" applyAlignment="1">
      <alignment horizontal="center"/>
    </xf>
    <xf numFmtId="165" fontId="0" fillId="4" borderId="0" xfId="1" applyNumberFormat="1" applyFont="1" applyFill="1" applyAlignment="1">
      <alignment horizontal="center"/>
    </xf>
    <xf numFmtId="0" fontId="5" fillId="0" borderId="0" xfId="3">
      <alignment vertical="top"/>
    </xf>
    <xf numFmtId="164" fontId="0" fillId="0" borderId="0" xfId="4" applyFont="1">
      <alignment vertical="top"/>
    </xf>
    <xf numFmtId="164" fontId="0" fillId="0" borderId="5" xfId="4" applyFont="1" applyBorder="1">
      <alignment vertical="top"/>
    </xf>
    <xf numFmtId="2" fontId="7" fillId="0" borderId="5" xfId="4" applyNumberFormat="1" applyFont="1" applyBorder="1">
      <alignment vertical="top"/>
    </xf>
    <xf numFmtId="0" fontId="7" fillId="0" borderId="5" xfId="3" applyFont="1" applyBorder="1">
      <alignment vertical="top"/>
    </xf>
    <xf numFmtId="0" fontId="5" fillId="0" borderId="5" xfId="3" applyBorder="1">
      <alignment vertical="top"/>
    </xf>
    <xf numFmtId="165" fontId="5" fillId="0" borderId="5" xfId="3" applyNumberFormat="1" applyBorder="1">
      <alignment vertical="top"/>
    </xf>
    <xf numFmtId="165" fontId="0" fillId="0" borderId="5" xfId="4" applyNumberFormat="1" applyFont="1" applyBorder="1">
      <alignment vertical="top"/>
    </xf>
    <xf numFmtId="0" fontId="5" fillId="5" borderId="0" xfId="3" applyFill="1">
      <alignment vertical="top"/>
    </xf>
    <xf numFmtId="37" fontId="7" fillId="5" borderId="0" xfId="3" applyNumberFormat="1" applyFont="1" applyFill="1" applyAlignment="1">
      <alignment horizontal="right" vertical="top"/>
    </xf>
    <xf numFmtId="37" fontId="8" fillId="0" borderId="0" xfId="3" applyNumberFormat="1" applyFont="1" applyAlignment="1">
      <alignment horizontal="right" vertical="top"/>
    </xf>
    <xf numFmtId="168" fontId="5" fillId="5" borderId="0" xfId="3" applyNumberFormat="1" applyFill="1">
      <alignment vertical="top"/>
    </xf>
    <xf numFmtId="0" fontId="7" fillId="0" borderId="0" xfId="3" applyFont="1" applyAlignment="1">
      <alignment horizontal="right" vertical="top" wrapText="1" readingOrder="1"/>
    </xf>
    <xf numFmtId="165" fontId="0" fillId="0" borderId="0" xfId="4" applyNumberFormat="1" applyFont="1">
      <alignment vertical="top"/>
    </xf>
    <xf numFmtId="0" fontId="7" fillId="0" borderId="0" xfId="3" applyFont="1">
      <alignment vertical="top"/>
    </xf>
    <xf numFmtId="165" fontId="6" fillId="0" borderId="0" xfId="4" applyNumberFormat="1">
      <alignment vertical="top"/>
    </xf>
    <xf numFmtId="0" fontId="5" fillId="3" borderId="0" xfId="3" applyFill="1">
      <alignment vertical="top"/>
    </xf>
    <xf numFmtId="165" fontId="6" fillId="3" borderId="0" xfId="4" applyNumberFormat="1" applyFill="1">
      <alignment vertical="top"/>
    </xf>
    <xf numFmtId="164" fontId="5" fillId="3" borderId="0" xfId="3" applyNumberFormat="1" applyFill="1">
      <alignment vertical="top"/>
    </xf>
    <xf numFmtId="165" fontId="5" fillId="3" borderId="0" xfId="4" applyNumberFormat="1" applyFont="1" applyFill="1">
      <alignment vertical="top"/>
    </xf>
    <xf numFmtId="0" fontId="6" fillId="0" borderId="0" xfId="3" applyFont="1">
      <alignment vertical="top"/>
    </xf>
    <xf numFmtId="0" fontId="10" fillId="0" borderId="0" xfId="5"/>
    <xf numFmtId="0" fontId="10" fillId="0" borderId="10" xfId="5" applyBorder="1"/>
    <xf numFmtId="0" fontId="11" fillId="0" borderId="5" xfId="5" applyFont="1" applyBorder="1"/>
    <xf numFmtId="0" fontId="11" fillId="0" borderId="11" xfId="5" applyFont="1" applyBorder="1"/>
    <xf numFmtId="0" fontId="11" fillId="0" borderId="10" xfId="5" applyFont="1" applyBorder="1"/>
    <xf numFmtId="0" fontId="10" fillId="0" borderId="5" xfId="5" applyBorder="1"/>
    <xf numFmtId="165" fontId="0" fillId="0" borderId="5" xfId="6" applyNumberFormat="1" applyFont="1" applyBorder="1"/>
    <xf numFmtId="165" fontId="10" fillId="0" borderId="5" xfId="5" applyNumberFormat="1" applyBorder="1"/>
    <xf numFmtId="165" fontId="10" fillId="0" borderId="11" xfId="5" applyNumberFormat="1" applyBorder="1"/>
    <xf numFmtId="0" fontId="11" fillId="0" borderId="12" xfId="5" applyFont="1" applyBorder="1"/>
    <xf numFmtId="0" fontId="10" fillId="0" borderId="13" xfId="5" applyBorder="1"/>
    <xf numFmtId="165" fontId="0" fillId="0" borderId="13" xfId="6" applyNumberFormat="1" applyFont="1" applyBorder="1"/>
    <xf numFmtId="165" fontId="10" fillId="0" borderId="13" xfId="5" applyNumberFormat="1" applyBorder="1"/>
    <xf numFmtId="165" fontId="10" fillId="0" borderId="14" xfId="5" applyNumberFormat="1" applyBorder="1"/>
    <xf numFmtId="0" fontId="10" fillId="6" borderId="18" xfId="5" applyFill="1" applyBorder="1"/>
    <xf numFmtId="0" fontId="10" fillId="6" borderId="0" xfId="5" applyFill="1"/>
    <xf numFmtId="0" fontId="10" fillId="6" borderId="19" xfId="5" applyFill="1" applyBorder="1"/>
    <xf numFmtId="0" fontId="10" fillId="6" borderId="10" xfId="5" applyFill="1" applyBorder="1"/>
    <xf numFmtId="0" fontId="11" fillId="6" borderId="5" xfId="5" applyFont="1" applyFill="1" applyBorder="1"/>
    <xf numFmtId="0" fontId="11" fillId="6" borderId="11" xfId="5" applyFont="1" applyFill="1" applyBorder="1"/>
    <xf numFmtId="0" fontId="11" fillId="7" borderId="5" xfId="5" applyFont="1" applyFill="1" applyBorder="1"/>
    <xf numFmtId="0" fontId="11" fillId="6" borderId="10" xfId="5" applyFont="1" applyFill="1" applyBorder="1"/>
    <xf numFmtId="165" fontId="0" fillId="6" borderId="5" xfId="6" applyNumberFormat="1" applyFont="1" applyFill="1" applyBorder="1"/>
    <xf numFmtId="165" fontId="10" fillId="6" borderId="5" xfId="5" applyNumberFormat="1" applyFill="1" applyBorder="1"/>
    <xf numFmtId="165" fontId="10" fillId="6" borderId="11" xfId="5" applyNumberFormat="1" applyFill="1" applyBorder="1"/>
    <xf numFmtId="9" fontId="0" fillId="0" borderId="5" xfId="7" applyFont="1" applyBorder="1"/>
    <xf numFmtId="165" fontId="0" fillId="7" borderId="5" xfId="6" applyNumberFormat="1" applyFont="1" applyFill="1" applyBorder="1"/>
    <xf numFmtId="165" fontId="0" fillId="0" borderId="11" xfId="6" applyNumberFormat="1" applyFont="1" applyBorder="1"/>
    <xf numFmtId="0" fontId="11" fillId="6" borderId="12" xfId="5" applyFont="1" applyFill="1" applyBorder="1"/>
    <xf numFmtId="165" fontId="0" fillId="6" borderId="13" xfId="6" applyNumberFormat="1" applyFont="1" applyFill="1" applyBorder="1"/>
    <xf numFmtId="165" fontId="10" fillId="6" borderId="13" xfId="5" applyNumberFormat="1" applyFill="1" applyBorder="1"/>
    <xf numFmtId="165" fontId="10" fillId="6" borderId="14" xfId="5" applyNumberFormat="1" applyFill="1" applyBorder="1"/>
    <xf numFmtId="9" fontId="0" fillId="0" borderId="13" xfId="7" applyFont="1" applyBorder="1"/>
    <xf numFmtId="165" fontId="0" fillId="7" borderId="13" xfId="6" applyNumberFormat="1" applyFont="1" applyFill="1" applyBorder="1"/>
    <xf numFmtId="165" fontId="0" fillId="0" borderId="14" xfId="6" applyNumberFormat="1" applyFont="1" applyBorder="1"/>
    <xf numFmtId="164" fontId="10" fillId="0" borderId="0" xfId="5" applyNumberFormat="1"/>
    <xf numFmtId="0" fontId="10" fillId="0" borderId="11" xfId="5" applyBorder="1"/>
    <xf numFmtId="0" fontId="10" fillId="7" borderId="5" xfId="5" applyFill="1" applyBorder="1"/>
    <xf numFmtId="164" fontId="0" fillId="0" borderId="5" xfId="6" applyFont="1" applyBorder="1"/>
    <xf numFmtId="0" fontId="10" fillId="7" borderId="13" xfId="5" applyFill="1" applyBorder="1"/>
    <xf numFmtId="164" fontId="0" fillId="0" borderId="13" xfId="6" applyFont="1" applyBorder="1"/>
    <xf numFmtId="0" fontId="12" fillId="0" borderId="0" xfId="5" applyFont="1"/>
    <xf numFmtId="0" fontId="10" fillId="0" borderId="0" xfId="5" applyAlignment="1">
      <alignment horizontal="left"/>
    </xf>
    <xf numFmtId="0" fontId="11" fillId="0" borderId="0" xfId="5" applyFont="1"/>
    <xf numFmtId="0" fontId="10" fillId="3" borderId="0" xfId="5" applyFill="1" applyAlignment="1">
      <alignment horizontal="left"/>
    </xf>
    <xf numFmtId="0" fontId="10" fillId="3" borderId="0" xfId="5" applyFill="1"/>
    <xf numFmtId="0" fontId="11" fillId="3" borderId="0" xfId="5" applyFont="1" applyFill="1"/>
    <xf numFmtId="0" fontId="11" fillId="8" borderId="5" xfId="5" applyFont="1" applyFill="1" applyBorder="1"/>
    <xf numFmtId="165" fontId="0" fillId="8" borderId="5" xfId="6" applyNumberFormat="1" applyFont="1" applyFill="1" applyBorder="1"/>
    <xf numFmtId="0" fontId="13" fillId="0" borderId="0" xfId="5" applyFont="1"/>
    <xf numFmtId="49" fontId="13" fillId="0" borderId="0" xfId="5" applyNumberFormat="1" applyFont="1"/>
    <xf numFmtId="169" fontId="13" fillId="0" borderId="0" xfId="5" applyNumberFormat="1" applyFont="1"/>
    <xf numFmtId="49" fontId="10" fillId="0" borderId="0" xfId="5" applyNumberFormat="1"/>
    <xf numFmtId="0" fontId="13" fillId="0" borderId="0" xfId="5" quotePrefix="1" applyFont="1"/>
    <xf numFmtId="0" fontId="14" fillId="9" borderId="20" xfId="0" applyFont="1" applyFill="1" applyBorder="1" applyAlignment="1">
      <alignment horizontal="center" vertical="center" wrapText="1"/>
    </xf>
    <xf numFmtId="0" fontId="14" fillId="9" borderId="21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vertical="center"/>
    </xf>
    <xf numFmtId="3" fontId="15" fillId="0" borderId="23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vertical="center"/>
    </xf>
    <xf numFmtId="3" fontId="14" fillId="0" borderId="23" xfId="0" applyNumberFormat="1" applyFont="1" applyBorder="1" applyAlignment="1">
      <alignment horizontal="center" vertical="center"/>
    </xf>
    <xf numFmtId="0" fontId="14" fillId="9" borderId="17" xfId="0" applyFont="1" applyFill="1" applyBorder="1" applyAlignment="1">
      <alignment horizontal="center" vertical="center" wrapText="1"/>
    </xf>
    <xf numFmtId="0" fontId="14" fillId="9" borderId="23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/>
    </xf>
    <xf numFmtId="3" fontId="15" fillId="0" borderId="23" xfId="0" applyNumberFormat="1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9" fontId="15" fillId="0" borderId="23" xfId="0" applyNumberFormat="1" applyFont="1" applyBorder="1" applyAlignment="1">
      <alignment horizontal="center" vertical="center" wrapText="1"/>
    </xf>
    <xf numFmtId="9" fontId="2" fillId="0" borderId="2" xfId="0" applyNumberFormat="1" applyFont="1" applyBorder="1"/>
    <xf numFmtId="165" fontId="2" fillId="0" borderId="0" xfId="0" applyNumberFormat="1" applyFont="1"/>
    <xf numFmtId="164" fontId="2" fillId="0" borderId="0" xfId="1" applyFont="1"/>
    <xf numFmtId="166" fontId="2" fillId="0" borderId="0" xfId="0" applyNumberFormat="1" applyFont="1"/>
    <xf numFmtId="165" fontId="0" fillId="0" borderId="0" xfId="0" applyNumberFormat="1" applyAlignment="1">
      <alignment horizontal="center"/>
    </xf>
    <xf numFmtId="167" fontId="0" fillId="0" borderId="0" xfId="0" applyNumberFormat="1"/>
    <xf numFmtId="167" fontId="2" fillId="0" borderId="0" xfId="1" applyNumberFormat="1" applyFont="1"/>
    <xf numFmtId="164" fontId="0" fillId="0" borderId="0" xfId="1" applyFont="1"/>
    <xf numFmtId="9" fontId="2" fillId="0" borderId="0" xfId="0" applyNumberFormat="1" applyFont="1" applyAlignment="1">
      <alignment horizontal="center"/>
    </xf>
    <xf numFmtId="3" fontId="0" fillId="0" borderId="0" xfId="0" applyNumberFormat="1"/>
    <xf numFmtId="0" fontId="16" fillId="0" borderId="0" xfId="0" applyFont="1" applyAlignment="1">
      <alignment horizontal="center"/>
    </xf>
    <xf numFmtId="0" fontId="17" fillId="11" borderId="29" xfId="0" applyFont="1" applyFill="1" applyBorder="1" applyAlignment="1">
      <alignment horizontal="center" wrapText="1"/>
    </xf>
    <xf numFmtId="0" fontId="17" fillId="11" borderId="30" xfId="0" applyFont="1" applyFill="1" applyBorder="1" applyAlignment="1">
      <alignment horizontal="center" wrapText="1"/>
    </xf>
    <xf numFmtId="165" fontId="17" fillId="11" borderId="30" xfId="1" applyNumberFormat="1" applyFont="1" applyFill="1" applyBorder="1" applyAlignment="1">
      <alignment horizontal="center" wrapText="1"/>
    </xf>
    <xf numFmtId="0" fontId="17" fillId="10" borderId="33" xfId="0" applyFont="1" applyFill="1" applyBorder="1" applyAlignment="1">
      <alignment horizontal="center" wrapText="1"/>
    </xf>
    <xf numFmtId="0" fontId="17" fillId="10" borderId="0" xfId="0" applyFont="1" applyFill="1" applyAlignment="1">
      <alignment horizontal="center" wrapText="1"/>
    </xf>
    <xf numFmtId="0" fontId="17" fillId="11" borderId="34" xfId="0" applyFont="1" applyFill="1" applyBorder="1" applyAlignment="1">
      <alignment horizontal="center" wrapText="1"/>
    </xf>
    <xf numFmtId="0" fontId="17" fillId="11" borderId="0" xfId="0" applyFont="1" applyFill="1" applyAlignment="1">
      <alignment horizontal="center" wrapText="1"/>
    </xf>
    <xf numFmtId="164" fontId="17" fillId="11" borderId="30" xfId="1" applyFont="1" applyFill="1" applyBorder="1" applyAlignment="1">
      <alignment horizontal="center" wrapText="1"/>
    </xf>
    <xf numFmtId="9" fontId="17" fillId="11" borderId="30" xfId="2" applyFont="1" applyFill="1" applyBorder="1" applyAlignment="1">
      <alignment horizontal="center" wrapText="1"/>
    </xf>
    <xf numFmtId="0" fontId="15" fillId="0" borderId="35" xfId="0" applyFont="1" applyBorder="1" applyAlignment="1">
      <alignment vertical="center" wrapText="1"/>
    </xf>
    <xf numFmtId="0" fontId="15" fillId="0" borderId="36" xfId="0" applyFont="1" applyBorder="1" applyAlignment="1">
      <alignment vertical="center" wrapText="1"/>
    </xf>
    <xf numFmtId="3" fontId="15" fillId="0" borderId="36" xfId="0" applyNumberFormat="1" applyFont="1" applyBorder="1" applyAlignment="1">
      <alignment horizontal="center" vertical="center" wrapText="1"/>
    </xf>
    <xf numFmtId="165" fontId="15" fillId="0" borderId="36" xfId="1" applyNumberFormat="1" applyFont="1" applyBorder="1" applyAlignment="1">
      <alignment horizontal="center" vertical="center" wrapText="1"/>
    </xf>
    <xf numFmtId="9" fontId="15" fillId="0" borderId="36" xfId="0" applyNumberFormat="1" applyFont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wrapText="1"/>
    </xf>
    <xf numFmtId="0" fontId="17" fillId="11" borderId="36" xfId="0" applyFont="1" applyFill="1" applyBorder="1" applyAlignment="1">
      <alignment horizontal="center" wrapText="1"/>
    </xf>
    <xf numFmtId="0" fontId="15" fillId="0" borderId="36" xfId="0" applyFont="1" applyBorder="1" applyAlignment="1">
      <alignment horizontal="center" vertical="center" wrapText="1"/>
    </xf>
    <xf numFmtId="164" fontId="15" fillId="0" borderId="36" xfId="0" applyNumberFormat="1" applyFont="1" applyBorder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164" fontId="15" fillId="0" borderId="36" xfId="1" applyFont="1" applyBorder="1" applyAlignment="1">
      <alignment vertical="center" wrapText="1"/>
    </xf>
    <xf numFmtId="9" fontId="15" fillId="0" borderId="36" xfId="2" applyFont="1" applyBorder="1" applyAlignment="1">
      <alignment vertical="center" wrapText="1"/>
    </xf>
    <xf numFmtId="3" fontId="18" fillId="0" borderId="36" xfId="0" applyNumberFormat="1" applyFont="1" applyBorder="1" applyAlignment="1">
      <alignment horizontal="center" vertical="center" wrapText="1"/>
    </xf>
    <xf numFmtId="0" fontId="17" fillId="0" borderId="37" xfId="0" applyFont="1" applyBorder="1" applyAlignment="1">
      <alignment horizontal="justify" wrapText="1"/>
    </xf>
    <xf numFmtId="0" fontId="17" fillId="0" borderId="36" xfId="0" applyFont="1" applyBorder="1" applyAlignment="1">
      <alignment horizontal="center" wrapText="1"/>
    </xf>
    <xf numFmtId="0" fontId="17" fillId="0" borderId="38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17" fillId="0" borderId="37" xfId="0" applyFont="1" applyBorder="1" applyAlignment="1">
      <alignment wrapText="1"/>
    </xf>
    <xf numFmtId="0" fontId="15" fillId="0" borderId="39" xfId="0" applyFont="1" applyBorder="1" applyAlignment="1">
      <alignment vertical="center" wrapText="1"/>
    </xf>
    <xf numFmtId="0" fontId="15" fillId="0" borderId="39" xfId="0" applyFont="1" applyBorder="1" applyAlignment="1">
      <alignment horizontal="center" vertical="center" wrapText="1"/>
    </xf>
    <xf numFmtId="3" fontId="15" fillId="0" borderId="39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wrapText="1"/>
    </xf>
    <xf numFmtId="0" fontId="18" fillId="0" borderId="36" xfId="0" applyFont="1" applyBorder="1" applyAlignment="1">
      <alignment horizontal="center" wrapText="1"/>
    </xf>
    <xf numFmtId="3" fontId="18" fillId="0" borderId="38" xfId="0" applyNumberFormat="1" applyFont="1" applyBorder="1" applyAlignment="1">
      <alignment horizontal="center" wrapText="1"/>
    </xf>
    <xf numFmtId="3" fontId="18" fillId="0" borderId="0" xfId="0" applyNumberFormat="1" applyFont="1" applyAlignment="1">
      <alignment horizontal="center" wrapText="1"/>
    </xf>
    <xf numFmtId="3" fontId="18" fillId="0" borderId="36" xfId="0" applyNumberFormat="1" applyFont="1" applyBorder="1" applyAlignment="1">
      <alignment horizontal="center" wrapText="1"/>
    </xf>
    <xf numFmtId="3" fontId="17" fillId="0" borderId="38" xfId="0" applyNumberFormat="1" applyFont="1" applyBorder="1" applyAlignment="1">
      <alignment horizontal="center" wrapText="1"/>
    </xf>
    <xf numFmtId="164" fontId="17" fillId="0" borderId="0" xfId="1" applyFont="1" applyAlignment="1">
      <alignment horizont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165" fontId="18" fillId="0" borderId="36" xfId="1" applyNumberFormat="1" applyFont="1" applyBorder="1" applyAlignment="1">
      <alignment horizontal="center" vertical="center" wrapText="1"/>
    </xf>
    <xf numFmtId="9" fontId="18" fillId="0" borderId="36" xfId="2" applyFont="1" applyBorder="1" applyAlignment="1">
      <alignment horizontal="center" vertical="center" wrapText="1"/>
    </xf>
    <xf numFmtId="0" fontId="17" fillId="0" borderId="40" xfId="0" applyFont="1" applyBorder="1" applyAlignment="1">
      <alignment wrapText="1"/>
    </xf>
    <xf numFmtId="0" fontId="17" fillId="0" borderId="41" xfId="0" applyFont="1" applyBorder="1" applyAlignment="1">
      <alignment horizontal="center" wrapText="1"/>
    </xf>
    <xf numFmtId="3" fontId="17" fillId="0" borderId="23" xfId="0" applyNumberFormat="1" applyFont="1" applyBorder="1" applyAlignment="1">
      <alignment horizontal="center" wrapText="1"/>
    </xf>
    <xf numFmtId="0" fontId="17" fillId="11" borderId="5" xfId="0" applyFont="1" applyFill="1" applyBorder="1" applyAlignment="1">
      <alignment horizontal="center" wrapText="1"/>
    </xf>
    <xf numFmtId="0" fontId="15" fillId="0" borderId="5" xfId="0" applyFont="1" applyBorder="1" applyAlignment="1">
      <alignment vertical="center" wrapText="1"/>
    </xf>
    <xf numFmtId="3" fontId="15" fillId="0" borderId="5" xfId="0" applyNumberFormat="1" applyFont="1" applyBorder="1" applyAlignment="1">
      <alignment horizontal="center" vertical="center" wrapText="1"/>
    </xf>
    <xf numFmtId="164" fontId="0" fillId="0" borderId="5" xfId="1" applyFont="1" applyBorder="1"/>
    <xf numFmtId="164" fontId="15" fillId="0" borderId="5" xfId="0" applyNumberFormat="1" applyFont="1" applyBorder="1" applyAlignment="1">
      <alignment horizontal="center" vertical="center" wrapText="1"/>
    </xf>
    <xf numFmtId="9" fontId="0" fillId="0" borderId="5" xfId="2" applyFont="1" applyBorder="1"/>
    <xf numFmtId="0" fontId="15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9" fontId="15" fillId="0" borderId="36" xfId="2" applyFont="1" applyBorder="1" applyAlignment="1">
      <alignment horizontal="center" vertical="center" wrapText="1"/>
    </xf>
    <xf numFmtId="0" fontId="0" fillId="0" borderId="5" xfId="0" applyBorder="1"/>
    <xf numFmtId="10" fontId="0" fillId="0" borderId="5" xfId="2" applyNumberFormat="1" applyFont="1" applyBorder="1"/>
    <xf numFmtId="3" fontId="0" fillId="0" borderId="5" xfId="0" applyNumberFormat="1" applyBorder="1"/>
    <xf numFmtId="9" fontId="2" fillId="0" borderId="5" xfId="2" applyFont="1" applyBorder="1"/>
    <xf numFmtId="164" fontId="17" fillId="11" borderId="5" xfId="1" applyFont="1" applyFill="1" applyBorder="1" applyAlignment="1">
      <alignment horizontal="center" wrapText="1"/>
    </xf>
    <xf numFmtId="9" fontId="17" fillId="11" borderId="5" xfId="2" applyFont="1" applyFill="1" applyBorder="1" applyAlignment="1">
      <alignment horizontal="center" wrapText="1"/>
    </xf>
    <xf numFmtId="164" fontId="15" fillId="0" borderId="5" xfId="1" applyFont="1" applyBorder="1" applyAlignment="1">
      <alignment vertical="center" wrapText="1"/>
    </xf>
    <xf numFmtId="9" fontId="15" fillId="0" borderId="5" xfId="2" applyFont="1" applyBorder="1" applyAlignment="1">
      <alignment vertical="center" wrapText="1"/>
    </xf>
    <xf numFmtId="0" fontId="14" fillId="0" borderId="42" xfId="0" applyFont="1" applyBorder="1" applyAlignment="1">
      <alignment vertical="center" wrapText="1"/>
    </xf>
    <xf numFmtId="0" fontId="2" fillId="0" borderId="43" xfId="0" applyFont="1" applyBorder="1"/>
    <xf numFmtId="9" fontId="2" fillId="0" borderId="43" xfId="2" applyFont="1" applyBorder="1"/>
    <xf numFmtId="9" fontId="2" fillId="0" borderId="21" xfId="0" applyNumberFormat="1" applyFont="1" applyBorder="1"/>
    <xf numFmtId="164" fontId="2" fillId="0" borderId="5" xfId="4" applyFont="1" applyBorder="1">
      <alignment vertical="top"/>
    </xf>
    <xf numFmtId="2" fontId="19" fillId="0" borderId="5" xfId="0" applyNumberFormat="1" applyFont="1" applyBorder="1" applyAlignment="1">
      <alignment horizontal="center" vertical="center" wrapText="1"/>
    </xf>
    <xf numFmtId="165" fontId="19" fillId="0" borderId="5" xfId="1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0" fontId="20" fillId="0" borderId="5" xfId="0" applyFont="1" applyBorder="1" applyAlignment="1">
      <alignment horizontal="left" vertical="center"/>
    </xf>
    <xf numFmtId="165" fontId="20" fillId="0" borderId="5" xfId="1" applyNumberFormat="1" applyFont="1" applyBorder="1" applyAlignment="1">
      <alignment horizontal="right" vertical="center"/>
    </xf>
    <xf numFmtId="165" fontId="6" fillId="0" borderId="5" xfId="1" applyNumberFormat="1" applyFont="1" applyBorder="1" applyAlignment="1">
      <alignment horizontal="right" vertical="center"/>
    </xf>
    <xf numFmtId="165" fontId="21" fillId="0" borderId="5" xfId="1" applyNumberFormat="1" applyFont="1" applyBorder="1"/>
    <xf numFmtId="165" fontId="0" fillId="0" borderId="5" xfId="1" applyNumberFormat="1" applyFont="1" applyBorder="1"/>
    <xf numFmtId="0" fontId="19" fillId="0" borderId="5" xfId="0" applyFont="1" applyBorder="1" applyAlignment="1">
      <alignment horizontal="left" vertical="center"/>
    </xf>
    <xf numFmtId="165" fontId="22" fillId="0" borderId="5" xfId="0" applyNumberFormat="1" applyFont="1" applyBorder="1"/>
    <xf numFmtId="165" fontId="22" fillId="0" borderId="5" xfId="1" applyNumberFormat="1" applyFont="1" applyBorder="1"/>
    <xf numFmtId="0" fontId="2" fillId="0" borderId="5" xfId="0" applyFont="1" applyBorder="1"/>
    <xf numFmtId="165" fontId="2" fillId="0" borderId="5" xfId="1" applyNumberFormat="1" applyFont="1" applyBorder="1"/>
    <xf numFmtId="165" fontId="0" fillId="0" borderId="5" xfId="0" applyNumberFormat="1" applyBorder="1"/>
    <xf numFmtId="165" fontId="2" fillId="0" borderId="5" xfId="0" applyNumberFormat="1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44" xfId="0" applyFont="1" applyBorder="1"/>
    <xf numFmtId="0" fontId="2" fillId="0" borderId="45" xfId="0" applyFont="1" applyBorder="1"/>
    <xf numFmtId="165" fontId="2" fillId="0" borderId="45" xfId="0" applyNumberFormat="1" applyFont="1" applyBorder="1"/>
    <xf numFmtId="165" fontId="2" fillId="0" borderId="23" xfId="0" applyNumberFormat="1" applyFont="1" applyBorder="1"/>
    <xf numFmtId="164" fontId="0" fillId="0" borderId="0" xfId="1" applyFont="1" applyAlignment="1">
      <alignment horizontal="center"/>
    </xf>
    <xf numFmtId="164" fontId="2" fillId="0" borderId="0" xfId="1" applyFont="1" applyAlignment="1">
      <alignment horizontal="center"/>
    </xf>
    <xf numFmtId="164" fontId="2" fillId="0" borderId="2" xfId="1" applyFont="1" applyBorder="1"/>
    <xf numFmtId="164" fontId="2" fillId="2" borderId="3" xfId="1" applyFont="1" applyFill="1" applyBorder="1"/>
    <xf numFmtId="164" fontId="2" fillId="2" borderId="4" xfId="1" applyFont="1" applyFill="1" applyBorder="1"/>
    <xf numFmtId="0" fontId="0" fillId="0" borderId="0" xfId="0" applyAlignment="1">
      <alignment vertical="center" wrapText="1"/>
    </xf>
    <xf numFmtId="164" fontId="2" fillId="0" borderId="0" xfId="1" applyFont="1" applyAlignment="1">
      <alignment horizontal="left" wrapText="1"/>
    </xf>
    <xf numFmtId="164" fontId="0" fillId="0" borderId="1" xfId="1" applyFont="1" applyBorder="1"/>
    <xf numFmtId="0" fontId="2" fillId="0" borderId="5" xfId="0" applyFont="1" applyBorder="1" applyAlignment="1">
      <alignment wrapText="1"/>
    </xf>
    <xf numFmtId="0" fontId="0" fillId="0" borderId="5" xfId="0" applyBorder="1" applyAlignment="1">
      <alignment horizontal="center"/>
    </xf>
    <xf numFmtId="164" fontId="0" fillId="0" borderId="5" xfId="1" applyFont="1" applyBorder="1" applyAlignment="1">
      <alignment horizontal="center"/>
    </xf>
    <xf numFmtId="164" fontId="2" fillId="0" borderId="5" xfId="1" applyFon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6" fontId="2" fillId="0" borderId="0" xfId="2" applyNumberFormat="1" applyFont="1"/>
    <xf numFmtId="43" fontId="0" fillId="0" borderId="0" xfId="0" applyNumberFormat="1"/>
    <xf numFmtId="170" fontId="0" fillId="0" borderId="0" xfId="0" applyNumberFormat="1"/>
    <xf numFmtId="166" fontId="0" fillId="0" borderId="0" xfId="2" applyNumberFormat="1" applyFont="1"/>
    <xf numFmtId="0" fontId="0" fillId="2" borderId="0" xfId="0" applyFont="1" applyFill="1"/>
    <xf numFmtId="0" fontId="0" fillId="0" borderId="5" xfId="1" applyNumberFormat="1" applyFont="1" applyBorder="1" applyAlignment="1">
      <alignment horizontal="center" wrapText="1"/>
    </xf>
    <xf numFmtId="0" fontId="2" fillId="0" borderId="5" xfId="1" applyNumberFormat="1" applyFont="1" applyBorder="1" applyAlignment="1">
      <alignment horizontal="center" wrapText="1"/>
    </xf>
    <xf numFmtId="0" fontId="2" fillId="0" borderId="5" xfId="1" applyNumberFormat="1" applyFont="1" applyBorder="1" applyAlignment="1">
      <alignment horizontal="left" wrapText="1"/>
    </xf>
    <xf numFmtId="0" fontId="1" fillId="0" borderId="5" xfId="1" applyNumberFormat="1" applyFont="1" applyBorder="1" applyAlignment="1">
      <alignment horizontal="left" wrapText="1" indent="1"/>
    </xf>
    <xf numFmtId="164" fontId="0" fillId="0" borderId="5" xfId="1" applyNumberFormat="1" applyFont="1" applyBorder="1" applyAlignment="1">
      <alignment horizontal="center" wrapText="1"/>
    </xf>
    <xf numFmtId="43" fontId="0" fillId="0" borderId="5" xfId="0" applyNumberFormat="1" applyBorder="1" applyAlignment="1">
      <alignment horizontal="center"/>
    </xf>
    <xf numFmtId="0" fontId="0" fillId="0" borderId="46" xfId="1" applyNumberFormat="1" applyFont="1" applyFill="1" applyBorder="1" applyAlignment="1">
      <alignment horizontal="left" wrapText="1" indent="1"/>
    </xf>
    <xf numFmtId="0" fontId="4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4" fillId="9" borderId="24" xfId="0" applyFont="1" applyFill="1" applyBorder="1" applyAlignment="1">
      <alignment horizontal="center" vertical="center" wrapText="1"/>
    </xf>
    <xf numFmtId="0" fontId="14" fillId="9" borderId="22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7" fillId="10" borderId="31" xfId="0" applyFont="1" applyFill="1" applyBorder="1" applyAlignment="1">
      <alignment horizontal="center" wrapText="1"/>
    </xf>
    <xf numFmtId="0" fontId="17" fillId="10" borderId="37" xfId="0" applyFont="1" applyFill="1" applyBorder="1" applyAlignment="1">
      <alignment horizontal="center" wrapText="1"/>
    </xf>
    <xf numFmtId="0" fontId="17" fillId="10" borderId="32" xfId="0" applyFont="1" applyFill="1" applyBorder="1" applyAlignment="1">
      <alignment horizontal="center" wrapText="1"/>
    </xf>
    <xf numFmtId="0" fontId="17" fillId="10" borderId="35" xfId="0" applyFont="1" applyFill="1" applyBorder="1" applyAlignment="1">
      <alignment horizontal="center" wrapText="1"/>
    </xf>
    <xf numFmtId="0" fontId="17" fillId="10" borderId="31" xfId="0" applyFont="1" applyFill="1" applyBorder="1" applyAlignment="1">
      <alignment wrapText="1"/>
    </xf>
    <xf numFmtId="0" fontId="17" fillId="10" borderId="37" xfId="0" applyFont="1" applyFill="1" applyBorder="1" applyAlignment="1">
      <alignment wrapText="1"/>
    </xf>
    <xf numFmtId="0" fontId="17" fillId="11" borderId="32" xfId="0" applyFont="1" applyFill="1" applyBorder="1" applyAlignment="1">
      <alignment horizontal="center" wrapText="1"/>
    </xf>
    <xf numFmtId="0" fontId="17" fillId="11" borderId="35" xfId="0" applyFont="1" applyFill="1" applyBorder="1" applyAlignment="1">
      <alignment horizontal="center" wrapText="1"/>
    </xf>
    <xf numFmtId="0" fontId="15" fillId="0" borderId="32" xfId="0" applyFont="1" applyBorder="1" applyAlignment="1">
      <alignment vertical="center" wrapText="1"/>
    </xf>
    <xf numFmtId="0" fontId="15" fillId="0" borderId="35" xfId="0" applyFont="1" applyBorder="1" applyAlignment="1">
      <alignment vertical="center" wrapText="1"/>
    </xf>
    <xf numFmtId="3" fontId="15" fillId="0" borderId="32" xfId="0" applyNumberFormat="1" applyFont="1" applyBorder="1" applyAlignment="1">
      <alignment horizontal="center" vertical="center" wrapText="1"/>
    </xf>
    <xf numFmtId="3" fontId="15" fillId="0" borderId="35" xfId="0" applyNumberFormat="1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1" fillId="0" borderId="7" xfId="5" applyFont="1" applyBorder="1" applyAlignment="1">
      <alignment horizontal="center"/>
    </xf>
    <xf numFmtId="0" fontId="11" fillId="0" borderId="8" xfId="5" applyFont="1" applyBorder="1" applyAlignment="1">
      <alignment horizontal="center"/>
    </xf>
    <xf numFmtId="0" fontId="11" fillId="0" borderId="9" xfId="5" applyFont="1" applyBorder="1" applyAlignment="1">
      <alignment horizontal="center"/>
    </xf>
    <xf numFmtId="0" fontId="11" fillId="6" borderId="15" xfId="5" applyFont="1" applyFill="1" applyBorder="1" applyAlignment="1">
      <alignment horizontal="center"/>
    </xf>
    <xf numFmtId="0" fontId="11" fillId="6" borderId="16" xfId="5" applyFont="1" applyFill="1" applyBorder="1" applyAlignment="1">
      <alignment horizontal="center"/>
    </xf>
    <xf numFmtId="0" fontId="11" fillId="6" borderId="17" xfId="5" applyFont="1" applyFill="1" applyBorder="1" applyAlignment="1">
      <alignment horizontal="center"/>
    </xf>
    <xf numFmtId="0" fontId="7" fillId="0" borderId="0" xfId="3" applyFont="1" applyAlignment="1">
      <alignment horizontal="left" vertical="top" wrapText="1" readingOrder="1"/>
    </xf>
    <xf numFmtId="0" fontId="7" fillId="0" borderId="0" xfId="3" applyFont="1" applyAlignment="1">
      <alignment horizontal="right" vertical="top" wrapText="1" readingOrder="1"/>
    </xf>
    <xf numFmtId="3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left" vertical="top" wrapText="1"/>
    </xf>
    <xf numFmtId="37" fontId="8" fillId="0" borderId="0" xfId="3" applyNumberFormat="1" applyFont="1" applyAlignment="1">
      <alignment horizontal="right" vertical="top"/>
    </xf>
    <xf numFmtId="0" fontId="8" fillId="0" borderId="0" xfId="3" applyFont="1" applyAlignment="1">
      <alignment horizontal="left" vertical="top" wrapText="1" readingOrder="1"/>
    </xf>
    <xf numFmtId="0" fontId="7" fillId="5" borderId="0" xfId="3" applyFont="1" applyFill="1" applyAlignment="1">
      <alignment horizontal="right" vertical="top" wrapText="1" readingOrder="1"/>
    </xf>
    <xf numFmtId="37" fontId="7" fillId="5" borderId="0" xfId="3" applyNumberFormat="1" applyFont="1" applyFill="1" applyAlignment="1">
      <alignment horizontal="right" vertical="top"/>
    </xf>
    <xf numFmtId="0" fontId="9" fillId="0" borderId="6" xfId="3" applyFont="1" applyBorder="1" applyAlignment="1">
      <alignment horizontal="center" vertical="top" wrapText="1" readingOrder="1"/>
    </xf>
    <xf numFmtId="0" fontId="7" fillId="0" borderId="0" xfId="3" applyFont="1" applyAlignment="1">
      <alignment horizontal="center" vertical="top" wrapText="1" readingOrder="1"/>
    </xf>
    <xf numFmtId="0" fontId="7" fillId="5" borderId="0" xfId="3" applyFont="1" applyFill="1" applyAlignment="1">
      <alignment horizontal="left" vertical="top"/>
    </xf>
    <xf numFmtId="168" fontId="7" fillId="5" borderId="0" xfId="3" applyNumberFormat="1" applyFont="1" applyFill="1" applyAlignment="1">
      <alignment horizontal="center" vertical="top"/>
    </xf>
    <xf numFmtId="3" fontId="6" fillId="0" borderId="0" xfId="3" applyNumberFormat="1" applyFont="1" applyAlignment="1">
      <alignment horizontal="center" vertical="top"/>
    </xf>
    <xf numFmtId="168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right" vertical="top"/>
    </xf>
    <xf numFmtId="2" fontId="0" fillId="0" borderId="0" xfId="2" applyNumberFormat="1" applyFont="1"/>
  </cellXfs>
  <cellStyles count="8">
    <cellStyle name="Comma" xfId="1" builtinId="3"/>
    <cellStyle name="Comma 2" xfId="4"/>
    <cellStyle name="Comma 3" xfId="6"/>
    <cellStyle name="Normal" xfId="0" builtinId="0"/>
    <cellStyle name="Normal 2" xfId="3"/>
    <cellStyle name="Normal 3" xfId="5"/>
    <cellStyle name="Percent" xfId="2" builtinId="5"/>
    <cellStyle name="Percent 2" xfId="7"/>
  </cellStyles>
  <dxfs count="25">
    <dxf>
      <fill>
        <patternFill patternType="solid">
          <fgColor rgb="FFFFFF00"/>
          <bgColor rgb="FF00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[CHS_MBA_Project_SEM_v2.xlsx]Charts_Labs!PivotTable2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Charts_Labs!$B$1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Charts_Labs!$A$2:$A$10</c:f>
              <c:strCache>
                <c:ptCount val="8"/>
                <c:pt idx="0">
                  <c:v>10-20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50-60</c:v>
                </c:pt>
                <c:pt idx="5">
                  <c:v>Less than 10</c:v>
                </c:pt>
                <c:pt idx="6">
                  <c:v>More than 60</c:v>
                </c:pt>
                <c:pt idx="7">
                  <c:v>(blank)</c:v>
                </c:pt>
              </c:strCache>
            </c:strRef>
          </c:cat>
          <c:val>
            <c:numRef>
              <c:f>Charts_Labs!$B$2:$B$10</c:f>
              <c:numCache>
                <c:formatCode>General</c:formatCode>
                <c:ptCount val="8"/>
                <c:pt idx="0">
                  <c:v>9</c:v>
                </c:pt>
                <c:pt idx="1">
                  <c:v>9</c:v>
                </c:pt>
                <c:pt idx="2">
                  <c:v>11</c:v>
                </c:pt>
                <c:pt idx="3">
                  <c:v>8</c:v>
                </c:pt>
                <c:pt idx="4">
                  <c:v>8</c:v>
                </c:pt>
                <c:pt idx="5">
                  <c:v>3</c:v>
                </c:pt>
                <c:pt idx="6">
                  <c:v>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734-4812-A934-E6028441E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82512"/>
        <c:axId val="78175440"/>
      </c:barChart>
      <c:catAx>
        <c:axId val="7818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5440"/>
        <c:crosses val="autoZero"/>
        <c:auto val="1"/>
        <c:lblAlgn val="ctr"/>
        <c:lblOffset val="100"/>
        <c:noMultiLvlLbl val="0"/>
      </c:catAx>
      <c:valAx>
        <c:axId val="7817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[CHS_MBA_Project_SEM_v2.xlsx]Charts_Labs!PivotTable3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Charts_Labs!$E$1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Charts_Labs!$D$2:$D$10</c:f>
              <c:strCache>
                <c:ptCount val="8"/>
                <c:pt idx="0">
                  <c:v>1000-1500</c:v>
                </c:pt>
                <c:pt idx="1">
                  <c:v>1500-2000</c:v>
                </c:pt>
                <c:pt idx="2">
                  <c:v>2000-2500</c:v>
                </c:pt>
                <c:pt idx="3">
                  <c:v>2500-3000</c:v>
                </c:pt>
                <c:pt idx="4">
                  <c:v>500-1000</c:v>
                </c:pt>
                <c:pt idx="5">
                  <c:v>Less than 500</c:v>
                </c:pt>
                <c:pt idx="6">
                  <c:v>More than 3,000</c:v>
                </c:pt>
                <c:pt idx="7">
                  <c:v>(blank)</c:v>
                </c:pt>
              </c:strCache>
            </c:strRef>
          </c:cat>
          <c:val>
            <c:numRef>
              <c:f>Charts_Labs!$E$2:$E$10</c:f>
              <c:numCache>
                <c:formatCode>General</c:formatCode>
                <c:ptCount val="8"/>
                <c:pt idx="0">
                  <c:v>25</c:v>
                </c:pt>
                <c:pt idx="1">
                  <c:v>13</c:v>
                </c:pt>
                <c:pt idx="2">
                  <c:v>3</c:v>
                </c:pt>
                <c:pt idx="3">
                  <c:v>5</c:v>
                </c:pt>
                <c:pt idx="4">
                  <c:v>11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04-402A-9561-292AA6C48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85232"/>
        <c:axId val="78184688"/>
      </c:barChart>
      <c:catAx>
        <c:axId val="7818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4688"/>
        <c:crosses val="autoZero"/>
        <c:auto val="1"/>
        <c:lblAlgn val="ctr"/>
        <c:lblOffset val="100"/>
        <c:noMultiLvlLbl val="0"/>
      </c:catAx>
      <c:valAx>
        <c:axId val="7818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[CHS_MBA_Project_SEM_v2.xlsx]Charts_Providers!PivotTable4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Charts_Providers!$B$1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Charts_Providers!$A$2:$A$10</c:f>
              <c:strCache>
                <c:ptCount val="8"/>
                <c:pt idx="0">
                  <c:v>10-20</c:v>
                </c:pt>
                <c:pt idx="1">
                  <c:v>20-30</c:v>
                </c:pt>
                <c:pt idx="2">
                  <c:v>30 - 40</c:v>
                </c:pt>
                <c:pt idx="3">
                  <c:v>40 - 50</c:v>
                </c:pt>
                <c:pt idx="4">
                  <c:v>50-60</c:v>
                </c:pt>
                <c:pt idx="5">
                  <c:v>Less than 10</c:v>
                </c:pt>
                <c:pt idx="6">
                  <c:v>More than 60</c:v>
                </c:pt>
                <c:pt idx="7">
                  <c:v>(blank)</c:v>
                </c:pt>
              </c:strCache>
            </c:strRef>
          </c:cat>
          <c:val>
            <c:numRef>
              <c:f>Charts_Providers!$B$2:$B$10</c:f>
              <c:numCache>
                <c:formatCode>General</c:formatCode>
                <c:ptCount val="8"/>
                <c:pt idx="0">
                  <c:v>7</c:v>
                </c:pt>
                <c:pt idx="1">
                  <c:v>16</c:v>
                </c:pt>
                <c:pt idx="2">
                  <c:v>13</c:v>
                </c:pt>
                <c:pt idx="3">
                  <c:v>13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F93-42F3-B872-7DC5B0929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953728"/>
        <c:axId val="2048949376"/>
      </c:barChart>
      <c:catAx>
        <c:axId val="204895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949376"/>
        <c:crosses val="autoZero"/>
        <c:auto val="1"/>
        <c:lblAlgn val="ctr"/>
        <c:lblOffset val="100"/>
        <c:noMultiLvlLbl val="0"/>
      </c:catAx>
      <c:valAx>
        <c:axId val="204894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95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[CHS_MBA_Project_SEM_v2.xlsx]Charts_Providers!PivotTable6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Charts_Providers!$F$1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Charts_Providers!$E$2:$E$9</c:f>
              <c:strCache>
                <c:ptCount val="7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More than 50%</c:v>
                </c:pt>
                <c:pt idx="6">
                  <c:v>(blank)</c:v>
                </c:pt>
              </c:strCache>
            </c:strRef>
          </c:cat>
          <c:val>
            <c:numRef>
              <c:f>Charts_Providers!$F$2:$F$9</c:f>
              <c:numCache>
                <c:formatCode>General</c:formatCode>
                <c:ptCount val="7"/>
                <c:pt idx="0">
                  <c:v>20</c:v>
                </c:pt>
                <c:pt idx="1">
                  <c:v>18</c:v>
                </c:pt>
                <c:pt idx="2">
                  <c:v>9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5CA-43C5-BCF8-6867286EF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537168"/>
        <c:axId val="231523024"/>
      </c:barChart>
      <c:catAx>
        <c:axId val="23153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23024"/>
        <c:crosses val="autoZero"/>
        <c:auto val="1"/>
        <c:lblAlgn val="ctr"/>
        <c:lblOffset val="100"/>
        <c:noMultiLvlLbl val="0"/>
      </c:catAx>
      <c:valAx>
        <c:axId val="2315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3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1000-1500</c:v>
              </c:pt>
              <c:pt idx="1">
                <c:v>1500-2000</c:v>
              </c:pt>
              <c:pt idx="2">
                <c:v>2000-2500</c:v>
              </c:pt>
              <c:pt idx="3">
                <c:v>500-1000</c:v>
              </c:pt>
              <c:pt idx="4">
                <c:v>&lt;500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13</c:v>
              </c:pt>
              <c:pt idx="1">
                <c:v>7</c:v>
              </c:pt>
              <c:pt idx="2">
                <c:v>3</c:v>
              </c:pt>
              <c:pt idx="3">
                <c:v>18</c:v>
              </c:pt>
              <c:pt idx="4">
                <c:v>20</c:v>
              </c:pt>
              <c:pt idx="5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10-48C4-9E03-55A4DE2BA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536080"/>
        <c:axId val="231536624"/>
      </c:barChart>
      <c:catAx>
        <c:axId val="23153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36624"/>
        <c:crosses val="autoZero"/>
        <c:auto val="1"/>
        <c:lblAlgn val="ctr"/>
        <c:lblOffset val="100"/>
        <c:noMultiLvlLbl val="0"/>
      </c:catAx>
      <c:valAx>
        <c:axId val="2315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3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[CHS_MBA_Project_SEM_v2.xlsx]Charts_Providers!PivotTable8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Charts_Providers!$J$1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Charts_Providers!$I$2:$I$8</c:f>
              <c:strCache>
                <c:ptCount val="6"/>
                <c:pt idx="0">
                  <c:v>&lt; 500</c:v>
                </c:pt>
                <c:pt idx="1">
                  <c:v>1000-1500</c:v>
                </c:pt>
                <c:pt idx="2">
                  <c:v>1500-2000</c:v>
                </c:pt>
                <c:pt idx="3">
                  <c:v>2000-2500</c:v>
                </c:pt>
                <c:pt idx="4">
                  <c:v>500-1000</c:v>
                </c:pt>
                <c:pt idx="5">
                  <c:v>(blank)</c:v>
                </c:pt>
              </c:strCache>
            </c:strRef>
          </c:cat>
          <c:val>
            <c:numRef>
              <c:f>Charts_Providers!$J$2:$J$8</c:f>
              <c:numCache>
                <c:formatCode>General</c:formatCode>
                <c:ptCount val="6"/>
                <c:pt idx="0">
                  <c:v>20</c:v>
                </c:pt>
                <c:pt idx="1">
                  <c:v>13</c:v>
                </c:pt>
                <c:pt idx="2">
                  <c:v>7</c:v>
                </c:pt>
                <c:pt idx="3">
                  <c:v>3</c:v>
                </c:pt>
                <c:pt idx="4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7EC-4756-9748-7DB776EE8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532816"/>
        <c:axId val="231535536"/>
      </c:barChart>
      <c:catAx>
        <c:axId val="23153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35536"/>
        <c:crosses val="autoZero"/>
        <c:auto val="1"/>
        <c:lblAlgn val="ctr"/>
        <c:lblOffset val="100"/>
        <c:noMultiLvlLbl val="0"/>
      </c:catAx>
      <c:valAx>
        <c:axId val="2315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3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[CHS_MBA_Project_SEM_v2.xlsx]Charts_Patients!PivotTable10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Charts_Patients!$B$1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Charts_Patients!$A$2:$A$7</c:f>
              <c:strCache>
                <c:ptCount val="5"/>
                <c:pt idx="0">
                  <c:v>Four or More</c:v>
                </c:pt>
                <c:pt idx="1">
                  <c:v>None</c:v>
                </c:pt>
                <c:pt idx="2">
                  <c:v>One</c:v>
                </c:pt>
                <c:pt idx="3">
                  <c:v>Three</c:v>
                </c:pt>
                <c:pt idx="4">
                  <c:v>Two</c:v>
                </c:pt>
              </c:strCache>
            </c:strRef>
          </c:cat>
          <c:val>
            <c:numRef>
              <c:f>Charts_Patients!$B$2:$B$7</c:f>
              <c:numCache>
                <c:formatCode>General</c:formatCode>
                <c:ptCount val="5"/>
                <c:pt idx="0">
                  <c:v>4</c:v>
                </c:pt>
                <c:pt idx="1">
                  <c:v>32</c:v>
                </c:pt>
                <c:pt idx="2">
                  <c:v>56</c:v>
                </c:pt>
                <c:pt idx="3">
                  <c:v>2</c:v>
                </c:pt>
                <c:pt idx="4">
                  <c:v>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631-4BEF-BD5B-B423CAE95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532272"/>
        <c:axId val="231531728"/>
      </c:barChart>
      <c:catAx>
        <c:axId val="23153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31728"/>
        <c:crosses val="autoZero"/>
        <c:auto val="1"/>
        <c:lblAlgn val="ctr"/>
        <c:lblOffset val="100"/>
        <c:noMultiLvlLbl val="0"/>
      </c:catAx>
      <c:valAx>
        <c:axId val="23153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3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[CHS_MBA_Project_SEM_v2.xlsx]Charts_Patients!PivotTable11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Charts_Patients!$F$1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Charts_Patients!$E$2:$E$10</c:f>
              <c:strCache>
                <c:ptCount val="8"/>
                <c:pt idx="0">
                  <c:v>1000-2000</c:v>
                </c:pt>
                <c:pt idx="1">
                  <c:v>2000-3000</c:v>
                </c:pt>
                <c:pt idx="2">
                  <c:v>3000-5000</c:v>
                </c:pt>
                <c:pt idx="3">
                  <c:v>5000-8000</c:v>
                </c:pt>
                <c:pt idx="4">
                  <c:v>8000-10000</c:v>
                </c:pt>
                <c:pt idx="5">
                  <c:v>Less than 1000</c:v>
                </c:pt>
                <c:pt idx="6">
                  <c:v>More than 10,000</c:v>
                </c:pt>
                <c:pt idx="7">
                  <c:v>(blank)</c:v>
                </c:pt>
              </c:strCache>
            </c:strRef>
          </c:cat>
          <c:val>
            <c:numRef>
              <c:f>Charts_Patients!$F$2:$F$10</c:f>
              <c:numCache>
                <c:formatCode>General</c:formatCode>
                <c:ptCount val="8"/>
                <c:pt idx="0">
                  <c:v>17</c:v>
                </c:pt>
                <c:pt idx="1">
                  <c:v>11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72</c:v>
                </c:pt>
                <c:pt idx="6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D7-4131-89F5-2C3F95DC5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533360"/>
        <c:axId val="231530640"/>
      </c:barChart>
      <c:catAx>
        <c:axId val="23153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30640"/>
        <c:crosses val="autoZero"/>
        <c:auto val="1"/>
        <c:lblAlgn val="ctr"/>
        <c:lblOffset val="100"/>
        <c:noMultiLvlLbl val="0"/>
      </c:catAx>
      <c:valAx>
        <c:axId val="2315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3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[CHS_MBA_Project_SEM_v2.xlsx]Charts_Patients!PivotTable12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Charts_Patients!$J$1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Charts_Patients!$I$2:$I$8</c:f>
              <c:strCache>
                <c:ptCount val="6"/>
                <c:pt idx="0">
                  <c:v>Four or More</c:v>
                </c:pt>
                <c:pt idx="1">
                  <c:v>None</c:v>
                </c:pt>
                <c:pt idx="2">
                  <c:v>One</c:v>
                </c:pt>
                <c:pt idx="3">
                  <c:v>Three</c:v>
                </c:pt>
                <c:pt idx="4">
                  <c:v>Two</c:v>
                </c:pt>
                <c:pt idx="5">
                  <c:v>(blank)</c:v>
                </c:pt>
              </c:strCache>
            </c:strRef>
          </c:cat>
          <c:val>
            <c:numRef>
              <c:f>Charts_Patients!$J$2:$J$8</c:f>
              <c:numCache>
                <c:formatCode>General</c:formatCode>
                <c:ptCount val="6"/>
                <c:pt idx="0">
                  <c:v>13</c:v>
                </c:pt>
                <c:pt idx="1">
                  <c:v>35</c:v>
                </c:pt>
                <c:pt idx="2">
                  <c:v>32</c:v>
                </c:pt>
                <c:pt idx="3">
                  <c:v>15</c:v>
                </c:pt>
                <c:pt idx="4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FF-41D4-81BF-C0E86E991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525200"/>
        <c:axId val="231525744"/>
      </c:barChart>
      <c:catAx>
        <c:axId val="23152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25744"/>
        <c:crosses val="autoZero"/>
        <c:auto val="1"/>
        <c:lblAlgn val="ctr"/>
        <c:lblOffset val="100"/>
        <c:noMultiLvlLbl val="0"/>
      </c:catAx>
      <c:valAx>
        <c:axId val="23152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2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Assumptions_charts!$C$2</c:f>
              <c:strCache>
                <c:ptCount val="1"/>
                <c:pt idx="0">
                  <c:v>CHS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Assumptions_charts!$D$2:$W$2</c:f>
              <c:numCache>
                <c:formatCode>_(* #,##0_);_(* \(#,##0\);_(* "-"??_);_(@_)</c:formatCode>
                <c:ptCount val="20"/>
                <c:pt idx="0">
                  <c:v>177342.77341076403</c:v>
                </c:pt>
                <c:pt idx="1">
                  <c:v>231259.44055386493</c:v>
                </c:pt>
                <c:pt idx="2">
                  <c:v>301674.87593572726</c:v>
                </c:pt>
                <c:pt idx="3">
                  <c:v>394869.26721546939</c:v>
                </c:pt>
                <c:pt idx="4">
                  <c:v>511162.12576600176</c:v>
                </c:pt>
                <c:pt idx="5">
                  <c:v>634310.72314556967</c:v>
                </c:pt>
                <c:pt idx="6">
                  <c:v>787356.85010288889</c:v>
                </c:pt>
                <c:pt idx="7">
                  <c:v>977624.70745629398</c:v>
                </c:pt>
                <c:pt idx="8">
                  <c:v>1214251.5675948102</c:v>
                </c:pt>
                <c:pt idx="9">
                  <c:v>1508641.9291877162</c:v>
                </c:pt>
                <c:pt idx="10">
                  <c:v>1793513.5880530237</c:v>
                </c:pt>
                <c:pt idx="11">
                  <c:v>2132920.0278452872</c:v>
                </c:pt>
                <c:pt idx="12">
                  <c:v>2537471.7588253319</c:v>
                </c:pt>
                <c:pt idx="13">
                  <c:v>3019882.388051053</c:v>
                </c:pt>
                <c:pt idx="14">
                  <c:v>3595394.1120678</c:v>
                </c:pt>
                <c:pt idx="15">
                  <c:v>4087641.5919826301</c:v>
                </c:pt>
                <c:pt idx="16">
                  <c:v>4649196.9509116095</c:v>
                </c:pt>
                <c:pt idx="17">
                  <c:v>5290144.7598523488</c:v>
                </c:pt>
                <c:pt idx="18">
                  <c:v>6022091.1009162068</c:v>
                </c:pt>
                <c:pt idx="19">
                  <c:v>6858401.8507098295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D72-4F6D-AF1E-F18A542C746C}"/>
            </c:ext>
          </c:extLst>
        </c:ser>
        <c:ser>
          <c:idx val="1"/>
          <c:order val="1"/>
          <c:tx>
            <c:strRef>
              <c:f>Assumptions_charts!$C$3</c:f>
              <c:strCache>
                <c:ptCount val="1"/>
                <c:pt idx="0">
                  <c:v>Competitor Labs (Lower Limit)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Assumptions_charts!$D$3:$W$3</c:f>
              <c:numCache>
                <c:formatCode>#,##0</c:formatCode>
                <c:ptCount val="20"/>
                <c:pt idx="0">
                  <c:v>1440000</c:v>
                </c:pt>
                <c:pt idx="1">
                  <c:v>1584000</c:v>
                </c:pt>
                <c:pt idx="2">
                  <c:v>1742400</c:v>
                </c:pt>
                <c:pt idx="3">
                  <c:v>1916640</c:v>
                </c:pt>
                <c:pt idx="4">
                  <c:v>2108304</c:v>
                </c:pt>
                <c:pt idx="5">
                  <c:v>2319134</c:v>
                </c:pt>
                <c:pt idx="6">
                  <c:v>2551048</c:v>
                </c:pt>
                <c:pt idx="7">
                  <c:v>2806153</c:v>
                </c:pt>
                <c:pt idx="8">
                  <c:v>3086768</c:v>
                </c:pt>
                <c:pt idx="9">
                  <c:v>3395445</c:v>
                </c:pt>
                <c:pt idx="10">
                  <c:v>3734989</c:v>
                </c:pt>
                <c:pt idx="11">
                  <c:v>4108488</c:v>
                </c:pt>
                <c:pt idx="12">
                  <c:v>4519337</c:v>
                </c:pt>
                <c:pt idx="13">
                  <c:v>4971271</c:v>
                </c:pt>
                <c:pt idx="14">
                  <c:v>5468398</c:v>
                </c:pt>
                <c:pt idx="15">
                  <c:v>6015237</c:v>
                </c:pt>
                <c:pt idx="16">
                  <c:v>6616761</c:v>
                </c:pt>
                <c:pt idx="17">
                  <c:v>7278437</c:v>
                </c:pt>
                <c:pt idx="18">
                  <c:v>8006281</c:v>
                </c:pt>
                <c:pt idx="19">
                  <c:v>8806909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D72-4F6D-AF1E-F18A542C746C}"/>
            </c:ext>
          </c:extLst>
        </c:ser>
        <c:ser>
          <c:idx val="2"/>
          <c:order val="2"/>
          <c:tx>
            <c:strRef>
              <c:f>Assumptions_charts!$C$4</c:f>
              <c:strCache>
                <c:ptCount val="1"/>
                <c:pt idx="0">
                  <c:v>Competitor Labs (Average)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Assumptions_charts!$D$4:$W$4</c:f>
              <c:numCache>
                <c:formatCode>#,##0</c:formatCode>
                <c:ptCount val="20"/>
                <c:pt idx="0">
                  <c:v>1890000</c:v>
                </c:pt>
                <c:pt idx="1">
                  <c:v>2079000</c:v>
                </c:pt>
                <c:pt idx="2">
                  <c:v>2286900</c:v>
                </c:pt>
                <c:pt idx="3">
                  <c:v>2515590</c:v>
                </c:pt>
                <c:pt idx="4">
                  <c:v>2767149</c:v>
                </c:pt>
                <c:pt idx="5">
                  <c:v>3043864</c:v>
                </c:pt>
                <c:pt idx="6">
                  <c:v>3348250</c:v>
                </c:pt>
                <c:pt idx="7">
                  <c:v>3683075</c:v>
                </c:pt>
                <c:pt idx="8">
                  <c:v>4051383</c:v>
                </c:pt>
                <c:pt idx="9">
                  <c:v>4456521</c:v>
                </c:pt>
                <c:pt idx="10">
                  <c:v>4902173</c:v>
                </c:pt>
                <c:pt idx="11">
                  <c:v>5392391</c:v>
                </c:pt>
                <c:pt idx="12">
                  <c:v>5931630</c:v>
                </c:pt>
                <c:pt idx="13">
                  <c:v>6524793</c:v>
                </c:pt>
                <c:pt idx="14">
                  <c:v>7177272</c:v>
                </c:pt>
                <c:pt idx="15">
                  <c:v>7894999</c:v>
                </c:pt>
                <c:pt idx="16">
                  <c:v>8684499</c:v>
                </c:pt>
                <c:pt idx="17">
                  <c:v>9552949</c:v>
                </c:pt>
                <c:pt idx="18">
                  <c:v>10508244</c:v>
                </c:pt>
                <c:pt idx="19">
                  <c:v>11559068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D72-4F6D-AF1E-F18A542C746C}"/>
            </c:ext>
          </c:extLst>
        </c:ser>
        <c:ser>
          <c:idx val="3"/>
          <c:order val="3"/>
          <c:tx>
            <c:strRef>
              <c:f>Assumptions_charts!$C$5</c:f>
              <c:strCache>
                <c:ptCount val="1"/>
                <c:pt idx="0">
                  <c:v>Competitor Labs (Higher Limit)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Assumptions_charts!$D$5:$W$5</c:f>
              <c:numCache>
                <c:formatCode>#,##0</c:formatCode>
                <c:ptCount val="20"/>
                <c:pt idx="0">
                  <c:v>2400000</c:v>
                </c:pt>
                <c:pt idx="1">
                  <c:v>2640000</c:v>
                </c:pt>
                <c:pt idx="2">
                  <c:v>2904000</c:v>
                </c:pt>
                <c:pt idx="3">
                  <c:v>3194400</c:v>
                </c:pt>
                <c:pt idx="4">
                  <c:v>3513840</c:v>
                </c:pt>
                <c:pt idx="5">
                  <c:v>3865224</c:v>
                </c:pt>
                <c:pt idx="6">
                  <c:v>4251746</c:v>
                </c:pt>
                <c:pt idx="7">
                  <c:v>4676921</c:v>
                </c:pt>
                <c:pt idx="8">
                  <c:v>5144613</c:v>
                </c:pt>
                <c:pt idx="9">
                  <c:v>5659074</c:v>
                </c:pt>
                <c:pt idx="10">
                  <c:v>6224982</c:v>
                </c:pt>
                <c:pt idx="11">
                  <c:v>6847480</c:v>
                </c:pt>
                <c:pt idx="12">
                  <c:v>7532228</c:v>
                </c:pt>
                <c:pt idx="13">
                  <c:v>8285451</c:v>
                </c:pt>
                <c:pt idx="14">
                  <c:v>9113996</c:v>
                </c:pt>
                <c:pt idx="15">
                  <c:v>10025396</c:v>
                </c:pt>
                <c:pt idx="16">
                  <c:v>11027935</c:v>
                </c:pt>
                <c:pt idx="17">
                  <c:v>12130729</c:v>
                </c:pt>
                <c:pt idx="18">
                  <c:v>13343802</c:v>
                </c:pt>
                <c:pt idx="19">
                  <c:v>14678182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D72-4F6D-AF1E-F18A542C7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526832"/>
        <c:axId val="231528464"/>
      </c:lineChart>
      <c:catAx>
        <c:axId val="231526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28464"/>
        <c:crosses val="autoZero"/>
        <c:auto val="1"/>
        <c:lblAlgn val="ctr"/>
        <c:lblOffset val="100"/>
        <c:noMultiLvlLbl val="0"/>
      </c:catAx>
      <c:valAx>
        <c:axId val="23152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MOnthy Revenue (PKR)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2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163285</xdr:rowOff>
    </xdr:from>
    <xdr:to>
      <xdr:col>2</xdr:col>
      <xdr:colOff>81643</xdr:colOff>
      <xdr:row>29</xdr:row>
      <xdr:rowOff>122463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2BEDB4F-FA78-417A-A303-70E5CE820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19049</xdr:colOff>
      <xdr:row>10</xdr:row>
      <xdr:rowOff>10883</xdr:rowOff>
    </xdr:from>
    <xdr:to>
      <xdr:col>5</xdr:col>
      <xdr:colOff>27214</xdr:colOff>
      <xdr:row>31</xdr:row>
      <xdr:rowOff>13606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864510A-88A5-4534-B42E-1659901CE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11205</xdr:rowOff>
    </xdr:from>
    <xdr:to>
      <xdr:col>1</xdr:col>
      <xdr:colOff>3574677</xdr:colOff>
      <xdr:row>27</xdr:row>
      <xdr:rowOff>6723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1FABF00-94F7-4152-B0D2-60E8D7E0D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33618</xdr:colOff>
      <xdr:row>7</xdr:row>
      <xdr:rowOff>107577</xdr:rowOff>
    </xdr:from>
    <xdr:to>
      <xdr:col>6</xdr:col>
      <xdr:colOff>11205</xdr:colOff>
      <xdr:row>25</xdr:row>
      <xdr:rowOff>26894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87499E16-362A-43E9-BDC1-47F96742F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565898</xdr:colOff>
      <xdr:row>7</xdr:row>
      <xdr:rowOff>152401</xdr:rowOff>
    </xdr:from>
    <xdr:to>
      <xdr:col>8</xdr:col>
      <xdr:colOff>0</xdr:colOff>
      <xdr:row>25</xdr:row>
      <xdr:rowOff>71718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4AAB965F-1335-4117-B07E-945D97965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39219</xdr:colOff>
      <xdr:row>8</xdr:row>
      <xdr:rowOff>6723</xdr:rowOff>
    </xdr:from>
    <xdr:to>
      <xdr:col>10</xdr:col>
      <xdr:colOff>33617</xdr:colOff>
      <xdr:row>25</xdr:row>
      <xdr:rowOff>82923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62D2669E-1919-4B9F-86AB-FE7514BA2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85725</xdr:rowOff>
    </xdr:from>
    <xdr:to>
      <xdr:col>1</xdr:col>
      <xdr:colOff>4867275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AAAC4A4-68F9-4401-84DC-130E9803A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571500</xdr:colOff>
      <xdr:row>9</xdr:row>
      <xdr:rowOff>152400</xdr:rowOff>
    </xdr:from>
    <xdr:to>
      <xdr:col>6</xdr:col>
      <xdr:colOff>28574</xdr:colOff>
      <xdr:row>26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36AAA647-9426-48A3-932B-CF057DC17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552450</xdr:colOff>
      <xdr:row>8</xdr:row>
      <xdr:rowOff>28575</xdr:rowOff>
    </xdr:from>
    <xdr:to>
      <xdr:col>10</xdr:col>
      <xdr:colOff>28575</xdr:colOff>
      <xdr:row>25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ECAF88C8-6449-44F3-86C0-AE20112C6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247650</xdr:colOff>
      <xdr:row>4</xdr:row>
      <xdr:rowOff>33337</xdr:rowOff>
    </xdr:from>
    <xdr:to>
      <xdr:col>19</xdr:col>
      <xdr:colOff>800100</xdr:colOff>
      <xdr:row>20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65E38121-C88D-4A3C-B1F4-77ACBCEEB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BA%20Project\Interviews_Revenue_Mod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BA%20Project\Interviews_Revenue_Model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BA%20Project\Interviews_Revenue_Model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BA%20Project\Interviews_Revenue_Model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BA%20Project\Interviews_Revenue_Model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BA%20Project\Interviews_Revenue_Model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BA%20Project\Interviews_Revenue_Model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BA%20Project\Interviews_Revenue_Model.xlsx" TargetMode="External"/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C" refreshedDate="43492.054585532409" createdVersion="6" refreshedVersion="6" minRefreshableVersion="3" recordCount="64">
  <cacheSource type="worksheet">
    <worksheetSource ref="J1:J1048576" sheet="Labs" r:id="rId2"/>
  </cacheSource>
  <cacheFields count="1">
    <cacheField name="On average how much does each patient spend during one visit" numFmtId="0">
      <sharedItems containsBlank="1" count="8">
        <s v="Less than 500"/>
        <s v="500-1000"/>
        <s v="More than 3,000"/>
        <s v="1000-1500"/>
        <s v="2500-3000"/>
        <s v="1500-2000"/>
        <s v="2000-25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BC" refreshedDate="43492.053845023147" createdVersion="6" refreshedVersion="6" minRefreshableVersion="3" recordCount="64">
  <cacheSource type="worksheet">
    <worksheetSource ref="H1:H1048576" sheet="Labs" r:id="rId2"/>
  </cacheSource>
  <cacheFields count="1">
    <cacheField name="How many daily clients come for lab tests in your branch?" numFmtId="0">
      <sharedItems containsBlank="1" count="8">
        <s v="Less than 10"/>
        <s v="More than 60"/>
        <s v="40-50"/>
        <s v="30-40"/>
        <s v="10-20"/>
        <s v="20-30"/>
        <s v="50-6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BC" refreshedDate="43492.058744560185" createdVersion="6" refreshedVersion="6" minRefreshableVersion="3" recordCount="62">
  <cacheSource type="worksheet">
    <worksheetSource ref="K1:K1048576" sheet="Providers" r:id="rId2"/>
  </cacheSource>
  <cacheFields count="1">
    <cacheField name="What percentage of patients are prescribed lab tests?" numFmtId="0">
      <sharedItems containsBlank="1" count="7">
        <s v="10-20%"/>
        <s v="0-10%"/>
        <s v="20-30%"/>
        <s v="30-40%"/>
        <s v="40-50%"/>
        <s v="More than 50%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BC" refreshedDate="43492.057294675928" createdVersion="6" refreshedVersion="6" minRefreshableVersion="3" recordCount="62">
  <cacheSource type="worksheet">
    <worksheetSource ref="H1:H1048576" sheet="Providers" r:id="rId2"/>
  </cacheSource>
  <cacheFields count="1">
    <cacheField name="Daily Average OPD" numFmtId="0">
      <sharedItems containsBlank="1" count="8">
        <s v="10-20"/>
        <s v="30 - 40"/>
        <s v="40 - 50"/>
        <s v="50-60"/>
        <s v="20-30"/>
        <s v="More than 60"/>
        <s v="Less than 1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BC" refreshedDate="43492.061374537036" createdVersion="6" refreshedVersion="6" minRefreshableVersion="3" recordCount="62">
  <cacheSource type="worksheet">
    <worksheetSource ref="P1:P1048576" sheet="Providers" r:id="rId2"/>
  </cacheSource>
  <cacheFields count="1">
    <cacheField name="On average how much does each patient spend on lab tests in your clinic?" numFmtId="0">
      <sharedItems containsBlank="1" count="6">
        <s v="2000-2500"/>
        <s v="&lt; 500"/>
        <s v="1000-1500"/>
        <s v="500-1000"/>
        <s v="1500-2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BC" refreshedDate="43492.067986111113" createdVersion="6" refreshedVersion="6" minRefreshableVersion="3" recordCount="112">
  <cacheSource type="worksheet">
    <worksheetSource ref="L1:L1048576" sheet="Patients" r:id="rId2"/>
  </cacheSource>
  <cacheFields count="1">
    <cacheField name="How many tests were done last month.?" numFmtId="0">
      <sharedItems containsBlank="1" count="6">
        <s v="None"/>
        <s v="Four or More"/>
        <s v="One"/>
        <s v="Two"/>
        <s v="Thre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BC" refreshedDate="43492.066360416669" createdVersion="6" refreshedVersion="6" minRefreshableVersion="3" recordCount="112">
  <cacheSource type="worksheet">
    <worksheetSource ref="M1:M1048576" sheet="Patients" r:id="rId2"/>
  </cacheSource>
  <cacheFields count="1">
    <cacheField name="Total spending on lab tests in past one month" numFmtId="0">
      <sharedItems containsBlank="1" count="8">
        <s v="Less than 1000"/>
        <s v="2000-3000"/>
        <s v="5000-8000"/>
        <s v="1000-2000"/>
        <s v="3000-5000"/>
        <s v="More than 10,000"/>
        <s v="8000-10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ABC" refreshedDate="43492.065479050929" createdVersion="6" refreshedVersion="6" minRefreshableVersion="3" recordCount="111">
  <cacheSource type="worksheet">
    <worksheetSource ref="K1:K112" sheet="Patients" r:id="rId2"/>
  </cacheSource>
  <cacheFields count="1">
    <cacheField name="Total family members have had a lab test in past one month (incl self)" numFmtId="0">
      <sharedItems count="5">
        <s v="One"/>
        <s v="Two"/>
        <s v="None"/>
        <s v="Four or More"/>
        <s v="Thre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</r>
  <r>
    <x v="1"/>
  </r>
  <r>
    <x v="1"/>
  </r>
  <r>
    <x v="2"/>
  </r>
  <r>
    <x v="3"/>
  </r>
  <r>
    <x v="3"/>
  </r>
  <r>
    <x v="0"/>
  </r>
  <r>
    <x v="4"/>
  </r>
  <r>
    <x v="0"/>
  </r>
  <r>
    <x v="3"/>
  </r>
  <r>
    <x v="3"/>
  </r>
  <r>
    <x v="3"/>
  </r>
  <r>
    <x v="4"/>
  </r>
  <r>
    <x v="1"/>
  </r>
  <r>
    <x v="3"/>
  </r>
  <r>
    <x v="3"/>
  </r>
  <r>
    <x v="1"/>
  </r>
  <r>
    <x v="3"/>
  </r>
  <r>
    <x v="5"/>
  </r>
  <r>
    <x v="6"/>
  </r>
  <r>
    <x v="4"/>
  </r>
  <r>
    <x v="3"/>
  </r>
  <r>
    <x v="5"/>
  </r>
  <r>
    <x v="3"/>
  </r>
  <r>
    <x v="5"/>
  </r>
  <r>
    <x v="3"/>
  </r>
  <r>
    <x v="3"/>
  </r>
  <r>
    <x v="3"/>
  </r>
  <r>
    <x v="3"/>
  </r>
  <r>
    <x v="3"/>
  </r>
  <r>
    <x v="5"/>
  </r>
  <r>
    <x v="1"/>
  </r>
  <r>
    <x v="1"/>
  </r>
  <r>
    <x v="1"/>
  </r>
  <r>
    <x v="1"/>
  </r>
  <r>
    <x v="3"/>
  </r>
  <r>
    <x v="1"/>
  </r>
  <r>
    <x v="5"/>
  </r>
  <r>
    <x v="3"/>
  </r>
  <r>
    <x v="3"/>
  </r>
  <r>
    <x v="6"/>
  </r>
  <r>
    <x v="5"/>
  </r>
  <r>
    <x v="5"/>
  </r>
  <r>
    <x v="1"/>
  </r>
  <r>
    <x v="3"/>
  </r>
  <r>
    <x v="2"/>
  </r>
  <r>
    <x v="3"/>
  </r>
  <r>
    <x v="3"/>
  </r>
  <r>
    <x v="3"/>
  </r>
  <r>
    <x v="1"/>
  </r>
  <r>
    <x v="4"/>
  </r>
  <r>
    <x v="5"/>
  </r>
  <r>
    <x v="5"/>
  </r>
  <r>
    <x v="5"/>
  </r>
  <r>
    <x v="3"/>
  </r>
  <r>
    <x v="3"/>
  </r>
  <r>
    <x v="3"/>
  </r>
  <r>
    <x v="6"/>
  </r>
  <r>
    <x v="5"/>
  </r>
  <r>
    <x v="4"/>
  </r>
  <r>
    <x v="5"/>
  </r>
  <r>
    <x v="5"/>
  </r>
  <r>
    <x v="7"/>
  </r>
  <r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">
  <r>
    <x v="0"/>
  </r>
  <r>
    <x v="1"/>
  </r>
  <r>
    <x v="2"/>
  </r>
  <r>
    <x v="1"/>
  </r>
  <r>
    <x v="1"/>
  </r>
  <r>
    <x v="3"/>
  </r>
  <r>
    <x v="2"/>
  </r>
  <r>
    <x v="3"/>
  </r>
  <r>
    <x v="3"/>
  </r>
  <r>
    <x v="4"/>
  </r>
  <r>
    <x v="1"/>
  </r>
  <r>
    <x v="1"/>
  </r>
  <r>
    <x v="1"/>
  </r>
  <r>
    <x v="5"/>
  </r>
  <r>
    <x v="5"/>
  </r>
  <r>
    <x v="6"/>
  </r>
  <r>
    <x v="3"/>
  </r>
  <r>
    <x v="2"/>
  </r>
  <r>
    <x v="5"/>
  </r>
  <r>
    <x v="3"/>
  </r>
  <r>
    <x v="5"/>
  </r>
  <r>
    <x v="3"/>
  </r>
  <r>
    <x v="2"/>
  </r>
  <r>
    <x v="3"/>
  </r>
  <r>
    <x v="2"/>
  </r>
  <r>
    <x v="5"/>
  </r>
  <r>
    <x v="4"/>
  </r>
  <r>
    <x v="1"/>
  </r>
  <r>
    <x v="6"/>
  </r>
  <r>
    <x v="1"/>
  </r>
  <r>
    <x v="3"/>
  </r>
  <r>
    <x v="4"/>
  </r>
  <r>
    <x v="4"/>
  </r>
  <r>
    <x v="4"/>
  </r>
  <r>
    <x v="4"/>
  </r>
  <r>
    <x v="5"/>
  </r>
  <r>
    <x v="5"/>
  </r>
  <r>
    <x v="3"/>
  </r>
  <r>
    <x v="4"/>
  </r>
  <r>
    <x v="0"/>
  </r>
  <r>
    <x v="6"/>
  </r>
  <r>
    <x v="6"/>
  </r>
  <r>
    <x v="0"/>
  </r>
  <r>
    <x v="2"/>
  </r>
  <r>
    <x v="1"/>
  </r>
  <r>
    <x v="1"/>
  </r>
  <r>
    <x v="4"/>
  </r>
  <r>
    <x v="1"/>
  </r>
  <r>
    <x v="2"/>
  </r>
  <r>
    <x v="1"/>
  </r>
  <r>
    <x v="2"/>
  </r>
  <r>
    <x v="4"/>
  </r>
  <r>
    <x v="6"/>
  </r>
  <r>
    <x v="5"/>
  </r>
  <r>
    <x v="5"/>
  </r>
  <r>
    <x v="6"/>
  </r>
  <r>
    <x v="1"/>
  </r>
  <r>
    <x v="3"/>
  </r>
  <r>
    <x v="1"/>
  </r>
  <r>
    <x v="6"/>
  </r>
  <r>
    <x v="6"/>
  </r>
  <r>
    <x v="3"/>
  </r>
  <r>
    <x v="7"/>
  </r>
  <r>
    <x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2">
  <r>
    <x v="0"/>
  </r>
  <r>
    <x v="1"/>
  </r>
  <r>
    <x v="1"/>
  </r>
  <r>
    <x v="2"/>
  </r>
  <r>
    <x v="3"/>
  </r>
  <r>
    <x v="0"/>
  </r>
  <r>
    <x v="4"/>
  </r>
  <r>
    <x v="1"/>
  </r>
  <r>
    <x v="4"/>
  </r>
  <r>
    <x v="1"/>
  </r>
  <r>
    <x v="4"/>
  </r>
  <r>
    <x v="1"/>
  </r>
  <r>
    <x v="1"/>
  </r>
  <r>
    <x v="0"/>
  </r>
  <r>
    <x v="0"/>
  </r>
  <r>
    <x v="1"/>
  </r>
  <r>
    <x v="3"/>
  </r>
  <r>
    <x v="4"/>
  </r>
  <r>
    <x v="1"/>
  </r>
  <r>
    <x v="0"/>
  </r>
  <r>
    <x v="1"/>
  </r>
  <r>
    <x v="1"/>
  </r>
  <r>
    <x v="3"/>
  </r>
  <r>
    <x v="1"/>
  </r>
  <r>
    <x v="5"/>
  </r>
  <r>
    <x v="0"/>
  </r>
  <r>
    <x v="3"/>
  </r>
  <r>
    <x v="0"/>
  </r>
  <r>
    <x v="1"/>
  </r>
  <r>
    <x v="0"/>
  </r>
  <r>
    <x v="1"/>
  </r>
  <r>
    <x v="0"/>
  </r>
  <r>
    <x v="3"/>
  </r>
  <r>
    <x v="2"/>
  </r>
  <r>
    <x v="3"/>
  </r>
  <r>
    <x v="0"/>
  </r>
  <r>
    <x v="1"/>
  </r>
  <r>
    <x v="5"/>
  </r>
  <r>
    <x v="0"/>
  </r>
  <r>
    <x v="2"/>
  </r>
  <r>
    <x v="0"/>
  </r>
  <r>
    <x v="2"/>
  </r>
  <r>
    <x v="0"/>
  </r>
  <r>
    <x v="0"/>
  </r>
  <r>
    <x v="0"/>
  </r>
  <r>
    <x v="2"/>
  </r>
  <r>
    <x v="1"/>
  </r>
  <r>
    <x v="0"/>
  </r>
  <r>
    <x v="1"/>
  </r>
  <r>
    <x v="1"/>
  </r>
  <r>
    <x v="1"/>
  </r>
  <r>
    <x v="0"/>
  </r>
  <r>
    <x v="2"/>
  </r>
  <r>
    <x v="2"/>
  </r>
  <r>
    <x v="0"/>
  </r>
  <r>
    <x v="2"/>
  </r>
  <r>
    <x v="5"/>
  </r>
  <r>
    <x v="2"/>
  </r>
  <r>
    <x v="1"/>
  </r>
  <r>
    <x v="3"/>
  </r>
  <r>
    <x v="1"/>
  </r>
  <r>
    <x v="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62">
  <r>
    <x v="0"/>
  </r>
  <r>
    <x v="0"/>
  </r>
  <r>
    <x v="1"/>
  </r>
  <r>
    <x v="2"/>
  </r>
  <r>
    <x v="2"/>
  </r>
  <r>
    <x v="2"/>
  </r>
  <r>
    <x v="3"/>
  </r>
  <r>
    <x v="1"/>
  </r>
  <r>
    <x v="2"/>
  </r>
  <r>
    <x v="3"/>
  </r>
  <r>
    <x v="4"/>
  </r>
  <r>
    <x v="2"/>
  </r>
  <r>
    <x v="5"/>
  </r>
  <r>
    <x v="3"/>
  </r>
  <r>
    <x v="3"/>
  </r>
  <r>
    <x v="2"/>
  </r>
  <r>
    <x v="4"/>
  </r>
  <r>
    <x v="5"/>
  </r>
  <r>
    <x v="2"/>
  </r>
  <r>
    <x v="1"/>
  </r>
  <r>
    <x v="0"/>
  </r>
  <r>
    <x v="1"/>
  </r>
  <r>
    <x v="5"/>
  </r>
  <r>
    <x v="0"/>
  </r>
  <r>
    <x v="1"/>
  </r>
  <r>
    <x v="1"/>
  </r>
  <r>
    <x v="1"/>
  </r>
  <r>
    <x v="4"/>
  </r>
  <r>
    <x v="6"/>
  </r>
  <r>
    <x v="1"/>
  </r>
  <r>
    <x v="4"/>
  </r>
  <r>
    <x v="4"/>
  </r>
  <r>
    <x v="2"/>
  </r>
  <r>
    <x v="2"/>
  </r>
  <r>
    <x v="1"/>
  </r>
  <r>
    <x v="2"/>
  </r>
  <r>
    <x v="2"/>
  </r>
  <r>
    <x v="4"/>
  </r>
  <r>
    <x v="4"/>
  </r>
  <r>
    <x v="4"/>
  </r>
  <r>
    <x v="1"/>
  </r>
  <r>
    <x v="4"/>
  </r>
  <r>
    <x v="4"/>
  </r>
  <r>
    <x v="2"/>
  </r>
  <r>
    <x v="4"/>
  </r>
  <r>
    <x v="4"/>
  </r>
  <r>
    <x v="2"/>
  </r>
  <r>
    <x v="1"/>
  </r>
  <r>
    <x v="4"/>
  </r>
  <r>
    <x v="6"/>
  </r>
  <r>
    <x v="0"/>
  </r>
  <r>
    <x v="0"/>
  </r>
  <r>
    <x v="0"/>
  </r>
  <r>
    <x v="6"/>
  </r>
  <r>
    <x v="1"/>
  </r>
  <r>
    <x v="1"/>
  </r>
  <r>
    <x v="6"/>
  </r>
  <r>
    <x v="4"/>
  </r>
  <r>
    <x v="4"/>
  </r>
  <r>
    <x v="4"/>
  </r>
  <r>
    <x v="6"/>
  </r>
  <r>
    <x v="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62">
  <r>
    <x v="0"/>
  </r>
  <r>
    <x v="1"/>
  </r>
  <r>
    <x v="1"/>
  </r>
  <r>
    <x v="2"/>
  </r>
  <r>
    <x v="3"/>
  </r>
  <r>
    <x v="4"/>
  </r>
  <r>
    <x v="1"/>
  </r>
  <r>
    <x v="3"/>
  </r>
  <r>
    <x v="3"/>
  </r>
  <r>
    <x v="1"/>
  </r>
  <r>
    <x v="2"/>
  </r>
  <r>
    <x v="3"/>
  </r>
  <r>
    <x v="1"/>
  </r>
  <r>
    <x v="1"/>
  </r>
  <r>
    <x v="1"/>
  </r>
  <r>
    <x v="1"/>
  </r>
  <r>
    <x v="3"/>
  </r>
  <r>
    <x v="3"/>
  </r>
  <r>
    <x v="1"/>
  </r>
  <r>
    <x v="3"/>
  </r>
  <r>
    <x v="2"/>
  </r>
  <r>
    <x v="2"/>
  </r>
  <r>
    <x v="3"/>
  </r>
  <r>
    <x v="1"/>
  </r>
  <r>
    <x v="3"/>
  </r>
  <r>
    <x v="1"/>
  </r>
  <r>
    <x v="4"/>
  </r>
  <r>
    <x v="2"/>
  </r>
  <r>
    <x v="3"/>
  </r>
  <r>
    <x v="3"/>
  </r>
  <r>
    <x v="3"/>
  </r>
  <r>
    <x v="2"/>
  </r>
  <r>
    <x v="2"/>
  </r>
  <r>
    <x v="4"/>
  </r>
  <r>
    <x v="3"/>
  </r>
  <r>
    <x v="3"/>
  </r>
  <r>
    <x v="1"/>
  </r>
  <r>
    <x v="1"/>
  </r>
  <r>
    <x v="2"/>
  </r>
  <r>
    <x v="4"/>
  </r>
  <r>
    <x v="2"/>
  </r>
  <r>
    <x v="4"/>
  </r>
  <r>
    <x v="2"/>
  </r>
  <r>
    <x v="2"/>
  </r>
  <r>
    <x v="1"/>
  </r>
  <r>
    <x v="3"/>
  </r>
  <r>
    <x v="1"/>
  </r>
  <r>
    <x v="1"/>
  </r>
  <r>
    <x v="1"/>
  </r>
  <r>
    <x v="1"/>
  </r>
  <r>
    <x v="1"/>
  </r>
  <r>
    <x v="4"/>
  </r>
  <r>
    <x v="3"/>
  </r>
  <r>
    <x v="0"/>
  </r>
  <r>
    <x v="3"/>
  </r>
  <r>
    <x v="2"/>
  </r>
  <r>
    <x v="2"/>
  </r>
  <r>
    <x v="4"/>
  </r>
  <r>
    <x v="1"/>
  </r>
  <r>
    <x v="0"/>
  </r>
  <r>
    <x v="3"/>
  </r>
  <r>
    <x v="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12">
  <r>
    <x v="0"/>
  </r>
  <r>
    <x v="1"/>
  </r>
  <r>
    <x v="2"/>
  </r>
  <r>
    <x v="0"/>
  </r>
  <r>
    <x v="0"/>
  </r>
  <r>
    <x v="0"/>
  </r>
  <r>
    <x v="3"/>
  </r>
  <r>
    <x v="0"/>
  </r>
  <r>
    <x v="2"/>
  </r>
  <r>
    <x v="1"/>
  </r>
  <r>
    <x v="2"/>
  </r>
  <r>
    <x v="2"/>
  </r>
  <r>
    <x v="1"/>
  </r>
  <r>
    <x v="2"/>
  </r>
  <r>
    <x v="1"/>
  </r>
  <r>
    <x v="3"/>
  </r>
  <r>
    <x v="0"/>
  </r>
  <r>
    <x v="2"/>
  </r>
  <r>
    <x v="2"/>
  </r>
  <r>
    <x v="4"/>
  </r>
  <r>
    <x v="2"/>
  </r>
  <r>
    <x v="0"/>
  </r>
  <r>
    <x v="0"/>
  </r>
  <r>
    <x v="2"/>
  </r>
  <r>
    <x v="4"/>
  </r>
  <r>
    <x v="3"/>
  </r>
  <r>
    <x v="0"/>
  </r>
  <r>
    <x v="2"/>
  </r>
  <r>
    <x v="2"/>
  </r>
  <r>
    <x v="2"/>
  </r>
  <r>
    <x v="3"/>
  </r>
  <r>
    <x v="0"/>
  </r>
  <r>
    <x v="2"/>
  </r>
  <r>
    <x v="2"/>
  </r>
  <r>
    <x v="3"/>
  </r>
  <r>
    <x v="0"/>
  </r>
  <r>
    <x v="0"/>
  </r>
  <r>
    <x v="3"/>
  </r>
  <r>
    <x v="3"/>
  </r>
  <r>
    <x v="1"/>
  </r>
  <r>
    <x v="2"/>
  </r>
  <r>
    <x v="3"/>
  </r>
  <r>
    <x v="2"/>
  </r>
  <r>
    <x v="0"/>
  </r>
  <r>
    <x v="1"/>
  </r>
  <r>
    <x v="2"/>
  </r>
  <r>
    <x v="0"/>
  </r>
  <r>
    <x v="0"/>
  </r>
  <r>
    <x v="4"/>
  </r>
  <r>
    <x v="4"/>
  </r>
  <r>
    <x v="4"/>
  </r>
  <r>
    <x v="3"/>
  </r>
  <r>
    <x v="0"/>
  </r>
  <r>
    <x v="0"/>
  </r>
  <r>
    <x v="3"/>
  </r>
  <r>
    <x v="2"/>
  </r>
  <r>
    <x v="2"/>
  </r>
  <r>
    <x v="0"/>
  </r>
  <r>
    <x v="0"/>
  </r>
  <r>
    <x v="0"/>
  </r>
  <r>
    <x v="0"/>
  </r>
  <r>
    <x v="4"/>
  </r>
  <r>
    <x v="0"/>
  </r>
  <r>
    <x v="0"/>
  </r>
  <r>
    <x v="3"/>
  </r>
  <r>
    <x v="0"/>
  </r>
  <r>
    <x v="0"/>
  </r>
  <r>
    <x v="2"/>
  </r>
  <r>
    <x v="0"/>
  </r>
  <r>
    <x v="3"/>
  </r>
  <r>
    <x v="0"/>
  </r>
  <r>
    <x v="0"/>
  </r>
  <r>
    <x v="0"/>
  </r>
  <r>
    <x v="2"/>
  </r>
  <r>
    <x v="1"/>
  </r>
  <r>
    <x v="4"/>
  </r>
  <r>
    <x v="2"/>
  </r>
  <r>
    <x v="1"/>
  </r>
  <r>
    <x v="2"/>
  </r>
  <r>
    <x v="2"/>
  </r>
  <r>
    <x v="2"/>
  </r>
  <r>
    <x v="4"/>
  </r>
  <r>
    <x v="4"/>
  </r>
  <r>
    <x v="2"/>
  </r>
  <r>
    <x v="2"/>
  </r>
  <r>
    <x v="2"/>
  </r>
  <r>
    <x v="3"/>
  </r>
  <r>
    <x v="2"/>
  </r>
  <r>
    <x v="1"/>
  </r>
  <r>
    <x v="1"/>
  </r>
  <r>
    <x v="3"/>
  </r>
  <r>
    <x v="4"/>
  </r>
  <r>
    <x v="2"/>
  </r>
  <r>
    <x v="4"/>
  </r>
  <r>
    <x v="4"/>
  </r>
  <r>
    <x v="1"/>
  </r>
  <r>
    <x v="1"/>
  </r>
  <r>
    <x v="4"/>
  </r>
  <r>
    <x v="4"/>
  </r>
  <r>
    <x v="3"/>
  </r>
  <r>
    <x v="0"/>
  </r>
  <r>
    <x v="2"/>
  </r>
  <r>
    <x v="0"/>
  </r>
  <r>
    <x v="0"/>
  </r>
  <r>
    <x v="0"/>
  </r>
  <r>
    <x v="1"/>
  </r>
  <r>
    <x v="0"/>
  </r>
  <r>
    <x v="0"/>
  </r>
  <r>
    <x v="2"/>
  </r>
  <r>
    <x v="3"/>
  </r>
  <r>
    <x v="4"/>
  </r>
  <r>
    <x v="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112"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"/>
  </r>
  <r>
    <x v="0"/>
  </r>
  <r>
    <x v="0"/>
  </r>
  <r>
    <x v="0"/>
  </r>
  <r>
    <x v="0"/>
  </r>
  <r>
    <x v="3"/>
  </r>
  <r>
    <x v="0"/>
  </r>
  <r>
    <x v="3"/>
  </r>
  <r>
    <x v="0"/>
  </r>
  <r>
    <x v="4"/>
  </r>
  <r>
    <x v="0"/>
  </r>
  <r>
    <x v="0"/>
  </r>
  <r>
    <x v="3"/>
  </r>
  <r>
    <x v="0"/>
  </r>
  <r>
    <x v="3"/>
  </r>
  <r>
    <x v="0"/>
  </r>
  <r>
    <x v="3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3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3"/>
  </r>
  <r>
    <x v="1"/>
  </r>
  <r>
    <x v="3"/>
  </r>
  <r>
    <x v="0"/>
  </r>
  <r>
    <x v="3"/>
  </r>
  <r>
    <x v="0"/>
  </r>
  <r>
    <x v="4"/>
  </r>
  <r>
    <x v="1"/>
  </r>
  <r>
    <x v="0"/>
  </r>
  <r>
    <x v="0"/>
  </r>
  <r>
    <x v="0"/>
  </r>
  <r>
    <x v="3"/>
  </r>
  <r>
    <x v="1"/>
  </r>
  <r>
    <x v="1"/>
  </r>
  <r>
    <x v="5"/>
  </r>
  <r>
    <x v="0"/>
  </r>
  <r>
    <x v="3"/>
  </r>
  <r>
    <x v="0"/>
  </r>
  <r>
    <x v="4"/>
  </r>
  <r>
    <x v="4"/>
  </r>
  <r>
    <x v="1"/>
  </r>
  <r>
    <x v="2"/>
  </r>
  <r>
    <x v="0"/>
  </r>
  <r>
    <x v="3"/>
  </r>
  <r>
    <x v="3"/>
  </r>
  <r>
    <x v="3"/>
  </r>
  <r>
    <x v="3"/>
  </r>
  <r>
    <x v="0"/>
  </r>
  <r>
    <x v="0"/>
  </r>
  <r>
    <x v="0"/>
  </r>
  <r>
    <x v="6"/>
  </r>
  <r>
    <x v="0"/>
  </r>
  <r>
    <x v="0"/>
  </r>
  <r>
    <x v="0"/>
  </r>
  <r>
    <x v="0"/>
  </r>
  <r>
    <x v="1"/>
  </r>
  <r>
    <x v="7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111">
  <r>
    <x v="0"/>
  </r>
  <r>
    <x v="1"/>
  </r>
  <r>
    <x v="0"/>
  </r>
  <r>
    <x v="0"/>
  </r>
  <r>
    <x v="2"/>
  </r>
  <r>
    <x v="0"/>
  </r>
  <r>
    <x v="0"/>
  </r>
  <r>
    <x v="0"/>
  </r>
  <r>
    <x v="2"/>
  </r>
  <r>
    <x v="3"/>
  </r>
  <r>
    <x v="2"/>
  </r>
  <r>
    <x v="0"/>
  </r>
  <r>
    <x v="0"/>
  </r>
  <r>
    <x v="0"/>
  </r>
  <r>
    <x v="3"/>
  </r>
  <r>
    <x v="1"/>
  </r>
  <r>
    <x v="0"/>
  </r>
  <r>
    <x v="0"/>
  </r>
  <r>
    <x v="0"/>
  </r>
  <r>
    <x v="1"/>
  </r>
  <r>
    <x v="0"/>
  </r>
  <r>
    <x v="2"/>
  </r>
  <r>
    <x v="2"/>
  </r>
  <r>
    <x v="0"/>
  </r>
  <r>
    <x v="1"/>
  </r>
  <r>
    <x v="1"/>
  </r>
  <r>
    <x v="0"/>
  </r>
  <r>
    <x v="2"/>
  </r>
  <r>
    <x v="0"/>
  </r>
  <r>
    <x v="0"/>
  </r>
  <r>
    <x v="1"/>
  </r>
  <r>
    <x v="2"/>
  </r>
  <r>
    <x v="2"/>
  </r>
  <r>
    <x v="0"/>
  </r>
  <r>
    <x v="1"/>
  </r>
  <r>
    <x v="2"/>
  </r>
  <r>
    <x v="2"/>
  </r>
  <r>
    <x v="0"/>
  </r>
  <r>
    <x v="0"/>
  </r>
  <r>
    <x v="0"/>
  </r>
  <r>
    <x v="0"/>
  </r>
  <r>
    <x v="3"/>
  </r>
  <r>
    <x v="0"/>
  </r>
  <r>
    <x v="0"/>
  </r>
  <r>
    <x v="0"/>
  </r>
  <r>
    <x v="2"/>
  </r>
  <r>
    <x v="0"/>
  </r>
  <r>
    <x v="0"/>
  </r>
  <r>
    <x v="0"/>
  </r>
  <r>
    <x v="0"/>
  </r>
  <r>
    <x v="1"/>
  </r>
  <r>
    <x v="0"/>
  </r>
  <r>
    <x v="2"/>
  </r>
  <r>
    <x v="2"/>
  </r>
  <r>
    <x v="1"/>
  </r>
  <r>
    <x v="2"/>
  </r>
  <r>
    <x v="0"/>
  </r>
  <r>
    <x v="2"/>
  </r>
  <r>
    <x v="2"/>
  </r>
  <r>
    <x v="2"/>
  </r>
  <r>
    <x v="2"/>
  </r>
  <r>
    <x v="0"/>
  </r>
  <r>
    <x v="2"/>
  </r>
  <r>
    <x v="2"/>
  </r>
  <r>
    <x v="0"/>
  </r>
  <r>
    <x v="2"/>
  </r>
  <r>
    <x v="2"/>
  </r>
  <r>
    <x v="0"/>
  </r>
  <r>
    <x v="2"/>
  </r>
  <r>
    <x v="0"/>
  </r>
  <r>
    <x v="2"/>
  </r>
  <r>
    <x v="2"/>
  </r>
  <r>
    <x v="2"/>
  </r>
  <r>
    <x v="0"/>
  </r>
  <r>
    <x v="1"/>
  </r>
  <r>
    <x v="1"/>
  </r>
  <r>
    <x v="0"/>
  </r>
  <r>
    <x v="3"/>
  </r>
  <r>
    <x v="2"/>
  </r>
  <r>
    <x v="1"/>
  </r>
  <r>
    <x v="1"/>
  </r>
  <r>
    <x v="4"/>
  </r>
  <r>
    <x v="1"/>
  </r>
  <r>
    <x v="0"/>
  </r>
  <r>
    <x v="0"/>
  </r>
  <r>
    <x v="0"/>
  </r>
  <r>
    <x v="4"/>
  </r>
  <r>
    <x v="0"/>
  </r>
  <r>
    <x v="2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2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D1:E10" firstHeaderRow="1" firstDataRow="1" firstDataCol="1"/>
  <pivotFields count="1">
    <pivotField axis="axisRow" dataField="1" showAll="0">
      <items count="9">
        <item x="3"/>
        <item x="5"/>
        <item x="6"/>
        <item x="4"/>
        <item x="1"/>
        <item x="0"/>
        <item x="2"/>
        <item x="7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n average how much does each patient spend during one visit" fld="0" subtotal="count" baseField="0" baseItem="0"/>
  </dataFields>
  <formats count="2">
    <format dxfId="13">
      <pivotArea collapsedLevelsAreSubtotals="1" fieldPosition="0">
        <references count="1">
          <reference field="0" count="1">
            <x v="1"/>
          </reference>
        </references>
      </pivotArea>
    </format>
    <format dxfId="12">
      <pivotArea dataOnly="0" labelOnly="1" fieldPosition="0">
        <references count="1">
          <reference field="0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:B10" firstHeaderRow="1" firstDataRow="1" firstDataCol="1"/>
  <pivotFields count="1">
    <pivotField axis="axisRow" dataField="1" showAll="0">
      <items count="9">
        <item x="4"/>
        <item x="5"/>
        <item x="3"/>
        <item x="2"/>
        <item x="6"/>
        <item x="0"/>
        <item x="1"/>
        <item x="7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How many daily clients come for lab tests in your branch?" fld="0" subtotal="count" baseField="0" baseItem="0"/>
  </dataFields>
  <formats count="3">
    <format dxfId="16">
      <pivotArea collapsedLevelsAreSubtotals="1" fieldPosition="0">
        <references count="1">
          <reference field="0" count="2">
            <x v="2"/>
            <x v="3"/>
          </reference>
        </references>
      </pivotArea>
    </format>
    <format dxfId="15">
      <pivotArea dataOnly="0" labelOnly="1" fieldPosition="0">
        <references count="1">
          <reference field="0" count="2">
            <x v="2"/>
            <x v="3"/>
          </reference>
        </references>
      </pivotArea>
    </format>
    <format dxfId="14">
      <pivotArea dataOnly="0" fieldPosition="0">
        <references count="1">
          <reference field="0" count="1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8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I1:J8" firstHeaderRow="1" firstDataRow="1" firstDataCol="1"/>
  <pivotFields count="1">
    <pivotField axis="axisRow" dataField="1" showAll="0">
      <items count="7">
        <item x="1"/>
        <item x="2"/>
        <item x="4"/>
        <item x="0"/>
        <item x="3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n average how much does each patient spend on lab tests in your clinic?" fld="0" subtotal="count" baseField="0" baseItem="0"/>
  </dataFields>
  <formats count="2">
    <format dxfId="7">
      <pivotArea collapsedLevelsAreSubtotals="1" fieldPosition="0">
        <references count="1">
          <reference field="0" count="1">
            <x v="1"/>
          </reference>
        </references>
      </pivotArea>
    </format>
    <format dxfId="6">
      <pivotArea dataOnly="0" labelOnly="1" fieldPosition="0">
        <references count="1">
          <reference field="0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:B10" firstHeaderRow="1" firstDataRow="1" firstDataCol="1"/>
  <pivotFields count="1">
    <pivotField axis="axisRow" dataField="1" showAll="0">
      <items count="9">
        <item x="0"/>
        <item x="4"/>
        <item x="1"/>
        <item x="2"/>
        <item x="3"/>
        <item x="6"/>
        <item x="5"/>
        <item x="7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Daily Average OPD" fld="0" subtotal="count" baseField="0" baseItem="0"/>
  </dataFields>
  <formats count="2">
    <format dxfId="9">
      <pivotArea collapsedLevelsAreSubtotals="1" fieldPosition="0">
        <references count="1">
          <reference field="0" count="1">
            <x v="2"/>
          </reference>
        </references>
      </pivotArea>
    </format>
    <format dxfId="8">
      <pivotArea dataOnly="0" labelOnly="1" fieldPosition="0">
        <references count="1">
          <reference field="0" count="1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E1:F9" firstHeaderRow="1" firstDataRow="1" firstDataCol="1"/>
  <pivotFields count="1">
    <pivotField axis="axisRow" dataField="1" showAll="0">
      <items count="8">
        <item x="1"/>
        <item x="0"/>
        <item x="2"/>
        <item x="3"/>
        <item x="4"/>
        <item x="5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What percentage of patients are prescribed lab tests?" fld="0" subtotal="count" baseField="0" baseItem="0"/>
  </dataFields>
  <formats count="2">
    <format dxfId="11">
      <pivotArea collapsedLevelsAreSubtotals="1" fieldPosition="0">
        <references count="1">
          <reference field="0" count="1">
            <x v="1"/>
          </reference>
        </references>
      </pivotArea>
    </format>
    <format dxfId="10">
      <pivotArea dataOnly="0" labelOnly="1" fieldPosition="0">
        <references count="1">
          <reference field="0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E1:F10" firstHeaderRow="1" firstDataRow="1" firstDataCol="1"/>
  <pivotFields count="1">
    <pivotField axis="axisRow" dataField="1" showAll="0">
      <items count="9">
        <item x="3"/>
        <item x="1"/>
        <item x="4"/>
        <item x="2"/>
        <item x="6"/>
        <item x="0"/>
        <item x="5"/>
        <item x="7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Total spending on lab tests in past one month" fld="0" subtotal="count" baseField="0" baseItem="0"/>
  </dataFields>
  <formats count="2">
    <format dxfId="2">
      <pivotArea collapsedLevelsAreSubtotals="1" fieldPosition="0">
        <references count="1">
          <reference field="0" count="1">
            <x v="5"/>
          </reference>
        </references>
      </pivotArea>
    </format>
    <format dxfId="1">
      <pivotArea dataOnly="0" labelOnly="1" fieldPosition="0">
        <references count="1">
          <reference field="0" count="1">
            <x v="5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I1:J8" firstHeaderRow="1" firstDataRow="1" firstDataCol="1"/>
  <pivotFields count="1">
    <pivotField axis="axisRow" dataField="1" showAll="0">
      <items count="7">
        <item x="1"/>
        <item x="0"/>
        <item x="2"/>
        <item x="4"/>
        <item x="3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How many tests were done last month.?" fld="0" subtotal="count" baseField="0" baseItem="0"/>
  </dataFields>
  <formats count="2">
    <format dxfId="4">
      <pivotArea collapsedLevelsAreSubtotals="1" fieldPosition="0">
        <references count="1">
          <reference field="0" count="1">
            <x v="2"/>
          </reference>
        </references>
      </pivotArea>
    </format>
    <format dxfId="3">
      <pivotArea dataOnly="0" labelOnly="1" fieldPosition="0">
        <references count="1">
          <reference field="0" count="1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10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:B7" firstHeaderRow="1" firstDataRow="1" firstDataCol="1"/>
  <pivotFields count="1">
    <pivotField axis="axisRow" dataField="1" showAll="0">
      <items count="6">
        <item x="3"/>
        <item x="2"/>
        <item x="0"/>
        <item x="4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otal family members have had a lab test in past one month (incl self)" fld="0" subtotal="count" baseField="0" baseItem="0"/>
  </dataFields>
  <formats count="1">
    <format dxfId="5">
      <pivotArea dataOnly="0" fieldPosition="0">
        <references count="1">
          <reference field="0" count="1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/>
  </sheetPr>
  <dimension ref="A1:AH87"/>
  <sheetViews>
    <sheetView topLeftCell="B40" zoomScale="85" zoomScaleNormal="85" workbookViewId="0">
      <selection activeCell="P44" sqref="P44"/>
    </sheetView>
  </sheetViews>
  <sheetFormatPr defaultRowHeight="15" outlineLevelCol="1" x14ac:dyDescent="0.25"/>
  <cols>
    <col min="1" max="1" width="40.42578125" customWidth="1"/>
    <col min="2" max="2" width="27.85546875" customWidth="1" outlineLevel="1"/>
    <col min="3" max="3" width="12.28515625" style="2" bestFit="1" customWidth="1"/>
    <col min="4" max="4" width="12.7109375" customWidth="1"/>
    <col min="5" max="5" width="13.85546875" customWidth="1"/>
    <col min="6" max="6" width="13.28515625" bestFit="1" customWidth="1"/>
    <col min="7" max="7" width="12.85546875" bestFit="1" customWidth="1"/>
    <col min="8" max="8" width="12" bestFit="1" customWidth="1"/>
    <col min="9" max="11" width="14.5703125" bestFit="1" customWidth="1"/>
    <col min="12" max="12" width="14.28515625" bestFit="1" customWidth="1"/>
    <col min="13" max="13" width="14.5703125" bestFit="1" customWidth="1"/>
    <col min="14" max="15" width="15" bestFit="1" customWidth="1"/>
    <col min="16" max="16" width="14.5703125" bestFit="1" customWidth="1"/>
    <col min="17" max="24" width="10.7109375" customWidth="1"/>
    <col min="30" max="30" width="15" bestFit="1" customWidth="1"/>
    <col min="31" max="31" width="18.140625" bestFit="1" customWidth="1"/>
    <col min="32" max="32" width="17.7109375" bestFit="1" customWidth="1"/>
    <col min="33" max="33" width="16.85546875" bestFit="1" customWidth="1"/>
    <col min="34" max="34" width="21.7109375" bestFit="1" customWidth="1"/>
  </cols>
  <sheetData>
    <row r="1" spans="1:34" x14ac:dyDescent="0.25">
      <c r="A1" s="1"/>
    </row>
    <row r="2" spans="1:34" x14ac:dyDescent="0.25">
      <c r="A2" s="1"/>
      <c r="E2" s="8"/>
      <c r="AF2" s="1" t="s">
        <v>1471</v>
      </c>
    </row>
    <row r="4" spans="1:34" s="1" customFormat="1" x14ac:dyDescent="0.25">
      <c r="A4" s="3"/>
      <c r="B4" s="3"/>
      <c r="C4" s="4"/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AD4" s="187"/>
      <c r="AE4" s="202" t="s">
        <v>1468</v>
      </c>
      <c r="AF4" s="231" t="s">
        <v>1465</v>
      </c>
      <c r="AG4" s="231" t="s">
        <v>1466</v>
      </c>
      <c r="AH4" s="231" t="s">
        <v>1467</v>
      </c>
    </row>
    <row r="5" spans="1:34" s="1" customFormat="1" x14ac:dyDescent="0.25">
      <c r="A5" s="5" t="s">
        <v>22</v>
      </c>
      <c r="B5" s="5"/>
      <c r="C5" s="6"/>
      <c r="AD5" s="187"/>
      <c r="AE5" s="232"/>
      <c r="AF5" s="187"/>
      <c r="AG5" s="187"/>
      <c r="AH5" s="212"/>
    </row>
    <row r="6" spans="1:34" x14ac:dyDescent="0.25">
      <c r="A6" t="s">
        <v>1453</v>
      </c>
      <c r="D6">
        <v>1</v>
      </c>
      <c r="M6" s="8"/>
      <c r="AD6" s="212" t="s">
        <v>1461</v>
      </c>
      <c r="AE6" s="235">
        <f>SUM(D23:I23)</f>
        <v>33003.495999999999</v>
      </c>
      <c r="AF6" s="235">
        <f>SUM(J23:N23)</f>
        <v>71306.604226439973</v>
      </c>
      <c r="AG6" s="235">
        <f>SUM(O23:S23)</f>
        <v>124220.50122016727</v>
      </c>
      <c r="AH6" s="235">
        <f>SUM(T23:X23)</f>
        <v>172839.27428292582</v>
      </c>
    </row>
    <row r="7" spans="1:34" x14ac:dyDescent="0.25">
      <c r="A7" t="s">
        <v>1454</v>
      </c>
      <c r="B7" s="248" t="s">
        <v>1487</v>
      </c>
      <c r="D7" s="28">
        <f>2000000/D13</f>
        <v>14814.814814814816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AD7" s="212" t="s">
        <v>1462</v>
      </c>
      <c r="AE7" s="233">
        <f>SUM(D28:I28)</f>
        <v>19.395701794581928</v>
      </c>
      <c r="AF7" s="233">
        <f>SUM(J28:N28)</f>
        <v>61.466229329847351</v>
      </c>
      <c r="AG7" s="233">
        <f>SUM(O28:S28)</f>
        <v>156.95018249810994</v>
      </c>
      <c r="AH7" s="233">
        <f>SUM(T28:X28)</f>
        <v>322.8897150524715</v>
      </c>
    </row>
    <row r="8" spans="1:34" x14ac:dyDescent="0.25">
      <c r="A8" t="s">
        <v>1455</v>
      </c>
      <c r="C8" s="9"/>
      <c r="D8" s="10"/>
      <c r="E8" s="7">
        <v>4435</v>
      </c>
      <c r="F8" s="29"/>
      <c r="G8" s="8"/>
      <c r="H8" s="8"/>
      <c r="I8" s="8"/>
      <c r="J8" s="8"/>
      <c r="K8" s="11"/>
      <c r="L8" s="11"/>
      <c r="M8" s="11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AD8" s="212" t="s">
        <v>36</v>
      </c>
      <c r="AE8" s="233">
        <f>SUM(D30:I30)</f>
        <v>15.516561435665542</v>
      </c>
      <c r="AF8" s="233">
        <f>SUM(J30:N30)</f>
        <v>49.17298346387787</v>
      </c>
      <c r="AG8" s="233">
        <f>SUM(O30:S30)</f>
        <v>125.56014599848795</v>
      </c>
      <c r="AH8" s="233">
        <f>SUM(T30:X30)</f>
        <v>258.31177204197718</v>
      </c>
    </row>
    <row r="9" spans="1:34" x14ac:dyDescent="0.25">
      <c r="A9" t="s">
        <v>1456</v>
      </c>
      <c r="C9" s="9">
        <v>0.1</v>
      </c>
      <c r="E9" s="10">
        <v>0.2</v>
      </c>
      <c r="F9" s="10">
        <f>E9</f>
        <v>0.2</v>
      </c>
      <c r="G9" s="10">
        <f t="shared" ref="G9:X9" si="0">F9</f>
        <v>0.2</v>
      </c>
      <c r="H9" s="10">
        <f t="shared" si="0"/>
        <v>0.2</v>
      </c>
      <c r="I9" s="10">
        <f>H9</f>
        <v>0.2</v>
      </c>
      <c r="J9" s="10">
        <v>0.15</v>
      </c>
      <c r="K9" s="10">
        <f>J9</f>
        <v>0.15</v>
      </c>
      <c r="L9" s="10">
        <f t="shared" si="0"/>
        <v>0.15</v>
      </c>
      <c r="M9" s="10">
        <f t="shared" si="0"/>
        <v>0.15</v>
      </c>
      <c r="N9" s="10">
        <f t="shared" si="0"/>
        <v>0.15</v>
      </c>
      <c r="O9" s="10">
        <v>0.1</v>
      </c>
      <c r="P9" s="10">
        <f t="shared" si="0"/>
        <v>0.1</v>
      </c>
      <c r="Q9" s="10">
        <f t="shared" si="0"/>
        <v>0.1</v>
      </c>
      <c r="R9" s="10">
        <f t="shared" si="0"/>
        <v>0.1</v>
      </c>
      <c r="S9" s="10">
        <f t="shared" si="0"/>
        <v>0.1</v>
      </c>
      <c r="T9" s="10">
        <v>0.05</v>
      </c>
      <c r="U9" s="10">
        <f t="shared" si="0"/>
        <v>0.05</v>
      </c>
      <c r="V9" s="10">
        <f t="shared" si="0"/>
        <v>0.05</v>
      </c>
      <c r="W9" s="10">
        <f t="shared" si="0"/>
        <v>0.05</v>
      </c>
      <c r="X9" s="10">
        <f t="shared" si="0"/>
        <v>0.05</v>
      </c>
      <c r="AD9" s="212" t="s">
        <v>1463</v>
      </c>
      <c r="AE9" s="233">
        <f>SUM(D43:I43)</f>
        <v>-25.483290345648207</v>
      </c>
      <c r="AF9" s="233">
        <f>SUM(J43:N43)</f>
        <v>-18.223359931940067</v>
      </c>
      <c r="AG9" s="233">
        <f>SUM(O43:S43)</f>
        <v>13.68301323819043</v>
      </c>
      <c r="AH9" s="233">
        <f>SUM(T43:X43)</f>
        <v>77.76059950789579</v>
      </c>
    </row>
    <row r="10" spans="1:34" x14ac:dyDescent="0.25">
      <c r="A10" t="s">
        <v>24</v>
      </c>
      <c r="D10" s="12"/>
      <c r="E10" s="12">
        <v>0.16</v>
      </c>
      <c r="F10" s="12">
        <v>8.6687643116880375E-2</v>
      </c>
      <c r="G10" s="12">
        <v>8.7072291381265154E-2</v>
      </c>
      <c r="H10" s="12">
        <v>9.0769397547260766E-2</v>
      </c>
      <c r="I10" s="12">
        <v>7.8758144796048146E-2</v>
      </c>
      <c r="J10" s="12">
        <v>7.9059879561990343E-2</v>
      </c>
      <c r="K10" s="12">
        <v>7.9373413599264087E-2</v>
      </c>
      <c r="L10" s="12">
        <v>7.9699047712931792E-2</v>
      </c>
      <c r="M10" s="12">
        <v>8.0037073828268968E-2</v>
      </c>
      <c r="N10" s="12">
        <v>8.0387773118787198E-2</v>
      </c>
      <c r="O10" s="12">
        <v>8.0751414026984047E-2</v>
      </c>
      <c r="P10" s="12">
        <v>8.112825018349068E-2</v>
      </c>
      <c r="Q10" s="12">
        <v>8.1518518232205128E-2</v>
      </c>
      <c r="R10" s="12">
        <v>8.1922435571009755E-2</v>
      </c>
      <c r="S10" s="12">
        <v>8.2340198019844824E-2</v>
      </c>
      <c r="T10" s="12">
        <v>8.2771977430160959E-2</v>
      </c>
      <c r="U10" s="12">
        <v>8.3217919252112527E-2</v>
      </c>
      <c r="V10" s="12">
        <v>8.3678140078233154E-2</v>
      </c>
      <c r="W10" s="12">
        <v>8.4152725184690524E-2</v>
      </c>
      <c r="X10" s="12">
        <v>8.4641726093542147E-2</v>
      </c>
      <c r="AD10" s="212" t="s">
        <v>1464</v>
      </c>
      <c r="AE10" s="234">
        <f>SUM(D51:I51)</f>
        <v>-27.483290345648207</v>
      </c>
      <c r="AF10" s="234">
        <f>SUM(J51:N51)</f>
        <v>-18.223359931940067</v>
      </c>
      <c r="AG10" s="234">
        <f>SUM(O51:S51)</f>
        <v>13.68301323819043</v>
      </c>
      <c r="AH10" s="234">
        <f>SUM(T51:X51)</f>
        <v>77.76059950789579</v>
      </c>
    </row>
    <row r="11" spans="1:34" x14ac:dyDescent="0.25">
      <c r="A11" t="s">
        <v>25</v>
      </c>
      <c r="D11" s="12"/>
      <c r="E11" s="12">
        <v>0.16</v>
      </c>
      <c r="F11" s="12">
        <v>0.1</v>
      </c>
      <c r="G11" s="12">
        <v>0.1</v>
      </c>
      <c r="H11" s="12">
        <v>0.11000000000000001</v>
      </c>
      <c r="I11" s="12">
        <v>7.0000000000000007E-2</v>
      </c>
      <c r="J11" s="12">
        <v>7.0000000000000007E-2</v>
      </c>
      <c r="K11" s="12">
        <v>7.0000000000000007E-2</v>
      </c>
      <c r="L11" s="12">
        <v>7.0000000000000007E-2</v>
      </c>
      <c r="M11" s="12">
        <v>7.0000000000000007E-2</v>
      </c>
      <c r="N11" s="12">
        <v>7.0000000000000007E-2</v>
      </c>
      <c r="O11" s="12">
        <v>7.0000000000000007E-2</v>
      </c>
      <c r="P11" s="12">
        <v>7.0000000000000007E-2</v>
      </c>
      <c r="Q11" s="12">
        <v>7.0000000000000007E-2</v>
      </c>
      <c r="R11" s="12">
        <v>7.0000000000000007E-2</v>
      </c>
      <c r="S11" s="12">
        <v>7.0000000000000007E-2</v>
      </c>
      <c r="T11" s="12">
        <v>7.0000000000000007E-2</v>
      </c>
      <c r="U11" s="12">
        <v>7.0000000000000007E-2</v>
      </c>
      <c r="V11" s="12">
        <v>7.0000000000000007E-2</v>
      </c>
      <c r="W11" s="12">
        <v>7.0000000000000007E-2</v>
      </c>
      <c r="X11" s="12">
        <v>7.0000000000000007E-2</v>
      </c>
    </row>
    <row r="12" spans="1:34" x14ac:dyDescent="0.25">
      <c r="A12" t="s">
        <v>26</v>
      </c>
      <c r="D12" s="12"/>
      <c r="E12" s="12">
        <v>0.16</v>
      </c>
      <c r="F12" s="12">
        <v>7.0000000000000007E-2</v>
      </c>
      <c r="G12" s="12">
        <v>7.0000000000000007E-2</v>
      </c>
      <c r="H12" s="12">
        <v>7.0000000000000007E-2</v>
      </c>
      <c r="I12" s="12">
        <v>7.0000000000000007E-2</v>
      </c>
      <c r="J12" s="12">
        <v>7.0000000000000007E-2</v>
      </c>
      <c r="K12" s="12">
        <v>7.0000000000000007E-2</v>
      </c>
      <c r="L12" s="12">
        <v>7.0000000000000007E-2</v>
      </c>
      <c r="M12" s="12">
        <v>7.0000000000000007E-2</v>
      </c>
      <c r="N12" s="12">
        <v>7.0000000000000007E-2</v>
      </c>
      <c r="O12" s="12">
        <v>7.0000000000000007E-2</v>
      </c>
      <c r="P12" s="12">
        <v>7.0000000000000007E-2</v>
      </c>
      <c r="Q12" s="12">
        <v>7.0000000000000007E-2</v>
      </c>
      <c r="R12" s="12">
        <v>7.0000000000000007E-2</v>
      </c>
      <c r="S12" s="12">
        <v>7.0000000000000007E-2</v>
      </c>
      <c r="T12" s="12">
        <v>7.0000000000000007E-2</v>
      </c>
      <c r="U12" s="12">
        <v>7.0000000000000007E-2</v>
      </c>
      <c r="V12" s="12">
        <v>7.0000000000000007E-2</v>
      </c>
      <c r="W12" s="12">
        <v>7.0000000000000007E-2</v>
      </c>
      <c r="X12" s="12">
        <v>7.0000000000000007E-2</v>
      </c>
    </row>
    <row r="13" spans="1:34" x14ac:dyDescent="0.25">
      <c r="A13" t="s">
        <v>27</v>
      </c>
      <c r="D13" s="7">
        <v>135</v>
      </c>
      <c r="E13" s="7">
        <v>141.75</v>
      </c>
      <c r="F13" s="7">
        <v>148.83750000000001</v>
      </c>
      <c r="G13" s="7">
        <v>156.27937500000002</v>
      </c>
      <c r="H13" s="7">
        <v>164.09334375000003</v>
      </c>
      <c r="I13" s="7">
        <v>172.29801093750004</v>
      </c>
      <c r="J13" s="7">
        <v>180.91291148437506</v>
      </c>
      <c r="K13" s="7">
        <v>189.95855705859381</v>
      </c>
      <c r="L13" s="7">
        <v>199.45648491152352</v>
      </c>
      <c r="M13" s="7">
        <v>209.42930915709971</v>
      </c>
      <c r="N13" s="7">
        <v>219.90077461495471</v>
      </c>
      <c r="O13" s="7">
        <v>230.89581334570246</v>
      </c>
      <c r="P13" s="7">
        <v>242.44060401298759</v>
      </c>
      <c r="Q13" s="7">
        <v>254.56263421363698</v>
      </c>
      <c r="R13" s="7">
        <v>267.29076592431886</v>
      </c>
      <c r="S13" s="7">
        <v>280.65530422053484</v>
      </c>
      <c r="T13" s="7">
        <v>294.68806943156159</v>
      </c>
      <c r="U13" s="7">
        <v>309.42247290313969</v>
      </c>
      <c r="V13" s="7">
        <v>324.89359654829667</v>
      </c>
      <c r="W13" s="7">
        <v>341.13827637571154</v>
      </c>
      <c r="X13" s="7">
        <v>358.19519019449712</v>
      </c>
    </row>
    <row r="14" spans="1:34" x14ac:dyDescent="0.25">
      <c r="A14" t="s">
        <v>1457</v>
      </c>
      <c r="D14" s="12"/>
      <c r="E14" s="12">
        <v>0.1</v>
      </c>
      <c r="F14" s="12">
        <f>E14</f>
        <v>0.1</v>
      </c>
      <c r="G14" s="12">
        <f t="shared" ref="G14:X14" si="1">F14</f>
        <v>0.1</v>
      </c>
      <c r="H14" s="12">
        <f t="shared" si="1"/>
        <v>0.1</v>
      </c>
      <c r="I14" s="12">
        <f t="shared" si="1"/>
        <v>0.1</v>
      </c>
      <c r="J14" s="12">
        <f t="shared" si="1"/>
        <v>0.1</v>
      </c>
      <c r="K14" s="12">
        <f t="shared" si="1"/>
        <v>0.1</v>
      </c>
      <c r="L14" s="12">
        <f t="shared" si="1"/>
        <v>0.1</v>
      </c>
      <c r="M14" s="12">
        <f t="shared" si="1"/>
        <v>0.1</v>
      </c>
      <c r="N14" s="12">
        <f t="shared" si="1"/>
        <v>0.1</v>
      </c>
      <c r="O14" s="12">
        <f t="shared" si="1"/>
        <v>0.1</v>
      </c>
      <c r="P14" s="12">
        <f t="shared" si="1"/>
        <v>0.1</v>
      </c>
      <c r="Q14" s="12">
        <f t="shared" si="1"/>
        <v>0.1</v>
      </c>
      <c r="R14" s="12">
        <f t="shared" si="1"/>
        <v>0.1</v>
      </c>
      <c r="S14" s="12">
        <f t="shared" si="1"/>
        <v>0.1</v>
      </c>
      <c r="T14" s="12">
        <f t="shared" si="1"/>
        <v>0.1</v>
      </c>
      <c r="U14" s="12">
        <f t="shared" si="1"/>
        <v>0.1</v>
      </c>
      <c r="V14" s="12">
        <f t="shared" si="1"/>
        <v>0.1</v>
      </c>
      <c r="W14" s="12">
        <f t="shared" si="1"/>
        <v>0.1</v>
      </c>
      <c r="X14" s="12">
        <f t="shared" si="1"/>
        <v>0.1</v>
      </c>
    </row>
    <row r="15" spans="1:34" x14ac:dyDescent="0.25">
      <c r="A15" t="s">
        <v>1458</v>
      </c>
      <c r="D15" s="12"/>
      <c r="E15" s="12">
        <v>9.8899590163934431E-2</v>
      </c>
      <c r="F15" s="12">
        <v>7.5175000000000075E-2</v>
      </c>
      <c r="G15" s="12">
        <v>7.5175000000000075E-2</v>
      </c>
      <c r="H15" s="12">
        <v>7.5175000000000075E-2</v>
      </c>
      <c r="I15" s="12">
        <v>7.5175000000000075E-2</v>
      </c>
      <c r="J15" s="12">
        <v>7.5175000000000075E-2</v>
      </c>
      <c r="K15" s="12">
        <v>7.5175000000000075E-2</v>
      </c>
      <c r="L15" s="12">
        <v>7.5175000000000075E-2</v>
      </c>
      <c r="M15" s="12">
        <v>7.5175000000000075E-2</v>
      </c>
      <c r="N15" s="12">
        <v>7.5175000000000075E-2</v>
      </c>
      <c r="O15" s="12">
        <v>7.5175000000000075E-2</v>
      </c>
      <c r="P15" s="12">
        <v>7.5175000000000075E-2</v>
      </c>
      <c r="Q15" s="12">
        <v>7.5175000000000075E-2</v>
      </c>
      <c r="R15" s="12">
        <v>7.5175000000000075E-2</v>
      </c>
      <c r="S15" s="12">
        <v>7.5175000000000075E-2</v>
      </c>
      <c r="T15" s="12">
        <v>7.5175000000000075E-2</v>
      </c>
      <c r="U15" s="12">
        <v>7.5175000000000075E-2</v>
      </c>
      <c r="V15" s="12">
        <v>7.5175000000000075E-2</v>
      </c>
      <c r="W15" s="12">
        <v>7.5175000000000075E-2</v>
      </c>
      <c r="X15" s="12">
        <v>7.5175000000000075E-2</v>
      </c>
    </row>
    <row r="16" spans="1:34" x14ac:dyDescent="0.25">
      <c r="A16" t="s">
        <v>28</v>
      </c>
      <c r="C16" s="30">
        <f>COUNT('Staff Costs'!C4:C10)</f>
        <v>7</v>
      </c>
      <c r="E16" s="8">
        <f t="shared" ref="E16:X16" si="2">$C$16*$D$6</f>
        <v>7</v>
      </c>
      <c r="F16" s="8">
        <f t="shared" si="2"/>
        <v>7</v>
      </c>
      <c r="G16" s="8">
        <f t="shared" si="2"/>
        <v>7</v>
      </c>
      <c r="H16" s="8">
        <f t="shared" si="2"/>
        <v>7</v>
      </c>
      <c r="I16" s="8">
        <f t="shared" si="2"/>
        <v>7</v>
      </c>
      <c r="J16" s="8">
        <f t="shared" si="2"/>
        <v>7</v>
      </c>
      <c r="K16" s="8">
        <f t="shared" si="2"/>
        <v>7</v>
      </c>
      <c r="L16" s="8">
        <f t="shared" si="2"/>
        <v>7</v>
      </c>
      <c r="M16" s="8">
        <f t="shared" si="2"/>
        <v>7</v>
      </c>
      <c r="N16" s="8">
        <f t="shared" si="2"/>
        <v>7</v>
      </c>
      <c r="O16" s="8">
        <f t="shared" si="2"/>
        <v>7</v>
      </c>
      <c r="P16" s="8">
        <f t="shared" si="2"/>
        <v>7</v>
      </c>
      <c r="Q16" s="8">
        <f t="shared" si="2"/>
        <v>7</v>
      </c>
      <c r="R16" s="8">
        <f t="shared" si="2"/>
        <v>7</v>
      </c>
      <c r="S16" s="8">
        <f t="shared" si="2"/>
        <v>7</v>
      </c>
      <c r="T16" s="8">
        <f t="shared" si="2"/>
        <v>7</v>
      </c>
      <c r="U16" s="8">
        <f t="shared" si="2"/>
        <v>7</v>
      </c>
      <c r="V16" s="8">
        <f t="shared" si="2"/>
        <v>7</v>
      </c>
      <c r="W16" s="8">
        <f t="shared" si="2"/>
        <v>7</v>
      </c>
      <c r="X16" s="8">
        <f t="shared" si="2"/>
        <v>7</v>
      </c>
    </row>
    <row r="17" spans="1:24" x14ac:dyDescent="0.25">
      <c r="A17" t="s">
        <v>29</v>
      </c>
      <c r="C17" s="31">
        <f>'Staff Costs'!D11/1.1/C16</f>
        <v>28607.142857142851</v>
      </c>
      <c r="E17" s="8">
        <f>C17*(1+E11)</f>
        <v>33184.285714285703</v>
      </c>
      <c r="F17" s="8">
        <f t="shared" ref="F17:X17" si="3">E17*(1+F11)</f>
        <v>36502.714285714275</v>
      </c>
      <c r="G17" s="8">
        <f t="shared" si="3"/>
        <v>40152.985714285707</v>
      </c>
      <c r="H17" s="8">
        <f t="shared" si="3"/>
        <v>44569.81414285714</v>
      </c>
      <c r="I17" s="8">
        <f t="shared" si="3"/>
        <v>47689.701132857139</v>
      </c>
      <c r="J17" s="8">
        <f t="shared" si="3"/>
        <v>51027.980212157141</v>
      </c>
      <c r="K17" s="8">
        <f t="shared" si="3"/>
        <v>54599.938827008147</v>
      </c>
      <c r="L17" s="8">
        <f t="shared" si="3"/>
        <v>58421.934544898722</v>
      </c>
      <c r="M17" s="8">
        <f t="shared" si="3"/>
        <v>62511.469963041636</v>
      </c>
      <c r="N17" s="8">
        <f t="shared" si="3"/>
        <v>66887.272860454555</v>
      </c>
      <c r="O17" s="8">
        <f t="shared" si="3"/>
        <v>71569.381960686384</v>
      </c>
      <c r="P17" s="8">
        <f t="shared" si="3"/>
        <v>76579.23869793443</v>
      </c>
      <c r="Q17" s="8">
        <f t="shared" si="3"/>
        <v>81939.785406789844</v>
      </c>
      <c r="R17" s="8">
        <f t="shared" si="3"/>
        <v>87675.570385265135</v>
      </c>
      <c r="S17" s="8">
        <f t="shared" si="3"/>
        <v>93812.860312233694</v>
      </c>
      <c r="T17" s="8">
        <f t="shared" si="3"/>
        <v>100379.76053409006</v>
      </c>
      <c r="U17" s="8">
        <f t="shared" si="3"/>
        <v>107406.34377147637</v>
      </c>
      <c r="V17" s="8">
        <f t="shared" si="3"/>
        <v>114924.78783547973</v>
      </c>
      <c r="W17" s="8">
        <f t="shared" si="3"/>
        <v>122969.52298396331</v>
      </c>
      <c r="X17" s="8">
        <f t="shared" si="3"/>
        <v>131577.38959284074</v>
      </c>
    </row>
    <row r="18" spans="1:24" x14ac:dyDescent="0.25">
      <c r="A18" t="str">
        <f>A36</f>
        <v>Supplies</v>
      </c>
      <c r="B18" t="s">
        <v>39</v>
      </c>
      <c r="C18" s="31">
        <f>SUMIF('Overhead Costs'!$B$3:$B$14,'Main Center'!B18,'Overhead Costs'!$C$3:$C$14)</f>
        <v>31660</v>
      </c>
      <c r="D18" s="8"/>
      <c r="E18" s="8">
        <f>C18*(1+E12)</f>
        <v>36725.599999999999</v>
      </c>
      <c r="F18" s="8">
        <f t="shared" ref="F18:X18" si="4">E18*(1+F12)</f>
        <v>39296.392</v>
      </c>
      <c r="G18" s="8">
        <f t="shared" si="4"/>
        <v>42047.139439999999</v>
      </c>
      <c r="H18" s="8">
        <f t="shared" si="4"/>
        <v>44990.4392008</v>
      </c>
      <c r="I18" s="8">
        <f t="shared" si="4"/>
        <v>48139.769944856002</v>
      </c>
      <c r="J18" s="8">
        <f t="shared" si="4"/>
        <v>51509.553840995926</v>
      </c>
      <c r="K18" s="8">
        <f t="shared" si="4"/>
        <v>55115.222609865647</v>
      </c>
      <c r="L18" s="8">
        <f t="shared" si="4"/>
        <v>58973.288192556247</v>
      </c>
      <c r="M18" s="8">
        <f t="shared" si="4"/>
        <v>63101.418366035185</v>
      </c>
      <c r="N18" s="8">
        <f t="shared" si="4"/>
        <v>67518.517651657647</v>
      </c>
      <c r="O18" s="8">
        <f t="shared" si="4"/>
        <v>72244.813887273689</v>
      </c>
      <c r="P18" s="8">
        <f t="shared" si="4"/>
        <v>77301.95085938285</v>
      </c>
      <c r="Q18" s="8">
        <f t="shared" si="4"/>
        <v>82713.087419539661</v>
      </c>
      <c r="R18" s="8">
        <f t="shared" si="4"/>
        <v>88503.003538907447</v>
      </c>
      <c r="S18" s="8">
        <f t="shared" si="4"/>
        <v>94698.213786630979</v>
      </c>
      <c r="T18" s="8">
        <f t="shared" si="4"/>
        <v>101327.08875169515</v>
      </c>
      <c r="U18" s="8">
        <f t="shared" si="4"/>
        <v>108419.98496431381</v>
      </c>
      <c r="V18" s="8">
        <f t="shared" si="4"/>
        <v>116009.38391181579</v>
      </c>
      <c r="W18" s="8">
        <f t="shared" si="4"/>
        <v>124130.04078564291</v>
      </c>
      <c r="X18" s="8">
        <f t="shared" si="4"/>
        <v>132819.14364063792</v>
      </c>
    </row>
    <row r="19" spans="1:24" x14ac:dyDescent="0.25">
      <c r="A19" t="str">
        <f>A37</f>
        <v>Utilities</v>
      </c>
      <c r="B19" t="s">
        <v>40</v>
      </c>
      <c r="C19" s="31">
        <f>SUMIF('Overhead Costs'!$B$3:$B$14,'Main Center'!B19,'Overhead Costs'!$C$3:$C$14)</f>
        <v>29370</v>
      </c>
      <c r="D19" s="8"/>
      <c r="E19" s="8">
        <f>C19*(1+E12)</f>
        <v>34069.199999999997</v>
      </c>
      <c r="F19" s="8">
        <f t="shared" ref="F19:X19" si="5">E19*(1+F12)</f>
        <v>36454.044000000002</v>
      </c>
      <c r="G19" s="8">
        <f t="shared" si="5"/>
        <v>39005.827080000003</v>
      </c>
      <c r="H19" s="8">
        <f t="shared" si="5"/>
        <v>41736.234975600004</v>
      </c>
      <c r="I19" s="8">
        <f t="shared" si="5"/>
        <v>44657.771423892009</v>
      </c>
      <c r="J19" s="8">
        <f t="shared" si="5"/>
        <v>47783.815423564454</v>
      </c>
      <c r="K19" s="8">
        <f t="shared" si="5"/>
        <v>51128.682503213968</v>
      </c>
      <c r="L19" s="8">
        <f t="shared" si="5"/>
        <v>54707.690278438946</v>
      </c>
      <c r="M19" s="8">
        <f t="shared" si="5"/>
        <v>58537.228597929672</v>
      </c>
      <c r="N19" s="8">
        <f t="shared" si="5"/>
        <v>62634.83459978475</v>
      </c>
      <c r="O19" s="8">
        <f t="shared" si="5"/>
        <v>67019.273021769681</v>
      </c>
      <c r="P19" s="8">
        <f t="shared" si="5"/>
        <v>71710.622133293567</v>
      </c>
      <c r="Q19" s="8">
        <f t="shared" si="5"/>
        <v>76730.36568262412</v>
      </c>
      <c r="R19" s="8">
        <f t="shared" si="5"/>
        <v>82101.491280407819</v>
      </c>
      <c r="S19" s="8">
        <f t="shared" si="5"/>
        <v>87848.595670036375</v>
      </c>
      <c r="T19" s="8">
        <f t="shared" si="5"/>
        <v>93997.997366938929</v>
      </c>
      <c r="U19" s="8">
        <f t="shared" si="5"/>
        <v>100577.85718262466</v>
      </c>
      <c r="V19" s="8">
        <f t="shared" si="5"/>
        <v>107618.3071854084</v>
      </c>
      <c r="W19" s="8">
        <f t="shared" si="5"/>
        <v>115151.588688387</v>
      </c>
      <c r="X19" s="8">
        <f t="shared" si="5"/>
        <v>123212.19989657409</v>
      </c>
    </row>
    <row r="20" spans="1:24" x14ac:dyDescent="0.25">
      <c r="A20" t="s">
        <v>1338</v>
      </c>
      <c r="B20" t="s">
        <v>1338</v>
      </c>
      <c r="C20" s="31">
        <f>'Overhead Costs'!C15-'Main Center'!C19-'Main Center'!C18</f>
        <v>171995</v>
      </c>
      <c r="D20" s="8"/>
      <c r="E20" s="8">
        <f>C20*(((1+E14)+(1+E12))/2)</f>
        <v>194354.34999999998</v>
      </c>
      <c r="F20" s="8">
        <f t="shared" ref="F20:X20" si="6">E20*(((1+F14)+(1+F12))/2)</f>
        <v>210874.46974999996</v>
      </c>
      <c r="G20" s="8">
        <f t="shared" si="6"/>
        <v>228798.79967874996</v>
      </c>
      <c r="H20" s="8">
        <f t="shared" si="6"/>
        <v>248246.69765144368</v>
      </c>
      <c r="I20" s="8">
        <f t="shared" si="6"/>
        <v>269347.66695181641</v>
      </c>
      <c r="J20" s="8">
        <f t="shared" si="6"/>
        <v>292242.21864272078</v>
      </c>
      <c r="K20" s="8">
        <f t="shared" si="6"/>
        <v>317082.80722735205</v>
      </c>
      <c r="L20" s="8">
        <f t="shared" si="6"/>
        <v>344034.84584167699</v>
      </c>
      <c r="M20" s="8">
        <f t="shared" si="6"/>
        <v>373277.8077382195</v>
      </c>
      <c r="N20" s="8">
        <f t="shared" si="6"/>
        <v>405006.42139596812</v>
      </c>
      <c r="O20" s="8">
        <f t="shared" si="6"/>
        <v>439431.96721462539</v>
      </c>
      <c r="P20" s="8">
        <f t="shared" si="6"/>
        <v>476783.68442786852</v>
      </c>
      <c r="Q20" s="8">
        <f t="shared" si="6"/>
        <v>517310.29760423733</v>
      </c>
      <c r="R20" s="8">
        <f t="shared" si="6"/>
        <v>561281.67290059745</v>
      </c>
      <c r="S20" s="8">
        <f t="shared" si="6"/>
        <v>608990.61509714823</v>
      </c>
      <c r="T20" s="8">
        <f t="shared" si="6"/>
        <v>660754.81738040585</v>
      </c>
      <c r="U20" s="8">
        <f t="shared" si="6"/>
        <v>716918.97685774032</v>
      </c>
      <c r="V20" s="8">
        <f t="shared" si="6"/>
        <v>777857.08989064826</v>
      </c>
      <c r="W20" s="8">
        <f t="shared" si="6"/>
        <v>843974.94253135333</v>
      </c>
      <c r="X20" s="8">
        <f t="shared" si="6"/>
        <v>915712.81264651834</v>
      </c>
    </row>
    <row r="21" spans="1:24" x14ac:dyDescent="0.25">
      <c r="B21" s="18">
        <f>C21-'Overhead Costs'!C15</f>
        <v>0</v>
      </c>
      <c r="C21" s="126">
        <f>SUM(C18:C20)</f>
        <v>233025</v>
      </c>
    </row>
    <row r="22" spans="1:24" x14ac:dyDescent="0.25">
      <c r="A22" s="5" t="s">
        <v>30</v>
      </c>
      <c r="B22" s="5"/>
    </row>
    <row r="23" spans="1:24" x14ac:dyDescent="0.25">
      <c r="A23" t="s">
        <v>23</v>
      </c>
      <c r="B23" t="s">
        <v>57</v>
      </c>
      <c r="E23" s="8">
        <f>E8*D6</f>
        <v>4435</v>
      </c>
      <c r="F23" s="8">
        <f t="shared" ref="F23:X23" si="7">E23*(1+F9)</f>
        <v>5322</v>
      </c>
      <c r="G23" s="8">
        <f t="shared" si="7"/>
        <v>6386.4</v>
      </c>
      <c r="H23" s="8">
        <f t="shared" si="7"/>
        <v>7663.6799999999994</v>
      </c>
      <c r="I23" s="8">
        <f t="shared" si="7"/>
        <v>9196.4159999999993</v>
      </c>
      <c r="J23" s="8">
        <f t="shared" si="7"/>
        <v>10575.878399999998</v>
      </c>
      <c r="K23" s="8">
        <f t="shared" si="7"/>
        <v>12162.260159999996</v>
      </c>
      <c r="L23" s="8">
        <f t="shared" si="7"/>
        <v>13986.599183999995</v>
      </c>
      <c r="M23" s="8">
        <f t="shared" si="7"/>
        <v>16084.589061599992</v>
      </c>
      <c r="N23" s="8">
        <f t="shared" si="7"/>
        <v>18497.27742083999</v>
      </c>
      <c r="O23" s="8">
        <f t="shared" si="7"/>
        <v>20347.00516292399</v>
      </c>
      <c r="P23" s="8">
        <f t="shared" si="7"/>
        <v>22381.705679216389</v>
      </c>
      <c r="Q23" s="8">
        <f t="shared" si="7"/>
        <v>24619.876247138029</v>
      </c>
      <c r="R23" s="8">
        <f t="shared" si="7"/>
        <v>27081.863871851834</v>
      </c>
      <c r="S23" s="8">
        <f t="shared" si="7"/>
        <v>29790.05025903702</v>
      </c>
      <c r="T23" s="8">
        <f t="shared" si="7"/>
        <v>31279.552771988871</v>
      </c>
      <c r="U23" s="8">
        <f t="shared" si="7"/>
        <v>32843.530410588319</v>
      </c>
      <c r="V23" s="8">
        <f t="shared" si="7"/>
        <v>34485.706931117733</v>
      </c>
      <c r="W23" s="8">
        <f t="shared" si="7"/>
        <v>36209.99227767362</v>
      </c>
      <c r="X23" s="8">
        <f t="shared" si="7"/>
        <v>38020.4918915573</v>
      </c>
    </row>
    <row r="24" spans="1:24" x14ac:dyDescent="0.25">
      <c r="A24" t="s">
        <v>31</v>
      </c>
      <c r="C24" s="31">
        <f>Average_charge_3_Main_centers!B9</f>
        <v>413.65961997612413</v>
      </c>
      <c r="D24" s="8"/>
      <c r="E24" s="8">
        <f>C24*(1+E10)</f>
        <v>479.84515917230397</v>
      </c>
      <c r="F24" s="8">
        <f t="shared" ref="F24:X24" si="8">E24*(1+F10)</f>
        <v>521.44180508199531</v>
      </c>
      <c r="G24" s="8">
        <f t="shared" si="8"/>
        <v>566.84493787246765</v>
      </c>
      <c r="H24" s="8">
        <f t="shared" si="8"/>
        <v>618.29711138586595</v>
      </c>
      <c r="I24" s="8">
        <f t="shared" si="8"/>
        <v>666.99304481137233</v>
      </c>
      <c r="J24" s="8">
        <f t="shared" si="8"/>
        <v>719.72543460284464</v>
      </c>
      <c r="K24" s="8">
        <f t="shared" si="8"/>
        <v>776.85249920148635</v>
      </c>
      <c r="L24" s="8">
        <f t="shared" si="8"/>
        <v>838.76690360125588</v>
      </c>
      <c r="M24" s="8">
        <f t="shared" si="8"/>
        <v>905.89935218949813</v>
      </c>
      <c r="N24" s="8">
        <f t="shared" si="8"/>
        <v>978.72258378176377</v>
      </c>
      <c r="O24" s="8">
        <f t="shared" si="8"/>
        <v>1057.7558163622846</v>
      </c>
      <c r="P24" s="8">
        <f t="shared" si="8"/>
        <v>1143.5696948651664</v>
      </c>
      <c r="Q24" s="8">
        <f t="shared" si="8"/>
        <v>1236.7918018858297</v>
      </c>
      <c r="R24" s="8">
        <f t="shared" si="8"/>
        <v>1338.1127985905746</v>
      </c>
      <c r="S24" s="8">
        <f t="shared" si="8"/>
        <v>1448.2932713994112</v>
      </c>
      <c r="T24" s="8">
        <f t="shared" si="8"/>
        <v>1568.1713693719373</v>
      </c>
      <c r="U24" s="8">
        <f t="shared" si="8"/>
        <v>1698.671327761806</v>
      </c>
      <c r="V24" s="8">
        <f t="shared" si="8"/>
        <v>1840.8129850731366</v>
      </c>
      <c r="W24" s="8">
        <f t="shared" si="8"/>
        <v>1995.7224143224062</v>
      </c>
      <c r="X24" s="8">
        <f t="shared" si="8"/>
        <v>2164.6438042742261</v>
      </c>
    </row>
    <row r="25" spans="1:24" x14ac:dyDescent="0.25">
      <c r="X25" s="15"/>
    </row>
    <row r="26" spans="1:24" x14ac:dyDescent="0.25">
      <c r="E26" s="15"/>
      <c r="F26" s="15"/>
      <c r="G26" s="15"/>
      <c r="H26" s="15"/>
      <c r="I26" s="15"/>
      <c r="J26" s="15"/>
    </row>
    <row r="27" spans="1:24" x14ac:dyDescent="0.25">
      <c r="A27" s="5" t="s">
        <v>32</v>
      </c>
      <c r="B27" s="5"/>
      <c r="C27" s="9">
        <v>1</v>
      </c>
    </row>
    <row r="28" spans="1:24" x14ac:dyDescent="0.25">
      <c r="A28" t="s">
        <v>33</v>
      </c>
      <c r="B28" t="s">
        <v>58</v>
      </c>
      <c r="E28" s="129">
        <f>E24*E23/1000000</f>
        <v>2.1281132809291683</v>
      </c>
      <c r="F28" s="129">
        <f t="shared" ref="F28:X28" si="9">F24*F23/1000000</f>
        <v>2.7751132866463792</v>
      </c>
      <c r="G28" s="129">
        <f t="shared" si="9"/>
        <v>3.6200985112287274</v>
      </c>
      <c r="H28" s="129">
        <f t="shared" si="9"/>
        <v>4.7384312065856324</v>
      </c>
      <c r="I28" s="129">
        <f t="shared" si="9"/>
        <v>6.1339455091920208</v>
      </c>
      <c r="J28" s="129">
        <f t="shared" si="9"/>
        <v>7.6117286777468358</v>
      </c>
      <c r="K28" s="129">
        <f t="shared" si="9"/>
        <v>9.448282201234667</v>
      </c>
      <c r="L28" s="129">
        <f t="shared" si="9"/>
        <v>11.731496489475528</v>
      </c>
      <c r="M28" s="129">
        <f t="shared" si="9"/>
        <v>14.571018811137721</v>
      </c>
      <c r="N28" s="129">
        <f t="shared" si="9"/>
        <v>18.103703150252596</v>
      </c>
      <c r="O28" s="129">
        <f t="shared" si="9"/>
        <v>21.522163056636284</v>
      </c>
      <c r="P28" s="129">
        <f t="shared" si="9"/>
        <v>25.595040334143448</v>
      </c>
      <c r="Q28" s="129">
        <f t="shared" si="9"/>
        <v>30.449661105903981</v>
      </c>
      <c r="R28" s="129">
        <f t="shared" si="9"/>
        <v>36.238588656612635</v>
      </c>
      <c r="S28" s="129">
        <f t="shared" si="9"/>
        <v>43.144729344813598</v>
      </c>
      <c r="T28" s="129">
        <f t="shared" si="9"/>
        <v>49.051699103791563</v>
      </c>
      <c r="U28" s="129">
        <f t="shared" si="9"/>
        <v>55.790363410939314</v>
      </c>
      <c r="V28" s="129">
        <f t="shared" si="9"/>
        <v>63.481737118228189</v>
      </c>
      <c r="W28" s="129">
        <f t="shared" si="9"/>
        <v>72.265093210994479</v>
      </c>
      <c r="X28" s="129">
        <f t="shared" si="9"/>
        <v>82.300822208517957</v>
      </c>
    </row>
    <row r="29" spans="1:24" x14ac:dyDescent="0.25">
      <c r="A29" t="s">
        <v>1459</v>
      </c>
      <c r="B29" t="s">
        <v>59</v>
      </c>
      <c r="C29" s="13">
        <v>-0.2</v>
      </c>
      <c r="D29" s="11"/>
      <c r="E29" s="230">
        <f t="shared" ref="E29:X29" si="10">$C$29*E28</f>
        <v>-0.42562265618583367</v>
      </c>
      <c r="F29" s="230">
        <f t="shared" si="10"/>
        <v>-0.55502265732927591</v>
      </c>
      <c r="G29" s="230">
        <f t="shared" si="10"/>
        <v>-0.72401970224574552</v>
      </c>
      <c r="H29" s="230">
        <f t="shared" si="10"/>
        <v>-0.94768624131712653</v>
      </c>
      <c r="I29" s="230">
        <f t="shared" si="10"/>
        <v>-1.2267891018384043</v>
      </c>
      <c r="J29" s="230">
        <f t="shared" si="10"/>
        <v>-1.5223457355493673</v>
      </c>
      <c r="K29" s="230">
        <f t="shared" si="10"/>
        <v>-1.8896564402469336</v>
      </c>
      <c r="L29" s="230">
        <f t="shared" si="10"/>
        <v>-2.3462992978951056</v>
      </c>
      <c r="M29" s="230">
        <f t="shared" si="10"/>
        <v>-2.9142037622275443</v>
      </c>
      <c r="N29" s="230">
        <f t="shared" si="10"/>
        <v>-3.6207406300505194</v>
      </c>
      <c r="O29" s="230">
        <f t="shared" si="10"/>
        <v>-4.3044326113272566</v>
      </c>
      <c r="P29" s="230">
        <f t="shared" si="10"/>
        <v>-5.1190080668286901</v>
      </c>
      <c r="Q29" s="230">
        <f t="shared" si="10"/>
        <v>-6.0899322211807965</v>
      </c>
      <c r="R29" s="230">
        <f t="shared" si="10"/>
        <v>-7.2477177313225276</v>
      </c>
      <c r="S29" s="230">
        <f t="shared" si="10"/>
        <v>-8.6289458689627203</v>
      </c>
      <c r="T29" s="230">
        <f t="shared" si="10"/>
        <v>-9.8103398207583137</v>
      </c>
      <c r="U29" s="230">
        <f t="shared" si="10"/>
        <v>-11.158072682187864</v>
      </c>
      <c r="V29" s="230">
        <f t="shared" si="10"/>
        <v>-12.696347423645639</v>
      </c>
      <c r="W29" s="230">
        <f t="shared" si="10"/>
        <v>-14.453018642198897</v>
      </c>
      <c r="X29" s="230">
        <f t="shared" si="10"/>
        <v>-16.460164441703593</v>
      </c>
    </row>
    <row r="30" spans="1:24" s="1" customFormat="1" ht="15.75" thickBot="1" x14ac:dyDescent="0.3">
      <c r="A30" s="1" t="s">
        <v>35</v>
      </c>
      <c r="C30" s="6"/>
      <c r="D30" s="16">
        <f t="shared" ref="D30:X30" si="11">SUM(D28:D29)</f>
        <v>0</v>
      </c>
      <c r="E30" s="225">
        <f>SUM(E28:E29)</f>
        <v>1.7024906247433347</v>
      </c>
      <c r="F30" s="225">
        <f t="shared" si="11"/>
        <v>2.2200906293171032</v>
      </c>
      <c r="G30" s="225">
        <f t="shared" si="11"/>
        <v>2.8960788089829821</v>
      </c>
      <c r="H30" s="225">
        <f t="shared" si="11"/>
        <v>3.7907449652685061</v>
      </c>
      <c r="I30" s="225">
        <f t="shared" si="11"/>
        <v>4.9071564073536162</v>
      </c>
      <c r="J30" s="225">
        <f t="shared" si="11"/>
        <v>6.089382942197469</v>
      </c>
      <c r="K30" s="225">
        <f t="shared" si="11"/>
        <v>7.5586257609877334</v>
      </c>
      <c r="L30" s="225">
        <f t="shared" si="11"/>
        <v>9.3851971915804224</v>
      </c>
      <c r="M30" s="225">
        <f t="shared" si="11"/>
        <v>11.656815048910177</v>
      </c>
      <c r="N30" s="225">
        <f t="shared" si="11"/>
        <v>14.482962520202076</v>
      </c>
      <c r="O30" s="225">
        <f t="shared" si="11"/>
        <v>17.217730445309027</v>
      </c>
      <c r="P30" s="225">
        <f t="shared" si="11"/>
        <v>20.476032267314757</v>
      </c>
      <c r="Q30" s="225">
        <f t="shared" si="11"/>
        <v>24.359728884723186</v>
      </c>
      <c r="R30" s="225">
        <f t="shared" si="11"/>
        <v>28.990870925290107</v>
      </c>
      <c r="S30" s="225">
        <f t="shared" si="11"/>
        <v>34.515783475850881</v>
      </c>
      <c r="T30" s="225">
        <f t="shared" si="11"/>
        <v>39.241359283033248</v>
      </c>
      <c r="U30" s="225">
        <f t="shared" si="11"/>
        <v>44.63229072875145</v>
      </c>
      <c r="V30" s="225">
        <f t="shared" si="11"/>
        <v>50.785389694582548</v>
      </c>
      <c r="W30" s="225">
        <f t="shared" si="11"/>
        <v>57.81207456879558</v>
      </c>
      <c r="X30" s="225">
        <f t="shared" si="11"/>
        <v>65.84065776681436</v>
      </c>
    </row>
    <row r="31" spans="1:24" ht="15.75" thickTop="1" x14ac:dyDescent="0.25"/>
    <row r="32" spans="1:24" x14ac:dyDescent="0.25">
      <c r="A32" s="5" t="s">
        <v>36</v>
      </c>
      <c r="B32" s="5"/>
    </row>
    <row r="33" spans="1:25" x14ac:dyDescent="0.25">
      <c r="E33" s="15"/>
    </row>
    <row r="34" spans="1:25" x14ac:dyDescent="0.25">
      <c r="A34" t="s">
        <v>37</v>
      </c>
      <c r="B34" t="s">
        <v>60</v>
      </c>
      <c r="D34" s="10"/>
      <c r="E34" s="129">
        <f t="shared" ref="E34:X34" si="12">E17*E16*12/1000000</f>
        <v>2.7874799999999991</v>
      </c>
      <c r="F34" s="129">
        <f t="shared" si="12"/>
        <v>3.0662279999999993</v>
      </c>
      <c r="G34" s="129">
        <f t="shared" si="12"/>
        <v>3.3728507999999997</v>
      </c>
      <c r="H34" s="129">
        <f t="shared" si="12"/>
        <v>3.7438643879999995</v>
      </c>
      <c r="I34" s="129">
        <f t="shared" si="12"/>
        <v>4.0059348951600002</v>
      </c>
      <c r="J34" s="129">
        <f t="shared" si="12"/>
        <v>4.2863503378212009</v>
      </c>
      <c r="K34" s="129">
        <f t="shared" si="12"/>
        <v>4.5863948614686851</v>
      </c>
      <c r="L34" s="129">
        <f t="shared" si="12"/>
        <v>4.9074425017714933</v>
      </c>
      <c r="M34" s="129">
        <f t="shared" si="12"/>
        <v>5.2509634768954969</v>
      </c>
      <c r="N34" s="129">
        <f t="shared" si="12"/>
        <v>5.6185309202781824</v>
      </c>
      <c r="O34" s="129">
        <f t="shared" si="12"/>
        <v>6.0118280846976564</v>
      </c>
      <c r="P34" s="129">
        <f t="shared" si="12"/>
        <v>6.432656050626492</v>
      </c>
      <c r="Q34" s="129">
        <f t="shared" si="12"/>
        <v>6.8829419741703468</v>
      </c>
      <c r="R34" s="129">
        <f t="shared" si="12"/>
        <v>7.3647479123622706</v>
      </c>
      <c r="S34" s="129">
        <f t="shared" si="12"/>
        <v>7.880280266227631</v>
      </c>
      <c r="T34" s="129">
        <f t="shared" si="12"/>
        <v>8.4318998848635651</v>
      </c>
      <c r="U34" s="129">
        <f t="shared" si="12"/>
        <v>9.0221328768040152</v>
      </c>
      <c r="V34" s="129">
        <f t="shared" si="12"/>
        <v>9.6536821781802971</v>
      </c>
      <c r="W34" s="129">
        <f t="shared" si="12"/>
        <v>10.329439930652917</v>
      </c>
      <c r="X34" s="129">
        <f t="shared" si="12"/>
        <v>11.052500725798621</v>
      </c>
    </row>
    <row r="35" spans="1:25" x14ac:dyDescent="0.25">
      <c r="A35" t="s">
        <v>1460</v>
      </c>
      <c r="B35" t="s">
        <v>1460</v>
      </c>
      <c r="C35" s="17">
        <f>Reagent_Costing!BK39</f>
        <v>0.23000483130853167</v>
      </c>
      <c r="D35" s="10"/>
      <c r="E35" s="129">
        <f>$C$35*E28</f>
        <v>0.48947633618555919</v>
      </c>
      <c r="F35" s="129">
        <f t="shared" ref="F35:X35" si="13">E35*(1+F9)*(1+F15)</f>
        <v>0.63152726370997037</v>
      </c>
      <c r="G35" s="129">
        <f t="shared" si="13"/>
        <v>0.81480279091124075</v>
      </c>
      <c r="H35" s="129">
        <f t="shared" si="13"/>
        <v>1.0512667088615919</v>
      </c>
      <c r="I35" s="129">
        <f t="shared" si="13"/>
        <v>1.3563548204403144</v>
      </c>
      <c r="J35" s="129">
        <f t="shared" si="13"/>
        <v>1.6770666131769523</v>
      </c>
      <c r="K35" s="129">
        <f t="shared" si="13"/>
        <v>2.0736111101959089</v>
      </c>
      <c r="L35" s="129">
        <f t="shared" si="13"/>
        <v>2.5639190492156194</v>
      </c>
      <c r="M35" s="129">
        <f t="shared" si="13"/>
        <v>3.1701609133014639</v>
      </c>
      <c r="N35" s="129">
        <f t="shared" si="13"/>
        <v>3.9197494239527364</v>
      </c>
      <c r="O35" s="129">
        <f t="shared" si="13"/>
        <v>4.6358582455882225</v>
      </c>
      <c r="P35" s="129">
        <f t="shared" si="13"/>
        <v>5.4827947781203488</v>
      </c>
      <c r="Q35" s="129">
        <f t="shared" si="13"/>
        <v>6.4844602631221013</v>
      </c>
      <c r="R35" s="129">
        <f t="shared" si="13"/>
        <v>7.6691225197425368</v>
      </c>
      <c r="S35" s="129">
        <f t="shared" si="13"/>
        <v>9.070213685680601</v>
      </c>
      <c r="T35" s="129">
        <f t="shared" si="13"/>
        <v>10.239670349476722</v>
      </c>
      <c r="U35" s="129">
        <f t="shared" si="13"/>
        <v>11.559909446398567</v>
      </c>
      <c r="V35" s="129">
        <f t="shared" si="13"/>
        <v>13.050371920983158</v>
      </c>
      <c r="W35" s="129">
        <f t="shared" si="13"/>
        <v>14.733005311650222</v>
      </c>
      <c r="X35" s="129">
        <f t="shared" si="13"/>
        <v>16.632586935251204</v>
      </c>
    </row>
    <row r="36" spans="1:25" x14ac:dyDescent="0.25">
      <c r="A36" t="s">
        <v>39</v>
      </c>
      <c r="B36" t="s">
        <v>39</v>
      </c>
      <c r="D36" s="10"/>
      <c r="E36" s="129">
        <f t="shared" ref="E36:X36" si="14">E18*$D$6/1000000*12</f>
        <v>0.44070719999999997</v>
      </c>
      <c r="F36" s="129">
        <f t="shared" si="14"/>
        <v>0.47155670399999999</v>
      </c>
      <c r="G36" s="129">
        <f t="shared" si="14"/>
        <v>0.50456567328000002</v>
      </c>
      <c r="H36" s="129">
        <f t="shared" si="14"/>
        <v>0.53988527040959999</v>
      </c>
      <c r="I36" s="129">
        <f t="shared" si="14"/>
        <v>0.57767723933827209</v>
      </c>
      <c r="J36" s="129">
        <f t="shared" si="14"/>
        <v>0.6181146460919511</v>
      </c>
      <c r="K36" s="129">
        <f t="shared" si="14"/>
        <v>0.66138267131838779</v>
      </c>
      <c r="L36" s="129">
        <f t="shared" si="14"/>
        <v>0.70767945831067491</v>
      </c>
      <c r="M36" s="129">
        <f t="shared" si="14"/>
        <v>0.75721702039242222</v>
      </c>
      <c r="N36" s="129">
        <f t="shared" si="14"/>
        <v>0.81022221181989174</v>
      </c>
      <c r="O36" s="129">
        <f t="shared" si="14"/>
        <v>0.86693776664728428</v>
      </c>
      <c r="P36" s="129">
        <f t="shared" si="14"/>
        <v>0.92762341031259421</v>
      </c>
      <c r="Q36" s="129">
        <f t="shared" si="14"/>
        <v>0.99255704903447595</v>
      </c>
      <c r="R36" s="129">
        <f t="shared" si="14"/>
        <v>1.0620360424668893</v>
      </c>
      <c r="S36" s="129">
        <f t="shared" si="14"/>
        <v>1.1363785654395717</v>
      </c>
      <c r="T36" s="129">
        <f t="shared" si="14"/>
        <v>1.2159250650203417</v>
      </c>
      <c r="U36" s="129">
        <f t="shared" si="14"/>
        <v>1.3010398195717658</v>
      </c>
      <c r="V36" s="129">
        <f t="shared" si="14"/>
        <v>1.3921126069417895</v>
      </c>
      <c r="W36" s="129">
        <f t="shared" si="14"/>
        <v>1.4895604894277148</v>
      </c>
      <c r="X36" s="129">
        <f t="shared" si="14"/>
        <v>1.5938297236876551</v>
      </c>
    </row>
    <row r="37" spans="1:25" x14ac:dyDescent="0.25">
      <c r="A37" t="s">
        <v>40</v>
      </c>
      <c r="B37" t="s">
        <v>40</v>
      </c>
      <c r="D37" s="10"/>
      <c r="E37" s="129">
        <f t="shared" ref="E37:X37" si="15">E19*$D$6/1000000*12</f>
        <v>0.40883039999999993</v>
      </c>
      <c r="F37" s="129">
        <f t="shared" si="15"/>
        <v>0.43744852800000006</v>
      </c>
      <c r="G37" s="129">
        <f t="shared" si="15"/>
        <v>0.46806992495999999</v>
      </c>
      <c r="H37" s="129">
        <f t="shared" si="15"/>
        <v>0.50083481970720001</v>
      </c>
      <c r="I37" s="129">
        <f t="shared" si="15"/>
        <v>0.5358932570867041</v>
      </c>
      <c r="J37" s="129">
        <f t="shared" si="15"/>
        <v>0.5734057850827734</v>
      </c>
      <c r="K37" s="129">
        <f t="shared" si="15"/>
        <v>0.61354419003856764</v>
      </c>
      <c r="L37" s="129">
        <f t="shared" si="15"/>
        <v>0.65649228334126741</v>
      </c>
      <c r="M37" s="129">
        <f t="shared" si="15"/>
        <v>0.7024467431751561</v>
      </c>
      <c r="N37" s="129">
        <f t="shared" si="15"/>
        <v>0.751618015197417</v>
      </c>
      <c r="O37" s="129">
        <f t="shared" si="15"/>
        <v>0.80423127626123625</v>
      </c>
      <c r="P37" s="129">
        <f t="shared" si="15"/>
        <v>0.86052746559952287</v>
      </c>
      <c r="Q37" s="129">
        <f t="shared" si="15"/>
        <v>0.92076438819148942</v>
      </c>
      <c r="R37" s="129">
        <f t="shared" si="15"/>
        <v>0.98521789536489379</v>
      </c>
      <c r="S37" s="129">
        <f t="shared" si="15"/>
        <v>1.0541831480404364</v>
      </c>
      <c r="T37" s="129">
        <f t="shared" si="15"/>
        <v>1.1279759684032671</v>
      </c>
      <c r="U37" s="129">
        <f t="shared" si="15"/>
        <v>1.2069342861914958</v>
      </c>
      <c r="V37" s="129">
        <f t="shared" si="15"/>
        <v>1.2914196862249008</v>
      </c>
      <c r="W37" s="129">
        <f t="shared" si="15"/>
        <v>1.381819064260644</v>
      </c>
      <c r="X37" s="129">
        <f t="shared" si="15"/>
        <v>1.4785463987588892</v>
      </c>
    </row>
    <row r="38" spans="1:25" x14ac:dyDescent="0.25">
      <c r="A38" t="s">
        <v>1338</v>
      </c>
      <c r="B38" t="s">
        <v>43</v>
      </c>
      <c r="D38" s="10"/>
      <c r="E38" s="129">
        <f t="shared" ref="E38:X38" si="16">(E20*$D$6/1000000*12)</f>
        <v>2.3322521999999997</v>
      </c>
      <c r="F38" s="129">
        <f t="shared" si="16"/>
        <v>2.5304936369999993</v>
      </c>
      <c r="G38" s="129">
        <f t="shared" si="16"/>
        <v>2.7455855961449998</v>
      </c>
      <c r="H38" s="129">
        <f t="shared" si="16"/>
        <v>2.9789603718173243</v>
      </c>
      <c r="I38" s="129">
        <f t="shared" si="16"/>
        <v>3.2321720034217964</v>
      </c>
      <c r="J38" s="129">
        <f t="shared" si="16"/>
        <v>3.5069066237126494</v>
      </c>
      <c r="K38" s="129">
        <f t="shared" si="16"/>
        <v>3.8049936867282246</v>
      </c>
      <c r="L38" s="129">
        <f t="shared" si="16"/>
        <v>4.1284181501001243</v>
      </c>
      <c r="M38" s="129">
        <f t="shared" si="16"/>
        <v>4.479333692858634</v>
      </c>
      <c r="N38" s="129">
        <f t="shared" si="16"/>
        <v>4.8600770567516172</v>
      </c>
      <c r="O38" s="129">
        <f t="shared" si="16"/>
        <v>5.2731836065755049</v>
      </c>
      <c r="P38" s="129">
        <f t="shared" si="16"/>
        <v>5.7214042131344218</v>
      </c>
      <c r="Q38" s="129">
        <f t="shared" si="16"/>
        <v>6.2077235712508472</v>
      </c>
      <c r="R38" s="129">
        <f t="shared" si="16"/>
        <v>6.7353800748071695</v>
      </c>
      <c r="S38" s="129">
        <f t="shared" si="16"/>
        <v>7.307887381165779</v>
      </c>
      <c r="T38" s="129">
        <f t="shared" si="16"/>
        <v>7.9290578085648704</v>
      </c>
      <c r="U38" s="129">
        <f t="shared" si="16"/>
        <v>8.6030277222928841</v>
      </c>
      <c r="V38" s="129">
        <f t="shared" si="16"/>
        <v>9.3342850786877793</v>
      </c>
      <c r="W38" s="129">
        <f t="shared" si="16"/>
        <v>10.12769931037624</v>
      </c>
      <c r="X38" s="129">
        <f t="shared" si="16"/>
        <v>10.988553751758221</v>
      </c>
    </row>
    <row r="39" spans="1:25" x14ac:dyDescent="0.25">
      <c r="A39" t="s">
        <v>41</v>
      </c>
      <c r="B39" t="s">
        <v>62</v>
      </c>
      <c r="C39" s="13"/>
      <c r="D39" s="10"/>
      <c r="E39" s="129">
        <f>(('Central _support'!D10/1000000))/31</f>
        <v>0.13583922580645161</v>
      </c>
      <c r="F39" s="129">
        <f t="shared" ref="F39:X39" si="17">E39*(1+F12)</f>
        <v>0.14534797161290322</v>
      </c>
      <c r="G39" s="129">
        <f t="shared" si="17"/>
        <v>0.15552232962580645</v>
      </c>
      <c r="H39" s="129">
        <f t="shared" si="17"/>
        <v>0.1664088926996129</v>
      </c>
      <c r="I39" s="129">
        <f t="shared" si="17"/>
        <v>0.17805751518858581</v>
      </c>
      <c r="J39" s="129">
        <f t="shared" si="17"/>
        <v>0.19052154125178683</v>
      </c>
      <c r="K39" s="129">
        <f t="shared" si="17"/>
        <v>0.20385804913941191</v>
      </c>
      <c r="L39" s="129">
        <f t="shared" si="17"/>
        <v>0.21812811257917075</v>
      </c>
      <c r="M39" s="129">
        <f t="shared" si="17"/>
        <v>0.23339708045971272</v>
      </c>
      <c r="N39" s="129">
        <f t="shared" si="17"/>
        <v>0.24973487609189263</v>
      </c>
      <c r="O39" s="129">
        <f t="shared" si="17"/>
        <v>0.26721631741832513</v>
      </c>
      <c r="P39" s="129">
        <f t="shared" si="17"/>
        <v>0.2859214596376079</v>
      </c>
      <c r="Q39" s="129">
        <f t="shared" si="17"/>
        <v>0.30593596181224048</v>
      </c>
      <c r="R39" s="129">
        <f t="shared" si="17"/>
        <v>0.32735147913909735</v>
      </c>
      <c r="S39" s="129">
        <f t="shared" si="17"/>
        <v>0.35026608267883419</v>
      </c>
      <c r="T39" s="129">
        <f t="shared" si="17"/>
        <v>0.37478470846635259</v>
      </c>
      <c r="U39" s="129">
        <f t="shared" si="17"/>
        <v>0.40101963805899732</v>
      </c>
      <c r="V39" s="129">
        <f t="shared" si="17"/>
        <v>0.42909101272312716</v>
      </c>
      <c r="W39" s="129">
        <f t="shared" si="17"/>
        <v>0.45912738361374611</v>
      </c>
      <c r="X39" s="129">
        <f t="shared" si="17"/>
        <v>0.49126630046670838</v>
      </c>
    </row>
    <row r="40" spans="1:25" x14ac:dyDescent="0.25">
      <c r="A40" t="s">
        <v>42</v>
      </c>
      <c r="B40" t="s">
        <v>43</v>
      </c>
      <c r="C40" s="9">
        <f>1%</f>
        <v>0.01</v>
      </c>
      <c r="D40" s="10"/>
      <c r="E40" s="129">
        <f t="shared" ref="E40:X40" si="18">+($C$40*E28)</f>
        <v>2.1281132809291683E-2</v>
      </c>
      <c r="F40" s="129">
        <f t="shared" si="18"/>
        <v>2.7751132866463794E-2</v>
      </c>
      <c r="G40" s="129">
        <f t="shared" si="18"/>
        <v>3.6200985112287275E-2</v>
      </c>
      <c r="H40" s="129">
        <f t="shared" si="18"/>
        <v>4.7384312065856325E-2</v>
      </c>
      <c r="I40" s="129">
        <f t="shared" si="18"/>
        <v>6.1339455091920209E-2</v>
      </c>
      <c r="J40" s="129">
        <f t="shared" si="18"/>
        <v>7.611728677746836E-2</v>
      </c>
      <c r="K40" s="129">
        <f t="shared" si="18"/>
        <v>9.4482822012346673E-2</v>
      </c>
      <c r="L40" s="129">
        <f t="shared" si="18"/>
        <v>0.11731496489475529</v>
      </c>
      <c r="M40" s="129">
        <f t="shared" si="18"/>
        <v>0.1457101881113772</v>
      </c>
      <c r="N40" s="129">
        <f t="shared" si="18"/>
        <v>0.18103703150252595</v>
      </c>
      <c r="O40" s="129">
        <f t="shared" si="18"/>
        <v>0.21522163056636284</v>
      </c>
      <c r="P40" s="129">
        <f t="shared" si="18"/>
        <v>0.25595040334143448</v>
      </c>
      <c r="Q40" s="129">
        <f t="shared" si="18"/>
        <v>0.3044966110590398</v>
      </c>
      <c r="R40" s="129">
        <f t="shared" si="18"/>
        <v>0.36238588656612636</v>
      </c>
      <c r="S40" s="129">
        <f t="shared" si="18"/>
        <v>0.43144729344813598</v>
      </c>
      <c r="T40" s="129">
        <f t="shared" si="18"/>
        <v>0.49051699103791563</v>
      </c>
      <c r="U40" s="129">
        <f t="shared" si="18"/>
        <v>0.55790363410939314</v>
      </c>
      <c r="V40" s="129">
        <f t="shared" si="18"/>
        <v>0.63481737118228188</v>
      </c>
      <c r="W40" s="129">
        <f t="shared" si="18"/>
        <v>0.7226509321099448</v>
      </c>
      <c r="X40" s="129">
        <f t="shared" si="18"/>
        <v>0.82300822208517954</v>
      </c>
    </row>
    <row r="41" spans="1:25" s="1" customFormat="1" ht="15.75" thickBot="1" x14ac:dyDescent="0.3">
      <c r="A41" s="1" t="s">
        <v>44</v>
      </c>
      <c r="C41" s="19"/>
      <c r="D41" s="122">
        <f t="shared" ref="D41:X41" si="19">SUM(D34:D40)</f>
        <v>0</v>
      </c>
      <c r="E41" s="225">
        <f t="shared" si="19"/>
        <v>6.6158664948013017</v>
      </c>
      <c r="F41" s="225">
        <f t="shared" si="19"/>
        <v>7.3103532371893358</v>
      </c>
      <c r="G41" s="225">
        <f t="shared" si="19"/>
        <v>8.097598100034336</v>
      </c>
      <c r="H41" s="225">
        <f t="shared" si="19"/>
        <v>9.0286047635611837</v>
      </c>
      <c r="I41" s="225">
        <f t="shared" si="19"/>
        <v>9.9474291857275929</v>
      </c>
      <c r="J41" s="225">
        <f t="shared" si="19"/>
        <v>10.928482833914781</v>
      </c>
      <c r="K41" s="225">
        <f t="shared" si="19"/>
        <v>12.038267390901533</v>
      </c>
      <c r="L41" s="225">
        <f t="shared" si="19"/>
        <v>13.299394520213104</v>
      </c>
      <c r="M41" s="225">
        <f t="shared" si="19"/>
        <v>14.739229115194261</v>
      </c>
      <c r="N41" s="225">
        <f t="shared" si="19"/>
        <v>16.390969535594266</v>
      </c>
      <c r="O41" s="225">
        <f t="shared" si="19"/>
        <v>18.074476927754588</v>
      </c>
      <c r="P41" s="225">
        <f t="shared" si="19"/>
        <v>19.966877780772421</v>
      </c>
      <c r="Q41" s="225">
        <f t="shared" si="19"/>
        <v>22.098879818640544</v>
      </c>
      <c r="R41" s="225">
        <f t="shared" si="19"/>
        <v>24.50624181044898</v>
      </c>
      <c r="S41" s="225">
        <f t="shared" si="19"/>
        <v>27.230656422680994</v>
      </c>
      <c r="T41" s="225">
        <f t="shared" si="19"/>
        <v>29.809830775833035</v>
      </c>
      <c r="U41" s="225">
        <f t="shared" si="19"/>
        <v>32.651967423427124</v>
      </c>
      <c r="V41" s="225">
        <f t="shared" si="19"/>
        <v>35.785779854923334</v>
      </c>
      <c r="W41" s="225">
        <f t="shared" si="19"/>
        <v>39.243302422091432</v>
      </c>
      <c r="X41" s="225">
        <f t="shared" si="19"/>
        <v>43.060292057806478</v>
      </c>
    </row>
    <row r="42" spans="1:25" ht="15.75" thickTop="1" x14ac:dyDescent="0.25"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</row>
    <row r="43" spans="1:25" x14ac:dyDescent="0.25">
      <c r="A43" s="249" t="s">
        <v>45</v>
      </c>
      <c r="B43" s="20"/>
      <c r="C43" s="6" t="s">
        <v>46</v>
      </c>
      <c r="D43" s="21">
        <f t="shared" ref="D43:X43" si="20">D30-D41</f>
        <v>0</v>
      </c>
      <c r="E43" s="226">
        <f t="shared" si="20"/>
        <v>-4.9133758700579673</v>
      </c>
      <c r="F43" s="226">
        <f t="shared" si="20"/>
        <v>-5.0902626078722326</v>
      </c>
      <c r="G43" s="226">
        <f t="shared" si="20"/>
        <v>-5.2015192910513539</v>
      </c>
      <c r="H43" s="226">
        <f t="shared" si="20"/>
        <v>-5.2378597982926776</v>
      </c>
      <c r="I43" s="226">
        <f t="shared" si="20"/>
        <v>-5.0402727783739767</v>
      </c>
      <c r="J43" s="226">
        <f t="shared" si="20"/>
        <v>-4.8390998917173125</v>
      </c>
      <c r="K43" s="226">
        <f t="shared" si="20"/>
        <v>-4.4796416299137993</v>
      </c>
      <c r="L43" s="226">
        <f t="shared" si="20"/>
        <v>-3.9141973286326817</v>
      </c>
      <c r="M43" s="226">
        <f t="shared" si="20"/>
        <v>-3.082414066284084</v>
      </c>
      <c r="N43" s="226">
        <f t="shared" si="20"/>
        <v>-1.9080070153921902</v>
      </c>
      <c r="O43" s="226">
        <f t="shared" si="20"/>
        <v>-0.85674648244556195</v>
      </c>
      <c r="P43" s="226">
        <f t="shared" si="20"/>
        <v>0.50915448654233586</v>
      </c>
      <c r="Q43" s="226">
        <f t="shared" si="20"/>
        <v>2.2608490660826419</v>
      </c>
      <c r="R43" s="226">
        <f t="shared" si="20"/>
        <v>4.4846291148411268</v>
      </c>
      <c r="S43" s="226">
        <f t="shared" si="20"/>
        <v>7.2851270531698873</v>
      </c>
      <c r="T43" s="226">
        <f t="shared" si="20"/>
        <v>9.4315285072002126</v>
      </c>
      <c r="U43" s="226">
        <f t="shared" si="20"/>
        <v>11.980323305324326</v>
      </c>
      <c r="V43" s="226">
        <f t="shared" si="20"/>
        <v>14.999609839659215</v>
      </c>
      <c r="W43" s="226">
        <f t="shared" si="20"/>
        <v>18.568772146704148</v>
      </c>
      <c r="X43" s="226">
        <f t="shared" si="20"/>
        <v>22.780365709007881</v>
      </c>
    </row>
    <row r="44" spans="1:25" x14ac:dyDescent="0.25">
      <c r="A44" s="249"/>
      <c r="B44" s="20"/>
      <c r="C44" s="6" t="s">
        <v>47</v>
      </c>
      <c r="D44" s="22">
        <v>0</v>
      </c>
      <c r="E44" s="227">
        <f t="shared" ref="E44:X44" si="21">E43/E13</f>
        <v>-3.4662263633565907E-2</v>
      </c>
      <c r="F44" s="227">
        <f t="shared" si="21"/>
        <v>-3.4200135099502697E-2</v>
      </c>
      <c r="G44" s="227">
        <f t="shared" si="21"/>
        <v>-3.3283466171088495E-2</v>
      </c>
      <c r="H44" s="227">
        <f t="shared" si="21"/>
        <v>-3.1920001619765132E-2</v>
      </c>
      <c r="I44" s="227">
        <f t="shared" si="21"/>
        <v>-2.9253226725886594E-2</v>
      </c>
      <c r="J44" s="227">
        <f t="shared" si="21"/>
        <v>-2.6748228481941444E-2</v>
      </c>
      <c r="K44" s="227">
        <f t="shared" si="21"/>
        <v>-2.3582204978173361E-2</v>
      </c>
      <c r="L44" s="227">
        <f t="shared" si="21"/>
        <v>-1.9624317205675073E-2</v>
      </c>
      <c r="M44" s="227">
        <f t="shared" si="21"/>
        <v>-1.4718159930384268E-2</v>
      </c>
      <c r="N44" s="227">
        <f t="shared" si="21"/>
        <v>-8.6766725525778705E-3</v>
      </c>
      <c r="O44" s="227">
        <f t="shared" si="21"/>
        <v>-3.7105327724709395E-3</v>
      </c>
      <c r="P44" s="227">
        <f t="shared" si="21"/>
        <v>2.1001205165907784E-3</v>
      </c>
      <c r="Q44" s="227">
        <f t="shared" si="21"/>
        <v>8.8813076320748089E-3</v>
      </c>
      <c r="R44" s="227">
        <f t="shared" si="21"/>
        <v>1.6778092199828974E-2</v>
      </c>
      <c r="S44" s="227">
        <f t="shared" si="21"/>
        <v>2.5957560550665171E-2</v>
      </c>
      <c r="T44" s="227">
        <f t="shared" si="21"/>
        <v>3.2005125030657521E-2</v>
      </c>
      <c r="U44" s="227">
        <f t="shared" si="21"/>
        <v>3.871833610829746E-2</v>
      </c>
      <c r="V44" s="227">
        <f t="shared" si="21"/>
        <v>4.6167760765421749E-2</v>
      </c>
      <c r="W44" s="227">
        <f t="shared" si="21"/>
        <v>5.4431805026339208E-2</v>
      </c>
      <c r="X44" s="227">
        <f t="shared" si="21"/>
        <v>6.3597631494265255E-2</v>
      </c>
    </row>
    <row r="45" spans="1:25" x14ac:dyDescent="0.25"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</row>
    <row r="46" spans="1:25" x14ac:dyDescent="0.25">
      <c r="A46" s="1" t="s">
        <v>48</v>
      </c>
      <c r="B46" s="1"/>
      <c r="C46" s="6"/>
      <c r="D46" s="24">
        <v>0</v>
      </c>
      <c r="E46" s="24">
        <f t="shared" ref="E46:X46" si="22">E43/E28</f>
        <v>-2.3087943269226292</v>
      </c>
      <c r="F46" s="24">
        <f t="shared" si="22"/>
        <v>-1.8342539860863212</v>
      </c>
      <c r="G46" s="24">
        <f t="shared" si="22"/>
        <v>-1.4368446811371063</v>
      </c>
      <c r="H46" s="24">
        <f t="shared" si="22"/>
        <v>-1.1053995657915054</v>
      </c>
      <c r="I46" s="24">
        <f t="shared" si="22"/>
        <v>-0.82170159008111154</v>
      </c>
      <c r="J46" s="24">
        <f t="shared" si="22"/>
        <v>-0.63574256211530455</v>
      </c>
      <c r="K46" s="24">
        <f t="shared" si="22"/>
        <v>-0.47412233615634558</v>
      </c>
      <c r="L46" s="24">
        <f t="shared" si="22"/>
        <v>-0.33364859565394378</v>
      </c>
      <c r="M46" s="24">
        <f t="shared" si="22"/>
        <v>-0.21154416902735476</v>
      </c>
      <c r="N46" s="24">
        <f t="shared" si="22"/>
        <v>-0.10539318942409683</v>
      </c>
      <c r="O46" s="24">
        <f t="shared" si="22"/>
        <v>-3.9807638302479416E-2</v>
      </c>
      <c r="P46" s="24">
        <f t="shared" si="22"/>
        <v>1.9892701081745529E-2</v>
      </c>
      <c r="Q46" s="24">
        <f t="shared" si="22"/>
        <v>7.4248743137711917E-2</v>
      </c>
      <c r="R46" s="24">
        <f t="shared" si="22"/>
        <v>0.12375286348307592</v>
      </c>
      <c r="S46" s="24">
        <f t="shared" si="22"/>
        <v>0.16885323337984107</v>
      </c>
      <c r="T46" s="24">
        <f t="shared" si="22"/>
        <v>0.19227730495621467</v>
      </c>
      <c r="U46" s="24">
        <f t="shared" si="22"/>
        <v>0.21473821952153188</v>
      </c>
      <c r="V46" s="24">
        <f t="shared" si="22"/>
        <v>0.23628228401696047</v>
      </c>
      <c r="W46" s="24">
        <f t="shared" si="22"/>
        <v>0.25695354868620135</v>
      </c>
      <c r="X46" s="24">
        <f t="shared" si="22"/>
        <v>0.27679390190405856</v>
      </c>
    </row>
    <row r="48" spans="1:25" x14ac:dyDescent="0.25">
      <c r="A48" s="228" t="s">
        <v>1469</v>
      </c>
      <c r="B48" s="25"/>
      <c r="C48" s="130">
        <v>0</v>
      </c>
      <c r="D48" s="129">
        <f>D49*D13</f>
        <v>-2</v>
      </c>
      <c r="E48" s="129">
        <f>$C$48*E28</f>
        <v>0</v>
      </c>
      <c r="F48" s="129">
        <f t="shared" ref="F48:X48" si="23">$C$48*F28</f>
        <v>0</v>
      </c>
      <c r="G48" s="129">
        <f t="shared" si="23"/>
        <v>0</v>
      </c>
      <c r="H48" s="129">
        <f t="shared" si="23"/>
        <v>0</v>
      </c>
      <c r="I48" s="129">
        <f t="shared" si="23"/>
        <v>0</v>
      </c>
      <c r="J48" s="129">
        <f t="shared" si="23"/>
        <v>0</v>
      </c>
      <c r="K48" s="129">
        <f t="shared" si="23"/>
        <v>0</v>
      </c>
      <c r="L48" s="129">
        <f t="shared" si="23"/>
        <v>0</v>
      </c>
      <c r="M48" s="129">
        <f t="shared" si="23"/>
        <v>0</v>
      </c>
      <c r="N48" s="129">
        <f t="shared" si="23"/>
        <v>0</v>
      </c>
      <c r="O48" s="129">
        <f t="shared" si="23"/>
        <v>0</v>
      </c>
      <c r="P48" s="129">
        <f t="shared" si="23"/>
        <v>0</v>
      </c>
      <c r="Q48" s="129">
        <f t="shared" si="23"/>
        <v>0</v>
      </c>
      <c r="R48" s="129">
        <f t="shared" si="23"/>
        <v>0</v>
      </c>
      <c r="S48" s="129">
        <f t="shared" si="23"/>
        <v>0</v>
      </c>
      <c r="T48" s="129">
        <f t="shared" si="23"/>
        <v>0</v>
      </c>
      <c r="U48" s="129">
        <f t="shared" si="23"/>
        <v>0</v>
      </c>
      <c r="V48" s="129">
        <f t="shared" si="23"/>
        <v>0</v>
      </c>
      <c r="W48" s="129">
        <f t="shared" si="23"/>
        <v>0</v>
      </c>
      <c r="X48" s="129">
        <f t="shared" si="23"/>
        <v>0</v>
      </c>
      <c r="Y48" s="18"/>
    </row>
    <row r="49" spans="1:26" x14ac:dyDescent="0.25">
      <c r="A49" s="228" t="s">
        <v>1470</v>
      </c>
      <c r="B49" s="26" t="s">
        <v>49</v>
      </c>
      <c r="C49" s="6" t="s">
        <v>47</v>
      </c>
      <c r="D49" s="15">
        <f>-D6*D7/1000000</f>
        <v>-1.4814814814814815E-2</v>
      </c>
      <c r="E49" s="15">
        <f t="shared" ref="E49:X49" si="24">-E6*E7/1000000</f>
        <v>0</v>
      </c>
      <c r="F49" s="15">
        <f t="shared" si="24"/>
        <v>0</v>
      </c>
      <c r="G49" s="15">
        <f t="shared" si="24"/>
        <v>0</v>
      </c>
      <c r="H49" s="15">
        <f t="shared" si="24"/>
        <v>0</v>
      </c>
      <c r="I49" s="15">
        <f t="shared" si="24"/>
        <v>0</v>
      </c>
      <c r="J49" s="15">
        <f t="shared" si="24"/>
        <v>0</v>
      </c>
      <c r="K49" s="15">
        <f t="shared" si="24"/>
        <v>0</v>
      </c>
      <c r="L49" s="15">
        <f t="shared" si="24"/>
        <v>0</v>
      </c>
      <c r="M49" s="15">
        <f t="shared" si="24"/>
        <v>0</v>
      </c>
      <c r="N49" s="15">
        <f t="shared" si="24"/>
        <v>0</v>
      </c>
      <c r="O49" s="15">
        <f t="shared" si="24"/>
        <v>0</v>
      </c>
      <c r="P49" s="15">
        <f t="shared" si="24"/>
        <v>0</v>
      </c>
      <c r="Q49" s="15">
        <f t="shared" si="24"/>
        <v>0</v>
      </c>
      <c r="R49" s="15">
        <f t="shared" si="24"/>
        <v>0</v>
      </c>
      <c r="S49" s="15">
        <f t="shared" si="24"/>
        <v>0</v>
      </c>
      <c r="T49" s="15">
        <f t="shared" si="24"/>
        <v>0</v>
      </c>
      <c r="U49" s="15">
        <f t="shared" si="24"/>
        <v>0</v>
      </c>
      <c r="V49" s="15">
        <f t="shared" si="24"/>
        <v>0</v>
      </c>
      <c r="W49" s="15">
        <f t="shared" si="24"/>
        <v>0</v>
      </c>
      <c r="X49" s="15">
        <f t="shared" si="24"/>
        <v>0</v>
      </c>
      <c r="Y49" s="15">
        <f>SUM(D49:X49)</f>
        <v>-1.4814814814814815E-2</v>
      </c>
    </row>
    <row r="51" spans="1:26" x14ac:dyDescent="0.25">
      <c r="A51" s="249" t="s">
        <v>50</v>
      </c>
      <c r="B51" s="20"/>
      <c r="C51" s="6" t="s">
        <v>46</v>
      </c>
      <c r="D51" s="226">
        <f t="shared" ref="D51:X51" si="25">+D43+D48</f>
        <v>-2</v>
      </c>
      <c r="E51" s="226">
        <f t="shared" si="25"/>
        <v>-4.9133758700579673</v>
      </c>
      <c r="F51" s="226">
        <f t="shared" si="25"/>
        <v>-5.0902626078722326</v>
      </c>
      <c r="G51" s="226">
        <f t="shared" si="25"/>
        <v>-5.2015192910513539</v>
      </c>
      <c r="H51" s="226">
        <f t="shared" si="25"/>
        <v>-5.2378597982926776</v>
      </c>
      <c r="I51" s="226">
        <f t="shared" si="25"/>
        <v>-5.0402727783739767</v>
      </c>
      <c r="J51" s="226">
        <f t="shared" si="25"/>
        <v>-4.8390998917173125</v>
      </c>
      <c r="K51" s="226">
        <f t="shared" si="25"/>
        <v>-4.4796416299137993</v>
      </c>
      <c r="L51" s="226">
        <f t="shared" si="25"/>
        <v>-3.9141973286326817</v>
      </c>
      <c r="M51" s="226">
        <f t="shared" si="25"/>
        <v>-3.082414066284084</v>
      </c>
      <c r="N51" s="226">
        <f t="shared" si="25"/>
        <v>-1.9080070153921902</v>
      </c>
      <c r="O51" s="226">
        <f t="shared" si="25"/>
        <v>-0.85674648244556195</v>
      </c>
      <c r="P51" s="226">
        <f t="shared" si="25"/>
        <v>0.50915448654233586</v>
      </c>
      <c r="Q51" s="226">
        <f t="shared" si="25"/>
        <v>2.2608490660826419</v>
      </c>
      <c r="R51" s="226">
        <f t="shared" si="25"/>
        <v>4.4846291148411268</v>
      </c>
      <c r="S51" s="226">
        <f t="shared" si="25"/>
        <v>7.2851270531698873</v>
      </c>
      <c r="T51" s="226">
        <f t="shared" si="25"/>
        <v>9.4315285072002126</v>
      </c>
      <c r="U51" s="226">
        <f t="shared" si="25"/>
        <v>11.980323305324326</v>
      </c>
      <c r="V51" s="226">
        <f t="shared" si="25"/>
        <v>14.999609839659215</v>
      </c>
      <c r="W51" s="226">
        <f t="shared" si="25"/>
        <v>18.568772146704148</v>
      </c>
      <c r="X51" s="226">
        <f t="shared" si="25"/>
        <v>22.780365709007881</v>
      </c>
      <c r="Y51" s="18">
        <f>SUM(D51:X51)</f>
        <v>45.73696246849795</v>
      </c>
      <c r="Z51" s="15">
        <f>Y51/20</f>
        <v>2.2868481234248974</v>
      </c>
    </row>
    <row r="52" spans="1:26" x14ac:dyDescent="0.25">
      <c r="A52" s="249" t="s">
        <v>50</v>
      </c>
      <c r="B52" s="20"/>
      <c r="C52" s="6" t="s">
        <v>47</v>
      </c>
      <c r="D52" s="227">
        <f t="shared" ref="D52:X52" si="26">+D44+D49</f>
        <v>-1.4814814814814815E-2</v>
      </c>
      <c r="E52" s="227">
        <f t="shared" si="26"/>
        <v>-3.4662263633565907E-2</v>
      </c>
      <c r="F52" s="227">
        <f t="shared" si="26"/>
        <v>-3.4200135099502697E-2</v>
      </c>
      <c r="G52" s="227">
        <f t="shared" si="26"/>
        <v>-3.3283466171088495E-2</v>
      </c>
      <c r="H52" s="227">
        <f t="shared" si="26"/>
        <v>-3.1920001619765132E-2</v>
      </c>
      <c r="I52" s="227">
        <f t="shared" si="26"/>
        <v>-2.9253226725886594E-2</v>
      </c>
      <c r="J52" s="227">
        <f t="shared" si="26"/>
        <v>-2.6748228481941444E-2</v>
      </c>
      <c r="K52" s="227">
        <f t="shared" si="26"/>
        <v>-2.3582204978173361E-2</v>
      </c>
      <c r="L52" s="227">
        <f t="shared" si="26"/>
        <v>-1.9624317205675073E-2</v>
      </c>
      <c r="M52" s="227">
        <f t="shared" si="26"/>
        <v>-1.4718159930384268E-2</v>
      </c>
      <c r="N52" s="227">
        <f t="shared" si="26"/>
        <v>-8.6766725525778705E-3</v>
      </c>
      <c r="O52" s="227">
        <f t="shared" si="26"/>
        <v>-3.7105327724709395E-3</v>
      </c>
      <c r="P52" s="227">
        <f t="shared" si="26"/>
        <v>2.1001205165907784E-3</v>
      </c>
      <c r="Q52" s="227">
        <f t="shared" si="26"/>
        <v>8.8813076320748089E-3</v>
      </c>
      <c r="R52" s="227">
        <f t="shared" si="26"/>
        <v>1.6778092199828974E-2</v>
      </c>
      <c r="S52" s="227">
        <f t="shared" si="26"/>
        <v>2.5957560550665171E-2</v>
      </c>
      <c r="T52" s="227">
        <f t="shared" si="26"/>
        <v>3.2005125030657521E-2</v>
      </c>
      <c r="U52" s="227">
        <f t="shared" si="26"/>
        <v>3.871833610829746E-2</v>
      </c>
      <c r="V52" s="227">
        <f t="shared" si="26"/>
        <v>4.6167760765421749E-2</v>
      </c>
      <c r="W52" s="227">
        <f t="shared" si="26"/>
        <v>5.4431805026339208E-2</v>
      </c>
      <c r="X52" s="227">
        <f t="shared" si="26"/>
        <v>6.3597631494265255E-2</v>
      </c>
      <c r="Y52" s="129">
        <f>SUM(D52:X52)</f>
        <v>1.3443715338294249E-2</v>
      </c>
    </row>
    <row r="55" spans="1:26" x14ac:dyDescent="0.25">
      <c r="A55" s="1" t="s">
        <v>51</v>
      </c>
      <c r="B55" s="1" t="s">
        <v>1355</v>
      </c>
      <c r="C55" s="130">
        <v>0.12826699999999999</v>
      </c>
      <c r="D55" s="124">
        <f>NPV(C55,E51:X51)+D51</f>
        <v>-16.423424454622975</v>
      </c>
      <c r="E55" s="238">
        <f>D55*1000000</f>
        <v>-16423424.454622975</v>
      </c>
      <c r="L55" s="15"/>
    </row>
    <row r="56" spans="1:26" x14ac:dyDescent="0.25">
      <c r="A56" s="1" t="s">
        <v>52</v>
      </c>
      <c r="B56" s="1"/>
      <c r="D56" s="124">
        <f>D55/E13</f>
        <v>-0.1158619009144478</v>
      </c>
      <c r="E56" s="238">
        <f>D56*1000000</f>
        <v>-115861.9009144478</v>
      </c>
      <c r="L56" s="15"/>
    </row>
    <row r="57" spans="1:26" x14ac:dyDescent="0.25">
      <c r="A57" s="1" t="s">
        <v>53</v>
      </c>
      <c r="B57" s="1"/>
      <c r="D57" s="125">
        <f>IRR(D51:X51)</f>
        <v>5.3815637385910664E-2</v>
      </c>
    </row>
    <row r="58" spans="1:26" x14ac:dyDescent="0.25">
      <c r="A58" s="1" t="s">
        <v>1477</v>
      </c>
      <c r="B58" s="1"/>
      <c r="D58" s="239">
        <f>(((Y52*1000000)/D7)^(1/20))-1</f>
        <v>-4.8440269430741756E-3</v>
      </c>
    </row>
    <row r="59" spans="1:26" x14ac:dyDescent="0.25">
      <c r="A59" s="1" t="s">
        <v>54</v>
      </c>
      <c r="B59" s="1"/>
      <c r="D59" s="1">
        <f>MATCH(1,E61:X61,0)</f>
        <v>17</v>
      </c>
      <c r="E59" s="1" t="s">
        <v>55</v>
      </c>
      <c r="F59" s="1">
        <f>-ROUND(INDEX(E60:X60,MATCH(1,E61:X61,0))/INDEX(E51:X51,MATCH(1,E61:X61,0)+1)*12,0)</f>
        <v>8</v>
      </c>
      <c r="G59" s="1" t="s">
        <v>56</v>
      </c>
    </row>
    <row r="60" spans="1:26" x14ac:dyDescent="0.25">
      <c r="E60" s="18">
        <f>SUM($D51:E51)</f>
        <v>-6.9133758700579673</v>
      </c>
      <c r="F60" s="18">
        <f>SUM($D51:F51)</f>
        <v>-12.003638477930199</v>
      </c>
      <c r="G60" s="18">
        <f>SUM($D51:G51)</f>
        <v>-17.205157768981554</v>
      </c>
      <c r="H60" s="18">
        <f>SUM($D51:H51)</f>
        <v>-22.443017567274232</v>
      </c>
      <c r="I60" s="18">
        <f>SUM($D51:I51)</f>
        <v>-27.483290345648207</v>
      </c>
      <c r="J60" s="18">
        <f>SUM($D51:J51)</f>
        <v>-32.322390237365518</v>
      </c>
      <c r="K60" s="18">
        <f>SUM($D51:K51)</f>
        <v>-36.802031867279318</v>
      </c>
      <c r="L60" s="18">
        <f>SUM($D51:L51)</f>
        <v>-40.716229195912</v>
      </c>
      <c r="M60" s="18">
        <f>SUM($D51:M51)</f>
        <v>-43.79864326219608</v>
      </c>
      <c r="N60" s="18">
        <f>SUM($D51:N51)</f>
        <v>-45.706650277588267</v>
      </c>
      <c r="O60" s="18">
        <f>SUM($D51:O51)</f>
        <v>-46.563396760033825</v>
      </c>
      <c r="P60" s="18">
        <f>SUM($D51:P51)</f>
        <v>-46.054242273491489</v>
      </c>
      <c r="Q60" s="18">
        <f>SUM($D51:Q51)</f>
        <v>-43.793393207408847</v>
      </c>
      <c r="R60" s="18">
        <f>SUM($D51:R51)</f>
        <v>-39.308764092567721</v>
      </c>
      <c r="S60" s="18">
        <f>SUM($D51:S51)</f>
        <v>-32.023637039397833</v>
      </c>
      <c r="T60" s="18">
        <f>SUM($D51:T51)</f>
        <v>-22.592108532197621</v>
      </c>
      <c r="U60" s="18">
        <f>SUM($D51:U51)</f>
        <v>-10.611785226873295</v>
      </c>
      <c r="V60" s="18">
        <f>SUM($D51:V51)</f>
        <v>4.38782461278592</v>
      </c>
      <c r="W60" s="18">
        <f>SUM($D51:W51)</f>
        <v>22.956596759490068</v>
      </c>
      <c r="X60" s="18">
        <f>SUM($D51:X51)</f>
        <v>45.73696246849795</v>
      </c>
    </row>
    <row r="61" spans="1:26" x14ac:dyDescent="0.25">
      <c r="E61" t="str">
        <f>IF(AND(E60&lt;0,F60&gt;0),1,"")</f>
        <v/>
      </c>
      <c r="F61" t="str">
        <f>IF(AND(F60&lt;0,G60&gt;0),1,"")</f>
        <v/>
      </c>
      <c r="G61" t="str">
        <f t="shared" ref="G61:X61" si="27">IF(AND(G60&lt;0,H60&gt;0),1,"")</f>
        <v/>
      </c>
      <c r="H61" t="str">
        <f t="shared" si="27"/>
        <v/>
      </c>
      <c r="I61" t="str">
        <f t="shared" si="27"/>
        <v/>
      </c>
      <c r="J61" t="str">
        <f t="shared" si="27"/>
        <v/>
      </c>
      <c r="K61" t="str">
        <f t="shared" si="27"/>
        <v/>
      </c>
      <c r="L61" t="str">
        <f t="shared" si="27"/>
        <v/>
      </c>
      <c r="M61" t="str">
        <f t="shared" si="27"/>
        <v/>
      </c>
      <c r="N61" t="str">
        <f t="shared" si="27"/>
        <v/>
      </c>
      <c r="O61" t="str">
        <f t="shared" si="27"/>
        <v/>
      </c>
      <c r="P61" t="str">
        <f>IF(AND(P60&lt;0,Q60&gt;0),1,"")</f>
        <v/>
      </c>
      <c r="Q61" t="str">
        <f t="shared" si="27"/>
        <v/>
      </c>
      <c r="R61" t="str">
        <f t="shared" si="27"/>
        <v/>
      </c>
      <c r="S61" t="str">
        <f t="shared" si="27"/>
        <v/>
      </c>
      <c r="T61" t="str">
        <f t="shared" si="27"/>
        <v/>
      </c>
      <c r="U61">
        <f t="shared" si="27"/>
        <v>1</v>
      </c>
      <c r="V61" t="str">
        <f t="shared" si="27"/>
        <v/>
      </c>
      <c r="W61" t="str">
        <f t="shared" si="27"/>
        <v/>
      </c>
      <c r="X61" t="str">
        <f t="shared" si="27"/>
        <v/>
      </c>
    </row>
    <row r="63" spans="1:26" x14ac:dyDescent="0.25">
      <c r="A63" s="1" t="s">
        <v>1353</v>
      </c>
      <c r="B63" s="1"/>
      <c r="C63" s="6"/>
      <c r="D63" s="1"/>
      <c r="E63" s="123">
        <f t="shared" ref="E63:X63" si="28">E28*1000000/300</f>
        <v>7093.7109364305607</v>
      </c>
      <c r="F63" s="123">
        <f t="shared" si="28"/>
        <v>9250.3776221545977</v>
      </c>
      <c r="G63" s="123">
        <f t="shared" si="28"/>
        <v>12066.995037429091</v>
      </c>
      <c r="H63" s="123">
        <f t="shared" si="28"/>
        <v>15794.770688618775</v>
      </c>
      <c r="I63" s="123">
        <f t="shared" si="28"/>
        <v>20446.485030640069</v>
      </c>
      <c r="J63" s="123">
        <f t="shared" si="28"/>
        <v>25372.428925822787</v>
      </c>
      <c r="K63" s="123">
        <f t="shared" si="28"/>
        <v>31494.274004115556</v>
      </c>
      <c r="L63" s="123">
        <f t="shared" si="28"/>
        <v>39104.988298251759</v>
      </c>
      <c r="M63" s="123">
        <f t="shared" si="28"/>
        <v>48570.062703792406</v>
      </c>
      <c r="N63" s="123">
        <f t="shared" si="28"/>
        <v>60345.677167508649</v>
      </c>
      <c r="O63" s="123">
        <f t="shared" si="28"/>
        <v>71740.543522120948</v>
      </c>
      <c r="P63" s="123">
        <f t="shared" si="28"/>
        <v>85316.801113811496</v>
      </c>
      <c r="Q63" s="123">
        <f t="shared" si="28"/>
        <v>101498.87035301328</v>
      </c>
      <c r="R63" s="123">
        <f t="shared" si="28"/>
        <v>120795.29552204211</v>
      </c>
      <c r="S63" s="123">
        <f t="shared" si="28"/>
        <v>143815.76448271199</v>
      </c>
      <c r="T63" s="123">
        <f t="shared" si="28"/>
        <v>163505.6636793052</v>
      </c>
      <c r="U63" s="123">
        <f t="shared" si="28"/>
        <v>185967.87803646439</v>
      </c>
      <c r="V63" s="123">
        <f t="shared" si="28"/>
        <v>211605.79039409396</v>
      </c>
      <c r="W63" s="123">
        <f t="shared" si="28"/>
        <v>240883.64403664827</v>
      </c>
      <c r="X63" s="123">
        <f t="shared" si="28"/>
        <v>274336.0740283932</v>
      </c>
    </row>
    <row r="64" spans="1:26" s="1" customFormat="1" x14ac:dyDescent="0.25">
      <c r="A64" s="1" t="s">
        <v>1354</v>
      </c>
      <c r="C64" s="6"/>
      <c r="E64" s="27">
        <f>E63*25</f>
        <v>177342.77341076403</v>
      </c>
      <c r="F64" s="27">
        <f t="shared" ref="F64:X64" si="29">F63*25</f>
        <v>231259.44055386493</v>
      </c>
      <c r="G64" s="27">
        <f t="shared" si="29"/>
        <v>301674.87593572726</v>
      </c>
      <c r="H64" s="27">
        <f t="shared" si="29"/>
        <v>394869.26721546939</v>
      </c>
      <c r="I64" s="27">
        <f t="shared" si="29"/>
        <v>511162.12576600176</v>
      </c>
      <c r="J64" s="27">
        <f t="shared" si="29"/>
        <v>634310.72314556967</v>
      </c>
      <c r="K64" s="27">
        <f t="shared" si="29"/>
        <v>787356.85010288889</v>
      </c>
      <c r="L64" s="27">
        <f t="shared" si="29"/>
        <v>977624.70745629398</v>
      </c>
      <c r="M64" s="27">
        <f t="shared" si="29"/>
        <v>1214251.5675948102</v>
      </c>
      <c r="N64" s="27">
        <f t="shared" si="29"/>
        <v>1508641.9291877162</v>
      </c>
      <c r="O64" s="27">
        <f t="shared" si="29"/>
        <v>1793513.5880530237</v>
      </c>
      <c r="P64" s="27">
        <f t="shared" si="29"/>
        <v>2132920.0278452872</v>
      </c>
      <c r="Q64" s="27">
        <f t="shared" si="29"/>
        <v>2537471.7588253319</v>
      </c>
      <c r="R64" s="27">
        <f t="shared" si="29"/>
        <v>3019882.388051053</v>
      </c>
      <c r="S64" s="27">
        <f t="shared" si="29"/>
        <v>3595394.1120678</v>
      </c>
      <c r="T64" s="27">
        <f t="shared" si="29"/>
        <v>4087641.5919826301</v>
      </c>
      <c r="U64" s="27">
        <f t="shared" si="29"/>
        <v>4649196.9509116095</v>
      </c>
      <c r="V64" s="27">
        <f t="shared" si="29"/>
        <v>5290144.7598523488</v>
      </c>
      <c r="W64" s="27">
        <f t="shared" si="29"/>
        <v>6022091.1009162068</v>
      </c>
      <c r="X64" s="27">
        <f t="shared" si="29"/>
        <v>6858401.8507098295</v>
      </c>
    </row>
    <row r="70" spans="2:6" x14ac:dyDescent="0.25">
      <c r="B70" s="241"/>
      <c r="C70" s="242" t="s">
        <v>1479</v>
      </c>
      <c r="D70" s="242" t="s">
        <v>1480</v>
      </c>
      <c r="E70" s="242" t="s">
        <v>1481</v>
      </c>
      <c r="F70" s="242" t="s">
        <v>1482</v>
      </c>
    </row>
    <row r="71" spans="2:6" x14ac:dyDescent="0.25">
      <c r="B71" s="243" t="s">
        <v>1483</v>
      </c>
      <c r="C71" s="242"/>
      <c r="D71" s="242"/>
      <c r="E71" s="242"/>
      <c r="F71" s="242"/>
    </row>
    <row r="72" spans="2:6" x14ac:dyDescent="0.25">
      <c r="B72" s="244" t="s">
        <v>1462</v>
      </c>
      <c r="C72" s="245">
        <f>SUM(E28:I28)</f>
        <v>19.395701794581928</v>
      </c>
      <c r="D72" s="245">
        <f>SUM(J28:N28)</f>
        <v>61.466229329847351</v>
      </c>
      <c r="E72" s="245">
        <f>SUM(O28:S28)</f>
        <v>156.95018249810994</v>
      </c>
      <c r="F72" s="245">
        <f>SUM(T28:X28)</f>
        <v>322.8897150524715</v>
      </c>
    </row>
    <row r="73" spans="2:6" x14ac:dyDescent="0.25">
      <c r="B73" s="244" t="s">
        <v>1380</v>
      </c>
      <c r="C73" s="245">
        <f>SUM(E30:I30)</f>
        <v>15.516561435665542</v>
      </c>
      <c r="D73" s="245">
        <f>SUM(J30:N30)</f>
        <v>49.17298346387787</v>
      </c>
      <c r="E73" s="245">
        <f>SUM(O30:S30)</f>
        <v>125.56014599848795</v>
      </c>
      <c r="F73" s="245">
        <f>SUM(T30:X30)</f>
        <v>258.31177204197718</v>
      </c>
    </row>
    <row r="74" spans="2:6" x14ac:dyDescent="0.25">
      <c r="B74" s="244" t="s">
        <v>1484</v>
      </c>
      <c r="C74" s="245">
        <f>SUM(E41:I41)</f>
        <v>40.999851781313751</v>
      </c>
      <c r="D74" s="245">
        <f>SUM(J41:N41)</f>
        <v>67.396343395817951</v>
      </c>
      <c r="E74" s="245">
        <f>SUM(O41:S41)</f>
        <v>111.87713276029753</v>
      </c>
      <c r="F74" s="245">
        <f>SUM(T41:X41)</f>
        <v>180.55117253408139</v>
      </c>
    </row>
    <row r="75" spans="2:6" x14ac:dyDescent="0.25">
      <c r="B75" s="244" t="s">
        <v>1464</v>
      </c>
      <c r="C75" s="245">
        <f>SUM(E51:I51)</f>
        <v>-25.483290345648207</v>
      </c>
      <c r="D75" s="245">
        <f>SUM(J51:N51)</f>
        <v>-18.223359931940067</v>
      </c>
      <c r="E75" s="245">
        <f>SUM(O51:O51)</f>
        <v>-0.85674648244556195</v>
      </c>
      <c r="F75" s="245">
        <f>SUM(T51:X51)</f>
        <v>77.76059950789579</v>
      </c>
    </row>
    <row r="76" spans="2:6" x14ac:dyDescent="0.25">
      <c r="B76" s="187" t="s">
        <v>1485</v>
      </c>
      <c r="C76" s="246"/>
      <c r="D76" s="246"/>
      <c r="E76" s="246"/>
      <c r="F76" s="246"/>
    </row>
    <row r="77" spans="2:6" x14ac:dyDescent="0.25">
      <c r="B77" s="244" t="s">
        <v>1462</v>
      </c>
      <c r="C77" s="246">
        <f>C72/153</f>
        <v>0.12676929277504528</v>
      </c>
      <c r="D77" s="246">
        <f t="shared" ref="D77:F77" si="30">D72/153</f>
        <v>0.40174006097939446</v>
      </c>
      <c r="E77" s="246">
        <f t="shared" si="30"/>
        <v>1.0258181862621565</v>
      </c>
      <c r="F77" s="246">
        <f t="shared" si="30"/>
        <v>2.1103902944605979</v>
      </c>
    </row>
    <row r="78" spans="2:6" x14ac:dyDescent="0.25">
      <c r="B78" s="244" t="s">
        <v>1380</v>
      </c>
      <c r="C78" s="246">
        <f t="shared" ref="C78:F78" si="31">C73/153</f>
        <v>0.10141543422003622</v>
      </c>
      <c r="D78" s="246">
        <f t="shared" si="31"/>
        <v>0.32139204878351552</v>
      </c>
      <c r="E78" s="246">
        <f t="shared" si="31"/>
        <v>0.82065454900972523</v>
      </c>
      <c r="F78" s="246">
        <f t="shared" si="31"/>
        <v>1.6883122355684783</v>
      </c>
    </row>
    <row r="79" spans="2:6" x14ac:dyDescent="0.25">
      <c r="B79" s="244" t="s">
        <v>1484</v>
      </c>
      <c r="C79" s="246">
        <f t="shared" ref="C79:F79" si="32">C74/153</f>
        <v>0.26797288745956699</v>
      </c>
      <c r="D79" s="246">
        <f t="shared" si="32"/>
        <v>0.44049897644325459</v>
      </c>
      <c r="E79" s="246">
        <f t="shared" si="32"/>
        <v>0.73122308993658514</v>
      </c>
      <c r="F79" s="246">
        <f t="shared" si="32"/>
        <v>1.1800730230985712</v>
      </c>
    </row>
    <row r="80" spans="2:6" x14ac:dyDescent="0.25">
      <c r="B80" s="244" t="s">
        <v>1464</v>
      </c>
      <c r="C80" s="246">
        <f t="shared" ref="C80:F80" si="33">C75/153</f>
        <v>-0.16655745323953078</v>
      </c>
      <c r="D80" s="246">
        <f t="shared" si="33"/>
        <v>-0.119106927659739</v>
      </c>
      <c r="E80" s="246">
        <f t="shared" si="33"/>
        <v>-5.5996502120624963E-3</v>
      </c>
      <c r="F80" s="246">
        <f t="shared" si="33"/>
        <v>0.50823921246990711</v>
      </c>
    </row>
    <row r="81" spans="2:6" x14ac:dyDescent="0.25">
      <c r="B81" s="247" t="s">
        <v>1486</v>
      </c>
      <c r="C81" s="232"/>
      <c r="D81" s="187"/>
      <c r="E81" s="187"/>
      <c r="F81" s="187"/>
    </row>
    <row r="82" spans="2:6" x14ac:dyDescent="0.25">
      <c r="B82" s="244" t="s">
        <v>1462</v>
      </c>
      <c r="C82" s="235">
        <f>C77*1000000</f>
        <v>126769.29277504528</v>
      </c>
      <c r="D82" s="235">
        <f t="shared" ref="D82:F82" si="34">D77*1000000</f>
        <v>401740.06097939447</v>
      </c>
      <c r="E82" s="235">
        <f t="shared" si="34"/>
        <v>1025818.1862621565</v>
      </c>
      <c r="F82" s="235">
        <f t="shared" si="34"/>
        <v>2110390.2944605979</v>
      </c>
    </row>
    <row r="83" spans="2:6" x14ac:dyDescent="0.25">
      <c r="B83" s="244" t="s">
        <v>1380</v>
      </c>
      <c r="C83" s="235">
        <f t="shared" ref="C83:F83" si="35">C78*1000000</f>
        <v>101415.43422003623</v>
      </c>
      <c r="D83" s="235">
        <f t="shared" si="35"/>
        <v>321392.04878351552</v>
      </c>
      <c r="E83" s="235">
        <f t="shared" si="35"/>
        <v>820654.54900972522</v>
      </c>
      <c r="F83" s="235">
        <f t="shared" si="35"/>
        <v>1688312.2355684782</v>
      </c>
    </row>
    <row r="84" spans="2:6" x14ac:dyDescent="0.25">
      <c r="B84" s="244" t="s">
        <v>1484</v>
      </c>
      <c r="C84" s="235">
        <f t="shared" ref="C84:F84" si="36">C79*1000000</f>
        <v>267972.88745956699</v>
      </c>
      <c r="D84" s="235">
        <f t="shared" si="36"/>
        <v>440498.97644325456</v>
      </c>
      <c r="E84" s="235">
        <f t="shared" si="36"/>
        <v>731223.08993658517</v>
      </c>
      <c r="F84" s="235">
        <f t="shared" si="36"/>
        <v>1180073.0230985712</v>
      </c>
    </row>
    <row r="85" spans="2:6" x14ac:dyDescent="0.25">
      <c r="B85" s="244" t="s">
        <v>1464</v>
      </c>
      <c r="C85" s="235">
        <f t="shared" ref="C85:F85" si="37">C80*1000000</f>
        <v>-166557.45323953079</v>
      </c>
      <c r="D85" s="235">
        <f t="shared" si="37"/>
        <v>-119106.927659739</v>
      </c>
      <c r="E85" s="235">
        <f t="shared" si="37"/>
        <v>-5599.6502120624964</v>
      </c>
      <c r="F85" s="235">
        <f t="shared" si="37"/>
        <v>508239.21246990713</v>
      </c>
    </row>
    <row r="86" spans="2:6" x14ac:dyDescent="0.25">
      <c r="C86" s="14">
        <f t="shared" ref="C86:F86" si="38">C81*1000000</f>
        <v>0</v>
      </c>
      <c r="D86" s="14">
        <f t="shared" si="38"/>
        <v>0</v>
      </c>
      <c r="E86" s="14">
        <f t="shared" si="38"/>
        <v>0</v>
      </c>
      <c r="F86" s="14">
        <f t="shared" si="38"/>
        <v>0</v>
      </c>
    </row>
    <row r="87" spans="2:6" x14ac:dyDescent="0.25">
      <c r="C87" s="14"/>
      <c r="D87" s="14"/>
      <c r="E87" s="14"/>
      <c r="F87" s="14"/>
    </row>
  </sheetData>
  <dataConsolidate/>
  <mergeCells count="2">
    <mergeCell ref="A43:A44"/>
    <mergeCell ref="A51:A52"/>
  </mergeCells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H85"/>
  <sheetViews>
    <sheetView tabSelected="1" topLeftCell="E4" zoomScale="80" zoomScaleNormal="80" workbookViewId="0">
      <selection activeCell="Z23" sqref="Z23"/>
    </sheetView>
  </sheetViews>
  <sheetFormatPr defaultRowHeight="15" outlineLevelCol="1" x14ac:dyDescent="0.25"/>
  <cols>
    <col min="1" max="1" width="40.42578125" customWidth="1"/>
    <col min="2" max="2" width="25.140625" customWidth="1" outlineLevel="1"/>
    <col min="3" max="3" width="10.42578125" style="2" customWidth="1"/>
    <col min="4" max="4" width="12.85546875" customWidth="1"/>
    <col min="5" max="5" width="11.5703125" bestFit="1" customWidth="1"/>
    <col min="6" max="24" width="10.7109375" customWidth="1"/>
    <col min="30" max="30" width="14.42578125" bestFit="1" customWidth="1"/>
    <col min="31" max="31" width="8.5703125" bestFit="1" customWidth="1"/>
    <col min="32" max="32" width="10.28515625" customWidth="1"/>
    <col min="33" max="33" width="10.42578125" customWidth="1"/>
    <col min="34" max="34" width="9.85546875" customWidth="1"/>
  </cols>
  <sheetData>
    <row r="1" spans="1:34" x14ac:dyDescent="0.25">
      <c r="A1" s="1"/>
    </row>
    <row r="2" spans="1:34" x14ac:dyDescent="0.25">
      <c r="A2" s="1"/>
      <c r="E2" s="15"/>
      <c r="AF2" s="1" t="s">
        <v>1471</v>
      </c>
    </row>
    <row r="4" spans="1:34" s="1" customFormat="1" ht="30" x14ac:dyDescent="0.25">
      <c r="A4" s="3" t="s">
        <v>0</v>
      </c>
      <c r="B4" s="3"/>
      <c r="C4" s="4"/>
      <c r="D4" s="240" t="s">
        <v>1478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AD4" s="187"/>
      <c r="AE4" s="202" t="s">
        <v>1468</v>
      </c>
      <c r="AF4" s="202" t="s">
        <v>1465</v>
      </c>
      <c r="AG4" s="202" t="s">
        <v>1466</v>
      </c>
      <c r="AH4" s="202" t="s">
        <v>1467</v>
      </c>
    </row>
    <row r="5" spans="1:34" s="1" customFormat="1" x14ac:dyDescent="0.25">
      <c r="A5" s="5" t="s">
        <v>22</v>
      </c>
      <c r="B5" s="5"/>
      <c r="C5" s="6"/>
      <c r="AD5" s="187"/>
      <c r="AE5" s="232"/>
      <c r="AF5" s="187"/>
      <c r="AG5" s="187"/>
      <c r="AH5" s="212"/>
    </row>
    <row r="6" spans="1:34" x14ac:dyDescent="0.25">
      <c r="A6" t="s">
        <v>1453</v>
      </c>
      <c r="D6">
        <v>1</v>
      </c>
      <c r="AD6" s="212" t="s">
        <v>1461</v>
      </c>
      <c r="AE6" s="235">
        <f>SUM(D23:I23)</f>
        <v>33003.495999999999</v>
      </c>
      <c r="AF6" s="235">
        <f>SUM(J23:N23)</f>
        <v>71306.604226439973</v>
      </c>
      <c r="AG6" s="235">
        <f>SUM(O23:S23)</f>
        <v>124220.50122016727</v>
      </c>
      <c r="AH6" s="235">
        <f>SUM(T23:X23)</f>
        <v>172839.27428292582</v>
      </c>
    </row>
    <row r="7" spans="1:34" x14ac:dyDescent="0.25">
      <c r="A7" t="s">
        <v>1454</v>
      </c>
      <c r="D7" s="28">
        <f>1000000/D13</f>
        <v>7407.4074074074078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AD7" s="212" t="s">
        <v>1462</v>
      </c>
      <c r="AE7" s="233">
        <f>SUM(D28:I28)</f>
        <v>19.395701794581928</v>
      </c>
      <c r="AF7" s="233">
        <f>SUM(J28:N28)</f>
        <v>61.466229329847351</v>
      </c>
      <c r="AG7" s="233">
        <f>SUM(O28:S28)</f>
        <v>156.95018249810994</v>
      </c>
      <c r="AH7" s="233">
        <f>SUM(T28:X28)</f>
        <v>322.8897150524715</v>
      </c>
    </row>
    <row r="8" spans="1:34" x14ac:dyDescent="0.25">
      <c r="A8" t="s">
        <v>1455</v>
      </c>
      <c r="C8" s="9"/>
      <c r="D8" s="10"/>
      <c r="E8" s="7">
        <v>4435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AD8" s="212" t="s">
        <v>36</v>
      </c>
      <c r="AE8" s="233">
        <f>SUM(D30:I30)</f>
        <v>15.516561435665542</v>
      </c>
      <c r="AF8" s="233">
        <f>SUM(J30:N30)</f>
        <v>49.17298346387787</v>
      </c>
      <c r="AG8" s="233">
        <f>SUM(O30:S30)</f>
        <v>125.56014599848795</v>
      </c>
      <c r="AH8" s="233">
        <f>SUM(T30:X30)</f>
        <v>258.31177204197718</v>
      </c>
    </row>
    <row r="9" spans="1:34" x14ac:dyDescent="0.25">
      <c r="A9" t="s">
        <v>1456</v>
      </c>
      <c r="E9" s="10">
        <v>0.2</v>
      </c>
      <c r="F9" s="10">
        <f>E9</f>
        <v>0.2</v>
      </c>
      <c r="G9" s="10">
        <f t="shared" ref="G9:S9" si="0">F9</f>
        <v>0.2</v>
      </c>
      <c r="H9" s="10">
        <f t="shared" si="0"/>
        <v>0.2</v>
      </c>
      <c r="I9" s="10">
        <f t="shared" si="0"/>
        <v>0.2</v>
      </c>
      <c r="J9" s="10">
        <v>0.15</v>
      </c>
      <c r="K9" s="10">
        <f>J9</f>
        <v>0.15</v>
      </c>
      <c r="L9" s="10">
        <f t="shared" si="0"/>
        <v>0.15</v>
      </c>
      <c r="M9" s="10">
        <f t="shared" si="0"/>
        <v>0.15</v>
      </c>
      <c r="N9" s="10">
        <f t="shared" si="0"/>
        <v>0.15</v>
      </c>
      <c r="O9" s="10">
        <v>0.1</v>
      </c>
      <c r="P9" s="10">
        <f t="shared" si="0"/>
        <v>0.1</v>
      </c>
      <c r="Q9" s="10">
        <f t="shared" si="0"/>
        <v>0.1</v>
      </c>
      <c r="R9" s="10">
        <f t="shared" si="0"/>
        <v>0.1</v>
      </c>
      <c r="S9" s="10">
        <f t="shared" si="0"/>
        <v>0.1</v>
      </c>
      <c r="T9" s="10">
        <v>0.05</v>
      </c>
      <c r="U9" s="10">
        <f t="shared" ref="U9:X9" si="1">T9</f>
        <v>0.05</v>
      </c>
      <c r="V9" s="10">
        <f t="shared" si="1"/>
        <v>0.05</v>
      </c>
      <c r="W9" s="10">
        <f t="shared" si="1"/>
        <v>0.05</v>
      </c>
      <c r="X9" s="10">
        <f t="shared" si="1"/>
        <v>0.05</v>
      </c>
      <c r="AD9" s="212" t="s">
        <v>1463</v>
      </c>
      <c r="AE9" s="233">
        <f>SUM(D43:I43)</f>
        <v>-15.449773815344741</v>
      </c>
      <c r="AF9" s="233">
        <f>SUM(J43:N43)</f>
        <v>-4.5911850224360711</v>
      </c>
      <c r="AG9" s="233">
        <f>SUM(O43:S43)</f>
        <v>31.800558766810632</v>
      </c>
      <c r="AH9" s="233">
        <f>SUM(T43:X43)</f>
        <v>101.33271263826316</v>
      </c>
    </row>
    <row r="10" spans="1:34" x14ac:dyDescent="0.25">
      <c r="A10" t="s">
        <v>24</v>
      </c>
      <c r="D10" s="12"/>
      <c r="E10" s="12">
        <v>0.16</v>
      </c>
      <c r="F10" s="12">
        <v>8.6687643116880375E-2</v>
      </c>
      <c r="G10" s="12">
        <v>8.7072291381265154E-2</v>
      </c>
      <c r="H10" s="12">
        <v>9.0769397547260766E-2</v>
      </c>
      <c r="I10" s="12">
        <v>7.8758144796048146E-2</v>
      </c>
      <c r="J10" s="12">
        <v>7.9059879561990343E-2</v>
      </c>
      <c r="K10" s="12">
        <v>7.9373413599264087E-2</v>
      </c>
      <c r="L10" s="12">
        <v>7.9699047712931792E-2</v>
      </c>
      <c r="M10" s="12">
        <v>8.0037073828268968E-2</v>
      </c>
      <c r="N10" s="12">
        <v>8.0387773118787198E-2</v>
      </c>
      <c r="O10" s="12">
        <v>8.0751414026984047E-2</v>
      </c>
      <c r="P10" s="12">
        <v>8.112825018349068E-2</v>
      </c>
      <c r="Q10" s="12">
        <v>8.1518518232205128E-2</v>
      </c>
      <c r="R10" s="12">
        <v>8.1922435571009755E-2</v>
      </c>
      <c r="S10" s="12">
        <v>8.2340198019844824E-2</v>
      </c>
      <c r="T10" s="12">
        <v>8.2771977430160959E-2</v>
      </c>
      <c r="U10" s="12">
        <v>8.3217919252112527E-2</v>
      </c>
      <c r="V10" s="12">
        <v>8.3678140078233154E-2</v>
      </c>
      <c r="W10" s="12">
        <v>8.4152725184690524E-2</v>
      </c>
      <c r="X10" s="12">
        <v>8.4641726093542147E-2</v>
      </c>
      <c r="AD10" s="212" t="s">
        <v>1464</v>
      </c>
      <c r="AE10" s="234">
        <f>SUM(D51:I51)</f>
        <v>-16.449773815344741</v>
      </c>
      <c r="AF10" s="234">
        <f>SUM(J51:N51)</f>
        <v>-4.5911850224360711</v>
      </c>
      <c r="AG10" s="234">
        <f>SUM(O51:S51)</f>
        <v>31.800558766810632</v>
      </c>
      <c r="AH10" s="234">
        <f>SUM(T51:X51)</f>
        <v>101.33271263826316</v>
      </c>
    </row>
    <row r="11" spans="1:34" x14ac:dyDescent="0.25">
      <c r="A11" t="s">
        <v>25</v>
      </c>
      <c r="D11" s="12"/>
      <c r="E11" s="12">
        <v>0.16</v>
      </c>
      <c r="F11" s="12">
        <v>0.1</v>
      </c>
      <c r="G11" s="12">
        <v>0.1</v>
      </c>
      <c r="H11" s="12">
        <v>0.11000000000000001</v>
      </c>
      <c r="I11" s="12">
        <v>7.0000000000000007E-2</v>
      </c>
      <c r="J11" s="12">
        <v>7.0000000000000007E-2</v>
      </c>
      <c r="K11" s="12">
        <v>7.0000000000000007E-2</v>
      </c>
      <c r="L11" s="12">
        <v>7.0000000000000007E-2</v>
      </c>
      <c r="M11" s="12">
        <v>7.0000000000000007E-2</v>
      </c>
      <c r="N11" s="12">
        <v>7.0000000000000007E-2</v>
      </c>
      <c r="O11" s="12">
        <v>7.0000000000000007E-2</v>
      </c>
      <c r="P11" s="12">
        <v>7.0000000000000007E-2</v>
      </c>
      <c r="Q11" s="12">
        <v>7.0000000000000007E-2</v>
      </c>
      <c r="R11" s="12">
        <v>7.0000000000000007E-2</v>
      </c>
      <c r="S11" s="12">
        <v>7.0000000000000007E-2</v>
      </c>
      <c r="T11" s="12">
        <v>7.0000000000000007E-2</v>
      </c>
      <c r="U11" s="12">
        <v>7.0000000000000007E-2</v>
      </c>
      <c r="V11" s="12">
        <v>7.0000000000000007E-2</v>
      </c>
      <c r="W11" s="12">
        <v>7.0000000000000007E-2</v>
      </c>
      <c r="X11" s="12">
        <v>7.0000000000000007E-2</v>
      </c>
    </row>
    <row r="12" spans="1:34" x14ac:dyDescent="0.25">
      <c r="A12" t="s">
        <v>26</v>
      </c>
      <c r="D12" s="12"/>
      <c r="E12" s="12">
        <v>0.16</v>
      </c>
      <c r="F12" s="12">
        <v>7.0000000000000007E-2</v>
      </c>
      <c r="G12" s="12">
        <v>7.0000000000000007E-2</v>
      </c>
      <c r="H12" s="12">
        <v>7.0000000000000007E-2</v>
      </c>
      <c r="I12" s="12">
        <v>7.0000000000000007E-2</v>
      </c>
      <c r="J12" s="12">
        <v>7.0000000000000007E-2</v>
      </c>
      <c r="K12" s="12">
        <v>7.0000000000000007E-2</v>
      </c>
      <c r="L12" s="12">
        <v>7.0000000000000007E-2</v>
      </c>
      <c r="M12" s="12">
        <v>7.0000000000000007E-2</v>
      </c>
      <c r="N12" s="12">
        <v>7.0000000000000007E-2</v>
      </c>
      <c r="O12" s="12">
        <v>7.0000000000000007E-2</v>
      </c>
      <c r="P12" s="12">
        <v>7.0000000000000007E-2</v>
      </c>
      <c r="Q12" s="12">
        <v>7.0000000000000007E-2</v>
      </c>
      <c r="R12" s="12">
        <v>7.0000000000000007E-2</v>
      </c>
      <c r="S12" s="12">
        <v>7.0000000000000007E-2</v>
      </c>
      <c r="T12" s="12">
        <v>7.0000000000000007E-2</v>
      </c>
      <c r="U12" s="12">
        <v>7.0000000000000007E-2</v>
      </c>
      <c r="V12" s="12">
        <v>7.0000000000000007E-2</v>
      </c>
      <c r="W12" s="12">
        <v>7.0000000000000007E-2</v>
      </c>
      <c r="X12" s="12">
        <v>7.0000000000000007E-2</v>
      </c>
    </row>
    <row r="13" spans="1:34" x14ac:dyDescent="0.25">
      <c r="A13" t="s">
        <v>27</v>
      </c>
      <c r="D13" s="7">
        <v>135</v>
      </c>
      <c r="E13" s="7">
        <v>141.75</v>
      </c>
      <c r="F13" s="7">
        <v>148.83750000000001</v>
      </c>
      <c r="G13" s="7">
        <v>156.27937500000002</v>
      </c>
      <c r="H13" s="7">
        <v>164.09334375000003</v>
      </c>
      <c r="I13" s="7">
        <v>172.29801093750004</v>
      </c>
      <c r="J13" s="7">
        <v>180.91291148437506</v>
      </c>
      <c r="K13" s="7">
        <v>189.95855705859381</v>
      </c>
      <c r="L13" s="7">
        <v>199.45648491152352</v>
      </c>
      <c r="M13" s="7">
        <v>209.42930915709971</v>
      </c>
      <c r="N13" s="7">
        <v>219.90077461495471</v>
      </c>
      <c r="O13" s="7">
        <v>230.89581334570246</v>
      </c>
      <c r="P13" s="7">
        <v>242.44060401298759</v>
      </c>
      <c r="Q13" s="7">
        <v>254.56263421363698</v>
      </c>
      <c r="R13" s="7">
        <v>267.29076592431886</v>
      </c>
      <c r="S13" s="7">
        <v>280.65530422053484</v>
      </c>
      <c r="T13" s="7">
        <v>294.68806943156159</v>
      </c>
      <c r="U13" s="7">
        <v>309.42247290313969</v>
      </c>
      <c r="V13" s="7">
        <v>324.89359654829667</v>
      </c>
      <c r="W13" s="7">
        <v>341.13827637571154</v>
      </c>
      <c r="X13" s="7">
        <v>358.19519019449712</v>
      </c>
    </row>
    <row r="14" spans="1:34" x14ac:dyDescent="0.25">
      <c r="A14" t="s">
        <v>1457</v>
      </c>
      <c r="D14" s="12"/>
      <c r="E14" s="12">
        <v>0.13</v>
      </c>
      <c r="F14" s="12">
        <v>0.13</v>
      </c>
      <c r="G14" s="12">
        <v>0.13</v>
      </c>
      <c r="H14" s="12">
        <v>0.13</v>
      </c>
      <c r="I14" s="12">
        <v>0.13</v>
      </c>
      <c r="J14" s="12">
        <v>0.13</v>
      </c>
      <c r="K14" s="12">
        <v>0.13</v>
      </c>
      <c r="L14" s="12">
        <v>0.13</v>
      </c>
      <c r="M14" s="12">
        <v>0.13</v>
      </c>
      <c r="N14" s="12">
        <v>0.13</v>
      </c>
      <c r="O14" s="12">
        <v>0.13</v>
      </c>
      <c r="P14" s="12">
        <v>0.13</v>
      </c>
      <c r="Q14" s="12">
        <v>0.13</v>
      </c>
      <c r="R14" s="12">
        <v>0.13</v>
      </c>
      <c r="S14" s="12">
        <v>0.13</v>
      </c>
      <c r="T14" s="12">
        <v>0.13</v>
      </c>
      <c r="U14" s="12">
        <v>0.13</v>
      </c>
      <c r="V14" s="12">
        <v>0.13</v>
      </c>
      <c r="W14" s="12">
        <v>0.13</v>
      </c>
      <c r="X14" s="12">
        <v>0.13</v>
      </c>
    </row>
    <row r="15" spans="1:34" x14ac:dyDescent="0.25">
      <c r="A15" t="s">
        <v>1458</v>
      </c>
      <c r="D15" s="12"/>
      <c r="E15" s="12">
        <v>9.8899590163934431E-2</v>
      </c>
      <c r="F15" s="12">
        <v>7.5175000000000075E-2</v>
      </c>
      <c r="G15" s="12">
        <v>7.5175000000000075E-2</v>
      </c>
      <c r="H15" s="12">
        <v>7.5175000000000075E-2</v>
      </c>
      <c r="I15" s="12">
        <v>7.5175000000000075E-2</v>
      </c>
      <c r="J15" s="12">
        <v>7.5175000000000075E-2</v>
      </c>
      <c r="K15" s="12">
        <v>7.5175000000000075E-2</v>
      </c>
      <c r="L15" s="12">
        <v>7.5175000000000075E-2</v>
      </c>
      <c r="M15" s="12">
        <v>7.5175000000000075E-2</v>
      </c>
      <c r="N15" s="12">
        <v>7.5175000000000075E-2</v>
      </c>
      <c r="O15" s="12">
        <v>7.5175000000000075E-2</v>
      </c>
      <c r="P15" s="12">
        <v>7.5175000000000075E-2</v>
      </c>
      <c r="Q15" s="12">
        <v>7.5175000000000075E-2</v>
      </c>
      <c r="R15" s="12">
        <v>7.5175000000000075E-2</v>
      </c>
      <c r="S15" s="12">
        <v>7.5175000000000075E-2</v>
      </c>
      <c r="T15" s="12">
        <v>7.5175000000000075E-2</v>
      </c>
      <c r="U15" s="12">
        <v>7.5175000000000075E-2</v>
      </c>
      <c r="V15" s="12">
        <v>7.5175000000000075E-2</v>
      </c>
      <c r="W15" s="12">
        <v>7.5175000000000075E-2</v>
      </c>
      <c r="X15" s="12">
        <v>7.5175000000000075E-2</v>
      </c>
    </row>
    <row r="16" spans="1:34" x14ac:dyDescent="0.25">
      <c r="A16" t="s">
        <v>28</v>
      </c>
      <c r="C16" s="2">
        <f>COUNT('Staff Costs'!C15:C20)</f>
        <v>6</v>
      </c>
      <c r="E16" s="8">
        <f t="shared" ref="E16:X16" si="2">$C$16*$D$6</f>
        <v>6</v>
      </c>
      <c r="F16" s="8">
        <f t="shared" si="2"/>
        <v>6</v>
      </c>
      <c r="G16" s="8">
        <f t="shared" si="2"/>
        <v>6</v>
      </c>
      <c r="H16" s="8">
        <f t="shared" si="2"/>
        <v>6</v>
      </c>
      <c r="I16" s="8">
        <f t="shared" si="2"/>
        <v>6</v>
      </c>
      <c r="J16" s="8">
        <f t="shared" si="2"/>
        <v>6</v>
      </c>
      <c r="K16" s="8">
        <f t="shared" si="2"/>
        <v>6</v>
      </c>
      <c r="L16" s="8">
        <f t="shared" si="2"/>
        <v>6</v>
      </c>
      <c r="M16" s="8">
        <f t="shared" si="2"/>
        <v>6</v>
      </c>
      <c r="N16" s="8">
        <f t="shared" si="2"/>
        <v>6</v>
      </c>
      <c r="O16" s="8">
        <f t="shared" si="2"/>
        <v>6</v>
      </c>
      <c r="P16" s="8">
        <f t="shared" si="2"/>
        <v>6</v>
      </c>
      <c r="Q16" s="8">
        <f t="shared" si="2"/>
        <v>6</v>
      </c>
      <c r="R16" s="8">
        <f t="shared" si="2"/>
        <v>6</v>
      </c>
      <c r="S16" s="8">
        <f t="shared" si="2"/>
        <v>6</v>
      </c>
      <c r="T16" s="8">
        <f t="shared" si="2"/>
        <v>6</v>
      </c>
      <c r="U16" s="8">
        <f t="shared" si="2"/>
        <v>6</v>
      </c>
      <c r="V16" s="8">
        <f t="shared" si="2"/>
        <v>6</v>
      </c>
      <c r="W16" s="8">
        <f t="shared" si="2"/>
        <v>6</v>
      </c>
      <c r="X16" s="8">
        <f t="shared" si="2"/>
        <v>6</v>
      </c>
    </row>
    <row r="17" spans="1:26" x14ac:dyDescent="0.25">
      <c r="A17" t="s">
        <v>29</v>
      </c>
      <c r="C17" s="31">
        <f>'Staff Costs'!D21/1.1/C16</f>
        <v>29825.151515151516</v>
      </c>
      <c r="E17" s="8">
        <f>C17*(1+E11)</f>
        <v>34597.175757575758</v>
      </c>
      <c r="F17" s="8">
        <f t="shared" ref="F17:X17" si="3">E17*(1+F11)</f>
        <v>38056.893333333341</v>
      </c>
      <c r="G17" s="8">
        <f t="shared" si="3"/>
        <v>41862.582666666676</v>
      </c>
      <c r="H17" s="8">
        <f t="shared" si="3"/>
        <v>46467.466760000018</v>
      </c>
      <c r="I17" s="8">
        <f t="shared" si="3"/>
        <v>49720.189433200023</v>
      </c>
      <c r="J17" s="8">
        <f t="shared" si="3"/>
        <v>53200.60269352403</v>
      </c>
      <c r="K17" s="8">
        <f t="shared" si="3"/>
        <v>56924.644882070716</v>
      </c>
      <c r="L17" s="8">
        <f t="shared" si="3"/>
        <v>60909.370023815667</v>
      </c>
      <c r="M17" s="8">
        <f t="shared" si="3"/>
        <v>65173.025925482769</v>
      </c>
      <c r="N17" s="8">
        <f t="shared" si="3"/>
        <v>69735.137740266568</v>
      </c>
      <c r="O17" s="8">
        <f t="shared" si="3"/>
        <v>74616.597382085238</v>
      </c>
      <c r="P17" s="8">
        <f t="shared" si="3"/>
        <v>79839.759198831205</v>
      </c>
      <c r="Q17" s="8">
        <f t="shared" si="3"/>
        <v>85428.542342749395</v>
      </c>
      <c r="R17" s="8">
        <f t="shared" si="3"/>
        <v>91408.540306741852</v>
      </c>
      <c r="S17" s="8">
        <f t="shared" si="3"/>
        <v>97807.138128213788</v>
      </c>
      <c r="T17" s="8">
        <f t="shared" si="3"/>
        <v>104653.63779718876</v>
      </c>
      <c r="U17" s="8">
        <f t="shared" si="3"/>
        <v>111979.39244299197</v>
      </c>
      <c r="V17" s="8">
        <f t="shared" si="3"/>
        <v>119817.94991400142</v>
      </c>
      <c r="W17" s="8">
        <f t="shared" si="3"/>
        <v>128205.20640798153</v>
      </c>
      <c r="X17" s="8">
        <f t="shared" si="3"/>
        <v>137179.57085654026</v>
      </c>
    </row>
    <row r="18" spans="1:26" x14ac:dyDescent="0.25">
      <c r="A18" t="s">
        <v>39</v>
      </c>
      <c r="B18" t="s">
        <v>39</v>
      </c>
      <c r="C18" s="31">
        <f>SUMIF('Overhead Costs'!$B$19:$B$31,'Main Center'!B18,'Overhead Costs'!$C$19:$C$31)</f>
        <v>1308</v>
      </c>
      <c r="D18" s="8"/>
      <c r="E18" s="8">
        <f>C18*(1+E12)</f>
        <v>1517.28</v>
      </c>
      <c r="F18" s="8">
        <f t="shared" ref="F18:X18" si="4">E18*(1+F12)</f>
        <v>1623.4896000000001</v>
      </c>
      <c r="G18" s="8">
        <f t="shared" si="4"/>
        <v>1737.1338720000001</v>
      </c>
      <c r="H18" s="8">
        <f t="shared" si="4"/>
        <v>1858.7332430400002</v>
      </c>
      <c r="I18" s="8">
        <f t="shared" si="4"/>
        <v>1988.8445700528002</v>
      </c>
      <c r="J18" s="8">
        <f t="shared" si="4"/>
        <v>2128.0636899564965</v>
      </c>
      <c r="K18" s="8">
        <f t="shared" si="4"/>
        <v>2277.0281482534515</v>
      </c>
      <c r="L18" s="8">
        <f t="shared" si="4"/>
        <v>2436.4201186311934</v>
      </c>
      <c r="M18" s="8">
        <f t="shared" si="4"/>
        <v>2606.969526935377</v>
      </c>
      <c r="N18" s="8">
        <f t="shared" si="4"/>
        <v>2789.4573938208537</v>
      </c>
      <c r="O18" s="8">
        <f t="shared" si="4"/>
        <v>2984.7194113883138</v>
      </c>
      <c r="P18" s="8">
        <f t="shared" si="4"/>
        <v>3193.649770185496</v>
      </c>
      <c r="Q18" s="8">
        <f t="shared" si="4"/>
        <v>3417.205254098481</v>
      </c>
      <c r="R18" s="8">
        <f t="shared" si="4"/>
        <v>3656.4096218853747</v>
      </c>
      <c r="S18" s="8">
        <f t="shared" si="4"/>
        <v>3912.3582954173512</v>
      </c>
      <c r="T18" s="8">
        <f t="shared" si="4"/>
        <v>4186.2233760965664</v>
      </c>
      <c r="U18" s="8">
        <f t="shared" si="4"/>
        <v>4479.2590124233266</v>
      </c>
      <c r="V18" s="8">
        <f t="shared" si="4"/>
        <v>4792.8071432929601</v>
      </c>
      <c r="W18" s="8">
        <f t="shared" si="4"/>
        <v>5128.3036433234674</v>
      </c>
      <c r="X18" s="8">
        <f t="shared" si="4"/>
        <v>5487.2848983561107</v>
      </c>
    </row>
    <row r="19" spans="1:26" x14ac:dyDescent="0.25">
      <c r="A19" t="s">
        <v>40</v>
      </c>
      <c r="B19" t="s">
        <v>40</v>
      </c>
      <c r="C19" s="31">
        <f>SUMIF('Overhead Costs'!$B$19:$B$31,'Main Center'!B19,'Overhead Costs'!$C$19:$C$31)</f>
        <v>13826</v>
      </c>
      <c r="D19" s="8"/>
      <c r="E19" s="8">
        <f>C19*(1+E12)</f>
        <v>16038.159999999998</v>
      </c>
      <c r="F19" s="8">
        <f t="shared" ref="F19:X19" si="5">E19*(1+F12)</f>
        <v>17160.831200000001</v>
      </c>
      <c r="G19" s="8">
        <f t="shared" si="5"/>
        <v>18362.089384000003</v>
      </c>
      <c r="H19" s="8">
        <f t="shared" si="5"/>
        <v>19647.435640880005</v>
      </c>
      <c r="I19" s="8">
        <f t="shared" si="5"/>
        <v>21022.756135741605</v>
      </c>
      <c r="J19" s="8">
        <f t="shared" si="5"/>
        <v>22494.349065243518</v>
      </c>
      <c r="K19" s="8">
        <f t="shared" si="5"/>
        <v>24068.953499810566</v>
      </c>
      <c r="L19" s="8">
        <f t="shared" si="5"/>
        <v>25753.780244797308</v>
      </c>
      <c r="M19" s="8">
        <f t="shared" si="5"/>
        <v>27556.544861933122</v>
      </c>
      <c r="N19" s="8">
        <f t="shared" si="5"/>
        <v>29485.50300226844</v>
      </c>
      <c r="O19" s="8">
        <f t="shared" si="5"/>
        <v>31549.488212427234</v>
      </c>
      <c r="P19" s="8">
        <f t="shared" si="5"/>
        <v>33757.95238729714</v>
      </c>
      <c r="Q19" s="8">
        <f t="shared" si="5"/>
        <v>36121.009054407943</v>
      </c>
      <c r="R19" s="8">
        <f t="shared" si="5"/>
        <v>38649.479688216503</v>
      </c>
      <c r="S19" s="8">
        <f t="shared" si="5"/>
        <v>41354.94326639166</v>
      </c>
      <c r="T19" s="8">
        <f t="shared" si="5"/>
        <v>44249.789295039081</v>
      </c>
      <c r="U19" s="8">
        <f t="shared" si="5"/>
        <v>47347.27454569182</v>
      </c>
      <c r="V19" s="8">
        <f t="shared" si="5"/>
        <v>50661.583763890252</v>
      </c>
      <c r="W19" s="8">
        <f t="shared" si="5"/>
        <v>54207.89462736257</v>
      </c>
      <c r="X19" s="8">
        <f t="shared" si="5"/>
        <v>58002.447251277954</v>
      </c>
    </row>
    <row r="20" spans="1:26" x14ac:dyDescent="0.25">
      <c r="A20" t="s">
        <v>1338</v>
      </c>
      <c r="B20" t="s">
        <v>1338</v>
      </c>
      <c r="C20" s="31">
        <f>'Overhead Costs'!C32-'Satellite Centers'!C18-'Satellite Centers'!C19</f>
        <v>110457</v>
      </c>
      <c r="D20" s="8"/>
      <c r="E20" s="8">
        <f>C20*(((1+E14)+(1+E12))/2)</f>
        <v>126473.265</v>
      </c>
      <c r="F20" s="8">
        <f t="shared" ref="F20:X20" si="6">E20*(((1+F14)+(1+F12))/2)</f>
        <v>139120.59150000001</v>
      </c>
      <c r="G20" s="8">
        <f t="shared" si="6"/>
        <v>153032.65065000003</v>
      </c>
      <c r="H20" s="8">
        <f t="shared" si="6"/>
        <v>168335.91571500004</v>
      </c>
      <c r="I20" s="8">
        <f t="shared" si="6"/>
        <v>185169.50728650007</v>
      </c>
      <c r="J20" s="8">
        <f t="shared" si="6"/>
        <v>203686.4580151501</v>
      </c>
      <c r="K20" s="8">
        <f t="shared" si="6"/>
        <v>224055.10381666513</v>
      </c>
      <c r="L20" s="8">
        <f t="shared" si="6"/>
        <v>246460.61419833166</v>
      </c>
      <c r="M20" s="8">
        <f t="shared" si="6"/>
        <v>271106.67561816482</v>
      </c>
      <c r="N20" s="8">
        <f t="shared" si="6"/>
        <v>298217.34317998134</v>
      </c>
      <c r="O20" s="8">
        <f t="shared" si="6"/>
        <v>328039.07749797951</v>
      </c>
      <c r="P20" s="8">
        <f t="shared" si="6"/>
        <v>360842.98524777748</v>
      </c>
      <c r="Q20" s="8">
        <f t="shared" si="6"/>
        <v>396927.28377255524</v>
      </c>
      <c r="R20" s="8">
        <f t="shared" si="6"/>
        <v>436620.01214981079</v>
      </c>
      <c r="S20" s="8">
        <f t="shared" si="6"/>
        <v>480282.01336479193</v>
      </c>
      <c r="T20" s="8">
        <f t="shared" si="6"/>
        <v>528310.21470127115</v>
      </c>
      <c r="U20" s="8">
        <f t="shared" si="6"/>
        <v>581141.23617139831</v>
      </c>
      <c r="V20" s="8">
        <f t="shared" si="6"/>
        <v>639255.35978853819</v>
      </c>
      <c r="W20" s="8">
        <f t="shared" si="6"/>
        <v>703180.89576739201</v>
      </c>
      <c r="X20" s="8">
        <f t="shared" si="6"/>
        <v>773498.98534413124</v>
      </c>
    </row>
    <row r="22" spans="1:26" x14ac:dyDescent="0.25">
      <c r="A22" s="5" t="s">
        <v>30</v>
      </c>
      <c r="B22" s="5"/>
      <c r="I22" s="8"/>
      <c r="J22" s="18"/>
    </row>
    <row r="23" spans="1:26" x14ac:dyDescent="0.25">
      <c r="A23" t="s">
        <v>23</v>
      </c>
      <c r="B23" t="s">
        <v>57</v>
      </c>
      <c r="E23" s="8">
        <f>E8*D6</f>
        <v>4435</v>
      </c>
      <c r="F23" s="8">
        <f>E23*(1+F9)</f>
        <v>5322</v>
      </c>
      <c r="G23" s="8">
        <f t="shared" ref="F23:X23" si="7">F23*(1+G9)</f>
        <v>6386.4</v>
      </c>
      <c r="H23" s="8">
        <f t="shared" si="7"/>
        <v>7663.6799999999994</v>
      </c>
      <c r="I23" s="8">
        <f t="shared" si="7"/>
        <v>9196.4159999999993</v>
      </c>
      <c r="J23" s="8">
        <f t="shared" si="7"/>
        <v>10575.878399999998</v>
      </c>
      <c r="K23" s="8">
        <f t="shared" si="7"/>
        <v>12162.260159999996</v>
      </c>
      <c r="L23" s="8">
        <f t="shared" si="7"/>
        <v>13986.599183999995</v>
      </c>
      <c r="M23" s="8">
        <f t="shared" si="7"/>
        <v>16084.589061599992</v>
      </c>
      <c r="N23" s="8">
        <f t="shared" si="7"/>
        <v>18497.27742083999</v>
      </c>
      <c r="O23" s="8">
        <f t="shared" si="7"/>
        <v>20347.00516292399</v>
      </c>
      <c r="P23" s="8">
        <f t="shared" si="7"/>
        <v>22381.705679216389</v>
      </c>
      <c r="Q23" s="8">
        <f t="shared" si="7"/>
        <v>24619.876247138029</v>
      </c>
      <c r="R23" s="8">
        <f t="shared" si="7"/>
        <v>27081.863871851834</v>
      </c>
      <c r="S23" s="8">
        <f t="shared" si="7"/>
        <v>29790.05025903702</v>
      </c>
      <c r="T23" s="8">
        <f t="shared" si="7"/>
        <v>31279.552771988871</v>
      </c>
      <c r="U23" s="8">
        <f t="shared" si="7"/>
        <v>32843.530410588319</v>
      </c>
      <c r="V23" s="8">
        <f t="shared" si="7"/>
        <v>34485.706931117733</v>
      </c>
      <c r="W23" s="8">
        <f t="shared" si="7"/>
        <v>36209.99227767362</v>
      </c>
      <c r="X23" s="8">
        <f t="shared" si="7"/>
        <v>38020.4918915573</v>
      </c>
      <c r="Z23" s="295">
        <f>(X23-E23)/E23</f>
        <v>7.572827934962187</v>
      </c>
    </row>
    <row r="24" spans="1:26" x14ac:dyDescent="0.25">
      <c r="A24" t="s">
        <v>63</v>
      </c>
      <c r="C24" s="14">
        <f>'Main Center'!C24</f>
        <v>413.65961997612413</v>
      </c>
      <c r="D24" s="8"/>
      <c r="E24" s="8">
        <f>C24*(1+E10)</f>
        <v>479.84515917230397</v>
      </c>
      <c r="F24" s="8">
        <f t="shared" ref="F24:X24" si="8">E24*(1+F10)</f>
        <v>521.44180508199531</v>
      </c>
      <c r="G24" s="8">
        <f t="shared" si="8"/>
        <v>566.84493787246765</v>
      </c>
      <c r="H24" s="8">
        <f t="shared" si="8"/>
        <v>618.29711138586595</v>
      </c>
      <c r="I24" s="8">
        <f t="shared" si="8"/>
        <v>666.99304481137233</v>
      </c>
      <c r="J24" s="8">
        <f t="shared" si="8"/>
        <v>719.72543460284464</v>
      </c>
      <c r="K24" s="8">
        <f t="shared" si="8"/>
        <v>776.85249920148635</v>
      </c>
      <c r="L24" s="8">
        <f t="shared" si="8"/>
        <v>838.76690360125588</v>
      </c>
      <c r="M24" s="8">
        <f t="shared" si="8"/>
        <v>905.89935218949813</v>
      </c>
      <c r="N24" s="8">
        <f t="shared" si="8"/>
        <v>978.72258378176377</v>
      </c>
      <c r="O24" s="8">
        <f t="shared" si="8"/>
        <v>1057.7558163622846</v>
      </c>
      <c r="P24" s="8">
        <f t="shared" si="8"/>
        <v>1143.5696948651664</v>
      </c>
      <c r="Q24" s="8">
        <f t="shared" si="8"/>
        <v>1236.7918018858297</v>
      </c>
      <c r="R24" s="8">
        <f t="shared" si="8"/>
        <v>1338.1127985905746</v>
      </c>
      <c r="S24" s="8">
        <f t="shared" si="8"/>
        <v>1448.2932713994112</v>
      </c>
      <c r="T24" s="8">
        <f t="shared" si="8"/>
        <v>1568.1713693719373</v>
      </c>
      <c r="U24" s="8">
        <f t="shared" si="8"/>
        <v>1698.671327761806</v>
      </c>
      <c r="V24" s="8">
        <f t="shared" si="8"/>
        <v>1840.8129850731366</v>
      </c>
      <c r="W24" s="8">
        <f t="shared" si="8"/>
        <v>1995.7224143224062</v>
      </c>
      <c r="X24" s="8">
        <f t="shared" si="8"/>
        <v>2164.6438042742261</v>
      </c>
    </row>
    <row r="25" spans="1:26" x14ac:dyDescent="0.25">
      <c r="X25" s="15"/>
    </row>
    <row r="27" spans="1:26" x14ac:dyDescent="0.25">
      <c r="A27" s="5" t="s">
        <v>32</v>
      </c>
      <c r="B27" s="5"/>
    </row>
    <row r="28" spans="1:26" x14ac:dyDescent="0.25">
      <c r="A28" t="s">
        <v>33</v>
      </c>
      <c r="B28" t="s">
        <v>58</v>
      </c>
      <c r="E28" s="129">
        <f>E24*E23/1000000</f>
        <v>2.1281132809291683</v>
      </c>
      <c r="F28" s="129">
        <f t="shared" ref="F28:X28" si="9">F24*F23/1000000</f>
        <v>2.7751132866463792</v>
      </c>
      <c r="G28" s="129">
        <f t="shared" si="9"/>
        <v>3.6200985112287274</v>
      </c>
      <c r="H28" s="129">
        <f t="shared" si="9"/>
        <v>4.7384312065856324</v>
      </c>
      <c r="I28" s="129">
        <f t="shared" si="9"/>
        <v>6.1339455091920208</v>
      </c>
      <c r="J28" s="129">
        <f t="shared" si="9"/>
        <v>7.6117286777468358</v>
      </c>
      <c r="K28" s="129">
        <f t="shared" si="9"/>
        <v>9.448282201234667</v>
      </c>
      <c r="L28" s="129">
        <f t="shared" si="9"/>
        <v>11.731496489475528</v>
      </c>
      <c r="M28" s="129">
        <f t="shared" si="9"/>
        <v>14.571018811137721</v>
      </c>
      <c r="N28" s="129">
        <f t="shared" si="9"/>
        <v>18.103703150252596</v>
      </c>
      <c r="O28" s="129">
        <f t="shared" si="9"/>
        <v>21.522163056636284</v>
      </c>
      <c r="P28" s="129">
        <f t="shared" si="9"/>
        <v>25.595040334143448</v>
      </c>
      <c r="Q28" s="129">
        <f t="shared" si="9"/>
        <v>30.449661105903981</v>
      </c>
      <c r="R28" s="129">
        <f t="shared" si="9"/>
        <v>36.238588656612635</v>
      </c>
      <c r="S28" s="129">
        <f t="shared" si="9"/>
        <v>43.144729344813598</v>
      </c>
      <c r="T28" s="129">
        <f t="shared" si="9"/>
        <v>49.051699103791563</v>
      </c>
      <c r="U28" s="129">
        <f t="shared" si="9"/>
        <v>55.790363410939314</v>
      </c>
      <c r="V28" s="129">
        <f t="shared" si="9"/>
        <v>63.481737118228189</v>
      </c>
      <c r="W28" s="129">
        <f t="shared" si="9"/>
        <v>72.265093210994479</v>
      </c>
      <c r="X28" s="129">
        <f t="shared" si="9"/>
        <v>82.300822208517957</v>
      </c>
    </row>
    <row r="29" spans="1:26" x14ac:dyDescent="0.25">
      <c r="A29" t="s">
        <v>34</v>
      </c>
      <c r="B29" t="s">
        <v>59</v>
      </c>
      <c r="C29" s="13">
        <f>-20%</f>
        <v>-0.2</v>
      </c>
      <c r="D29" s="11"/>
      <c r="E29" s="230">
        <f t="shared" ref="E29:X29" si="10">$C$29*E28</f>
        <v>-0.42562265618583367</v>
      </c>
      <c r="F29" s="230">
        <f t="shared" si="10"/>
        <v>-0.55502265732927591</v>
      </c>
      <c r="G29" s="230">
        <f t="shared" si="10"/>
        <v>-0.72401970224574552</v>
      </c>
      <c r="H29" s="230">
        <f t="shared" si="10"/>
        <v>-0.94768624131712653</v>
      </c>
      <c r="I29" s="230">
        <f t="shared" si="10"/>
        <v>-1.2267891018384043</v>
      </c>
      <c r="J29" s="230">
        <f t="shared" si="10"/>
        <v>-1.5223457355493673</v>
      </c>
      <c r="K29" s="230">
        <f t="shared" si="10"/>
        <v>-1.8896564402469336</v>
      </c>
      <c r="L29" s="230">
        <f t="shared" si="10"/>
        <v>-2.3462992978951056</v>
      </c>
      <c r="M29" s="230">
        <f t="shared" si="10"/>
        <v>-2.9142037622275443</v>
      </c>
      <c r="N29" s="230">
        <f t="shared" si="10"/>
        <v>-3.6207406300505194</v>
      </c>
      <c r="O29" s="230">
        <f t="shared" si="10"/>
        <v>-4.3044326113272566</v>
      </c>
      <c r="P29" s="230">
        <f t="shared" si="10"/>
        <v>-5.1190080668286901</v>
      </c>
      <c r="Q29" s="230">
        <f t="shared" si="10"/>
        <v>-6.0899322211807965</v>
      </c>
      <c r="R29" s="230">
        <f t="shared" si="10"/>
        <v>-7.2477177313225276</v>
      </c>
      <c r="S29" s="230">
        <f t="shared" si="10"/>
        <v>-8.6289458689627203</v>
      </c>
      <c r="T29" s="230">
        <f t="shared" si="10"/>
        <v>-9.8103398207583137</v>
      </c>
      <c r="U29" s="230">
        <f t="shared" si="10"/>
        <v>-11.158072682187864</v>
      </c>
      <c r="V29" s="230">
        <f t="shared" si="10"/>
        <v>-12.696347423645639</v>
      </c>
      <c r="W29" s="230">
        <f t="shared" si="10"/>
        <v>-14.453018642198897</v>
      </c>
      <c r="X29" s="230">
        <f t="shared" si="10"/>
        <v>-16.460164441703593</v>
      </c>
    </row>
    <row r="30" spans="1:26" s="1" customFormat="1" ht="15.75" thickBot="1" x14ac:dyDescent="0.3">
      <c r="A30" s="1" t="s">
        <v>35</v>
      </c>
      <c r="C30" s="6"/>
      <c r="D30" s="16">
        <f t="shared" ref="D30:X30" si="11">SUM(D28:D29)</f>
        <v>0</v>
      </c>
      <c r="E30" s="225">
        <f t="shared" si="11"/>
        <v>1.7024906247433347</v>
      </c>
      <c r="F30" s="225">
        <f t="shared" si="11"/>
        <v>2.2200906293171032</v>
      </c>
      <c r="G30" s="225">
        <f t="shared" si="11"/>
        <v>2.8960788089829821</v>
      </c>
      <c r="H30" s="225">
        <f t="shared" si="11"/>
        <v>3.7907449652685061</v>
      </c>
      <c r="I30" s="225">
        <f t="shared" si="11"/>
        <v>4.9071564073536162</v>
      </c>
      <c r="J30" s="225">
        <f t="shared" si="11"/>
        <v>6.089382942197469</v>
      </c>
      <c r="K30" s="225">
        <f t="shared" si="11"/>
        <v>7.5586257609877334</v>
      </c>
      <c r="L30" s="225">
        <f t="shared" si="11"/>
        <v>9.3851971915804224</v>
      </c>
      <c r="M30" s="225">
        <f t="shared" si="11"/>
        <v>11.656815048910177</v>
      </c>
      <c r="N30" s="225">
        <f t="shared" si="11"/>
        <v>14.482962520202076</v>
      </c>
      <c r="O30" s="225">
        <f t="shared" si="11"/>
        <v>17.217730445309027</v>
      </c>
      <c r="P30" s="225">
        <f t="shared" si="11"/>
        <v>20.476032267314757</v>
      </c>
      <c r="Q30" s="225">
        <f t="shared" si="11"/>
        <v>24.359728884723186</v>
      </c>
      <c r="R30" s="225">
        <f t="shared" si="11"/>
        <v>28.990870925290107</v>
      </c>
      <c r="S30" s="225">
        <f t="shared" si="11"/>
        <v>34.515783475850881</v>
      </c>
      <c r="T30" s="225">
        <f t="shared" si="11"/>
        <v>39.241359283033248</v>
      </c>
      <c r="U30" s="225">
        <f t="shared" si="11"/>
        <v>44.63229072875145</v>
      </c>
      <c r="V30" s="225">
        <f t="shared" si="11"/>
        <v>50.785389694582548</v>
      </c>
      <c r="W30" s="225">
        <f t="shared" si="11"/>
        <v>57.81207456879558</v>
      </c>
      <c r="X30" s="225">
        <f t="shared" si="11"/>
        <v>65.84065776681436</v>
      </c>
    </row>
    <row r="31" spans="1:26" ht="15.75" thickTop="1" x14ac:dyDescent="0.25"/>
    <row r="32" spans="1:26" x14ac:dyDescent="0.25">
      <c r="A32" s="5" t="s">
        <v>36</v>
      </c>
      <c r="B32" s="5"/>
    </row>
    <row r="33" spans="1:25" s="129" customFormat="1" x14ac:dyDescent="0.25">
      <c r="C33" s="223"/>
    </row>
    <row r="34" spans="1:25" s="129" customFormat="1" x14ac:dyDescent="0.25">
      <c r="A34" s="129" t="s">
        <v>37</v>
      </c>
      <c r="B34" s="129" t="s">
        <v>60</v>
      </c>
      <c r="C34" s="223"/>
      <c r="E34" s="129">
        <f t="shared" ref="E34:X34" si="12">E17*E16*12/1000000</f>
        <v>2.4909966545454547</v>
      </c>
      <c r="F34" s="129">
        <f t="shared" si="12"/>
        <v>2.7400963200000001</v>
      </c>
      <c r="G34" s="129">
        <f t="shared" si="12"/>
        <v>3.0141059520000004</v>
      </c>
      <c r="H34" s="129">
        <f t="shared" si="12"/>
        <v>3.3456576067200015</v>
      </c>
      <c r="I34" s="129">
        <f t="shared" si="12"/>
        <v>3.5798536391904019</v>
      </c>
      <c r="J34" s="129">
        <f t="shared" si="12"/>
        <v>3.8304433939337303</v>
      </c>
      <c r="K34" s="129">
        <f t="shared" si="12"/>
        <v>4.0985744315090917</v>
      </c>
      <c r="L34" s="129">
        <f t="shared" si="12"/>
        <v>4.3854746417147288</v>
      </c>
      <c r="M34" s="129">
        <f t="shared" si="12"/>
        <v>4.6924578666347587</v>
      </c>
      <c r="N34" s="129">
        <f t="shared" si="12"/>
        <v>5.0209299172991928</v>
      </c>
      <c r="O34" s="129">
        <f t="shared" si="12"/>
        <v>5.3723950115101378</v>
      </c>
      <c r="P34" s="129">
        <f t="shared" si="12"/>
        <v>5.7484626623158466</v>
      </c>
      <c r="Q34" s="129">
        <f t="shared" si="12"/>
        <v>6.1508550486779567</v>
      </c>
      <c r="R34" s="129">
        <f t="shared" si="12"/>
        <v>6.581414902085414</v>
      </c>
      <c r="S34" s="129">
        <f t="shared" si="12"/>
        <v>7.0421139452313923</v>
      </c>
      <c r="T34" s="129">
        <f t="shared" si="12"/>
        <v>7.53506192139759</v>
      </c>
      <c r="U34" s="129">
        <f t="shared" si="12"/>
        <v>8.0625162558954226</v>
      </c>
      <c r="V34" s="129">
        <f t="shared" si="12"/>
        <v>8.6268923938081041</v>
      </c>
      <c r="W34" s="129">
        <f t="shared" si="12"/>
        <v>9.2307748613746714</v>
      </c>
      <c r="X34" s="129">
        <f t="shared" si="12"/>
        <v>9.876929101670898</v>
      </c>
    </row>
    <row r="35" spans="1:25" s="129" customFormat="1" x14ac:dyDescent="0.25">
      <c r="A35" s="129" t="s">
        <v>38</v>
      </c>
      <c r="B35" s="129" t="s">
        <v>61</v>
      </c>
      <c r="C35" s="13">
        <f>Reagent_Costing!BK39</f>
        <v>0.23000483130853167</v>
      </c>
      <c r="E35" s="129">
        <f>$C$35*E28</f>
        <v>0.48947633618555919</v>
      </c>
      <c r="F35" s="129">
        <f t="shared" ref="F35:X35" si="13">E35*(1+F9)*(1+F15)</f>
        <v>0.63152726370997037</v>
      </c>
      <c r="G35" s="129">
        <f t="shared" si="13"/>
        <v>0.81480279091124075</v>
      </c>
      <c r="H35" s="129">
        <f t="shared" si="13"/>
        <v>1.0512667088615919</v>
      </c>
      <c r="I35" s="129">
        <f t="shared" si="13"/>
        <v>1.3563548204403144</v>
      </c>
      <c r="J35" s="129">
        <f t="shared" si="13"/>
        <v>1.6770666131769523</v>
      </c>
      <c r="K35" s="129">
        <f t="shared" si="13"/>
        <v>2.0736111101959089</v>
      </c>
      <c r="L35" s="129">
        <f t="shared" si="13"/>
        <v>2.5639190492156194</v>
      </c>
      <c r="M35" s="129">
        <f t="shared" si="13"/>
        <v>3.1701609133014639</v>
      </c>
      <c r="N35" s="129">
        <f t="shared" si="13"/>
        <v>3.9197494239527364</v>
      </c>
      <c r="O35" s="129">
        <f t="shared" si="13"/>
        <v>4.6358582455882225</v>
      </c>
      <c r="P35" s="129">
        <f t="shared" si="13"/>
        <v>5.4827947781203488</v>
      </c>
      <c r="Q35" s="129">
        <f t="shared" si="13"/>
        <v>6.4844602631221013</v>
      </c>
      <c r="R35" s="129">
        <f t="shared" si="13"/>
        <v>7.6691225197425368</v>
      </c>
      <c r="S35" s="129">
        <f t="shared" si="13"/>
        <v>9.070213685680601</v>
      </c>
      <c r="T35" s="129">
        <f t="shared" si="13"/>
        <v>10.239670349476722</v>
      </c>
      <c r="U35" s="129">
        <f t="shared" si="13"/>
        <v>11.559909446398567</v>
      </c>
      <c r="V35" s="129">
        <f t="shared" si="13"/>
        <v>13.050371920983158</v>
      </c>
      <c r="W35" s="129">
        <f t="shared" si="13"/>
        <v>14.733005311650222</v>
      </c>
      <c r="X35" s="129">
        <f t="shared" si="13"/>
        <v>16.632586935251204</v>
      </c>
    </row>
    <row r="36" spans="1:25" s="129" customFormat="1" x14ac:dyDescent="0.25">
      <c r="A36" s="129" t="s">
        <v>39</v>
      </c>
      <c r="B36" s="129" t="s">
        <v>39</v>
      </c>
      <c r="C36" s="223"/>
      <c r="E36" s="129">
        <f t="shared" ref="E36:X36" si="14">E18*$D$6/1000000*12</f>
        <v>1.8207359999999999E-2</v>
      </c>
      <c r="F36" s="129">
        <f t="shared" si="14"/>
        <v>1.9481875200000002E-2</v>
      </c>
      <c r="G36" s="129">
        <f t="shared" si="14"/>
        <v>2.0845606464000001E-2</v>
      </c>
      <c r="H36" s="129">
        <f t="shared" si="14"/>
        <v>2.2304798916480004E-2</v>
      </c>
      <c r="I36" s="129">
        <f t="shared" si="14"/>
        <v>2.3866134840633602E-2</v>
      </c>
      <c r="J36" s="129">
        <f t="shared" si="14"/>
        <v>2.5536764279477958E-2</v>
      </c>
      <c r="K36" s="129">
        <f t="shared" si="14"/>
        <v>2.7324337779041419E-2</v>
      </c>
      <c r="L36" s="129">
        <f t="shared" si="14"/>
        <v>2.923704142357432E-2</v>
      </c>
      <c r="M36" s="129">
        <f t="shared" si="14"/>
        <v>3.1283634323224521E-2</v>
      </c>
      <c r="N36" s="129">
        <f t="shared" si="14"/>
        <v>3.3473488725850244E-2</v>
      </c>
      <c r="O36" s="129">
        <f t="shared" si="14"/>
        <v>3.5816632936659765E-2</v>
      </c>
      <c r="P36" s="129">
        <f t="shared" si="14"/>
        <v>3.8323797242225954E-2</v>
      </c>
      <c r="Q36" s="129">
        <f t="shared" si="14"/>
        <v>4.100646304918177E-2</v>
      </c>
      <c r="R36" s="129">
        <f t="shared" si="14"/>
        <v>4.3876915462624497E-2</v>
      </c>
      <c r="S36" s="129">
        <f t="shared" si="14"/>
        <v>4.6948299545008218E-2</v>
      </c>
      <c r="T36" s="129">
        <f t="shared" si="14"/>
        <v>5.0234680513158797E-2</v>
      </c>
      <c r="U36" s="129">
        <f t="shared" si="14"/>
        <v>5.3751108149079921E-2</v>
      </c>
      <c r="V36" s="129">
        <f t="shared" si="14"/>
        <v>5.7513685719515525E-2</v>
      </c>
      <c r="W36" s="129">
        <f t="shared" si="14"/>
        <v>6.1539643719881604E-2</v>
      </c>
      <c r="X36" s="129">
        <f t="shared" si="14"/>
        <v>6.5847418780273337E-2</v>
      </c>
    </row>
    <row r="37" spans="1:25" s="129" customFormat="1" x14ac:dyDescent="0.25">
      <c r="A37" s="129" t="s">
        <v>40</v>
      </c>
      <c r="B37" s="129" t="s">
        <v>40</v>
      </c>
      <c r="C37" s="223"/>
      <c r="E37" s="129">
        <f t="shared" ref="E37:X37" si="15">E19*$D$6/1000000*12</f>
        <v>0.19245792</v>
      </c>
      <c r="F37" s="129">
        <f t="shared" si="15"/>
        <v>0.20592997439999999</v>
      </c>
      <c r="G37" s="129">
        <f t="shared" si="15"/>
        <v>0.22034507260800004</v>
      </c>
      <c r="H37" s="129">
        <f t="shared" si="15"/>
        <v>0.23576922769056008</v>
      </c>
      <c r="I37" s="129">
        <f t="shared" si="15"/>
        <v>0.25227307362889928</v>
      </c>
      <c r="J37" s="129">
        <f t="shared" si="15"/>
        <v>0.26993218878292224</v>
      </c>
      <c r="K37" s="129">
        <f t="shared" si="15"/>
        <v>0.28882744199772681</v>
      </c>
      <c r="L37" s="129">
        <f t="shared" si="15"/>
        <v>0.30904536293756768</v>
      </c>
      <c r="M37" s="129">
        <f t="shared" si="15"/>
        <v>0.33067853834319744</v>
      </c>
      <c r="N37" s="129">
        <f t="shared" si="15"/>
        <v>0.35382603602722129</v>
      </c>
      <c r="O37" s="129">
        <f t="shared" si="15"/>
        <v>0.37859385854912686</v>
      </c>
      <c r="P37" s="129">
        <f t="shared" si="15"/>
        <v>0.40509542864756565</v>
      </c>
      <c r="Q37" s="129">
        <f t="shared" si="15"/>
        <v>0.43345210865289535</v>
      </c>
      <c r="R37" s="129">
        <f t="shared" si="15"/>
        <v>0.46379375625859809</v>
      </c>
      <c r="S37" s="129">
        <f t="shared" si="15"/>
        <v>0.49625931919669986</v>
      </c>
      <c r="T37" s="129">
        <f t="shared" si="15"/>
        <v>0.53099747154046895</v>
      </c>
      <c r="U37" s="129">
        <f t="shared" si="15"/>
        <v>0.56816729454830184</v>
      </c>
      <c r="V37" s="129">
        <f t="shared" si="15"/>
        <v>0.60793900516668309</v>
      </c>
      <c r="W37" s="129">
        <f t="shared" si="15"/>
        <v>0.6504947355283508</v>
      </c>
      <c r="X37" s="129">
        <f t="shared" si="15"/>
        <v>0.69602936701533547</v>
      </c>
    </row>
    <row r="38" spans="1:25" s="129" customFormat="1" x14ac:dyDescent="0.25">
      <c r="A38" s="129" t="s">
        <v>1472</v>
      </c>
      <c r="B38" s="129" t="s">
        <v>43</v>
      </c>
      <c r="C38" s="223"/>
      <c r="E38" s="129">
        <f t="shared" ref="E38:X38" si="16">(E20*$D$6/1000000*12)</f>
        <v>1.51767918</v>
      </c>
      <c r="F38" s="129">
        <f t="shared" si="16"/>
        <v>1.669447098</v>
      </c>
      <c r="G38" s="129">
        <f t="shared" si="16"/>
        <v>1.8363918078000001</v>
      </c>
      <c r="H38" s="129">
        <f t="shared" si="16"/>
        <v>2.0200309885800003</v>
      </c>
      <c r="I38" s="129">
        <f t="shared" si="16"/>
        <v>2.2220340874380007</v>
      </c>
      <c r="J38" s="129">
        <f t="shared" si="16"/>
        <v>2.4442374961818012</v>
      </c>
      <c r="K38" s="129">
        <f t="shared" si="16"/>
        <v>2.6886612457999814</v>
      </c>
      <c r="L38" s="129">
        <f t="shared" si="16"/>
        <v>2.9575273703799798</v>
      </c>
      <c r="M38" s="129">
        <f t="shared" si="16"/>
        <v>3.2532801074179778</v>
      </c>
      <c r="N38" s="129">
        <f t="shared" si="16"/>
        <v>3.5786081181597762</v>
      </c>
      <c r="O38" s="129">
        <f t="shared" si="16"/>
        <v>3.9364689299757538</v>
      </c>
      <c r="P38" s="129">
        <f t="shared" si="16"/>
        <v>4.3301158229733296</v>
      </c>
      <c r="Q38" s="129">
        <f t="shared" si="16"/>
        <v>4.7631274052706631</v>
      </c>
      <c r="R38" s="129">
        <f t="shared" si="16"/>
        <v>5.2394401457977295</v>
      </c>
      <c r="S38" s="129">
        <f t="shared" si="16"/>
        <v>5.7633841603775036</v>
      </c>
      <c r="T38" s="129">
        <f t="shared" si="16"/>
        <v>6.3397225764152534</v>
      </c>
      <c r="U38" s="129">
        <f t="shared" si="16"/>
        <v>6.9736948340567801</v>
      </c>
      <c r="V38" s="129">
        <f t="shared" si="16"/>
        <v>7.6710643174624584</v>
      </c>
      <c r="W38" s="129">
        <f t="shared" si="16"/>
        <v>8.4381707492087035</v>
      </c>
      <c r="X38" s="129">
        <f t="shared" si="16"/>
        <v>9.2819878241295743</v>
      </c>
    </row>
    <row r="39" spans="1:25" s="129" customFormat="1" x14ac:dyDescent="0.25">
      <c r="A39" s="129" t="s">
        <v>41</v>
      </c>
      <c r="B39" s="129" t="s">
        <v>62</v>
      </c>
      <c r="C39" s="223"/>
      <c r="E39" s="129">
        <f>(('Central _support'!D10/1000000))/31</f>
        <v>0.13583922580645161</v>
      </c>
      <c r="F39" s="129">
        <f t="shared" ref="F39:X39" si="17">E39*(1+F12)</f>
        <v>0.14534797161290322</v>
      </c>
      <c r="G39" s="129">
        <f t="shared" si="17"/>
        <v>0.15552232962580645</v>
      </c>
      <c r="H39" s="129">
        <f t="shared" si="17"/>
        <v>0.1664088926996129</v>
      </c>
      <c r="I39" s="129">
        <f t="shared" si="17"/>
        <v>0.17805751518858581</v>
      </c>
      <c r="J39" s="129">
        <f t="shared" si="17"/>
        <v>0.19052154125178683</v>
      </c>
      <c r="K39" s="129">
        <f t="shared" si="17"/>
        <v>0.20385804913941191</v>
      </c>
      <c r="L39" s="129">
        <f t="shared" si="17"/>
        <v>0.21812811257917075</v>
      </c>
      <c r="M39" s="129">
        <f t="shared" si="17"/>
        <v>0.23339708045971272</v>
      </c>
      <c r="N39" s="129">
        <f t="shared" si="17"/>
        <v>0.24973487609189263</v>
      </c>
      <c r="O39" s="129">
        <f t="shared" si="17"/>
        <v>0.26721631741832513</v>
      </c>
      <c r="P39" s="129">
        <f t="shared" si="17"/>
        <v>0.2859214596376079</v>
      </c>
      <c r="Q39" s="129">
        <f t="shared" si="17"/>
        <v>0.30593596181224048</v>
      </c>
      <c r="R39" s="129">
        <f t="shared" si="17"/>
        <v>0.32735147913909735</v>
      </c>
      <c r="S39" s="129">
        <f t="shared" si="17"/>
        <v>0.35026608267883419</v>
      </c>
      <c r="T39" s="129">
        <f t="shared" si="17"/>
        <v>0.37478470846635259</v>
      </c>
      <c r="U39" s="129">
        <f t="shared" si="17"/>
        <v>0.40101963805899732</v>
      </c>
      <c r="V39" s="129">
        <f t="shared" si="17"/>
        <v>0.42909101272312716</v>
      </c>
      <c r="W39" s="129">
        <f t="shared" si="17"/>
        <v>0.45912738361374611</v>
      </c>
      <c r="X39" s="129">
        <f t="shared" si="17"/>
        <v>0.49126630046670838</v>
      </c>
    </row>
    <row r="40" spans="1:25" s="129" customFormat="1" x14ac:dyDescent="0.25">
      <c r="A40" s="129" t="s">
        <v>42</v>
      </c>
      <c r="B40" s="129" t="s">
        <v>43</v>
      </c>
      <c r="C40" s="13">
        <f>1%</f>
        <v>0.01</v>
      </c>
      <c r="E40" s="129">
        <f t="shared" ref="E40:X40" si="18">+($C$40*E28)</f>
        <v>2.1281132809291683E-2</v>
      </c>
      <c r="F40" s="129">
        <f t="shared" si="18"/>
        <v>2.7751132866463794E-2</v>
      </c>
      <c r="G40" s="129">
        <f t="shared" si="18"/>
        <v>3.6200985112287275E-2</v>
      </c>
      <c r="H40" s="129">
        <f t="shared" si="18"/>
        <v>4.7384312065856325E-2</v>
      </c>
      <c r="I40" s="129">
        <f t="shared" si="18"/>
        <v>6.1339455091920209E-2</v>
      </c>
      <c r="J40" s="129">
        <f t="shared" si="18"/>
        <v>7.611728677746836E-2</v>
      </c>
      <c r="K40" s="129">
        <f t="shared" si="18"/>
        <v>9.4482822012346673E-2</v>
      </c>
      <c r="L40" s="129">
        <f t="shared" si="18"/>
        <v>0.11731496489475529</v>
      </c>
      <c r="M40" s="129">
        <f t="shared" si="18"/>
        <v>0.1457101881113772</v>
      </c>
      <c r="N40" s="129">
        <f t="shared" si="18"/>
        <v>0.18103703150252595</v>
      </c>
      <c r="O40" s="129">
        <f t="shared" si="18"/>
        <v>0.21522163056636284</v>
      </c>
      <c r="P40" s="129">
        <f t="shared" si="18"/>
        <v>0.25595040334143448</v>
      </c>
      <c r="Q40" s="129">
        <f t="shared" si="18"/>
        <v>0.3044966110590398</v>
      </c>
      <c r="R40" s="129">
        <f t="shared" si="18"/>
        <v>0.36238588656612636</v>
      </c>
      <c r="S40" s="129">
        <f t="shared" si="18"/>
        <v>0.43144729344813598</v>
      </c>
      <c r="T40" s="129">
        <f t="shared" si="18"/>
        <v>0.49051699103791563</v>
      </c>
      <c r="U40" s="129">
        <f t="shared" si="18"/>
        <v>0.55790363410939314</v>
      </c>
      <c r="V40" s="129">
        <f t="shared" si="18"/>
        <v>0.63481737118228188</v>
      </c>
      <c r="W40" s="129">
        <f t="shared" si="18"/>
        <v>0.7226509321099448</v>
      </c>
      <c r="X40" s="129">
        <f t="shared" si="18"/>
        <v>0.82300822208517954</v>
      </c>
    </row>
    <row r="41" spans="1:25" s="124" customFormat="1" ht="15.75" thickBot="1" x14ac:dyDescent="0.3">
      <c r="A41" s="124" t="s">
        <v>44</v>
      </c>
      <c r="C41" s="224"/>
      <c r="D41" s="225">
        <f t="shared" ref="D41:X41" si="19">SUM(D34:D40)</f>
        <v>0</v>
      </c>
      <c r="E41" s="225">
        <f t="shared" si="19"/>
        <v>4.8659378093467565</v>
      </c>
      <c r="F41" s="225">
        <f t="shared" si="19"/>
        <v>5.4395816357893372</v>
      </c>
      <c r="G41" s="225">
        <f t="shared" si="19"/>
        <v>6.0982145445213343</v>
      </c>
      <c r="H41" s="225">
        <f t="shared" si="19"/>
        <v>6.8888225355341017</v>
      </c>
      <c r="I41" s="225">
        <f t="shared" si="19"/>
        <v>7.6737787258187558</v>
      </c>
      <c r="J41" s="225">
        <f t="shared" si="19"/>
        <v>8.5138552843841389</v>
      </c>
      <c r="K41" s="225">
        <f t="shared" si="19"/>
        <v>9.4753394384335081</v>
      </c>
      <c r="L41" s="225">
        <f t="shared" si="19"/>
        <v>10.580646543145395</v>
      </c>
      <c r="M41" s="225">
        <f t="shared" si="19"/>
        <v>11.85696832859171</v>
      </c>
      <c r="N41" s="225">
        <f t="shared" si="19"/>
        <v>13.337358891759196</v>
      </c>
      <c r="O41" s="225">
        <f t="shared" si="19"/>
        <v>14.841570626544591</v>
      </c>
      <c r="P41" s="225">
        <f t="shared" si="19"/>
        <v>16.546664352278356</v>
      </c>
      <c r="Q41" s="225">
        <f t="shared" si="19"/>
        <v>18.483333861644081</v>
      </c>
      <c r="R41" s="225">
        <f t="shared" si="19"/>
        <v>20.687385605052125</v>
      </c>
      <c r="S41" s="225">
        <f t="shared" si="19"/>
        <v>23.200632786158174</v>
      </c>
      <c r="T41" s="225">
        <f t="shared" si="19"/>
        <v>25.560988698847463</v>
      </c>
      <c r="U41" s="225">
        <f t="shared" si="19"/>
        <v>28.176962211216541</v>
      </c>
      <c r="V41" s="225">
        <f t="shared" si="19"/>
        <v>31.077689707045334</v>
      </c>
      <c r="W41" s="225">
        <f t="shared" si="19"/>
        <v>34.295763617205523</v>
      </c>
      <c r="X41" s="225">
        <f t="shared" si="19"/>
        <v>37.867655169399164</v>
      </c>
    </row>
    <row r="42" spans="1:25" ht="15.75" thickTop="1" x14ac:dyDescent="0.25"/>
    <row r="43" spans="1:25" s="129" customFormat="1" x14ac:dyDescent="0.25">
      <c r="A43" s="250" t="s">
        <v>45</v>
      </c>
      <c r="B43" s="229"/>
      <c r="C43" s="224" t="s">
        <v>46</v>
      </c>
      <c r="D43" s="226">
        <f t="shared" ref="D43:X43" si="20">D30-D41</f>
        <v>0</v>
      </c>
      <c r="E43" s="226">
        <f t="shared" si="20"/>
        <v>-3.163447184603422</v>
      </c>
      <c r="F43" s="226">
        <f t="shared" si="20"/>
        <v>-3.219491006472234</v>
      </c>
      <c r="G43" s="226">
        <f t="shared" si="20"/>
        <v>-3.2021357355383522</v>
      </c>
      <c r="H43" s="226">
        <f t="shared" si="20"/>
        <v>-3.0980775702655956</v>
      </c>
      <c r="I43" s="226">
        <f t="shared" si="20"/>
        <v>-2.7666223184651395</v>
      </c>
      <c r="J43" s="226">
        <f t="shared" si="20"/>
        <v>-2.4244723421866698</v>
      </c>
      <c r="K43" s="226">
        <f t="shared" si="20"/>
        <v>-1.9167136774457747</v>
      </c>
      <c r="L43" s="226">
        <f t="shared" si="20"/>
        <v>-1.1954493515649727</v>
      </c>
      <c r="M43" s="226">
        <f t="shared" si="20"/>
        <v>-0.20015327968153329</v>
      </c>
      <c r="N43" s="226">
        <f t="shared" si="20"/>
        <v>1.1456036284428794</v>
      </c>
      <c r="O43" s="226">
        <f t="shared" si="20"/>
        <v>2.3761598187644353</v>
      </c>
      <c r="P43" s="226">
        <f t="shared" si="20"/>
        <v>3.9293679150364014</v>
      </c>
      <c r="Q43" s="226">
        <f t="shared" si="20"/>
        <v>5.8763950230791053</v>
      </c>
      <c r="R43" s="226">
        <f t="shared" si="20"/>
        <v>8.3034853202379821</v>
      </c>
      <c r="S43" s="226">
        <f t="shared" si="20"/>
        <v>11.315150689692707</v>
      </c>
      <c r="T43" s="226">
        <f t="shared" si="20"/>
        <v>13.680370584185784</v>
      </c>
      <c r="U43" s="226">
        <f t="shared" si="20"/>
        <v>16.455328517534909</v>
      </c>
      <c r="V43" s="226">
        <f t="shared" si="20"/>
        <v>19.707699987537215</v>
      </c>
      <c r="W43" s="226">
        <f t="shared" si="20"/>
        <v>23.516310951590057</v>
      </c>
      <c r="X43" s="226">
        <f t="shared" si="20"/>
        <v>27.973002597415196</v>
      </c>
    </row>
    <row r="44" spans="1:25" x14ac:dyDescent="0.25">
      <c r="A44" s="250"/>
      <c r="B44" s="20"/>
      <c r="C44" s="6" t="s">
        <v>47</v>
      </c>
      <c r="D44" s="22">
        <v>0</v>
      </c>
      <c r="E44" s="22">
        <f t="shared" ref="E44:X44" si="21">E43/E13</f>
        <v>-2.2317087722069997E-2</v>
      </c>
      <c r="F44" s="22">
        <f t="shared" si="21"/>
        <v>-2.1630912951858462E-2</v>
      </c>
      <c r="G44" s="22">
        <f t="shared" si="21"/>
        <v>-2.048981662192053E-2</v>
      </c>
      <c r="H44" s="22">
        <f t="shared" si="21"/>
        <v>-1.8879970993738709E-2</v>
      </c>
      <c r="I44" s="22">
        <f t="shared" si="21"/>
        <v>-1.6057192438911634E-2</v>
      </c>
      <c r="J44" s="22">
        <f t="shared" si="21"/>
        <v>-1.3401322892291548E-2</v>
      </c>
      <c r="K44" s="22">
        <f t="shared" si="21"/>
        <v>-1.0090167598264886E-2</v>
      </c>
      <c r="L44" s="22">
        <f t="shared" si="21"/>
        <v>-5.9935346403766189E-3</v>
      </c>
      <c r="M44" s="22">
        <f t="shared" si="21"/>
        <v>-9.5570806439222809E-4</v>
      </c>
      <c r="N44" s="22">
        <f t="shared" si="21"/>
        <v>5.2096388948553105E-3</v>
      </c>
      <c r="O44" s="22">
        <f t="shared" si="21"/>
        <v>1.0291047656229239E-2</v>
      </c>
      <c r="P44" s="22">
        <f t="shared" si="21"/>
        <v>1.6207548776878581E-2</v>
      </c>
      <c r="Q44" s="22">
        <f t="shared" si="21"/>
        <v>2.3084279596774795E-2</v>
      </c>
      <c r="R44" s="22">
        <f t="shared" si="21"/>
        <v>3.1065365432747662E-2</v>
      </c>
      <c r="S44" s="22">
        <f t="shared" si="21"/>
        <v>4.0316895920133503E-2</v>
      </c>
      <c r="T44" s="22">
        <f t="shared" si="21"/>
        <v>4.6423225109094267E-2</v>
      </c>
      <c r="U44" s="22">
        <f t="shared" si="21"/>
        <v>5.3180780190732996E-2</v>
      </c>
      <c r="V44" s="22">
        <f t="shared" si="21"/>
        <v>6.0658936331506277E-2</v>
      </c>
      <c r="W44" s="22">
        <f t="shared" si="21"/>
        <v>6.8934835461531271E-2</v>
      </c>
      <c r="X44" s="22">
        <f t="shared" si="21"/>
        <v>7.8094299876628942E-2</v>
      </c>
    </row>
    <row r="45" spans="1:25" x14ac:dyDescent="0.25"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</row>
    <row r="46" spans="1:25" x14ac:dyDescent="0.25">
      <c r="A46" s="1" t="s">
        <v>48</v>
      </c>
      <c r="B46" s="1"/>
      <c r="C46" s="6"/>
      <c r="D46" s="24">
        <v>0</v>
      </c>
      <c r="E46" s="24">
        <f t="shared" ref="E46:X46" si="22">E43/E28</f>
        <v>-1.4865031917954152</v>
      </c>
      <c r="F46" s="24">
        <f t="shared" si="22"/>
        <v>-1.1601295781199867</v>
      </c>
      <c r="G46" s="24">
        <f t="shared" si="22"/>
        <v>-0.88454381161342732</v>
      </c>
      <c r="H46" s="24">
        <f t="shared" si="22"/>
        <v>-0.65381925687974163</v>
      </c>
      <c r="I46" s="24">
        <f t="shared" si="22"/>
        <v>-0.45103470748463925</v>
      </c>
      <c r="J46" s="24">
        <f t="shared" si="22"/>
        <v>-0.31851796678916083</v>
      </c>
      <c r="K46" s="24">
        <f t="shared" si="22"/>
        <v>-0.20286372026391269</v>
      </c>
      <c r="L46" s="24">
        <f t="shared" si="22"/>
        <v>-0.10190084041174331</v>
      </c>
      <c r="M46" s="24">
        <f t="shared" si="22"/>
        <v>-1.373639566840317E-2</v>
      </c>
      <c r="N46" s="24">
        <f t="shared" si="22"/>
        <v>6.3280071427093368E-2</v>
      </c>
      <c r="O46" s="24">
        <f t="shared" si="22"/>
        <v>0.11040525120600063</v>
      </c>
      <c r="P46" s="24">
        <f t="shared" si="22"/>
        <v>0.15352067680841575</v>
      </c>
      <c r="Q46" s="24">
        <f t="shared" si="22"/>
        <v>0.19298720608551248</v>
      </c>
      <c r="R46" s="24">
        <f t="shared" si="22"/>
        <v>0.22913379433508385</v>
      </c>
      <c r="S46" s="24">
        <f t="shared" si="22"/>
        <v>0.26226032383380554</v>
      </c>
      <c r="T46" s="24">
        <f t="shared" si="22"/>
        <v>0.2788969767436319</v>
      </c>
      <c r="U46" s="24">
        <f t="shared" si="22"/>
        <v>0.29494929789807328</v>
      </c>
      <c r="V46" s="24">
        <f t="shared" si="22"/>
        <v>0.31044676598615528</v>
      </c>
      <c r="W46" s="24">
        <f t="shared" si="22"/>
        <v>0.32541729217630433</v>
      </c>
      <c r="X46" s="24">
        <f t="shared" si="22"/>
        <v>0.33988727994165835</v>
      </c>
    </row>
    <row r="48" spans="1:25" x14ac:dyDescent="0.25">
      <c r="A48" s="228" t="s">
        <v>1469</v>
      </c>
      <c r="B48" s="25"/>
      <c r="C48" s="130">
        <v>0</v>
      </c>
      <c r="D48" s="8">
        <f>D49*D13</f>
        <v>-1</v>
      </c>
      <c r="E48" s="129">
        <f t="shared" ref="E48:X48" si="23">$C$48*E28</f>
        <v>0</v>
      </c>
      <c r="F48" s="129">
        <f t="shared" si="23"/>
        <v>0</v>
      </c>
      <c r="G48" s="129">
        <f t="shared" si="23"/>
        <v>0</v>
      </c>
      <c r="H48" s="129">
        <f t="shared" si="23"/>
        <v>0</v>
      </c>
      <c r="I48" s="129">
        <f t="shared" si="23"/>
        <v>0</v>
      </c>
      <c r="J48" s="129">
        <f t="shared" si="23"/>
        <v>0</v>
      </c>
      <c r="K48" s="129">
        <f t="shared" si="23"/>
        <v>0</v>
      </c>
      <c r="L48" s="129">
        <f t="shared" si="23"/>
        <v>0</v>
      </c>
      <c r="M48" s="129">
        <f t="shared" si="23"/>
        <v>0</v>
      </c>
      <c r="N48" s="129">
        <f t="shared" si="23"/>
        <v>0</v>
      </c>
      <c r="O48" s="129">
        <f t="shared" si="23"/>
        <v>0</v>
      </c>
      <c r="P48" s="129">
        <f t="shared" si="23"/>
        <v>0</v>
      </c>
      <c r="Q48" s="129">
        <f t="shared" si="23"/>
        <v>0</v>
      </c>
      <c r="R48" s="129">
        <f t="shared" si="23"/>
        <v>0</v>
      </c>
      <c r="S48" s="129">
        <f t="shared" si="23"/>
        <v>0</v>
      </c>
      <c r="T48" s="129">
        <f t="shared" si="23"/>
        <v>0</v>
      </c>
      <c r="U48" s="129">
        <f t="shared" si="23"/>
        <v>0</v>
      </c>
      <c r="V48" s="129">
        <f t="shared" si="23"/>
        <v>0</v>
      </c>
      <c r="W48" s="129">
        <f t="shared" si="23"/>
        <v>0</v>
      </c>
      <c r="X48" s="129">
        <f t="shared" si="23"/>
        <v>0</v>
      </c>
      <c r="Y48" s="18">
        <f>SUM(D48:X48)</f>
        <v>-1</v>
      </c>
    </row>
    <row r="49" spans="1:25" x14ac:dyDescent="0.25">
      <c r="A49" s="228" t="s">
        <v>1470</v>
      </c>
      <c r="B49" s="26" t="s">
        <v>49</v>
      </c>
      <c r="C49" s="6" t="s">
        <v>47</v>
      </c>
      <c r="D49" s="127">
        <f>-D6*D7/1000000</f>
        <v>-7.4074074074074077E-3</v>
      </c>
      <c r="F49" s="15"/>
      <c r="G49" s="15"/>
      <c r="H49" s="15"/>
      <c r="I49" s="15"/>
      <c r="J49" s="15"/>
      <c r="K49" s="15">
        <f>-0.007*0</f>
        <v>0</v>
      </c>
      <c r="L49" s="15"/>
      <c r="M49" s="15"/>
      <c r="N49" s="15"/>
      <c r="O49" s="15">
        <f>D49*0.25</f>
        <v>-1.8518518518518519E-3</v>
      </c>
      <c r="P49" s="15">
        <f t="shared" ref="P49:X49" si="24">E49*0.25</f>
        <v>0</v>
      </c>
      <c r="Q49" s="15">
        <f t="shared" si="24"/>
        <v>0</v>
      </c>
      <c r="R49" s="15">
        <f t="shared" si="24"/>
        <v>0</v>
      </c>
      <c r="S49" s="15">
        <f t="shared" si="24"/>
        <v>0</v>
      </c>
      <c r="T49" s="15">
        <f t="shared" si="24"/>
        <v>0</v>
      </c>
      <c r="U49" s="15">
        <f t="shared" si="24"/>
        <v>0</v>
      </c>
      <c r="V49" s="15">
        <f t="shared" si="24"/>
        <v>0</v>
      </c>
      <c r="W49" s="15">
        <f t="shared" si="24"/>
        <v>0</v>
      </c>
      <c r="X49" s="15">
        <f t="shared" si="24"/>
        <v>0</v>
      </c>
    </row>
    <row r="51" spans="1:25" x14ac:dyDescent="0.25">
      <c r="A51" s="249" t="s">
        <v>50</v>
      </c>
      <c r="B51" s="20"/>
      <c r="C51" s="6" t="s">
        <v>46</v>
      </c>
      <c r="D51" s="226">
        <f>+D43+D48</f>
        <v>-1</v>
      </c>
      <c r="E51" s="226">
        <f t="shared" ref="D51:X52" si="25">+E43+E48</f>
        <v>-3.163447184603422</v>
      </c>
      <c r="F51" s="226">
        <f t="shared" si="25"/>
        <v>-3.219491006472234</v>
      </c>
      <c r="G51" s="226">
        <f t="shared" si="25"/>
        <v>-3.2021357355383522</v>
      </c>
      <c r="H51" s="226">
        <f t="shared" si="25"/>
        <v>-3.0980775702655956</v>
      </c>
      <c r="I51" s="226">
        <f t="shared" si="25"/>
        <v>-2.7666223184651395</v>
      </c>
      <c r="J51" s="226">
        <f t="shared" si="25"/>
        <v>-2.4244723421866698</v>
      </c>
      <c r="K51" s="226">
        <f t="shared" si="25"/>
        <v>-1.9167136774457747</v>
      </c>
      <c r="L51" s="226">
        <f t="shared" si="25"/>
        <v>-1.1954493515649727</v>
      </c>
      <c r="M51" s="226">
        <f t="shared" si="25"/>
        <v>-0.20015327968153329</v>
      </c>
      <c r="N51" s="226">
        <f t="shared" si="25"/>
        <v>1.1456036284428794</v>
      </c>
      <c r="O51" s="226">
        <f t="shared" si="25"/>
        <v>2.3761598187644353</v>
      </c>
      <c r="P51" s="226">
        <f t="shared" si="25"/>
        <v>3.9293679150364014</v>
      </c>
      <c r="Q51" s="226">
        <f t="shared" si="25"/>
        <v>5.8763950230791053</v>
      </c>
      <c r="R51" s="226">
        <f t="shared" si="25"/>
        <v>8.3034853202379821</v>
      </c>
      <c r="S51" s="226">
        <f t="shared" si="25"/>
        <v>11.315150689692707</v>
      </c>
      <c r="T51" s="226">
        <f t="shared" si="25"/>
        <v>13.680370584185784</v>
      </c>
      <c r="U51" s="226">
        <f t="shared" si="25"/>
        <v>16.455328517534909</v>
      </c>
      <c r="V51" s="226">
        <f t="shared" si="25"/>
        <v>19.707699987537215</v>
      </c>
      <c r="W51" s="226">
        <f t="shared" si="25"/>
        <v>23.516310951590057</v>
      </c>
      <c r="X51" s="226">
        <f t="shared" si="25"/>
        <v>27.973002597415196</v>
      </c>
      <c r="Y51" s="129">
        <f>SUM(D51:X51)</f>
        <v>112.09231256729299</v>
      </c>
    </row>
    <row r="52" spans="1:25" x14ac:dyDescent="0.25">
      <c r="A52" s="249" t="s">
        <v>50</v>
      </c>
      <c r="B52" s="20"/>
      <c r="C52" s="6" t="s">
        <v>47</v>
      </c>
      <c r="D52" s="227">
        <f t="shared" si="25"/>
        <v>-7.4074074074074077E-3</v>
      </c>
      <c r="E52" s="227">
        <f t="shared" si="25"/>
        <v>-2.2317087722069997E-2</v>
      </c>
      <c r="F52" s="227">
        <f t="shared" si="25"/>
        <v>-2.1630912951858462E-2</v>
      </c>
      <c r="G52" s="227">
        <f t="shared" si="25"/>
        <v>-2.048981662192053E-2</v>
      </c>
      <c r="H52" s="227">
        <f t="shared" si="25"/>
        <v>-1.8879970993738709E-2</v>
      </c>
      <c r="I52" s="227">
        <f t="shared" si="25"/>
        <v>-1.6057192438911634E-2</v>
      </c>
      <c r="J52" s="227">
        <f t="shared" si="25"/>
        <v>-1.3401322892291548E-2</v>
      </c>
      <c r="K52" s="227">
        <f t="shared" si="25"/>
        <v>-1.0090167598264886E-2</v>
      </c>
      <c r="L52" s="227">
        <f t="shared" si="25"/>
        <v>-5.9935346403766189E-3</v>
      </c>
      <c r="M52" s="227">
        <f t="shared" si="25"/>
        <v>-9.5570806439222809E-4</v>
      </c>
      <c r="N52" s="227">
        <f t="shared" si="25"/>
        <v>5.2096388948553105E-3</v>
      </c>
      <c r="O52" s="227">
        <f t="shared" si="25"/>
        <v>8.4391958043773876E-3</v>
      </c>
      <c r="P52" s="227">
        <f t="shared" si="25"/>
        <v>1.6207548776878581E-2</v>
      </c>
      <c r="Q52" s="227">
        <f t="shared" si="25"/>
        <v>2.3084279596774795E-2</v>
      </c>
      <c r="R52" s="227">
        <f t="shared" si="25"/>
        <v>3.1065365432747662E-2</v>
      </c>
      <c r="S52" s="227">
        <f t="shared" si="25"/>
        <v>4.0316895920133503E-2</v>
      </c>
      <c r="T52" s="227">
        <f t="shared" si="25"/>
        <v>4.6423225109094267E-2</v>
      </c>
      <c r="U52" s="227">
        <f t="shared" si="25"/>
        <v>5.3180780190732996E-2</v>
      </c>
      <c r="V52" s="227">
        <f t="shared" si="25"/>
        <v>6.0658936331506277E-2</v>
      </c>
      <c r="W52" s="227">
        <f t="shared" si="25"/>
        <v>6.8934835461531271E-2</v>
      </c>
      <c r="X52" s="227">
        <f t="shared" si="25"/>
        <v>7.8094299876628942E-2</v>
      </c>
      <c r="Y52" s="129">
        <f>SUM(D52:X52)</f>
        <v>0.29439188006402894</v>
      </c>
    </row>
    <row r="55" spans="1:25" x14ac:dyDescent="0.25">
      <c r="A55" s="1" t="s">
        <v>51</v>
      </c>
      <c r="B55" s="1" t="s">
        <v>1355</v>
      </c>
      <c r="C55" s="130">
        <f>'Main Center'!C55</f>
        <v>0.12826699999999999</v>
      </c>
      <c r="D55" s="27">
        <f>NPV(C55,E51:X51)+D51</f>
        <v>3.2166197482315182</v>
      </c>
      <c r="L55" s="15"/>
    </row>
    <row r="56" spans="1:25" x14ac:dyDescent="0.25">
      <c r="A56" s="1" t="s">
        <v>52</v>
      </c>
      <c r="B56" s="1"/>
      <c r="D56" s="128">
        <f>D55/E13</f>
        <v>2.2692202809393425E-2</v>
      </c>
      <c r="E56" s="237">
        <f>D56*1000000</f>
        <v>22692.202809393424</v>
      </c>
      <c r="L56" s="15"/>
    </row>
    <row r="57" spans="1:25" x14ac:dyDescent="0.25">
      <c r="A57" s="1" t="s">
        <v>53</v>
      </c>
      <c r="B57" s="1"/>
      <c r="D57" s="236">
        <f>IRR(D51:X51)</f>
        <v>0.14564159491556361</v>
      </c>
    </row>
    <row r="58" spans="1:25" x14ac:dyDescent="0.25">
      <c r="A58" s="1" t="s">
        <v>1477</v>
      </c>
      <c r="B58" s="1"/>
      <c r="D58" s="239">
        <f>(((Y52*1000000)/D7)^(1/20))-1</f>
        <v>0.20216195531000425</v>
      </c>
    </row>
    <row r="59" spans="1:25" x14ac:dyDescent="0.25">
      <c r="A59" s="1" t="s">
        <v>54</v>
      </c>
      <c r="B59" s="1"/>
      <c r="D59" s="1">
        <f>MATCH(1,E61:X61,0)</f>
        <v>14</v>
      </c>
      <c r="E59" s="1" t="s">
        <v>55</v>
      </c>
      <c r="F59" s="1">
        <f>-ROUND(INDEX(E60:X60,MATCH(1,E61:X61,0))/INDEX(E51:X51,MATCH(1,E61:X61,0)+1)*12,0)</f>
        <v>1</v>
      </c>
      <c r="G59" s="1" t="s">
        <v>56</v>
      </c>
    </row>
    <row r="60" spans="1:25" x14ac:dyDescent="0.25">
      <c r="E60" s="18">
        <f>SUM($D51:E51)</f>
        <v>-4.163447184603422</v>
      </c>
      <c r="F60" s="18">
        <f>SUM($D51:F51)</f>
        <v>-7.382938191075656</v>
      </c>
      <c r="G60" s="18">
        <f>SUM($D51:G51)</f>
        <v>-10.585073926614008</v>
      </c>
      <c r="H60" s="18">
        <f>SUM($D51:H51)</f>
        <v>-13.683151496879603</v>
      </c>
      <c r="I60" s="18">
        <f>SUM($D51:I51)</f>
        <v>-16.449773815344741</v>
      </c>
      <c r="J60" s="18">
        <f>SUM($D51:J51)</f>
        <v>-18.87424615753141</v>
      </c>
      <c r="K60" s="18">
        <f>SUM($D51:K51)</f>
        <v>-20.790959834977183</v>
      </c>
      <c r="L60" s="18">
        <f>SUM($D51:L51)</f>
        <v>-21.986409186542154</v>
      </c>
      <c r="M60" s="18">
        <f>SUM($D51:M51)</f>
        <v>-22.186562466223688</v>
      </c>
      <c r="N60" s="18">
        <f>SUM($D51:N51)</f>
        <v>-21.040958837780806</v>
      </c>
      <c r="O60" s="18">
        <f>SUM($D51:O51)</f>
        <v>-18.664799019016371</v>
      </c>
      <c r="P60" s="18">
        <f>SUM($D51:P51)</f>
        <v>-14.73543110397997</v>
      </c>
      <c r="Q60" s="18">
        <f>SUM($D51:Q51)</f>
        <v>-8.8590360809008644</v>
      </c>
      <c r="R60" s="18">
        <f>SUM($D51:R51)</f>
        <v>-0.55555076066288223</v>
      </c>
      <c r="S60" s="18">
        <f>SUM($D51:S51)</f>
        <v>10.759599929029825</v>
      </c>
      <c r="T60" s="18">
        <f>SUM($D51:T51)</f>
        <v>24.439970513215609</v>
      </c>
      <c r="U60" s="18">
        <f>SUM($D51:U51)</f>
        <v>40.895299030750522</v>
      </c>
      <c r="V60" s="18">
        <f>SUM($D51:V51)</f>
        <v>60.602999018287733</v>
      </c>
      <c r="W60" s="18">
        <f>SUM($D51:W51)</f>
        <v>84.11930996987779</v>
      </c>
      <c r="X60" s="18">
        <f>SUM($D51:X51)</f>
        <v>112.09231256729299</v>
      </c>
    </row>
    <row r="61" spans="1:25" x14ac:dyDescent="0.25">
      <c r="E61" t="str">
        <f>IF(AND(E60&lt;0,F60&gt;0),1,"")</f>
        <v/>
      </c>
      <c r="F61" t="str">
        <f>IF(AND(F60&lt;0,G60&gt;0),1,"")</f>
        <v/>
      </c>
      <c r="G61" t="str">
        <f t="shared" ref="G61:X61" si="26">IF(AND(G60&lt;0,H60&gt;0),1,"")</f>
        <v/>
      </c>
      <c r="H61" t="str">
        <f t="shared" si="26"/>
        <v/>
      </c>
      <c r="I61" t="str">
        <f t="shared" si="26"/>
        <v/>
      </c>
      <c r="J61" t="str">
        <f t="shared" si="26"/>
        <v/>
      </c>
      <c r="K61" t="str">
        <f t="shared" si="26"/>
        <v/>
      </c>
      <c r="L61" t="str">
        <f t="shared" si="26"/>
        <v/>
      </c>
      <c r="M61" t="str">
        <f t="shared" si="26"/>
        <v/>
      </c>
      <c r="N61" t="str">
        <f t="shared" si="26"/>
        <v/>
      </c>
      <c r="O61" t="str">
        <f t="shared" si="26"/>
        <v/>
      </c>
      <c r="P61" t="str">
        <f t="shared" si="26"/>
        <v/>
      </c>
      <c r="Q61" t="str">
        <f t="shared" si="26"/>
        <v/>
      </c>
      <c r="R61">
        <f t="shared" si="26"/>
        <v>1</v>
      </c>
      <c r="S61" t="str">
        <f t="shared" si="26"/>
        <v/>
      </c>
      <c r="T61" t="str">
        <f t="shared" si="26"/>
        <v/>
      </c>
      <c r="U61" t="str">
        <f t="shared" si="26"/>
        <v/>
      </c>
      <c r="V61" t="str">
        <f t="shared" si="26"/>
        <v/>
      </c>
      <c r="W61" t="str">
        <f t="shared" si="26"/>
        <v/>
      </c>
      <c r="X61" t="str">
        <f t="shared" si="26"/>
        <v/>
      </c>
    </row>
    <row r="63" spans="1:25" x14ac:dyDescent="0.25">
      <c r="A63" s="1" t="s">
        <v>1353</v>
      </c>
      <c r="B63" s="1"/>
      <c r="C63" s="6"/>
      <c r="D63" s="1"/>
      <c r="E63" s="123">
        <f t="shared" ref="E63:X63" si="27">E28*1000000/300</f>
        <v>7093.7109364305607</v>
      </c>
      <c r="F63" s="123">
        <f t="shared" si="27"/>
        <v>9250.3776221545977</v>
      </c>
      <c r="G63" s="123">
        <f t="shared" si="27"/>
        <v>12066.995037429091</v>
      </c>
      <c r="H63" s="123">
        <f t="shared" si="27"/>
        <v>15794.770688618775</v>
      </c>
      <c r="I63" s="123">
        <f t="shared" si="27"/>
        <v>20446.485030640069</v>
      </c>
      <c r="J63" s="123">
        <f t="shared" si="27"/>
        <v>25372.428925822787</v>
      </c>
      <c r="K63" s="123">
        <f t="shared" si="27"/>
        <v>31494.274004115556</v>
      </c>
      <c r="L63" s="123">
        <f t="shared" si="27"/>
        <v>39104.988298251759</v>
      </c>
      <c r="M63" s="123">
        <f t="shared" si="27"/>
        <v>48570.062703792406</v>
      </c>
      <c r="N63" s="123">
        <f t="shared" si="27"/>
        <v>60345.677167508649</v>
      </c>
      <c r="O63" s="123">
        <f t="shared" si="27"/>
        <v>71740.543522120948</v>
      </c>
      <c r="P63" s="123">
        <f t="shared" si="27"/>
        <v>85316.801113811496</v>
      </c>
      <c r="Q63" s="123">
        <f t="shared" si="27"/>
        <v>101498.87035301328</v>
      </c>
      <c r="R63" s="123">
        <f t="shared" si="27"/>
        <v>120795.29552204211</v>
      </c>
      <c r="S63" s="123">
        <f t="shared" si="27"/>
        <v>143815.76448271199</v>
      </c>
      <c r="T63" s="123">
        <f t="shared" si="27"/>
        <v>163505.6636793052</v>
      </c>
      <c r="U63" s="123">
        <f t="shared" si="27"/>
        <v>185967.87803646439</v>
      </c>
      <c r="V63" s="123">
        <f t="shared" si="27"/>
        <v>211605.79039409396</v>
      </c>
      <c r="W63" s="123">
        <f t="shared" si="27"/>
        <v>240883.64403664827</v>
      </c>
      <c r="X63" s="123">
        <f t="shared" si="27"/>
        <v>274336.0740283932</v>
      </c>
    </row>
    <row r="64" spans="1:25" s="1" customFormat="1" x14ac:dyDescent="0.25">
      <c r="A64" s="1" t="s">
        <v>1354</v>
      </c>
      <c r="C64" s="6"/>
      <c r="E64" s="27">
        <f>E63*25</f>
        <v>177342.77341076403</v>
      </c>
      <c r="F64" s="27">
        <f t="shared" ref="F64:X64" si="28">F63*25</f>
        <v>231259.44055386493</v>
      </c>
      <c r="G64" s="27">
        <f t="shared" si="28"/>
        <v>301674.87593572726</v>
      </c>
      <c r="H64" s="27">
        <f t="shared" si="28"/>
        <v>394869.26721546939</v>
      </c>
      <c r="I64" s="27">
        <f t="shared" si="28"/>
        <v>511162.12576600176</v>
      </c>
      <c r="J64" s="27">
        <f t="shared" si="28"/>
        <v>634310.72314556967</v>
      </c>
      <c r="K64" s="27">
        <f t="shared" si="28"/>
        <v>787356.85010288889</v>
      </c>
      <c r="L64" s="27">
        <f t="shared" si="28"/>
        <v>977624.70745629398</v>
      </c>
      <c r="M64" s="27">
        <f t="shared" si="28"/>
        <v>1214251.5675948102</v>
      </c>
      <c r="N64" s="27">
        <f t="shared" si="28"/>
        <v>1508641.9291877162</v>
      </c>
      <c r="O64" s="27">
        <f t="shared" si="28"/>
        <v>1793513.5880530237</v>
      </c>
      <c r="P64" s="27">
        <f t="shared" si="28"/>
        <v>2132920.0278452872</v>
      </c>
      <c r="Q64" s="27">
        <f t="shared" si="28"/>
        <v>2537471.7588253319</v>
      </c>
      <c r="R64" s="27">
        <f t="shared" si="28"/>
        <v>3019882.388051053</v>
      </c>
      <c r="S64" s="27">
        <f t="shared" si="28"/>
        <v>3595394.1120678</v>
      </c>
      <c r="T64" s="27">
        <f t="shared" si="28"/>
        <v>4087641.5919826301</v>
      </c>
      <c r="U64" s="27">
        <f t="shared" si="28"/>
        <v>4649196.9509116095</v>
      </c>
      <c r="V64" s="27">
        <f t="shared" si="28"/>
        <v>5290144.7598523488</v>
      </c>
      <c r="W64" s="27">
        <f t="shared" si="28"/>
        <v>6022091.1009162068</v>
      </c>
      <c r="X64" s="27">
        <f t="shared" si="28"/>
        <v>6858401.8507098295</v>
      </c>
    </row>
    <row r="70" spans="2:6" ht="30" x14ac:dyDescent="0.25">
      <c r="B70" s="241"/>
      <c r="C70" s="242" t="s">
        <v>1479</v>
      </c>
      <c r="D70" s="242" t="s">
        <v>1480</v>
      </c>
      <c r="E70" s="242" t="s">
        <v>1481</v>
      </c>
      <c r="F70" s="242" t="s">
        <v>1482</v>
      </c>
    </row>
    <row r="71" spans="2:6" ht="30" x14ac:dyDescent="0.25">
      <c r="B71" s="243" t="s">
        <v>1483</v>
      </c>
      <c r="C71" s="242"/>
      <c r="D71" s="242"/>
      <c r="E71" s="242"/>
      <c r="F71" s="242"/>
    </row>
    <row r="72" spans="2:6" x14ac:dyDescent="0.25">
      <c r="B72" s="244" t="s">
        <v>1462</v>
      </c>
      <c r="C72" s="245">
        <f>SUM(E28:I28)</f>
        <v>19.395701794581928</v>
      </c>
      <c r="D72" s="245">
        <f>SUM(J28:N28)</f>
        <v>61.466229329847351</v>
      </c>
      <c r="E72" s="245">
        <f>SUM(O28:S28)</f>
        <v>156.95018249810994</v>
      </c>
      <c r="F72" s="245">
        <f>SUM(T28:X28)</f>
        <v>322.8897150524715</v>
      </c>
    </row>
    <row r="73" spans="2:6" x14ac:dyDescent="0.25">
      <c r="B73" s="244" t="s">
        <v>1380</v>
      </c>
      <c r="C73" s="245">
        <f>SUM(E30:I30)</f>
        <v>15.516561435665542</v>
      </c>
      <c r="D73" s="245">
        <f>SUM(J30:N30)</f>
        <v>49.17298346387787</v>
      </c>
      <c r="E73" s="245">
        <f>SUM(O30:S30)</f>
        <v>125.56014599848795</v>
      </c>
      <c r="F73" s="245">
        <f>SUM(T30:X30)</f>
        <v>258.31177204197718</v>
      </c>
    </row>
    <row r="74" spans="2:6" x14ac:dyDescent="0.25">
      <c r="B74" s="244" t="s">
        <v>1484</v>
      </c>
      <c r="C74" s="245">
        <f>SUM(E41:I41)</f>
        <v>30.966335251010285</v>
      </c>
      <c r="D74" s="245">
        <f>SUM(J41:N41)</f>
        <v>53.764168486313949</v>
      </c>
      <c r="E74" s="245">
        <f>SUM(O41:S41)</f>
        <v>93.75958723167733</v>
      </c>
      <c r="F74" s="245">
        <f>SUM(T41:X41)</f>
        <v>156.97905940371402</v>
      </c>
    </row>
    <row r="75" spans="2:6" x14ac:dyDescent="0.25">
      <c r="B75" s="244" t="s">
        <v>1464</v>
      </c>
      <c r="C75" s="245">
        <f>SUM(E51:I51)</f>
        <v>-15.449773815344741</v>
      </c>
      <c r="D75" s="245">
        <f>SUM(J51:N51)</f>
        <v>-4.5911850224360711</v>
      </c>
      <c r="E75" s="245">
        <f>SUM(O51:O51)</f>
        <v>2.3761598187644353</v>
      </c>
      <c r="F75" s="245">
        <f>SUM(T51:X51)</f>
        <v>101.33271263826316</v>
      </c>
    </row>
    <row r="76" spans="2:6" x14ac:dyDescent="0.25">
      <c r="B76" s="187"/>
      <c r="C76" s="246"/>
      <c r="D76" s="246"/>
      <c r="E76" s="246"/>
      <c r="F76" s="246"/>
    </row>
    <row r="77" spans="2:6" x14ac:dyDescent="0.25">
      <c r="B77" s="244" t="s">
        <v>1462</v>
      </c>
      <c r="C77" s="246">
        <f>C72/153</f>
        <v>0.12676929277504528</v>
      </c>
      <c r="D77" s="246">
        <f t="shared" ref="D77:F77" si="29">D72/153</f>
        <v>0.40174006097939446</v>
      </c>
      <c r="E77" s="246">
        <f t="shared" si="29"/>
        <v>1.0258181862621565</v>
      </c>
      <c r="F77" s="246">
        <f t="shared" si="29"/>
        <v>2.1103902944605979</v>
      </c>
    </row>
    <row r="78" spans="2:6" x14ac:dyDescent="0.25">
      <c r="B78" s="244" t="s">
        <v>1380</v>
      </c>
      <c r="C78" s="246">
        <f t="shared" ref="C78:F80" si="30">C73/153</f>
        <v>0.10141543422003622</v>
      </c>
      <c r="D78" s="246">
        <f t="shared" si="30"/>
        <v>0.32139204878351552</v>
      </c>
      <c r="E78" s="246">
        <f t="shared" si="30"/>
        <v>0.82065454900972523</v>
      </c>
      <c r="F78" s="246">
        <f t="shared" si="30"/>
        <v>1.6883122355684783</v>
      </c>
    </row>
    <row r="79" spans="2:6" x14ac:dyDescent="0.25">
      <c r="B79" s="244" t="s">
        <v>1484</v>
      </c>
      <c r="C79" s="246">
        <f t="shared" si="30"/>
        <v>0.20239434804581885</v>
      </c>
      <c r="D79" s="246">
        <f t="shared" si="30"/>
        <v>0.35139979402819577</v>
      </c>
      <c r="E79" s="246">
        <f t="shared" si="30"/>
        <v>0.61280775968416556</v>
      </c>
      <c r="F79" s="246">
        <f t="shared" si="30"/>
        <v>1.0260069242072811</v>
      </c>
    </row>
    <row r="80" spans="2:6" x14ac:dyDescent="0.25">
      <c r="B80" s="244" t="s">
        <v>1464</v>
      </c>
      <c r="C80" s="246">
        <f t="shared" si="30"/>
        <v>-0.10097891382578263</v>
      </c>
      <c r="D80" s="246">
        <f t="shared" si="30"/>
        <v>-3.0007745244680202E-2</v>
      </c>
      <c r="E80" s="246">
        <f t="shared" si="30"/>
        <v>1.5530456331793695E-2</v>
      </c>
      <c r="F80" s="246">
        <f t="shared" si="30"/>
        <v>0.66230531136119708</v>
      </c>
    </row>
    <row r="82" spans="2:6" x14ac:dyDescent="0.25">
      <c r="B82" s="244" t="s">
        <v>1462</v>
      </c>
      <c r="C82" s="235">
        <f>C77*1000000</f>
        <v>126769.29277504528</v>
      </c>
      <c r="D82" s="235">
        <f t="shared" ref="D82:F82" si="31">D77*1000000</f>
        <v>401740.06097939447</v>
      </c>
      <c r="E82" s="235">
        <f t="shared" si="31"/>
        <v>1025818.1862621565</v>
      </c>
      <c r="F82" s="235">
        <f t="shared" si="31"/>
        <v>2110390.2944605979</v>
      </c>
    </row>
    <row r="83" spans="2:6" x14ac:dyDescent="0.25">
      <c r="B83" s="244" t="s">
        <v>1380</v>
      </c>
      <c r="C83" s="235">
        <f t="shared" ref="C83:F83" si="32">C78*1000000</f>
        <v>101415.43422003623</v>
      </c>
      <c r="D83" s="235">
        <f t="shared" si="32"/>
        <v>321392.04878351552</v>
      </c>
      <c r="E83" s="235">
        <f t="shared" si="32"/>
        <v>820654.54900972522</v>
      </c>
      <c r="F83" s="235">
        <f t="shared" si="32"/>
        <v>1688312.2355684782</v>
      </c>
    </row>
    <row r="84" spans="2:6" x14ac:dyDescent="0.25">
      <c r="B84" s="244" t="s">
        <v>1484</v>
      </c>
      <c r="C84" s="235">
        <f t="shared" ref="C84:F84" si="33">C79*1000000</f>
        <v>202394.34804581886</v>
      </c>
      <c r="D84" s="235">
        <f t="shared" si="33"/>
        <v>351399.79402819579</v>
      </c>
      <c r="E84" s="235">
        <f t="shared" si="33"/>
        <v>612807.75968416559</v>
      </c>
      <c r="F84" s="235">
        <f t="shared" si="33"/>
        <v>1026006.9242072811</v>
      </c>
    </row>
    <row r="85" spans="2:6" x14ac:dyDescent="0.25">
      <c r="B85" s="244" t="s">
        <v>1464</v>
      </c>
      <c r="C85" s="235">
        <f t="shared" ref="C85:F85" si="34">C80*1000000</f>
        <v>-100978.91382578263</v>
      </c>
      <c r="D85" s="235">
        <f t="shared" si="34"/>
        <v>-30007.745244680202</v>
      </c>
      <c r="E85" s="235">
        <f t="shared" si="34"/>
        <v>15530.456331793695</v>
      </c>
      <c r="F85" s="235">
        <f t="shared" si="34"/>
        <v>662305.31136119703</v>
      </c>
    </row>
  </sheetData>
  <mergeCells count="2">
    <mergeCell ref="A43:A44"/>
    <mergeCell ref="A51:A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opLeftCell="A13" workbookViewId="0">
      <selection activeCell="H23" sqref="H23"/>
    </sheetView>
  </sheetViews>
  <sheetFormatPr defaultRowHeight="15" x14ac:dyDescent="0.25"/>
  <cols>
    <col min="1" max="1" width="21.7109375" bestFit="1" customWidth="1"/>
    <col min="3" max="3" width="9" bestFit="1" customWidth="1"/>
    <col min="5" max="5" width="10.140625" bestFit="1" customWidth="1"/>
  </cols>
  <sheetData>
    <row r="1" spans="1:5" ht="15.75" thickBot="1" x14ac:dyDescent="0.3">
      <c r="A1" t="s">
        <v>64</v>
      </c>
    </row>
    <row r="2" spans="1:5" ht="47.25" x14ac:dyDescent="0.25">
      <c r="A2" s="251" t="s">
        <v>1318</v>
      </c>
      <c r="B2" s="113" t="s">
        <v>1329</v>
      </c>
      <c r="C2" s="251" t="s">
        <v>1320</v>
      </c>
      <c r="D2" s="251" t="s">
        <v>1321</v>
      </c>
      <c r="E2" s="251" t="s">
        <v>1322</v>
      </c>
    </row>
    <row r="3" spans="1:5" ht="16.5" thickBot="1" x14ac:dyDescent="0.3">
      <c r="A3" s="252"/>
      <c r="B3" s="114" t="s">
        <v>1330</v>
      </c>
      <c r="C3" s="252"/>
      <c r="D3" s="252"/>
      <c r="E3" s="252"/>
    </row>
    <row r="4" spans="1:5" ht="16.5" thickBot="1" x14ac:dyDescent="0.3">
      <c r="A4" s="109" t="s">
        <v>1323</v>
      </c>
      <c r="B4" s="110">
        <v>65370</v>
      </c>
      <c r="C4" s="110">
        <v>8059</v>
      </c>
      <c r="D4" s="110">
        <v>73429</v>
      </c>
      <c r="E4" s="110">
        <v>881150</v>
      </c>
    </row>
    <row r="5" spans="1:5" ht="16.5" thickBot="1" x14ac:dyDescent="0.3">
      <c r="A5" s="109" t="s">
        <v>1324</v>
      </c>
      <c r="B5" s="110">
        <v>27540</v>
      </c>
      <c r="C5" s="110">
        <v>3771</v>
      </c>
      <c r="D5" s="110">
        <v>31312</v>
      </c>
      <c r="E5" s="110">
        <v>375743</v>
      </c>
    </row>
    <row r="6" spans="1:5" ht="16.5" thickBot="1" x14ac:dyDescent="0.3">
      <c r="A6" s="109" t="s">
        <v>1325</v>
      </c>
      <c r="B6" s="110">
        <v>20330</v>
      </c>
      <c r="C6" s="110">
        <v>2954</v>
      </c>
      <c r="D6" s="110">
        <v>23284</v>
      </c>
      <c r="E6" s="110">
        <v>279409</v>
      </c>
    </row>
    <row r="7" spans="1:5" ht="16.5" thickBot="1" x14ac:dyDescent="0.3">
      <c r="A7" s="109" t="s">
        <v>1326</v>
      </c>
      <c r="B7" s="110">
        <v>20716</v>
      </c>
      <c r="C7" s="110">
        <v>2998</v>
      </c>
      <c r="D7" s="110">
        <v>23714</v>
      </c>
      <c r="E7" s="110">
        <v>284569</v>
      </c>
    </row>
    <row r="8" spans="1:5" ht="16.5" thickBot="1" x14ac:dyDescent="0.3">
      <c r="A8" s="109" t="s">
        <v>1327</v>
      </c>
      <c r="B8" s="110">
        <v>24341</v>
      </c>
      <c r="C8" s="110">
        <v>3409</v>
      </c>
      <c r="D8" s="110">
        <v>27750</v>
      </c>
      <c r="E8" s="110">
        <v>332997</v>
      </c>
    </row>
    <row r="9" spans="1:5" ht="16.5" thickBot="1" x14ac:dyDescent="0.3">
      <c r="A9" s="109" t="s">
        <v>1331</v>
      </c>
      <c r="B9" s="110">
        <v>20461</v>
      </c>
      <c r="C9" s="110">
        <v>2969</v>
      </c>
      <c r="D9" s="110">
        <v>23430</v>
      </c>
      <c r="E9" s="110">
        <v>281155</v>
      </c>
    </row>
    <row r="10" spans="1:5" ht="16.5" thickBot="1" x14ac:dyDescent="0.3">
      <c r="A10" s="109" t="s">
        <v>1328</v>
      </c>
      <c r="B10" s="110">
        <v>15006</v>
      </c>
      <c r="C10" s="110">
        <v>2351</v>
      </c>
      <c r="D10" s="110">
        <v>17357</v>
      </c>
      <c r="E10" s="110">
        <v>208283</v>
      </c>
    </row>
    <row r="11" spans="1:5" ht="16.5" thickBot="1" x14ac:dyDescent="0.3">
      <c r="A11" s="111" t="s">
        <v>65</v>
      </c>
      <c r="B11" s="112">
        <v>193764</v>
      </c>
      <c r="C11" s="112">
        <v>26511</v>
      </c>
      <c r="D11" s="112">
        <v>220275</v>
      </c>
      <c r="E11" s="112">
        <v>2643305</v>
      </c>
    </row>
    <row r="13" spans="1:5" ht="16.5" thickBot="1" x14ac:dyDescent="0.3">
      <c r="A13" s="115" t="s">
        <v>1332</v>
      </c>
    </row>
    <row r="14" spans="1:5" ht="63.75" thickBot="1" x14ac:dyDescent="0.3">
      <c r="A14" s="107" t="s">
        <v>1318</v>
      </c>
      <c r="B14" s="108" t="s">
        <v>1319</v>
      </c>
      <c r="C14" s="108" t="s">
        <v>1320</v>
      </c>
      <c r="D14" s="108" t="s">
        <v>1321</v>
      </c>
      <c r="E14" s="108" t="s">
        <v>1322</v>
      </c>
    </row>
    <row r="15" spans="1:5" ht="16.5" thickBot="1" x14ac:dyDescent="0.3">
      <c r="A15" s="109" t="s">
        <v>1323</v>
      </c>
      <c r="B15" s="110">
        <v>65370</v>
      </c>
      <c r="C15" s="110">
        <v>8059</v>
      </c>
      <c r="D15" s="110">
        <v>73429</v>
      </c>
      <c r="E15" s="110">
        <v>881150</v>
      </c>
    </row>
    <row r="16" spans="1:5" ht="16.5" thickBot="1" x14ac:dyDescent="0.3">
      <c r="A16" s="109" t="s">
        <v>1324</v>
      </c>
      <c r="B16" s="110">
        <v>27540</v>
      </c>
      <c r="C16" s="110">
        <v>3771</v>
      </c>
      <c r="D16" s="110">
        <v>31312</v>
      </c>
      <c r="E16" s="110">
        <v>375743</v>
      </c>
    </row>
    <row r="17" spans="1:5" ht="16.5" thickBot="1" x14ac:dyDescent="0.3">
      <c r="A17" s="109" t="s">
        <v>1325</v>
      </c>
      <c r="B17" s="110">
        <v>20330</v>
      </c>
      <c r="C17" s="110">
        <v>2954</v>
      </c>
      <c r="D17" s="110">
        <v>23284</v>
      </c>
      <c r="E17" s="110">
        <v>279409</v>
      </c>
    </row>
    <row r="18" spans="1:5" ht="16.5" thickBot="1" x14ac:dyDescent="0.3">
      <c r="A18" s="109" t="s">
        <v>1326</v>
      </c>
      <c r="B18" s="110">
        <v>20716</v>
      </c>
      <c r="C18" s="110">
        <v>2998</v>
      </c>
      <c r="D18" s="110">
        <v>23714</v>
      </c>
      <c r="E18" s="110">
        <v>284569</v>
      </c>
    </row>
    <row r="19" spans="1:5" ht="16.5" thickBot="1" x14ac:dyDescent="0.3">
      <c r="A19" s="109" t="s">
        <v>1327</v>
      </c>
      <c r="B19" s="110">
        <v>24341</v>
      </c>
      <c r="C19" s="110">
        <v>3409</v>
      </c>
      <c r="D19" s="110">
        <v>27750</v>
      </c>
      <c r="E19" s="110">
        <v>332997</v>
      </c>
    </row>
    <row r="20" spans="1:5" ht="16.5" thickBot="1" x14ac:dyDescent="0.3">
      <c r="A20" s="109" t="s">
        <v>1328</v>
      </c>
      <c r="B20" s="110">
        <v>15006</v>
      </c>
      <c r="C20" s="110">
        <v>2351</v>
      </c>
      <c r="D20" s="110">
        <v>17357</v>
      </c>
      <c r="E20" s="110">
        <v>208283</v>
      </c>
    </row>
    <row r="21" spans="1:5" ht="16.5" thickBot="1" x14ac:dyDescent="0.3">
      <c r="A21" s="111" t="s">
        <v>65</v>
      </c>
      <c r="B21" s="112">
        <v>173304</v>
      </c>
      <c r="C21" s="112">
        <v>23542</v>
      </c>
      <c r="D21" s="112">
        <v>196846</v>
      </c>
      <c r="E21" s="112">
        <v>2362150</v>
      </c>
    </row>
  </sheetData>
  <mergeCells count="4">
    <mergeCell ref="A2:A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9"/>
  <sheetViews>
    <sheetView topLeftCell="AR20" zoomScale="70" zoomScaleNormal="70" workbookViewId="0">
      <selection activeCell="BF41" sqref="BF41"/>
    </sheetView>
  </sheetViews>
  <sheetFormatPr defaultRowHeight="15" x14ac:dyDescent="0.25"/>
  <cols>
    <col min="1" max="1" width="33.28515625" customWidth="1"/>
    <col min="2" max="2" width="29" customWidth="1"/>
    <col min="5" max="5" width="13.42578125" style="8" bestFit="1" customWidth="1"/>
    <col min="13" max="13" width="45.42578125" customWidth="1"/>
    <col min="20" max="20" width="42.85546875" customWidth="1"/>
    <col min="25" max="25" width="10.5703125" bestFit="1" customWidth="1"/>
    <col min="27" max="27" width="20.85546875" customWidth="1"/>
    <col min="28" max="28" width="28.5703125" customWidth="1"/>
    <col min="29" max="29" width="13.28515625" customWidth="1"/>
    <col min="30" max="30" width="15" customWidth="1"/>
    <col min="31" max="31" width="10.42578125" customWidth="1"/>
    <col min="34" max="34" width="31" customWidth="1"/>
    <col min="35" max="35" width="25.42578125" customWidth="1"/>
    <col min="38" max="38" width="16" customWidth="1"/>
    <col min="39" max="39" width="17.140625" customWidth="1"/>
    <col min="41" max="41" width="11" customWidth="1"/>
    <col min="43" max="43" width="24.7109375" customWidth="1"/>
    <col min="44" max="44" width="29" customWidth="1"/>
    <col min="46" max="47" width="9.140625" style="129"/>
    <col min="48" max="48" width="9.140625" style="11"/>
    <col min="49" max="49" width="11.42578125" style="11" customWidth="1"/>
    <col min="52" max="52" width="6.7109375" customWidth="1"/>
    <col min="53" max="53" width="23.42578125" customWidth="1"/>
    <col min="57" max="57" width="14.28515625" bestFit="1" customWidth="1"/>
    <col min="59" max="59" width="28.7109375" customWidth="1"/>
    <col min="60" max="60" width="12.42578125" customWidth="1"/>
    <col min="61" max="61" width="9.140625" style="11"/>
    <col min="63" max="63" width="11.42578125" customWidth="1"/>
  </cols>
  <sheetData>
    <row r="1" spans="1:48" ht="24" thickBot="1" x14ac:dyDescent="0.4">
      <c r="M1" s="253" t="s">
        <v>1356</v>
      </c>
      <c r="N1" s="254"/>
      <c r="O1" s="254"/>
      <c r="P1" s="254"/>
      <c r="Q1" s="255"/>
      <c r="R1" s="132"/>
      <c r="T1" s="256" t="s">
        <v>1357</v>
      </c>
      <c r="U1" s="257"/>
      <c r="V1" s="257"/>
      <c r="W1" s="257"/>
      <c r="X1" s="258"/>
      <c r="Y1" s="6"/>
      <c r="AA1" s="259" t="s">
        <v>1358</v>
      </c>
      <c r="AB1" s="259"/>
      <c r="AC1" s="259"/>
      <c r="AD1" s="259"/>
      <c r="AE1" s="259"/>
      <c r="AF1" s="259"/>
      <c r="AH1" s="1" t="s">
        <v>1359</v>
      </c>
    </row>
    <row r="2" spans="1:48" ht="79.5" thickBot="1" x14ac:dyDescent="0.3">
      <c r="A2" s="133" t="s">
        <v>1360</v>
      </c>
      <c r="B2" s="134" t="s">
        <v>1361</v>
      </c>
      <c r="C2" s="134" t="s">
        <v>1362</v>
      </c>
      <c r="D2" s="134" t="s">
        <v>1363</v>
      </c>
      <c r="E2" s="135" t="s">
        <v>1364</v>
      </c>
      <c r="F2" s="134" t="s">
        <v>1365</v>
      </c>
      <c r="M2" s="260" t="s">
        <v>1366</v>
      </c>
      <c r="N2" s="262" t="s">
        <v>1367</v>
      </c>
      <c r="O2" s="262" t="s">
        <v>1368</v>
      </c>
      <c r="P2" s="262" t="s">
        <v>1369</v>
      </c>
      <c r="Q2" s="136" t="s">
        <v>1370</v>
      </c>
      <c r="R2" s="137" t="s">
        <v>1371</v>
      </c>
      <c r="T2" s="264" t="s">
        <v>1366</v>
      </c>
      <c r="U2" s="262" t="s">
        <v>1367</v>
      </c>
      <c r="V2" s="262" t="s">
        <v>1368</v>
      </c>
      <c r="W2" s="262" t="s">
        <v>1369</v>
      </c>
      <c r="X2" s="136" t="s">
        <v>1370</v>
      </c>
      <c r="Y2" s="137" t="s">
        <v>1371</v>
      </c>
      <c r="AA2" s="266" t="s">
        <v>1360</v>
      </c>
      <c r="AB2" s="266" t="s">
        <v>1361</v>
      </c>
      <c r="AC2" s="138" t="s">
        <v>1372</v>
      </c>
      <c r="AD2" s="266" t="s">
        <v>1373</v>
      </c>
      <c r="AE2" s="138" t="s">
        <v>1370</v>
      </c>
      <c r="AF2" s="266" t="s">
        <v>1374</v>
      </c>
      <c r="AH2" s="133" t="s">
        <v>1360</v>
      </c>
      <c r="AI2" s="134" t="s">
        <v>1361</v>
      </c>
      <c r="AJ2" s="134" t="s">
        <v>1363</v>
      </c>
      <c r="AK2" s="134" t="s">
        <v>1375</v>
      </c>
      <c r="AL2" s="134" t="s">
        <v>1376</v>
      </c>
      <c r="AM2" s="134" t="s">
        <v>1377</v>
      </c>
      <c r="AN2" s="134" t="s">
        <v>1378</v>
      </c>
      <c r="AO2" s="139"/>
      <c r="AQ2" s="133" t="s">
        <v>1360</v>
      </c>
      <c r="AR2" s="134" t="s">
        <v>1361</v>
      </c>
      <c r="AS2" s="134" t="s">
        <v>764</v>
      </c>
      <c r="AT2" s="140" t="s">
        <v>1379</v>
      </c>
      <c r="AU2" s="140" t="s">
        <v>1380</v>
      </c>
      <c r="AV2" s="141" t="s">
        <v>1381</v>
      </c>
    </row>
    <row r="3" spans="1:48" ht="16.5" thickBot="1" x14ac:dyDescent="0.3">
      <c r="A3" s="142" t="s">
        <v>1382</v>
      </c>
      <c r="B3" s="143" t="s">
        <v>1383</v>
      </c>
      <c r="C3" s="144">
        <v>11500</v>
      </c>
      <c r="D3" s="144">
        <v>8131</v>
      </c>
      <c r="E3" s="145">
        <v>-3369</v>
      </c>
      <c r="F3" s="146">
        <v>0.71</v>
      </c>
      <c r="M3" s="261"/>
      <c r="N3" s="263"/>
      <c r="O3" s="263"/>
      <c r="P3" s="263"/>
      <c r="Q3" s="147" t="s">
        <v>1330</v>
      </c>
      <c r="R3" s="137"/>
      <c r="T3" s="265"/>
      <c r="U3" s="263"/>
      <c r="V3" s="263"/>
      <c r="W3" s="263"/>
      <c r="X3" s="147" t="s">
        <v>1330</v>
      </c>
      <c r="Y3" s="137"/>
      <c r="AA3" s="267"/>
      <c r="AB3" s="267"/>
      <c r="AC3" s="148" t="s">
        <v>1384</v>
      </c>
      <c r="AD3" s="267"/>
      <c r="AE3" s="148" t="s">
        <v>1330</v>
      </c>
      <c r="AF3" s="267"/>
      <c r="AH3" s="142" t="s">
        <v>1382</v>
      </c>
      <c r="AI3" s="143" t="s">
        <v>1383</v>
      </c>
      <c r="AJ3" s="144">
        <v>8131</v>
      </c>
      <c r="AK3" s="149">
        <v>33.64</v>
      </c>
      <c r="AL3" s="150">
        <f>Y21+Y5</f>
        <v>25.821029418772561</v>
      </c>
      <c r="AM3" s="150">
        <f>R8</f>
        <v>1.598819333415324</v>
      </c>
      <c r="AN3" s="150">
        <f>AK3+AL3+AM3</f>
        <v>61.059848752187882</v>
      </c>
      <c r="AO3" s="151"/>
      <c r="AQ3" s="142" t="s">
        <v>1382</v>
      </c>
      <c r="AR3" s="143" t="s">
        <v>1383</v>
      </c>
      <c r="AS3" s="143">
        <v>380</v>
      </c>
      <c r="AT3" s="152">
        <f>AN3</f>
        <v>61.059848752187882</v>
      </c>
      <c r="AU3" s="152">
        <f>AS3-AT3</f>
        <v>318.94015124781214</v>
      </c>
      <c r="AV3" s="153">
        <f>AU3/AS3</f>
        <v>0.83931618749424242</v>
      </c>
    </row>
    <row r="4" spans="1:48" ht="16.5" thickBot="1" x14ac:dyDescent="0.3">
      <c r="A4" s="142" t="s">
        <v>1385</v>
      </c>
      <c r="B4" s="143" t="s">
        <v>1386</v>
      </c>
      <c r="C4" s="154">
        <v>1950</v>
      </c>
      <c r="D4" s="144">
        <v>1278</v>
      </c>
      <c r="E4" s="145">
        <v>-672</v>
      </c>
      <c r="F4" s="146">
        <v>0.66</v>
      </c>
      <c r="M4" s="155" t="s">
        <v>1382</v>
      </c>
      <c r="N4" s="156"/>
      <c r="O4" s="156"/>
      <c r="P4" s="156"/>
      <c r="Q4" s="157"/>
      <c r="R4" s="158"/>
      <c r="T4" s="159" t="s">
        <v>1382</v>
      </c>
      <c r="U4" s="156"/>
      <c r="V4" s="156"/>
      <c r="W4" s="156"/>
      <c r="X4" s="157"/>
      <c r="Y4" s="158"/>
      <c r="AA4" s="268" t="s">
        <v>1382</v>
      </c>
      <c r="AB4" s="160" t="s">
        <v>1383</v>
      </c>
      <c r="AC4" s="161">
        <v>250</v>
      </c>
      <c r="AD4" s="162">
        <v>3400</v>
      </c>
      <c r="AE4" s="270">
        <v>273500</v>
      </c>
      <c r="AF4" s="272">
        <v>30.64</v>
      </c>
      <c r="AH4" s="142" t="s">
        <v>1385</v>
      </c>
      <c r="AI4" s="143" t="s">
        <v>1386</v>
      </c>
      <c r="AJ4" s="144">
        <v>1278</v>
      </c>
      <c r="AK4" s="149">
        <v>17.25</v>
      </c>
      <c r="AL4" s="150">
        <f>Y21+Y7</f>
        <v>22.582925110008858</v>
      </c>
      <c r="AM4" s="150">
        <f>R18</f>
        <v>8.2415804534448593</v>
      </c>
      <c r="AN4" s="150">
        <f t="shared" ref="AN4:AN17" si="0">AK4+AL4+AM4</f>
        <v>48.07450556345372</v>
      </c>
      <c r="AO4" s="151"/>
      <c r="AQ4" s="142" t="s">
        <v>1385</v>
      </c>
      <c r="AR4" s="143" t="s">
        <v>1386</v>
      </c>
      <c r="AS4" s="143">
        <v>290</v>
      </c>
      <c r="AT4" s="152">
        <f>AN4</f>
        <v>48.07450556345372</v>
      </c>
      <c r="AU4" s="152">
        <f t="shared" ref="AU4:AU17" si="1">AS4-AT4</f>
        <v>241.92549443654627</v>
      </c>
      <c r="AV4" s="153">
        <f t="shared" ref="AV4:AV17" si="2">AU4/AS4</f>
        <v>0.8342258428846423</v>
      </c>
    </row>
    <row r="5" spans="1:48" ht="16.5" thickBot="1" x14ac:dyDescent="0.3">
      <c r="A5" s="142" t="s">
        <v>1385</v>
      </c>
      <c r="B5" s="143" t="s">
        <v>1387</v>
      </c>
      <c r="C5" s="154">
        <v>3000</v>
      </c>
      <c r="D5" s="144">
        <v>1274</v>
      </c>
      <c r="E5" s="145">
        <v>-1726</v>
      </c>
      <c r="F5" s="146">
        <v>0.42</v>
      </c>
      <c r="M5" s="163" t="s">
        <v>1388</v>
      </c>
      <c r="N5" s="164">
        <v>1</v>
      </c>
      <c r="O5" s="164">
        <v>3</v>
      </c>
      <c r="P5" s="164">
        <v>3</v>
      </c>
      <c r="Q5" s="165">
        <v>6000</v>
      </c>
      <c r="R5" s="166"/>
      <c r="T5" s="163" t="s">
        <v>1389</v>
      </c>
      <c r="U5" s="164">
        <v>100</v>
      </c>
      <c r="V5" s="164">
        <v>129</v>
      </c>
      <c r="W5" s="167">
        <v>12900</v>
      </c>
      <c r="X5" s="168">
        <v>93525</v>
      </c>
      <c r="Y5" s="169">
        <f>X5/AJ3</f>
        <v>11.502275242897552</v>
      </c>
      <c r="AA5" s="269"/>
      <c r="AB5" s="143" t="s">
        <v>1390</v>
      </c>
      <c r="AC5" s="149">
        <v>30</v>
      </c>
      <c r="AD5" s="149">
        <v>450</v>
      </c>
      <c r="AE5" s="271"/>
      <c r="AF5" s="273"/>
      <c r="AH5" s="142" t="s">
        <v>1385</v>
      </c>
      <c r="AI5" s="143" t="s">
        <v>1387</v>
      </c>
      <c r="AJ5" s="144">
        <v>1274</v>
      </c>
      <c r="AK5" s="149">
        <v>32.880000000000003</v>
      </c>
      <c r="AL5" s="150">
        <f>AL4</f>
        <v>22.582925110008858</v>
      </c>
      <c r="AM5" s="150">
        <f>AM4</f>
        <v>8.2415804534448593</v>
      </c>
      <c r="AN5" s="150">
        <f t="shared" si="0"/>
        <v>63.704505563453722</v>
      </c>
      <c r="AO5" s="151"/>
      <c r="AQ5" s="142" t="s">
        <v>1385</v>
      </c>
      <c r="AR5" s="143" t="s">
        <v>1387</v>
      </c>
      <c r="AS5" s="143">
        <v>350</v>
      </c>
      <c r="AT5" s="152">
        <f t="shared" ref="AT5:AT15" si="3">AN5</f>
        <v>63.704505563453722</v>
      </c>
      <c r="AU5" s="152">
        <f t="shared" si="1"/>
        <v>286.29549443654628</v>
      </c>
      <c r="AV5" s="153">
        <f t="shared" si="2"/>
        <v>0.81798712696156084</v>
      </c>
    </row>
    <row r="6" spans="1:48" ht="16.5" thickBot="1" x14ac:dyDescent="0.3">
      <c r="A6" s="142" t="s">
        <v>1385</v>
      </c>
      <c r="B6" s="143" t="s">
        <v>1391</v>
      </c>
      <c r="C6" s="154">
        <v>2700</v>
      </c>
      <c r="D6" s="144">
        <v>1274</v>
      </c>
      <c r="E6" s="145">
        <v>-1426</v>
      </c>
      <c r="F6" s="146">
        <v>0.47</v>
      </c>
      <c r="M6" s="163" t="s">
        <v>1392</v>
      </c>
      <c r="N6" s="164">
        <v>0</v>
      </c>
      <c r="O6" s="164">
        <v>0</v>
      </c>
      <c r="P6" s="164" t="s">
        <v>1393</v>
      </c>
      <c r="Q6" s="165">
        <v>3500</v>
      </c>
      <c r="R6" s="166"/>
      <c r="T6" s="159" t="s">
        <v>1394</v>
      </c>
      <c r="U6" s="156"/>
      <c r="V6" s="156"/>
      <c r="W6" s="156"/>
      <c r="X6" s="157"/>
      <c r="Y6" s="158"/>
      <c r="AA6" s="142" t="s">
        <v>1385</v>
      </c>
      <c r="AB6" s="143" t="s">
        <v>1386</v>
      </c>
      <c r="AC6" s="170">
        <v>26</v>
      </c>
      <c r="AD6" s="149">
        <v>848</v>
      </c>
      <c r="AE6" s="144">
        <v>22048</v>
      </c>
      <c r="AF6" s="149">
        <v>17.25</v>
      </c>
      <c r="AH6" s="142" t="s">
        <v>1385</v>
      </c>
      <c r="AI6" s="143" t="s">
        <v>1391</v>
      </c>
      <c r="AJ6" s="144">
        <v>1274</v>
      </c>
      <c r="AK6" s="149">
        <v>12.66</v>
      </c>
      <c r="AL6" s="150">
        <f t="shared" ref="AL6:AM17" si="4">AL5</f>
        <v>22.582925110008858</v>
      </c>
      <c r="AM6" s="150">
        <f t="shared" si="4"/>
        <v>8.2415804534448593</v>
      </c>
      <c r="AN6" s="150">
        <f t="shared" si="0"/>
        <v>43.484505563453716</v>
      </c>
      <c r="AO6" s="151"/>
      <c r="AQ6" s="142" t="s">
        <v>1385</v>
      </c>
      <c r="AR6" s="143" t="s">
        <v>1391</v>
      </c>
      <c r="AS6" s="143">
        <v>350</v>
      </c>
      <c r="AT6" s="152">
        <f t="shared" si="3"/>
        <v>43.484505563453716</v>
      </c>
      <c r="AU6" s="152">
        <f t="shared" si="1"/>
        <v>306.51549443654631</v>
      </c>
      <c r="AV6" s="153">
        <f t="shared" si="2"/>
        <v>0.87575855553298942</v>
      </c>
    </row>
    <row r="7" spans="1:48" ht="16.5" thickBot="1" x14ac:dyDescent="0.3">
      <c r="A7" s="142" t="s">
        <v>1385</v>
      </c>
      <c r="B7" s="143" t="s">
        <v>1395</v>
      </c>
      <c r="C7" s="154">
        <v>2250</v>
      </c>
      <c r="D7" s="144">
        <v>1274</v>
      </c>
      <c r="E7" s="145">
        <v>-976</v>
      </c>
      <c r="F7" s="146">
        <v>0.56999999999999995</v>
      </c>
      <c r="M7" s="163" t="s">
        <v>1396</v>
      </c>
      <c r="N7" s="164">
        <v>1</v>
      </c>
      <c r="O7" s="164">
        <v>1</v>
      </c>
      <c r="P7" s="164">
        <v>1</v>
      </c>
      <c r="Q7" s="165">
        <v>3500</v>
      </c>
      <c r="R7" s="166"/>
      <c r="T7" s="163" t="s">
        <v>1397</v>
      </c>
      <c r="U7" s="164">
        <v>100</v>
      </c>
      <c r="V7" s="164">
        <v>104</v>
      </c>
      <c r="W7" s="167">
        <v>10400</v>
      </c>
      <c r="X7" s="168">
        <v>93600</v>
      </c>
      <c r="Y7" s="169">
        <f>X7/SUM(AJ4:AJ17)</f>
        <v>8.2641709341338512</v>
      </c>
      <c r="AA7" s="142" t="s">
        <v>1385</v>
      </c>
      <c r="AB7" s="143" t="s">
        <v>1387</v>
      </c>
      <c r="AC7" s="170">
        <v>40</v>
      </c>
      <c r="AD7" s="144">
        <v>1047</v>
      </c>
      <c r="AE7" s="144">
        <v>41888</v>
      </c>
      <c r="AF7" s="149">
        <v>32.880000000000003</v>
      </c>
      <c r="AH7" s="142" t="s">
        <v>1385</v>
      </c>
      <c r="AI7" s="143" t="s">
        <v>1395</v>
      </c>
      <c r="AJ7" s="144">
        <v>1274</v>
      </c>
      <c r="AK7" s="149">
        <v>10.55</v>
      </c>
      <c r="AL7" s="150">
        <f t="shared" si="4"/>
        <v>22.582925110008858</v>
      </c>
      <c r="AM7" s="150">
        <f t="shared" si="4"/>
        <v>8.2415804534448593</v>
      </c>
      <c r="AN7" s="150">
        <f t="shared" si="0"/>
        <v>41.374505563453717</v>
      </c>
      <c r="AO7" s="151"/>
      <c r="AQ7" s="142" t="s">
        <v>1385</v>
      </c>
      <c r="AR7" s="143" t="s">
        <v>1395</v>
      </c>
      <c r="AS7" s="143">
        <v>350</v>
      </c>
      <c r="AT7" s="152">
        <f t="shared" si="3"/>
        <v>41.374505563453717</v>
      </c>
      <c r="AU7" s="152">
        <f t="shared" si="1"/>
        <v>308.62549443654626</v>
      </c>
      <c r="AV7" s="153">
        <f t="shared" si="2"/>
        <v>0.8817871269615607</v>
      </c>
    </row>
    <row r="8" spans="1:48" ht="16.5" thickBot="1" x14ac:dyDescent="0.3">
      <c r="A8" s="142" t="s">
        <v>1385</v>
      </c>
      <c r="B8" s="143" t="s">
        <v>1398</v>
      </c>
      <c r="C8" s="154">
        <v>3600</v>
      </c>
      <c r="D8" s="144">
        <v>1274</v>
      </c>
      <c r="E8" s="145">
        <v>-2326</v>
      </c>
      <c r="F8" s="146">
        <v>0.35</v>
      </c>
      <c r="M8" s="159" t="s">
        <v>65</v>
      </c>
      <c r="N8" s="156"/>
      <c r="O8" s="156"/>
      <c r="P8" s="156"/>
      <c r="Q8" s="168">
        <v>13000</v>
      </c>
      <c r="R8" s="169">
        <f>Q8/AJ3</f>
        <v>1.598819333415324</v>
      </c>
      <c r="T8" s="159" t="s">
        <v>1399</v>
      </c>
      <c r="U8" s="164"/>
      <c r="V8" s="164"/>
      <c r="W8" s="164"/>
      <c r="X8" s="157"/>
      <c r="Y8" s="158"/>
      <c r="AA8" s="142" t="s">
        <v>1385</v>
      </c>
      <c r="AB8" s="143" t="s">
        <v>1391</v>
      </c>
      <c r="AC8" s="170">
        <v>36</v>
      </c>
      <c r="AD8" s="149">
        <v>448</v>
      </c>
      <c r="AE8" s="144">
        <v>16128</v>
      </c>
      <c r="AF8" s="149">
        <v>12.66</v>
      </c>
      <c r="AH8" s="142" t="s">
        <v>1385</v>
      </c>
      <c r="AI8" s="143" t="s">
        <v>1398</v>
      </c>
      <c r="AJ8" s="144">
        <v>1274</v>
      </c>
      <c r="AK8" s="149">
        <v>23.31</v>
      </c>
      <c r="AL8" s="150">
        <f t="shared" si="4"/>
        <v>22.582925110008858</v>
      </c>
      <c r="AM8" s="150">
        <f t="shared" si="4"/>
        <v>8.2415804534448593</v>
      </c>
      <c r="AN8" s="150">
        <f t="shared" si="0"/>
        <v>54.134505563453722</v>
      </c>
      <c r="AO8" s="151"/>
      <c r="AQ8" s="142" t="s">
        <v>1385</v>
      </c>
      <c r="AR8" s="143" t="s">
        <v>1398</v>
      </c>
      <c r="AS8" s="143">
        <v>330</v>
      </c>
      <c r="AT8" s="152">
        <f t="shared" si="3"/>
        <v>54.134505563453722</v>
      </c>
      <c r="AU8" s="152">
        <f t="shared" si="1"/>
        <v>275.86549443654627</v>
      </c>
      <c r="AV8" s="153">
        <f t="shared" si="2"/>
        <v>0.83595604374710997</v>
      </c>
    </row>
    <row r="9" spans="1:48" ht="16.5" thickBot="1" x14ac:dyDescent="0.3">
      <c r="A9" s="142" t="s">
        <v>1385</v>
      </c>
      <c r="B9" s="143" t="s">
        <v>1400</v>
      </c>
      <c r="C9" s="170">
        <v>840</v>
      </c>
      <c r="D9" s="149">
        <v>194</v>
      </c>
      <c r="E9" s="145">
        <v>-646</v>
      </c>
      <c r="F9" s="146">
        <v>0.23</v>
      </c>
      <c r="M9" s="159" t="s">
        <v>1385</v>
      </c>
      <c r="N9" s="164"/>
      <c r="O9" s="164"/>
      <c r="P9" s="164"/>
      <c r="Q9" s="171"/>
      <c r="R9" s="172"/>
      <c r="T9" s="163" t="s">
        <v>1401</v>
      </c>
      <c r="U9" s="164">
        <v>100</v>
      </c>
      <c r="V9" s="164">
        <v>256</v>
      </c>
      <c r="W9" s="167">
        <v>25600</v>
      </c>
      <c r="X9" s="165">
        <v>152400</v>
      </c>
      <c r="Y9" s="166"/>
      <c r="AA9" s="142" t="s">
        <v>1385</v>
      </c>
      <c r="AB9" s="143" t="s">
        <v>1395</v>
      </c>
      <c r="AC9" s="170">
        <v>30</v>
      </c>
      <c r="AD9" s="149">
        <v>448</v>
      </c>
      <c r="AE9" s="144">
        <v>13440</v>
      </c>
      <c r="AF9" s="149">
        <v>10.55</v>
      </c>
      <c r="AH9" s="142" t="s">
        <v>1385</v>
      </c>
      <c r="AI9" s="143" t="s">
        <v>1400</v>
      </c>
      <c r="AJ9" s="149">
        <v>194</v>
      </c>
      <c r="AK9" s="149">
        <v>196.29</v>
      </c>
      <c r="AL9" s="150">
        <f t="shared" si="4"/>
        <v>22.582925110008858</v>
      </c>
      <c r="AM9" s="150">
        <f t="shared" si="4"/>
        <v>8.2415804534448593</v>
      </c>
      <c r="AN9" s="150">
        <f t="shared" si="0"/>
        <v>227.11450556345372</v>
      </c>
      <c r="AO9" s="151"/>
      <c r="AQ9" s="142" t="s">
        <v>1385</v>
      </c>
      <c r="AR9" s="143" t="s">
        <v>1400</v>
      </c>
      <c r="AS9" s="143">
        <v>350</v>
      </c>
      <c r="AT9" s="152">
        <f t="shared" si="3"/>
        <v>227.11450556345372</v>
      </c>
      <c r="AU9" s="152">
        <f t="shared" si="1"/>
        <v>122.88549443654628</v>
      </c>
      <c r="AV9" s="153">
        <f t="shared" si="2"/>
        <v>0.35110141267584649</v>
      </c>
    </row>
    <row r="10" spans="1:48" ht="16.5" thickBot="1" x14ac:dyDescent="0.3">
      <c r="A10" s="142" t="s">
        <v>1385</v>
      </c>
      <c r="B10" s="143" t="s">
        <v>1402</v>
      </c>
      <c r="C10" s="170">
        <v>975</v>
      </c>
      <c r="D10" s="149">
        <v>196</v>
      </c>
      <c r="E10" s="145">
        <v>-779</v>
      </c>
      <c r="F10" s="146">
        <v>0.2</v>
      </c>
      <c r="M10" s="163" t="s">
        <v>1403</v>
      </c>
      <c r="N10" s="164">
        <v>2</v>
      </c>
      <c r="O10" s="164">
        <v>2</v>
      </c>
      <c r="P10" s="164">
        <v>4</v>
      </c>
      <c r="Q10" s="171">
        <v>800</v>
      </c>
      <c r="R10" s="172"/>
      <c r="T10" s="163" t="s">
        <v>1404</v>
      </c>
      <c r="U10" s="164">
        <v>200</v>
      </c>
      <c r="V10" s="164">
        <v>118</v>
      </c>
      <c r="W10" s="167">
        <v>23600</v>
      </c>
      <c r="X10" s="165">
        <v>20060</v>
      </c>
      <c r="Y10" s="166"/>
      <c r="AA10" s="142" t="s">
        <v>1385</v>
      </c>
      <c r="AB10" s="143" t="s">
        <v>1398</v>
      </c>
      <c r="AC10" s="170">
        <v>48</v>
      </c>
      <c r="AD10" s="149">
        <v>619</v>
      </c>
      <c r="AE10" s="144">
        <v>29702</v>
      </c>
      <c r="AF10" s="149">
        <v>23.31</v>
      </c>
      <c r="AH10" s="142" t="s">
        <v>1385</v>
      </c>
      <c r="AI10" s="143" t="s">
        <v>1402</v>
      </c>
      <c r="AJ10" s="149">
        <v>196</v>
      </c>
      <c r="AK10" s="149">
        <v>49.52</v>
      </c>
      <c r="AL10" s="150">
        <f t="shared" si="4"/>
        <v>22.582925110008858</v>
      </c>
      <c r="AM10" s="150">
        <f t="shared" si="4"/>
        <v>8.2415804534448593</v>
      </c>
      <c r="AN10" s="150">
        <f t="shared" si="0"/>
        <v>80.344505563453723</v>
      </c>
      <c r="AO10" s="151"/>
      <c r="AQ10" s="142" t="s">
        <v>1385</v>
      </c>
      <c r="AR10" s="143" t="s">
        <v>1402</v>
      </c>
      <c r="AS10" s="143">
        <v>290</v>
      </c>
      <c r="AT10" s="152">
        <f t="shared" si="3"/>
        <v>80.344505563453723</v>
      </c>
      <c r="AU10" s="152">
        <f t="shared" si="1"/>
        <v>209.65549443654629</v>
      </c>
      <c r="AV10" s="153">
        <f t="shared" si="2"/>
        <v>0.72294998081567685</v>
      </c>
    </row>
    <row r="11" spans="1:48" ht="16.5" thickBot="1" x14ac:dyDescent="0.3">
      <c r="A11" s="142" t="s">
        <v>1385</v>
      </c>
      <c r="B11" s="143" t="s">
        <v>1405</v>
      </c>
      <c r="C11" s="154">
        <v>1275</v>
      </c>
      <c r="D11" s="149">
        <v>251</v>
      </c>
      <c r="E11" s="145">
        <v>-1024</v>
      </c>
      <c r="F11" s="146">
        <v>0.2</v>
      </c>
      <c r="M11" s="163" t="s">
        <v>1406</v>
      </c>
      <c r="N11" s="164">
        <v>1</v>
      </c>
      <c r="O11" s="164">
        <v>1</v>
      </c>
      <c r="P11" s="164">
        <v>1</v>
      </c>
      <c r="Q11" s="165">
        <v>5500</v>
      </c>
      <c r="R11" s="166"/>
      <c r="T11" s="163" t="s">
        <v>1407</v>
      </c>
      <c r="U11" s="164">
        <v>200</v>
      </c>
      <c r="V11" s="164">
        <v>97</v>
      </c>
      <c r="W11" s="167">
        <v>19400</v>
      </c>
      <c r="X11" s="165">
        <v>27370</v>
      </c>
      <c r="Y11" s="166"/>
      <c r="AA11" s="142" t="s">
        <v>1385</v>
      </c>
      <c r="AB11" s="143" t="s">
        <v>1400</v>
      </c>
      <c r="AC11" s="170">
        <v>14</v>
      </c>
      <c r="AD11" s="144">
        <v>2720</v>
      </c>
      <c r="AE11" s="144">
        <v>38080</v>
      </c>
      <c r="AF11" s="149">
        <v>196.29</v>
      </c>
      <c r="AH11" s="142" t="s">
        <v>1385</v>
      </c>
      <c r="AI11" s="143" t="s">
        <v>1405</v>
      </c>
      <c r="AJ11" s="149">
        <v>251</v>
      </c>
      <c r="AK11" s="149">
        <v>87.84</v>
      </c>
      <c r="AL11" s="150">
        <f t="shared" si="4"/>
        <v>22.582925110008858</v>
      </c>
      <c r="AM11" s="150">
        <f t="shared" si="4"/>
        <v>8.2415804534448593</v>
      </c>
      <c r="AN11" s="150">
        <f t="shared" si="0"/>
        <v>118.66450556345372</v>
      </c>
      <c r="AO11" s="151"/>
      <c r="AQ11" s="142" t="s">
        <v>1385</v>
      </c>
      <c r="AR11" s="143" t="s">
        <v>1405</v>
      </c>
      <c r="AS11" s="143">
        <v>190</v>
      </c>
      <c r="AT11" s="152">
        <f t="shared" si="3"/>
        <v>118.66450556345372</v>
      </c>
      <c r="AU11" s="152">
        <f t="shared" si="1"/>
        <v>71.335494436546284</v>
      </c>
      <c r="AV11" s="153">
        <f t="shared" si="2"/>
        <v>0.37544997071866465</v>
      </c>
    </row>
    <row r="12" spans="1:48" ht="16.5" thickBot="1" x14ac:dyDescent="0.3">
      <c r="A12" s="142" t="s">
        <v>1385</v>
      </c>
      <c r="B12" s="143" t="s">
        <v>1408</v>
      </c>
      <c r="C12" s="170">
        <v>960</v>
      </c>
      <c r="D12" s="149">
        <v>204</v>
      </c>
      <c r="E12" s="145">
        <v>-756</v>
      </c>
      <c r="F12" s="146">
        <v>0.21</v>
      </c>
      <c r="M12" s="163" t="s">
        <v>1409</v>
      </c>
      <c r="N12" s="164">
        <v>1</v>
      </c>
      <c r="O12" s="164">
        <v>1</v>
      </c>
      <c r="P12" s="164">
        <v>1</v>
      </c>
      <c r="Q12" s="165">
        <v>2000</v>
      </c>
      <c r="R12" s="166"/>
      <c r="T12" s="163" t="s">
        <v>1410</v>
      </c>
      <c r="U12" s="164">
        <v>100</v>
      </c>
      <c r="V12" s="164">
        <v>4</v>
      </c>
      <c r="W12" s="164">
        <v>400</v>
      </c>
      <c r="X12" s="165">
        <v>30000</v>
      </c>
      <c r="Y12" s="166"/>
      <c r="AA12" s="142" t="s">
        <v>1385</v>
      </c>
      <c r="AB12" s="143" t="s">
        <v>1402</v>
      </c>
      <c r="AC12" s="170">
        <v>13</v>
      </c>
      <c r="AD12" s="149">
        <v>747</v>
      </c>
      <c r="AE12" s="144">
        <v>9707</v>
      </c>
      <c r="AF12" s="149">
        <v>49.52</v>
      </c>
      <c r="AH12" s="142" t="s">
        <v>1385</v>
      </c>
      <c r="AI12" s="143" t="s">
        <v>1408</v>
      </c>
      <c r="AJ12" s="149">
        <v>204</v>
      </c>
      <c r="AK12" s="149">
        <v>387.76</v>
      </c>
      <c r="AL12" s="150">
        <f t="shared" si="4"/>
        <v>22.582925110008858</v>
      </c>
      <c r="AM12" s="150">
        <f t="shared" si="4"/>
        <v>8.2415804534448593</v>
      </c>
      <c r="AN12" s="150">
        <f t="shared" si="0"/>
        <v>418.58450556345372</v>
      </c>
      <c r="AO12" s="151"/>
      <c r="AQ12" s="142" t="s">
        <v>1385</v>
      </c>
      <c r="AR12" s="143" t="s">
        <v>1408</v>
      </c>
      <c r="AS12" s="143">
        <v>350</v>
      </c>
      <c r="AT12" s="152">
        <f t="shared" si="3"/>
        <v>418.58450556345372</v>
      </c>
      <c r="AU12" s="152">
        <f t="shared" si="1"/>
        <v>-68.584505563453718</v>
      </c>
      <c r="AV12" s="153">
        <f t="shared" si="2"/>
        <v>-0.19595573018129633</v>
      </c>
    </row>
    <row r="13" spans="1:48" ht="16.5" thickBot="1" x14ac:dyDescent="0.3">
      <c r="A13" s="142" t="s">
        <v>1385</v>
      </c>
      <c r="B13" s="143" t="s">
        <v>1411</v>
      </c>
      <c r="C13" s="170">
        <v>975</v>
      </c>
      <c r="D13" s="149">
        <v>137</v>
      </c>
      <c r="E13" s="145">
        <v>-838</v>
      </c>
      <c r="F13" s="146">
        <v>0.14000000000000001</v>
      </c>
      <c r="M13" s="163" t="s">
        <v>1412</v>
      </c>
      <c r="N13" s="164">
        <v>1</v>
      </c>
      <c r="O13" s="164">
        <v>1</v>
      </c>
      <c r="P13" s="164">
        <v>1</v>
      </c>
      <c r="Q13" s="165">
        <v>5000</v>
      </c>
      <c r="R13" s="166"/>
      <c r="T13" s="163" t="s">
        <v>1413</v>
      </c>
      <c r="U13" s="164">
        <v>100</v>
      </c>
      <c r="V13" s="164">
        <v>138</v>
      </c>
      <c r="W13" s="167">
        <v>13800</v>
      </c>
      <c r="X13" s="165">
        <v>13800</v>
      </c>
      <c r="Y13" s="166"/>
      <c r="AA13" s="142" t="s">
        <v>1385</v>
      </c>
      <c r="AB13" s="143" t="s">
        <v>1405</v>
      </c>
      <c r="AC13" s="170">
        <v>17</v>
      </c>
      <c r="AD13" s="149">
        <v>848</v>
      </c>
      <c r="AE13" s="144">
        <v>22048</v>
      </c>
      <c r="AF13" s="149">
        <v>32.96</v>
      </c>
      <c r="AH13" s="142" t="s">
        <v>1385</v>
      </c>
      <c r="AI13" s="143" t="s">
        <v>1411</v>
      </c>
      <c r="AJ13" s="149">
        <v>137</v>
      </c>
      <c r="AK13" s="149">
        <v>49.34</v>
      </c>
      <c r="AL13" s="150">
        <f t="shared" si="4"/>
        <v>22.582925110008858</v>
      </c>
      <c r="AM13" s="150">
        <f t="shared" si="4"/>
        <v>8.2415804534448593</v>
      </c>
      <c r="AN13" s="150">
        <f t="shared" si="0"/>
        <v>80.164505563453716</v>
      </c>
      <c r="AO13" s="151"/>
      <c r="AQ13" s="142" t="s">
        <v>1385</v>
      </c>
      <c r="AR13" s="143" t="s">
        <v>1411</v>
      </c>
      <c r="AS13" s="143">
        <v>290</v>
      </c>
      <c r="AT13" s="152">
        <f t="shared" si="3"/>
        <v>80.164505563453716</v>
      </c>
      <c r="AU13" s="152">
        <f t="shared" si="1"/>
        <v>209.8354944365463</v>
      </c>
      <c r="AV13" s="153">
        <f t="shared" si="2"/>
        <v>0.72357067047084933</v>
      </c>
    </row>
    <row r="14" spans="1:48" ht="16.5" thickBot="1" x14ac:dyDescent="0.3">
      <c r="A14" s="142" t="s">
        <v>1385</v>
      </c>
      <c r="B14" s="143" t="s">
        <v>1414</v>
      </c>
      <c r="C14" s="154">
        <v>1425</v>
      </c>
      <c r="D14" s="170">
        <v>409</v>
      </c>
      <c r="E14" s="173">
        <v>-1016</v>
      </c>
      <c r="F14" s="146">
        <v>0.28999999999999998</v>
      </c>
      <c r="M14" s="163" t="s">
        <v>1415</v>
      </c>
      <c r="N14" s="164" t="s">
        <v>1393</v>
      </c>
      <c r="O14" s="164">
        <v>2</v>
      </c>
      <c r="P14" s="164">
        <v>2</v>
      </c>
      <c r="Q14" s="165">
        <v>7140</v>
      </c>
      <c r="R14" s="166"/>
      <c r="T14" s="163" t="s">
        <v>1416</v>
      </c>
      <c r="U14" s="164">
        <v>1</v>
      </c>
      <c r="V14" s="164">
        <v>60</v>
      </c>
      <c r="W14" s="164">
        <v>60</v>
      </c>
      <c r="X14" s="165">
        <v>4800</v>
      </c>
      <c r="Y14" s="166"/>
      <c r="AA14" s="142" t="s">
        <v>1385</v>
      </c>
      <c r="AB14" s="143" t="s">
        <v>1408</v>
      </c>
      <c r="AC14" s="170">
        <v>16</v>
      </c>
      <c r="AD14" s="144">
        <v>4944</v>
      </c>
      <c r="AE14" s="144">
        <v>79104</v>
      </c>
      <c r="AF14" s="149">
        <v>387.76</v>
      </c>
      <c r="AH14" s="142" t="s">
        <v>1385</v>
      </c>
      <c r="AI14" s="143" t="s">
        <v>1414</v>
      </c>
      <c r="AJ14" s="170">
        <v>409</v>
      </c>
      <c r="AK14" s="149">
        <v>15.79</v>
      </c>
      <c r="AL14" s="150">
        <f t="shared" si="4"/>
        <v>22.582925110008858</v>
      </c>
      <c r="AM14" s="150">
        <f t="shared" si="4"/>
        <v>8.2415804534448593</v>
      </c>
      <c r="AN14" s="150">
        <f t="shared" si="0"/>
        <v>46.614505563453719</v>
      </c>
      <c r="AO14" s="151"/>
      <c r="AQ14" s="142" t="s">
        <v>1385</v>
      </c>
      <c r="AR14" s="143" t="s">
        <v>1414</v>
      </c>
      <c r="AS14" s="143">
        <v>290</v>
      </c>
      <c r="AT14" s="152">
        <f t="shared" si="3"/>
        <v>46.614505563453719</v>
      </c>
      <c r="AU14" s="152">
        <f t="shared" si="1"/>
        <v>243.38549443654628</v>
      </c>
      <c r="AV14" s="153">
        <f t="shared" si="2"/>
        <v>0.83926032564326303</v>
      </c>
    </row>
    <row r="15" spans="1:48" ht="16.5" thickBot="1" x14ac:dyDescent="0.3">
      <c r="A15" s="142" t="s">
        <v>1385</v>
      </c>
      <c r="B15" s="143" t="s">
        <v>1417</v>
      </c>
      <c r="C15" s="170">
        <v>300</v>
      </c>
      <c r="D15" s="149">
        <v>771</v>
      </c>
      <c r="E15" s="145">
        <v>471</v>
      </c>
      <c r="F15" s="146">
        <v>2.57</v>
      </c>
      <c r="M15" s="163" t="s">
        <v>1418</v>
      </c>
      <c r="N15" s="164" t="s">
        <v>1393</v>
      </c>
      <c r="O15" s="164">
        <v>13</v>
      </c>
      <c r="P15" s="164">
        <v>13</v>
      </c>
      <c r="Q15" s="165">
        <v>18893</v>
      </c>
      <c r="R15" s="166"/>
      <c r="T15" s="163" t="s">
        <v>1419</v>
      </c>
      <c r="U15" s="164" t="s">
        <v>1393</v>
      </c>
      <c r="V15" s="164">
        <v>20</v>
      </c>
      <c r="W15" s="164">
        <v>20</v>
      </c>
      <c r="X15" s="165">
        <v>8000</v>
      </c>
      <c r="Y15" s="166"/>
      <c r="AA15" s="142" t="s">
        <v>1385</v>
      </c>
      <c r="AB15" s="143" t="s">
        <v>1411</v>
      </c>
      <c r="AC15" s="170">
        <v>13</v>
      </c>
      <c r="AD15" s="149">
        <v>520</v>
      </c>
      <c r="AE15" s="144">
        <v>6760</v>
      </c>
      <c r="AF15" s="149">
        <v>49.34</v>
      </c>
      <c r="AH15" s="142" t="s">
        <v>1385</v>
      </c>
      <c r="AI15" s="143" t="s">
        <v>1417</v>
      </c>
      <c r="AJ15" s="149">
        <v>771</v>
      </c>
      <c r="AK15" s="149">
        <v>0.33</v>
      </c>
      <c r="AL15" s="150">
        <f t="shared" si="4"/>
        <v>22.582925110008858</v>
      </c>
      <c r="AM15" s="150">
        <f t="shared" si="4"/>
        <v>8.2415804534448593</v>
      </c>
      <c r="AN15" s="150">
        <f t="shared" si="0"/>
        <v>31.154505563453718</v>
      </c>
      <c r="AO15" s="151"/>
      <c r="AQ15" s="142" t="s">
        <v>1385</v>
      </c>
      <c r="AR15" s="143" t="s">
        <v>1417</v>
      </c>
      <c r="AS15" s="143">
        <v>170</v>
      </c>
      <c r="AT15" s="152">
        <f t="shared" si="3"/>
        <v>31.154505563453718</v>
      </c>
      <c r="AU15" s="152">
        <f t="shared" si="1"/>
        <v>138.84549443654629</v>
      </c>
      <c r="AV15" s="153">
        <f t="shared" si="2"/>
        <v>0.8167382025679194</v>
      </c>
    </row>
    <row r="16" spans="1:48" ht="16.5" thickBot="1" x14ac:dyDescent="0.3">
      <c r="A16" s="142" t="s">
        <v>1385</v>
      </c>
      <c r="B16" s="143" t="s">
        <v>612</v>
      </c>
      <c r="C16" s="144">
        <v>3375</v>
      </c>
      <c r="D16" s="149">
        <v>550</v>
      </c>
      <c r="E16" s="145">
        <v>-2825</v>
      </c>
      <c r="F16" s="146">
        <v>0.17</v>
      </c>
      <c r="M16" s="163" t="s">
        <v>1420</v>
      </c>
      <c r="N16" s="164" t="s">
        <v>1393</v>
      </c>
      <c r="O16" s="164">
        <v>17</v>
      </c>
      <c r="P16" s="164">
        <v>17</v>
      </c>
      <c r="Q16" s="165">
        <v>25840</v>
      </c>
      <c r="R16" s="166"/>
      <c r="T16" s="163" t="s">
        <v>1421</v>
      </c>
      <c r="U16" s="164" t="s">
        <v>1393</v>
      </c>
      <c r="V16" s="164">
        <v>14</v>
      </c>
      <c r="W16" s="164">
        <v>14</v>
      </c>
      <c r="X16" s="165">
        <v>3500</v>
      </c>
      <c r="Y16" s="166"/>
      <c r="AA16" s="142" t="s">
        <v>1385</v>
      </c>
      <c r="AB16" s="143" t="s">
        <v>1414</v>
      </c>
      <c r="AC16" s="170">
        <v>19</v>
      </c>
      <c r="AD16" s="149">
        <v>340</v>
      </c>
      <c r="AE16" s="144">
        <v>6460</v>
      </c>
      <c r="AF16" s="149">
        <v>15.79</v>
      </c>
      <c r="AH16" s="142" t="s">
        <v>1385</v>
      </c>
      <c r="AI16" s="143" t="s">
        <v>612</v>
      </c>
      <c r="AJ16" s="149">
        <v>550</v>
      </c>
      <c r="AK16" s="149">
        <v>23.18</v>
      </c>
      <c r="AL16" s="150">
        <f t="shared" si="4"/>
        <v>22.582925110008858</v>
      </c>
      <c r="AM16" s="150">
        <f t="shared" si="4"/>
        <v>8.2415804534448593</v>
      </c>
      <c r="AN16" s="150">
        <f t="shared" si="0"/>
        <v>54.004505563453719</v>
      </c>
      <c r="AO16" s="151"/>
      <c r="AQ16" s="142" t="s">
        <v>1385</v>
      </c>
      <c r="AR16" s="143" t="s">
        <v>612</v>
      </c>
      <c r="AS16" s="143">
        <v>250</v>
      </c>
      <c r="AT16" s="152">
        <f>AN16</f>
        <v>54.004505563453719</v>
      </c>
      <c r="AU16" s="152">
        <f t="shared" si="1"/>
        <v>195.99549443654627</v>
      </c>
      <c r="AV16" s="153">
        <f t="shared" si="2"/>
        <v>0.78398197774618505</v>
      </c>
    </row>
    <row r="17" spans="1:63" ht="16.5" thickBot="1" x14ac:dyDescent="0.3">
      <c r="A17" s="142" t="s">
        <v>611</v>
      </c>
      <c r="B17" s="143" t="s">
        <v>1422</v>
      </c>
      <c r="C17" s="170">
        <v>300</v>
      </c>
      <c r="D17" s="144">
        <v>2240</v>
      </c>
      <c r="E17" s="145">
        <v>-712</v>
      </c>
      <c r="F17" s="146">
        <v>0.76</v>
      </c>
      <c r="M17" s="163" t="s">
        <v>1423</v>
      </c>
      <c r="N17" s="164" t="s">
        <v>1393</v>
      </c>
      <c r="O17" s="164">
        <v>1.5</v>
      </c>
      <c r="P17" s="164">
        <v>1.5</v>
      </c>
      <c r="Q17" s="165">
        <v>9710</v>
      </c>
      <c r="R17" s="166"/>
      <c r="T17" s="163" t="s">
        <v>1424</v>
      </c>
      <c r="U17" s="164" t="s">
        <v>1393</v>
      </c>
      <c r="V17" s="164">
        <v>6</v>
      </c>
      <c r="W17" s="164">
        <v>6</v>
      </c>
      <c r="X17" s="171">
        <v>450</v>
      </c>
      <c r="Y17" s="172"/>
      <c r="AA17" s="142" t="s">
        <v>1385</v>
      </c>
      <c r="AB17" s="143" t="s">
        <v>1417</v>
      </c>
      <c r="AC17" s="170">
        <v>1</v>
      </c>
      <c r="AD17" s="149">
        <v>256</v>
      </c>
      <c r="AE17" s="149">
        <v>256</v>
      </c>
      <c r="AF17" s="149">
        <v>0.33</v>
      </c>
      <c r="AH17" s="142" t="s">
        <v>611</v>
      </c>
      <c r="AI17" s="143" t="s">
        <v>1422</v>
      </c>
      <c r="AJ17" s="144">
        <v>2240</v>
      </c>
      <c r="AK17" s="149">
        <v>276.79000000000002</v>
      </c>
      <c r="AL17" s="150">
        <f t="shared" si="4"/>
        <v>22.582925110008858</v>
      </c>
      <c r="AM17" s="150">
        <f>R22</f>
        <v>4.6875</v>
      </c>
      <c r="AN17" s="150">
        <f t="shared" si="0"/>
        <v>304.06042511000885</v>
      </c>
      <c r="AO17" s="151"/>
      <c r="AQ17" s="142" t="s">
        <v>611</v>
      </c>
      <c r="AR17" s="143" t="s">
        <v>1422</v>
      </c>
      <c r="AS17" s="143">
        <v>850</v>
      </c>
      <c r="AT17" s="152">
        <f>AN17</f>
        <v>304.06042511000885</v>
      </c>
      <c r="AU17" s="152">
        <f t="shared" si="1"/>
        <v>545.93957488999115</v>
      </c>
      <c r="AV17" s="153">
        <f t="shared" si="2"/>
        <v>0.64228185281175432</v>
      </c>
    </row>
    <row r="18" spans="1:63" ht="16.5" thickBot="1" x14ac:dyDescent="0.3">
      <c r="A18" s="142" t="s">
        <v>65</v>
      </c>
      <c r="B18" s="143"/>
      <c r="C18" s="154">
        <f>SUM(C3:C17)</f>
        <v>35425</v>
      </c>
      <c r="D18" s="154">
        <f t="shared" ref="D18:E18" si="5">SUM(D3:D17)</f>
        <v>19457</v>
      </c>
      <c r="E18" s="173">
        <f t="shared" si="5"/>
        <v>-18620</v>
      </c>
      <c r="F18" s="174">
        <f>D18/C18</f>
        <v>0.54924488355681012</v>
      </c>
      <c r="M18" s="159" t="s">
        <v>65</v>
      </c>
      <c r="N18" s="156"/>
      <c r="O18" s="156"/>
      <c r="P18" s="156"/>
      <c r="Q18" s="168">
        <v>74883</v>
      </c>
      <c r="R18" s="169">
        <f>Q18/SUM(AJ4:AJ16)</f>
        <v>8.2415804534448593</v>
      </c>
      <c r="T18" s="163" t="s">
        <v>1425</v>
      </c>
      <c r="U18" s="164" t="s">
        <v>1393</v>
      </c>
      <c r="V18" s="164">
        <v>1</v>
      </c>
      <c r="W18" s="164">
        <v>1</v>
      </c>
      <c r="X18" s="165">
        <v>4300</v>
      </c>
      <c r="Y18" s="166"/>
      <c r="AA18" s="142" t="s">
        <v>1385</v>
      </c>
      <c r="AB18" s="143" t="s">
        <v>612</v>
      </c>
      <c r="AC18" s="170">
        <v>1</v>
      </c>
      <c r="AD18" s="149">
        <v>283</v>
      </c>
      <c r="AE18" s="144">
        <v>12750</v>
      </c>
      <c r="AF18" s="149">
        <v>23.18</v>
      </c>
    </row>
    <row r="19" spans="1:63" ht="16.5" thickBot="1" x14ac:dyDescent="0.3">
      <c r="M19" s="159" t="s">
        <v>611</v>
      </c>
      <c r="N19" s="156"/>
      <c r="O19" s="156"/>
      <c r="P19" s="156"/>
      <c r="Q19" s="157"/>
      <c r="R19" s="158"/>
      <c r="T19" s="163" t="s">
        <v>1426</v>
      </c>
      <c r="U19" s="164"/>
      <c r="V19" s="164">
        <v>1</v>
      </c>
      <c r="W19" s="164">
        <v>1</v>
      </c>
      <c r="X19" s="171">
        <v>120</v>
      </c>
      <c r="Y19" s="172"/>
      <c r="AA19" s="142" t="s">
        <v>611</v>
      </c>
      <c r="AB19" s="143" t="s">
        <v>1422</v>
      </c>
      <c r="AC19" s="149">
        <v>31</v>
      </c>
      <c r="AD19" s="144">
        <v>20000</v>
      </c>
      <c r="AE19" s="144">
        <v>620000</v>
      </c>
      <c r="AF19" s="149">
        <v>276.79000000000002</v>
      </c>
    </row>
    <row r="20" spans="1:63" ht="16.5" thickBot="1" x14ac:dyDescent="0.3">
      <c r="M20" s="163" t="s">
        <v>1427</v>
      </c>
      <c r="N20" s="164" t="s">
        <v>1393</v>
      </c>
      <c r="O20" s="164">
        <v>3</v>
      </c>
      <c r="P20" s="164">
        <v>3</v>
      </c>
      <c r="Q20" s="171">
        <v>750</v>
      </c>
      <c r="R20" s="172"/>
      <c r="T20" s="163" t="s">
        <v>1413</v>
      </c>
      <c r="U20" s="164" t="s">
        <v>1393</v>
      </c>
      <c r="V20" s="164">
        <v>100</v>
      </c>
      <c r="W20" s="164">
        <v>100</v>
      </c>
      <c r="X20" s="165">
        <v>13800</v>
      </c>
      <c r="Y20" s="166"/>
    </row>
    <row r="21" spans="1:63" ht="16.5" thickBot="1" x14ac:dyDescent="0.3">
      <c r="M21" s="163" t="s">
        <v>1428</v>
      </c>
      <c r="N21" s="164" t="s">
        <v>1393</v>
      </c>
      <c r="O21" s="164">
        <v>15</v>
      </c>
      <c r="P21" s="164">
        <v>15</v>
      </c>
      <c r="Q21" s="165">
        <v>9750</v>
      </c>
      <c r="R21" s="166"/>
      <c r="T21" s="175" t="s">
        <v>65</v>
      </c>
      <c r="U21" s="176"/>
      <c r="V21" s="176"/>
      <c r="W21" s="176"/>
      <c r="X21" s="177">
        <v>278600</v>
      </c>
      <c r="Y21" s="169">
        <f>X21/SUM(AJ3:AJ17)</f>
        <v>14.318754175875007</v>
      </c>
    </row>
    <row r="22" spans="1:63" ht="16.5" thickBot="1" x14ac:dyDescent="0.3">
      <c r="M22" s="175" t="s">
        <v>65</v>
      </c>
      <c r="N22" s="176"/>
      <c r="O22" s="176"/>
      <c r="P22" s="176"/>
      <c r="Q22" s="177">
        <v>10500</v>
      </c>
      <c r="R22" s="169">
        <f>Q22/AJ17</f>
        <v>4.6875</v>
      </c>
      <c r="AH22" s="1" t="s">
        <v>1429</v>
      </c>
    </row>
    <row r="23" spans="1:63" ht="15.75" thickBot="1" x14ac:dyDescent="0.3"/>
    <row r="24" spans="1:63" ht="78.75" x14ac:dyDescent="0.25">
      <c r="AH24" s="178" t="s">
        <v>1360</v>
      </c>
      <c r="AI24" s="178" t="s">
        <v>1361</v>
      </c>
      <c r="AJ24" s="178" t="s">
        <v>1363</v>
      </c>
      <c r="AK24" s="178" t="s">
        <v>1375</v>
      </c>
      <c r="AL24" s="178" t="s">
        <v>1376</v>
      </c>
      <c r="AM24" s="178" t="s">
        <v>1377</v>
      </c>
      <c r="AN24" s="178" t="s">
        <v>1378</v>
      </c>
      <c r="AO24" s="178" t="s">
        <v>1430</v>
      </c>
      <c r="AQ24" s="178" t="s">
        <v>1360</v>
      </c>
      <c r="AR24" s="178" t="s">
        <v>1361</v>
      </c>
      <c r="AS24" s="178" t="s">
        <v>764</v>
      </c>
      <c r="AT24" s="191" t="s">
        <v>1379</v>
      </c>
      <c r="AU24" s="191" t="s">
        <v>1380</v>
      </c>
      <c r="AV24" s="192" t="s">
        <v>1381</v>
      </c>
      <c r="AW24" s="178" t="s">
        <v>1430</v>
      </c>
      <c r="AZ24" s="266" t="s">
        <v>1431</v>
      </c>
      <c r="BA24" s="266" t="s">
        <v>1361</v>
      </c>
      <c r="BB24" s="138" t="s">
        <v>1432</v>
      </c>
      <c r="BC24" s="266" t="s">
        <v>1433</v>
      </c>
      <c r="BD24" s="138" t="s">
        <v>1434</v>
      </c>
      <c r="BE24" s="266" t="s">
        <v>1381</v>
      </c>
      <c r="BG24" s="178" t="s">
        <v>1361</v>
      </c>
      <c r="BH24" s="178" t="s">
        <v>1363</v>
      </c>
      <c r="BI24" s="178" t="s">
        <v>1380</v>
      </c>
      <c r="BJ24" s="178" t="s">
        <v>1435</v>
      </c>
      <c r="BK24" s="178" t="s">
        <v>1436</v>
      </c>
    </row>
    <row r="25" spans="1:63" ht="16.5" thickBot="1" x14ac:dyDescent="0.3">
      <c r="AH25" s="179" t="s">
        <v>1382</v>
      </c>
      <c r="AI25" s="179" t="s">
        <v>1383</v>
      </c>
      <c r="AJ25" s="180">
        <v>5583</v>
      </c>
      <c r="AK25" s="181">
        <v>51.504567436861905</v>
      </c>
      <c r="AL25" s="182">
        <v>28.03</v>
      </c>
      <c r="AM25" s="182">
        <v>10.02</v>
      </c>
      <c r="AN25" s="182">
        <f>AK25+AL25+AM25</f>
        <v>89.554567436861902</v>
      </c>
      <c r="AO25" s="182">
        <f>AN25-AN3</f>
        <v>28.494718684674019</v>
      </c>
      <c r="AQ25" s="179" t="s">
        <v>1382</v>
      </c>
      <c r="AR25" s="179" t="s">
        <v>1383</v>
      </c>
      <c r="AS25" s="179">
        <v>380</v>
      </c>
      <c r="AT25" s="193">
        <f>AN25</f>
        <v>89.554567436861902</v>
      </c>
      <c r="AU25" s="193">
        <f>AS25-AT25</f>
        <v>290.44543256313807</v>
      </c>
      <c r="AV25" s="194">
        <f>AU25/AS25</f>
        <v>0.76433008569246863</v>
      </c>
      <c r="AW25" s="183">
        <f>AV25-AV3</f>
        <v>-7.4986101801773786E-2</v>
      </c>
      <c r="AZ25" s="267"/>
      <c r="BA25" s="267"/>
      <c r="BB25" s="148" t="s">
        <v>1330</v>
      </c>
      <c r="BC25" s="267"/>
      <c r="BD25" s="148" t="s">
        <v>1330</v>
      </c>
      <c r="BE25" s="267"/>
      <c r="BG25" s="179" t="s">
        <v>1383</v>
      </c>
      <c r="BH25" s="180">
        <v>5583</v>
      </c>
      <c r="BI25" s="183">
        <v>0.76</v>
      </c>
      <c r="BJ25" s="183">
        <f>BH25/$BH$37</f>
        <v>0.35841304487385245</v>
      </c>
      <c r="BK25" s="183">
        <f>BJ25*BI25</f>
        <v>0.27239391410412789</v>
      </c>
    </row>
    <row r="26" spans="1:63" ht="16.5" thickBot="1" x14ac:dyDescent="0.3">
      <c r="AH26" s="179" t="s">
        <v>1385</v>
      </c>
      <c r="AI26" s="179" t="s">
        <v>1386</v>
      </c>
      <c r="AJ26" s="180">
        <v>1147</v>
      </c>
      <c r="AK26" s="181">
        <v>7.2233653007846543</v>
      </c>
      <c r="AL26" s="182">
        <v>24.05</v>
      </c>
      <c r="AM26" s="182">
        <v>5.0599999999999996</v>
      </c>
      <c r="AN26" s="182">
        <f t="shared" ref="AN26:AN39" si="6">AK26+AL26+AM26</f>
        <v>36.333365300784656</v>
      </c>
      <c r="AO26" s="182">
        <f t="shared" ref="AO26:AO39" si="7">AN26-AN4</f>
        <v>-11.741140262669063</v>
      </c>
      <c r="AQ26" s="179" t="s">
        <v>1385</v>
      </c>
      <c r="AR26" s="179" t="s">
        <v>1386</v>
      </c>
      <c r="AS26" s="179">
        <v>290</v>
      </c>
      <c r="AT26" s="193">
        <f>AN26</f>
        <v>36.333365300784656</v>
      </c>
      <c r="AU26" s="193">
        <f t="shared" ref="AU26:AU39" si="8">AS26-AT26</f>
        <v>253.66663469921534</v>
      </c>
      <c r="AV26" s="194">
        <f t="shared" ref="AV26:AV39" si="9">AU26/AS26</f>
        <v>0.8747125334455701</v>
      </c>
      <c r="AW26" s="183">
        <f t="shared" ref="AW26:AW39" si="10">AV26-AV4</f>
        <v>4.0486690560927796E-2</v>
      </c>
      <c r="AZ26" s="142">
        <v>1</v>
      </c>
      <c r="BA26" s="143" t="s">
        <v>1386</v>
      </c>
      <c r="BB26" s="149"/>
      <c r="BC26" s="149">
        <v>36.33</v>
      </c>
      <c r="BD26" s="149"/>
      <c r="BE26" s="146"/>
      <c r="BG26" s="179" t="s">
        <v>1437</v>
      </c>
      <c r="BH26" s="180">
        <f>SUM(AJ26:AJ30)</f>
        <v>6021</v>
      </c>
      <c r="BI26" s="183">
        <v>0.8</v>
      </c>
      <c r="BJ26" s="183">
        <f t="shared" ref="BJ26:BJ36" si="11">BH26/$BH$37</f>
        <v>0.38653142453617512</v>
      </c>
      <c r="BK26" s="183">
        <f t="shared" ref="BK26:BK36" si="12">BJ26*BI26</f>
        <v>0.3092251396289401</v>
      </c>
    </row>
    <row r="27" spans="1:63" ht="16.5" thickBot="1" x14ac:dyDescent="0.3">
      <c r="AH27" s="179" t="s">
        <v>1385</v>
      </c>
      <c r="AI27" s="179" t="s">
        <v>1387</v>
      </c>
      <c r="AJ27" s="180">
        <v>1147</v>
      </c>
      <c r="AK27" s="181">
        <v>17.585562336530078</v>
      </c>
      <c r="AL27" s="182">
        <f>AL26</f>
        <v>24.05</v>
      </c>
      <c r="AM27" s="182">
        <v>5.0599999999999996</v>
      </c>
      <c r="AN27" s="182">
        <f t="shared" si="6"/>
        <v>46.695562336530081</v>
      </c>
      <c r="AO27" s="182">
        <f t="shared" si="7"/>
        <v>-17.008943226923641</v>
      </c>
      <c r="AQ27" s="179" t="s">
        <v>1385</v>
      </c>
      <c r="AR27" s="179" t="s">
        <v>1387</v>
      </c>
      <c r="AS27" s="179">
        <v>350</v>
      </c>
      <c r="AT27" s="193">
        <f t="shared" ref="AT27:AT37" si="13">AN27</f>
        <v>46.695562336530081</v>
      </c>
      <c r="AU27" s="193">
        <f t="shared" si="8"/>
        <v>303.30443766346991</v>
      </c>
      <c r="AV27" s="194">
        <f t="shared" si="9"/>
        <v>0.866584107609914</v>
      </c>
      <c r="AW27" s="183">
        <f t="shared" si="10"/>
        <v>4.8596980648353161E-2</v>
      </c>
      <c r="AZ27" s="142">
        <v>2</v>
      </c>
      <c r="BA27" s="143" t="s">
        <v>1387</v>
      </c>
      <c r="BB27" s="149"/>
      <c r="BC27" s="149">
        <v>46.7</v>
      </c>
      <c r="BD27" s="149"/>
      <c r="BE27" s="146"/>
      <c r="BG27" s="179" t="s">
        <v>1438</v>
      </c>
      <c r="BH27" s="180">
        <f>SUM(AJ31:AJ34)</f>
        <v>1088</v>
      </c>
      <c r="BI27" s="183">
        <v>0.63</v>
      </c>
      <c r="BJ27" s="183">
        <f t="shared" si="11"/>
        <v>6.9846568658920208E-2</v>
      </c>
      <c r="BK27" s="183">
        <f t="shared" si="12"/>
        <v>4.4003338255119734E-2</v>
      </c>
    </row>
    <row r="28" spans="1:63" ht="16.5" thickBot="1" x14ac:dyDescent="0.3">
      <c r="AH28" s="179" t="s">
        <v>1385</v>
      </c>
      <c r="AI28" s="179" t="s">
        <v>1391</v>
      </c>
      <c r="AJ28" s="180">
        <v>1147</v>
      </c>
      <c r="AK28" s="181">
        <v>6.4680732345248471</v>
      </c>
      <c r="AL28" s="182">
        <f t="shared" ref="AL28:AL39" si="14">AL27</f>
        <v>24.05</v>
      </c>
      <c r="AM28" s="182">
        <v>5.0599999999999996</v>
      </c>
      <c r="AN28" s="182">
        <f t="shared" si="6"/>
        <v>35.578073234524851</v>
      </c>
      <c r="AO28" s="182">
        <f t="shared" si="7"/>
        <v>-7.9064323289288652</v>
      </c>
      <c r="AQ28" s="179" t="s">
        <v>1385</v>
      </c>
      <c r="AR28" s="179" t="s">
        <v>1391</v>
      </c>
      <c r="AS28" s="179">
        <v>350</v>
      </c>
      <c r="AT28" s="193">
        <f t="shared" si="13"/>
        <v>35.578073234524851</v>
      </c>
      <c r="AU28" s="193">
        <f t="shared" si="8"/>
        <v>314.42192676547518</v>
      </c>
      <c r="AV28" s="194">
        <f t="shared" si="9"/>
        <v>0.89834836218707192</v>
      </c>
      <c r="AW28" s="183">
        <f t="shared" si="10"/>
        <v>2.25898066540825E-2</v>
      </c>
      <c r="AZ28" s="142">
        <v>3</v>
      </c>
      <c r="BA28" s="143" t="s">
        <v>1391</v>
      </c>
      <c r="BB28" s="149"/>
      <c r="BC28" s="149">
        <v>35.58</v>
      </c>
      <c r="BD28" s="149"/>
      <c r="BE28" s="146"/>
      <c r="BG28" s="179" t="s">
        <v>1411</v>
      </c>
      <c r="BH28" s="184">
        <v>205</v>
      </c>
      <c r="BI28" s="183">
        <v>0.86113456686291001</v>
      </c>
      <c r="BJ28" s="183">
        <f t="shared" si="11"/>
        <v>1.3160428837388457E-2</v>
      </c>
      <c r="BK28" s="183">
        <f t="shared" si="12"/>
        <v>1.1332900186614659E-2</v>
      </c>
    </row>
    <row r="29" spans="1:63" ht="16.5" thickBot="1" x14ac:dyDescent="0.3">
      <c r="AH29" s="179" t="s">
        <v>1385</v>
      </c>
      <c r="AI29" s="179" t="s">
        <v>1395</v>
      </c>
      <c r="AJ29" s="180">
        <v>1147</v>
      </c>
      <c r="AK29" s="181">
        <v>6.5149433304272009</v>
      </c>
      <c r="AL29" s="182">
        <f t="shared" si="14"/>
        <v>24.05</v>
      </c>
      <c r="AM29" s="182">
        <v>5.0599999999999996</v>
      </c>
      <c r="AN29" s="182">
        <f t="shared" si="6"/>
        <v>35.6249433304272</v>
      </c>
      <c r="AO29" s="182">
        <f t="shared" si="7"/>
        <v>-5.7495622330265164</v>
      </c>
      <c r="AQ29" s="179" t="s">
        <v>1385</v>
      </c>
      <c r="AR29" s="179" t="s">
        <v>1395</v>
      </c>
      <c r="AS29" s="179">
        <v>350</v>
      </c>
      <c r="AT29" s="193">
        <f t="shared" si="13"/>
        <v>35.6249433304272</v>
      </c>
      <c r="AU29" s="193">
        <f t="shared" si="8"/>
        <v>314.37505666957281</v>
      </c>
      <c r="AV29" s="194">
        <f t="shared" si="9"/>
        <v>0.89821444762735092</v>
      </c>
      <c r="AW29" s="183">
        <f t="shared" si="10"/>
        <v>1.6427320665790224E-2</v>
      </c>
      <c r="AZ29" s="142">
        <v>4</v>
      </c>
      <c r="BA29" s="143" t="s">
        <v>1395</v>
      </c>
      <c r="BB29" s="149"/>
      <c r="BC29" s="149">
        <v>35.619999999999997</v>
      </c>
      <c r="BD29" s="149"/>
      <c r="BE29" s="146"/>
      <c r="BG29" s="179" t="s">
        <v>1414</v>
      </c>
      <c r="BH29" s="185">
        <v>409</v>
      </c>
      <c r="BI29" s="183">
        <v>0.87955492791501566</v>
      </c>
      <c r="BJ29" s="183">
        <f t="shared" si="11"/>
        <v>2.6256660460935995E-2</v>
      </c>
      <c r="BK29" s="183">
        <f t="shared" si="12"/>
        <v>2.3094175099007602E-2</v>
      </c>
    </row>
    <row r="30" spans="1:63" ht="16.5" thickBot="1" x14ac:dyDescent="0.3">
      <c r="AH30" s="179" t="s">
        <v>1385</v>
      </c>
      <c r="AI30" s="179" t="s">
        <v>1398</v>
      </c>
      <c r="AJ30" s="180">
        <v>1433</v>
      </c>
      <c r="AK30" s="181">
        <v>9.886336357292393</v>
      </c>
      <c r="AL30" s="182">
        <f t="shared" si="14"/>
        <v>24.05</v>
      </c>
      <c r="AM30" s="182">
        <v>5.0599999999999996</v>
      </c>
      <c r="AN30" s="182">
        <f t="shared" si="6"/>
        <v>38.996336357292392</v>
      </c>
      <c r="AO30" s="182">
        <f t="shared" si="7"/>
        <v>-15.138169206161329</v>
      </c>
      <c r="AQ30" s="179" t="s">
        <v>1385</v>
      </c>
      <c r="AR30" s="179" t="s">
        <v>1398</v>
      </c>
      <c r="AS30" s="179">
        <v>330</v>
      </c>
      <c r="AT30" s="193">
        <f t="shared" si="13"/>
        <v>38.996336357292392</v>
      </c>
      <c r="AU30" s="193">
        <f t="shared" si="8"/>
        <v>291.00366364270758</v>
      </c>
      <c r="AV30" s="194">
        <f t="shared" si="9"/>
        <v>0.88182928376578051</v>
      </c>
      <c r="AW30" s="183">
        <f t="shared" si="10"/>
        <v>4.5873240018670547E-2</v>
      </c>
      <c r="AZ30" s="142">
        <v>5</v>
      </c>
      <c r="BA30" s="143" t="s">
        <v>1398</v>
      </c>
      <c r="BB30" s="149"/>
      <c r="BC30" s="149">
        <v>39</v>
      </c>
      <c r="BD30" s="149"/>
      <c r="BE30" s="146"/>
      <c r="BG30" s="179" t="s">
        <v>1417</v>
      </c>
      <c r="BH30" s="184">
        <v>910</v>
      </c>
      <c r="BI30" s="183">
        <v>0.82353548804137033</v>
      </c>
      <c r="BJ30" s="183">
        <f t="shared" si="11"/>
        <v>5.8419464595236566E-2</v>
      </c>
      <c r="BK30" s="183">
        <f t="shared" si="12"/>
        <v>4.8110502286553704E-2</v>
      </c>
    </row>
    <row r="31" spans="1:63" ht="16.5" thickBot="1" x14ac:dyDescent="0.3">
      <c r="AH31" s="179" t="s">
        <v>1385</v>
      </c>
      <c r="AI31" s="179" t="s">
        <v>1400</v>
      </c>
      <c r="AJ31" s="184">
        <v>244</v>
      </c>
      <c r="AK31" s="181">
        <v>69.672131147540981</v>
      </c>
      <c r="AL31" s="182">
        <f t="shared" si="14"/>
        <v>24.05</v>
      </c>
      <c r="AM31" s="182">
        <v>5.0599999999999996</v>
      </c>
      <c r="AN31" s="182">
        <f t="shared" si="6"/>
        <v>98.78213114754098</v>
      </c>
      <c r="AO31" s="182">
        <f t="shared" si="7"/>
        <v>-128.33237441591274</v>
      </c>
      <c r="AQ31" s="179" t="s">
        <v>1385</v>
      </c>
      <c r="AR31" s="179" t="s">
        <v>1400</v>
      </c>
      <c r="AS31" s="179">
        <v>350</v>
      </c>
      <c r="AT31" s="193">
        <f t="shared" si="13"/>
        <v>98.78213114754098</v>
      </c>
      <c r="AU31" s="193">
        <f t="shared" si="8"/>
        <v>251.21786885245902</v>
      </c>
      <c r="AV31" s="194">
        <f t="shared" si="9"/>
        <v>0.71776533957845434</v>
      </c>
      <c r="AW31" s="183">
        <f t="shared" si="10"/>
        <v>0.36666392690260785</v>
      </c>
      <c r="AZ31" s="142">
        <v>6</v>
      </c>
      <c r="BA31" s="143" t="s">
        <v>65</v>
      </c>
      <c r="BB31" s="149">
        <v>990</v>
      </c>
      <c r="BC31" s="149">
        <f>SUM(BC26:BC30)</f>
        <v>193.23</v>
      </c>
      <c r="BD31" s="149">
        <f>BB31-BC31</f>
        <v>796.77</v>
      </c>
      <c r="BE31" s="186">
        <f>BD31/BB31</f>
        <v>0.80481818181818177</v>
      </c>
      <c r="BG31" s="179" t="s">
        <v>612</v>
      </c>
      <c r="BH31" s="184">
        <v>429</v>
      </c>
      <c r="BI31" s="183">
        <v>0.85428883017249413</v>
      </c>
      <c r="BJ31" s="183">
        <f t="shared" si="11"/>
        <v>2.7540604737754382E-2</v>
      </c>
      <c r="BK31" s="183">
        <f t="shared" si="12"/>
        <v>2.352763100365924E-2</v>
      </c>
    </row>
    <row r="32" spans="1:63" ht="15.75" x14ac:dyDescent="0.25">
      <c r="AH32" s="179" t="s">
        <v>1385</v>
      </c>
      <c r="AI32" s="179" t="s">
        <v>1402</v>
      </c>
      <c r="AJ32" s="184">
        <v>260</v>
      </c>
      <c r="AK32" s="181">
        <v>17.230770000000003</v>
      </c>
      <c r="AL32" s="182">
        <f t="shared" si="14"/>
        <v>24.05</v>
      </c>
      <c r="AM32" s="182">
        <v>5.0599999999999996</v>
      </c>
      <c r="AN32" s="182">
        <f t="shared" si="6"/>
        <v>46.340770000000006</v>
      </c>
      <c r="AO32" s="182">
        <f t="shared" si="7"/>
        <v>-34.003735563453716</v>
      </c>
      <c r="AQ32" s="179" t="s">
        <v>1385</v>
      </c>
      <c r="AR32" s="179" t="s">
        <v>1402</v>
      </c>
      <c r="AS32" s="179">
        <v>290</v>
      </c>
      <c r="AT32" s="193">
        <f t="shared" si="13"/>
        <v>46.340770000000006</v>
      </c>
      <c r="AU32" s="193">
        <f t="shared" si="8"/>
        <v>243.65922999999998</v>
      </c>
      <c r="AV32" s="194">
        <f t="shared" si="9"/>
        <v>0.84020424137931027</v>
      </c>
      <c r="AW32" s="183">
        <f t="shared" si="10"/>
        <v>0.11725426056363342</v>
      </c>
      <c r="BG32" s="179" t="s">
        <v>1422</v>
      </c>
      <c r="BH32" s="180">
        <v>815</v>
      </c>
      <c r="BI32" s="183">
        <v>0.71632154456874775</v>
      </c>
      <c r="BJ32" s="183">
        <f t="shared" si="11"/>
        <v>5.2320729280349233E-2</v>
      </c>
      <c r="BK32" s="183">
        <f t="shared" si="12"/>
        <v>3.7478465611063071E-2</v>
      </c>
    </row>
    <row r="33" spans="34:63" ht="15.75" x14ac:dyDescent="0.25">
      <c r="AH33" s="179" t="s">
        <v>1385</v>
      </c>
      <c r="AI33" s="179" t="s">
        <v>1405</v>
      </c>
      <c r="AJ33" s="184">
        <v>340</v>
      </c>
      <c r="AK33" s="181">
        <v>8.5882358823529419</v>
      </c>
      <c r="AL33" s="182">
        <f t="shared" si="14"/>
        <v>24.05</v>
      </c>
      <c r="AM33" s="182">
        <v>5.0599999999999996</v>
      </c>
      <c r="AN33" s="182">
        <f t="shared" si="6"/>
        <v>37.698235882352947</v>
      </c>
      <c r="AO33" s="182">
        <f t="shared" si="7"/>
        <v>-80.966269681100769</v>
      </c>
      <c r="AQ33" s="179" t="s">
        <v>1385</v>
      </c>
      <c r="AR33" s="179" t="s">
        <v>1405</v>
      </c>
      <c r="AS33" s="179">
        <v>190</v>
      </c>
      <c r="AT33" s="193">
        <f t="shared" si="13"/>
        <v>37.698235882352947</v>
      </c>
      <c r="AU33" s="193">
        <f t="shared" si="8"/>
        <v>152.30176411764705</v>
      </c>
      <c r="AV33" s="194">
        <f t="shared" si="9"/>
        <v>0.80158823219814235</v>
      </c>
      <c r="AW33" s="183">
        <f t="shared" si="10"/>
        <v>0.4261382614794777</v>
      </c>
      <c r="BG33" s="179" t="s">
        <v>1439</v>
      </c>
      <c r="BH33" s="187">
        <v>11</v>
      </c>
      <c r="BI33" s="183">
        <v>-0.19458128078817746</v>
      </c>
      <c r="BJ33" s="188">
        <f t="shared" si="11"/>
        <v>7.0616935225011231E-4</v>
      </c>
      <c r="BK33" s="188">
        <f t="shared" si="12"/>
        <v>-1.374073370141845E-4</v>
      </c>
    </row>
    <row r="34" spans="34:63" ht="15.75" x14ac:dyDescent="0.25">
      <c r="AH34" s="179" t="s">
        <v>1385</v>
      </c>
      <c r="AI34" s="179" t="s">
        <v>1408</v>
      </c>
      <c r="AJ34" s="184">
        <v>244</v>
      </c>
      <c r="AK34" s="181">
        <v>116.50819672131148</v>
      </c>
      <c r="AL34" s="182">
        <f t="shared" si="14"/>
        <v>24.05</v>
      </c>
      <c r="AM34" s="182">
        <v>5.0599999999999996</v>
      </c>
      <c r="AN34" s="182">
        <f t="shared" si="6"/>
        <v>145.61819672131148</v>
      </c>
      <c r="AO34" s="182">
        <f t="shared" si="7"/>
        <v>-272.96630884214221</v>
      </c>
      <c r="AQ34" s="179" t="s">
        <v>1385</v>
      </c>
      <c r="AR34" s="179" t="s">
        <v>1408</v>
      </c>
      <c r="AS34" s="179">
        <v>350</v>
      </c>
      <c r="AT34" s="193">
        <f t="shared" si="13"/>
        <v>145.61819672131148</v>
      </c>
      <c r="AU34" s="193">
        <f t="shared" si="8"/>
        <v>204.38180327868852</v>
      </c>
      <c r="AV34" s="194">
        <f t="shared" si="9"/>
        <v>0.58394800936768154</v>
      </c>
      <c r="AW34" s="183">
        <f t="shared" si="10"/>
        <v>0.77990373954897785</v>
      </c>
      <c r="BG34" s="179" t="s">
        <v>1440</v>
      </c>
      <c r="BH34" s="187">
        <v>9</v>
      </c>
      <c r="BI34" s="183">
        <v>0.11172161172161173</v>
      </c>
      <c r="BJ34" s="188">
        <f t="shared" si="11"/>
        <v>5.777749245682737E-4</v>
      </c>
      <c r="BK34" s="188">
        <f t="shared" si="12"/>
        <v>6.4549945785100175E-5</v>
      </c>
    </row>
    <row r="35" spans="34:63" ht="15.75" x14ac:dyDescent="0.25">
      <c r="AH35" s="179" t="s">
        <v>1385</v>
      </c>
      <c r="AI35" s="179" t="s">
        <v>1411</v>
      </c>
      <c r="AJ35" s="184">
        <v>205</v>
      </c>
      <c r="AK35" s="181">
        <v>11.160975609756097</v>
      </c>
      <c r="AL35" s="182">
        <f t="shared" si="14"/>
        <v>24.05</v>
      </c>
      <c r="AM35" s="182">
        <v>5.0599999999999996</v>
      </c>
      <c r="AN35" s="182">
        <f t="shared" si="6"/>
        <v>40.2709756097561</v>
      </c>
      <c r="AO35" s="182">
        <f t="shared" si="7"/>
        <v>-39.893529953697616</v>
      </c>
      <c r="AQ35" s="179" t="s">
        <v>1385</v>
      </c>
      <c r="AR35" s="179" t="s">
        <v>1411</v>
      </c>
      <c r="AS35" s="179">
        <v>290</v>
      </c>
      <c r="AT35" s="193">
        <f t="shared" si="13"/>
        <v>40.2709756097561</v>
      </c>
      <c r="AU35" s="193">
        <f t="shared" si="8"/>
        <v>249.72902439024389</v>
      </c>
      <c r="AV35" s="194">
        <f t="shared" si="9"/>
        <v>0.86113456686291001</v>
      </c>
      <c r="AW35" s="183">
        <f t="shared" si="10"/>
        <v>0.13756389639206068</v>
      </c>
      <c r="BG35" s="179" t="s">
        <v>1441</v>
      </c>
      <c r="BH35" s="187">
        <v>52</v>
      </c>
      <c r="BI35" s="183">
        <v>0.13546798029556639</v>
      </c>
      <c r="BJ35" s="188">
        <f t="shared" si="11"/>
        <v>3.3382551197278037E-3</v>
      </c>
      <c r="BK35" s="188">
        <f t="shared" si="12"/>
        <v>4.5222667878085972E-4</v>
      </c>
    </row>
    <row r="36" spans="34:63" ht="15.75" x14ac:dyDescent="0.25">
      <c r="AH36" s="179" t="s">
        <v>1385</v>
      </c>
      <c r="AI36" s="179" t="s">
        <v>1414</v>
      </c>
      <c r="AJ36" s="185">
        <v>409</v>
      </c>
      <c r="AK36" s="184">
        <v>5.8190709046454767</v>
      </c>
      <c r="AL36" s="182">
        <f t="shared" si="14"/>
        <v>24.05</v>
      </c>
      <c r="AM36" s="182">
        <v>5.0599999999999996</v>
      </c>
      <c r="AN36" s="182">
        <f t="shared" si="6"/>
        <v>34.929070904645478</v>
      </c>
      <c r="AO36" s="182">
        <f t="shared" si="7"/>
        <v>-11.685434658808241</v>
      </c>
      <c r="AQ36" s="179" t="s">
        <v>1385</v>
      </c>
      <c r="AR36" s="179" t="s">
        <v>1414</v>
      </c>
      <c r="AS36" s="179">
        <v>290</v>
      </c>
      <c r="AT36" s="193">
        <f t="shared" si="13"/>
        <v>34.929070904645478</v>
      </c>
      <c r="AU36" s="193">
        <f t="shared" si="8"/>
        <v>255.07092909535453</v>
      </c>
      <c r="AV36" s="194">
        <f t="shared" si="9"/>
        <v>0.87955492791501566</v>
      </c>
      <c r="AW36" s="183">
        <f t="shared" si="10"/>
        <v>4.0294602271752633E-2</v>
      </c>
      <c r="BG36" s="179" t="s">
        <v>1442</v>
      </c>
      <c r="BH36" s="187">
        <v>45</v>
      </c>
      <c r="BI36" s="183">
        <v>0.15567765567765568</v>
      </c>
      <c r="BJ36" s="188">
        <f t="shared" si="11"/>
        <v>2.8888746228413688E-3</v>
      </c>
      <c r="BK36" s="188">
        <f t="shared" si="12"/>
        <v>4.4973322883061603E-4</v>
      </c>
    </row>
    <row r="37" spans="34:63" ht="15.75" x14ac:dyDescent="0.25">
      <c r="AH37" s="179" t="s">
        <v>1385</v>
      </c>
      <c r="AI37" s="179" t="s">
        <v>1417</v>
      </c>
      <c r="AJ37" s="184">
        <v>910</v>
      </c>
      <c r="AK37" s="184">
        <v>0.88896703296703306</v>
      </c>
      <c r="AL37" s="182">
        <f t="shared" si="14"/>
        <v>24.05</v>
      </c>
      <c r="AM37" s="182">
        <v>5.0599999999999996</v>
      </c>
      <c r="AN37" s="182">
        <f t="shared" si="6"/>
        <v>29.998967032967034</v>
      </c>
      <c r="AO37" s="182">
        <f t="shared" si="7"/>
        <v>-1.1555385304866839</v>
      </c>
      <c r="AQ37" s="179" t="s">
        <v>1385</v>
      </c>
      <c r="AR37" s="179" t="s">
        <v>1417</v>
      </c>
      <c r="AS37" s="179">
        <v>170</v>
      </c>
      <c r="AT37" s="193">
        <f t="shared" si="13"/>
        <v>29.998967032967034</v>
      </c>
      <c r="AU37" s="193">
        <f t="shared" si="8"/>
        <v>140.00103296703296</v>
      </c>
      <c r="AV37" s="194">
        <f t="shared" si="9"/>
        <v>0.82353548804137033</v>
      </c>
      <c r="AW37" s="183">
        <f t="shared" si="10"/>
        <v>6.7972854734509314E-3</v>
      </c>
      <c r="BG37" s="187"/>
      <c r="BH37" s="189">
        <f>SUM(BH25:BH36)</f>
        <v>15577</v>
      </c>
      <c r="BI37" s="183"/>
      <c r="BJ37" s="183"/>
      <c r="BK37" s="190">
        <f>SUM(BK25:BK36)</f>
        <v>0.76999516869146833</v>
      </c>
    </row>
    <row r="38" spans="34:63" ht="16.5" thickBot="1" x14ac:dyDescent="0.3">
      <c r="AH38" s="179" t="s">
        <v>1385</v>
      </c>
      <c r="AI38" s="179" t="s">
        <v>612</v>
      </c>
      <c r="AJ38" s="184">
        <v>429</v>
      </c>
      <c r="AK38" s="184">
        <v>7.3177924568764583</v>
      </c>
      <c r="AL38" s="182">
        <f t="shared" si="14"/>
        <v>24.05</v>
      </c>
      <c r="AM38" s="182">
        <v>5.0599999999999996</v>
      </c>
      <c r="AN38" s="182">
        <f t="shared" si="6"/>
        <v>36.42779245687646</v>
      </c>
      <c r="AO38" s="182">
        <f t="shared" si="7"/>
        <v>-17.576713106577259</v>
      </c>
      <c r="AQ38" s="179" t="s">
        <v>1385</v>
      </c>
      <c r="AR38" s="179" t="s">
        <v>612</v>
      </c>
      <c r="AS38" s="179">
        <v>250</v>
      </c>
      <c r="AT38" s="193">
        <f>AN38</f>
        <v>36.42779245687646</v>
      </c>
      <c r="AU38" s="193">
        <f t="shared" si="8"/>
        <v>213.57220754312354</v>
      </c>
      <c r="AV38" s="194">
        <f t="shared" si="9"/>
        <v>0.85428883017249413</v>
      </c>
      <c r="AW38" s="183">
        <f t="shared" si="10"/>
        <v>7.0306852426309074E-2</v>
      </c>
    </row>
    <row r="39" spans="34:63" ht="16.5" thickBot="1" x14ac:dyDescent="0.3">
      <c r="AH39" s="179" t="s">
        <v>611</v>
      </c>
      <c r="AI39" s="179" t="s">
        <v>1422</v>
      </c>
      <c r="AJ39" s="180">
        <v>815</v>
      </c>
      <c r="AK39" s="184">
        <v>212.57668711656441</v>
      </c>
      <c r="AL39" s="182">
        <f t="shared" si="14"/>
        <v>24.05</v>
      </c>
      <c r="AM39" s="182">
        <v>4.5</v>
      </c>
      <c r="AN39" s="182">
        <f t="shared" si="6"/>
        <v>241.12668711656443</v>
      </c>
      <c r="AO39" s="182">
        <f t="shared" si="7"/>
        <v>-62.933737993444424</v>
      </c>
      <c r="AQ39" s="179" t="s">
        <v>611</v>
      </c>
      <c r="AR39" s="179" t="s">
        <v>1422</v>
      </c>
      <c r="AS39" s="179">
        <v>850</v>
      </c>
      <c r="AT39" s="193">
        <f>AN39</f>
        <v>241.12668711656443</v>
      </c>
      <c r="AU39" s="193">
        <f t="shared" si="8"/>
        <v>608.87331288343557</v>
      </c>
      <c r="AV39" s="194">
        <f t="shared" si="9"/>
        <v>0.71632154456874775</v>
      </c>
      <c r="AW39" s="183">
        <f t="shared" si="10"/>
        <v>7.4039691756993431E-2</v>
      </c>
      <c r="BG39" s="195" t="s">
        <v>1443</v>
      </c>
      <c r="BH39" s="196"/>
      <c r="BI39" s="197"/>
      <c r="BJ39" s="196"/>
      <c r="BK39" s="198">
        <f>1-BK37</f>
        <v>0.23000483130853167</v>
      </c>
    </row>
  </sheetData>
  <mergeCells count="22">
    <mergeCell ref="AZ24:AZ25"/>
    <mergeCell ref="BA24:BA25"/>
    <mergeCell ref="BC24:BC25"/>
    <mergeCell ref="BE24:BE25"/>
    <mergeCell ref="W2:W3"/>
    <mergeCell ref="AA2:AA3"/>
    <mergeCell ref="AB2:AB3"/>
    <mergeCell ref="AD2:AD3"/>
    <mergeCell ref="AF2:AF3"/>
    <mergeCell ref="AA4:AA5"/>
    <mergeCell ref="AE4:AE5"/>
    <mergeCell ref="AF4:AF5"/>
    <mergeCell ref="M1:Q1"/>
    <mergeCell ref="T1:X1"/>
    <mergeCell ref="AA1:AF1"/>
    <mergeCell ref="M2:M3"/>
    <mergeCell ref="N2:N3"/>
    <mergeCell ref="O2:O3"/>
    <mergeCell ref="P2:P3"/>
    <mergeCell ref="T2:T3"/>
    <mergeCell ref="U2:U3"/>
    <mergeCell ref="V2:V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G14" sqref="G14"/>
    </sheetView>
  </sheetViews>
  <sheetFormatPr defaultRowHeight="15" x14ac:dyDescent="0.25"/>
  <cols>
    <col min="1" max="1" width="21.85546875" bestFit="1" customWidth="1"/>
    <col min="2" max="2" width="8.28515625" bestFit="1" customWidth="1"/>
    <col min="4" max="4" width="10.140625" bestFit="1" customWidth="1"/>
    <col min="5" max="5" width="9.140625" customWidth="1"/>
  </cols>
  <sheetData>
    <row r="1" spans="1:5" ht="15.75" thickBot="1" x14ac:dyDescent="0.3">
      <c r="A1" s="1" t="s">
        <v>64</v>
      </c>
    </row>
    <row r="2" spans="1:5" ht="79.5" thickBot="1" x14ac:dyDescent="0.3">
      <c r="A2" s="116" t="s">
        <v>1333</v>
      </c>
      <c r="B2" s="117" t="s">
        <v>1334</v>
      </c>
      <c r="C2" s="117" t="s">
        <v>1335</v>
      </c>
      <c r="D2" s="117" t="s">
        <v>1336</v>
      </c>
      <c r="E2" s="117" t="s">
        <v>1352</v>
      </c>
    </row>
    <row r="3" spans="1:5" ht="16.5" thickBot="1" x14ac:dyDescent="0.3">
      <c r="A3" s="109" t="s">
        <v>1337</v>
      </c>
      <c r="B3" s="118" t="s">
        <v>1338</v>
      </c>
      <c r="C3" s="110">
        <v>125806</v>
      </c>
      <c r="D3" s="119">
        <v>1509672</v>
      </c>
      <c r="E3" s="121">
        <f>D3/$D$15</f>
        <v>0.53988700678116663</v>
      </c>
    </row>
    <row r="4" spans="1:5" ht="16.5" thickBot="1" x14ac:dyDescent="0.3">
      <c r="A4" s="109" t="s">
        <v>1339</v>
      </c>
      <c r="B4" s="118" t="s">
        <v>40</v>
      </c>
      <c r="C4" s="110">
        <v>20198</v>
      </c>
      <c r="D4" s="119">
        <v>242379</v>
      </c>
      <c r="E4" s="121">
        <f t="shared" ref="E4:E15" si="0">D4/$D$15</f>
        <v>8.6679273919508609E-2</v>
      </c>
    </row>
    <row r="5" spans="1:5" ht="16.5" thickBot="1" x14ac:dyDescent="0.3">
      <c r="A5" s="109" t="s">
        <v>1340</v>
      </c>
      <c r="B5" s="118" t="s">
        <v>40</v>
      </c>
      <c r="C5" s="110">
        <v>8885</v>
      </c>
      <c r="D5" s="119">
        <v>106620</v>
      </c>
      <c r="E5" s="121">
        <f t="shared" si="0"/>
        <v>3.8129310646953768E-2</v>
      </c>
    </row>
    <row r="6" spans="1:5" ht="16.5" thickBot="1" x14ac:dyDescent="0.3">
      <c r="A6" s="109" t="s">
        <v>1341</v>
      </c>
      <c r="B6" s="118" t="s">
        <v>1338</v>
      </c>
      <c r="C6" s="110">
        <v>10120</v>
      </c>
      <c r="D6" s="119">
        <v>121435</v>
      </c>
      <c r="E6" s="121">
        <f t="shared" si="0"/>
        <v>4.3427432361778567E-2</v>
      </c>
    </row>
    <row r="7" spans="1:5" ht="16.5" thickBot="1" x14ac:dyDescent="0.3">
      <c r="A7" s="109" t="s">
        <v>1342</v>
      </c>
      <c r="B7" s="118" t="s">
        <v>40</v>
      </c>
      <c r="C7" s="118">
        <v>287</v>
      </c>
      <c r="D7" s="119">
        <v>3440</v>
      </c>
      <c r="E7" s="121">
        <f t="shared" si="0"/>
        <v>1.2302084845762611E-3</v>
      </c>
    </row>
    <row r="8" spans="1:5" ht="16.5" thickBot="1" x14ac:dyDescent="0.3">
      <c r="A8" s="109" t="s">
        <v>1343</v>
      </c>
      <c r="B8" s="118" t="s">
        <v>1338</v>
      </c>
      <c r="C8" s="110">
        <v>5168</v>
      </c>
      <c r="D8" s="119">
        <v>62010</v>
      </c>
      <c r="E8" s="121">
        <f t="shared" si="0"/>
        <v>2.2175938409469173E-2</v>
      </c>
    </row>
    <row r="9" spans="1:5" ht="16.5" thickBot="1" x14ac:dyDescent="0.3">
      <c r="A9" s="109" t="s">
        <v>1344</v>
      </c>
      <c r="B9" s="118" t="s">
        <v>1338</v>
      </c>
      <c r="C9" s="110">
        <v>1694</v>
      </c>
      <c r="D9" s="119">
        <v>20330</v>
      </c>
      <c r="E9" s="121">
        <f t="shared" si="0"/>
        <v>7.2703890963474963E-3</v>
      </c>
    </row>
    <row r="10" spans="1:5" ht="16.5" thickBot="1" x14ac:dyDescent="0.3">
      <c r="A10" s="109" t="s">
        <v>1345</v>
      </c>
      <c r="B10" s="118" t="s">
        <v>1338</v>
      </c>
      <c r="C10" s="110">
        <v>2888</v>
      </c>
      <c r="D10" s="119">
        <v>34661</v>
      </c>
      <c r="E10" s="121">
        <f t="shared" si="0"/>
        <v>1.2395423338342379E-2</v>
      </c>
    </row>
    <row r="11" spans="1:5" ht="16.5" thickBot="1" x14ac:dyDescent="0.3">
      <c r="A11" s="109" t="s">
        <v>1346</v>
      </c>
      <c r="B11" s="118" t="s">
        <v>1338</v>
      </c>
      <c r="C11" s="110">
        <v>15751</v>
      </c>
      <c r="D11" s="119">
        <v>189007</v>
      </c>
      <c r="E11" s="121">
        <f t="shared" si="0"/>
        <v>6.7592446233809708E-2</v>
      </c>
    </row>
    <row r="12" spans="1:5" ht="16.5" thickBot="1" x14ac:dyDescent="0.3">
      <c r="A12" s="109" t="s">
        <v>1347</v>
      </c>
      <c r="B12" s="118" t="s">
        <v>1338</v>
      </c>
      <c r="C12" s="110">
        <v>10568</v>
      </c>
      <c r="D12" s="119">
        <v>126811</v>
      </c>
      <c r="E12" s="121">
        <f t="shared" si="0"/>
        <v>4.5349990737674491E-2</v>
      </c>
    </row>
    <row r="13" spans="1:5" ht="16.5" thickBot="1" x14ac:dyDescent="0.3">
      <c r="A13" s="109" t="s">
        <v>1348</v>
      </c>
      <c r="B13" s="118" t="s">
        <v>39</v>
      </c>
      <c r="C13" s="110">
        <v>13225</v>
      </c>
      <c r="D13" s="119">
        <v>158694</v>
      </c>
      <c r="E13" s="121">
        <f t="shared" si="0"/>
        <v>5.6751949200972436E-2</v>
      </c>
    </row>
    <row r="14" spans="1:5" ht="16.5" thickBot="1" x14ac:dyDescent="0.3">
      <c r="A14" s="109" t="s">
        <v>1349</v>
      </c>
      <c r="B14" s="118" t="s">
        <v>39</v>
      </c>
      <c r="C14" s="110">
        <v>18435</v>
      </c>
      <c r="D14" s="119">
        <v>221215</v>
      </c>
      <c r="E14" s="121">
        <f t="shared" si="0"/>
        <v>7.9110630789400463E-2</v>
      </c>
    </row>
    <row r="15" spans="1:5" ht="16.5" thickBot="1" x14ac:dyDescent="0.3">
      <c r="A15" s="111" t="s">
        <v>65</v>
      </c>
      <c r="B15" s="120"/>
      <c r="C15" s="112">
        <f>SUM(C3:C14)</f>
        <v>233025</v>
      </c>
      <c r="D15" s="112">
        <f>SUM(D3:D14)</f>
        <v>2796274</v>
      </c>
      <c r="E15" s="121">
        <f t="shared" si="0"/>
        <v>1</v>
      </c>
    </row>
    <row r="17" spans="1:5" ht="15.75" thickBot="1" x14ac:dyDescent="0.3">
      <c r="A17" s="1" t="s">
        <v>1332</v>
      </c>
    </row>
    <row r="18" spans="1:5" ht="95.25" thickBot="1" x14ac:dyDescent="0.3">
      <c r="A18" s="116" t="s">
        <v>1333</v>
      </c>
      <c r="B18" s="117" t="s">
        <v>1334</v>
      </c>
      <c r="C18" s="117" t="s">
        <v>1350</v>
      </c>
      <c r="D18" s="117" t="s">
        <v>1336</v>
      </c>
    </row>
    <row r="19" spans="1:5" ht="16.5" thickBot="1" x14ac:dyDescent="0.3">
      <c r="A19" s="109" t="s">
        <v>1337</v>
      </c>
      <c r="B19" s="118" t="s">
        <v>1338</v>
      </c>
      <c r="C19" s="110">
        <v>63651</v>
      </c>
      <c r="D19" s="119">
        <v>763815</v>
      </c>
      <c r="E19" s="11">
        <f>D19/$D$32</f>
        <v>0.50680201469418307</v>
      </c>
    </row>
    <row r="20" spans="1:5" ht="16.5" thickBot="1" x14ac:dyDescent="0.3">
      <c r="A20" s="109" t="s">
        <v>1339</v>
      </c>
      <c r="B20" s="118" t="s">
        <v>40</v>
      </c>
      <c r="C20" s="110">
        <v>4805</v>
      </c>
      <c r="D20" s="119">
        <v>57661</v>
      </c>
      <c r="E20" s="11">
        <f t="shared" ref="E20:E32" si="1">D20/$D$32</f>
        <v>3.8258885946572521E-2</v>
      </c>
    </row>
    <row r="21" spans="1:5" ht="16.5" thickBot="1" x14ac:dyDescent="0.3">
      <c r="A21" s="109" t="s">
        <v>1340</v>
      </c>
      <c r="B21" s="118" t="s">
        <v>40</v>
      </c>
      <c r="C21" s="110">
        <v>5329</v>
      </c>
      <c r="D21" s="119">
        <v>63952</v>
      </c>
      <c r="E21" s="11">
        <f t="shared" si="1"/>
        <v>4.2433053087098833E-2</v>
      </c>
    </row>
    <row r="22" spans="1:5" ht="16.5" thickBot="1" x14ac:dyDescent="0.3">
      <c r="A22" s="109" t="s">
        <v>1341</v>
      </c>
      <c r="B22" s="118" t="s">
        <v>1338</v>
      </c>
      <c r="C22" s="110">
        <v>9276</v>
      </c>
      <c r="D22" s="119">
        <v>111315</v>
      </c>
      <c r="E22" s="11">
        <f t="shared" si="1"/>
        <v>7.385907093430083E-2</v>
      </c>
    </row>
    <row r="23" spans="1:5" ht="16.5" thickBot="1" x14ac:dyDescent="0.3">
      <c r="A23" s="109" t="s">
        <v>1342</v>
      </c>
      <c r="B23" s="118" t="s">
        <v>40</v>
      </c>
      <c r="C23" s="110">
        <v>3692</v>
      </c>
      <c r="D23" s="119">
        <v>44305</v>
      </c>
      <c r="E23" s="11">
        <f t="shared" si="1"/>
        <v>2.9396991759818514E-2</v>
      </c>
    </row>
    <row r="24" spans="1:5" ht="16.5" thickBot="1" x14ac:dyDescent="0.3">
      <c r="A24" s="109" t="s">
        <v>1343</v>
      </c>
      <c r="B24" s="118" t="s">
        <v>1338</v>
      </c>
      <c r="C24" s="110">
        <v>2290</v>
      </c>
      <c r="D24" s="119">
        <v>27483</v>
      </c>
      <c r="E24" s="11">
        <f t="shared" si="1"/>
        <v>1.8235357736939222E-2</v>
      </c>
    </row>
    <row r="25" spans="1:5" ht="16.5" thickBot="1" x14ac:dyDescent="0.3">
      <c r="A25" s="109" t="s">
        <v>1344</v>
      </c>
      <c r="B25" s="118" t="s">
        <v>1338</v>
      </c>
      <c r="C25" s="118">
        <v>826</v>
      </c>
      <c r="D25" s="119">
        <v>9918</v>
      </c>
      <c r="E25" s="11">
        <f t="shared" si="1"/>
        <v>6.5807327451502095E-3</v>
      </c>
    </row>
    <row r="26" spans="1:5" ht="16.5" thickBot="1" x14ac:dyDescent="0.3">
      <c r="A26" s="109" t="s">
        <v>1345</v>
      </c>
      <c r="B26" s="118" t="s">
        <v>1338</v>
      </c>
      <c r="C26" s="110">
        <v>2400</v>
      </c>
      <c r="D26" s="119">
        <v>28806</v>
      </c>
      <c r="E26" s="11">
        <f t="shared" si="1"/>
        <v>1.911318687807995E-2</v>
      </c>
    </row>
    <row r="27" spans="1:5" ht="16.5" thickBot="1" x14ac:dyDescent="0.3">
      <c r="A27" s="109" t="s">
        <v>1346</v>
      </c>
      <c r="B27" s="118" t="s">
        <v>1338</v>
      </c>
      <c r="C27" s="110">
        <v>15074</v>
      </c>
      <c r="D27" s="119">
        <v>180894</v>
      </c>
      <c r="E27" s="11">
        <f t="shared" si="1"/>
        <v>0.12002571780613047</v>
      </c>
    </row>
    <row r="28" spans="1:5" ht="16.5" thickBot="1" x14ac:dyDescent="0.3">
      <c r="A28" s="109" t="s">
        <v>1351</v>
      </c>
      <c r="B28" s="118" t="s">
        <v>1338</v>
      </c>
      <c r="C28" s="110">
        <v>9675</v>
      </c>
      <c r="D28" s="119">
        <v>116097</v>
      </c>
      <c r="E28" s="11">
        <f t="shared" si="1"/>
        <v>7.7031995312936474E-2</v>
      </c>
    </row>
    <row r="29" spans="1:5" ht="16.5" thickBot="1" x14ac:dyDescent="0.3">
      <c r="A29" s="109" t="s">
        <v>1347</v>
      </c>
      <c r="B29" s="118" t="s">
        <v>1338</v>
      </c>
      <c r="C29" s="110">
        <v>7265</v>
      </c>
      <c r="D29" s="119">
        <v>87182</v>
      </c>
      <c r="E29" s="11">
        <f t="shared" si="1"/>
        <v>5.7846485399040692E-2</v>
      </c>
    </row>
    <row r="30" spans="1:5" ht="16.5" thickBot="1" x14ac:dyDescent="0.3">
      <c r="A30" s="109" t="s">
        <v>1348</v>
      </c>
      <c r="B30" s="118" t="s">
        <v>39</v>
      </c>
      <c r="C30" s="110">
        <v>1014</v>
      </c>
      <c r="D30" s="119">
        <v>12169</v>
      </c>
      <c r="E30" s="11">
        <f t="shared" si="1"/>
        <v>8.0743029618605463E-3</v>
      </c>
    </row>
    <row r="31" spans="1:5" ht="16.5" thickBot="1" x14ac:dyDescent="0.3">
      <c r="A31" s="109" t="s">
        <v>1349</v>
      </c>
      <c r="B31" s="118" t="s">
        <v>39</v>
      </c>
      <c r="C31" s="118">
        <v>294</v>
      </c>
      <c r="D31" s="119">
        <v>3530</v>
      </c>
      <c r="E31" s="11">
        <f t="shared" si="1"/>
        <v>2.3422047378887116E-3</v>
      </c>
    </row>
    <row r="32" spans="1:5" ht="16.5" thickBot="1" x14ac:dyDescent="0.3">
      <c r="A32" s="111" t="s">
        <v>65</v>
      </c>
      <c r="B32" s="120"/>
      <c r="C32" s="112">
        <f>SUM(C19:C31)</f>
        <v>125591</v>
      </c>
      <c r="D32" s="112">
        <f>SUM(D19:D31)</f>
        <v>1507127</v>
      </c>
      <c r="E32" s="11">
        <f t="shared" si="1"/>
        <v>1</v>
      </c>
    </row>
    <row r="34" spans="3:4" x14ac:dyDescent="0.25">
      <c r="C34" s="131">
        <f>C15-C32</f>
        <v>107434</v>
      </c>
      <c r="D34" s="131">
        <f>D15-D32</f>
        <v>1289147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E18" sqref="E18"/>
    </sheetView>
  </sheetViews>
  <sheetFormatPr defaultRowHeight="15" x14ac:dyDescent="0.25"/>
  <cols>
    <col min="1" max="1" width="29.7109375" style="32" bestFit="1" customWidth="1"/>
    <col min="2" max="2" width="12.85546875" style="32" bestFit="1" customWidth="1"/>
    <col min="3" max="3" width="17.42578125" style="33" bestFit="1" customWidth="1"/>
    <col min="4" max="16384" width="9.140625" style="32"/>
  </cols>
  <sheetData>
    <row r="1" spans="1:3" x14ac:dyDescent="0.25">
      <c r="A1" s="36" t="s">
        <v>71</v>
      </c>
      <c r="B1" s="36" t="s">
        <v>70</v>
      </c>
      <c r="C1" s="199" t="s">
        <v>69</v>
      </c>
    </row>
    <row r="2" spans="1:3" x14ac:dyDescent="0.25">
      <c r="A2" s="37" t="s">
        <v>68</v>
      </c>
      <c r="B2" s="39">
        <v>2706395</v>
      </c>
      <c r="C2" s="39">
        <v>6913</v>
      </c>
    </row>
    <row r="3" spans="1:3" x14ac:dyDescent="0.25">
      <c r="A3" s="37" t="s">
        <v>67</v>
      </c>
      <c r="B3" s="39">
        <v>2243231</v>
      </c>
      <c r="C3" s="39">
        <v>5469</v>
      </c>
    </row>
    <row r="4" spans="1:3" x14ac:dyDescent="0.25">
      <c r="A4" s="37" t="s">
        <v>66</v>
      </c>
      <c r="B4" s="39">
        <v>3366587</v>
      </c>
      <c r="C4" s="39">
        <v>7722</v>
      </c>
    </row>
    <row r="5" spans="1:3" x14ac:dyDescent="0.25">
      <c r="A5" s="37"/>
      <c r="B5" s="37"/>
      <c r="C5" s="34"/>
    </row>
    <row r="6" spans="1:3" x14ac:dyDescent="0.25">
      <c r="A6" s="37"/>
      <c r="B6" s="37"/>
      <c r="C6" s="34"/>
    </row>
    <row r="7" spans="1:3" x14ac:dyDescent="0.25">
      <c r="A7" s="37" t="s">
        <v>65</v>
      </c>
      <c r="B7" s="38">
        <f>SUM(B2:B6)</f>
        <v>8316213</v>
      </c>
      <c r="C7" s="34">
        <f>SUM(C2:C6)</f>
        <v>20104</v>
      </c>
    </row>
    <row r="8" spans="1:3" x14ac:dyDescent="0.25">
      <c r="A8" s="37"/>
      <c r="B8" s="37"/>
      <c r="C8" s="34"/>
    </row>
    <row r="9" spans="1:3" x14ac:dyDescent="0.25">
      <c r="A9" s="36" t="s">
        <v>31</v>
      </c>
      <c r="B9" s="35">
        <f>B7/C7</f>
        <v>413.65961997612413</v>
      </c>
      <c r="C9" s="34"/>
    </row>
    <row r="11" spans="1:3" x14ac:dyDescent="0.25">
      <c r="A11" s="36" t="s">
        <v>1473</v>
      </c>
      <c r="B11" s="36"/>
      <c r="C11" s="199">
        <f>AVERAGE(C2:C4)</f>
        <v>6701.333333333333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D12" sqref="D12"/>
    </sheetView>
  </sheetViews>
  <sheetFormatPr defaultRowHeight="15" x14ac:dyDescent="0.25"/>
  <cols>
    <col min="1" max="1" width="34.42578125" bestFit="1" customWidth="1"/>
    <col min="2" max="2" width="9.85546875" bestFit="1" customWidth="1"/>
    <col min="4" max="4" width="10.5703125" bestFit="1" customWidth="1"/>
    <col min="5" max="5" width="11.5703125" bestFit="1" customWidth="1"/>
    <col min="7" max="7" width="21.7109375" bestFit="1" customWidth="1"/>
    <col min="8" max="8" width="17.5703125" style="8" customWidth="1"/>
    <col min="9" max="9" width="11.42578125" customWidth="1"/>
  </cols>
  <sheetData>
    <row r="1" spans="1:9" ht="38.25" x14ac:dyDescent="0.25">
      <c r="A1" s="200" t="s">
        <v>1318</v>
      </c>
      <c r="B1" s="201" t="s">
        <v>1444</v>
      </c>
      <c r="C1" s="201" t="s">
        <v>1445</v>
      </c>
      <c r="D1" s="200" t="s">
        <v>1446</v>
      </c>
      <c r="E1" s="201" t="s">
        <v>1447</v>
      </c>
      <c r="G1" s="202" t="s">
        <v>1333</v>
      </c>
      <c r="H1" s="203" t="s">
        <v>1448</v>
      </c>
      <c r="I1" s="187" t="s">
        <v>1451</v>
      </c>
    </row>
    <row r="2" spans="1:9" x14ac:dyDescent="0.25">
      <c r="A2" s="204" t="s">
        <v>1449</v>
      </c>
      <c r="B2" s="205">
        <v>90000</v>
      </c>
      <c r="C2" s="205">
        <f>B2*0.15</f>
        <v>13500</v>
      </c>
      <c r="D2" s="206">
        <f>B2+C2</f>
        <v>103500</v>
      </c>
      <c r="E2" s="207">
        <f>D2*12</f>
        <v>1242000</v>
      </c>
      <c r="G2" s="187" t="s">
        <v>1337</v>
      </c>
      <c r="H2" s="208">
        <v>20000</v>
      </c>
      <c r="I2" s="214">
        <f>H2*12</f>
        <v>240000</v>
      </c>
    </row>
    <row r="3" spans="1:9" x14ac:dyDescent="0.25">
      <c r="A3" s="204" t="s">
        <v>1450</v>
      </c>
      <c r="B3" s="205">
        <v>20330</v>
      </c>
      <c r="C3" s="205">
        <f>B3*0.15</f>
        <v>3049.5</v>
      </c>
      <c r="D3" s="206">
        <f>B3+C3</f>
        <v>23379.5</v>
      </c>
      <c r="E3" s="207">
        <f>D3*12</f>
        <v>280554</v>
      </c>
      <c r="G3" s="187" t="s">
        <v>1339</v>
      </c>
      <c r="H3" s="208">
        <v>37230</v>
      </c>
      <c r="I3" s="214">
        <f t="shared" ref="I3:I8" si="0">H3*12</f>
        <v>446760</v>
      </c>
    </row>
    <row r="4" spans="1:9" x14ac:dyDescent="0.25">
      <c r="A4" s="204" t="s">
        <v>1450</v>
      </c>
      <c r="B4" s="205">
        <v>20330</v>
      </c>
      <c r="C4" s="205">
        <f>B4*0.15</f>
        <v>3049.5</v>
      </c>
      <c r="D4" s="206">
        <f>B4+C4</f>
        <v>23379.5</v>
      </c>
      <c r="E4" s="207">
        <f t="shared" ref="E4:E6" si="1">D4*12</f>
        <v>280554</v>
      </c>
      <c r="G4" s="187" t="s">
        <v>1341</v>
      </c>
      <c r="H4" s="208">
        <v>18000</v>
      </c>
      <c r="I4" s="214">
        <f t="shared" si="0"/>
        <v>216000</v>
      </c>
    </row>
    <row r="5" spans="1:9" x14ac:dyDescent="0.25">
      <c r="A5" s="204" t="s">
        <v>1450</v>
      </c>
      <c r="B5" s="205">
        <v>20330</v>
      </c>
      <c r="C5" s="205">
        <f>B5*0.15</f>
        <v>3049.5</v>
      </c>
      <c r="D5" s="206">
        <f>B5+C5</f>
        <v>23379.5</v>
      </c>
      <c r="E5" s="207">
        <f t="shared" si="1"/>
        <v>280554</v>
      </c>
      <c r="G5" s="187" t="s">
        <v>1345</v>
      </c>
      <c r="H5" s="208">
        <v>3670</v>
      </c>
      <c r="I5" s="214">
        <f t="shared" si="0"/>
        <v>44040</v>
      </c>
    </row>
    <row r="6" spans="1:9" x14ac:dyDescent="0.25">
      <c r="A6" s="204" t="s">
        <v>1450</v>
      </c>
      <c r="B6" s="205">
        <v>20330</v>
      </c>
      <c r="C6" s="205">
        <f>B6*0.15</f>
        <v>3049.5</v>
      </c>
      <c r="D6" s="206">
        <f>B6+C6</f>
        <v>23379.5</v>
      </c>
      <c r="E6" s="207">
        <f t="shared" si="1"/>
        <v>280554</v>
      </c>
      <c r="G6" s="187" t="s">
        <v>1348</v>
      </c>
      <c r="H6" s="208">
        <v>5000</v>
      </c>
      <c r="I6" s="214">
        <f t="shared" si="0"/>
        <v>60000</v>
      </c>
    </row>
    <row r="7" spans="1:9" x14ac:dyDescent="0.25">
      <c r="A7" s="209" t="s">
        <v>65</v>
      </c>
      <c r="B7" s="210">
        <f>SUM(B2:B6)</f>
        <v>171320</v>
      </c>
      <c r="C7" s="210">
        <f>SUM(C2:C6)</f>
        <v>25698</v>
      </c>
      <c r="D7" s="210">
        <f>SUM(D2:D6)</f>
        <v>197018</v>
      </c>
      <c r="E7" s="211">
        <f>SUM(E2:E6)</f>
        <v>2364216</v>
      </c>
      <c r="G7" s="187" t="s">
        <v>1349</v>
      </c>
      <c r="H7" s="208">
        <v>70000</v>
      </c>
      <c r="I7" s="214">
        <f t="shared" si="0"/>
        <v>840000</v>
      </c>
    </row>
    <row r="8" spans="1:9" ht="15.75" thickBot="1" x14ac:dyDescent="0.3">
      <c r="G8" s="212" t="s">
        <v>65</v>
      </c>
      <c r="H8" s="213">
        <f>SUM(H2:H7)</f>
        <v>153900</v>
      </c>
      <c r="I8" s="215">
        <f t="shared" si="0"/>
        <v>1846800</v>
      </c>
    </row>
    <row r="9" spans="1:9" x14ac:dyDescent="0.25">
      <c r="A9" s="216"/>
      <c r="B9" s="217"/>
      <c r="C9" s="217" t="s">
        <v>1452</v>
      </c>
      <c r="D9" s="218" t="s">
        <v>1451</v>
      </c>
    </row>
    <row r="10" spans="1:9" ht="15.75" thickBot="1" x14ac:dyDescent="0.3">
      <c r="A10" s="219" t="s">
        <v>1370</v>
      </c>
      <c r="B10" s="220"/>
      <c r="C10" s="221">
        <f>H8+D7</f>
        <v>350918</v>
      </c>
      <c r="D10" s="222">
        <f>I8+E7</f>
        <v>4211016</v>
      </c>
    </row>
    <row r="11" spans="1:9" x14ac:dyDescent="0.25">
      <c r="D11" s="237">
        <f>D10/135</f>
        <v>31192.711111111112</v>
      </c>
    </row>
  </sheetData>
  <conditionalFormatting sqref="D2:D3">
    <cfRule type="expression" dxfId="24" priority="8">
      <formula>ISERROR(D2)</formula>
    </cfRule>
  </conditionalFormatting>
  <conditionalFormatting sqref="B2:C3 B4:B6">
    <cfRule type="containsErrors" dxfId="23" priority="7">
      <formula>ISERROR(B2)</formula>
    </cfRule>
  </conditionalFormatting>
  <conditionalFormatting sqref="D4">
    <cfRule type="expression" dxfId="22" priority="6">
      <formula>ISERROR(D4)</formula>
    </cfRule>
  </conditionalFormatting>
  <conditionalFormatting sqref="C4">
    <cfRule type="containsErrors" dxfId="21" priority="5">
      <formula>ISERROR(C4)</formula>
    </cfRule>
  </conditionalFormatting>
  <conditionalFormatting sqref="D5">
    <cfRule type="expression" dxfId="20" priority="4">
      <formula>ISERROR(D5)</formula>
    </cfRule>
  </conditionalFormatting>
  <conditionalFormatting sqref="C5">
    <cfRule type="containsErrors" dxfId="19" priority="3">
      <formula>ISERROR(C5)</formula>
    </cfRule>
  </conditionalFormatting>
  <conditionalFormatting sqref="D6">
    <cfRule type="expression" dxfId="18" priority="2">
      <formula>ISERROR(D6)</formula>
    </cfRule>
  </conditionalFormatting>
  <conditionalFormatting sqref="C6">
    <cfRule type="containsErrors" dxfId="17" priority="1">
      <formula>ISERROR(C6)</formula>
    </cfRule>
  </conditionalFormatting>
  <dataValidations count="2">
    <dataValidation operator="greaterThan" showInputMessage="1" sqref="B1:C6"/>
    <dataValidation type="decimal" operator="greaterThan" allowBlank="1" showInputMessage="1" showErrorMessage="1" sqref="D2:D6">
      <formula1>-1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opLeftCell="C1" workbookViewId="0">
      <selection activeCell="N8" sqref="N8:N10"/>
    </sheetView>
  </sheetViews>
  <sheetFormatPr defaultRowHeight="12.75" x14ac:dyDescent="0.2"/>
  <cols>
    <col min="1" max="1" width="9.140625" style="53"/>
    <col min="2" max="4" width="12.85546875" style="53" bestFit="1" customWidth="1"/>
    <col min="5" max="5" width="16.85546875" style="53" customWidth="1"/>
    <col min="6" max="7" width="11.28515625" style="53" bestFit="1" customWidth="1"/>
    <col min="8" max="8" width="9.140625" style="53"/>
    <col min="9" max="9" width="11.140625" style="53" bestFit="1" customWidth="1"/>
    <col min="10" max="10" width="11.28515625" style="53" bestFit="1" customWidth="1"/>
    <col min="11" max="13" width="9.140625" style="53"/>
    <col min="14" max="16" width="10.28515625" style="53" bestFit="1" customWidth="1"/>
    <col min="17" max="17" width="16.42578125" style="53" bestFit="1" customWidth="1"/>
    <col min="18" max="18" width="15.5703125" style="53" customWidth="1"/>
    <col min="19" max="16384" width="9.140625" style="53"/>
  </cols>
  <sheetData>
    <row r="1" spans="1:18" x14ac:dyDescent="0.2">
      <c r="A1" s="274" t="s">
        <v>467</v>
      </c>
      <c r="B1" s="275"/>
      <c r="C1" s="275"/>
      <c r="D1" s="275"/>
      <c r="E1" s="275"/>
      <c r="F1" s="276"/>
    </row>
    <row r="2" spans="1:18" x14ac:dyDescent="0.2">
      <c r="A2" s="54"/>
      <c r="B2" s="55" t="s">
        <v>468</v>
      </c>
      <c r="C2" s="55" t="s">
        <v>469</v>
      </c>
      <c r="D2" s="55" t="s">
        <v>470</v>
      </c>
      <c r="E2" s="55" t="s">
        <v>471</v>
      </c>
      <c r="F2" s="56" t="s">
        <v>472</v>
      </c>
    </row>
    <row r="3" spans="1:18" ht="15" x14ac:dyDescent="0.25">
      <c r="A3" s="57" t="s">
        <v>473</v>
      </c>
      <c r="B3" s="58">
        <v>40</v>
      </c>
      <c r="C3" s="58">
        <v>1500</v>
      </c>
      <c r="D3" s="59">
        <f>B3*C3</f>
        <v>60000</v>
      </c>
      <c r="E3" s="60">
        <f>D3*24</f>
        <v>1440000</v>
      </c>
      <c r="F3" s="61">
        <f>E3*12</f>
        <v>17280000</v>
      </c>
    </row>
    <row r="4" spans="1:18" ht="15.75" thickBot="1" x14ac:dyDescent="0.3">
      <c r="A4" s="57" t="s">
        <v>474</v>
      </c>
      <c r="B4" s="58">
        <v>45</v>
      </c>
      <c r="C4" s="58">
        <v>1750</v>
      </c>
      <c r="D4" s="59">
        <f>B4*C4</f>
        <v>78750</v>
      </c>
      <c r="E4" s="60">
        <f t="shared" ref="E4:E5" si="0">D4*24</f>
        <v>1890000</v>
      </c>
      <c r="F4" s="61">
        <f t="shared" ref="F4:F5" si="1">E4*12</f>
        <v>22680000</v>
      </c>
    </row>
    <row r="5" spans="1:18" ht="15.75" thickBot="1" x14ac:dyDescent="0.3">
      <c r="A5" s="62" t="s">
        <v>475</v>
      </c>
      <c r="B5" s="63">
        <v>50</v>
      </c>
      <c r="C5" s="63">
        <v>2000</v>
      </c>
      <c r="D5" s="64">
        <f>B5*C5</f>
        <v>100000</v>
      </c>
      <c r="E5" s="65">
        <f t="shared" si="0"/>
        <v>2400000</v>
      </c>
      <c r="F5" s="66">
        <f t="shared" si="1"/>
        <v>28800000</v>
      </c>
      <c r="M5" s="277" t="s">
        <v>476</v>
      </c>
      <c r="N5" s="278"/>
      <c r="O5" s="278"/>
      <c r="P5" s="278"/>
      <c r="Q5" s="278"/>
      <c r="R5" s="279"/>
    </row>
    <row r="6" spans="1:18" ht="13.5" thickBot="1" x14ac:dyDescent="0.25">
      <c r="M6" s="67"/>
      <c r="N6" s="68"/>
      <c r="O6" s="68"/>
      <c r="P6" s="68"/>
      <c r="Q6" s="68"/>
      <c r="R6" s="69"/>
    </row>
    <row r="7" spans="1:18" x14ac:dyDescent="0.2">
      <c r="A7" s="274" t="s">
        <v>477</v>
      </c>
      <c r="B7" s="275"/>
      <c r="C7" s="275"/>
      <c r="D7" s="275"/>
      <c r="E7" s="275"/>
      <c r="F7" s="275"/>
      <c r="G7" s="275"/>
      <c r="H7" s="275"/>
      <c r="I7" s="275"/>
      <c r="J7" s="276"/>
      <c r="M7" s="70"/>
      <c r="N7" s="71" t="s">
        <v>478</v>
      </c>
      <c r="O7" s="71" t="s">
        <v>479</v>
      </c>
      <c r="P7" s="71" t="s">
        <v>480</v>
      </c>
      <c r="Q7" s="71" t="s">
        <v>481</v>
      </c>
      <c r="R7" s="72" t="s">
        <v>482</v>
      </c>
    </row>
    <row r="8" spans="1:18" ht="15" x14ac:dyDescent="0.25">
      <c r="A8" s="54"/>
      <c r="B8" s="55" t="s">
        <v>483</v>
      </c>
      <c r="C8" s="55" t="s">
        <v>484</v>
      </c>
      <c r="D8" s="55" t="s">
        <v>469</v>
      </c>
      <c r="E8" s="55" t="s">
        <v>470</v>
      </c>
      <c r="F8" s="55" t="s">
        <v>471</v>
      </c>
      <c r="G8" s="55" t="s">
        <v>472</v>
      </c>
      <c r="H8" s="73" t="s">
        <v>485</v>
      </c>
      <c r="I8" s="55" t="s">
        <v>471</v>
      </c>
      <c r="J8" s="56" t="s">
        <v>472</v>
      </c>
      <c r="M8" s="74" t="s">
        <v>473</v>
      </c>
      <c r="N8" s="75">
        <f>E3</f>
        <v>1440000</v>
      </c>
      <c r="O8" s="75">
        <f>I9</f>
        <v>360000</v>
      </c>
      <c r="P8" s="75">
        <f>F17</f>
        <v>60000</v>
      </c>
      <c r="Q8" s="76">
        <f>AVERAGE(N8:P8)</f>
        <v>620000</v>
      </c>
      <c r="R8" s="77">
        <f>Q8*12</f>
        <v>7440000</v>
      </c>
    </row>
    <row r="9" spans="1:18" ht="15" x14ac:dyDescent="0.25">
      <c r="A9" s="57" t="s">
        <v>473</v>
      </c>
      <c r="B9" s="58">
        <v>30</v>
      </c>
      <c r="C9" s="78">
        <v>0.1</v>
      </c>
      <c r="D9" s="59">
        <v>1000</v>
      </c>
      <c r="E9" s="59">
        <f>B9*C9*D9</f>
        <v>3000</v>
      </c>
      <c r="F9" s="60">
        <f>E9*24</f>
        <v>72000</v>
      </c>
      <c r="G9" s="60">
        <f>F9*12</f>
        <v>864000</v>
      </c>
      <c r="H9" s="79">
        <v>5</v>
      </c>
      <c r="I9" s="59">
        <f>H9*F9</f>
        <v>360000</v>
      </c>
      <c r="J9" s="80">
        <f>H9*G9</f>
        <v>4320000</v>
      </c>
      <c r="M9" s="74" t="s">
        <v>474</v>
      </c>
      <c r="N9" s="75">
        <f>E4</f>
        <v>1890000</v>
      </c>
      <c r="O9" s="75">
        <f>I10</f>
        <v>1575000</v>
      </c>
      <c r="P9" s="75">
        <f>F18</f>
        <v>360000</v>
      </c>
      <c r="Q9" s="76">
        <f t="shared" ref="Q9:Q10" si="2">AVERAGE(N9:P9)</f>
        <v>1275000</v>
      </c>
      <c r="R9" s="77">
        <f t="shared" ref="R9:R10" si="3">Q9*12</f>
        <v>15300000</v>
      </c>
    </row>
    <row r="10" spans="1:18" ht="15.75" thickBot="1" x14ac:dyDescent="0.3">
      <c r="A10" s="57" t="s">
        <v>474</v>
      </c>
      <c r="B10" s="58">
        <v>35</v>
      </c>
      <c r="C10" s="78">
        <v>0.15</v>
      </c>
      <c r="D10" s="59">
        <v>1250</v>
      </c>
      <c r="E10" s="59">
        <f t="shared" ref="E10:E11" si="4">B10*C10*D10</f>
        <v>6562.5</v>
      </c>
      <c r="F10" s="60">
        <f>E10*24</f>
        <v>157500</v>
      </c>
      <c r="G10" s="60">
        <f t="shared" ref="G10:G11" si="5">F10*12</f>
        <v>1890000</v>
      </c>
      <c r="H10" s="79">
        <v>10</v>
      </c>
      <c r="I10" s="59">
        <f t="shared" ref="I10:I11" si="6">H10*F10</f>
        <v>1575000</v>
      </c>
      <c r="J10" s="80">
        <f t="shared" ref="J10:J11" si="7">H10*G10</f>
        <v>18900000</v>
      </c>
      <c r="M10" s="81" t="s">
        <v>475</v>
      </c>
      <c r="N10" s="82">
        <f>E5</f>
        <v>2400000</v>
      </c>
      <c r="O10" s="82">
        <f>I11</f>
        <v>4320000</v>
      </c>
      <c r="P10" s="82">
        <f>F19</f>
        <v>1080000</v>
      </c>
      <c r="Q10" s="83">
        <f t="shared" si="2"/>
        <v>2600000</v>
      </c>
      <c r="R10" s="84">
        <f t="shared" si="3"/>
        <v>31200000</v>
      </c>
    </row>
    <row r="11" spans="1:18" ht="15.75" thickBot="1" x14ac:dyDescent="0.3">
      <c r="A11" s="62" t="s">
        <v>475</v>
      </c>
      <c r="B11" s="63">
        <v>40</v>
      </c>
      <c r="C11" s="85">
        <v>0.2</v>
      </c>
      <c r="D11" s="64">
        <v>1500</v>
      </c>
      <c r="E11" s="64">
        <f t="shared" si="4"/>
        <v>12000</v>
      </c>
      <c r="F11" s="65">
        <f>E11*24</f>
        <v>288000</v>
      </c>
      <c r="G11" s="65">
        <f t="shared" si="5"/>
        <v>3456000</v>
      </c>
      <c r="H11" s="86">
        <v>15</v>
      </c>
      <c r="I11" s="64">
        <f t="shared" si="6"/>
        <v>4320000</v>
      </c>
      <c r="J11" s="87">
        <f t="shared" si="7"/>
        <v>51840000</v>
      </c>
    </row>
    <row r="12" spans="1:18" x14ac:dyDescent="0.2">
      <c r="N12" s="88"/>
      <c r="O12" s="88"/>
      <c r="P12" s="88"/>
      <c r="R12" s="88"/>
    </row>
    <row r="13" spans="1:18" ht="13.5" thickBot="1" x14ac:dyDescent="0.25">
      <c r="N13" s="88"/>
      <c r="O13" s="88"/>
      <c r="P13" s="88"/>
      <c r="R13" s="88"/>
    </row>
    <row r="14" spans="1:18" x14ac:dyDescent="0.2">
      <c r="A14" s="274" t="s">
        <v>486</v>
      </c>
      <c r="B14" s="275"/>
      <c r="C14" s="275"/>
      <c r="D14" s="275"/>
      <c r="E14" s="275"/>
      <c r="F14" s="275"/>
      <c r="G14" s="276"/>
      <c r="N14" s="88"/>
      <c r="O14" s="88"/>
      <c r="P14" s="88"/>
      <c r="R14" s="88"/>
    </row>
    <row r="15" spans="1:18" x14ac:dyDescent="0.2">
      <c r="A15" s="54"/>
      <c r="B15" s="58"/>
      <c r="C15" s="58"/>
      <c r="D15" s="58"/>
      <c r="E15" s="58"/>
      <c r="F15" s="58"/>
      <c r="G15" s="89"/>
    </row>
    <row r="16" spans="1:18" x14ac:dyDescent="0.2">
      <c r="A16" s="54"/>
      <c r="B16" s="55" t="s">
        <v>483</v>
      </c>
      <c r="C16" s="55" t="s">
        <v>487</v>
      </c>
      <c r="D16" s="55" t="s">
        <v>469</v>
      </c>
      <c r="E16" s="55" t="s">
        <v>470</v>
      </c>
      <c r="F16" s="55" t="s">
        <v>471</v>
      </c>
      <c r="G16" s="56" t="s">
        <v>472</v>
      </c>
    </row>
    <row r="17" spans="1:7" ht="15" x14ac:dyDescent="0.25">
      <c r="A17" s="57" t="s">
        <v>473</v>
      </c>
      <c r="B17" s="90">
        <v>10</v>
      </c>
      <c r="C17" s="91">
        <v>0.5</v>
      </c>
      <c r="D17" s="59">
        <v>500</v>
      </c>
      <c r="E17" s="59">
        <f>B17*C17*D17</f>
        <v>2500</v>
      </c>
      <c r="F17" s="60">
        <f>E17*24</f>
        <v>60000</v>
      </c>
      <c r="G17" s="61">
        <f>F17*12</f>
        <v>720000</v>
      </c>
    </row>
    <row r="18" spans="1:7" ht="15" x14ac:dyDescent="0.25">
      <c r="A18" s="57" t="s">
        <v>474</v>
      </c>
      <c r="B18" s="90">
        <v>15</v>
      </c>
      <c r="C18" s="91">
        <v>1</v>
      </c>
      <c r="D18" s="59">
        <v>1000</v>
      </c>
      <c r="E18" s="59">
        <f t="shared" ref="E18:E19" si="8">B18*C18*D18</f>
        <v>15000</v>
      </c>
      <c r="F18" s="60">
        <f t="shared" ref="F18:F19" si="9">E18*24</f>
        <v>360000</v>
      </c>
      <c r="G18" s="61">
        <f t="shared" ref="G18:G19" si="10">F18*12</f>
        <v>4320000</v>
      </c>
    </row>
    <row r="19" spans="1:7" ht="15.75" thickBot="1" x14ac:dyDescent="0.3">
      <c r="A19" s="62" t="s">
        <v>475</v>
      </c>
      <c r="B19" s="92">
        <v>20</v>
      </c>
      <c r="C19" s="93">
        <v>1.5</v>
      </c>
      <c r="D19" s="64">
        <v>1500</v>
      </c>
      <c r="E19" s="64">
        <f t="shared" si="8"/>
        <v>45000</v>
      </c>
      <c r="F19" s="65">
        <f t="shared" si="9"/>
        <v>1080000</v>
      </c>
      <c r="G19" s="66">
        <f t="shared" si="10"/>
        <v>12960000</v>
      </c>
    </row>
    <row r="22" spans="1:7" x14ac:dyDescent="0.2">
      <c r="B22" s="94" t="s">
        <v>488</v>
      </c>
    </row>
  </sheetData>
  <mergeCells count="4">
    <mergeCell ref="A1:F1"/>
    <mergeCell ref="M5:R5"/>
    <mergeCell ref="A7:J7"/>
    <mergeCell ref="A14:G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opLeftCell="F1" zoomScale="70" zoomScaleNormal="70" workbookViewId="0">
      <selection activeCell="P24" sqref="P24"/>
    </sheetView>
  </sheetViews>
  <sheetFormatPr defaultRowHeight="12.75" x14ac:dyDescent="0.2"/>
  <cols>
    <col min="1" max="1" width="13.85546875" style="53" bestFit="1" customWidth="1"/>
    <col min="2" max="2" width="63.42578125" style="53" bestFit="1" customWidth="1"/>
    <col min="3" max="3" width="9.140625" style="53"/>
    <col min="4" max="4" width="14.5703125" style="53" bestFit="1" customWidth="1"/>
    <col min="5" max="5" width="69" style="53" bestFit="1" customWidth="1"/>
    <col min="6" max="11" width="9.140625" style="53"/>
    <col min="12" max="12" width="11.5703125" style="53" bestFit="1" customWidth="1"/>
    <col min="13" max="13" width="10.7109375" style="53" customWidth="1"/>
    <col min="14" max="14" width="11.5703125" style="53" bestFit="1" customWidth="1"/>
    <col min="15" max="16384" width="9.140625" style="53"/>
  </cols>
  <sheetData>
    <row r="1" spans="1:14" x14ac:dyDescent="0.2">
      <c r="A1" s="53" t="s">
        <v>489</v>
      </c>
      <c r="B1" s="53" t="s">
        <v>490</v>
      </c>
      <c r="D1" s="53" t="s">
        <v>489</v>
      </c>
      <c r="E1" s="53" t="s">
        <v>491</v>
      </c>
    </row>
    <row r="2" spans="1:14" x14ac:dyDescent="0.2">
      <c r="A2" s="95" t="s">
        <v>492</v>
      </c>
      <c r="B2" s="53">
        <v>9</v>
      </c>
      <c r="D2" s="95" t="s">
        <v>493</v>
      </c>
      <c r="E2" s="53">
        <v>25</v>
      </c>
      <c r="K2" s="96" t="s">
        <v>467</v>
      </c>
    </row>
    <row r="3" spans="1:14" x14ac:dyDescent="0.2">
      <c r="A3" s="95" t="s">
        <v>494</v>
      </c>
      <c r="B3" s="53">
        <v>9</v>
      </c>
      <c r="D3" s="97" t="s">
        <v>495</v>
      </c>
      <c r="E3" s="98">
        <v>13</v>
      </c>
      <c r="F3" s="94" t="s">
        <v>474</v>
      </c>
    </row>
    <row r="4" spans="1:14" x14ac:dyDescent="0.2">
      <c r="A4" s="95" t="s">
        <v>496</v>
      </c>
      <c r="B4" s="53">
        <v>11</v>
      </c>
      <c r="C4" s="96"/>
      <c r="D4" s="95" t="s">
        <v>497</v>
      </c>
      <c r="E4" s="53">
        <v>3</v>
      </c>
      <c r="I4" s="58"/>
      <c r="J4" s="55" t="s">
        <v>468</v>
      </c>
      <c r="K4" s="55" t="s">
        <v>469</v>
      </c>
      <c r="L4" s="55" t="s">
        <v>470</v>
      </c>
      <c r="M4" s="55" t="s">
        <v>471</v>
      </c>
      <c r="N4" s="55" t="s">
        <v>472</v>
      </c>
    </row>
    <row r="5" spans="1:14" ht="15" x14ac:dyDescent="0.25">
      <c r="A5" s="97" t="s">
        <v>498</v>
      </c>
      <c r="B5" s="98">
        <v>8</v>
      </c>
      <c r="C5" s="96" t="s">
        <v>474</v>
      </c>
      <c r="D5" s="95" t="s">
        <v>499</v>
      </c>
      <c r="E5" s="53">
        <v>5</v>
      </c>
      <c r="I5" s="55" t="s">
        <v>473</v>
      </c>
      <c r="J5" s="58">
        <v>40</v>
      </c>
      <c r="K5" s="58">
        <v>1500</v>
      </c>
      <c r="L5" s="59">
        <f>J5*K5</f>
        <v>60000</v>
      </c>
      <c r="M5" s="60">
        <f>L5*24</f>
        <v>1440000</v>
      </c>
      <c r="N5" s="60">
        <f>M5*12</f>
        <v>17280000</v>
      </c>
    </row>
    <row r="6" spans="1:14" ht="15" x14ac:dyDescent="0.25">
      <c r="A6" s="95" t="s">
        <v>500</v>
      </c>
      <c r="B6" s="53">
        <v>8</v>
      </c>
      <c r="D6" s="95" t="s">
        <v>501</v>
      </c>
      <c r="E6" s="53">
        <v>11</v>
      </c>
      <c r="I6" s="55" t="s">
        <v>474</v>
      </c>
      <c r="J6" s="58">
        <v>45</v>
      </c>
      <c r="K6" s="58">
        <v>1750</v>
      </c>
      <c r="L6" s="59">
        <f t="shared" ref="L6:L7" si="0">J6*K6</f>
        <v>78750</v>
      </c>
      <c r="M6" s="60">
        <f t="shared" ref="M6:M7" si="1">L6*24</f>
        <v>1890000</v>
      </c>
      <c r="N6" s="60">
        <f t="shared" ref="N6:N7" si="2">M6*12</f>
        <v>22680000</v>
      </c>
    </row>
    <row r="7" spans="1:14" ht="15" x14ac:dyDescent="0.25">
      <c r="A7" s="95" t="s">
        <v>502</v>
      </c>
      <c r="B7" s="53">
        <v>3</v>
      </c>
      <c r="D7" s="95" t="s">
        <v>503</v>
      </c>
      <c r="E7" s="53">
        <v>3</v>
      </c>
      <c r="I7" s="55" t="s">
        <v>475</v>
      </c>
      <c r="J7" s="58">
        <v>50</v>
      </c>
      <c r="K7" s="58">
        <v>2000</v>
      </c>
      <c r="L7" s="59">
        <f t="shared" si="0"/>
        <v>100000</v>
      </c>
      <c r="M7" s="60">
        <f t="shared" si="1"/>
        <v>2400000</v>
      </c>
      <c r="N7" s="60">
        <f t="shared" si="2"/>
        <v>28800000</v>
      </c>
    </row>
    <row r="8" spans="1:14" x14ac:dyDescent="0.2">
      <c r="A8" s="95" t="s">
        <v>504</v>
      </c>
      <c r="B8" s="53">
        <v>14</v>
      </c>
      <c r="D8" s="95" t="s">
        <v>505</v>
      </c>
      <c r="E8" s="53">
        <v>2</v>
      </c>
    </row>
    <row r="9" spans="1:14" x14ac:dyDescent="0.2">
      <c r="A9" s="95" t="s">
        <v>506</v>
      </c>
      <c r="D9" s="95" t="s">
        <v>506</v>
      </c>
    </row>
    <row r="10" spans="1:14" x14ac:dyDescent="0.2">
      <c r="A10" s="95" t="s">
        <v>507</v>
      </c>
      <c r="B10" s="53">
        <v>62</v>
      </c>
      <c r="D10" s="95" t="s">
        <v>507</v>
      </c>
      <c r="E10" s="53">
        <v>62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H1" zoomScale="85" zoomScaleNormal="85" workbookViewId="0">
      <selection activeCell="J17" sqref="J17"/>
    </sheetView>
  </sheetViews>
  <sheetFormatPr defaultRowHeight="12.75" x14ac:dyDescent="0.2"/>
  <cols>
    <col min="1" max="1" width="13.85546875" style="53" bestFit="1" customWidth="1"/>
    <col min="2" max="2" width="53.85546875" style="53" customWidth="1"/>
    <col min="3" max="4" width="9.140625" style="53"/>
    <col min="5" max="5" width="14.5703125" style="53" bestFit="1" customWidth="1"/>
    <col min="6" max="6" width="61.7109375" style="53" bestFit="1" customWidth="1"/>
    <col min="7" max="8" width="9.140625" style="53"/>
    <col min="9" max="9" width="14.5703125" style="53" bestFit="1" customWidth="1"/>
    <col min="10" max="10" width="81.140625" style="53" bestFit="1" customWidth="1"/>
    <col min="11" max="11" width="9.140625" style="53"/>
    <col min="12" max="12" width="13.140625" style="53" bestFit="1" customWidth="1"/>
    <col min="13" max="16" width="9.140625" style="53"/>
    <col min="17" max="17" width="11.42578125" style="53" bestFit="1" customWidth="1"/>
    <col min="18" max="18" width="11.5703125" style="53" bestFit="1" customWidth="1"/>
    <col min="19" max="19" width="9.85546875" style="53" customWidth="1"/>
    <col min="20" max="20" width="13.140625" style="53" bestFit="1" customWidth="1"/>
    <col min="21" max="21" width="12.7109375" style="53" customWidth="1"/>
    <col min="22" max="16384" width="9.140625" style="53"/>
  </cols>
  <sheetData>
    <row r="1" spans="1:21" x14ac:dyDescent="0.2">
      <c r="A1" s="53" t="s">
        <v>489</v>
      </c>
      <c r="B1" s="53" t="s">
        <v>508</v>
      </c>
      <c r="E1" s="53" t="s">
        <v>489</v>
      </c>
      <c r="F1" s="53" t="s">
        <v>509</v>
      </c>
      <c r="I1" s="53" t="s">
        <v>489</v>
      </c>
      <c r="J1" s="53" t="s">
        <v>510</v>
      </c>
    </row>
    <row r="2" spans="1:21" x14ac:dyDescent="0.2">
      <c r="A2" s="95" t="s">
        <v>492</v>
      </c>
      <c r="B2" s="53">
        <v>7</v>
      </c>
      <c r="E2" s="95" t="s">
        <v>511</v>
      </c>
      <c r="F2" s="53">
        <v>20</v>
      </c>
      <c r="I2" s="95" t="s">
        <v>512</v>
      </c>
      <c r="J2" s="53">
        <v>20</v>
      </c>
      <c r="N2" s="96" t="s">
        <v>477</v>
      </c>
    </row>
    <row r="3" spans="1:21" x14ac:dyDescent="0.2">
      <c r="A3" s="95" t="s">
        <v>494</v>
      </c>
      <c r="B3" s="53">
        <v>16</v>
      </c>
      <c r="E3" s="97" t="s">
        <v>513</v>
      </c>
      <c r="F3" s="98">
        <v>18</v>
      </c>
      <c r="G3" s="99" t="s">
        <v>474</v>
      </c>
      <c r="I3" s="97" t="s">
        <v>493</v>
      </c>
      <c r="J3" s="98">
        <v>13</v>
      </c>
      <c r="K3" s="94" t="s">
        <v>474</v>
      </c>
    </row>
    <row r="4" spans="1:21" x14ac:dyDescent="0.2">
      <c r="A4" s="97" t="s">
        <v>514</v>
      </c>
      <c r="B4" s="98">
        <v>13</v>
      </c>
      <c r="C4" s="96" t="s">
        <v>474</v>
      </c>
      <c r="E4" s="95" t="s">
        <v>515</v>
      </c>
      <c r="F4" s="53">
        <v>9</v>
      </c>
      <c r="I4" s="95" t="s">
        <v>495</v>
      </c>
      <c r="J4" s="53">
        <v>7</v>
      </c>
      <c r="L4" s="58"/>
      <c r="M4" s="55" t="s">
        <v>483</v>
      </c>
      <c r="N4" s="55" t="s">
        <v>484</v>
      </c>
      <c r="O4" s="55" t="s">
        <v>469</v>
      </c>
      <c r="P4" s="55" t="s">
        <v>470</v>
      </c>
      <c r="Q4" s="55" t="s">
        <v>471</v>
      </c>
      <c r="R4" s="55" t="s">
        <v>472</v>
      </c>
      <c r="S4" s="100" t="s">
        <v>485</v>
      </c>
      <c r="T4" s="100" t="s">
        <v>471</v>
      </c>
      <c r="U4" s="100" t="s">
        <v>472</v>
      </c>
    </row>
    <row r="5" spans="1:21" ht="15" x14ac:dyDescent="0.25">
      <c r="A5" s="95" t="s">
        <v>516</v>
      </c>
      <c r="B5" s="53">
        <v>13</v>
      </c>
      <c r="E5" s="95" t="s">
        <v>517</v>
      </c>
      <c r="F5" s="53">
        <v>7</v>
      </c>
      <c r="I5" s="95" t="s">
        <v>497</v>
      </c>
      <c r="J5" s="53">
        <v>3</v>
      </c>
      <c r="L5" s="55" t="s">
        <v>473</v>
      </c>
      <c r="M5" s="58">
        <v>30</v>
      </c>
      <c r="N5" s="78">
        <v>0.1</v>
      </c>
      <c r="O5" s="59">
        <v>1000</v>
      </c>
      <c r="P5" s="59">
        <f>M5*N5*O5</f>
        <v>3000</v>
      </c>
      <c r="Q5" s="60">
        <f>P5*24</f>
        <v>72000</v>
      </c>
      <c r="R5" s="60">
        <f>Q5*12</f>
        <v>864000</v>
      </c>
      <c r="S5" s="101">
        <v>5</v>
      </c>
      <c r="T5" s="101">
        <f>S5*Q5</f>
        <v>360000</v>
      </c>
      <c r="U5" s="101">
        <f>S5*R5</f>
        <v>4320000</v>
      </c>
    </row>
    <row r="6" spans="1:21" ht="15" x14ac:dyDescent="0.25">
      <c r="A6" s="95" t="s">
        <v>500</v>
      </c>
      <c r="B6" s="53">
        <v>4</v>
      </c>
      <c r="E6" s="95" t="s">
        <v>518</v>
      </c>
      <c r="F6" s="53">
        <v>4</v>
      </c>
      <c r="I6" s="95" t="s">
        <v>501</v>
      </c>
      <c r="J6" s="53">
        <v>18</v>
      </c>
      <c r="L6" s="55" t="s">
        <v>474</v>
      </c>
      <c r="M6" s="58">
        <v>35</v>
      </c>
      <c r="N6" s="78">
        <v>0.15</v>
      </c>
      <c r="O6" s="59">
        <v>1250</v>
      </c>
      <c r="P6" s="59">
        <f t="shared" ref="P6:P7" si="0">M6*N6*O6</f>
        <v>6562.5</v>
      </c>
      <c r="Q6" s="60">
        <f>P6*24</f>
        <v>157500</v>
      </c>
      <c r="R6" s="60">
        <f t="shared" ref="R6:R7" si="1">Q6*12</f>
        <v>1890000</v>
      </c>
      <c r="S6" s="101">
        <v>10</v>
      </c>
      <c r="T6" s="101">
        <f t="shared" ref="T6:T7" si="2">S6*Q6</f>
        <v>1575000</v>
      </c>
      <c r="U6" s="101">
        <f t="shared" ref="U6:U7" si="3">S6*R6</f>
        <v>18900000</v>
      </c>
    </row>
    <row r="7" spans="1:21" ht="15" x14ac:dyDescent="0.25">
      <c r="A7" s="95" t="s">
        <v>502</v>
      </c>
      <c r="B7" s="53">
        <v>5</v>
      </c>
      <c r="E7" s="95" t="s">
        <v>519</v>
      </c>
      <c r="F7" s="53">
        <v>3</v>
      </c>
      <c r="I7" s="95" t="s">
        <v>506</v>
      </c>
      <c r="L7" s="55" t="s">
        <v>475</v>
      </c>
      <c r="M7" s="58">
        <v>40</v>
      </c>
      <c r="N7" s="78">
        <v>0.2</v>
      </c>
      <c r="O7" s="59">
        <v>1500</v>
      </c>
      <c r="P7" s="59">
        <f t="shared" si="0"/>
        <v>12000</v>
      </c>
      <c r="Q7" s="60">
        <f>P7*24</f>
        <v>288000</v>
      </c>
      <c r="R7" s="60">
        <f t="shared" si="1"/>
        <v>3456000</v>
      </c>
      <c r="S7" s="101">
        <v>15</v>
      </c>
      <c r="T7" s="101">
        <f t="shared" si="2"/>
        <v>4320000</v>
      </c>
      <c r="U7" s="101">
        <f t="shared" si="3"/>
        <v>51840000</v>
      </c>
    </row>
    <row r="8" spans="1:21" x14ac:dyDescent="0.2">
      <c r="A8" s="95" t="s">
        <v>504</v>
      </c>
      <c r="B8" s="53">
        <v>3</v>
      </c>
      <c r="E8" s="95" t="s">
        <v>506</v>
      </c>
      <c r="I8" s="95" t="s">
        <v>507</v>
      </c>
      <c r="J8" s="53">
        <v>61</v>
      </c>
    </row>
    <row r="9" spans="1:21" x14ac:dyDescent="0.2">
      <c r="A9" s="95" t="s">
        <v>506</v>
      </c>
      <c r="E9" s="95" t="s">
        <v>507</v>
      </c>
      <c r="F9" s="53">
        <v>61</v>
      </c>
    </row>
    <row r="10" spans="1:21" x14ac:dyDescent="0.2">
      <c r="A10" s="95" t="s">
        <v>507</v>
      </c>
      <c r="B10" s="53">
        <v>61</v>
      </c>
    </row>
  </sheetData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zoomScale="70" zoomScaleNormal="70" workbookViewId="0">
      <selection activeCell="A17" sqref="A17"/>
    </sheetView>
  </sheetViews>
  <sheetFormatPr defaultRowHeight="12.75" x14ac:dyDescent="0.2"/>
  <cols>
    <col min="1" max="1" width="13.85546875" style="53" bestFit="1" customWidth="1"/>
    <col min="2" max="2" width="74.42578125" style="53" bestFit="1" customWidth="1"/>
    <col min="3" max="4" width="9.140625" style="53"/>
    <col min="5" max="5" width="15.5703125" style="53" bestFit="1" customWidth="1"/>
    <col min="6" max="6" width="51.7109375" style="53" bestFit="1" customWidth="1"/>
    <col min="7" max="8" width="9.140625" style="53"/>
    <col min="9" max="9" width="13.85546875" style="53" bestFit="1" customWidth="1"/>
    <col min="10" max="10" width="54.140625" style="53" customWidth="1"/>
    <col min="11" max="18" width="9.140625" style="53"/>
    <col min="19" max="19" width="12.5703125" style="53" customWidth="1"/>
    <col min="20" max="20" width="12.5703125" style="53" bestFit="1" customWidth="1"/>
    <col min="21" max="16384" width="9.140625" style="53"/>
  </cols>
  <sheetData>
    <row r="1" spans="1:20" x14ac:dyDescent="0.2">
      <c r="A1" s="53" t="s">
        <v>489</v>
      </c>
      <c r="B1" s="53" t="s">
        <v>520</v>
      </c>
      <c r="E1" s="53" t="s">
        <v>489</v>
      </c>
      <c r="F1" s="53" t="s">
        <v>521</v>
      </c>
      <c r="I1" s="53" t="s">
        <v>489</v>
      </c>
      <c r="J1" s="53" t="s">
        <v>522</v>
      </c>
    </row>
    <row r="2" spans="1:20" x14ac:dyDescent="0.2">
      <c r="A2" s="95" t="s">
        <v>523</v>
      </c>
      <c r="B2" s="53">
        <v>4</v>
      </c>
      <c r="E2" s="95" t="s">
        <v>524</v>
      </c>
      <c r="F2" s="53">
        <v>17</v>
      </c>
      <c r="I2" s="95" t="s">
        <v>523</v>
      </c>
      <c r="J2" s="53">
        <v>13</v>
      </c>
    </row>
    <row r="3" spans="1:20" x14ac:dyDescent="0.2">
      <c r="A3" s="95" t="s">
        <v>525</v>
      </c>
      <c r="B3" s="53">
        <v>32</v>
      </c>
      <c r="E3" s="95" t="s">
        <v>526</v>
      </c>
      <c r="F3" s="53">
        <v>11</v>
      </c>
      <c r="I3" s="95" t="s">
        <v>525</v>
      </c>
      <c r="J3" s="53">
        <v>35</v>
      </c>
    </row>
    <row r="4" spans="1:20" x14ac:dyDescent="0.2">
      <c r="A4" s="97" t="s">
        <v>527</v>
      </c>
      <c r="B4" s="98">
        <v>56</v>
      </c>
      <c r="C4" s="96" t="s">
        <v>474</v>
      </c>
      <c r="E4" s="95" t="s">
        <v>528</v>
      </c>
      <c r="F4" s="53">
        <v>6</v>
      </c>
      <c r="I4" s="97" t="s">
        <v>527</v>
      </c>
      <c r="J4" s="98">
        <v>32</v>
      </c>
      <c r="K4" s="96" t="s">
        <v>474</v>
      </c>
      <c r="N4" s="58"/>
      <c r="O4" s="55" t="s">
        <v>483</v>
      </c>
      <c r="P4" s="55" t="s">
        <v>487</v>
      </c>
      <c r="Q4" s="55" t="s">
        <v>469</v>
      </c>
      <c r="R4" s="55" t="s">
        <v>470</v>
      </c>
      <c r="S4" s="55" t="s">
        <v>471</v>
      </c>
      <c r="T4" s="55" t="s">
        <v>472</v>
      </c>
    </row>
    <row r="5" spans="1:20" ht="15" x14ac:dyDescent="0.25">
      <c r="A5" s="95" t="s">
        <v>529</v>
      </c>
      <c r="B5" s="53">
        <v>2</v>
      </c>
      <c r="E5" s="95" t="s">
        <v>530</v>
      </c>
      <c r="F5" s="53">
        <v>2</v>
      </c>
      <c r="I5" s="95" t="s">
        <v>529</v>
      </c>
      <c r="J5" s="53">
        <v>15</v>
      </c>
      <c r="N5" s="55" t="s">
        <v>473</v>
      </c>
      <c r="O5" s="58">
        <v>20</v>
      </c>
      <c r="P5" s="91">
        <v>0.5</v>
      </c>
      <c r="Q5" s="59">
        <v>500</v>
      </c>
      <c r="R5" s="59">
        <f>O5*P5*Q5</f>
        <v>5000</v>
      </c>
      <c r="S5" s="60">
        <f>R5*24</f>
        <v>120000</v>
      </c>
      <c r="T5" s="60">
        <f>S5*12</f>
        <v>1440000</v>
      </c>
    </row>
    <row r="6" spans="1:20" ht="15" x14ac:dyDescent="0.25">
      <c r="A6" s="95" t="s">
        <v>531</v>
      </c>
      <c r="B6" s="53">
        <v>17</v>
      </c>
      <c r="E6" s="95" t="s">
        <v>532</v>
      </c>
      <c r="F6" s="53">
        <v>1</v>
      </c>
      <c r="I6" s="95" t="s">
        <v>531</v>
      </c>
      <c r="J6" s="53">
        <v>16</v>
      </c>
      <c r="N6" s="55" t="s">
        <v>474</v>
      </c>
      <c r="O6" s="58">
        <v>25</v>
      </c>
      <c r="P6" s="91">
        <v>1</v>
      </c>
      <c r="Q6" s="59">
        <v>1000</v>
      </c>
      <c r="R6" s="59">
        <f t="shared" ref="R6:R7" si="0">O6*P6*Q6</f>
        <v>25000</v>
      </c>
      <c r="S6" s="60">
        <f t="shared" ref="S6:S7" si="1">R6*24</f>
        <v>600000</v>
      </c>
      <c r="T6" s="60">
        <f t="shared" ref="T6:T7" si="2">S6*12</f>
        <v>7200000</v>
      </c>
    </row>
    <row r="7" spans="1:20" ht="15" x14ac:dyDescent="0.25">
      <c r="A7" s="95" t="s">
        <v>507</v>
      </c>
      <c r="B7" s="53">
        <v>111</v>
      </c>
      <c r="E7" s="97" t="s">
        <v>533</v>
      </c>
      <c r="F7" s="98">
        <v>72</v>
      </c>
      <c r="G7" s="96" t="s">
        <v>474</v>
      </c>
      <c r="I7" s="95" t="s">
        <v>506</v>
      </c>
      <c r="N7" s="55" t="s">
        <v>475</v>
      </c>
      <c r="O7" s="58">
        <v>30</v>
      </c>
      <c r="P7" s="91">
        <v>1.5</v>
      </c>
      <c r="Q7" s="59">
        <v>1500</v>
      </c>
      <c r="R7" s="59">
        <f t="shared" si="0"/>
        <v>67500</v>
      </c>
      <c r="S7" s="60">
        <f t="shared" si="1"/>
        <v>1620000</v>
      </c>
      <c r="T7" s="60">
        <f t="shared" si="2"/>
        <v>19440000</v>
      </c>
    </row>
    <row r="8" spans="1:20" x14ac:dyDescent="0.2">
      <c r="E8" s="95" t="s">
        <v>534</v>
      </c>
      <c r="F8" s="53">
        <v>2</v>
      </c>
      <c r="I8" s="95" t="s">
        <v>507</v>
      </c>
      <c r="J8" s="53">
        <v>111</v>
      </c>
    </row>
    <row r="9" spans="1:20" x14ac:dyDescent="0.2">
      <c r="E9" s="95" t="s">
        <v>506</v>
      </c>
    </row>
    <row r="10" spans="1:20" x14ac:dyDescent="0.2">
      <c r="E10" s="95" t="s">
        <v>507</v>
      </c>
      <c r="F10" s="53">
        <v>111</v>
      </c>
    </row>
  </sheetData>
  <pageMargins left="0.7" right="0.7" top="0.75" bottom="0.75" header="0.3" footer="0.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BC163"/>
  <sheetViews>
    <sheetView workbookViewId="0">
      <pane ySplit="1" topLeftCell="A2" activePane="bottomLeft" state="frozen"/>
      <selection activeCell="A17" sqref="A17"/>
      <selection pane="bottomLeft" activeCell="A17" sqref="A17"/>
    </sheetView>
  </sheetViews>
  <sheetFormatPr defaultColWidth="14.42578125" defaultRowHeight="15.75" customHeight="1" x14ac:dyDescent="0.2"/>
  <cols>
    <col min="1" max="7" width="21.5703125" style="53" customWidth="1"/>
    <col min="8" max="8" width="31.42578125" style="105" customWidth="1"/>
    <col min="9" max="61" width="21.5703125" style="53" customWidth="1"/>
    <col min="62" max="16384" width="14.42578125" style="53"/>
  </cols>
  <sheetData>
    <row r="1" spans="1:55" ht="25.5" customHeight="1" x14ac:dyDescent="0.2">
      <c r="A1" s="53" t="s">
        <v>535</v>
      </c>
      <c r="B1" s="53" t="s">
        <v>536</v>
      </c>
      <c r="C1" s="102" t="s">
        <v>537</v>
      </c>
      <c r="D1" s="102" t="s">
        <v>538</v>
      </c>
      <c r="E1" s="102" t="s">
        <v>539</v>
      </c>
      <c r="F1" s="53" t="s">
        <v>540</v>
      </c>
      <c r="G1" s="53" t="s">
        <v>541</v>
      </c>
      <c r="H1" s="103" t="s">
        <v>542</v>
      </c>
      <c r="I1" s="102" t="s">
        <v>543</v>
      </c>
      <c r="J1" s="102" t="s">
        <v>544</v>
      </c>
      <c r="K1" s="102" t="s">
        <v>545</v>
      </c>
      <c r="L1" s="53" t="s">
        <v>546</v>
      </c>
      <c r="M1" s="53" t="s">
        <v>547</v>
      </c>
      <c r="N1" s="53" t="s">
        <v>548</v>
      </c>
      <c r="O1" s="53" t="s">
        <v>549</v>
      </c>
      <c r="P1" s="53" t="s">
        <v>550</v>
      </c>
      <c r="Q1" s="53" t="s">
        <v>551</v>
      </c>
      <c r="R1" s="53" t="s">
        <v>552</v>
      </c>
      <c r="S1" s="102" t="s">
        <v>553</v>
      </c>
      <c r="T1" s="102" t="s">
        <v>554</v>
      </c>
      <c r="U1" s="102" t="s">
        <v>555</v>
      </c>
      <c r="V1" s="53" t="s">
        <v>556</v>
      </c>
      <c r="W1" s="102" t="s">
        <v>557</v>
      </c>
      <c r="X1" s="53" t="s">
        <v>558</v>
      </c>
      <c r="Y1" s="53" t="s">
        <v>559</v>
      </c>
      <c r="Z1" s="53" t="s">
        <v>560</v>
      </c>
      <c r="AA1" s="53" t="s">
        <v>561</v>
      </c>
      <c r="AB1" s="53" t="s">
        <v>562</v>
      </c>
      <c r="AC1" s="53" t="s">
        <v>563</v>
      </c>
      <c r="AD1" s="53" t="s">
        <v>564</v>
      </c>
      <c r="AE1" s="102" t="s">
        <v>565</v>
      </c>
      <c r="AF1" s="102" t="s">
        <v>566</v>
      </c>
      <c r="AG1" s="102" t="s">
        <v>567</v>
      </c>
      <c r="AH1" s="102" t="s">
        <v>568</v>
      </c>
      <c r="AI1" s="102" t="s">
        <v>569</v>
      </c>
      <c r="AJ1" s="102" t="s">
        <v>570</v>
      </c>
      <c r="AK1" s="102" t="s">
        <v>571</v>
      </c>
      <c r="AL1" s="102" t="s">
        <v>572</v>
      </c>
      <c r="AM1" s="102" t="s">
        <v>573</v>
      </c>
      <c r="AN1" s="102" t="s">
        <v>574</v>
      </c>
      <c r="AO1" s="102" t="s">
        <v>575</v>
      </c>
      <c r="AP1" s="102" t="s">
        <v>576</v>
      </c>
      <c r="AQ1" s="102" t="s">
        <v>577</v>
      </c>
      <c r="AR1" s="102" t="s">
        <v>578</v>
      </c>
      <c r="AS1" s="102" t="s">
        <v>579</v>
      </c>
      <c r="AT1" s="102" t="s">
        <v>580</v>
      </c>
      <c r="AU1" s="102" t="s">
        <v>581</v>
      </c>
      <c r="AV1" s="102" t="s">
        <v>582</v>
      </c>
      <c r="AW1" s="102" t="s">
        <v>583</v>
      </c>
      <c r="AX1" s="102" t="s">
        <v>584</v>
      </c>
      <c r="AY1" s="102" t="s">
        <v>585</v>
      </c>
      <c r="AZ1" s="102" t="s">
        <v>586</v>
      </c>
      <c r="BA1" s="102" t="s">
        <v>587</v>
      </c>
      <c r="BB1" s="102" t="s">
        <v>588</v>
      </c>
      <c r="BC1" s="102" t="s">
        <v>588</v>
      </c>
    </row>
    <row r="2" spans="1:55" ht="12.75" x14ac:dyDescent="0.2">
      <c r="A2" s="104">
        <v>43231.654898680557</v>
      </c>
      <c r="C2" s="102" t="s">
        <v>589</v>
      </c>
      <c r="D2" s="102" t="s">
        <v>590</v>
      </c>
      <c r="E2" s="102">
        <v>1.5</v>
      </c>
      <c r="H2" s="103" t="s">
        <v>502</v>
      </c>
      <c r="J2" s="102" t="s">
        <v>503</v>
      </c>
      <c r="K2" s="102" t="s">
        <v>591</v>
      </c>
      <c r="S2" s="102" t="s">
        <v>592</v>
      </c>
      <c r="T2" s="102">
        <v>25</v>
      </c>
      <c r="U2" s="102">
        <v>0</v>
      </c>
      <c r="W2" s="102" t="s">
        <v>593</v>
      </c>
      <c r="AJ2" s="102" t="s">
        <v>594</v>
      </c>
      <c r="AK2" s="102" t="s">
        <v>595</v>
      </c>
      <c r="AL2" s="102" t="s">
        <v>596</v>
      </c>
    </row>
    <row r="3" spans="1:55" ht="12.75" x14ac:dyDescent="0.2">
      <c r="A3" s="104">
        <v>43231.669335474537</v>
      </c>
      <c r="C3" s="102" t="s">
        <v>597</v>
      </c>
      <c r="D3" s="102" t="s">
        <v>598</v>
      </c>
      <c r="E3" s="102">
        <v>3</v>
      </c>
      <c r="H3" s="103" t="s">
        <v>504</v>
      </c>
      <c r="J3" s="102" t="s">
        <v>501</v>
      </c>
      <c r="S3" s="102" t="s">
        <v>599</v>
      </c>
      <c r="T3" s="102">
        <v>25</v>
      </c>
      <c r="U3" s="102">
        <v>0</v>
      </c>
      <c r="W3" s="102" t="s">
        <v>600</v>
      </c>
      <c r="AJ3" s="102" t="s">
        <v>601</v>
      </c>
      <c r="AK3" s="102" t="s">
        <v>595</v>
      </c>
      <c r="AL3" s="102" t="s">
        <v>602</v>
      </c>
      <c r="AP3" s="102" t="s">
        <v>603</v>
      </c>
    </row>
    <row r="4" spans="1:55" ht="12.75" x14ac:dyDescent="0.2">
      <c r="A4" s="104">
        <v>43231.7147812037</v>
      </c>
      <c r="C4" s="102" t="s">
        <v>604</v>
      </c>
      <c r="D4" s="102" t="s">
        <v>590</v>
      </c>
      <c r="E4" s="102" t="s">
        <v>605</v>
      </c>
      <c r="H4" s="103" t="s">
        <v>498</v>
      </c>
      <c r="J4" s="102" t="s">
        <v>501</v>
      </c>
      <c r="K4" s="102" t="s">
        <v>606</v>
      </c>
      <c r="S4" s="102" t="s">
        <v>607</v>
      </c>
      <c r="T4" s="102">
        <v>2</v>
      </c>
      <c r="U4" s="102">
        <v>0</v>
      </c>
      <c r="W4" s="102" t="s">
        <v>608</v>
      </c>
      <c r="AJ4" s="102" t="s">
        <v>609</v>
      </c>
      <c r="AK4" s="102" t="s">
        <v>610</v>
      </c>
      <c r="AL4" s="102" t="s">
        <v>611</v>
      </c>
      <c r="AM4" s="102" t="s">
        <v>612</v>
      </c>
      <c r="AO4" s="102" t="s">
        <v>613</v>
      </c>
      <c r="AP4" s="102" t="s">
        <v>614</v>
      </c>
    </row>
    <row r="5" spans="1:55" ht="12.75" x14ac:dyDescent="0.2">
      <c r="A5" s="104">
        <v>43231.717161157409</v>
      </c>
      <c r="C5" s="102" t="s">
        <v>615</v>
      </c>
      <c r="D5" s="102" t="s">
        <v>590</v>
      </c>
      <c r="E5" s="102" t="s">
        <v>616</v>
      </c>
      <c r="H5" s="103" t="s">
        <v>504</v>
      </c>
      <c r="J5" s="102" t="s">
        <v>505</v>
      </c>
      <c r="K5" s="102" t="s">
        <v>617</v>
      </c>
      <c r="S5" s="102" t="s">
        <v>618</v>
      </c>
      <c r="T5" s="102">
        <v>4</v>
      </c>
      <c r="U5" s="102">
        <v>0</v>
      </c>
      <c r="W5" s="102" t="s">
        <v>608</v>
      </c>
      <c r="AJ5" s="102" t="s">
        <v>619</v>
      </c>
      <c r="AK5" s="102" t="s">
        <v>620</v>
      </c>
      <c r="AL5" s="102" t="s">
        <v>621</v>
      </c>
      <c r="AM5" s="102" t="s">
        <v>622</v>
      </c>
      <c r="AN5" s="102" t="s">
        <v>612</v>
      </c>
      <c r="AO5" s="102" t="s">
        <v>623</v>
      </c>
      <c r="AP5" s="102" t="s">
        <v>614</v>
      </c>
    </row>
    <row r="6" spans="1:55" ht="12.75" x14ac:dyDescent="0.2">
      <c r="A6" s="104">
        <v>43279.865196620369</v>
      </c>
      <c r="C6" s="102" t="s">
        <v>624</v>
      </c>
      <c r="D6" s="102" t="s">
        <v>625</v>
      </c>
      <c r="E6" s="102">
        <v>4</v>
      </c>
      <c r="H6" s="103" t="s">
        <v>504</v>
      </c>
      <c r="J6" s="102" t="s">
        <v>493</v>
      </c>
      <c r="K6" s="102" t="s">
        <v>626</v>
      </c>
      <c r="S6" s="102" t="s">
        <v>627</v>
      </c>
      <c r="T6" s="102">
        <v>5</v>
      </c>
      <c r="U6" s="102">
        <v>0</v>
      </c>
      <c r="W6" s="102" t="s">
        <v>628</v>
      </c>
      <c r="AJ6" s="102" t="s">
        <v>629</v>
      </c>
      <c r="AK6" s="102" t="s">
        <v>630</v>
      </c>
      <c r="AM6" s="102" t="s">
        <v>631</v>
      </c>
      <c r="AN6" s="102" t="s">
        <v>632</v>
      </c>
      <c r="AP6" s="102" t="s">
        <v>633</v>
      </c>
    </row>
    <row r="7" spans="1:55" ht="12.75" x14ac:dyDescent="0.2">
      <c r="A7" s="104">
        <v>43279.867026145832</v>
      </c>
      <c r="C7" s="102" t="s">
        <v>634</v>
      </c>
      <c r="D7" s="102" t="s">
        <v>635</v>
      </c>
      <c r="E7" s="102">
        <v>2</v>
      </c>
      <c r="H7" s="103" t="s">
        <v>496</v>
      </c>
      <c r="J7" s="102" t="s">
        <v>493</v>
      </c>
      <c r="K7" s="102" t="s">
        <v>626</v>
      </c>
      <c r="S7" s="102" t="s">
        <v>636</v>
      </c>
      <c r="T7" s="102">
        <v>5</v>
      </c>
      <c r="U7" s="102">
        <v>0</v>
      </c>
      <c r="W7" s="102" t="s">
        <v>637</v>
      </c>
      <c r="AJ7" s="102" t="s">
        <v>638</v>
      </c>
      <c r="AK7" s="102" t="s">
        <v>639</v>
      </c>
      <c r="AM7" s="102" t="s">
        <v>640</v>
      </c>
      <c r="AN7" s="102" t="s">
        <v>641</v>
      </c>
      <c r="AO7" s="102" t="s">
        <v>642</v>
      </c>
      <c r="AP7" s="102" t="s">
        <v>643</v>
      </c>
    </row>
    <row r="8" spans="1:55" ht="12.75" x14ac:dyDescent="0.2">
      <c r="A8" s="104">
        <v>43279.869039988422</v>
      </c>
      <c r="C8" s="102" t="s">
        <v>625</v>
      </c>
      <c r="D8" s="102" t="s">
        <v>625</v>
      </c>
      <c r="E8" s="102">
        <v>6</v>
      </c>
      <c r="H8" s="103" t="s">
        <v>498</v>
      </c>
      <c r="J8" s="102" t="s">
        <v>503</v>
      </c>
      <c r="K8" s="102" t="s">
        <v>644</v>
      </c>
      <c r="S8" s="102" t="s">
        <v>627</v>
      </c>
      <c r="T8" s="102">
        <v>12</v>
      </c>
      <c r="U8" s="102">
        <v>0</v>
      </c>
      <c r="W8" s="102" t="s">
        <v>637</v>
      </c>
      <c r="AJ8" s="102" t="s">
        <v>645</v>
      </c>
      <c r="AK8" s="102" t="s">
        <v>646</v>
      </c>
      <c r="AL8" s="102" t="s">
        <v>647</v>
      </c>
      <c r="AM8" s="102" t="s">
        <v>648</v>
      </c>
      <c r="AO8" s="102" t="s">
        <v>649</v>
      </c>
      <c r="AP8" s="102" t="s">
        <v>614</v>
      </c>
    </row>
    <row r="9" spans="1:55" ht="12.75" x14ac:dyDescent="0.2">
      <c r="A9" s="104">
        <v>43279.870370960649</v>
      </c>
      <c r="C9" s="102" t="s">
        <v>650</v>
      </c>
      <c r="D9" s="102" t="s">
        <v>625</v>
      </c>
      <c r="E9" s="102">
        <v>1.5</v>
      </c>
      <c r="H9" s="103" t="s">
        <v>496</v>
      </c>
      <c r="J9" s="102" t="s">
        <v>499</v>
      </c>
      <c r="K9" s="102" t="s">
        <v>651</v>
      </c>
      <c r="S9" s="102" t="s">
        <v>636</v>
      </c>
      <c r="T9" s="102">
        <v>4</v>
      </c>
      <c r="U9" s="102">
        <v>0</v>
      </c>
      <c r="W9" s="102" t="s">
        <v>628</v>
      </c>
      <c r="AJ9" s="102" t="s">
        <v>619</v>
      </c>
      <c r="AK9" s="102" t="s">
        <v>646</v>
      </c>
      <c r="AL9" s="102" t="s">
        <v>652</v>
      </c>
      <c r="AM9" s="102" t="s">
        <v>653</v>
      </c>
      <c r="AO9" s="102" t="s">
        <v>654</v>
      </c>
      <c r="AP9" s="102" t="s">
        <v>622</v>
      </c>
    </row>
    <row r="10" spans="1:55" ht="12.75" x14ac:dyDescent="0.2">
      <c r="A10" s="104">
        <v>43279.872620520837</v>
      </c>
      <c r="C10" s="102" t="s">
        <v>655</v>
      </c>
      <c r="D10" s="102" t="s">
        <v>590</v>
      </c>
      <c r="E10" s="102">
        <v>5</v>
      </c>
      <c r="H10" s="103" t="s">
        <v>496</v>
      </c>
      <c r="J10" s="102" t="s">
        <v>503</v>
      </c>
      <c r="K10" s="102" t="s">
        <v>656</v>
      </c>
      <c r="S10" s="102" t="s">
        <v>636</v>
      </c>
      <c r="T10" s="102">
        <v>5</v>
      </c>
      <c r="U10" s="102">
        <v>0</v>
      </c>
      <c r="W10" s="102" t="s">
        <v>657</v>
      </c>
      <c r="AJ10" s="102" t="s">
        <v>658</v>
      </c>
      <c r="AK10" s="102" t="s">
        <v>646</v>
      </c>
      <c r="AM10" s="102" t="s">
        <v>614</v>
      </c>
      <c r="AO10" s="102" t="s">
        <v>659</v>
      </c>
    </row>
    <row r="11" spans="1:55" ht="12.75" x14ac:dyDescent="0.2">
      <c r="A11" s="104">
        <v>43279.87516664352</v>
      </c>
      <c r="C11" s="102" t="s">
        <v>660</v>
      </c>
      <c r="D11" s="102" t="s">
        <v>661</v>
      </c>
      <c r="E11" s="102">
        <v>5</v>
      </c>
      <c r="H11" s="103" t="s">
        <v>492</v>
      </c>
      <c r="J11" s="102" t="s">
        <v>493</v>
      </c>
      <c r="K11" s="102" t="s">
        <v>662</v>
      </c>
      <c r="S11" s="102" t="s">
        <v>627</v>
      </c>
      <c r="T11" s="102">
        <v>11</v>
      </c>
      <c r="U11" s="102">
        <v>0</v>
      </c>
      <c r="W11" s="102" t="s">
        <v>663</v>
      </c>
      <c r="AJ11" s="102" t="s">
        <v>664</v>
      </c>
      <c r="AK11" s="102" t="s">
        <v>665</v>
      </c>
      <c r="AL11" s="102" t="s">
        <v>666</v>
      </c>
    </row>
    <row r="12" spans="1:55" ht="12.75" x14ac:dyDescent="0.2">
      <c r="A12" s="104">
        <v>43279.883166585649</v>
      </c>
      <c r="C12" s="102" t="s">
        <v>590</v>
      </c>
      <c r="D12" s="102" t="s">
        <v>590</v>
      </c>
      <c r="E12" s="102">
        <v>5</v>
      </c>
      <c r="H12" s="103" t="s">
        <v>504</v>
      </c>
      <c r="J12" s="102" t="s">
        <v>493</v>
      </c>
      <c r="K12" s="102" t="s">
        <v>651</v>
      </c>
      <c r="S12" s="102" t="s">
        <v>627</v>
      </c>
      <c r="T12" s="102">
        <v>5</v>
      </c>
      <c r="U12" s="102">
        <v>0</v>
      </c>
      <c r="W12" s="102" t="s">
        <v>637</v>
      </c>
      <c r="AJ12" s="102" t="s">
        <v>667</v>
      </c>
      <c r="AK12" s="102" t="s">
        <v>668</v>
      </c>
      <c r="AM12" s="102" t="s">
        <v>669</v>
      </c>
      <c r="AO12" s="102" t="s">
        <v>670</v>
      </c>
      <c r="AP12" s="102" t="s">
        <v>671</v>
      </c>
    </row>
    <row r="13" spans="1:55" ht="12.75" x14ac:dyDescent="0.2">
      <c r="A13" s="104">
        <v>43279.886625277781</v>
      </c>
      <c r="C13" s="102" t="s">
        <v>590</v>
      </c>
      <c r="D13" s="102" t="s">
        <v>590</v>
      </c>
      <c r="E13" s="102">
        <v>2</v>
      </c>
      <c r="H13" s="103" t="s">
        <v>504</v>
      </c>
      <c r="J13" s="102" t="s">
        <v>493</v>
      </c>
      <c r="K13" s="102" t="s">
        <v>606</v>
      </c>
      <c r="S13" s="102" t="s">
        <v>636</v>
      </c>
      <c r="T13" s="102">
        <v>5</v>
      </c>
      <c r="U13" s="102">
        <v>0</v>
      </c>
      <c r="W13" s="102" t="s">
        <v>637</v>
      </c>
      <c r="AJ13" s="102" t="s">
        <v>672</v>
      </c>
      <c r="AK13" s="102" t="s">
        <v>646</v>
      </c>
      <c r="AL13" s="102" t="s">
        <v>673</v>
      </c>
      <c r="AM13" s="102" t="s">
        <v>674</v>
      </c>
      <c r="AN13" s="102" t="s">
        <v>669</v>
      </c>
      <c r="AP13" s="102" t="s">
        <v>675</v>
      </c>
    </row>
    <row r="14" spans="1:55" ht="12.75" x14ac:dyDescent="0.2">
      <c r="A14" s="104">
        <v>43336.793679236114</v>
      </c>
      <c r="C14" s="102" t="s">
        <v>590</v>
      </c>
      <c r="D14" s="102" t="s">
        <v>676</v>
      </c>
      <c r="E14" s="102">
        <v>5</v>
      </c>
      <c r="H14" s="103" t="s">
        <v>504</v>
      </c>
      <c r="J14" s="102" t="s">
        <v>499</v>
      </c>
      <c r="K14" s="102" t="s">
        <v>677</v>
      </c>
      <c r="S14" s="102">
        <v>200000</v>
      </c>
      <c r="T14" s="102">
        <v>5</v>
      </c>
      <c r="U14" s="102">
        <v>2</v>
      </c>
      <c r="W14" s="102" t="s">
        <v>678</v>
      </c>
      <c r="AJ14" s="102" t="s">
        <v>679</v>
      </c>
      <c r="AK14" s="102" t="s">
        <v>680</v>
      </c>
      <c r="AL14" s="102" t="s">
        <v>654</v>
      </c>
      <c r="AM14" s="102" t="s">
        <v>673</v>
      </c>
      <c r="AN14" s="102" t="s">
        <v>643</v>
      </c>
      <c r="AO14" s="102" t="s">
        <v>669</v>
      </c>
      <c r="AP14" s="102" t="s">
        <v>681</v>
      </c>
    </row>
    <row r="15" spans="1:55" ht="12.75" x14ac:dyDescent="0.2">
      <c r="A15" s="104">
        <v>43386.011190787038</v>
      </c>
      <c r="C15" s="102" t="s">
        <v>682</v>
      </c>
      <c r="D15" s="102" t="s">
        <v>590</v>
      </c>
      <c r="E15" s="102">
        <v>10</v>
      </c>
      <c r="H15" s="103" t="s">
        <v>494</v>
      </c>
      <c r="J15" s="102" t="s">
        <v>501</v>
      </c>
      <c r="K15" s="102" t="s">
        <v>683</v>
      </c>
      <c r="S15" s="102">
        <v>100000</v>
      </c>
      <c r="T15" s="102">
        <v>0</v>
      </c>
      <c r="U15" s="102">
        <v>2</v>
      </c>
      <c r="W15" s="102" t="s">
        <v>684</v>
      </c>
      <c r="AJ15" s="102" t="s">
        <v>685</v>
      </c>
      <c r="AK15" s="102" t="s">
        <v>646</v>
      </c>
      <c r="AL15" s="102" t="s">
        <v>648</v>
      </c>
    </row>
    <row r="16" spans="1:55" ht="12.75" x14ac:dyDescent="0.2">
      <c r="A16" s="104">
        <v>43386.012528043982</v>
      </c>
      <c r="C16" s="102" t="s">
        <v>686</v>
      </c>
      <c r="D16" s="102" t="s">
        <v>590</v>
      </c>
      <c r="E16" s="102">
        <v>2</v>
      </c>
      <c r="H16" s="103" t="s">
        <v>494</v>
      </c>
      <c r="J16" s="102" t="s">
        <v>493</v>
      </c>
      <c r="K16" s="102" t="s">
        <v>687</v>
      </c>
      <c r="S16" s="102">
        <v>150000</v>
      </c>
      <c r="T16" s="102">
        <v>0</v>
      </c>
      <c r="U16" s="102">
        <v>2</v>
      </c>
      <c r="W16" s="102" t="s">
        <v>684</v>
      </c>
      <c r="AJ16" s="102" t="s">
        <v>688</v>
      </c>
      <c r="AK16" s="102" t="s">
        <v>610</v>
      </c>
      <c r="AL16" s="102" t="s">
        <v>689</v>
      </c>
      <c r="AO16" s="102" t="s">
        <v>622</v>
      </c>
    </row>
    <row r="17" spans="1:42" ht="12.75" x14ac:dyDescent="0.2">
      <c r="A17" s="104">
        <v>43386.014204409723</v>
      </c>
      <c r="C17" s="102" t="s">
        <v>590</v>
      </c>
      <c r="D17" s="102" t="s">
        <v>590</v>
      </c>
      <c r="E17" s="102">
        <v>7</v>
      </c>
      <c r="H17" s="103" t="s">
        <v>500</v>
      </c>
      <c r="J17" s="102" t="s">
        <v>493</v>
      </c>
      <c r="K17" s="102" t="s">
        <v>690</v>
      </c>
      <c r="S17" s="102">
        <v>225000</v>
      </c>
      <c r="T17" s="102">
        <v>0</v>
      </c>
      <c r="U17" s="102">
        <v>5</v>
      </c>
      <c r="W17" s="102" t="s">
        <v>691</v>
      </c>
      <c r="AJ17" s="102" t="s">
        <v>692</v>
      </c>
      <c r="AK17" s="102" t="s">
        <v>693</v>
      </c>
      <c r="AL17" s="102" t="s">
        <v>622</v>
      </c>
      <c r="AM17" s="102" t="s">
        <v>694</v>
      </c>
      <c r="AO17" s="102" t="s">
        <v>612</v>
      </c>
    </row>
    <row r="18" spans="1:42" ht="12.75" x14ac:dyDescent="0.2">
      <c r="A18" s="104">
        <v>43386.016141990738</v>
      </c>
      <c r="C18" s="102" t="s">
        <v>590</v>
      </c>
      <c r="D18" s="102" t="s">
        <v>590</v>
      </c>
      <c r="E18" s="102">
        <v>9</v>
      </c>
      <c r="H18" s="103" t="s">
        <v>496</v>
      </c>
      <c r="J18" s="102" t="s">
        <v>501</v>
      </c>
      <c r="S18" s="102">
        <v>250000</v>
      </c>
      <c r="T18" s="102">
        <v>0</v>
      </c>
      <c r="U18" s="102">
        <v>4</v>
      </c>
      <c r="W18" s="102" t="s">
        <v>695</v>
      </c>
      <c r="AJ18" s="102" t="s">
        <v>692</v>
      </c>
      <c r="AK18" s="102" t="s">
        <v>696</v>
      </c>
      <c r="AL18" s="102" t="s">
        <v>697</v>
      </c>
      <c r="AM18" s="102" t="s">
        <v>673</v>
      </c>
      <c r="AO18" s="102" t="s">
        <v>698</v>
      </c>
      <c r="AP18" s="102" t="s">
        <v>614</v>
      </c>
    </row>
    <row r="19" spans="1:42" ht="12.75" x14ac:dyDescent="0.2">
      <c r="A19" s="104">
        <v>43386.017931284718</v>
      </c>
      <c r="C19" s="102" t="s">
        <v>590</v>
      </c>
      <c r="D19" s="102" t="s">
        <v>590</v>
      </c>
      <c r="E19" s="102">
        <v>5</v>
      </c>
      <c r="H19" s="103" t="s">
        <v>498</v>
      </c>
      <c r="J19" s="102" t="s">
        <v>493</v>
      </c>
      <c r="K19" s="102" t="s">
        <v>699</v>
      </c>
      <c r="S19" s="102">
        <v>250000</v>
      </c>
      <c r="T19" s="102">
        <v>0</v>
      </c>
      <c r="U19" s="102">
        <v>4</v>
      </c>
      <c r="W19" s="102" t="s">
        <v>695</v>
      </c>
      <c r="AJ19" s="102" t="s">
        <v>692</v>
      </c>
      <c r="AK19" s="102" t="s">
        <v>700</v>
      </c>
      <c r="AL19" s="102" t="s">
        <v>641</v>
      </c>
      <c r="AM19" s="102" t="s">
        <v>612</v>
      </c>
      <c r="AN19" s="102" t="s">
        <v>701</v>
      </c>
      <c r="AO19" s="102" t="s">
        <v>622</v>
      </c>
    </row>
    <row r="20" spans="1:42" ht="12.75" x14ac:dyDescent="0.2">
      <c r="A20" s="104">
        <v>43386.020317256945</v>
      </c>
      <c r="C20" s="102" t="s">
        <v>590</v>
      </c>
      <c r="D20" s="102" t="s">
        <v>590</v>
      </c>
      <c r="E20" s="102">
        <v>7</v>
      </c>
      <c r="H20" s="103" t="s">
        <v>494</v>
      </c>
      <c r="J20" s="102" t="s">
        <v>495</v>
      </c>
      <c r="K20" s="102" t="s">
        <v>699</v>
      </c>
      <c r="S20" s="102">
        <v>150000</v>
      </c>
      <c r="T20" s="102">
        <v>0</v>
      </c>
      <c r="U20" s="102">
        <v>2</v>
      </c>
      <c r="W20" s="102" t="s">
        <v>695</v>
      </c>
      <c r="AJ20" s="102" t="s">
        <v>688</v>
      </c>
      <c r="AK20" s="102" t="s">
        <v>702</v>
      </c>
      <c r="AL20" s="102" t="s">
        <v>648</v>
      </c>
      <c r="AM20" s="102" t="s">
        <v>614</v>
      </c>
      <c r="AN20" s="102" t="s">
        <v>673</v>
      </c>
      <c r="AO20" s="102" t="s">
        <v>611</v>
      </c>
    </row>
    <row r="21" spans="1:42" ht="12.75" x14ac:dyDescent="0.2">
      <c r="A21" s="104">
        <v>43386.022222349537</v>
      </c>
      <c r="C21" s="102" t="s">
        <v>590</v>
      </c>
      <c r="D21" s="102" t="s">
        <v>590</v>
      </c>
      <c r="E21" s="102">
        <v>2</v>
      </c>
      <c r="H21" s="103" t="s">
        <v>496</v>
      </c>
      <c r="J21" s="102" t="s">
        <v>497</v>
      </c>
      <c r="S21" s="102">
        <v>210000</v>
      </c>
      <c r="T21" s="102">
        <v>0</v>
      </c>
      <c r="U21" s="102">
        <v>2</v>
      </c>
      <c r="W21" s="102" t="s">
        <v>691</v>
      </c>
      <c r="AJ21" s="102" t="s">
        <v>688</v>
      </c>
      <c r="AK21" s="102" t="s">
        <v>703</v>
      </c>
      <c r="AL21" s="102" t="s">
        <v>704</v>
      </c>
      <c r="AM21" s="102" t="s">
        <v>705</v>
      </c>
      <c r="AN21" s="102" t="s">
        <v>673</v>
      </c>
      <c r="AO21" s="102" t="s">
        <v>622</v>
      </c>
    </row>
    <row r="22" spans="1:42" ht="12.75" x14ac:dyDescent="0.2">
      <c r="A22" s="104">
        <v>43386.025206018516</v>
      </c>
      <c r="C22" s="102" t="s">
        <v>590</v>
      </c>
      <c r="D22" s="102" t="s">
        <v>590</v>
      </c>
      <c r="E22" s="102">
        <v>7</v>
      </c>
      <c r="H22" s="103" t="s">
        <v>494</v>
      </c>
      <c r="J22" s="102" t="s">
        <v>499</v>
      </c>
      <c r="S22" s="102">
        <v>200000</v>
      </c>
      <c r="T22" s="102">
        <v>0</v>
      </c>
      <c r="U22" s="102">
        <v>4</v>
      </c>
      <c r="W22" s="102" t="s">
        <v>695</v>
      </c>
      <c r="AJ22" s="102" t="s">
        <v>688</v>
      </c>
      <c r="AK22" s="102" t="s">
        <v>706</v>
      </c>
      <c r="AL22" s="102" t="s">
        <v>707</v>
      </c>
      <c r="AM22" s="102" t="s">
        <v>673</v>
      </c>
      <c r="AN22" s="102" t="s">
        <v>611</v>
      </c>
      <c r="AO22" s="102" t="s">
        <v>622</v>
      </c>
    </row>
    <row r="23" spans="1:42" ht="12.75" x14ac:dyDescent="0.2">
      <c r="A23" s="104">
        <v>43386.027087407405</v>
      </c>
      <c r="C23" s="102" t="s">
        <v>590</v>
      </c>
      <c r="D23" s="102" t="s">
        <v>590</v>
      </c>
      <c r="E23" s="102">
        <v>10</v>
      </c>
      <c r="H23" s="103" t="s">
        <v>496</v>
      </c>
      <c r="J23" s="102" t="s">
        <v>493</v>
      </c>
      <c r="K23" s="102" t="s">
        <v>687</v>
      </c>
      <c r="S23" s="102">
        <v>150000</v>
      </c>
      <c r="T23" s="102">
        <v>0</v>
      </c>
      <c r="U23" s="102">
        <v>2</v>
      </c>
      <c r="W23" s="102" t="s">
        <v>695</v>
      </c>
      <c r="AJ23" s="102" t="s">
        <v>601</v>
      </c>
      <c r="AK23" s="102" t="s">
        <v>708</v>
      </c>
      <c r="AM23" s="102" t="s">
        <v>709</v>
      </c>
      <c r="AN23" s="102" t="s">
        <v>611</v>
      </c>
    </row>
    <row r="24" spans="1:42" ht="14.25" customHeight="1" x14ac:dyDescent="0.2">
      <c r="A24" s="104">
        <v>43386.028254629629</v>
      </c>
      <c r="C24" s="102" t="s">
        <v>590</v>
      </c>
      <c r="D24" s="102" t="s">
        <v>590</v>
      </c>
      <c r="E24" s="102">
        <v>5</v>
      </c>
      <c r="H24" s="103" t="s">
        <v>498</v>
      </c>
      <c r="J24" s="102" t="s">
        <v>495</v>
      </c>
      <c r="S24" s="102">
        <v>210000</v>
      </c>
      <c r="T24" s="102">
        <v>0</v>
      </c>
      <c r="U24" s="102">
        <v>6</v>
      </c>
      <c r="W24" s="102" t="s">
        <v>695</v>
      </c>
      <c r="AJ24" s="102" t="s">
        <v>710</v>
      </c>
      <c r="AK24" s="102" t="s">
        <v>711</v>
      </c>
      <c r="AL24" s="102" t="s">
        <v>712</v>
      </c>
      <c r="AM24" s="102" t="s">
        <v>641</v>
      </c>
      <c r="AN24" s="102" t="s">
        <v>612</v>
      </c>
      <c r="AP24" s="102" t="s">
        <v>694</v>
      </c>
    </row>
    <row r="25" spans="1:42" ht="12.75" x14ac:dyDescent="0.2">
      <c r="A25" s="104">
        <v>43386.029851770829</v>
      </c>
      <c r="C25" s="102" t="s">
        <v>590</v>
      </c>
      <c r="D25" s="102" t="s">
        <v>590</v>
      </c>
      <c r="E25" s="102">
        <v>8</v>
      </c>
      <c r="H25" s="103" t="s">
        <v>496</v>
      </c>
      <c r="J25" s="102" t="s">
        <v>493</v>
      </c>
      <c r="K25" s="102" t="s">
        <v>713</v>
      </c>
      <c r="S25" s="102">
        <v>120000</v>
      </c>
      <c r="T25" s="102">
        <v>0</v>
      </c>
      <c r="U25" s="102">
        <v>4</v>
      </c>
      <c r="W25" s="102" t="s">
        <v>691</v>
      </c>
      <c r="AJ25" s="102" t="s">
        <v>601</v>
      </c>
      <c r="AK25" s="102" t="s">
        <v>714</v>
      </c>
      <c r="AL25" s="102" t="s">
        <v>715</v>
      </c>
      <c r="AM25" s="102" t="s">
        <v>614</v>
      </c>
      <c r="AP25" s="102" t="s">
        <v>647</v>
      </c>
    </row>
    <row r="26" spans="1:42" ht="12.75" x14ac:dyDescent="0.2">
      <c r="A26" s="104">
        <v>43386.031589444443</v>
      </c>
      <c r="C26" s="102" t="s">
        <v>590</v>
      </c>
      <c r="D26" s="102" t="s">
        <v>590</v>
      </c>
      <c r="E26" s="102">
        <v>3</v>
      </c>
      <c r="H26" s="103" t="s">
        <v>498</v>
      </c>
      <c r="J26" s="102" t="s">
        <v>495</v>
      </c>
      <c r="S26" s="102">
        <v>200000</v>
      </c>
      <c r="T26" s="102">
        <v>2</v>
      </c>
      <c r="U26" s="102">
        <v>4</v>
      </c>
      <c r="W26" s="102" t="s">
        <v>691</v>
      </c>
      <c r="AJ26" s="102" t="s">
        <v>716</v>
      </c>
      <c r="AK26" s="102" t="s">
        <v>717</v>
      </c>
      <c r="AL26" s="102" t="s">
        <v>699</v>
      </c>
      <c r="AN26" s="102" t="s">
        <v>718</v>
      </c>
      <c r="AO26" s="102" t="s">
        <v>622</v>
      </c>
      <c r="AP26" s="102" t="s">
        <v>614</v>
      </c>
    </row>
    <row r="27" spans="1:42" ht="12.75" x14ac:dyDescent="0.2">
      <c r="A27" s="104">
        <v>43386.032937627315</v>
      </c>
      <c r="C27" s="102" t="s">
        <v>719</v>
      </c>
      <c r="D27" s="102" t="s">
        <v>635</v>
      </c>
      <c r="E27" s="102">
        <v>10</v>
      </c>
      <c r="H27" s="103" t="s">
        <v>494</v>
      </c>
      <c r="J27" s="102" t="s">
        <v>493</v>
      </c>
      <c r="K27" s="102" t="s">
        <v>690</v>
      </c>
      <c r="S27" s="102">
        <v>175000</v>
      </c>
      <c r="T27" s="102">
        <v>1</v>
      </c>
      <c r="U27" s="102">
        <v>2</v>
      </c>
      <c r="W27" s="102" t="s">
        <v>691</v>
      </c>
      <c r="AJ27" s="102" t="s">
        <v>720</v>
      </c>
      <c r="AK27" s="102" t="s">
        <v>721</v>
      </c>
      <c r="AL27" s="102" t="s">
        <v>722</v>
      </c>
      <c r="AO27" s="102" t="s">
        <v>611</v>
      </c>
    </row>
    <row r="28" spans="1:42" ht="12.75" x14ac:dyDescent="0.2">
      <c r="A28" s="104">
        <v>43386.034537731481</v>
      </c>
      <c r="C28" s="102" t="s">
        <v>590</v>
      </c>
      <c r="D28" s="102" t="s">
        <v>590</v>
      </c>
      <c r="E28" s="102">
        <v>7</v>
      </c>
      <c r="H28" s="103" t="s">
        <v>492</v>
      </c>
      <c r="J28" s="102" t="s">
        <v>493</v>
      </c>
      <c r="K28" s="102" t="s">
        <v>687</v>
      </c>
      <c r="S28" s="102">
        <v>150000</v>
      </c>
      <c r="T28" s="102">
        <v>0</v>
      </c>
      <c r="U28" s="102">
        <v>3</v>
      </c>
      <c r="W28" s="102" t="s">
        <v>691</v>
      </c>
      <c r="AJ28" s="102" t="s">
        <v>723</v>
      </c>
      <c r="AK28" s="102" t="s">
        <v>646</v>
      </c>
      <c r="AL28" s="102" t="s">
        <v>709</v>
      </c>
      <c r="AO28" s="102" t="s">
        <v>611</v>
      </c>
    </row>
    <row r="29" spans="1:42" ht="12.75" x14ac:dyDescent="0.2">
      <c r="A29" s="104">
        <v>43386.037755787038</v>
      </c>
      <c r="C29" s="102" t="s">
        <v>590</v>
      </c>
      <c r="D29" s="102" t="s">
        <v>590</v>
      </c>
      <c r="E29" s="102">
        <v>7</v>
      </c>
      <c r="H29" s="103" t="s">
        <v>504</v>
      </c>
      <c r="J29" s="102" t="s">
        <v>493</v>
      </c>
      <c r="S29" s="102">
        <v>200000</v>
      </c>
      <c r="T29" s="102">
        <v>0</v>
      </c>
      <c r="U29" s="102">
        <v>4</v>
      </c>
      <c r="W29" s="102" t="s">
        <v>691</v>
      </c>
      <c r="AJ29" s="102" t="s">
        <v>724</v>
      </c>
      <c r="AK29" s="102" t="s">
        <v>610</v>
      </c>
      <c r="AL29" s="102" t="s">
        <v>699</v>
      </c>
      <c r="AM29" s="102" t="s">
        <v>725</v>
      </c>
      <c r="AN29" s="102" t="s">
        <v>614</v>
      </c>
      <c r="AP29" s="102" t="s">
        <v>726</v>
      </c>
    </row>
    <row r="30" spans="1:42" ht="12.75" x14ac:dyDescent="0.2">
      <c r="A30" s="104">
        <v>43386.03933068287</v>
      </c>
      <c r="C30" s="102" t="s">
        <v>590</v>
      </c>
      <c r="D30" s="102" t="s">
        <v>590</v>
      </c>
      <c r="E30" s="102">
        <v>5</v>
      </c>
      <c r="H30" s="103" t="s">
        <v>500</v>
      </c>
      <c r="J30" s="102" t="s">
        <v>493</v>
      </c>
      <c r="K30" s="102" t="s">
        <v>699</v>
      </c>
      <c r="S30" s="102">
        <v>200000</v>
      </c>
      <c r="T30" s="102">
        <v>2</v>
      </c>
      <c r="U30" s="102">
        <v>4</v>
      </c>
      <c r="W30" s="102" t="s">
        <v>691</v>
      </c>
      <c r="AJ30" s="102" t="s">
        <v>727</v>
      </c>
      <c r="AK30" s="102" t="s">
        <v>728</v>
      </c>
      <c r="AM30" s="102" t="s">
        <v>641</v>
      </c>
      <c r="AN30" s="102" t="s">
        <v>643</v>
      </c>
      <c r="AP30" s="102" t="s">
        <v>694</v>
      </c>
    </row>
    <row r="31" spans="1:42" ht="12.75" x14ac:dyDescent="0.2">
      <c r="A31" s="104">
        <v>43386.040864131945</v>
      </c>
      <c r="C31" s="102" t="s">
        <v>590</v>
      </c>
      <c r="D31" s="102" t="s">
        <v>590</v>
      </c>
      <c r="E31" s="102">
        <v>10</v>
      </c>
      <c r="H31" s="103" t="s">
        <v>504</v>
      </c>
      <c r="J31" s="102" t="s">
        <v>493</v>
      </c>
      <c r="S31" s="102">
        <v>200000</v>
      </c>
      <c r="T31" s="102">
        <v>2</v>
      </c>
      <c r="U31" s="102">
        <v>6</v>
      </c>
      <c r="W31" s="102" t="s">
        <v>691</v>
      </c>
      <c r="AJ31" s="102" t="s">
        <v>727</v>
      </c>
      <c r="AK31" s="102" t="s">
        <v>729</v>
      </c>
      <c r="AM31" s="102" t="s">
        <v>641</v>
      </c>
      <c r="AN31" s="102" t="s">
        <v>699</v>
      </c>
      <c r="AO31" s="102" t="s">
        <v>643</v>
      </c>
      <c r="AP31" s="102" t="s">
        <v>694</v>
      </c>
    </row>
    <row r="32" spans="1:42" ht="12.75" x14ac:dyDescent="0.2">
      <c r="A32" s="104">
        <v>43386.042298599539</v>
      </c>
      <c r="C32" s="102" t="s">
        <v>730</v>
      </c>
      <c r="D32" s="102" t="s">
        <v>590</v>
      </c>
      <c r="E32" s="102">
        <v>7</v>
      </c>
      <c r="H32" s="103" t="s">
        <v>496</v>
      </c>
      <c r="J32" s="102" t="s">
        <v>495</v>
      </c>
      <c r="K32" s="102" t="s">
        <v>641</v>
      </c>
      <c r="S32" s="102">
        <v>175000</v>
      </c>
      <c r="T32" s="102">
        <v>1</v>
      </c>
      <c r="U32" s="102">
        <v>3</v>
      </c>
      <c r="W32" s="102" t="s">
        <v>691</v>
      </c>
      <c r="AJ32" s="102" t="s">
        <v>731</v>
      </c>
      <c r="AK32" s="102" t="s">
        <v>732</v>
      </c>
      <c r="AL32" s="102" t="s">
        <v>733</v>
      </c>
      <c r="AM32" s="102" t="s">
        <v>709</v>
      </c>
      <c r="AP32" s="102" t="s">
        <v>611</v>
      </c>
    </row>
    <row r="33" spans="1:42" ht="12.75" x14ac:dyDescent="0.2">
      <c r="A33" s="104">
        <v>43386.043934837959</v>
      </c>
      <c r="C33" s="102" t="s">
        <v>590</v>
      </c>
      <c r="D33" s="102" t="s">
        <v>590</v>
      </c>
      <c r="E33" s="102">
        <v>9</v>
      </c>
      <c r="H33" s="103" t="s">
        <v>492</v>
      </c>
      <c r="J33" s="102" t="s">
        <v>501</v>
      </c>
      <c r="K33" s="102" t="s">
        <v>734</v>
      </c>
      <c r="S33" s="102">
        <v>100000</v>
      </c>
      <c r="T33" s="102">
        <v>0</v>
      </c>
      <c r="U33" s="102">
        <v>3</v>
      </c>
      <c r="W33" s="102" t="s">
        <v>691</v>
      </c>
      <c r="AJ33" s="102" t="s">
        <v>735</v>
      </c>
      <c r="AK33" s="102" t="s">
        <v>736</v>
      </c>
      <c r="AL33" s="102" t="s">
        <v>737</v>
      </c>
      <c r="AO33" s="102" t="s">
        <v>622</v>
      </c>
    </row>
    <row r="34" spans="1:42" ht="12.75" x14ac:dyDescent="0.2">
      <c r="A34" s="104">
        <v>43388.703391516203</v>
      </c>
      <c r="C34" s="102" t="s">
        <v>738</v>
      </c>
      <c r="D34" s="102" t="s">
        <v>739</v>
      </c>
      <c r="E34" s="102" t="s">
        <v>740</v>
      </c>
      <c r="H34" s="103" t="s">
        <v>492</v>
      </c>
      <c r="J34" s="102" t="s">
        <v>501</v>
      </c>
      <c r="K34" s="102" t="s">
        <v>690</v>
      </c>
      <c r="S34" s="102" t="s">
        <v>741</v>
      </c>
      <c r="T34" s="102">
        <v>3</v>
      </c>
      <c r="U34" s="102">
        <v>5</v>
      </c>
      <c r="W34" s="102" t="s">
        <v>742</v>
      </c>
      <c r="AJ34" s="102" t="s">
        <v>743</v>
      </c>
      <c r="AK34" s="102" t="s">
        <v>744</v>
      </c>
      <c r="AL34" s="102" t="s">
        <v>745</v>
      </c>
      <c r="AO34" s="102" t="s">
        <v>622</v>
      </c>
    </row>
    <row r="35" spans="1:42" ht="12.75" x14ac:dyDescent="0.2">
      <c r="A35" s="104">
        <v>43388.705086319445</v>
      </c>
      <c r="C35" s="102" t="s">
        <v>746</v>
      </c>
      <c r="D35" s="102" t="s">
        <v>747</v>
      </c>
      <c r="E35" s="102" t="s">
        <v>748</v>
      </c>
      <c r="H35" s="103" t="s">
        <v>492</v>
      </c>
      <c r="J35" s="102" t="s">
        <v>501</v>
      </c>
      <c r="K35" s="102" t="s">
        <v>749</v>
      </c>
      <c r="S35" s="102" t="s">
        <v>750</v>
      </c>
      <c r="T35" s="102">
        <v>8</v>
      </c>
      <c r="U35" s="102">
        <v>10</v>
      </c>
      <c r="W35" s="102" t="s">
        <v>742</v>
      </c>
      <c r="AJ35" s="102" t="s">
        <v>751</v>
      </c>
      <c r="AK35" s="102" t="s">
        <v>752</v>
      </c>
      <c r="AL35" s="102" t="s">
        <v>753</v>
      </c>
      <c r="AM35" s="102" t="s">
        <v>622</v>
      </c>
      <c r="AO35" s="102" t="s">
        <v>673</v>
      </c>
    </row>
    <row r="36" spans="1:42" ht="12.75" x14ac:dyDescent="0.2">
      <c r="A36" s="104">
        <v>43388.706523263885</v>
      </c>
      <c r="C36" s="102" t="s">
        <v>754</v>
      </c>
      <c r="D36" s="102" t="s">
        <v>755</v>
      </c>
      <c r="E36" s="102" t="s">
        <v>756</v>
      </c>
      <c r="H36" s="103" t="s">
        <v>492</v>
      </c>
      <c r="J36" s="102" t="s">
        <v>501</v>
      </c>
      <c r="K36" s="102" t="s">
        <v>757</v>
      </c>
      <c r="S36" s="102" t="s">
        <v>758</v>
      </c>
      <c r="T36" s="102">
        <v>2</v>
      </c>
      <c r="U36" s="102">
        <v>0</v>
      </c>
      <c r="W36" s="102" t="s">
        <v>742</v>
      </c>
      <c r="AJ36" s="102" t="s">
        <v>759</v>
      </c>
      <c r="AK36" s="102" t="s">
        <v>752</v>
      </c>
    </row>
    <row r="37" spans="1:42" ht="12.75" x14ac:dyDescent="0.2">
      <c r="A37" s="104">
        <v>43388.708284363427</v>
      </c>
      <c r="C37" s="102" t="s">
        <v>760</v>
      </c>
      <c r="D37" s="102" t="s">
        <v>761</v>
      </c>
      <c r="E37" s="102" t="s">
        <v>762</v>
      </c>
      <c r="H37" s="103" t="s">
        <v>494</v>
      </c>
      <c r="J37" s="102" t="s">
        <v>493</v>
      </c>
      <c r="K37" s="102" t="s">
        <v>757</v>
      </c>
      <c r="S37" s="102" t="s">
        <v>763</v>
      </c>
      <c r="T37" s="102">
        <v>7</v>
      </c>
      <c r="U37" s="102">
        <v>5</v>
      </c>
      <c r="W37" s="102" t="s">
        <v>764</v>
      </c>
      <c r="AJ37" s="102" t="s">
        <v>765</v>
      </c>
      <c r="AK37" s="102" t="s">
        <v>766</v>
      </c>
    </row>
    <row r="38" spans="1:42" ht="12.75" x14ac:dyDescent="0.2">
      <c r="A38" s="104">
        <v>43388.710606342589</v>
      </c>
      <c r="C38" s="102" t="s">
        <v>767</v>
      </c>
      <c r="D38" s="102" t="s">
        <v>768</v>
      </c>
      <c r="E38" s="102" t="s">
        <v>769</v>
      </c>
      <c r="H38" s="103" t="s">
        <v>494</v>
      </c>
      <c r="J38" s="102" t="s">
        <v>501</v>
      </c>
      <c r="K38" s="102" t="s">
        <v>770</v>
      </c>
      <c r="S38" s="102" t="s">
        <v>771</v>
      </c>
      <c r="T38" s="102">
        <v>1</v>
      </c>
      <c r="U38" s="102">
        <v>5</v>
      </c>
      <c r="W38" s="102" t="s">
        <v>742</v>
      </c>
      <c r="AJ38" s="102" t="s">
        <v>772</v>
      </c>
      <c r="AK38" s="102" t="s">
        <v>773</v>
      </c>
      <c r="AL38" s="102" t="s">
        <v>611</v>
      </c>
      <c r="AM38" s="102" t="s">
        <v>774</v>
      </c>
      <c r="AO38" s="102" t="s">
        <v>612</v>
      </c>
    </row>
    <row r="39" spans="1:42" ht="12.75" x14ac:dyDescent="0.2">
      <c r="A39" s="104">
        <v>43388.711969918979</v>
      </c>
      <c r="C39" s="102" t="s">
        <v>775</v>
      </c>
      <c r="D39" s="102" t="s">
        <v>776</v>
      </c>
      <c r="E39" s="102" t="s">
        <v>777</v>
      </c>
      <c r="H39" s="103" t="s">
        <v>496</v>
      </c>
      <c r="J39" s="102" t="s">
        <v>495</v>
      </c>
      <c r="K39" s="102" t="s">
        <v>681</v>
      </c>
      <c r="S39" s="102" t="s">
        <v>778</v>
      </c>
      <c r="T39" s="102">
        <v>3</v>
      </c>
      <c r="U39" s="102">
        <v>0</v>
      </c>
      <c r="W39" s="102" t="s">
        <v>764</v>
      </c>
      <c r="AJ39" s="102" t="s">
        <v>731</v>
      </c>
      <c r="AK39" s="102" t="s">
        <v>779</v>
      </c>
      <c r="AL39" s="102" t="s">
        <v>780</v>
      </c>
      <c r="AO39" s="102" t="s">
        <v>781</v>
      </c>
    </row>
    <row r="40" spans="1:42" ht="12.75" x14ac:dyDescent="0.2">
      <c r="A40" s="104">
        <v>43388.713572002314</v>
      </c>
      <c r="C40" s="102" t="s">
        <v>782</v>
      </c>
      <c r="D40" s="102" t="s">
        <v>761</v>
      </c>
      <c r="E40" s="102" t="s">
        <v>783</v>
      </c>
      <c r="H40" s="103" t="s">
        <v>492</v>
      </c>
      <c r="J40" s="102" t="s">
        <v>493</v>
      </c>
      <c r="K40" s="102" t="s">
        <v>757</v>
      </c>
      <c r="S40" s="102" t="s">
        <v>758</v>
      </c>
      <c r="T40" s="102">
        <v>2</v>
      </c>
      <c r="U40" s="102">
        <v>1</v>
      </c>
      <c r="W40" s="102" t="s">
        <v>764</v>
      </c>
      <c r="AJ40" s="102" t="s">
        <v>784</v>
      </c>
      <c r="AK40" s="102" t="s">
        <v>785</v>
      </c>
    </row>
    <row r="41" spans="1:42" ht="12.75" x14ac:dyDescent="0.2">
      <c r="A41" s="104">
        <v>43388.715305057871</v>
      </c>
      <c r="C41" s="102" t="s">
        <v>786</v>
      </c>
      <c r="D41" s="102" t="s">
        <v>787</v>
      </c>
      <c r="E41" s="102" t="s">
        <v>788</v>
      </c>
      <c r="H41" s="103" t="s">
        <v>502</v>
      </c>
      <c r="J41" s="102" t="s">
        <v>493</v>
      </c>
      <c r="K41" s="102" t="s">
        <v>757</v>
      </c>
      <c r="S41" s="102" t="s">
        <v>789</v>
      </c>
      <c r="T41" s="102">
        <v>3</v>
      </c>
      <c r="U41" s="102">
        <v>1</v>
      </c>
      <c r="W41" s="102" t="s">
        <v>764</v>
      </c>
      <c r="AJ41" s="102" t="s">
        <v>790</v>
      </c>
      <c r="AK41" s="102" t="s">
        <v>779</v>
      </c>
    </row>
    <row r="42" spans="1:42" ht="12.75" x14ac:dyDescent="0.2">
      <c r="A42" s="104">
        <v>43388.717448912037</v>
      </c>
      <c r="C42" s="102" t="s">
        <v>791</v>
      </c>
      <c r="D42" s="102" t="s">
        <v>792</v>
      </c>
      <c r="E42" s="102" t="s">
        <v>793</v>
      </c>
      <c r="H42" s="103" t="s">
        <v>500</v>
      </c>
      <c r="J42" s="102" t="s">
        <v>497</v>
      </c>
      <c r="S42" s="102" t="s">
        <v>794</v>
      </c>
      <c r="T42" s="102">
        <v>3</v>
      </c>
      <c r="U42" s="102">
        <v>6</v>
      </c>
      <c r="W42" s="102" t="s">
        <v>764</v>
      </c>
      <c r="AJ42" s="102" t="s">
        <v>731</v>
      </c>
      <c r="AK42" s="102" t="s">
        <v>795</v>
      </c>
      <c r="AL42" s="102" t="s">
        <v>699</v>
      </c>
      <c r="AM42" s="102" t="s">
        <v>796</v>
      </c>
      <c r="AN42" s="102" t="s">
        <v>797</v>
      </c>
    </row>
    <row r="43" spans="1:42" ht="12.75" x14ac:dyDescent="0.2">
      <c r="A43" s="104">
        <v>43388.722543217591</v>
      </c>
      <c r="C43" s="102" t="s">
        <v>798</v>
      </c>
      <c r="D43" s="102" t="s">
        <v>799</v>
      </c>
      <c r="E43" s="102" t="s">
        <v>800</v>
      </c>
      <c r="H43" s="103" t="s">
        <v>500</v>
      </c>
      <c r="J43" s="102" t="s">
        <v>495</v>
      </c>
      <c r="K43" s="102" t="s">
        <v>712</v>
      </c>
      <c r="S43" s="102" t="s">
        <v>741</v>
      </c>
      <c r="T43" s="102">
        <v>2</v>
      </c>
      <c r="U43" s="102">
        <v>6</v>
      </c>
      <c r="W43" s="102" t="s">
        <v>742</v>
      </c>
      <c r="AJ43" s="102" t="s">
        <v>801</v>
      </c>
      <c r="AK43" s="102" t="s">
        <v>802</v>
      </c>
      <c r="AL43" s="102" t="s">
        <v>753</v>
      </c>
      <c r="AO43" s="102" t="s">
        <v>611</v>
      </c>
      <c r="AP43" s="102" t="s">
        <v>673</v>
      </c>
    </row>
    <row r="44" spans="1:42" ht="12.75" x14ac:dyDescent="0.2">
      <c r="A44" s="104">
        <v>43388.726748483794</v>
      </c>
      <c r="C44" s="102" t="s">
        <v>803</v>
      </c>
      <c r="D44" s="102" t="s">
        <v>804</v>
      </c>
      <c r="E44" s="102" t="s">
        <v>805</v>
      </c>
      <c r="H44" s="103" t="s">
        <v>502</v>
      </c>
      <c r="J44" s="102" t="s">
        <v>495</v>
      </c>
      <c r="K44" s="102" t="s">
        <v>806</v>
      </c>
      <c r="S44" s="102" t="s">
        <v>758</v>
      </c>
      <c r="T44" s="102">
        <v>2</v>
      </c>
      <c r="U44" s="102">
        <v>0</v>
      </c>
      <c r="W44" s="102" t="s">
        <v>764</v>
      </c>
      <c r="AJ44" s="102" t="s">
        <v>807</v>
      </c>
      <c r="AK44" s="102" t="s">
        <v>808</v>
      </c>
    </row>
    <row r="45" spans="1:42" ht="12.75" x14ac:dyDescent="0.2">
      <c r="A45" s="104">
        <v>43397.540028842588</v>
      </c>
      <c r="C45" s="102" t="s">
        <v>809</v>
      </c>
      <c r="D45" s="102" t="s">
        <v>810</v>
      </c>
      <c r="E45" s="102" t="s">
        <v>811</v>
      </c>
      <c r="H45" s="103" t="s">
        <v>498</v>
      </c>
      <c r="J45" s="102" t="s">
        <v>501</v>
      </c>
      <c r="K45" s="102" t="s">
        <v>812</v>
      </c>
      <c r="S45" s="102" t="s">
        <v>813</v>
      </c>
      <c r="T45" s="102">
        <v>12</v>
      </c>
      <c r="U45" s="102">
        <v>6</v>
      </c>
      <c r="W45" s="102" t="s">
        <v>663</v>
      </c>
      <c r="AJ45" s="102" t="s">
        <v>645</v>
      </c>
      <c r="AK45" s="102" t="s">
        <v>814</v>
      </c>
      <c r="AL45" s="102" t="s">
        <v>815</v>
      </c>
      <c r="AO45" s="102" t="s">
        <v>622</v>
      </c>
    </row>
    <row r="46" spans="1:42" ht="12.75" x14ac:dyDescent="0.2">
      <c r="A46" s="104">
        <v>43397.542148923611</v>
      </c>
      <c r="C46" s="102" t="s">
        <v>816</v>
      </c>
      <c r="D46" s="102" t="s">
        <v>817</v>
      </c>
      <c r="E46" s="102" t="s">
        <v>777</v>
      </c>
      <c r="H46" s="103" t="s">
        <v>504</v>
      </c>
      <c r="J46" s="102" t="s">
        <v>493</v>
      </c>
      <c r="K46" s="102" t="s">
        <v>699</v>
      </c>
      <c r="S46" s="102" t="s">
        <v>818</v>
      </c>
      <c r="T46" s="102">
        <v>3</v>
      </c>
      <c r="U46" s="102">
        <v>1</v>
      </c>
      <c r="W46" s="102" t="s">
        <v>764</v>
      </c>
      <c r="AJ46" s="102" t="s">
        <v>731</v>
      </c>
      <c r="AK46" s="102" t="s">
        <v>819</v>
      </c>
      <c r="AO46" s="102" t="s">
        <v>820</v>
      </c>
      <c r="AP46" s="102" t="s">
        <v>821</v>
      </c>
    </row>
    <row r="47" spans="1:42" ht="12.75" x14ac:dyDescent="0.2">
      <c r="A47" s="104">
        <v>43397.544733773146</v>
      </c>
      <c r="C47" s="102" t="s">
        <v>822</v>
      </c>
      <c r="D47" s="102" t="s">
        <v>625</v>
      </c>
      <c r="E47" s="102" t="s">
        <v>823</v>
      </c>
      <c r="H47" s="103" t="s">
        <v>504</v>
      </c>
      <c r="J47" s="102" t="s">
        <v>505</v>
      </c>
      <c r="K47" s="102" t="s">
        <v>699</v>
      </c>
      <c r="S47" s="102" t="s">
        <v>824</v>
      </c>
      <c r="T47" s="102">
        <v>14</v>
      </c>
      <c r="U47" s="102">
        <v>0</v>
      </c>
      <c r="W47" s="102" t="s">
        <v>742</v>
      </c>
      <c r="AJ47" s="102" t="s">
        <v>679</v>
      </c>
      <c r="AK47" s="102" t="s">
        <v>814</v>
      </c>
      <c r="AN47" s="102" t="s">
        <v>796</v>
      </c>
      <c r="AP47" s="102" t="s">
        <v>797</v>
      </c>
    </row>
    <row r="48" spans="1:42" ht="12.75" x14ac:dyDescent="0.2">
      <c r="A48" s="104">
        <v>43397.546250983796</v>
      </c>
      <c r="C48" s="102" t="s">
        <v>825</v>
      </c>
      <c r="D48" s="102" t="s">
        <v>826</v>
      </c>
      <c r="E48" s="102" t="s">
        <v>827</v>
      </c>
      <c r="H48" s="103" t="s">
        <v>492</v>
      </c>
      <c r="J48" s="102" t="s">
        <v>493</v>
      </c>
      <c r="K48" s="102" t="s">
        <v>828</v>
      </c>
      <c r="S48" s="102" t="s">
        <v>829</v>
      </c>
      <c r="T48" s="102">
        <v>2</v>
      </c>
      <c r="U48" s="102">
        <v>0</v>
      </c>
      <c r="W48" s="102" t="s">
        <v>742</v>
      </c>
      <c r="AJ48" s="102" t="s">
        <v>830</v>
      </c>
      <c r="AK48" s="102" t="s">
        <v>814</v>
      </c>
    </row>
    <row r="49" spans="1:42" ht="12.75" x14ac:dyDescent="0.2">
      <c r="A49" s="104">
        <v>43425.994242222223</v>
      </c>
      <c r="C49" s="102" t="s">
        <v>831</v>
      </c>
      <c r="D49" s="102" t="s">
        <v>832</v>
      </c>
      <c r="E49" s="102">
        <v>5</v>
      </c>
      <c r="H49" s="103" t="s">
        <v>504</v>
      </c>
      <c r="J49" s="102" t="s">
        <v>493</v>
      </c>
      <c r="K49" s="102" t="s">
        <v>733</v>
      </c>
      <c r="S49" s="102">
        <v>150000</v>
      </c>
      <c r="T49" s="102">
        <v>5</v>
      </c>
      <c r="U49" s="102">
        <v>3</v>
      </c>
      <c r="W49" s="102" t="s">
        <v>684</v>
      </c>
      <c r="AJ49" s="102" t="s">
        <v>710</v>
      </c>
      <c r="AK49" s="102" t="s">
        <v>833</v>
      </c>
      <c r="AL49" s="102" t="s">
        <v>641</v>
      </c>
      <c r="AM49" s="102" t="s">
        <v>709</v>
      </c>
      <c r="AP49" s="102" t="s">
        <v>611</v>
      </c>
    </row>
    <row r="50" spans="1:42" ht="12.75" x14ac:dyDescent="0.2">
      <c r="A50" s="104">
        <v>43425.995343530092</v>
      </c>
      <c r="C50" s="102" t="s">
        <v>834</v>
      </c>
      <c r="D50" s="102" t="s">
        <v>832</v>
      </c>
      <c r="E50" s="102">
        <v>2</v>
      </c>
      <c r="H50" s="103" t="s">
        <v>498</v>
      </c>
      <c r="J50" s="102" t="s">
        <v>493</v>
      </c>
      <c r="S50" s="102">
        <v>150000</v>
      </c>
      <c r="T50" s="102">
        <v>7</v>
      </c>
      <c r="U50" s="102">
        <v>2</v>
      </c>
      <c r="W50" s="102" t="s">
        <v>684</v>
      </c>
      <c r="AJ50" s="102" t="s">
        <v>835</v>
      </c>
      <c r="AK50" s="102" t="s">
        <v>752</v>
      </c>
      <c r="AL50" s="102" t="s">
        <v>733</v>
      </c>
      <c r="AM50" s="102" t="s">
        <v>647</v>
      </c>
      <c r="AN50" s="102" t="s">
        <v>643</v>
      </c>
      <c r="AO50" s="102" t="s">
        <v>641</v>
      </c>
    </row>
    <row r="51" spans="1:42" ht="12.75" x14ac:dyDescent="0.2">
      <c r="A51" s="104">
        <v>43425.996739583337</v>
      </c>
      <c r="C51" s="102" t="s">
        <v>590</v>
      </c>
      <c r="D51" s="102" t="s">
        <v>836</v>
      </c>
      <c r="E51" s="102">
        <v>4</v>
      </c>
      <c r="H51" s="103" t="s">
        <v>504</v>
      </c>
      <c r="J51" s="102" t="s">
        <v>501</v>
      </c>
      <c r="K51" s="102" t="s">
        <v>733</v>
      </c>
      <c r="S51" s="102">
        <v>100000</v>
      </c>
      <c r="T51" s="102">
        <v>5</v>
      </c>
      <c r="U51" s="102">
        <v>3</v>
      </c>
      <c r="W51" s="102" t="s">
        <v>684</v>
      </c>
      <c r="AJ51" s="102" t="s">
        <v>837</v>
      </c>
      <c r="AK51" s="102" t="s">
        <v>752</v>
      </c>
      <c r="AL51" s="102" t="s">
        <v>641</v>
      </c>
      <c r="AM51" s="102" t="s">
        <v>673</v>
      </c>
      <c r="AO51" s="102" t="s">
        <v>643</v>
      </c>
      <c r="AP51" s="102" t="s">
        <v>611</v>
      </c>
    </row>
    <row r="52" spans="1:42" ht="12.75" x14ac:dyDescent="0.2">
      <c r="A52" s="104">
        <v>43426.00011706019</v>
      </c>
      <c r="C52" s="102" t="s">
        <v>590</v>
      </c>
      <c r="D52" s="102" t="s">
        <v>590</v>
      </c>
      <c r="E52" s="102">
        <v>5</v>
      </c>
      <c r="H52" s="103" t="s">
        <v>498</v>
      </c>
      <c r="J52" s="102" t="s">
        <v>499</v>
      </c>
      <c r="K52" s="102" t="s">
        <v>733</v>
      </c>
      <c r="S52" s="102">
        <v>100000</v>
      </c>
      <c r="T52" s="102">
        <v>2</v>
      </c>
      <c r="U52" s="102">
        <v>1</v>
      </c>
      <c r="W52" s="102" t="s">
        <v>838</v>
      </c>
      <c r="AJ52" s="102" t="s">
        <v>839</v>
      </c>
      <c r="AK52" s="102" t="s">
        <v>752</v>
      </c>
      <c r="AL52" s="102" t="s">
        <v>641</v>
      </c>
      <c r="AN52" s="102" t="s">
        <v>726</v>
      </c>
      <c r="AP52" s="102" t="s">
        <v>612</v>
      </c>
    </row>
    <row r="53" spans="1:42" ht="12.75" x14ac:dyDescent="0.2">
      <c r="A53" s="104">
        <v>43426.000861956018</v>
      </c>
      <c r="C53" s="102" t="s">
        <v>590</v>
      </c>
      <c r="D53" s="102" t="s">
        <v>590</v>
      </c>
      <c r="E53" s="102">
        <v>3</v>
      </c>
      <c r="H53" s="103" t="s">
        <v>492</v>
      </c>
      <c r="J53" s="102" t="s">
        <v>495</v>
      </c>
      <c r="K53" s="102" t="s">
        <v>687</v>
      </c>
      <c r="S53" s="102">
        <v>150000</v>
      </c>
      <c r="T53" s="102">
        <v>3</v>
      </c>
      <c r="U53" s="102">
        <v>1</v>
      </c>
      <c r="W53" s="102" t="s">
        <v>695</v>
      </c>
      <c r="AJ53" s="102" t="s">
        <v>619</v>
      </c>
      <c r="AK53" s="102" t="s">
        <v>840</v>
      </c>
      <c r="AM53" s="102" t="s">
        <v>841</v>
      </c>
    </row>
    <row r="54" spans="1:42" ht="12.75" x14ac:dyDescent="0.2">
      <c r="A54" s="104">
        <v>43426.002756574075</v>
      </c>
      <c r="C54" s="102" t="s">
        <v>590</v>
      </c>
      <c r="D54" s="102" t="s">
        <v>836</v>
      </c>
      <c r="E54" s="102">
        <v>2</v>
      </c>
      <c r="H54" s="103" t="s">
        <v>500</v>
      </c>
      <c r="J54" s="102" t="s">
        <v>495</v>
      </c>
      <c r="S54" s="102">
        <v>75000</v>
      </c>
      <c r="T54" s="102">
        <v>3</v>
      </c>
      <c r="U54" s="102">
        <v>1</v>
      </c>
      <c r="W54" s="102" t="s">
        <v>684</v>
      </c>
      <c r="AJ54" s="102" t="s">
        <v>842</v>
      </c>
      <c r="AK54" s="102" t="s">
        <v>843</v>
      </c>
      <c r="AL54" s="102" t="s">
        <v>690</v>
      </c>
      <c r="AM54" s="102" t="s">
        <v>797</v>
      </c>
      <c r="AN54" s="102" t="s">
        <v>820</v>
      </c>
    </row>
    <row r="55" spans="1:42" ht="12.75" x14ac:dyDescent="0.2">
      <c r="A55" s="104">
        <v>43426.003999780092</v>
      </c>
      <c r="C55" s="102" t="s">
        <v>590</v>
      </c>
      <c r="D55" s="102" t="s">
        <v>836</v>
      </c>
      <c r="E55" s="102">
        <v>4</v>
      </c>
      <c r="H55" s="103" t="s">
        <v>494</v>
      </c>
      <c r="J55" s="102" t="s">
        <v>495</v>
      </c>
      <c r="K55" s="102" t="s">
        <v>687</v>
      </c>
      <c r="S55" s="102">
        <v>90000</v>
      </c>
      <c r="T55" s="102">
        <v>2</v>
      </c>
      <c r="U55" s="102">
        <v>1</v>
      </c>
      <c r="W55" s="102" t="s">
        <v>663</v>
      </c>
      <c r="AJ55" s="102" t="s">
        <v>844</v>
      </c>
      <c r="AK55" s="102" t="s">
        <v>752</v>
      </c>
      <c r="AM55" s="102" t="s">
        <v>647</v>
      </c>
      <c r="AN55" s="102" t="s">
        <v>643</v>
      </c>
    </row>
    <row r="56" spans="1:42" ht="12.75" x14ac:dyDescent="0.2">
      <c r="A56" s="104">
        <v>43426.005033437497</v>
      </c>
      <c r="C56" s="102" t="s">
        <v>590</v>
      </c>
      <c r="D56" s="102" t="s">
        <v>836</v>
      </c>
      <c r="E56" s="102">
        <v>1</v>
      </c>
      <c r="H56" s="103" t="s">
        <v>494</v>
      </c>
      <c r="J56" s="102" t="s">
        <v>493</v>
      </c>
      <c r="K56" s="102" t="s">
        <v>733</v>
      </c>
      <c r="S56" s="102">
        <v>150000</v>
      </c>
      <c r="T56" s="102">
        <v>3</v>
      </c>
      <c r="U56" s="102">
        <v>0</v>
      </c>
      <c r="W56" s="102" t="s">
        <v>695</v>
      </c>
      <c r="AJ56" s="102" t="s">
        <v>619</v>
      </c>
      <c r="AK56" s="102" t="s">
        <v>845</v>
      </c>
      <c r="AL56" s="102" t="s">
        <v>641</v>
      </c>
      <c r="AM56" s="102" t="s">
        <v>673</v>
      </c>
      <c r="AO56" s="102" t="s">
        <v>781</v>
      </c>
    </row>
    <row r="57" spans="1:42" ht="12.75" x14ac:dyDescent="0.2">
      <c r="A57" s="104">
        <v>43426.005968217592</v>
      </c>
      <c r="C57" s="102" t="s">
        <v>836</v>
      </c>
      <c r="D57" s="102" t="s">
        <v>836</v>
      </c>
      <c r="E57" s="102">
        <v>5</v>
      </c>
      <c r="H57" s="103" t="s">
        <v>500</v>
      </c>
      <c r="J57" s="102" t="s">
        <v>493</v>
      </c>
      <c r="K57" s="102" t="s">
        <v>699</v>
      </c>
      <c r="S57" s="102">
        <v>120000</v>
      </c>
      <c r="T57" s="102">
        <v>3</v>
      </c>
      <c r="U57" s="102">
        <v>1</v>
      </c>
      <c r="W57" s="102" t="s">
        <v>695</v>
      </c>
      <c r="AJ57" s="102" t="s">
        <v>846</v>
      </c>
      <c r="AK57" s="102" t="s">
        <v>845</v>
      </c>
      <c r="AL57" s="102" t="s">
        <v>681</v>
      </c>
      <c r="AM57" s="102" t="s">
        <v>709</v>
      </c>
      <c r="AN57" s="102" t="s">
        <v>611</v>
      </c>
    </row>
    <row r="58" spans="1:42" ht="12.75" x14ac:dyDescent="0.2">
      <c r="A58" s="104">
        <v>43426.006988055553</v>
      </c>
      <c r="C58" s="102" t="s">
        <v>847</v>
      </c>
      <c r="D58" s="102" t="s">
        <v>836</v>
      </c>
      <c r="E58" s="102">
        <v>1</v>
      </c>
      <c r="H58" s="103" t="s">
        <v>504</v>
      </c>
      <c r="J58" s="102" t="s">
        <v>493</v>
      </c>
      <c r="K58" s="102" t="s">
        <v>733</v>
      </c>
      <c r="S58" s="102">
        <v>150000</v>
      </c>
      <c r="T58" s="102">
        <v>4</v>
      </c>
      <c r="U58" s="102">
        <v>2</v>
      </c>
      <c r="W58" s="102" t="s">
        <v>684</v>
      </c>
      <c r="AJ58" s="102" t="s">
        <v>645</v>
      </c>
      <c r="AK58" s="102" t="s">
        <v>845</v>
      </c>
      <c r="AM58" s="102" t="s">
        <v>611</v>
      </c>
      <c r="AN58" s="102" t="s">
        <v>673</v>
      </c>
      <c r="AO58" s="102" t="s">
        <v>641</v>
      </c>
      <c r="AP58" s="102" t="s">
        <v>643</v>
      </c>
    </row>
    <row r="59" spans="1:42" ht="12.75" x14ac:dyDescent="0.2">
      <c r="A59" s="104">
        <v>43426.009157337961</v>
      </c>
      <c r="C59" s="102" t="s">
        <v>590</v>
      </c>
      <c r="D59" s="102" t="s">
        <v>836</v>
      </c>
      <c r="E59" s="102">
        <v>3</v>
      </c>
      <c r="H59" s="103" t="s">
        <v>496</v>
      </c>
      <c r="J59" s="102" t="s">
        <v>497</v>
      </c>
      <c r="K59" s="102" t="s">
        <v>701</v>
      </c>
      <c r="S59" s="102">
        <v>200000</v>
      </c>
      <c r="T59" s="102">
        <v>3</v>
      </c>
      <c r="U59" s="102">
        <v>1</v>
      </c>
      <c r="W59" s="102" t="s">
        <v>691</v>
      </c>
      <c r="AJ59" s="102" t="s">
        <v>835</v>
      </c>
      <c r="AK59" s="102" t="s">
        <v>732</v>
      </c>
      <c r="AN59" s="102" t="s">
        <v>820</v>
      </c>
      <c r="AO59" s="102" t="s">
        <v>690</v>
      </c>
      <c r="AP59" s="102" t="s">
        <v>622</v>
      </c>
    </row>
    <row r="60" spans="1:42" ht="12.75" x14ac:dyDescent="0.2">
      <c r="A60" s="104">
        <v>43426.010255543981</v>
      </c>
      <c r="C60" s="102" t="s">
        <v>590</v>
      </c>
      <c r="D60" s="102" t="s">
        <v>836</v>
      </c>
      <c r="E60" s="102">
        <v>5</v>
      </c>
      <c r="H60" s="103" t="s">
        <v>504</v>
      </c>
      <c r="J60" s="102" t="s">
        <v>495</v>
      </c>
      <c r="K60" s="102" t="s">
        <v>690</v>
      </c>
      <c r="S60" s="102">
        <v>120000</v>
      </c>
      <c r="T60" s="102">
        <v>4</v>
      </c>
      <c r="U60" s="102">
        <v>1</v>
      </c>
      <c r="W60" s="102" t="s">
        <v>684</v>
      </c>
      <c r="AJ60" s="102" t="s">
        <v>848</v>
      </c>
      <c r="AK60" s="102" t="s">
        <v>849</v>
      </c>
      <c r="AL60" s="102" t="s">
        <v>614</v>
      </c>
      <c r="AM60" s="102" t="s">
        <v>673</v>
      </c>
      <c r="AN60" s="102" t="s">
        <v>611</v>
      </c>
      <c r="AP60" s="102" t="s">
        <v>643</v>
      </c>
    </row>
    <row r="61" spans="1:42" ht="12.75" x14ac:dyDescent="0.2">
      <c r="A61" s="104">
        <v>43426.0111200463</v>
      </c>
      <c r="C61" s="102" t="s">
        <v>836</v>
      </c>
      <c r="D61" s="102" t="s">
        <v>836</v>
      </c>
      <c r="E61" s="102">
        <v>3</v>
      </c>
      <c r="H61" s="103" t="s">
        <v>500</v>
      </c>
      <c r="J61" s="102" t="s">
        <v>499</v>
      </c>
      <c r="K61" s="102" t="s">
        <v>687</v>
      </c>
      <c r="S61" s="102">
        <v>150000</v>
      </c>
      <c r="T61" s="102">
        <v>3</v>
      </c>
      <c r="U61" s="102">
        <v>1</v>
      </c>
      <c r="W61" s="102" t="s">
        <v>684</v>
      </c>
      <c r="AJ61" s="102" t="s">
        <v>619</v>
      </c>
      <c r="AK61" s="102" t="s">
        <v>849</v>
      </c>
      <c r="AM61" s="102" t="s">
        <v>820</v>
      </c>
      <c r="AN61" s="102" t="s">
        <v>673</v>
      </c>
      <c r="AP61" s="102" t="s">
        <v>622</v>
      </c>
    </row>
    <row r="62" spans="1:42" ht="12.75" x14ac:dyDescent="0.2">
      <c r="A62" s="104">
        <v>43426.012046597221</v>
      </c>
      <c r="C62" s="102" t="s">
        <v>836</v>
      </c>
      <c r="D62" s="102" t="s">
        <v>836</v>
      </c>
      <c r="E62" s="102">
        <v>5</v>
      </c>
      <c r="H62" s="103" t="s">
        <v>500</v>
      </c>
      <c r="J62" s="102" t="s">
        <v>495</v>
      </c>
      <c r="K62" s="102" t="s">
        <v>681</v>
      </c>
      <c r="S62" s="102">
        <v>100000</v>
      </c>
      <c r="T62" s="102">
        <v>4</v>
      </c>
      <c r="U62" s="102">
        <v>0</v>
      </c>
      <c r="W62" s="102" t="s">
        <v>691</v>
      </c>
      <c r="AJ62" s="102" t="s">
        <v>848</v>
      </c>
      <c r="AK62" s="102" t="s">
        <v>850</v>
      </c>
      <c r="AL62" s="102" t="s">
        <v>699</v>
      </c>
      <c r="AN62" s="102" t="s">
        <v>659</v>
      </c>
      <c r="AP62" s="102" t="s">
        <v>820</v>
      </c>
    </row>
    <row r="63" spans="1:42" ht="12.75" x14ac:dyDescent="0.2">
      <c r="A63" s="104">
        <v>43426.012849594903</v>
      </c>
      <c r="C63" s="102" t="s">
        <v>847</v>
      </c>
      <c r="D63" s="102" t="s">
        <v>836</v>
      </c>
      <c r="E63" s="102">
        <v>2</v>
      </c>
      <c r="H63" s="103" t="s">
        <v>496</v>
      </c>
      <c r="J63" s="102" t="s">
        <v>495</v>
      </c>
      <c r="K63" s="102" t="s">
        <v>681</v>
      </c>
      <c r="S63" s="102">
        <v>120000</v>
      </c>
      <c r="T63" s="102">
        <v>4</v>
      </c>
      <c r="U63" s="102">
        <v>0</v>
      </c>
      <c r="W63" s="102" t="s">
        <v>691</v>
      </c>
      <c r="AJ63" s="102" t="s">
        <v>851</v>
      </c>
      <c r="AK63" s="102" t="s">
        <v>852</v>
      </c>
      <c r="AL63" s="102" t="s">
        <v>699</v>
      </c>
      <c r="AN63" s="102" t="s">
        <v>726</v>
      </c>
      <c r="AP63" s="102" t="s">
        <v>612</v>
      </c>
    </row>
    <row r="64" spans="1:42" ht="12.75" hidden="1" x14ac:dyDescent="0.2">
      <c r="H64" s="53"/>
    </row>
    <row r="65" s="53" customFormat="1" ht="12.75" hidden="1" x14ac:dyDescent="0.2"/>
    <row r="66" s="53" customFormat="1" ht="12.75" hidden="1" x14ac:dyDescent="0.2"/>
    <row r="67" s="53" customFormat="1" ht="12.75" hidden="1" x14ac:dyDescent="0.2"/>
    <row r="68" s="53" customFormat="1" ht="12.75" hidden="1" x14ac:dyDescent="0.2"/>
    <row r="69" s="53" customFormat="1" ht="12.75" hidden="1" x14ac:dyDescent="0.2"/>
    <row r="70" s="53" customFormat="1" ht="12.75" hidden="1" x14ac:dyDescent="0.2"/>
    <row r="71" s="53" customFormat="1" ht="12.75" hidden="1" x14ac:dyDescent="0.2"/>
    <row r="72" s="53" customFormat="1" ht="12.75" hidden="1" x14ac:dyDescent="0.2"/>
    <row r="73" s="53" customFormat="1" ht="12.75" hidden="1" x14ac:dyDescent="0.2"/>
    <row r="74" s="53" customFormat="1" ht="12.75" hidden="1" x14ac:dyDescent="0.2"/>
    <row r="75" s="53" customFormat="1" ht="12.75" hidden="1" x14ac:dyDescent="0.2"/>
    <row r="76" s="53" customFormat="1" ht="12.75" hidden="1" x14ac:dyDescent="0.2"/>
    <row r="77" s="53" customFormat="1" ht="12.75" hidden="1" x14ac:dyDescent="0.2"/>
    <row r="78" s="53" customFormat="1" ht="12.75" hidden="1" x14ac:dyDescent="0.2"/>
    <row r="79" s="53" customFormat="1" ht="12.75" hidden="1" x14ac:dyDescent="0.2"/>
    <row r="80" s="53" customFormat="1" ht="12.75" hidden="1" x14ac:dyDescent="0.2"/>
    <row r="81" s="53" customFormat="1" ht="12.75" hidden="1" x14ac:dyDescent="0.2"/>
    <row r="82" s="53" customFormat="1" ht="12.75" hidden="1" x14ac:dyDescent="0.2"/>
    <row r="83" s="53" customFormat="1" ht="12.75" hidden="1" x14ac:dyDescent="0.2"/>
    <row r="84" s="53" customFormat="1" ht="12.75" hidden="1" x14ac:dyDescent="0.2"/>
    <row r="85" s="53" customFormat="1" ht="12.75" hidden="1" x14ac:dyDescent="0.2"/>
    <row r="86" s="53" customFormat="1" ht="12.75" hidden="1" x14ac:dyDescent="0.2"/>
    <row r="87" s="53" customFormat="1" ht="12.75" hidden="1" x14ac:dyDescent="0.2"/>
    <row r="88" s="53" customFormat="1" ht="12.75" hidden="1" x14ac:dyDescent="0.2"/>
    <row r="89" s="53" customFormat="1" ht="12.75" hidden="1" x14ac:dyDescent="0.2"/>
    <row r="90" s="53" customFormat="1" ht="12.75" hidden="1" x14ac:dyDescent="0.2"/>
    <row r="91" s="53" customFormat="1" ht="12.75" hidden="1" x14ac:dyDescent="0.2"/>
    <row r="92" s="53" customFormat="1" ht="12.75" hidden="1" x14ac:dyDescent="0.2"/>
    <row r="93" s="53" customFormat="1" ht="12.75" hidden="1" x14ac:dyDescent="0.2"/>
    <row r="94" s="53" customFormat="1" ht="12.75" hidden="1" x14ac:dyDescent="0.2"/>
    <row r="95" s="53" customFormat="1" ht="12.75" hidden="1" x14ac:dyDescent="0.2"/>
    <row r="96" s="53" customFormat="1" ht="12.75" hidden="1" x14ac:dyDescent="0.2"/>
    <row r="97" s="53" customFormat="1" ht="12.75" hidden="1" x14ac:dyDescent="0.2"/>
    <row r="98" s="53" customFormat="1" ht="12.75" hidden="1" x14ac:dyDescent="0.2"/>
    <row r="99" s="53" customFormat="1" ht="12.75" hidden="1" x14ac:dyDescent="0.2"/>
    <row r="100" s="53" customFormat="1" ht="12.75" hidden="1" x14ac:dyDescent="0.2"/>
    <row r="101" s="53" customFormat="1" ht="12.75" hidden="1" x14ac:dyDescent="0.2"/>
    <row r="102" s="53" customFormat="1" ht="12.75" hidden="1" x14ac:dyDescent="0.2"/>
    <row r="103" s="53" customFormat="1" ht="12.75" hidden="1" x14ac:dyDescent="0.2"/>
    <row r="104" s="53" customFormat="1" ht="12.75" hidden="1" x14ac:dyDescent="0.2"/>
    <row r="105" s="53" customFormat="1" ht="12.75" hidden="1" x14ac:dyDescent="0.2"/>
    <row r="106" s="53" customFormat="1" ht="12.75" hidden="1" x14ac:dyDescent="0.2"/>
    <row r="107" s="53" customFormat="1" ht="12.75" hidden="1" x14ac:dyDescent="0.2"/>
    <row r="108" s="53" customFormat="1" ht="12.75" hidden="1" x14ac:dyDescent="0.2"/>
    <row r="109" s="53" customFormat="1" ht="12.75" hidden="1" x14ac:dyDescent="0.2"/>
    <row r="110" s="53" customFormat="1" ht="12.75" hidden="1" x14ac:dyDescent="0.2"/>
    <row r="111" s="53" customFormat="1" ht="12.75" hidden="1" x14ac:dyDescent="0.2"/>
    <row r="112" s="53" customFormat="1" ht="12.75" hidden="1" x14ac:dyDescent="0.2"/>
    <row r="113" s="53" customFormat="1" ht="12.75" hidden="1" x14ac:dyDescent="0.2"/>
    <row r="114" s="53" customFormat="1" ht="12.75" hidden="1" x14ac:dyDescent="0.2"/>
    <row r="115" s="53" customFormat="1" ht="12.75" hidden="1" x14ac:dyDescent="0.2"/>
    <row r="116" s="53" customFormat="1" ht="12.75" hidden="1" x14ac:dyDescent="0.2"/>
    <row r="117" s="53" customFormat="1" ht="12.75" hidden="1" x14ac:dyDescent="0.2"/>
    <row r="118" s="53" customFormat="1" ht="12.75" hidden="1" x14ac:dyDescent="0.2"/>
    <row r="119" s="53" customFormat="1" ht="12.75" hidden="1" x14ac:dyDescent="0.2"/>
    <row r="120" s="53" customFormat="1" ht="12.75" hidden="1" x14ac:dyDescent="0.2"/>
    <row r="121" s="53" customFormat="1" ht="12.75" hidden="1" x14ac:dyDescent="0.2"/>
    <row r="122" s="53" customFormat="1" ht="12.75" hidden="1" x14ac:dyDescent="0.2"/>
    <row r="123" s="53" customFormat="1" ht="12.75" hidden="1" x14ac:dyDescent="0.2"/>
    <row r="124" s="53" customFormat="1" ht="12.75" hidden="1" x14ac:dyDescent="0.2"/>
    <row r="125" s="53" customFormat="1" ht="12.75" hidden="1" x14ac:dyDescent="0.2"/>
    <row r="126" s="53" customFormat="1" ht="12.75" hidden="1" x14ac:dyDescent="0.2"/>
    <row r="127" s="53" customFormat="1" ht="12.75" hidden="1" x14ac:dyDescent="0.2"/>
    <row r="128" s="53" customFormat="1" ht="12.75" hidden="1" x14ac:dyDescent="0.2"/>
    <row r="129" s="53" customFormat="1" ht="12.75" hidden="1" x14ac:dyDescent="0.2"/>
    <row r="130" s="53" customFormat="1" ht="12.75" hidden="1" x14ac:dyDescent="0.2"/>
    <row r="131" s="53" customFormat="1" ht="12.75" hidden="1" x14ac:dyDescent="0.2"/>
    <row r="132" s="53" customFormat="1" ht="12.75" hidden="1" x14ac:dyDescent="0.2"/>
    <row r="133" s="53" customFormat="1" ht="12.75" hidden="1" x14ac:dyDescent="0.2"/>
    <row r="134" s="53" customFormat="1" ht="12.75" hidden="1" x14ac:dyDescent="0.2"/>
    <row r="135" s="53" customFormat="1" ht="12.75" hidden="1" x14ac:dyDescent="0.2"/>
    <row r="136" s="53" customFormat="1" ht="12.75" hidden="1" x14ac:dyDescent="0.2"/>
    <row r="137" s="53" customFormat="1" ht="12.75" hidden="1" x14ac:dyDescent="0.2"/>
    <row r="138" s="53" customFormat="1" ht="12.75" hidden="1" x14ac:dyDescent="0.2"/>
    <row r="139" s="53" customFormat="1" ht="12.75" hidden="1" x14ac:dyDescent="0.2"/>
    <row r="140" s="53" customFormat="1" ht="12.75" hidden="1" x14ac:dyDescent="0.2"/>
    <row r="141" s="53" customFormat="1" ht="12.75" hidden="1" x14ac:dyDescent="0.2"/>
    <row r="142" s="53" customFormat="1" ht="12.75" hidden="1" x14ac:dyDescent="0.2"/>
    <row r="143" s="53" customFormat="1" ht="12.75" hidden="1" x14ac:dyDescent="0.2"/>
    <row r="144" s="53" customFormat="1" ht="12.75" hidden="1" x14ac:dyDescent="0.2"/>
    <row r="145" s="53" customFormat="1" ht="12.75" hidden="1" x14ac:dyDescent="0.2"/>
    <row r="146" s="53" customFormat="1" ht="12.75" hidden="1" x14ac:dyDescent="0.2"/>
    <row r="147" s="53" customFormat="1" ht="12.75" hidden="1" x14ac:dyDescent="0.2"/>
    <row r="148" s="53" customFormat="1" ht="12.75" hidden="1" x14ac:dyDescent="0.2"/>
    <row r="149" s="53" customFormat="1" ht="12.75" hidden="1" x14ac:dyDescent="0.2"/>
    <row r="150" s="53" customFormat="1" ht="12.75" hidden="1" x14ac:dyDescent="0.2"/>
    <row r="151" s="53" customFormat="1" ht="12.75" hidden="1" x14ac:dyDescent="0.2"/>
    <row r="152" s="53" customFormat="1" ht="12.75" hidden="1" x14ac:dyDescent="0.2"/>
    <row r="153" s="53" customFormat="1" ht="12.75" hidden="1" x14ac:dyDescent="0.2"/>
    <row r="154" s="53" customFormat="1" ht="12.75" hidden="1" x14ac:dyDescent="0.2"/>
    <row r="155" s="53" customFormat="1" ht="12.75" hidden="1" x14ac:dyDescent="0.2"/>
    <row r="156" s="53" customFormat="1" ht="12.75" hidden="1" x14ac:dyDescent="0.2"/>
    <row r="157" s="53" customFormat="1" ht="12.75" hidden="1" x14ac:dyDescent="0.2"/>
    <row r="158" s="53" customFormat="1" ht="12.75" hidden="1" x14ac:dyDescent="0.2"/>
    <row r="159" s="53" customFormat="1" ht="12.75" hidden="1" x14ac:dyDescent="0.2"/>
    <row r="160" s="53" customFormat="1" ht="12.75" hidden="1" x14ac:dyDescent="0.2"/>
    <row r="161" s="53" customFormat="1" ht="12.75" hidden="1" x14ac:dyDescent="0.2"/>
    <row r="162" s="53" customFormat="1" ht="12.75" hidden="1" x14ac:dyDescent="0.2"/>
    <row r="163" s="53" customFormat="1" ht="12.75" hidden="1" x14ac:dyDescent="0.2"/>
  </sheetData>
  <autoFilter ref="AJ1:AJ163">
    <filterColumn colId="0">
      <filters>
        <filter val="Chugtai lab"/>
        <filter val="Chugtitai Lab"/>
        <filter val="DOW Lab"/>
        <filter val="Dr. Ehsanullah Lab"/>
        <filter val="Dr. Essa Lab"/>
        <filter val="ESSA Lab"/>
        <filter val="Mehdi A Manjhi"/>
        <filter val="Mothers Lab"/>
        <filter val="Sindlab"/>
        <filter val="Sindlab Collection point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62"/>
  <sheetViews>
    <sheetView topLeftCell="J1" workbookViewId="0">
      <pane ySplit="1" topLeftCell="A2" activePane="bottomLeft" state="frozen"/>
      <selection activeCell="A17" sqref="A17"/>
      <selection pane="bottomLeft" activeCell="A17" sqref="A17"/>
    </sheetView>
  </sheetViews>
  <sheetFormatPr defaultColWidth="14.42578125" defaultRowHeight="15.75" customHeight="1" x14ac:dyDescent="0.2"/>
  <cols>
    <col min="1" max="48" width="21.5703125" style="53" customWidth="1"/>
    <col min="49" max="16384" width="14.42578125" style="53"/>
  </cols>
  <sheetData>
    <row r="1" spans="1:42" ht="15.75" customHeight="1" x14ac:dyDescent="0.2">
      <c r="A1" s="53" t="s">
        <v>535</v>
      </c>
      <c r="B1" s="102" t="s">
        <v>853</v>
      </c>
      <c r="C1" s="102" t="s">
        <v>854</v>
      </c>
      <c r="D1" s="102" t="s">
        <v>855</v>
      </c>
      <c r="E1" s="102" t="s">
        <v>856</v>
      </c>
      <c r="F1" s="102" t="s">
        <v>857</v>
      </c>
      <c r="G1" s="102" t="s">
        <v>858</v>
      </c>
      <c r="H1" s="102" t="s">
        <v>859</v>
      </c>
      <c r="I1" s="53" t="s">
        <v>860</v>
      </c>
      <c r="J1" s="53" t="s">
        <v>861</v>
      </c>
      <c r="K1" s="102" t="s">
        <v>862</v>
      </c>
      <c r="L1" s="102" t="s">
        <v>863</v>
      </c>
      <c r="M1" s="102" t="s">
        <v>864</v>
      </c>
      <c r="N1" s="53" t="s">
        <v>865</v>
      </c>
      <c r="O1" s="102" t="s">
        <v>866</v>
      </c>
      <c r="P1" s="102" t="s">
        <v>867</v>
      </c>
      <c r="Q1" s="53" t="s">
        <v>868</v>
      </c>
      <c r="R1" s="53" t="s">
        <v>869</v>
      </c>
      <c r="S1" s="53" t="s">
        <v>870</v>
      </c>
      <c r="T1" s="53" t="s">
        <v>871</v>
      </c>
      <c r="U1" s="53" t="s">
        <v>872</v>
      </c>
      <c r="V1" s="53" t="s">
        <v>873</v>
      </c>
      <c r="W1" s="53" t="s">
        <v>874</v>
      </c>
      <c r="X1" s="53" t="s">
        <v>875</v>
      </c>
      <c r="Y1" s="53" t="s">
        <v>876</v>
      </c>
      <c r="Z1" s="53" t="s">
        <v>877</v>
      </c>
      <c r="AA1" s="53" t="s">
        <v>878</v>
      </c>
      <c r="AB1" s="53" t="s">
        <v>879</v>
      </c>
      <c r="AC1" s="53" t="s">
        <v>880</v>
      </c>
      <c r="AD1" s="53" t="s">
        <v>881</v>
      </c>
      <c r="AE1" s="53" t="s">
        <v>882</v>
      </c>
      <c r="AF1" s="53" t="s">
        <v>883</v>
      </c>
      <c r="AG1" s="53" t="s">
        <v>884</v>
      </c>
      <c r="AH1" s="53" t="s">
        <v>885</v>
      </c>
      <c r="AI1" s="102" t="s">
        <v>860</v>
      </c>
      <c r="AJ1" s="102" t="s">
        <v>886</v>
      </c>
      <c r="AK1" s="102" t="s">
        <v>887</v>
      </c>
      <c r="AL1" s="102" t="s">
        <v>870</v>
      </c>
      <c r="AM1" s="102" t="s">
        <v>871</v>
      </c>
      <c r="AN1" s="102" t="s">
        <v>872</v>
      </c>
      <c r="AO1" s="102" t="s">
        <v>888</v>
      </c>
      <c r="AP1" s="102" t="s">
        <v>889</v>
      </c>
    </row>
    <row r="2" spans="1:42" ht="15.75" customHeight="1" x14ac:dyDescent="0.2">
      <c r="A2" s="104">
        <v>43360.532312835647</v>
      </c>
      <c r="B2" s="102" t="s">
        <v>890</v>
      </c>
      <c r="C2" s="102">
        <v>31</v>
      </c>
      <c r="D2" s="102" t="s">
        <v>891</v>
      </c>
      <c r="E2" s="102" t="s">
        <v>892</v>
      </c>
      <c r="F2" s="102" t="s">
        <v>893</v>
      </c>
      <c r="G2" s="102" t="s">
        <v>894</v>
      </c>
      <c r="H2" s="102" t="s">
        <v>492</v>
      </c>
      <c r="K2" s="102" t="s">
        <v>513</v>
      </c>
      <c r="L2" s="102" t="s">
        <v>895</v>
      </c>
      <c r="M2" s="102" t="s">
        <v>614</v>
      </c>
      <c r="O2" s="102" t="s">
        <v>511</v>
      </c>
      <c r="P2" s="102" t="s">
        <v>497</v>
      </c>
      <c r="V2" s="102">
        <v>200</v>
      </c>
      <c r="W2" s="102">
        <v>300</v>
      </c>
      <c r="X2" s="102">
        <v>300</v>
      </c>
      <c r="Y2" s="102">
        <v>100</v>
      </c>
      <c r="Z2" s="102">
        <v>100</v>
      </c>
      <c r="AA2" s="102">
        <v>200</v>
      </c>
      <c r="AB2" s="102">
        <v>400</v>
      </c>
      <c r="AC2" s="102">
        <v>400</v>
      </c>
      <c r="AD2" s="102">
        <v>500</v>
      </c>
      <c r="AE2" s="102">
        <v>800</v>
      </c>
      <c r="AF2" s="102">
        <v>1000</v>
      </c>
      <c r="AG2" s="102" t="s">
        <v>896</v>
      </c>
      <c r="AH2" s="102" t="s">
        <v>896</v>
      </c>
      <c r="AI2" s="102" t="s">
        <v>897</v>
      </c>
      <c r="AJ2" s="102" t="s">
        <v>898</v>
      </c>
      <c r="AL2" s="102" t="s">
        <v>899</v>
      </c>
      <c r="AM2" s="102" t="s">
        <v>899</v>
      </c>
      <c r="AN2" s="102" t="s">
        <v>899</v>
      </c>
      <c r="AO2" s="102" t="s">
        <v>900</v>
      </c>
      <c r="AP2" s="102" t="s">
        <v>898</v>
      </c>
    </row>
    <row r="3" spans="1:42" ht="15.75" customHeight="1" x14ac:dyDescent="0.2">
      <c r="A3" s="104">
        <v>43360.539745567134</v>
      </c>
      <c r="B3" s="102" t="s">
        <v>901</v>
      </c>
      <c r="C3" s="102">
        <v>29</v>
      </c>
      <c r="D3" s="102" t="s">
        <v>902</v>
      </c>
      <c r="E3" s="102" t="s">
        <v>903</v>
      </c>
      <c r="F3" s="102" t="s">
        <v>904</v>
      </c>
      <c r="G3" s="102" t="s">
        <v>894</v>
      </c>
      <c r="H3" s="102" t="s">
        <v>492</v>
      </c>
      <c r="K3" s="102" t="s">
        <v>511</v>
      </c>
      <c r="L3" s="102" t="s">
        <v>895</v>
      </c>
      <c r="M3" s="102" t="s">
        <v>614</v>
      </c>
      <c r="O3" s="102" t="s">
        <v>511</v>
      </c>
      <c r="P3" s="102" t="s">
        <v>512</v>
      </c>
      <c r="V3" s="102">
        <v>200</v>
      </c>
      <c r="W3" s="102">
        <v>300</v>
      </c>
      <c r="X3" s="102">
        <v>300</v>
      </c>
      <c r="Y3" s="102">
        <v>100</v>
      </c>
      <c r="Z3" s="102">
        <v>100</v>
      </c>
      <c r="AA3" s="102">
        <v>200</v>
      </c>
      <c r="AB3" s="102">
        <v>400</v>
      </c>
      <c r="AC3" s="102">
        <v>400</v>
      </c>
      <c r="AD3" s="102">
        <v>500</v>
      </c>
      <c r="AE3" s="102">
        <v>800</v>
      </c>
      <c r="AF3" s="102">
        <v>400</v>
      </c>
      <c r="AG3" s="102">
        <v>800</v>
      </c>
      <c r="AH3" s="102" t="s">
        <v>896</v>
      </c>
      <c r="AI3" s="102">
        <v>6</v>
      </c>
      <c r="AJ3" s="102" t="s">
        <v>898</v>
      </c>
      <c r="AL3" s="102" t="s">
        <v>899</v>
      </c>
      <c r="AM3" s="102" t="s">
        <v>899</v>
      </c>
      <c r="AN3" s="102" t="s">
        <v>899</v>
      </c>
      <c r="AO3" s="102" t="s">
        <v>900</v>
      </c>
      <c r="AP3" s="102" t="s">
        <v>905</v>
      </c>
    </row>
    <row r="4" spans="1:42" ht="15.75" customHeight="1" x14ac:dyDescent="0.2">
      <c r="A4" s="104">
        <v>43360.551191701394</v>
      </c>
      <c r="B4" s="102" t="s">
        <v>906</v>
      </c>
      <c r="C4" s="102">
        <v>38</v>
      </c>
      <c r="D4" s="102" t="s">
        <v>902</v>
      </c>
      <c r="E4" s="102" t="s">
        <v>892</v>
      </c>
      <c r="F4" s="102" t="s">
        <v>904</v>
      </c>
      <c r="G4" s="102" t="s">
        <v>894</v>
      </c>
      <c r="H4" s="102" t="s">
        <v>514</v>
      </c>
      <c r="K4" s="102" t="s">
        <v>511</v>
      </c>
      <c r="L4" s="102" t="s">
        <v>895</v>
      </c>
      <c r="M4" s="102" t="s">
        <v>614</v>
      </c>
      <c r="O4" s="102" t="s">
        <v>511</v>
      </c>
      <c r="P4" s="102" t="s">
        <v>512</v>
      </c>
      <c r="V4" s="102">
        <v>200</v>
      </c>
      <c r="W4" s="102">
        <v>200</v>
      </c>
      <c r="X4" s="102">
        <v>200</v>
      </c>
      <c r="Y4" s="102">
        <v>100</v>
      </c>
      <c r="Z4" s="102">
        <v>100</v>
      </c>
      <c r="AA4" s="102">
        <v>200</v>
      </c>
      <c r="AB4" s="102">
        <v>400</v>
      </c>
      <c r="AC4" s="102">
        <v>400</v>
      </c>
      <c r="AD4" s="102">
        <v>600</v>
      </c>
      <c r="AE4" s="102">
        <v>600</v>
      </c>
      <c r="AF4" s="102">
        <v>500</v>
      </c>
      <c r="AG4" s="102">
        <v>200</v>
      </c>
      <c r="AH4" s="102" t="s">
        <v>896</v>
      </c>
      <c r="AI4" s="102">
        <v>6</v>
      </c>
      <c r="AJ4" s="102" t="s">
        <v>898</v>
      </c>
      <c r="AL4" s="102" t="s">
        <v>899</v>
      </c>
      <c r="AM4" s="102" t="s">
        <v>899</v>
      </c>
      <c r="AN4" s="102" t="s">
        <v>899</v>
      </c>
      <c r="AO4" s="102" t="s">
        <v>907</v>
      </c>
      <c r="AP4" s="102" t="s">
        <v>898</v>
      </c>
    </row>
    <row r="5" spans="1:42" ht="15.75" customHeight="1" x14ac:dyDescent="0.2">
      <c r="A5" s="104">
        <v>43360.555463912038</v>
      </c>
      <c r="B5" s="102" t="s">
        <v>908</v>
      </c>
      <c r="C5" s="102">
        <v>42</v>
      </c>
      <c r="D5" s="102" t="s">
        <v>902</v>
      </c>
      <c r="E5" s="102" t="s">
        <v>903</v>
      </c>
      <c r="F5" s="102" t="s">
        <v>904</v>
      </c>
      <c r="G5" s="102" t="s">
        <v>909</v>
      </c>
      <c r="H5" s="102" t="s">
        <v>516</v>
      </c>
      <c r="K5" s="102" t="s">
        <v>515</v>
      </c>
      <c r="L5" s="102" t="s">
        <v>910</v>
      </c>
      <c r="M5" s="102" t="s">
        <v>614</v>
      </c>
      <c r="O5" s="102" t="s">
        <v>511</v>
      </c>
      <c r="P5" s="102" t="s">
        <v>493</v>
      </c>
      <c r="V5" s="102">
        <v>200</v>
      </c>
      <c r="W5" s="102">
        <v>400</v>
      </c>
      <c r="X5" s="102">
        <v>200</v>
      </c>
      <c r="Y5" s="102">
        <v>100</v>
      </c>
      <c r="Z5" s="102">
        <v>100</v>
      </c>
      <c r="AA5" s="102">
        <v>200</v>
      </c>
      <c r="AB5" s="102">
        <v>500</v>
      </c>
      <c r="AC5" s="102">
        <v>500</v>
      </c>
      <c r="AD5" s="102">
        <v>400</v>
      </c>
      <c r="AE5" s="102">
        <v>400</v>
      </c>
      <c r="AF5" s="102">
        <v>400</v>
      </c>
      <c r="AG5" s="102" t="s">
        <v>896</v>
      </c>
      <c r="AH5" s="102" t="s">
        <v>896</v>
      </c>
      <c r="AI5" s="102" t="s">
        <v>897</v>
      </c>
      <c r="AJ5" s="102" t="s">
        <v>911</v>
      </c>
      <c r="AL5" s="102" t="s">
        <v>899</v>
      </c>
      <c r="AM5" s="102" t="s">
        <v>899</v>
      </c>
      <c r="AN5" s="102" t="s">
        <v>899</v>
      </c>
      <c r="AO5" s="102" t="s">
        <v>907</v>
      </c>
      <c r="AP5" s="102" t="s">
        <v>911</v>
      </c>
    </row>
    <row r="6" spans="1:42" ht="15.75" customHeight="1" x14ac:dyDescent="0.2">
      <c r="A6" s="104">
        <v>43360.603397916668</v>
      </c>
      <c r="B6" s="102" t="s">
        <v>912</v>
      </c>
      <c r="C6" s="102">
        <v>38</v>
      </c>
      <c r="D6" s="102" t="s">
        <v>902</v>
      </c>
      <c r="E6" s="102" t="s">
        <v>892</v>
      </c>
      <c r="F6" s="102" t="s">
        <v>904</v>
      </c>
      <c r="G6" s="102" t="s">
        <v>909</v>
      </c>
      <c r="H6" s="102" t="s">
        <v>516</v>
      </c>
      <c r="K6" s="102" t="s">
        <v>517</v>
      </c>
      <c r="L6" s="102" t="s">
        <v>910</v>
      </c>
      <c r="M6" s="102" t="s">
        <v>614</v>
      </c>
      <c r="O6" s="102" t="s">
        <v>511</v>
      </c>
      <c r="P6" s="102" t="s">
        <v>501</v>
      </c>
      <c r="V6" s="102">
        <v>200</v>
      </c>
      <c r="W6" s="102">
        <v>300</v>
      </c>
      <c r="X6" s="102">
        <v>100</v>
      </c>
      <c r="Y6" s="102">
        <v>100</v>
      </c>
      <c r="Z6" s="102">
        <v>100</v>
      </c>
      <c r="AA6" s="102">
        <v>100</v>
      </c>
      <c r="AB6" s="102">
        <v>300</v>
      </c>
      <c r="AC6" s="102">
        <v>200</v>
      </c>
      <c r="AD6" s="102">
        <v>400</v>
      </c>
      <c r="AE6" s="102" t="s">
        <v>896</v>
      </c>
      <c r="AF6" s="102">
        <v>300</v>
      </c>
      <c r="AG6" s="102">
        <v>200</v>
      </c>
      <c r="AH6" s="102" t="s">
        <v>896</v>
      </c>
      <c r="AI6" s="102">
        <v>5</v>
      </c>
      <c r="AJ6" s="102" t="s">
        <v>688</v>
      </c>
      <c r="AL6" s="102" t="s">
        <v>899</v>
      </c>
      <c r="AM6" s="102" t="s">
        <v>899</v>
      </c>
      <c r="AN6" s="102" t="s">
        <v>899</v>
      </c>
      <c r="AO6" s="102" t="s">
        <v>900</v>
      </c>
      <c r="AP6" s="102" t="s">
        <v>913</v>
      </c>
    </row>
    <row r="7" spans="1:42" ht="15.75" customHeight="1" x14ac:dyDescent="0.2">
      <c r="A7" s="104">
        <v>43360.60719693287</v>
      </c>
      <c r="B7" s="102" t="s">
        <v>914</v>
      </c>
      <c r="C7" s="102">
        <v>38</v>
      </c>
      <c r="D7" s="102" t="s">
        <v>902</v>
      </c>
      <c r="E7" s="102" t="s">
        <v>892</v>
      </c>
      <c r="F7" s="102" t="s">
        <v>904</v>
      </c>
      <c r="G7" s="102" t="s">
        <v>909</v>
      </c>
      <c r="H7" s="102" t="s">
        <v>516</v>
      </c>
      <c r="K7" s="102" t="s">
        <v>513</v>
      </c>
      <c r="L7" s="102" t="s">
        <v>895</v>
      </c>
      <c r="M7" s="102" t="s">
        <v>614</v>
      </c>
      <c r="O7" s="102" t="s">
        <v>511</v>
      </c>
      <c r="P7" s="102" t="s">
        <v>495</v>
      </c>
      <c r="V7" s="102">
        <v>100</v>
      </c>
      <c r="W7" s="102">
        <v>200</v>
      </c>
      <c r="X7" s="102">
        <v>200</v>
      </c>
      <c r="Y7" s="102">
        <v>100</v>
      </c>
      <c r="Z7" s="102">
        <v>100</v>
      </c>
      <c r="AA7" s="102">
        <v>200</v>
      </c>
      <c r="AB7" s="102">
        <v>500</v>
      </c>
      <c r="AC7" s="102">
        <v>300</v>
      </c>
      <c r="AD7" s="102">
        <v>500</v>
      </c>
      <c r="AE7" s="102" t="s">
        <v>896</v>
      </c>
      <c r="AF7" s="102">
        <v>300</v>
      </c>
      <c r="AG7" s="102" t="s">
        <v>896</v>
      </c>
      <c r="AH7" s="102" t="s">
        <v>896</v>
      </c>
      <c r="AI7" s="102" t="s">
        <v>897</v>
      </c>
      <c r="AJ7" s="102" t="s">
        <v>688</v>
      </c>
      <c r="AL7" s="102" t="s">
        <v>899</v>
      </c>
      <c r="AM7" s="102" t="s">
        <v>899</v>
      </c>
      <c r="AN7" s="102" t="s">
        <v>899</v>
      </c>
      <c r="AO7" s="102" t="s">
        <v>907</v>
      </c>
      <c r="AP7" s="102" t="s">
        <v>911</v>
      </c>
    </row>
    <row r="8" spans="1:42" ht="15.75" customHeight="1" x14ac:dyDescent="0.2">
      <c r="A8" s="104">
        <v>43360.611810416667</v>
      </c>
      <c r="B8" s="102" t="s">
        <v>915</v>
      </c>
      <c r="C8" s="102">
        <v>56</v>
      </c>
      <c r="D8" s="102" t="s">
        <v>902</v>
      </c>
      <c r="E8" s="102" t="s">
        <v>903</v>
      </c>
      <c r="F8" s="102" t="s">
        <v>904</v>
      </c>
      <c r="G8" s="102" t="s">
        <v>916</v>
      </c>
      <c r="H8" s="102" t="s">
        <v>500</v>
      </c>
      <c r="K8" s="102" t="s">
        <v>518</v>
      </c>
      <c r="L8" s="102" t="s">
        <v>895</v>
      </c>
      <c r="M8" s="102" t="s">
        <v>614</v>
      </c>
      <c r="O8" s="102" t="s">
        <v>517</v>
      </c>
      <c r="P8" s="102" t="s">
        <v>512</v>
      </c>
      <c r="V8" s="102">
        <v>200</v>
      </c>
      <c r="W8" s="102">
        <v>300</v>
      </c>
      <c r="X8" s="102">
        <v>300</v>
      </c>
      <c r="Y8" s="102">
        <v>100</v>
      </c>
      <c r="Z8" s="102">
        <v>100</v>
      </c>
      <c r="AA8" s="102">
        <v>300</v>
      </c>
      <c r="AB8" s="102">
        <v>500</v>
      </c>
      <c r="AC8" s="102">
        <v>500</v>
      </c>
      <c r="AD8" s="102">
        <v>600</v>
      </c>
      <c r="AE8" s="102" t="s">
        <v>896</v>
      </c>
      <c r="AF8" s="102" t="s">
        <v>896</v>
      </c>
      <c r="AG8" s="102" t="s">
        <v>896</v>
      </c>
      <c r="AH8" s="102" t="s">
        <v>896</v>
      </c>
      <c r="AI8" s="102">
        <v>4</v>
      </c>
      <c r="AJ8" s="102" t="s">
        <v>911</v>
      </c>
      <c r="AL8" s="102" t="s">
        <v>899</v>
      </c>
      <c r="AM8" s="102" t="s">
        <v>605</v>
      </c>
      <c r="AN8" s="102" t="s">
        <v>899</v>
      </c>
      <c r="AO8" s="102" t="s">
        <v>907</v>
      </c>
      <c r="AP8" s="102" t="s">
        <v>905</v>
      </c>
    </row>
    <row r="9" spans="1:42" ht="15.75" customHeight="1" x14ac:dyDescent="0.2">
      <c r="A9" s="104">
        <v>43360.618736805554</v>
      </c>
      <c r="B9" s="102" t="s">
        <v>917</v>
      </c>
      <c r="C9" s="102">
        <v>52</v>
      </c>
      <c r="D9" s="102" t="s">
        <v>902</v>
      </c>
      <c r="E9" s="102" t="s">
        <v>903</v>
      </c>
      <c r="F9" s="102" t="s">
        <v>904</v>
      </c>
      <c r="G9" s="102" t="s">
        <v>916</v>
      </c>
      <c r="H9" s="102" t="s">
        <v>514</v>
      </c>
      <c r="K9" s="102" t="s">
        <v>511</v>
      </c>
      <c r="L9" s="102" t="s">
        <v>895</v>
      </c>
      <c r="M9" s="102" t="s">
        <v>641</v>
      </c>
      <c r="O9" s="102" t="s">
        <v>518</v>
      </c>
      <c r="P9" s="102" t="s">
        <v>501</v>
      </c>
      <c r="V9" s="102">
        <v>300</v>
      </c>
      <c r="W9" s="102">
        <v>400</v>
      </c>
      <c r="X9" s="102">
        <v>400</v>
      </c>
      <c r="Y9" s="102">
        <v>100</v>
      </c>
      <c r="Z9" s="102">
        <v>100</v>
      </c>
      <c r="AA9" s="102">
        <v>200</v>
      </c>
      <c r="AB9" s="102">
        <v>500</v>
      </c>
      <c r="AC9" s="102">
        <v>500</v>
      </c>
      <c r="AD9" s="102">
        <v>600</v>
      </c>
      <c r="AE9" s="102">
        <v>600</v>
      </c>
      <c r="AF9" s="102" t="s">
        <v>896</v>
      </c>
      <c r="AG9" s="102" t="s">
        <v>896</v>
      </c>
      <c r="AH9" s="102" t="s">
        <v>896</v>
      </c>
      <c r="AI9" s="102">
        <v>4</v>
      </c>
      <c r="AJ9" s="102" t="s">
        <v>898</v>
      </c>
      <c r="AL9" s="102" t="s">
        <v>899</v>
      </c>
      <c r="AM9" s="102" t="s">
        <v>899</v>
      </c>
      <c r="AN9" s="102" t="s">
        <v>899</v>
      </c>
      <c r="AO9" s="102" t="s">
        <v>900</v>
      </c>
      <c r="AP9" s="102" t="s">
        <v>905</v>
      </c>
    </row>
    <row r="10" spans="1:42" ht="15.75" customHeight="1" x14ac:dyDescent="0.2">
      <c r="A10" s="104">
        <v>43360.621404050922</v>
      </c>
      <c r="B10" s="102" t="s">
        <v>918</v>
      </c>
      <c r="C10" s="102">
        <v>49</v>
      </c>
      <c r="D10" s="102" t="s">
        <v>891</v>
      </c>
      <c r="E10" s="102" t="s">
        <v>903</v>
      </c>
      <c r="F10" s="102" t="s">
        <v>893</v>
      </c>
      <c r="G10" s="102" t="s">
        <v>916</v>
      </c>
      <c r="H10" s="102" t="s">
        <v>516</v>
      </c>
      <c r="K10" s="102" t="s">
        <v>518</v>
      </c>
      <c r="L10" s="106" t="s">
        <v>919</v>
      </c>
      <c r="M10" s="102" t="s">
        <v>614</v>
      </c>
      <c r="O10" s="102" t="s">
        <v>517</v>
      </c>
      <c r="P10" s="102" t="s">
        <v>501</v>
      </c>
      <c r="V10" s="102">
        <v>400</v>
      </c>
      <c r="W10" s="102">
        <v>300</v>
      </c>
      <c r="X10" s="102">
        <v>300</v>
      </c>
      <c r="Y10" s="102">
        <v>100</v>
      </c>
      <c r="Z10" s="102">
        <v>100</v>
      </c>
      <c r="AA10" s="102" t="s">
        <v>896</v>
      </c>
      <c r="AB10" s="102">
        <v>600</v>
      </c>
      <c r="AC10" s="102" t="s">
        <v>896</v>
      </c>
      <c r="AD10" s="102" t="s">
        <v>896</v>
      </c>
      <c r="AE10" s="102" t="s">
        <v>896</v>
      </c>
      <c r="AF10" s="102" t="s">
        <v>896</v>
      </c>
      <c r="AG10" s="102" t="s">
        <v>896</v>
      </c>
      <c r="AH10" s="102" t="s">
        <v>896</v>
      </c>
      <c r="AI10" s="102">
        <v>6</v>
      </c>
      <c r="AJ10" s="102" t="s">
        <v>920</v>
      </c>
      <c r="AL10" s="102" t="s">
        <v>899</v>
      </c>
      <c r="AM10" s="102" t="s">
        <v>899</v>
      </c>
      <c r="AN10" s="102" t="s">
        <v>899</v>
      </c>
      <c r="AO10" s="102" t="s">
        <v>907</v>
      </c>
      <c r="AP10" s="102" t="s">
        <v>913</v>
      </c>
    </row>
    <row r="11" spans="1:42" ht="15.75" customHeight="1" x14ac:dyDescent="0.2">
      <c r="A11" s="104">
        <v>43360.625719791671</v>
      </c>
      <c r="B11" s="102" t="s">
        <v>921</v>
      </c>
      <c r="C11" s="102">
        <v>42</v>
      </c>
      <c r="D11" s="102" t="s">
        <v>902</v>
      </c>
      <c r="E11" s="102" t="s">
        <v>903</v>
      </c>
      <c r="F11" s="102" t="s">
        <v>922</v>
      </c>
      <c r="G11" s="102" t="s">
        <v>916</v>
      </c>
      <c r="H11" s="102" t="s">
        <v>500</v>
      </c>
      <c r="K11" s="102" t="s">
        <v>511</v>
      </c>
      <c r="L11" s="102" t="s">
        <v>895</v>
      </c>
      <c r="M11" s="102" t="s">
        <v>614</v>
      </c>
      <c r="O11" s="102" t="s">
        <v>517</v>
      </c>
      <c r="P11" s="102" t="s">
        <v>512</v>
      </c>
      <c r="V11" s="102">
        <v>300</v>
      </c>
      <c r="W11" s="102" t="s">
        <v>896</v>
      </c>
      <c r="X11" s="102" t="s">
        <v>896</v>
      </c>
      <c r="Y11" s="102">
        <v>100</v>
      </c>
      <c r="Z11" s="102" t="s">
        <v>896</v>
      </c>
      <c r="AA11" s="102">
        <v>600</v>
      </c>
      <c r="AB11" s="102">
        <v>500</v>
      </c>
      <c r="AC11" s="102" t="s">
        <v>896</v>
      </c>
      <c r="AD11" s="102" t="s">
        <v>896</v>
      </c>
      <c r="AE11" s="102" t="s">
        <v>896</v>
      </c>
      <c r="AF11" s="102" t="s">
        <v>923</v>
      </c>
      <c r="AG11" s="102" t="s">
        <v>896</v>
      </c>
      <c r="AH11" s="102" t="s">
        <v>896</v>
      </c>
      <c r="AI11" s="102">
        <v>6</v>
      </c>
      <c r="AJ11" s="102" t="s">
        <v>911</v>
      </c>
      <c r="AL11" s="102" t="s">
        <v>605</v>
      </c>
      <c r="AM11" s="102" t="s">
        <v>605</v>
      </c>
      <c r="AN11" s="102" t="s">
        <v>899</v>
      </c>
      <c r="AO11" s="102" t="s">
        <v>907</v>
      </c>
      <c r="AP11" s="102" t="s">
        <v>905</v>
      </c>
    </row>
    <row r="12" spans="1:42" ht="15.75" customHeight="1" x14ac:dyDescent="0.2">
      <c r="A12" s="104">
        <v>43360.630159687498</v>
      </c>
      <c r="B12" s="102" t="s">
        <v>924</v>
      </c>
      <c r="C12" s="102">
        <v>40</v>
      </c>
      <c r="D12" s="102" t="s">
        <v>902</v>
      </c>
      <c r="E12" s="102" t="s">
        <v>903</v>
      </c>
      <c r="F12" s="102" t="s">
        <v>904</v>
      </c>
      <c r="G12" s="102" t="s">
        <v>916</v>
      </c>
      <c r="H12" s="102" t="s">
        <v>494</v>
      </c>
      <c r="K12" s="102" t="s">
        <v>518</v>
      </c>
      <c r="L12" s="106" t="s">
        <v>919</v>
      </c>
      <c r="M12" s="102" t="s">
        <v>614</v>
      </c>
      <c r="O12" s="102" t="s">
        <v>517</v>
      </c>
      <c r="P12" s="102" t="s">
        <v>493</v>
      </c>
      <c r="V12" s="102">
        <v>300</v>
      </c>
      <c r="W12" s="102">
        <v>400</v>
      </c>
      <c r="X12" s="102">
        <v>500</v>
      </c>
      <c r="Y12" s="102">
        <v>100</v>
      </c>
      <c r="Z12" s="102">
        <v>100</v>
      </c>
      <c r="AA12" s="102" t="s">
        <v>896</v>
      </c>
      <c r="AB12" s="102" t="s">
        <v>896</v>
      </c>
      <c r="AC12" s="102">
        <v>500</v>
      </c>
      <c r="AD12" s="102" t="s">
        <v>896</v>
      </c>
      <c r="AE12" s="102" t="s">
        <v>896</v>
      </c>
      <c r="AF12" s="102" t="s">
        <v>896</v>
      </c>
      <c r="AG12" s="102" t="s">
        <v>896</v>
      </c>
      <c r="AH12" s="102" t="s">
        <v>896</v>
      </c>
      <c r="AI12" s="102">
        <v>4</v>
      </c>
      <c r="AJ12" s="102" t="s">
        <v>920</v>
      </c>
      <c r="AL12" s="102" t="s">
        <v>605</v>
      </c>
      <c r="AM12" s="102" t="s">
        <v>605</v>
      </c>
      <c r="AN12" s="102" t="s">
        <v>605</v>
      </c>
      <c r="AO12" s="102" t="s">
        <v>900</v>
      </c>
      <c r="AP12" s="102" t="s">
        <v>913</v>
      </c>
    </row>
    <row r="13" spans="1:42" ht="15.75" customHeight="1" x14ac:dyDescent="0.2">
      <c r="A13" s="104">
        <v>43360.634383252313</v>
      </c>
      <c r="B13" s="102" t="s">
        <v>925</v>
      </c>
      <c r="C13" s="102">
        <v>35</v>
      </c>
      <c r="D13" s="102" t="s">
        <v>902</v>
      </c>
      <c r="E13" s="102" t="s">
        <v>903</v>
      </c>
      <c r="F13" s="102" t="s">
        <v>904</v>
      </c>
      <c r="G13" s="102" t="s">
        <v>926</v>
      </c>
      <c r="H13" s="102" t="s">
        <v>516</v>
      </c>
      <c r="K13" s="102" t="s">
        <v>511</v>
      </c>
      <c r="L13" s="102" t="s">
        <v>895</v>
      </c>
      <c r="M13" s="102" t="s">
        <v>614</v>
      </c>
      <c r="O13" s="102" t="s">
        <v>511</v>
      </c>
      <c r="P13" s="102" t="s">
        <v>501</v>
      </c>
      <c r="V13" s="102">
        <v>300</v>
      </c>
      <c r="W13" s="102">
        <v>400</v>
      </c>
      <c r="X13" s="102">
        <v>200</v>
      </c>
      <c r="Y13" s="102">
        <v>100</v>
      </c>
      <c r="Z13" s="102">
        <v>100</v>
      </c>
      <c r="AA13" s="102">
        <v>200</v>
      </c>
      <c r="AB13" s="102">
        <v>600</v>
      </c>
      <c r="AC13" s="102">
        <v>600</v>
      </c>
      <c r="AD13" s="102">
        <v>600</v>
      </c>
      <c r="AE13" s="102">
        <v>500</v>
      </c>
      <c r="AF13" s="102">
        <v>700</v>
      </c>
      <c r="AG13" s="102">
        <v>700</v>
      </c>
      <c r="AH13" s="102" t="s">
        <v>896</v>
      </c>
      <c r="AI13" s="102" t="s">
        <v>897</v>
      </c>
      <c r="AJ13" s="102" t="s">
        <v>927</v>
      </c>
      <c r="AL13" s="102" t="s">
        <v>899</v>
      </c>
      <c r="AM13" s="102" t="s">
        <v>899</v>
      </c>
      <c r="AN13" s="102" t="s">
        <v>899</v>
      </c>
      <c r="AO13" s="102" t="s">
        <v>900</v>
      </c>
      <c r="AP13" s="102" t="s">
        <v>913</v>
      </c>
    </row>
    <row r="14" spans="1:42" ht="15.75" customHeight="1" x14ac:dyDescent="0.2">
      <c r="A14" s="104">
        <v>43360.637246562503</v>
      </c>
      <c r="B14" s="102" t="s">
        <v>928</v>
      </c>
      <c r="C14" s="102">
        <v>30</v>
      </c>
      <c r="D14" s="102" t="s">
        <v>902</v>
      </c>
      <c r="E14" s="102" t="s">
        <v>903</v>
      </c>
      <c r="F14" s="102" t="s">
        <v>904</v>
      </c>
      <c r="G14" s="102" t="s">
        <v>926</v>
      </c>
      <c r="H14" s="102" t="s">
        <v>504</v>
      </c>
      <c r="K14" s="102" t="s">
        <v>511</v>
      </c>
      <c r="L14" s="102" t="s">
        <v>895</v>
      </c>
      <c r="M14" s="102" t="s">
        <v>614</v>
      </c>
      <c r="O14" s="102" t="s">
        <v>511</v>
      </c>
      <c r="P14" s="102" t="s">
        <v>512</v>
      </c>
      <c r="V14" s="102">
        <v>100</v>
      </c>
      <c r="W14" s="102">
        <v>100</v>
      </c>
      <c r="X14" s="102">
        <v>200</v>
      </c>
      <c r="Y14" s="102">
        <v>100</v>
      </c>
      <c r="Z14" s="102">
        <v>100</v>
      </c>
      <c r="AA14" s="102">
        <v>200</v>
      </c>
      <c r="AB14" s="102">
        <v>500</v>
      </c>
      <c r="AC14" s="102">
        <v>500</v>
      </c>
      <c r="AD14" s="102">
        <v>600</v>
      </c>
      <c r="AE14" s="102">
        <v>400</v>
      </c>
      <c r="AF14" s="102">
        <v>600</v>
      </c>
      <c r="AG14" s="102">
        <v>600</v>
      </c>
      <c r="AH14" s="102" t="s">
        <v>896</v>
      </c>
      <c r="AI14" s="102" t="s">
        <v>897</v>
      </c>
      <c r="AJ14" s="102" t="s">
        <v>929</v>
      </c>
      <c r="AL14" s="102" t="s">
        <v>899</v>
      </c>
      <c r="AM14" s="102" t="s">
        <v>899</v>
      </c>
      <c r="AN14" s="102" t="s">
        <v>899</v>
      </c>
      <c r="AO14" s="102" t="s">
        <v>900</v>
      </c>
      <c r="AP14" s="102" t="s">
        <v>913</v>
      </c>
    </row>
    <row r="15" spans="1:42" ht="15.75" customHeight="1" x14ac:dyDescent="0.2">
      <c r="A15" s="104">
        <v>43360.64229427083</v>
      </c>
      <c r="B15" s="102" t="s">
        <v>930</v>
      </c>
      <c r="C15" s="102">
        <v>58</v>
      </c>
      <c r="D15" s="102" t="s">
        <v>902</v>
      </c>
      <c r="E15" s="102" t="s">
        <v>903</v>
      </c>
      <c r="F15" s="102" t="s">
        <v>904</v>
      </c>
      <c r="G15" s="102" t="s">
        <v>926</v>
      </c>
      <c r="H15" s="102" t="s">
        <v>500</v>
      </c>
      <c r="K15" s="102" t="s">
        <v>513</v>
      </c>
      <c r="L15" s="106" t="s">
        <v>919</v>
      </c>
      <c r="M15" s="102" t="s">
        <v>614</v>
      </c>
      <c r="O15" s="102" t="s">
        <v>513</v>
      </c>
      <c r="P15" s="102" t="s">
        <v>512</v>
      </c>
      <c r="V15" s="102">
        <v>200</v>
      </c>
      <c r="W15" s="102">
        <v>100</v>
      </c>
      <c r="X15" s="102">
        <v>200</v>
      </c>
      <c r="Y15" s="102">
        <v>100</v>
      </c>
      <c r="Z15" s="102">
        <v>100</v>
      </c>
      <c r="AA15" s="102">
        <v>200</v>
      </c>
      <c r="AB15" s="102">
        <v>500</v>
      </c>
      <c r="AC15" s="102">
        <v>500</v>
      </c>
      <c r="AD15" s="102">
        <v>600</v>
      </c>
      <c r="AE15" s="102">
        <v>600</v>
      </c>
      <c r="AF15" s="102">
        <v>700</v>
      </c>
      <c r="AG15" s="102">
        <v>600</v>
      </c>
      <c r="AH15" s="102" t="s">
        <v>896</v>
      </c>
      <c r="AI15" s="102" t="s">
        <v>897</v>
      </c>
      <c r="AJ15" s="102" t="s">
        <v>688</v>
      </c>
      <c r="AL15" s="102" t="s">
        <v>899</v>
      </c>
      <c r="AM15" s="102" t="s">
        <v>899</v>
      </c>
      <c r="AN15" s="102" t="s">
        <v>899</v>
      </c>
      <c r="AO15" s="102" t="s">
        <v>900</v>
      </c>
      <c r="AP15" s="102" t="s">
        <v>913</v>
      </c>
    </row>
    <row r="16" spans="1:42" ht="15.75" customHeight="1" x14ac:dyDescent="0.2">
      <c r="A16" s="104">
        <v>43360.642309398143</v>
      </c>
      <c r="B16" s="102" t="s">
        <v>930</v>
      </c>
      <c r="C16" s="102">
        <v>58</v>
      </c>
      <c r="D16" s="102" t="s">
        <v>902</v>
      </c>
      <c r="E16" s="102" t="s">
        <v>903</v>
      </c>
      <c r="F16" s="102" t="s">
        <v>904</v>
      </c>
      <c r="G16" s="102" t="s">
        <v>926</v>
      </c>
      <c r="H16" s="102" t="s">
        <v>500</v>
      </c>
      <c r="K16" s="102" t="s">
        <v>513</v>
      </c>
      <c r="L16" s="106" t="s">
        <v>919</v>
      </c>
      <c r="M16" s="102" t="s">
        <v>614</v>
      </c>
      <c r="O16" s="102" t="s">
        <v>513</v>
      </c>
      <c r="P16" s="102" t="s">
        <v>512</v>
      </c>
      <c r="V16" s="102">
        <v>200</v>
      </c>
      <c r="W16" s="102">
        <v>100</v>
      </c>
      <c r="X16" s="102">
        <v>200</v>
      </c>
      <c r="Y16" s="102">
        <v>100</v>
      </c>
      <c r="Z16" s="102">
        <v>100</v>
      </c>
      <c r="AA16" s="102">
        <v>200</v>
      </c>
      <c r="AB16" s="102">
        <v>500</v>
      </c>
      <c r="AC16" s="102">
        <v>500</v>
      </c>
      <c r="AD16" s="102">
        <v>600</v>
      </c>
      <c r="AE16" s="102">
        <v>600</v>
      </c>
      <c r="AF16" s="102">
        <v>700</v>
      </c>
      <c r="AG16" s="102">
        <v>600</v>
      </c>
      <c r="AH16" s="102" t="s">
        <v>896</v>
      </c>
      <c r="AI16" s="102" t="s">
        <v>897</v>
      </c>
      <c r="AJ16" s="102" t="s">
        <v>688</v>
      </c>
      <c r="AL16" s="102" t="s">
        <v>899</v>
      </c>
      <c r="AM16" s="102" t="s">
        <v>899</v>
      </c>
      <c r="AN16" s="102" t="s">
        <v>899</v>
      </c>
      <c r="AO16" s="102" t="s">
        <v>900</v>
      </c>
      <c r="AP16" s="102" t="s">
        <v>913</v>
      </c>
    </row>
    <row r="17" spans="1:42" ht="15.75" customHeight="1" x14ac:dyDescent="0.2">
      <c r="A17" s="104">
        <v>43360.645696793981</v>
      </c>
      <c r="B17" s="102" t="s">
        <v>931</v>
      </c>
      <c r="C17" s="102">
        <v>42</v>
      </c>
      <c r="D17" s="102" t="s">
        <v>902</v>
      </c>
      <c r="E17" s="102" t="s">
        <v>903</v>
      </c>
      <c r="F17" s="102" t="s">
        <v>904</v>
      </c>
      <c r="G17" s="102" t="s">
        <v>926</v>
      </c>
      <c r="H17" s="102" t="s">
        <v>516</v>
      </c>
      <c r="K17" s="102" t="s">
        <v>511</v>
      </c>
      <c r="L17" s="102" t="s">
        <v>895</v>
      </c>
      <c r="M17" s="102" t="s">
        <v>614</v>
      </c>
      <c r="O17" s="102" t="s">
        <v>511</v>
      </c>
      <c r="P17" s="102" t="s">
        <v>512</v>
      </c>
      <c r="V17" s="102">
        <v>100</v>
      </c>
      <c r="W17" s="102">
        <v>100</v>
      </c>
      <c r="X17" s="102">
        <v>200</v>
      </c>
      <c r="Y17" s="102">
        <v>100</v>
      </c>
      <c r="Z17" s="102">
        <v>100</v>
      </c>
      <c r="AA17" s="102">
        <v>200</v>
      </c>
      <c r="AB17" s="102">
        <v>500</v>
      </c>
      <c r="AC17" s="102">
        <v>500</v>
      </c>
      <c r="AD17" s="102">
        <v>500</v>
      </c>
      <c r="AE17" s="102">
        <v>500</v>
      </c>
      <c r="AF17" s="102">
        <v>600</v>
      </c>
      <c r="AG17" s="102">
        <v>600</v>
      </c>
      <c r="AH17" s="102">
        <v>1300</v>
      </c>
      <c r="AI17" s="102">
        <v>6</v>
      </c>
      <c r="AJ17" s="102" t="s">
        <v>932</v>
      </c>
      <c r="AL17" s="102" t="s">
        <v>899</v>
      </c>
      <c r="AM17" s="102" t="s">
        <v>899</v>
      </c>
      <c r="AN17" s="102" t="s">
        <v>899</v>
      </c>
      <c r="AO17" s="102" t="s">
        <v>900</v>
      </c>
      <c r="AP17" s="102" t="s">
        <v>913</v>
      </c>
    </row>
    <row r="18" spans="1:42" ht="15.75" customHeight="1" x14ac:dyDescent="0.2">
      <c r="A18" s="104">
        <v>43360.654855949077</v>
      </c>
      <c r="B18" s="102" t="s">
        <v>933</v>
      </c>
      <c r="C18" s="102">
        <v>31</v>
      </c>
      <c r="D18" s="102" t="s">
        <v>902</v>
      </c>
      <c r="E18" s="102" t="s">
        <v>903</v>
      </c>
      <c r="F18" s="102" t="s">
        <v>904</v>
      </c>
      <c r="G18" s="102" t="s">
        <v>894</v>
      </c>
      <c r="H18" s="102" t="s">
        <v>494</v>
      </c>
      <c r="K18" s="102" t="s">
        <v>517</v>
      </c>
      <c r="L18" s="102" t="s">
        <v>910</v>
      </c>
      <c r="M18" s="102" t="s">
        <v>614</v>
      </c>
      <c r="O18" s="102" t="s">
        <v>513</v>
      </c>
      <c r="P18" s="102" t="s">
        <v>501</v>
      </c>
      <c r="V18" s="102">
        <v>200</v>
      </c>
      <c r="W18" s="102">
        <v>200</v>
      </c>
      <c r="X18" s="102">
        <v>100</v>
      </c>
      <c r="Y18" s="102">
        <v>100</v>
      </c>
      <c r="Z18" s="102">
        <v>100</v>
      </c>
      <c r="AA18" s="102">
        <v>200</v>
      </c>
      <c r="AB18" s="102">
        <v>700</v>
      </c>
      <c r="AC18" s="102">
        <v>800</v>
      </c>
      <c r="AD18" s="102">
        <v>700</v>
      </c>
      <c r="AE18" s="102">
        <v>1000</v>
      </c>
      <c r="AF18" s="102">
        <v>200</v>
      </c>
      <c r="AG18" s="102">
        <v>700</v>
      </c>
      <c r="AH18" s="102" t="s">
        <v>896</v>
      </c>
      <c r="AI18" s="102" t="s">
        <v>897</v>
      </c>
      <c r="AJ18" s="102" t="s">
        <v>688</v>
      </c>
      <c r="AL18" s="102" t="s">
        <v>899</v>
      </c>
      <c r="AM18" s="102" t="s">
        <v>899</v>
      </c>
      <c r="AN18" s="102" t="s">
        <v>899</v>
      </c>
      <c r="AO18" s="102" t="s">
        <v>907</v>
      </c>
      <c r="AP18" s="102" t="s">
        <v>905</v>
      </c>
    </row>
    <row r="19" spans="1:42" ht="15.75" customHeight="1" x14ac:dyDescent="0.2">
      <c r="A19" s="104">
        <v>43360.657623749998</v>
      </c>
      <c r="B19" s="102" t="s">
        <v>934</v>
      </c>
      <c r="C19" s="102">
        <v>33</v>
      </c>
      <c r="D19" s="102" t="s">
        <v>902</v>
      </c>
      <c r="E19" s="102" t="s">
        <v>892</v>
      </c>
      <c r="F19" s="102" t="s">
        <v>904</v>
      </c>
      <c r="G19" s="102" t="s">
        <v>909</v>
      </c>
      <c r="H19" s="102" t="s">
        <v>504</v>
      </c>
      <c r="K19" s="102" t="s">
        <v>518</v>
      </c>
      <c r="L19" s="106" t="s">
        <v>919</v>
      </c>
      <c r="M19" s="102" t="s">
        <v>614</v>
      </c>
      <c r="O19" s="102" t="s">
        <v>513</v>
      </c>
      <c r="P19" s="102" t="s">
        <v>501</v>
      </c>
      <c r="V19" s="102">
        <v>100</v>
      </c>
      <c r="W19" s="102">
        <v>200</v>
      </c>
      <c r="X19" s="102">
        <v>100</v>
      </c>
      <c r="Y19" s="102">
        <v>100</v>
      </c>
      <c r="Z19" s="102">
        <v>100</v>
      </c>
      <c r="AA19" s="102">
        <v>100</v>
      </c>
      <c r="AB19" s="102">
        <v>600</v>
      </c>
      <c r="AC19" s="102">
        <v>300</v>
      </c>
      <c r="AD19" s="102">
        <v>300</v>
      </c>
      <c r="AE19" s="102">
        <v>300</v>
      </c>
      <c r="AF19" s="102">
        <v>300</v>
      </c>
      <c r="AG19" s="102">
        <v>300</v>
      </c>
      <c r="AH19" s="102" t="s">
        <v>896</v>
      </c>
      <c r="AI19" s="102" t="s">
        <v>897</v>
      </c>
      <c r="AJ19" s="102" t="s">
        <v>935</v>
      </c>
      <c r="AL19" s="102" t="s">
        <v>899</v>
      </c>
      <c r="AM19" s="102" t="s">
        <v>899</v>
      </c>
      <c r="AN19" s="102" t="s">
        <v>899</v>
      </c>
      <c r="AO19" s="102" t="s">
        <v>900</v>
      </c>
      <c r="AP19" s="102" t="s">
        <v>905</v>
      </c>
    </row>
    <row r="20" spans="1:42" ht="15.75" customHeight="1" x14ac:dyDescent="0.2">
      <c r="A20" s="104">
        <v>43360.659748518519</v>
      </c>
      <c r="B20" s="102" t="s">
        <v>936</v>
      </c>
      <c r="C20" s="102">
        <v>50</v>
      </c>
      <c r="D20" s="102" t="s">
        <v>902</v>
      </c>
      <c r="E20" s="102" t="s">
        <v>903</v>
      </c>
      <c r="F20" s="102" t="s">
        <v>904</v>
      </c>
      <c r="G20" s="102" t="s">
        <v>926</v>
      </c>
      <c r="H20" s="102" t="s">
        <v>516</v>
      </c>
      <c r="K20" s="102" t="s">
        <v>511</v>
      </c>
      <c r="L20" s="102" t="s">
        <v>895</v>
      </c>
      <c r="M20" s="102" t="s">
        <v>614</v>
      </c>
      <c r="O20" s="102" t="s">
        <v>511</v>
      </c>
      <c r="P20" s="102" t="s">
        <v>512</v>
      </c>
      <c r="V20" s="102">
        <v>100</v>
      </c>
      <c r="W20" s="102">
        <v>100</v>
      </c>
      <c r="X20" s="102">
        <v>200</v>
      </c>
      <c r="Y20" s="102">
        <v>100</v>
      </c>
      <c r="Z20" s="102">
        <v>100</v>
      </c>
      <c r="AA20" s="102">
        <v>200</v>
      </c>
      <c r="AB20" s="102">
        <v>500</v>
      </c>
      <c r="AC20" s="102">
        <v>500</v>
      </c>
      <c r="AD20" s="102">
        <v>600</v>
      </c>
      <c r="AE20" s="102">
        <v>600</v>
      </c>
      <c r="AF20" s="102">
        <v>600</v>
      </c>
      <c r="AG20" s="102">
        <v>600</v>
      </c>
      <c r="AH20" s="102" t="s">
        <v>896</v>
      </c>
      <c r="AI20" s="102">
        <v>5</v>
      </c>
      <c r="AJ20" s="102" t="s">
        <v>937</v>
      </c>
      <c r="AL20" s="102" t="s">
        <v>899</v>
      </c>
      <c r="AM20" s="102" t="s">
        <v>899</v>
      </c>
      <c r="AN20" s="102" t="s">
        <v>899</v>
      </c>
      <c r="AO20" s="102" t="s">
        <v>900</v>
      </c>
      <c r="AP20" s="102" t="s">
        <v>913</v>
      </c>
    </row>
    <row r="21" spans="1:42" ht="15.75" customHeight="1" x14ac:dyDescent="0.2">
      <c r="A21" s="104">
        <v>43361.70822969907</v>
      </c>
      <c r="B21" s="102" t="s">
        <v>938</v>
      </c>
      <c r="C21" s="102">
        <v>30</v>
      </c>
      <c r="D21" s="102" t="s">
        <v>902</v>
      </c>
      <c r="E21" s="102" t="s">
        <v>892</v>
      </c>
      <c r="F21" s="102" t="s">
        <v>904</v>
      </c>
      <c r="G21" s="102" t="s">
        <v>926</v>
      </c>
      <c r="H21" s="102" t="s">
        <v>514</v>
      </c>
      <c r="K21" s="102" t="s">
        <v>513</v>
      </c>
      <c r="L21" s="102" t="s">
        <v>895</v>
      </c>
      <c r="M21" s="102" t="s">
        <v>614</v>
      </c>
      <c r="O21" s="102" t="s">
        <v>513</v>
      </c>
      <c r="P21" s="102" t="s">
        <v>501</v>
      </c>
      <c r="V21" s="102">
        <v>200</v>
      </c>
      <c r="W21" s="102">
        <v>300</v>
      </c>
      <c r="X21" s="102">
        <v>300</v>
      </c>
      <c r="Y21" s="102">
        <v>100</v>
      </c>
      <c r="Z21" s="102">
        <v>100</v>
      </c>
      <c r="AA21" s="102">
        <v>100</v>
      </c>
      <c r="AB21" s="102">
        <v>500</v>
      </c>
      <c r="AC21" s="102">
        <v>500</v>
      </c>
      <c r="AD21" s="102">
        <v>100</v>
      </c>
      <c r="AE21" s="102">
        <v>700</v>
      </c>
      <c r="AF21" s="102">
        <v>400</v>
      </c>
      <c r="AG21" s="102" t="s">
        <v>896</v>
      </c>
      <c r="AH21" s="102" t="s">
        <v>896</v>
      </c>
      <c r="AI21" s="102">
        <v>3</v>
      </c>
      <c r="AJ21" s="102" t="s">
        <v>939</v>
      </c>
      <c r="AL21" s="102" t="s">
        <v>899</v>
      </c>
      <c r="AM21" s="102" t="s">
        <v>899</v>
      </c>
      <c r="AN21" s="102" t="s">
        <v>899</v>
      </c>
      <c r="AO21" s="102" t="s">
        <v>900</v>
      </c>
      <c r="AP21" s="102" t="s">
        <v>898</v>
      </c>
    </row>
    <row r="22" spans="1:42" ht="15.75" customHeight="1" x14ac:dyDescent="0.2">
      <c r="A22" s="104">
        <v>43361.710478287037</v>
      </c>
      <c r="B22" s="102" t="s">
        <v>940</v>
      </c>
      <c r="C22" s="102">
        <v>35</v>
      </c>
      <c r="D22" s="102" t="s">
        <v>902</v>
      </c>
      <c r="E22" s="102" t="s">
        <v>903</v>
      </c>
      <c r="F22" s="102" t="s">
        <v>904</v>
      </c>
      <c r="G22" s="102" t="s">
        <v>894</v>
      </c>
      <c r="H22" s="102" t="s">
        <v>492</v>
      </c>
      <c r="K22" s="102" t="s">
        <v>511</v>
      </c>
      <c r="L22" s="102" t="s">
        <v>895</v>
      </c>
      <c r="M22" s="102" t="s">
        <v>614</v>
      </c>
      <c r="O22" s="102" t="s">
        <v>511</v>
      </c>
      <c r="P22" s="102" t="s">
        <v>493</v>
      </c>
      <c r="V22" s="102">
        <v>200</v>
      </c>
      <c r="W22" s="102">
        <v>300</v>
      </c>
      <c r="X22" s="102">
        <v>300</v>
      </c>
      <c r="Y22" s="102">
        <v>100</v>
      </c>
      <c r="Z22" s="102">
        <v>200</v>
      </c>
      <c r="AA22" s="102">
        <v>400</v>
      </c>
      <c r="AB22" s="102">
        <v>400</v>
      </c>
      <c r="AC22" s="102" t="s">
        <v>896</v>
      </c>
      <c r="AD22" s="102">
        <v>500</v>
      </c>
      <c r="AE22" s="102">
        <v>800</v>
      </c>
      <c r="AF22" s="102">
        <v>400</v>
      </c>
      <c r="AG22" s="102">
        <v>800</v>
      </c>
      <c r="AH22" s="102" t="s">
        <v>896</v>
      </c>
      <c r="AI22" s="102" t="s">
        <v>897</v>
      </c>
      <c r="AJ22" s="102" t="s">
        <v>898</v>
      </c>
      <c r="AL22" s="102" t="s">
        <v>899</v>
      </c>
      <c r="AM22" s="102" t="s">
        <v>899</v>
      </c>
      <c r="AN22" s="102" t="s">
        <v>899</v>
      </c>
      <c r="AO22" s="102" t="s">
        <v>900</v>
      </c>
      <c r="AP22" s="102" t="s">
        <v>905</v>
      </c>
    </row>
    <row r="23" spans="1:42" ht="15.75" customHeight="1" x14ac:dyDescent="0.2">
      <c r="A23" s="104">
        <v>43361.712990462962</v>
      </c>
      <c r="B23" s="102" t="s">
        <v>941</v>
      </c>
      <c r="C23" s="102">
        <v>62</v>
      </c>
      <c r="D23" s="102" t="s">
        <v>902</v>
      </c>
      <c r="E23" s="102" t="s">
        <v>942</v>
      </c>
      <c r="F23" s="102" t="s">
        <v>904</v>
      </c>
      <c r="G23" s="102" t="s">
        <v>943</v>
      </c>
      <c r="H23" s="102" t="s">
        <v>514</v>
      </c>
      <c r="K23" s="102" t="s">
        <v>511</v>
      </c>
      <c r="L23" s="102" t="s">
        <v>895</v>
      </c>
      <c r="M23" s="102" t="s">
        <v>614</v>
      </c>
      <c r="O23" s="102" t="s">
        <v>511</v>
      </c>
      <c r="P23" s="102" t="s">
        <v>493</v>
      </c>
      <c r="V23" s="102" t="s">
        <v>896</v>
      </c>
      <c r="W23" s="102">
        <v>300</v>
      </c>
      <c r="X23" s="102">
        <v>200</v>
      </c>
      <c r="Y23" s="102">
        <v>100</v>
      </c>
      <c r="Z23" s="102">
        <v>100</v>
      </c>
      <c r="AA23" s="102">
        <v>100</v>
      </c>
      <c r="AB23" s="102">
        <v>500</v>
      </c>
      <c r="AC23" s="102">
        <v>600</v>
      </c>
      <c r="AD23" s="102">
        <v>600</v>
      </c>
      <c r="AE23" s="102" t="s">
        <v>896</v>
      </c>
      <c r="AF23" s="102">
        <v>300</v>
      </c>
      <c r="AG23" s="102" t="s">
        <v>896</v>
      </c>
      <c r="AH23" s="102" t="s">
        <v>896</v>
      </c>
      <c r="AI23" s="102">
        <v>3</v>
      </c>
      <c r="AJ23" s="102" t="s">
        <v>898</v>
      </c>
      <c r="AL23" s="102" t="s">
        <v>899</v>
      </c>
      <c r="AM23" s="102" t="s">
        <v>899</v>
      </c>
      <c r="AN23" s="102" t="s">
        <v>899</v>
      </c>
      <c r="AO23" s="102" t="s">
        <v>907</v>
      </c>
      <c r="AP23" s="102" t="s">
        <v>944</v>
      </c>
    </row>
    <row r="24" spans="1:42" ht="15.75" customHeight="1" x14ac:dyDescent="0.2">
      <c r="A24" s="104">
        <v>43385.407318680554</v>
      </c>
      <c r="B24" s="102" t="s">
        <v>945</v>
      </c>
      <c r="C24" s="102">
        <v>42</v>
      </c>
      <c r="D24" s="102" t="s">
        <v>902</v>
      </c>
      <c r="E24" s="102" t="s">
        <v>903</v>
      </c>
      <c r="F24" s="102" t="s">
        <v>904</v>
      </c>
      <c r="G24" s="102" t="s">
        <v>946</v>
      </c>
      <c r="H24" s="102" t="s">
        <v>504</v>
      </c>
      <c r="K24" s="102" t="s">
        <v>517</v>
      </c>
      <c r="L24" s="102" t="s">
        <v>895</v>
      </c>
      <c r="M24" s="102" t="s">
        <v>614</v>
      </c>
      <c r="O24" s="102" t="s">
        <v>515</v>
      </c>
      <c r="P24" s="102" t="s">
        <v>501</v>
      </c>
      <c r="V24" s="102">
        <v>100</v>
      </c>
      <c r="W24" s="102">
        <v>200</v>
      </c>
      <c r="X24" s="102">
        <v>100</v>
      </c>
      <c r="Y24" s="102">
        <v>100</v>
      </c>
      <c r="Z24" s="102">
        <v>100</v>
      </c>
      <c r="AA24" s="102">
        <v>200</v>
      </c>
      <c r="AB24" s="102">
        <v>300</v>
      </c>
      <c r="AC24" s="102">
        <v>300</v>
      </c>
      <c r="AD24" s="102">
        <v>400</v>
      </c>
      <c r="AE24" s="102">
        <v>300</v>
      </c>
      <c r="AF24" s="102">
        <v>400</v>
      </c>
      <c r="AG24" s="102" t="s">
        <v>896</v>
      </c>
      <c r="AH24" s="102" t="s">
        <v>896</v>
      </c>
      <c r="AI24" s="102">
        <v>6</v>
      </c>
      <c r="AJ24" s="102" t="s">
        <v>898</v>
      </c>
      <c r="AL24" s="102" t="s">
        <v>899</v>
      </c>
      <c r="AM24" s="102" t="s">
        <v>899</v>
      </c>
      <c r="AN24" s="102" t="s">
        <v>899</v>
      </c>
      <c r="AO24" s="102" t="s">
        <v>900</v>
      </c>
      <c r="AP24" s="102" t="s">
        <v>913</v>
      </c>
    </row>
    <row r="25" spans="1:42" ht="12.75" x14ac:dyDescent="0.2">
      <c r="A25" s="104">
        <v>43385.429724236106</v>
      </c>
      <c r="B25" s="102" t="s">
        <v>947</v>
      </c>
      <c r="C25" s="102">
        <v>50</v>
      </c>
      <c r="D25" s="102" t="s">
        <v>891</v>
      </c>
      <c r="E25" s="102" t="s">
        <v>903</v>
      </c>
      <c r="F25" s="102" t="s">
        <v>904</v>
      </c>
      <c r="G25" s="102" t="s">
        <v>946</v>
      </c>
      <c r="H25" s="102" t="s">
        <v>492</v>
      </c>
      <c r="K25" s="102" t="s">
        <v>511</v>
      </c>
      <c r="L25" s="102" t="s">
        <v>895</v>
      </c>
      <c r="M25" s="102" t="s">
        <v>614</v>
      </c>
      <c r="O25" s="102" t="s">
        <v>511</v>
      </c>
      <c r="P25" s="102" t="s">
        <v>512</v>
      </c>
      <c r="V25" s="102">
        <v>200</v>
      </c>
      <c r="W25" s="102">
        <v>300</v>
      </c>
      <c r="X25" s="102">
        <v>300</v>
      </c>
      <c r="Y25" s="102">
        <v>100</v>
      </c>
      <c r="Z25" s="102">
        <v>100</v>
      </c>
      <c r="AA25" s="102">
        <v>200</v>
      </c>
      <c r="AB25" s="102">
        <v>300</v>
      </c>
      <c r="AC25" s="102">
        <v>400</v>
      </c>
      <c r="AD25" s="102">
        <v>500</v>
      </c>
      <c r="AE25" s="102">
        <v>200</v>
      </c>
      <c r="AF25" s="102">
        <v>400</v>
      </c>
      <c r="AG25" s="102">
        <v>100</v>
      </c>
      <c r="AH25" s="102" t="s">
        <v>948</v>
      </c>
      <c r="AI25" s="102">
        <v>4</v>
      </c>
      <c r="AJ25" s="102" t="s">
        <v>949</v>
      </c>
      <c r="AL25" s="102" t="s">
        <v>899</v>
      </c>
      <c r="AM25" s="102" t="s">
        <v>605</v>
      </c>
      <c r="AN25" s="102" t="s">
        <v>899</v>
      </c>
      <c r="AO25" s="102" t="s">
        <v>907</v>
      </c>
      <c r="AP25" s="102" t="s">
        <v>905</v>
      </c>
    </row>
    <row r="26" spans="1:42" ht="12.75" x14ac:dyDescent="0.2">
      <c r="A26" s="104">
        <v>43385.434815335648</v>
      </c>
      <c r="B26" s="102" t="s">
        <v>950</v>
      </c>
      <c r="C26" s="102">
        <v>60</v>
      </c>
      <c r="D26" s="102" t="s">
        <v>902</v>
      </c>
      <c r="E26" s="102" t="s">
        <v>903</v>
      </c>
      <c r="F26" s="102" t="s">
        <v>951</v>
      </c>
      <c r="G26" s="102" t="s">
        <v>946</v>
      </c>
      <c r="H26" s="102" t="s">
        <v>514</v>
      </c>
      <c r="K26" s="102" t="s">
        <v>519</v>
      </c>
      <c r="L26" s="106" t="s">
        <v>919</v>
      </c>
      <c r="M26" s="102" t="s">
        <v>614</v>
      </c>
      <c r="O26" s="102" t="s">
        <v>515</v>
      </c>
      <c r="P26" s="102" t="s">
        <v>501</v>
      </c>
      <c r="V26" s="102">
        <v>100</v>
      </c>
      <c r="W26" s="102">
        <v>200</v>
      </c>
      <c r="X26" s="102">
        <v>400</v>
      </c>
      <c r="Y26" s="102">
        <v>100</v>
      </c>
      <c r="Z26" s="102">
        <v>100</v>
      </c>
      <c r="AA26" s="102">
        <v>200</v>
      </c>
      <c r="AB26" s="102">
        <v>300</v>
      </c>
      <c r="AC26" s="102">
        <v>300</v>
      </c>
      <c r="AD26" s="102">
        <v>500</v>
      </c>
      <c r="AE26" s="102">
        <v>400</v>
      </c>
      <c r="AF26" s="102">
        <v>400</v>
      </c>
      <c r="AG26" s="102">
        <v>100</v>
      </c>
      <c r="AH26" s="102">
        <v>1300</v>
      </c>
      <c r="AI26" s="102">
        <v>5</v>
      </c>
      <c r="AJ26" s="102" t="s">
        <v>952</v>
      </c>
      <c r="AL26" s="102" t="s">
        <v>899</v>
      </c>
      <c r="AM26" s="102" t="s">
        <v>899</v>
      </c>
      <c r="AN26" s="102" t="s">
        <v>899</v>
      </c>
      <c r="AO26" s="102" t="s">
        <v>907</v>
      </c>
      <c r="AP26" s="102" t="s">
        <v>913</v>
      </c>
    </row>
    <row r="27" spans="1:42" ht="12.75" x14ac:dyDescent="0.2">
      <c r="A27" s="104">
        <v>43385.439757291664</v>
      </c>
      <c r="B27" s="102" t="s">
        <v>953</v>
      </c>
      <c r="C27" s="102">
        <v>58</v>
      </c>
      <c r="D27" s="102" t="s">
        <v>902</v>
      </c>
      <c r="E27" s="102" t="s">
        <v>903</v>
      </c>
      <c r="F27" s="102" t="s">
        <v>904</v>
      </c>
      <c r="G27" s="102" t="s">
        <v>946</v>
      </c>
      <c r="H27" s="102" t="s">
        <v>514</v>
      </c>
      <c r="K27" s="102" t="s">
        <v>513</v>
      </c>
      <c r="L27" s="102" t="s">
        <v>910</v>
      </c>
      <c r="M27" s="102" t="s">
        <v>614</v>
      </c>
      <c r="O27" s="102" t="s">
        <v>511</v>
      </c>
      <c r="P27" s="102" t="s">
        <v>512</v>
      </c>
      <c r="V27" s="102">
        <v>200</v>
      </c>
      <c r="W27" s="102">
        <v>300</v>
      </c>
      <c r="X27" s="102">
        <v>100</v>
      </c>
      <c r="Y27" s="102">
        <v>100</v>
      </c>
      <c r="Z27" s="102">
        <v>100</v>
      </c>
      <c r="AA27" s="102" t="s">
        <v>896</v>
      </c>
      <c r="AB27" s="102">
        <v>500</v>
      </c>
      <c r="AC27" s="102">
        <v>400</v>
      </c>
      <c r="AD27" s="102">
        <v>500</v>
      </c>
      <c r="AE27" s="102">
        <v>500</v>
      </c>
      <c r="AF27" s="102">
        <v>400</v>
      </c>
      <c r="AG27" s="102">
        <v>500</v>
      </c>
      <c r="AH27" s="102" t="s">
        <v>896</v>
      </c>
      <c r="AI27" s="102" t="s">
        <v>897</v>
      </c>
      <c r="AJ27" s="102" t="s">
        <v>731</v>
      </c>
      <c r="AL27" s="102" t="s">
        <v>899</v>
      </c>
      <c r="AM27" s="102" t="s">
        <v>899</v>
      </c>
      <c r="AN27" s="102" t="s">
        <v>899</v>
      </c>
      <c r="AO27" s="102" t="s">
        <v>954</v>
      </c>
      <c r="AP27" s="102" t="s">
        <v>913</v>
      </c>
    </row>
    <row r="28" spans="1:42" ht="12.75" x14ac:dyDescent="0.2">
      <c r="A28" s="104">
        <v>43385.464768472222</v>
      </c>
      <c r="B28" s="102" t="s">
        <v>955</v>
      </c>
      <c r="C28" s="102">
        <v>45</v>
      </c>
      <c r="D28" s="102" t="s">
        <v>902</v>
      </c>
      <c r="E28" s="102" t="s">
        <v>903</v>
      </c>
      <c r="F28" s="102" t="s">
        <v>904</v>
      </c>
      <c r="G28" s="102" t="s">
        <v>956</v>
      </c>
      <c r="H28" s="102" t="s">
        <v>514</v>
      </c>
      <c r="K28" s="102" t="s">
        <v>517</v>
      </c>
      <c r="L28" s="106" t="s">
        <v>919</v>
      </c>
      <c r="M28" s="102" t="s">
        <v>614</v>
      </c>
      <c r="O28" s="102" t="s">
        <v>513</v>
      </c>
      <c r="P28" s="102" t="s">
        <v>495</v>
      </c>
      <c r="V28" s="102">
        <v>200</v>
      </c>
      <c r="W28" s="102">
        <v>300</v>
      </c>
      <c r="X28" s="102" t="s">
        <v>896</v>
      </c>
      <c r="Y28" s="102">
        <v>100</v>
      </c>
      <c r="Z28" s="102">
        <v>100</v>
      </c>
      <c r="AA28" s="102">
        <v>300</v>
      </c>
      <c r="AB28" s="102">
        <v>400</v>
      </c>
      <c r="AC28" s="102">
        <v>700</v>
      </c>
      <c r="AD28" s="102">
        <v>300</v>
      </c>
      <c r="AE28" s="102">
        <v>700</v>
      </c>
      <c r="AF28" s="102">
        <v>500</v>
      </c>
      <c r="AG28" s="102">
        <v>500</v>
      </c>
      <c r="AH28" s="102" t="s">
        <v>896</v>
      </c>
      <c r="AI28" s="102" t="s">
        <v>897</v>
      </c>
      <c r="AJ28" s="102" t="s">
        <v>957</v>
      </c>
      <c r="AL28" s="102" t="s">
        <v>605</v>
      </c>
      <c r="AM28" s="102" t="s">
        <v>899</v>
      </c>
      <c r="AN28" s="102" t="s">
        <v>899</v>
      </c>
      <c r="AO28" s="102" t="s">
        <v>900</v>
      </c>
      <c r="AP28" s="102" t="s">
        <v>905</v>
      </c>
    </row>
    <row r="29" spans="1:42" ht="12.75" x14ac:dyDescent="0.2">
      <c r="A29" s="104">
        <v>43385.46678545139</v>
      </c>
      <c r="B29" s="102" t="s">
        <v>958</v>
      </c>
      <c r="C29" s="102">
        <v>55</v>
      </c>
      <c r="D29" s="102" t="s">
        <v>902</v>
      </c>
      <c r="E29" s="102" t="s">
        <v>903</v>
      </c>
      <c r="F29" s="102" t="s">
        <v>904</v>
      </c>
      <c r="G29" s="102" t="s">
        <v>956</v>
      </c>
      <c r="H29" s="102" t="s">
        <v>494</v>
      </c>
      <c r="K29" s="102" t="s">
        <v>513</v>
      </c>
      <c r="L29" s="102" t="s">
        <v>895</v>
      </c>
      <c r="M29" s="102" t="s">
        <v>614</v>
      </c>
      <c r="O29" s="102" t="s">
        <v>511</v>
      </c>
      <c r="P29" s="102" t="s">
        <v>493</v>
      </c>
      <c r="V29" s="102">
        <v>200</v>
      </c>
      <c r="W29" s="102">
        <v>300</v>
      </c>
      <c r="X29" s="102">
        <v>100</v>
      </c>
      <c r="Y29" s="102">
        <v>100</v>
      </c>
      <c r="Z29" s="102">
        <v>100</v>
      </c>
      <c r="AA29" s="102">
        <v>100</v>
      </c>
      <c r="AB29" s="102">
        <v>500</v>
      </c>
      <c r="AC29" s="102">
        <v>400</v>
      </c>
      <c r="AD29" s="102">
        <v>600</v>
      </c>
      <c r="AE29" s="102">
        <v>600</v>
      </c>
      <c r="AF29" s="102">
        <v>400</v>
      </c>
      <c r="AG29" s="102">
        <v>500</v>
      </c>
      <c r="AH29" s="102" t="s">
        <v>896</v>
      </c>
      <c r="AI29" s="102">
        <v>3</v>
      </c>
      <c r="AJ29" s="102" t="s">
        <v>920</v>
      </c>
      <c r="AL29" s="102" t="s">
        <v>899</v>
      </c>
      <c r="AM29" s="102" t="s">
        <v>899</v>
      </c>
      <c r="AN29" s="102" t="s">
        <v>899</v>
      </c>
      <c r="AO29" s="102" t="s">
        <v>900</v>
      </c>
      <c r="AP29" s="102" t="s">
        <v>905</v>
      </c>
    </row>
    <row r="30" spans="1:42" ht="12.75" x14ac:dyDescent="0.2">
      <c r="A30" s="104">
        <v>43385.471188993055</v>
      </c>
      <c r="B30" s="102" t="s">
        <v>959</v>
      </c>
      <c r="C30" s="102">
        <v>60</v>
      </c>
      <c r="D30" s="102" t="s">
        <v>902</v>
      </c>
      <c r="E30" s="102" t="s">
        <v>903</v>
      </c>
      <c r="F30" s="102" t="s">
        <v>904</v>
      </c>
      <c r="G30" s="102" t="s">
        <v>956</v>
      </c>
      <c r="H30" s="102" t="s">
        <v>502</v>
      </c>
      <c r="K30" s="102" t="s">
        <v>511</v>
      </c>
      <c r="L30" s="102" t="s">
        <v>895</v>
      </c>
      <c r="M30" s="102" t="s">
        <v>614</v>
      </c>
      <c r="O30" s="102" t="s">
        <v>511</v>
      </c>
      <c r="P30" s="102" t="s">
        <v>501</v>
      </c>
      <c r="V30" s="102">
        <v>200</v>
      </c>
      <c r="W30" s="102">
        <v>300</v>
      </c>
      <c r="X30" s="102">
        <v>100</v>
      </c>
      <c r="Y30" s="102">
        <v>100</v>
      </c>
      <c r="Z30" s="102">
        <v>100</v>
      </c>
      <c r="AA30" s="102">
        <v>100</v>
      </c>
      <c r="AB30" s="102">
        <v>600</v>
      </c>
      <c r="AC30" s="102">
        <v>600</v>
      </c>
      <c r="AD30" s="102">
        <v>600</v>
      </c>
      <c r="AE30" s="102">
        <v>700</v>
      </c>
      <c r="AF30" s="102">
        <v>400</v>
      </c>
      <c r="AG30" s="102">
        <v>300</v>
      </c>
      <c r="AH30" s="102" t="s">
        <v>896</v>
      </c>
      <c r="AI30" s="102" t="s">
        <v>897</v>
      </c>
      <c r="AJ30" s="102" t="s">
        <v>898</v>
      </c>
      <c r="AL30" s="102" t="s">
        <v>899</v>
      </c>
      <c r="AM30" s="102" t="s">
        <v>605</v>
      </c>
      <c r="AN30" s="102" t="s">
        <v>899</v>
      </c>
      <c r="AO30" s="102" t="s">
        <v>900</v>
      </c>
      <c r="AP30" s="102" t="s">
        <v>898</v>
      </c>
    </row>
    <row r="31" spans="1:42" ht="12.75" x14ac:dyDescent="0.2">
      <c r="A31" s="104">
        <v>43385.567571747684</v>
      </c>
      <c r="B31" s="102" t="s">
        <v>960</v>
      </c>
      <c r="C31" s="102">
        <v>36</v>
      </c>
      <c r="D31" s="102" t="s">
        <v>902</v>
      </c>
      <c r="E31" s="102" t="s">
        <v>903</v>
      </c>
      <c r="F31" s="102" t="s">
        <v>904</v>
      </c>
      <c r="G31" s="102" t="s">
        <v>956</v>
      </c>
      <c r="H31" s="102" t="s">
        <v>514</v>
      </c>
      <c r="K31" s="102" t="s">
        <v>513</v>
      </c>
      <c r="L31" s="102" t="s">
        <v>895</v>
      </c>
      <c r="M31" s="102" t="s">
        <v>614</v>
      </c>
      <c r="O31" s="102" t="s">
        <v>511</v>
      </c>
      <c r="P31" s="102" t="s">
        <v>501</v>
      </c>
      <c r="V31" s="102">
        <v>200</v>
      </c>
      <c r="W31" s="102">
        <v>300</v>
      </c>
      <c r="X31" s="102" t="s">
        <v>896</v>
      </c>
      <c r="Y31" s="102">
        <v>100</v>
      </c>
      <c r="Z31" s="102">
        <v>100</v>
      </c>
      <c r="AA31" s="102" t="s">
        <v>896</v>
      </c>
      <c r="AB31" s="102">
        <v>600</v>
      </c>
      <c r="AC31" s="102">
        <v>600</v>
      </c>
      <c r="AD31" s="102">
        <v>600</v>
      </c>
      <c r="AE31" s="102">
        <v>700</v>
      </c>
      <c r="AF31" s="102">
        <v>500</v>
      </c>
      <c r="AG31" s="102" t="s">
        <v>896</v>
      </c>
      <c r="AH31" s="102" t="s">
        <v>896</v>
      </c>
      <c r="AI31" s="102">
        <v>6</v>
      </c>
      <c r="AJ31" s="102" t="s">
        <v>920</v>
      </c>
      <c r="AL31" s="102" t="s">
        <v>899</v>
      </c>
      <c r="AM31" s="102" t="s">
        <v>899</v>
      </c>
      <c r="AN31" s="102" t="s">
        <v>899</v>
      </c>
      <c r="AO31" s="102" t="s">
        <v>900</v>
      </c>
      <c r="AP31" s="102" t="s">
        <v>913</v>
      </c>
    </row>
    <row r="32" spans="1:42" ht="12.75" x14ac:dyDescent="0.2">
      <c r="A32" s="104">
        <v>43385.60884497685</v>
      </c>
      <c r="B32" s="102" t="s">
        <v>961</v>
      </c>
      <c r="C32" s="102">
        <v>49</v>
      </c>
      <c r="D32" s="102" t="s">
        <v>902</v>
      </c>
      <c r="E32" s="102" t="s">
        <v>903</v>
      </c>
      <c r="F32" s="102" t="s">
        <v>904</v>
      </c>
      <c r="G32" s="102" t="s">
        <v>956</v>
      </c>
      <c r="H32" s="102" t="s">
        <v>494</v>
      </c>
      <c r="K32" s="102" t="s">
        <v>511</v>
      </c>
      <c r="L32" s="102" t="s">
        <v>895</v>
      </c>
      <c r="M32" s="102" t="s">
        <v>614</v>
      </c>
      <c r="O32" s="102" t="s">
        <v>511</v>
      </c>
      <c r="P32" s="102" t="s">
        <v>501</v>
      </c>
      <c r="V32" s="102">
        <v>200</v>
      </c>
      <c r="W32" s="102">
        <v>400</v>
      </c>
      <c r="X32" s="102">
        <v>300</v>
      </c>
      <c r="Y32" s="102">
        <v>100</v>
      </c>
      <c r="Z32" s="102">
        <v>100</v>
      </c>
      <c r="AA32" s="102" t="s">
        <v>962</v>
      </c>
      <c r="AB32" s="102">
        <v>600</v>
      </c>
      <c r="AC32" s="102">
        <v>600</v>
      </c>
      <c r="AD32" s="102">
        <v>700</v>
      </c>
      <c r="AE32" s="102" t="s">
        <v>896</v>
      </c>
      <c r="AF32" s="102" t="s">
        <v>896</v>
      </c>
      <c r="AG32" s="102" t="s">
        <v>896</v>
      </c>
      <c r="AH32" s="102" t="s">
        <v>896</v>
      </c>
      <c r="AI32" s="102">
        <v>3</v>
      </c>
      <c r="AJ32" s="102" t="s">
        <v>920</v>
      </c>
      <c r="AL32" s="102" t="s">
        <v>899</v>
      </c>
      <c r="AM32" s="102" t="s">
        <v>899</v>
      </c>
      <c r="AN32" s="102" t="s">
        <v>899</v>
      </c>
      <c r="AO32" s="102" t="s">
        <v>900</v>
      </c>
      <c r="AP32" s="102" t="s">
        <v>913</v>
      </c>
    </row>
    <row r="33" spans="1:42" ht="12.75" x14ac:dyDescent="0.2">
      <c r="A33" s="104">
        <v>43385.610839895831</v>
      </c>
      <c r="B33" s="102" t="s">
        <v>963</v>
      </c>
      <c r="C33" s="102">
        <v>51</v>
      </c>
      <c r="D33" s="102" t="s">
        <v>902</v>
      </c>
      <c r="E33" s="102" t="s">
        <v>903</v>
      </c>
      <c r="F33" s="102" t="s">
        <v>904</v>
      </c>
      <c r="G33" s="102" t="s">
        <v>956</v>
      </c>
      <c r="H33" s="102" t="s">
        <v>494</v>
      </c>
      <c r="K33" s="102" t="s">
        <v>513</v>
      </c>
      <c r="L33" s="102" t="s">
        <v>895</v>
      </c>
      <c r="M33" s="102" t="s">
        <v>614</v>
      </c>
      <c r="O33" s="102" t="s">
        <v>511</v>
      </c>
      <c r="P33" s="102" t="s">
        <v>493</v>
      </c>
      <c r="V33" s="102">
        <v>300</v>
      </c>
      <c r="W33" s="102">
        <v>400</v>
      </c>
      <c r="X33" s="102">
        <v>200</v>
      </c>
      <c r="Y33" s="102">
        <v>100</v>
      </c>
      <c r="Z33" s="102">
        <v>100</v>
      </c>
      <c r="AA33" s="102">
        <v>200</v>
      </c>
      <c r="AB33" s="102">
        <v>500</v>
      </c>
      <c r="AC33" s="102">
        <v>500</v>
      </c>
      <c r="AD33" s="102">
        <v>500</v>
      </c>
      <c r="AE33" s="102">
        <v>800</v>
      </c>
      <c r="AF33" s="102">
        <v>400</v>
      </c>
      <c r="AG33" s="102" t="s">
        <v>896</v>
      </c>
      <c r="AH33" s="102" t="s">
        <v>896</v>
      </c>
      <c r="AI33" s="102" t="s">
        <v>897</v>
      </c>
      <c r="AJ33" s="102" t="s">
        <v>898</v>
      </c>
      <c r="AL33" s="102" t="s">
        <v>899</v>
      </c>
      <c r="AM33" s="102" t="s">
        <v>899</v>
      </c>
      <c r="AN33" s="102" t="s">
        <v>899</v>
      </c>
      <c r="AO33" s="102" t="s">
        <v>900</v>
      </c>
      <c r="AP33" s="102" t="s">
        <v>905</v>
      </c>
    </row>
    <row r="34" spans="1:42" ht="12.75" x14ac:dyDescent="0.2">
      <c r="A34" s="104">
        <v>43385.615927407409</v>
      </c>
      <c r="B34" s="102" t="s">
        <v>964</v>
      </c>
      <c r="C34" s="102">
        <v>30</v>
      </c>
      <c r="D34" s="102" t="s">
        <v>902</v>
      </c>
      <c r="E34" s="102" t="s">
        <v>903</v>
      </c>
      <c r="F34" s="102" t="s">
        <v>904</v>
      </c>
      <c r="G34" s="102" t="s">
        <v>946</v>
      </c>
      <c r="H34" s="102" t="s">
        <v>516</v>
      </c>
      <c r="K34" s="102" t="s">
        <v>517</v>
      </c>
      <c r="L34" s="102" t="s">
        <v>910</v>
      </c>
      <c r="M34" s="102" t="s">
        <v>614</v>
      </c>
      <c r="O34" s="102" t="s">
        <v>517</v>
      </c>
      <c r="P34" s="102" t="s">
        <v>493</v>
      </c>
      <c r="V34" s="102">
        <v>200</v>
      </c>
      <c r="W34" s="102">
        <v>400</v>
      </c>
      <c r="X34" s="102">
        <v>100</v>
      </c>
      <c r="Y34" s="102">
        <v>100</v>
      </c>
      <c r="Z34" s="102">
        <v>100</v>
      </c>
      <c r="AA34" s="102">
        <v>300</v>
      </c>
      <c r="AB34" s="102">
        <v>500</v>
      </c>
      <c r="AC34" s="102">
        <v>300</v>
      </c>
      <c r="AD34" s="102">
        <v>300</v>
      </c>
      <c r="AE34" s="102">
        <v>500</v>
      </c>
      <c r="AF34" s="102">
        <v>300</v>
      </c>
      <c r="AG34" s="102">
        <v>500</v>
      </c>
      <c r="AH34" s="102">
        <v>1000</v>
      </c>
      <c r="AI34" s="102">
        <v>4</v>
      </c>
      <c r="AJ34" s="102" t="s">
        <v>688</v>
      </c>
      <c r="AL34" s="102" t="s">
        <v>899</v>
      </c>
      <c r="AM34" s="102" t="s">
        <v>605</v>
      </c>
      <c r="AN34" s="102" t="s">
        <v>899</v>
      </c>
      <c r="AO34" s="102" t="s">
        <v>900</v>
      </c>
      <c r="AP34" s="102" t="s">
        <v>913</v>
      </c>
    </row>
    <row r="35" spans="1:42" ht="12.75" x14ac:dyDescent="0.2">
      <c r="A35" s="104">
        <v>43385.620532141205</v>
      </c>
      <c r="B35" s="102" t="s">
        <v>965</v>
      </c>
      <c r="C35" s="102">
        <v>36</v>
      </c>
      <c r="D35" s="102" t="s">
        <v>902</v>
      </c>
      <c r="E35" s="102" t="s">
        <v>903</v>
      </c>
      <c r="F35" s="102" t="s">
        <v>904</v>
      </c>
      <c r="G35" s="102" t="s">
        <v>966</v>
      </c>
      <c r="H35" s="102" t="s">
        <v>516</v>
      </c>
      <c r="K35" s="102" t="s">
        <v>515</v>
      </c>
      <c r="L35" s="102" t="s">
        <v>910</v>
      </c>
      <c r="M35" s="102" t="s">
        <v>614</v>
      </c>
      <c r="O35" s="102" t="s">
        <v>513</v>
      </c>
      <c r="P35" s="102" t="s">
        <v>495</v>
      </c>
      <c r="V35" s="102">
        <v>100</v>
      </c>
      <c r="W35" s="102">
        <v>100</v>
      </c>
      <c r="X35" s="102">
        <v>300</v>
      </c>
      <c r="Y35" s="102">
        <v>100</v>
      </c>
      <c r="Z35" s="102">
        <v>100</v>
      </c>
      <c r="AA35" s="102">
        <v>200</v>
      </c>
      <c r="AB35" s="102">
        <v>200</v>
      </c>
      <c r="AC35" s="102">
        <v>500</v>
      </c>
      <c r="AD35" s="102">
        <v>100</v>
      </c>
      <c r="AE35" s="102">
        <v>300</v>
      </c>
      <c r="AF35" s="102">
        <v>300</v>
      </c>
      <c r="AG35" s="102">
        <v>400</v>
      </c>
      <c r="AH35" s="102">
        <v>1200</v>
      </c>
      <c r="AI35" s="102" t="s">
        <v>897</v>
      </c>
      <c r="AJ35" s="102" t="s">
        <v>920</v>
      </c>
      <c r="AL35" s="102" t="s">
        <v>899</v>
      </c>
      <c r="AM35" s="102" t="s">
        <v>899</v>
      </c>
      <c r="AN35" s="102" t="s">
        <v>899</v>
      </c>
      <c r="AO35" s="102" t="s">
        <v>900</v>
      </c>
      <c r="AP35" s="102" t="s">
        <v>944</v>
      </c>
    </row>
    <row r="36" spans="1:42" ht="12.75" x14ac:dyDescent="0.2">
      <c r="A36" s="104">
        <v>43385.62347273148</v>
      </c>
      <c r="B36" s="102" t="s">
        <v>967</v>
      </c>
      <c r="C36" s="102">
        <v>41</v>
      </c>
      <c r="D36" s="102" t="s">
        <v>902</v>
      </c>
      <c r="E36" s="102" t="s">
        <v>903</v>
      </c>
      <c r="F36" s="102" t="s">
        <v>904</v>
      </c>
      <c r="G36" s="102" t="s">
        <v>956</v>
      </c>
      <c r="H36" s="102" t="s">
        <v>514</v>
      </c>
      <c r="K36" s="102" t="s">
        <v>517</v>
      </c>
      <c r="L36" s="102" t="s">
        <v>910</v>
      </c>
      <c r="M36" s="102" t="s">
        <v>614</v>
      </c>
      <c r="O36" s="102" t="s">
        <v>513</v>
      </c>
      <c r="P36" s="102" t="s">
        <v>501</v>
      </c>
      <c r="V36" s="102">
        <v>200</v>
      </c>
      <c r="W36" s="102">
        <v>100</v>
      </c>
      <c r="X36" s="102">
        <v>200</v>
      </c>
      <c r="Y36" s="102">
        <v>100</v>
      </c>
      <c r="Z36" s="102">
        <v>100</v>
      </c>
      <c r="AA36" s="102">
        <v>200</v>
      </c>
      <c r="AB36" s="102">
        <v>400</v>
      </c>
      <c r="AC36" s="102">
        <v>700</v>
      </c>
      <c r="AD36" s="102">
        <v>200</v>
      </c>
      <c r="AE36" s="102">
        <v>300</v>
      </c>
      <c r="AF36" s="102">
        <v>300</v>
      </c>
      <c r="AG36" s="102">
        <v>500</v>
      </c>
      <c r="AH36" s="102" t="s">
        <v>896</v>
      </c>
      <c r="AI36" s="102" t="s">
        <v>897</v>
      </c>
      <c r="AJ36" s="102" t="s">
        <v>898</v>
      </c>
      <c r="AL36" s="102" t="s">
        <v>899</v>
      </c>
      <c r="AM36" s="102" t="s">
        <v>899</v>
      </c>
      <c r="AN36" s="102" t="s">
        <v>899</v>
      </c>
      <c r="AO36" s="102" t="s">
        <v>900</v>
      </c>
      <c r="AP36" s="102" t="s">
        <v>913</v>
      </c>
    </row>
    <row r="37" spans="1:42" ht="12.75" x14ac:dyDescent="0.2">
      <c r="A37" s="104">
        <v>43385.625851319448</v>
      </c>
      <c r="B37" s="102" t="s">
        <v>968</v>
      </c>
      <c r="C37" s="102">
        <v>50</v>
      </c>
      <c r="D37" s="102" t="s">
        <v>902</v>
      </c>
      <c r="E37" s="102" t="s">
        <v>903</v>
      </c>
      <c r="F37" s="102" t="s">
        <v>904</v>
      </c>
      <c r="G37" s="102" t="s">
        <v>956</v>
      </c>
      <c r="H37" s="102" t="s">
        <v>516</v>
      </c>
      <c r="K37" s="102" t="s">
        <v>513</v>
      </c>
      <c r="L37" s="106" t="s">
        <v>919</v>
      </c>
      <c r="M37" s="102" t="s">
        <v>614</v>
      </c>
      <c r="O37" s="102" t="s">
        <v>511</v>
      </c>
      <c r="P37" s="102" t="s">
        <v>501</v>
      </c>
      <c r="V37" s="102">
        <v>300</v>
      </c>
      <c r="W37" s="102">
        <v>400</v>
      </c>
      <c r="X37" s="102">
        <v>500</v>
      </c>
      <c r="Y37" s="102">
        <v>100</v>
      </c>
      <c r="Z37" s="102">
        <v>100</v>
      </c>
      <c r="AA37" s="102">
        <v>200</v>
      </c>
      <c r="AB37" s="102">
        <v>300</v>
      </c>
      <c r="AC37" s="102">
        <v>600</v>
      </c>
      <c r="AD37" s="102">
        <v>100</v>
      </c>
      <c r="AE37" s="102">
        <v>300</v>
      </c>
      <c r="AF37" s="102">
        <v>300</v>
      </c>
      <c r="AG37" s="102">
        <v>100</v>
      </c>
      <c r="AH37" s="102" t="s">
        <v>896</v>
      </c>
      <c r="AI37" s="102">
        <v>3</v>
      </c>
      <c r="AJ37" s="102" t="s">
        <v>969</v>
      </c>
      <c r="AL37" s="102" t="s">
        <v>899</v>
      </c>
      <c r="AM37" s="102" t="s">
        <v>899</v>
      </c>
      <c r="AN37" s="102" t="s">
        <v>899</v>
      </c>
      <c r="AO37" s="102" t="s">
        <v>900</v>
      </c>
      <c r="AP37" s="102" t="s">
        <v>913</v>
      </c>
    </row>
    <row r="38" spans="1:42" ht="12.75" x14ac:dyDescent="0.2">
      <c r="A38" s="104">
        <v>43385.632242280088</v>
      </c>
      <c r="B38" s="102" t="s">
        <v>970</v>
      </c>
      <c r="C38" s="102">
        <v>32</v>
      </c>
      <c r="D38" s="102" t="s">
        <v>902</v>
      </c>
      <c r="E38" s="102" t="s">
        <v>903</v>
      </c>
      <c r="F38" s="102" t="s">
        <v>904</v>
      </c>
      <c r="G38" s="102" t="s">
        <v>971</v>
      </c>
      <c r="H38" s="102" t="s">
        <v>516</v>
      </c>
      <c r="K38" s="102" t="s">
        <v>511</v>
      </c>
      <c r="L38" s="102" t="s">
        <v>895</v>
      </c>
      <c r="M38" s="102" t="s">
        <v>614</v>
      </c>
      <c r="O38" s="102" t="s">
        <v>511</v>
      </c>
      <c r="P38" s="102" t="s">
        <v>512</v>
      </c>
      <c r="V38" s="102">
        <v>200</v>
      </c>
      <c r="W38" s="102">
        <v>300</v>
      </c>
      <c r="X38" s="102" t="s">
        <v>896</v>
      </c>
      <c r="Y38" s="102">
        <v>100</v>
      </c>
      <c r="Z38" s="102">
        <v>100</v>
      </c>
      <c r="AA38" s="102">
        <v>300</v>
      </c>
      <c r="AB38" s="102">
        <v>400</v>
      </c>
      <c r="AC38" s="102" t="s">
        <v>896</v>
      </c>
      <c r="AD38" s="102">
        <v>300</v>
      </c>
      <c r="AE38" s="102" t="s">
        <v>896</v>
      </c>
      <c r="AF38" s="102">
        <v>400</v>
      </c>
      <c r="AG38" s="102">
        <v>400</v>
      </c>
      <c r="AH38" s="102" t="s">
        <v>896</v>
      </c>
      <c r="AI38" s="102">
        <v>4</v>
      </c>
      <c r="AJ38" s="102" t="s">
        <v>898</v>
      </c>
      <c r="AL38" s="102" t="s">
        <v>899</v>
      </c>
      <c r="AM38" s="102" t="s">
        <v>899</v>
      </c>
      <c r="AN38" s="102" t="s">
        <v>899</v>
      </c>
      <c r="AO38" s="102" t="s">
        <v>900</v>
      </c>
      <c r="AP38" s="102" t="s">
        <v>944</v>
      </c>
    </row>
    <row r="39" spans="1:42" ht="12.75" x14ac:dyDescent="0.2">
      <c r="A39" s="104">
        <v>43385.63635980324</v>
      </c>
      <c r="B39" s="102" t="s">
        <v>972</v>
      </c>
      <c r="C39" s="102">
        <v>34</v>
      </c>
      <c r="D39" s="102" t="s">
        <v>902</v>
      </c>
      <c r="E39" s="102" t="s">
        <v>903</v>
      </c>
      <c r="F39" s="102" t="s">
        <v>904</v>
      </c>
      <c r="G39" s="102" t="s">
        <v>971</v>
      </c>
      <c r="H39" s="102" t="s">
        <v>494</v>
      </c>
      <c r="K39" s="102" t="s">
        <v>519</v>
      </c>
      <c r="L39" s="102" t="s">
        <v>895</v>
      </c>
      <c r="M39" s="102" t="s">
        <v>614</v>
      </c>
      <c r="O39" s="102" t="s">
        <v>519</v>
      </c>
      <c r="P39" s="102" t="s">
        <v>512</v>
      </c>
      <c r="V39" s="102">
        <v>400</v>
      </c>
      <c r="W39" s="102" t="s">
        <v>896</v>
      </c>
      <c r="X39" s="102" t="s">
        <v>973</v>
      </c>
      <c r="Y39" s="102">
        <v>100</v>
      </c>
      <c r="Z39" s="102">
        <v>200</v>
      </c>
      <c r="AA39" s="102">
        <v>400</v>
      </c>
      <c r="AB39" s="102">
        <v>400</v>
      </c>
      <c r="AC39" s="102">
        <v>500</v>
      </c>
      <c r="AD39" s="102">
        <v>500</v>
      </c>
      <c r="AE39" s="102">
        <v>300</v>
      </c>
      <c r="AF39" s="102">
        <v>400</v>
      </c>
      <c r="AG39" s="102" t="s">
        <v>896</v>
      </c>
      <c r="AH39" s="102" t="s">
        <v>896</v>
      </c>
      <c r="AI39" s="102">
        <v>6</v>
      </c>
      <c r="AJ39" s="102" t="s">
        <v>898</v>
      </c>
      <c r="AL39" s="102" t="s">
        <v>899</v>
      </c>
      <c r="AM39" s="102" t="s">
        <v>605</v>
      </c>
      <c r="AN39" s="102" t="s">
        <v>605</v>
      </c>
      <c r="AO39" s="102" t="s">
        <v>974</v>
      </c>
      <c r="AP39" s="102" t="s">
        <v>944</v>
      </c>
    </row>
    <row r="40" spans="1:42" ht="12.75" x14ac:dyDescent="0.2">
      <c r="A40" s="104">
        <v>43385.658793298615</v>
      </c>
      <c r="B40" s="102" t="s">
        <v>975</v>
      </c>
      <c r="C40" s="102">
        <v>45</v>
      </c>
      <c r="D40" s="102" t="s">
        <v>891</v>
      </c>
      <c r="E40" s="102" t="s">
        <v>903</v>
      </c>
      <c r="F40" s="102" t="s">
        <v>893</v>
      </c>
      <c r="G40" s="102" t="s">
        <v>971</v>
      </c>
      <c r="H40" s="102" t="s">
        <v>494</v>
      </c>
      <c r="K40" s="102" t="s">
        <v>513</v>
      </c>
      <c r="L40" s="102" t="s">
        <v>895</v>
      </c>
      <c r="M40" s="102" t="s">
        <v>614</v>
      </c>
      <c r="O40" s="102" t="s">
        <v>511</v>
      </c>
      <c r="P40" s="102" t="s">
        <v>493</v>
      </c>
      <c r="V40" s="102">
        <v>400</v>
      </c>
      <c r="W40" s="102">
        <v>300</v>
      </c>
      <c r="X40" s="102">
        <v>200</v>
      </c>
      <c r="Y40" s="102">
        <v>200</v>
      </c>
      <c r="Z40" s="102">
        <v>200</v>
      </c>
      <c r="AA40" s="102">
        <v>300</v>
      </c>
      <c r="AB40" s="102">
        <v>500</v>
      </c>
      <c r="AC40" s="102">
        <v>500</v>
      </c>
      <c r="AD40" s="102">
        <v>500</v>
      </c>
      <c r="AE40" s="102">
        <v>500</v>
      </c>
      <c r="AF40" s="102">
        <v>500</v>
      </c>
      <c r="AG40" s="102">
        <v>600</v>
      </c>
      <c r="AH40" s="102">
        <v>600</v>
      </c>
      <c r="AI40" s="102">
        <v>4</v>
      </c>
      <c r="AJ40" s="102" t="s">
        <v>898</v>
      </c>
      <c r="AL40" s="102" t="s">
        <v>899</v>
      </c>
      <c r="AM40" s="102" t="s">
        <v>899</v>
      </c>
      <c r="AN40" s="102" t="s">
        <v>899</v>
      </c>
      <c r="AO40" s="102" t="s">
        <v>900</v>
      </c>
      <c r="AP40" s="102" t="s">
        <v>913</v>
      </c>
    </row>
    <row r="41" spans="1:42" ht="12.75" x14ac:dyDescent="0.2">
      <c r="A41" s="104">
        <v>43385.665667708337</v>
      </c>
      <c r="B41" s="102" t="s">
        <v>976</v>
      </c>
      <c r="C41" s="102">
        <v>42</v>
      </c>
      <c r="D41" s="102" t="s">
        <v>902</v>
      </c>
      <c r="E41" s="102" t="s">
        <v>903</v>
      </c>
      <c r="F41" s="102" t="s">
        <v>904</v>
      </c>
      <c r="G41" s="102" t="s">
        <v>977</v>
      </c>
      <c r="H41" s="102" t="s">
        <v>494</v>
      </c>
      <c r="K41" s="102" t="s">
        <v>515</v>
      </c>
      <c r="L41" s="106" t="s">
        <v>919</v>
      </c>
      <c r="M41" s="102" t="s">
        <v>614</v>
      </c>
      <c r="O41" s="102" t="s">
        <v>513</v>
      </c>
      <c r="P41" s="102" t="s">
        <v>495</v>
      </c>
      <c r="V41" s="102">
        <v>300</v>
      </c>
      <c r="W41" s="102">
        <v>400</v>
      </c>
      <c r="X41" s="102">
        <v>100</v>
      </c>
      <c r="Y41" s="102">
        <v>100</v>
      </c>
      <c r="Z41" s="102">
        <v>100</v>
      </c>
      <c r="AA41" s="102" t="s">
        <v>896</v>
      </c>
      <c r="AB41" s="102">
        <v>500</v>
      </c>
      <c r="AC41" s="102">
        <v>400</v>
      </c>
      <c r="AD41" s="102">
        <v>200</v>
      </c>
      <c r="AE41" s="102">
        <v>500</v>
      </c>
      <c r="AF41" s="102">
        <v>500</v>
      </c>
      <c r="AG41" s="102">
        <v>300</v>
      </c>
      <c r="AH41" s="102" t="s">
        <v>896</v>
      </c>
      <c r="AI41" s="102">
        <v>6</v>
      </c>
      <c r="AJ41" s="102" t="s">
        <v>688</v>
      </c>
      <c r="AL41" s="102" t="s">
        <v>899</v>
      </c>
      <c r="AM41" s="102" t="s">
        <v>899</v>
      </c>
      <c r="AN41" s="102" t="s">
        <v>899</v>
      </c>
      <c r="AO41" s="102" t="s">
        <v>907</v>
      </c>
      <c r="AP41" s="102" t="s">
        <v>913</v>
      </c>
    </row>
    <row r="42" spans="1:42" ht="12.75" x14ac:dyDescent="0.2">
      <c r="A42" s="104">
        <v>43385.66775601852</v>
      </c>
      <c r="B42" s="102" t="s">
        <v>978</v>
      </c>
      <c r="C42" s="102">
        <v>55</v>
      </c>
      <c r="D42" s="102" t="s">
        <v>902</v>
      </c>
      <c r="E42" s="102" t="s">
        <v>903</v>
      </c>
      <c r="F42" s="102" t="s">
        <v>904</v>
      </c>
      <c r="G42" s="102" t="s">
        <v>971</v>
      </c>
      <c r="H42" s="102" t="s">
        <v>514</v>
      </c>
      <c r="K42" s="102" t="s">
        <v>513</v>
      </c>
      <c r="L42" s="106" t="s">
        <v>919</v>
      </c>
      <c r="M42" s="102" t="s">
        <v>614</v>
      </c>
      <c r="O42" s="102" t="s">
        <v>511</v>
      </c>
      <c r="P42" s="102" t="s">
        <v>493</v>
      </c>
      <c r="V42" s="102">
        <v>300</v>
      </c>
      <c r="W42" s="102">
        <v>400</v>
      </c>
      <c r="X42" s="102">
        <v>100</v>
      </c>
      <c r="Y42" s="102">
        <v>200</v>
      </c>
      <c r="Z42" s="102">
        <v>100</v>
      </c>
      <c r="AA42" s="102">
        <v>200</v>
      </c>
      <c r="AB42" s="102">
        <v>500</v>
      </c>
      <c r="AC42" s="102">
        <v>600</v>
      </c>
      <c r="AD42" s="102">
        <v>500</v>
      </c>
      <c r="AE42" s="102">
        <v>700</v>
      </c>
      <c r="AF42" s="102">
        <v>500</v>
      </c>
      <c r="AG42" s="102">
        <v>900</v>
      </c>
      <c r="AH42" s="102" t="s">
        <v>896</v>
      </c>
      <c r="AI42" s="102" t="s">
        <v>897</v>
      </c>
      <c r="AJ42" s="102" t="s">
        <v>688</v>
      </c>
      <c r="AL42" s="102" t="s">
        <v>899</v>
      </c>
      <c r="AM42" s="102" t="s">
        <v>899</v>
      </c>
      <c r="AN42" s="102" t="s">
        <v>605</v>
      </c>
      <c r="AO42" s="102" t="s">
        <v>900</v>
      </c>
      <c r="AP42" s="102" t="s">
        <v>913</v>
      </c>
    </row>
    <row r="43" spans="1:42" ht="12.75" x14ac:dyDescent="0.2">
      <c r="A43" s="104">
        <v>43385.670125694443</v>
      </c>
      <c r="B43" s="102" t="s">
        <v>979</v>
      </c>
      <c r="C43" s="102">
        <v>50</v>
      </c>
      <c r="D43" s="102" t="s">
        <v>902</v>
      </c>
      <c r="E43" s="102" t="s">
        <v>903</v>
      </c>
      <c r="F43" s="102" t="s">
        <v>904</v>
      </c>
      <c r="G43" s="102" t="s">
        <v>971</v>
      </c>
      <c r="H43" s="102" t="s">
        <v>494</v>
      </c>
      <c r="K43" s="102" t="s">
        <v>515</v>
      </c>
      <c r="L43" s="106" t="s">
        <v>919</v>
      </c>
      <c r="M43" s="102" t="s">
        <v>614</v>
      </c>
      <c r="O43" s="102" t="s">
        <v>515</v>
      </c>
      <c r="P43" s="102" t="s">
        <v>495</v>
      </c>
      <c r="V43" s="102">
        <v>100</v>
      </c>
      <c r="W43" s="102">
        <v>300</v>
      </c>
      <c r="X43" s="102">
        <v>200</v>
      </c>
      <c r="Y43" s="102">
        <v>100</v>
      </c>
      <c r="Z43" s="102">
        <v>100</v>
      </c>
      <c r="AA43" s="102">
        <v>200</v>
      </c>
      <c r="AB43" s="102">
        <v>300</v>
      </c>
      <c r="AC43" s="102">
        <v>400</v>
      </c>
      <c r="AD43" s="102">
        <v>500</v>
      </c>
      <c r="AE43" s="102">
        <v>300</v>
      </c>
      <c r="AF43" s="102">
        <v>400</v>
      </c>
      <c r="AG43" s="102">
        <v>100</v>
      </c>
      <c r="AH43" s="102" t="s">
        <v>948</v>
      </c>
      <c r="AI43" s="102">
        <v>6</v>
      </c>
      <c r="AJ43" s="102" t="s">
        <v>980</v>
      </c>
      <c r="AL43" s="102" t="s">
        <v>899</v>
      </c>
      <c r="AM43" s="102" t="s">
        <v>899</v>
      </c>
      <c r="AN43" s="102" t="s">
        <v>899</v>
      </c>
      <c r="AO43" s="102" t="s">
        <v>907</v>
      </c>
      <c r="AP43" s="102" t="s">
        <v>913</v>
      </c>
    </row>
    <row r="44" spans="1:42" ht="12.75" x14ac:dyDescent="0.2">
      <c r="A44" s="104">
        <v>43385.672634178241</v>
      </c>
      <c r="B44" s="102" t="s">
        <v>981</v>
      </c>
      <c r="C44" s="102">
        <v>40</v>
      </c>
      <c r="D44" s="102" t="s">
        <v>891</v>
      </c>
      <c r="E44" s="102" t="s">
        <v>903</v>
      </c>
      <c r="F44" s="102" t="s">
        <v>904</v>
      </c>
      <c r="G44" s="102" t="s">
        <v>977</v>
      </c>
      <c r="H44" s="102" t="s">
        <v>494</v>
      </c>
      <c r="K44" s="102" t="s">
        <v>513</v>
      </c>
      <c r="L44" s="102" t="s">
        <v>895</v>
      </c>
      <c r="M44" s="102" t="s">
        <v>614</v>
      </c>
      <c r="O44" s="102" t="s">
        <v>513</v>
      </c>
      <c r="P44" s="102" t="s">
        <v>493</v>
      </c>
      <c r="V44" s="102">
        <v>100</v>
      </c>
      <c r="W44" s="102">
        <v>300</v>
      </c>
      <c r="X44" s="102">
        <v>400</v>
      </c>
      <c r="Y44" s="102">
        <v>100</v>
      </c>
      <c r="Z44" s="102">
        <v>100</v>
      </c>
      <c r="AA44" s="102">
        <v>200</v>
      </c>
      <c r="AB44" s="102">
        <v>300</v>
      </c>
      <c r="AC44" s="102">
        <v>400</v>
      </c>
      <c r="AD44" s="102">
        <v>500</v>
      </c>
      <c r="AE44" s="102">
        <v>100</v>
      </c>
      <c r="AF44" s="102">
        <v>300</v>
      </c>
      <c r="AG44" s="102">
        <v>100</v>
      </c>
      <c r="AH44" s="102" t="s">
        <v>948</v>
      </c>
      <c r="AI44" s="102">
        <v>6</v>
      </c>
      <c r="AJ44" s="102" t="s">
        <v>980</v>
      </c>
      <c r="AL44" s="102" t="s">
        <v>899</v>
      </c>
      <c r="AM44" s="102" t="s">
        <v>899</v>
      </c>
      <c r="AN44" s="102" t="s">
        <v>899</v>
      </c>
      <c r="AO44" s="102" t="s">
        <v>907</v>
      </c>
      <c r="AP44" s="102" t="s">
        <v>913</v>
      </c>
    </row>
    <row r="45" spans="1:42" ht="12.75" x14ac:dyDescent="0.2">
      <c r="A45" s="104">
        <v>43385.674944525468</v>
      </c>
      <c r="B45" s="102" t="s">
        <v>982</v>
      </c>
      <c r="C45" s="102">
        <v>45</v>
      </c>
      <c r="D45" s="102" t="s">
        <v>902</v>
      </c>
      <c r="E45" s="102" t="s">
        <v>903</v>
      </c>
      <c r="F45" s="102" t="s">
        <v>904</v>
      </c>
      <c r="G45" s="102" t="s">
        <v>977</v>
      </c>
      <c r="H45" s="102" t="s">
        <v>516</v>
      </c>
      <c r="K45" s="102" t="s">
        <v>513</v>
      </c>
      <c r="L45" s="106" t="s">
        <v>919</v>
      </c>
      <c r="M45" s="102" t="s">
        <v>614</v>
      </c>
      <c r="O45" s="102" t="s">
        <v>513</v>
      </c>
      <c r="P45" s="102" t="s">
        <v>493</v>
      </c>
      <c r="V45" s="102">
        <v>200</v>
      </c>
      <c r="W45" s="102">
        <v>200</v>
      </c>
      <c r="X45" s="102">
        <v>300</v>
      </c>
      <c r="Y45" s="102">
        <v>100</v>
      </c>
      <c r="Z45" s="102">
        <v>100</v>
      </c>
      <c r="AA45" s="102">
        <v>200</v>
      </c>
      <c r="AB45" s="102">
        <v>400</v>
      </c>
      <c r="AC45" s="102">
        <v>400</v>
      </c>
      <c r="AD45" s="102">
        <v>500</v>
      </c>
      <c r="AE45" s="102">
        <v>400</v>
      </c>
      <c r="AF45" s="102">
        <v>400</v>
      </c>
      <c r="AG45" s="102">
        <v>100</v>
      </c>
      <c r="AH45" s="102" t="s">
        <v>896</v>
      </c>
      <c r="AI45" s="102">
        <v>6</v>
      </c>
      <c r="AJ45" s="102" t="s">
        <v>980</v>
      </c>
      <c r="AL45" s="102" t="s">
        <v>899</v>
      </c>
      <c r="AM45" s="102" t="s">
        <v>899</v>
      </c>
      <c r="AN45" s="102" t="s">
        <v>899</v>
      </c>
      <c r="AO45" s="102" t="s">
        <v>907</v>
      </c>
      <c r="AP45" s="102" t="s">
        <v>913</v>
      </c>
    </row>
    <row r="46" spans="1:42" ht="12.75" x14ac:dyDescent="0.2">
      <c r="A46" s="104">
        <v>43385.677165925925</v>
      </c>
      <c r="B46" s="102" t="s">
        <v>983</v>
      </c>
      <c r="C46" s="102">
        <v>45</v>
      </c>
      <c r="D46" s="102" t="s">
        <v>902</v>
      </c>
      <c r="E46" s="102" t="s">
        <v>903</v>
      </c>
      <c r="F46" s="102" t="s">
        <v>904</v>
      </c>
      <c r="G46" s="102" t="s">
        <v>977</v>
      </c>
      <c r="H46" s="102" t="s">
        <v>494</v>
      </c>
      <c r="K46" s="102" t="s">
        <v>513</v>
      </c>
      <c r="L46" s="102" t="s">
        <v>895</v>
      </c>
      <c r="M46" s="102" t="s">
        <v>614</v>
      </c>
      <c r="O46" s="102" t="s">
        <v>511</v>
      </c>
      <c r="P46" s="102" t="s">
        <v>512</v>
      </c>
      <c r="V46" s="102">
        <v>100</v>
      </c>
      <c r="W46" s="102">
        <v>200</v>
      </c>
      <c r="X46" s="102">
        <v>300</v>
      </c>
      <c r="Y46" s="102">
        <v>100</v>
      </c>
      <c r="Z46" s="102">
        <v>100</v>
      </c>
      <c r="AA46" s="102">
        <v>200</v>
      </c>
      <c r="AB46" s="102">
        <v>400</v>
      </c>
      <c r="AC46" s="102">
        <v>400</v>
      </c>
      <c r="AD46" s="102">
        <v>500</v>
      </c>
      <c r="AE46" s="102">
        <v>200</v>
      </c>
      <c r="AF46" s="102">
        <v>400</v>
      </c>
      <c r="AG46" s="102">
        <v>100</v>
      </c>
      <c r="AH46" s="102">
        <v>1200</v>
      </c>
      <c r="AI46" s="102">
        <v>6</v>
      </c>
      <c r="AJ46" s="102" t="s">
        <v>957</v>
      </c>
      <c r="AL46" s="102" t="s">
        <v>605</v>
      </c>
      <c r="AM46" s="102" t="s">
        <v>899</v>
      </c>
      <c r="AN46" s="102" t="s">
        <v>899</v>
      </c>
      <c r="AO46" s="102" t="s">
        <v>907</v>
      </c>
      <c r="AP46" s="102" t="s">
        <v>905</v>
      </c>
    </row>
    <row r="47" spans="1:42" ht="12.75" x14ac:dyDescent="0.2">
      <c r="A47" s="104">
        <v>43388.684961192128</v>
      </c>
      <c r="B47" s="102" t="s">
        <v>984</v>
      </c>
      <c r="C47" s="102">
        <v>36</v>
      </c>
      <c r="D47" s="102" t="s">
        <v>902</v>
      </c>
      <c r="E47" s="102" t="s">
        <v>892</v>
      </c>
      <c r="F47" s="102" t="s">
        <v>904</v>
      </c>
      <c r="G47" s="102" t="s">
        <v>977</v>
      </c>
      <c r="H47" s="102" t="s">
        <v>494</v>
      </c>
      <c r="K47" s="102" t="s">
        <v>515</v>
      </c>
      <c r="L47" s="102" t="s">
        <v>895</v>
      </c>
      <c r="M47" s="102" t="s">
        <v>614</v>
      </c>
      <c r="O47" s="102" t="s">
        <v>511</v>
      </c>
      <c r="P47" s="102" t="s">
        <v>501</v>
      </c>
      <c r="V47" s="102">
        <v>200</v>
      </c>
      <c r="W47" s="102">
        <v>300</v>
      </c>
      <c r="X47" s="102">
        <v>200</v>
      </c>
      <c r="Y47" s="102">
        <v>100</v>
      </c>
      <c r="Z47" s="102">
        <v>100</v>
      </c>
      <c r="AA47" s="102">
        <v>200</v>
      </c>
      <c r="AB47" s="102">
        <v>400</v>
      </c>
      <c r="AC47" s="102">
        <v>400</v>
      </c>
      <c r="AD47" s="102">
        <v>400</v>
      </c>
      <c r="AE47" s="102">
        <v>500</v>
      </c>
      <c r="AF47" s="102">
        <v>300</v>
      </c>
      <c r="AG47" s="102">
        <v>400</v>
      </c>
      <c r="AH47" s="102" t="s">
        <v>896</v>
      </c>
      <c r="AI47" s="102">
        <v>6</v>
      </c>
      <c r="AJ47" s="102" t="s">
        <v>688</v>
      </c>
      <c r="AL47" s="102" t="s">
        <v>899</v>
      </c>
      <c r="AM47" s="102" t="s">
        <v>605</v>
      </c>
      <c r="AN47" s="102" t="s">
        <v>605</v>
      </c>
      <c r="AO47" s="102" t="s">
        <v>985</v>
      </c>
      <c r="AP47" s="102" t="s">
        <v>944</v>
      </c>
    </row>
    <row r="48" spans="1:42" ht="12.75" x14ac:dyDescent="0.2">
      <c r="A48" s="104">
        <v>43388.688954756944</v>
      </c>
      <c r="B48" s="102" t="s">
        <v>986</v>
      </c>
      <c r="C48" s="102">
        <v>45</v>
      </c>
      <c r="D48" s="102" t="s">
        <v>902</v>
      </c>
      <c r="E48" s="102" t="s">
        <v>903</v>
      </c>
      <c r="F48" s="102" t="s">
        <v>904</v>
      </c>
      <c r="G48" s="102" t="s">
        <v>956</v>
      </c>
      <c r="H48" s="102" t="s">
        <v>516</v>
      </c>
      <c r="K48" s="102" t="s">
        <v>511</v>
      </c>
      <c r="L48" s="102" t="s">
        <v>895</v>
      </c>
      <c r="M48" s="102" t="s">
        <v>641</v>
      </c>
      <c r="O48" s="102" t="s">
        <v>511</v>
      </c>
      <c r="P48" s="102" t="s">
        <v>512</v>
      </c>
      <c r="V48" s="102">
        <v>200</v>
      </c>
      <c r="W48" s="102">
        <v>400</v>
      </c>
      <c r="X48" s="102">
        <v>200</v>
      </c>
      <c r="Y48" s="102">
        <v>100</v>
      </c>
      <c r="Z48" s="102">
        <v>100</v>
      </c>
      <c r="AA48" s="102">
        <v>200</v>
      </c>
      <c r="AB48" s="102">
        <v>500</v>
      </c>
      <c r="AC48" s="102">
        <v>500</v>
      </c>
      <c r="AD48" s="102">
        <v>600</v>
      </c>
      <c r="AE48" s="102">
        <v>900</v>
      </c>
      <c r="AF48" s="102">
        <v>400</v>
      </c>
      <c r="AG48" s="102">
        <v>800</v>
      </c>
      <c r="AH48" s="102" t="s">
        <v>896</v>
      </c>
      <c r="AI48" s="102">
        <v>6</v>
      </c>
      <c r="AJ48" s="102" t="s">
        <v>920</v>
      </c>
      <c r="AL48" s="102" t="s">
        <v>899</v>
      </c>
      <c r="AM48" s="102" t="s">
        <v>605</v>
      </c>
      <c r="AN48" s="102" t="s">
        <v>605</v>
      </c>
      <c r="AO48" s="102" t="s">
        <v>907</v>
      </c>
      <c r="AP48" s="102" t="s">
        <v>944</v>
      </c>
    </row>
    <row r="49" spans="1:42" ht="12.75" x14ac:dyDescent="0.2">
      <c r="A49" s="104">
        <v>43388.691351840273</v>
      </c>
      <c r="B49" s="102" t="s">
        <v>987</v>
      </c>
      <c r="C49" s="102">
        <v>32</v>
      </c>
      <c r="D49" s="102" t="s">
        <v>902</v>
      </c>
      <c r="E49" s="102" t="s">
        <v>988</v>
      </c>
      <c r="F49" s="102" t="s">
        <v>904</v>
      </c>
      <c r="G49" s="102" t="s">
        <v>956</v>
      </c>
      <c r="H49" s="102" t="s">
        <v>514</v>
      </c>
      <c r="K49" s="102" t="s">
        <v>513</v>
      </c>
      <c r="L49" s="106" t="s">
        <v>919</v>
      </c>
      <c r="M49" s="102" t="s">
        <v>614</v>
      </c>
      <c r="O49" s="102" t="s">
        <v>511</v>
      </c>
      <c r="P49" s="102" t="s">
        <v>512</v>
      </c>
      <c r="V49" s="102">
        <v>300</v>
      </c>
      <c r="W49" s="102">
        <v>400</v>
      </c>
      <c r="X49" s="102">
        <v>200</v>
      </c>
      <c r="Y49" s="102">
        <v>100</v>
      </c>
      <c r="Z49" s="102">
        <v>100</v>
      </c>
      <c r="AA49" s="102">
        <v>400</v>
      </c>
      <c r="AB49" s="102">
        <v>600</v>
      </c>
      <c r="AC49" s="102">
        <v>300</v>
      </c>
      <c r="AD49" s="102">
        <v>600</v>
      </c>
      <c r="AE49" s="102" t="s">
        <v>896</v>
      </c>
      <c r="AF49" s="102">
        <v>300</v>
      </c>
      <c r="AG49" s="102">
        <v>700</v>
      </c>
      <c r="AH49" s="102" t="s">
        <v>896</v>
      </c>
      <c r="AI49" s="102" t="s">
        <v>897</v>
      </c>
      <c r="AJ49" s="102" t="s">
        <v>989</v>
      </c>
      <c r="AL49" s="102" t="s">
        <v>899</v>
      </c>
      <c r="AM49" s="102" t="s">
        <v>899</v>
      </c>
      <c r="AN49" s="102" t="s">
        <v>899</v>
      </c>
      <c r="AO49" s="102" t="s">
        <v>907</v>
      </c>
      <c r="AP49" s="102" t="s">
        <v>913</v>
      </c>
    </row>
    <row r="50" spans="1:42" ht="12.75" x14ac:dyDescent="0.2">
      <c r="A50" s="104">
        <v>43388.69393898148</v>
      </c>
      <c r="B50" s="102" t="s">
        <v>990</v>
      </c>
      <c r="C50" s="102">
        <v>52</v>
      </c>
      <c r="D50" s="102" t="s">
        <v>902</v>
      </c>
      <c r="E50" s="102" t="s">
        <v>903</v>
      </c>
      <c r="F50" s="102" t="s">
        <v>904</v>
      </c>
      <c r="G50" s="102" t="s">
        <v>956</v>
      </c>
      <c r="H50" s="102" t="s">
        <v>494</v>
      </c>
      <c r="K50" s="102" t="s">
        <v>511</v>
      </c>
      <c r="L50" s="102" t="s">
        <v>895</v>
      </c>
      <c r="M50" s="102" t="s">
        <v>991</v>
      </c>
      <c r="O50" s="102" t="s">
        <v>511</v>
      </c>
      <c r="P50" s="102" t="s">
        <v>512</v>
      </c>
      <c r="V50" s="102">
        <v>200</v>
      </c>
      <c r="W50" s="102">
        <v>400</v>
      </c>
      <c r="X50" s="102">
        <v>200</v>
      </c>
      <c r="Y50" s="102">
        <v>100</v>
      </c>
      <c r="Z50" s="102">
        <v>100</v>
      </c>
      <c r="AA50" s="102">
        <v>500</v>
      </c>
      <c r="AB50" s="102">
        <v>500</v>
      </c>
      <c r="AC50" s="102">
        <v>700</v>
      </c>
      <c r="AD50" s="102">
        <v>700</v>
      </c>
      <c r="AE50" s="102" t="s">
        <v>896</v>
      </c>
      <c r="AF50" s="102">
        <v>500</v>
      </c>
      <c r="AG50" s="102" t="s">
        <v>992</v>
      </c>
      <c r="AH50" s="102" t="s">
        <v>896</v>
      </c>
      <c r="AI50" s="102">
        <v>3</v>
      </c>
      <c r="AJ50" s="102" t="s">
        <v>920</v>
      </c>
      <c r="AL50" s="102" t="s">
        <v>899</v>
      </c>
      <c r="AM50" s="102" t="s">
        <v>899</v>
      </c>
      <c r="AN50" s="102" t="s">
        <v>605</v>
      </c>
      <c r="AO50" s="102" t="s">
        <v>907</v>
      </c>
      <c r="AP50" s="102" t="s">
        <v>905</v>
      </c>
    </row>
    <row r="51" spans="1:42" ht="12.75" x14ac:dyDescent="0.2">
      <c r="A51" s="104">
        <v>43388.696812754628</v>
      </c>
      <c r="B51" s="102" t="s">
        <v>993</v>
      </c>
      <c r="C51" s="102">
        <v>63</v>
      </c>
      <c r="D51" s="102" t="s">
        <v>902</v>
      </c>
      <c r="E51" s="102" t="s">
        <v>903</v>
      </c>
      <c r="F51" s="102" t="s">
        <v>904</v>
      </c>
      <c r="G51" s="102" t="s">
        <v>956</v>
      </c>
      <c r="H51" s="102" t="s">
        <v>502</v>
      </c>
      <c r="K51" s="102" t="s">
        <v>511</v>
      </c>
      <c r="L51" s="102" t="s">
        <v>895</v>
      </c>
      <c r="M51" s="102" t="s">
        <v>614</v>
      </c>
      <c r="O51" s="102" t="s">
        <v>511</v>
      </c>
      <c r="P51" s="102" t="s">
        <v>512</v>
      </c>
      <c r="V51" s="102">
        <v>100</v>
      </c>
      <c r="W51" s="102">
        <v>200</v>
      </c>
      <c r="X51" s="102">
        <v>200</v>
      </c>
      <c r="Y51" s="102">
        <v>100</v>
      </c>
      <c r="Z51" s="102">
        <v>100</v>
      </c>
      <c r="AA51" s="102">
        <v>100</v>
      </c>
      <c r="AB51" s="102">
        <v>300</v>
      </c>
      <c r="AC51" s="102">
        <v>300</v>
      </c>
      <c r="AD51" s="102">
        <v>400</v>
      </c>
      <c r="AE51" s="102">
        <v>200</v>
      </c>
      <c r="AF51" s="102">
        <v>200</v>
      </c>
      <c r="AG51" s="102" t="s">
        <v>896</v>
      </c>
      <c r="AH51" s="102" t="s">
        <v>896</v>
      </c>
      <c r="AI51" s="102">
        <v>2</v>
      </c>
      <c r="AJ51" s="102" t="s">
        <v>731</v>
      </c>
      <c r="AL51" s="102" t="s">
        <v>899</v>
      </c>
      <c r="AM51" s="102" t="s">
        <v>899</v>
      </c>
      <c r="AN51" s="102" t="s">
        <v>605</v>
      </c>
      <c r="AO51" s="102" t="s">
        <v>907</v>
      </c>
      <c r="AP51" s="102" t="s">
        <v>994</v>
      </c>
    </row>
    <row r="52" spans="1:42" ht="12.75" x14ac:dyDescent="0.2">
      <c r="A52" s="104">
        <v>43388.699223020834</v>
      </c>
      <c r="B52" s="102" t="s">
        <v>995</v>
      </c>
      <c r="C52" s="102">
        <v>40</v>
      </c>
      <c r="D52" s="102" t="s">
        <v>891</v>
      </c>
      <c r="E52" s="102" t="s">
        <v>903</v>
      </c>
      <c r="F52" s="102" t="s">
        <v>904</v>
      </c>
      <c r="G52" s="102" t="s">
        <v>956</v>
      </c>
      <c r="H52" s="102" t="s">
        <v>492</v>
      </c>
      <c r="K52" s="102" t="s">
        <v>511</v>
      </c>
      <c r="L52" s="102" t="s">
        <v>895</v>
      </c>
      <c r="M52" s="102" t="s">
        <v>699</v>
      </c>
      <c r="O52" s="102" t="s">
        <v>511</v>
      </c>
      <c r="P52" s="102" t="s">
        <v>512</v>
      </c>
      <c r="V52" s="102">
        <v>200</v>
      </c>
      <c r="W52" s="102">
        <v>300</v>
      </c>
      <c r="X52" s="102">
        <v>100</v>
      </c>
      <c r="Y52" s="102">
        <v>100</v>
      </c>
      <c r="Z52" s="102">
        <v>100</v>
      </c>
      <c r="AA52" s="102">
        <v>300</v>
      </c>
      <c r="AB52" s="102">
        <v>400</v>
      </c>
      <c r="AC52" s="102">
        <v>500</v>
      </c>
      <c r="AD52" s="102">
        <v>400</v>
      </c>
      <c r="AE52" s="102">
        <v>300</v>
      </c>
      <c r="AF52" s="102">
        <v>200</v>
      </c>
      <c r="AG52" s="102">
        <v>500</v>
      </c>
      <c r="AH52" s="102" t="s">
        <v>896</v>
      </c>
      <c r="AI52" s="102">
        <v>3</v>
      </c>
      <c r="AJ52" s="102" t="s">
        <v>920</v>
      </c>
      <c r="AL52" s="102" t="s">
        <v>899</v>
      </c>
      <c r="AM52" s="102" t="s">
        <v>899</v>
      </c>
      <c r="AN52" s="102" t="s">
        <v>605</v>
      </c>
      <c r="AO52" s="102" t="s">
        <v>907</v>
      </c>
      <c r="AP52" s="102" t="s">
        <v>913</v>
      </c>
    </row>
    <row r="53" spans="1:42" ht="12.75" x14ac:dyDescent="0.2">
      <c r="A53" s="104">
        <v>43424.446961747686</v>
      </c>
      <c r="B53" s="102" t="s">
        <v>928</v>
      </c>
      <c r="C53" s="102">
        <v>35</v>
      </c>
      <c r="D53" s="102" t="s">
        <v>902</v>
      </c>
      <c r="E53" s="102" t="s">
        <v>996</v>
      </c>
      <c r="F53" s="102" t="s">
        <v>997</v>
      </c>
      <c r="G53" s="102" t="s">
        <v>998</v>
      </c>
      <c r="H53" s="102" t="s">
        <v>492</v>
      </c>
      <c r="K53" s="102" t="s">
        <v>513</v>
      </c>
      <c r="L53" s="102" t="s">
        <v>895</v>
      </c>
      <c r="M53" s="102" t="s">
        <v>614</v>
      </c>
      <c r="O53" s="102" t="s">
        <v>513</v>
      </c>
      <c r="P53" s="102" t="s">
        <v>495</v>
      </c>
      <c r="V53" s="102">
        <v>500</v>
      </c>
      <c r="W53" s="102">
        <v>800</v>
      </c>
      <c r="X53" s="102">
        <v>600</v>
      </c>
      <c r="Y53" s="102">
        <v>500</v>
      </c>
      <c r="Z53" s="102">
        <v>500</v>
      </c>
      <c r="AA53" s="102">
        <v>600</v>
      </c>
      <c r="AB53" s="102">
        <v>800</v>
      </c>
      <c r="AC53" s="102">
        <v>900</v>
      </c>
      <c r="AD53" s="102">
        <v>1000</v>
      </c>
      <c r="AE53" s="102">
        <v>900</v>
      </c>
      <c r="AF53" s="102">
        <v>1000</v>
      </c>
      <c r="AG53" s="102">
        <v>1000</v>
      </c>
      <c r="AH53" s="102">
        <v>1300</v>
      </c>
      <c r="AI53" s="102" t="s">
        <v>897</v>
      </c>
      <c r="AJ53" s="102" t="s">
        <v>898</v>
      </c>
      <c r="AL53" s="102" t="s">
        <v>899</v>
      </c>
      <c r="AM53" s="102" t="s">
        <v>605</v>
      </c>
      <c r="AN53" s="102" t="s">
        <v>605</v>
      </c>
      <c r="AO53" s="102" t="s">
        <v>985</v>
      </c>
      <c r="AP53" s="102" t="s">
        <v>913</v>
      </c>
    </row>
    <row r="54" spans="1:42" ht="12.75" x14ac:dyDescent="0.2">
      <c r="A54" s="104">
        <v>43424.44996510417</v>
      </c>
      <c r="B54" s="102" t="s">
        <v>999</v>
      </c>
      <c r="C54" s="102">
        <v>32</v>
      </c>
      <c r="D54" s="102" t="s">
        <v>902</v>
      </c>
      <c r="E54" s="102" t="s">
        <v>996</v>
      </c>
      <c r="F54" s="102" t="s">
        <v>904</v>
      </c>
      <c r="G54" s="102" t="s">
        <v>1000</v>
      </c>
      <c r="H54" s="102" t="s">
        <v>492</v>
      </c>
      <c r="K54" s="102" t="s">
        <v>515</v>
      </c>
      <c r="L54" s="106" t="s">
        <v>919</v>
      </c>
      <c r="M54" s="102" t="s">
        <v>611</v>
      </c>
      <c r="O54" s="102" t="s">
        <v>515</v>
      </c>
      <c r="P54" s="102" t="s">
        <v>501</v>
      </c>
      <c r="V54" s="102">
        <v>500</v>
      </c>
      <c r="W54" s="102">
        <v>700</v>
      </c>
      <c r="X54" s="102">
        <v>800</v>
      </c>
      <c r="Y54" s="102">
        <v>500</v>
      </c>
      <c r="Z54" s="102">
        <v>500</v>
      </c>
      <c r="AA54" s="102">
        <v>1200</v>
      </c>
      <c r="AB54" s="102">
        <v>500</v>
      </c>
      <c r="AC54" s="102">
        <v>1000</v>
      </c>
      <c r="AD54" s="102">
        <v>1000</v>
      </c>
      <c r="AE54" s="102">
        <v>800</v>
      </c>
      <c r="AF54" s="102">
        <v>1000</v>
      </c>
      <c r="AG54" s="102">
        <v>1100</v>
      </c>
      <c r="AH54" s="102">
        <v>1200</v>
      </c>
      <c r="AI54" s="102" t="s">
        <v>897</v>
      </c>
      <c r="AJ54" s="102" t="s">
        <v>688</v>
      </c>
      <c r="AL54" s="102" t="s">
        <v>605</v>
      </c>
      <c r="AM54" s="102" t="s">
        <v>605</v>
      </c>
      <c r="AN54" s="102" t="s">
        <v>605</v>
      </c>
      <c r="AO54" s="102" t="s">
        <v>907</v>
      </c>
      <c r="AP54" s="102" t="s">
        <v>913</v>
      </c>
    </row>
    <row r="55" spans="1:42" ht="12.75" x14ac:dyDescent="0.2">
      <c r="A55" s="104">
        <v>43424.453119733793</v>
      </c>
      <c r="B55" s="102" t="s">
        <v>1001</v>
      </c>
      <c r="C55" s="102">
        <v>36</v>
      </c>
      <c r="D55" s="102" t="s">
        <v>891</v>
      </c>
      <c r="E55" s="102" t="s">
        <v>996</v>
      </c>
      <c r="F55" s="102" t="s">
        <v>904</v>
      </c>
      <c r="G55" s="102" t="s">
        <v>1002</v>
      </c>
      <c r="H55" s="102" t="s">
        <v>502</v>
      </c>
      <c r="K55" s="102" t="s">
        <v>515</v>
      </c>
      <c r="L55" s="106" t="s">
        <v>919</v>
      </c>
      <c r="M55" s="102" t="s">
        <v>614</v>
      </c>
      <c r="O55" s="102" t="s">
        <v>513</v>
      </c>
      <c r="P55" s="102" t="s">
        <v>497</v>
      </c>
      <c r="V55" s="102">
        <v>600</v>
      </c>
      <c r="W55" s="102">
        <v>1200</v>
      </c>
      <c r="X55" s="102">
        <v>800</v>
      </c>
      <c r="Y55" s="102">
        <v>800</v>
      </c>
      <c r="Z55" s="102">
        <v>1000</v>
      </c>
      <c r="AA55" s="102">
        <v>1000</v>
      </c>
      <c r="AB55" s="102">
        <v>1200</v>
      </c>
      <c r="AC55" s="102">
        <v>1200</v>
      </c>
      <c r="AD55" s="102">
        <v>1200</v>
      </c>
      <c r="AE55" s="102">
        <v>600</v>
      </c>
      <c r="AF55" s="102">
        <v>600</v>
      </c>
      <c r="AG55" s="102">
        <v>1200</v>
      </c>
      <c r="AH55" s="102">
        <v>1000</v>
      </c>
      <c r="AI55" s="102" t="s">
        <v>897</v>
      </c>
      <c r="AJ55" s="102" t="s">
        <v>688</v>
      </c>
      <c r="AL55" s="102" t="s">
        <v>899</v>
      </c>
      <c r="AM55" s="102" t="s">
        <v>605</v>
      </c>
      <c r="AN55" s="102" t="s">
        <v>605</v>
      </c>
      <c r="AO55" s="102" t="s">
        <v>900</v>
      </c>
      <c r="AP55" s="102" t="s">
        <v>944</v>
      </c>
    </row>
    <row r="56" spans="1:42" ht="12.75" x14ac:dyDescent="0.2">
      <c r="A56" s="104">
        <v>43424.455686261572</v>
      </c>
      <c r="B56" s="102" t="s">
        <v>1003</v>
      </c>
      <c r="C56" s="102">
        <v>26</v>
      </c>
      <c r="D56" s="102" t="s">
        <v>891</v>
      </c>
      <c r="E56" s="102" t="s">
        <v>903</v>
      </c>
      <c r="F56" s="102" t="s">
        <v>904</v>
      </c>
      <c r="G56" s="102" t="s">
        <v>998</v>
      </c>
      <c r="H56" s="102" t="s">
        <v>514</v>
      </c>
      <c r="K56" s="102" t="s">
        <v>513</v>
      </c>
      <c r="L56" s="102" t="s">
        <v>895</v>
      </c>
      <c r="M56" s="102" t="s">
        <v>614</v>
      </c>
      <c r="O56" s="102" t="s">
        <v>511</v>
      </c>
      <c r="P56" s="102" t="s">
        <v>501</v>
      </c>
      <c r="V56" s="102">
        <v>400</v>
      </c>
      <c r="W56" s="102">
        <v>700</v>
      </c>
      <c r="X56" s="102">
        <v>800</v>
      </c>
      <c r="Y56" s="102">
        <v>500</v>
      </c>
      <c r="Z56" s="102">
        <v>800</v>
      </c>
      <c r="AA56" s="102">
        <v>500</v>
      </c>
      <c r="AB56" s="102">
        <v>600</v>
      </c>
      <c r="AC56" s="102">
        <v>800</v>
      </c>
      <c r="AD56" s="102">
        <v>800</v>
      </c>
      <c r="AE56" s="102">
        <v>600</v>
      </c>
      <c r="AF56" s="102">
        <v>600</v>
      </c>
      <c r="AG56" s="102">
        <v>700</v>
      </c>
      <c r="AH56" s="102">
        <v>900</v>
      </c>
      <c r="AI56" s="102">
        <v>6</v>
      </c>
      <c r="AJ56" s="102" t="s">
        <v>896</v>
      </c>
      <c r="AL56" s="102" t="s">
        <v>899</v>
      </c>
      <c r="AM56" s="102" t="s">
        <v>605</v>
      </c>
      <c r="AN56" s="102" t="s">
        <v>605</v>
      </c>
      <c r="AO56" s="102" t="s">
        <v>954</v>
      </c>
      <c r="AP56" s="102" t="s">
        <v>913</v>
      </c>
    </row>
    <row r="57" spans="1:42" ht="12.75" x14ac:dyDescent="0.2">
      <c r="A57" s="104">
        <v>43424.458412349537</v>
      </c>
      <c r="B57" s="102" t="s">
        <v>1004</v>
      </c>
      <c r="C57" s="102">
        <v>35</v>
      </c>
      <c r="D57" s="102" t="s">
        <v>891</v>
      </c>
      <c r="E57" s="102" t="s">
        <v>996</v>
      </c>
      <c r="F57" s="102" t="s">
        <v>904</v>
      </c>
      <c r="G57" s="102" t="s">
        <v>998</v>
      </c>
      <c r="H57" s="102" t="s">
        <v>514</v>
      </c>
      <c r="K57" s="102" t="s">
        <v>515</v>
      </c>
      <c r="L57" s="102" t="s">
        <v>895</v>
      </c>
      <c r="M57" s="102" t="s">
        <v>641</v>
      </c>
      <c r="O57" s="102" t="s">
        <v>513</v>
      </c>
      <c r="P57" s="102" t="s">
        <v>493</v>
      </c>
      <c r="V57" s="102">
        <v>600</v>
      </c>
      <c r="W57" s="102">
        <v>600</v>
      </c>
      <c r="X57" s="102">
        <v>1000</v>
      </c>
      <c r="Y57" s="102">
        <v>800</v>
      </c>
      <c r="Z57" s="102">
        <v>800</v>
      </c>
      <c r="AA57" s="102">
        <v>500</v>
      </c>
      <c r="AB57" s="102">
        <v>800</v>
      </c>
      <c r="AC57" s="102">
        <v>1000</v>
      </c>
      <c r="AD57" s="102">
        <v>1200</v>
      </c>
      <c r="AE57" s="102">
        <v>1000</v>
      </c>
      <c r="AF57" s="102">
        <v>1000</v>
      </c>
      <c r="AG57" s="102">
        <v>1200</v>
      </c>
      <c r="AH57" s="102">
        <v>1300</v>
      </c>
      <c r="AI57" s="102" t="s">
        <v>897</v>
      </c>
      <c r="AJ57" s="102" t="s">
        <v>896</v>
      </c>
      <c r="AL57" s="102" t="s">
        <v>899</v>
      </c>
      <c r="AM57" s="102" t="s">
        <v>605</v>
      </c>
      <c r="AN57" s="102" t="s">
        <v>899</v>
      </c>
      <c r="AO57" s="102" t="s">
        <v>907</v>
      </c>
      <c r="AP57" s="102" t="s">
        <v>905</v>
      </c>
    </row>
    <row r="58" spans="1:42" ht="12.75" x14ac:dyDescent="0.2">
      <c r="A58" s="104">
        <v>43424.462311631942</v>
      </c>
      <c r="B58" s="102" t="s">
        <v>1005</v>
      </c>
      <c r="C58" s="102">
        <v>34</v>
      </c>
      <c r="D58" s="102" t="s">
        <v>902</v>
      </c>
      <c r="E58" s="102" t="s">
        <v>996</v>
      </c>
      <c r="F58" s="102" t="s">
        <v>904</v>
      </c>
      <c r="G58" s="102" t="s">
        <v>956</v>
      </c>
      <c r="H58" s="102" t="s">
        <v>502</v>
      </c>
      <c r="K58" s="102" t="s">
        <v>519</v>
      </c>
      <c r="L58" s="102" t="s">
        <v>895</v>
      </c>
      <c r="M58" s="102" t="s">
        <v>614</v>
      </c>
      <c r="O58" s="102" t="s">
        <v>517</v>
      </c>
      <c r="P58" s="102" t="s">
        <v>493</v>
      </c>
      <c r="V58" s="102">
        <v>400</v>
      </c>
      <c r="W58" s="102">
        <v>1000</v>
      </c>
      <c r="X58" s="102" t="s">
        <v>1006</v>
      </c>
      <c r="Y58" s="102">
        <v>400</v>
      </c>
      <c r="Z58" s="102">
        <v>600</v>
      </c>
      <c r="AA58" s="102">
        <v>500</v>
      </c>
      <c r="AB58" s="102" t="s">
        <v>896</v>
      </c>
      <c r="AC58" s="102">
        <v>1000</v>
      </c>
      <c r="AD58" s="102">
        <v>1000</v>
      </c>
      <c r="AE58" s="102">
        <v>1000</v>
      </c>
      <c r="AF58" s="102">
        <v>1200</v>
      </c>
      <c r="AG58" s="102" t="s">
        <v>948</v>
      </c>
      <c r="AH58" s="102" t="s">
        <v>948</v>
      </c>
      <c r="AI58" s="102" t="s">
        <v>897</v>
      </c>
      <c r="AJ58" s="102" t="s">
        <v>1007</v>
      </c>
      <c r="AL58" s="102" t="s">
        <v>899</v>
      </c>
      <c r="AM58" s="102" t="s">
        <v>605</v>
      </c>
      <c r="AN58" s="102" t="s">
        <v>605</v>
      </c>
      <c r="AO58" s="102" t="s">
        <v>1008</v>
      </c>
      <c r="AP58" s="102" t="s">
        <v>905</v>
      </c>
    </row>
    <row r="59" spans="1:42" ht="12.75" x14ac:dyDescent="0.2">
      <c r="A59" s="104">
        <v>43424.465331250001</v>
      </c>
      <c r="B59" s="102" t="s">
        <v>1009</v>
      </c>
      <c r="C59" s="102">
        <v>35</v>
      </c>
      <c r="D59" s="102" t="s">
        <v>902</v>
      </c>
      <c r="E59" s="102" t="s">
        <v>942</v>
      </c>
      <c r="F59" s="102" t="s">
        <v>904</v>
      </c>
      <c r="G59" s="102" t="s">
        <v>1000</v>
      </c>
      <c r="H59" s="102" t="s">
        <v>494</v>
      </c>
      <c r="K59" s="102" t="s">
        <v>515</v>
      </c>
      <c r="L59" s="102" t="s">
        <v>895</v>
      </c>
      <c r="M59" s="102" t="s">
        <v>614</v>
      </c>
      <c r="O59" s="102" t="s">
        <v>513</v>
      </c>
      <c r="P59" s="102" t="s">
        <v>495</v>
      </c>
      <c r="V59" s="102">
        <v>400</v>
      </c>
      <c r="W59" s="102">
        <v>800</v>
      </c>
      <c r="X59" s="102">
        <v>1200</v>
      </c>
      <c r="Y59" s="102">
        <v>400</v>
      </c>
      <c r="Z59" s="102">
        <v>400</v>
      </c>
      <c r="AA59" s="102" t="s">
        <v>1010</v>
      </c>
      <c r="AB59" s="102" t="s">
        <v>896</v>
      </c>
      <c r="AC59" s="102">
        <v>1100</v>
      </c>
      <c r="AD59" s="102">
        <v>1100</v>
      </c>
      <c r="AE59" s="102">
        <v>800</v>
      </c>
      <c r="AF59" s="102">
        <v>1000</v>
      </c>
      <c r="AG59" s="102" t="s">
        <v>896</v>
      </c>
      <c r="AH59" s="102" t="s">
        <v>896</v>
      </c>
      <c r="AI59" s="102" t="s">
        <v>897</v>
      </c>
      <c r="AJ59" s="102" t="s">
        <v>1011</v>
      </c>
      <c r="AL59" s="102" t="s">
        <v>899</v>
      </c>
      <c r="AM59" s="102" t="s">
        <v>605</v>
      </c>
      <c r="AN59" s="102" t="s">
        <v>605</v>
      </c>
      <c r="AO59" s="102" t="s">
        <v>900</v>
      </c>
      <c r="AP59" s="102" t="s">
        <v>913</v>
      </c>
    </row>
    <row r="60" spans="1:42" ht="12.75" x14ac:dyDescent="0.2">
      <c r="A60" s="104">
        <v>43424.468176284718</v>
      </c>
      <c r="B60" s="102" t="s">
        <v>1012</v>
      </c>
      <c r="C60" s="102">
        <v>37</v>
      </c>
      <c r="D60" s="102" t="s">
        <v>891</v>
      </c>
      <c r="E60" s="102" t="s">
        <v>903</v>
      </c>
      <c r="F60" s="102" t="s">
        <v>904</v>
      </c>
      <c r="G60" s="102" t="s">
        <v>943</v>
      </c>
      <c r="H60" s="102" t="s">
        <v>494</v>
      </c>
      <c r="K60" s="102" t="s">
        <v>511</v>
      </c>
      <c r="L60" s="102" t="s">
        <v>895</v>
      </c>
      <c r="M60" s="102" t="s">
        <v>641</v>
      </c>
      <c r="O60" s="102" t="s">
        <v>513</v>
      </c>
      <c r="P60" s="102" t="s">
        <v>512</v>
      </c>
      <c r="V60" s="102">
        <v>300</v>
      </c>
      <c r="W60" s="102">
        <v>400</v>
      </c>
      <c r="X60" s="102">
        <v>400</v>
      </c>
      <c r="Y60" s="102">
        <v>200</v>
      </c>
      <c r="Z60" s="102">
        <v>200</v>
      </c>
      <c r="AA60" s="102">
        <v>300</v>
      </c>
      <c r="AB60" s="102">
        <v>400</v>
      </c>
      <c r="AC60" s="102">
        <v>600</v>
      </c>
      <c r="AD60" s="102">
        <v>700</v>
      </c>
      <c r="AE60" s="102">
        <v>400</v>
      </c>
      <c r="AF60" s="102">
        <v>400</v>
      </c>
      <c r="AG60" s="102">
        <v>300</v>
      </c>
      <c r="AH60" s="102">
        <v>700</v>
      </c>
      <c r="AI60" s="102">
        <v>6</v>
      </c>
      <c r="AJ60" s="102" t="s">
        <v>896</v>
      </c>
      <c r="AL60" s="102" t="s">
        <v>899</v>
      </c>
      <c r="AM60" s="102" t="s">
        <v>605</v>
      </c>
      <c r="AN60" s="102" t="s">
        <v>605</v>
      </c>
      <c r="AO60" s="102" t="s">
        <v>900</v>
      </c>
      <c r="AP60" s="102" t="s">
        <v>896</v>
      </c>
    </row>
    <row r="61" spans="1:42" ht="12.75" x14ac:dyDescent="0.2">
      <c r="A61" s="104">
        <v>43424.470627523144</v>
      </c>
      <c r="B61" s="102" t="s">
        <v>1013</v>
      </c>
      <c r="C61" s="102">
        <v>36</v>
      </c>
      <c r="D61" s="102" t="s">
        <v>891</v>
      </c>
      <c r="E61" s="102" t="s">
        <v>942</v>
      </c>
      <c r="F61" s="102" t="s">
        <v>922</v>
      </c>
      <c r="G61" s="102" t="s">
        <v>971</v>
      </c>
      <c r="H61" s="102" t="s">
        <v>494</v>
      </c>
      <c r="K61" s="102" t="s">
        <v>517</v>
      </c>
      <c r="L61" s="106" t="s">
        <v>919</v>
      </c>
      <c r="M61" s="102" t="s">
        <v>991</v>
      </c>
      <c r="O61" s="102" t="s">
        <v>517</v>
      </c>
      <c r="P61" s="102" t="s">
        <v>497</v>
      </c>
      <c r="V61" s="102">
        <v>500</v>
      </c>
      <c r="W61" s="102">
        <v>1000</v>
      </c>
      <c r="X61" s="102">
        <v>800</v>
      </c>
      <c r="Y61" s="102">
        <v>500</v>
      </c>
      <c r="Z61" s="102">
        <v>600</v>
      </c>
      <c r="AA61" s="102">
        <v>700</v>
      </c>
      <c r="AB61" s="102">
        <v>800</v>
      </c>
      <c r="AC61" s="102">
        <v>900</v>
      </c>
      <c r="AD61" s="102">
        <v>1000</v>
      </c>
      <c r="AE61" s="102">
        <v>1000</v>
      </c>
      <c r="AF61" s="102">
        <v>800</v>
      </c>
      <c r="AG61" s="102">
        <v>800</v>
      </c>
      <c r="AH61" s="102">
        <v>900</v>
      </c>
      <c r="AI61" s="102" t="s">
        <v>897</v>
      </c>
      <c r="AJ61" s="102" t="s">
        <v>920</v>
      </c>
      <c r="AL61" s="102" t="s">
        <v>899</v>
      </c>
      <c r="AM61" s="102" t="s">
        <v>605</v>
      </c>
      <c r="AN61" s="102" t="s">
        <v>605</v>
      </c>
      <c r="AO61" s="102" t="s">
        <v>907</v>
      </c>
      <c r="AP61" s="102" t="s">
        <v>896</v>
      </c>
    </row>
    <row r="62" spans="1:42" ht="12.75" x14ac:dyDescent="0.2">
      <c r="A62" s="104">
        <v>43424.472718819445</v>
      </c>
      <c r="B62" s="102" t="s">
        <v>1014</v>
      </c>
      <c r="C62" s="102">
        <v>30</v>
      </c>
      <c r="D62" s="102" t="s">
        <v>902</v>
      </c>
      <c r="E62" s="102" t="s">
        <v>903</v>
      </c>
      <c r="F62" s="102" t="s">
        <v>904</v>
      </c>
      <c r="G62" s="102" t="s">
        <v>916</v>
      </c>
      <c r="H62" s="102" t="s">
        <v>502</v>
      </c>
      <c r="K62" s="102" t="s">
        <v>511</v>
      </c>
      <c r="L62" s="102" t="s">
        <v>895</v>
      </c>
      <c r="M62" s="102" t="s">
        <v>699</v>
      </c>
      <c r="O62" s="102" t="s">
        <v>511</v>
      </c>
      <c r="P62" s="102" t="s">
        <v>501</v>
      </c>
      <c r="V62" s="102">
        <v>400</v>
      </c>
      <c r="W62" s="102">
        <v>400</v>
      </c>
      <c r="X62" s="102">
        <v>500</v>
      </c>
      <c r="Y62" s="102">
        <v>400</v>
      </c>
      <c r="Z62" s="102">
        <v>500</v>
      </c>
      <c r="AA62" s="102">
        <v>600</v>
      </c>
      <c r="AB62" s="102">
        <v>800</v>
      </c>
      <c r="AC62" s="102">
        <v>800</v>
      </c>
      <c r="AD62" s="102">
        <v>600</v>
      </c>
      <c r="AE62" s="102">
        <v>600</v>
      </c>
      <c r="AF62" s="102">
        <v>700</v>
      </c>
      <c r="AG62" s="102">
        <v>700</v>
      </c>
      <c r="AH62" s="102">
        <v>700</v>
      </c>
      <c r="AI62" s="102">
        <v>6</v>
      </c>
      <c r="AJ62" s="102" t="s">
        <v>896</v>
      </c>
      <c r="AL62" s="102" t="s">
        <v>605</v>
      </c>
      <c r="AM62" s="102" t="s">
        <v>605</v>
      </c>
      <c r="AN62" s="102" t="s">
        <v>605</v>
      </c>
      <c r="AO62" s="102" t="s">
        <v>900</v>
      </c>
      <c r="AP62" s="102" t="s">
        <v>896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12"/>
  <sheetViews>
    <sheetView topLeftCell="I1" workbookViewId="0">
      <pane ySplit="1" topLeftCell="A83" activePane="bottomLeft" state="frozen"/>
      <selection activeCell="A17" sqref="A17"/>
      <selection pane="bottomLeft" activeCell="A17" sqref="A17"/>
    </sheetView>
  </sheetViews>
  <sheetFormatPr defaultColWidth="14.42578125" defaultRowHeight="15.75" customHeight="1" x14ac:dyDescent="0.2"/>
  <cols>
    <col min="1" max="26" width="21.5703125" style="53" customWidth="1"/>
    <col min="27" max="16384" width="14.42578125" style="53"/>
  </cols>
  <sheetData>
    <row r="1" spans="1:20" ht="15.75" customHeight="1" x14ac:dyDescent="0.2">
      <c r="A1" s="53" t="s">
        <v>535</v>
      </c>
      <c r="B1" s="53" t="s">
        <v>854</v>
      </c>
      <c r="C1" s="53" t="s">
        <v>855</v>
      </c>
      <c r="D1" s="102" t="s">
        <v>1015</v>
      </c>
      <c r="E1" s="53" t="s">
        <v>1016</v>
      </c>
      <c r="F1" s="53" t="s">
        <v>1017</v>
      </c>
      <c r="G1" s="53" t="s">
        <v>1017</v>
      </c>
      <c r="H1" s="53" t="s">
        <v>1018</v>
      </c>
      <c r="I1" s="53" t="s">
        <v>1019</v>
      </c>
      <c r="J1" s="102" t="s">
        <v>1020</v>
      </c>
      <c r="K1" s="102" t="s">
        <v>1021</v>
      </c>
      <c r="L1" s="102" t="s">
        <v>1022</v>
      </c>
      <c r="M1" s="53" t="s">
        <v>1023</v>
      </c>
      <c r="N1" s="53" t="s">
        <v>1024</v>
      </c>
      <c r="O1" s="53" t="s">
        <v>1025</v>
      </c>
      <c r="P1" s="102" t="s">
        <v>1026</v>
      </c>
      <c r="Q1" s="53" t="s">
        <v>1027</v>
      </c>
      <c r="R1" s="102" t="s">
        <v>557</v>
      </c>
      <c r="S1" s="102" t="s">
        <v>1028</v>
      </c>
      <c r="T1" s="102" t="s">
        <v>1029</v>
      </c>
    </row>
    <row r="2" spans="1:20" ht="15.75" customHeight="1" x14ac:dyDescent="0.2">
      <c r="A2" s="104">
        <v>43290.537555937495</v>
      </c>
      <c r="B2" s="102">
        <v>35</v>
      </c>
      <c r="C2" s="102" t="s">
        <v>902</v>
      </c>
      <c r="D2" s="102" t="s">
        <v>943</v>
      </c>
      <c r="E2" s="102" t="s">
        <v>1030</v>
      </c>
      <c r="F2" s="102" t="s">
        <v>1031</v>
      </c>
      <c r="H2" s="102" t="s">
        <v>1032</v>
      </c>
      <c r="J2" s="102" t="s">
        <v>531</v>
      </c>
      <c r="K2" s="102" t="s">
        <v>527</v>
      </c>
      <c r="L2" s="102" t="s">
        <v>525</v>
      </c>
      <c r="M2" s="102" t="s">
        <v>533</v>
      </c>
      <c r="N2" s="102" t="s">
        <v>1033</v>
      </c>
      <c r="O2" s="102" t="s">
        <v>1034</v>
      </c>
      <c r="P2" s="102" t="s">
        <v>1035</v>
      </c>
      <c r="Q2" s="102" t="s">
        <v>529</v>
      </c>
      <c r="R2" s="102" t="s">
        <v>764</v>
      </c>
      <c r="S2" s="102" t="s">
        <v>1036</v>
      </c>
      <c r="T2" s="102" t="s">
        <v>588</v>
      </c>
    </row>
    <row r="3" spans="1:20" ht="15.75" customHeight="1" x14ac:dyDescent="0.2">
      <c r="A3" s="104">
        <v>43290.552114976846</v>
      </c>
      <c r="B3" s="102">
        <v>41</v>
      </c>
      <c r="C3" s="102" t="s">
        <v>902</v>
      </c>
      <c r="D3" s="102" t="s">
        <v>943</v>
      </c>
      <c r="E3" s="102" t="s">
        <v>1030</v>
      </c>
      <c r="F3" s="102" t="s">
        <v>1037</v>
      </c>
      <c r="H3" s="102" t="s">
        <v>1038</v>
      </c>
      <c r="J3" s="102" t="s">
        <v>527</v>
      </c>
      <c r="K3" s="102" t="s">
        <v>531</v>
      </c>
      <c r="L3" s="102" t="s">
        <v>523</v>
      </c>
      <c r="M3" s="102" t="s">
        <v>526</v>
      </c>
      <c r="N3" s="102" t="s">
        <v>1039</v>
      </c>
      <c r="O3" s="102" t="s">
        <v>1040</v>
      </c>
      <c r="P3" s="102" t="s">
        <v>1041</v>
      </c>
      <c r="Q3" s="102" t="s">
        <v>1042</v>
      </c>
      <c r="R3" s="102" t="s">
        <v>1043</v>
      </c>
      <c r="S3" s="102" t="s">
        <v>1044</v>
      </c>
      <c r="T3" s="102" t="s">
        <v>588</v>
      </c>
    </row>
    <row r="4" spans="1:20" ht="15.75" customHeight="1" x14ac:dyDescent="0.2">
      <c r="A4" s="104">
        <v>43290.578365138892</v>
      </c>
      <c r="B4" s="102">
        <v>58</v>
      </c>
      <c r="C4" s="102" t="s">
        <v>891</v>
      </c>
      <c r="D4" s="102" t="s">
        <v>1045</v>
      </c>
      <c r="E4" s="102" t="s">
        <v>1030</v>
      </c>
      <c r="F4" s="102" t="s">
        <v>1046</v>
      </c>
      <c r="H4" s="102" t="s">
        <v>1038</v>
      </c>
      <c r="J4" s="102" t="s">
        <v>531</v>
      </c>
      <c r="K4" s="102" t="s">
        <v>527</v>
      </c>
      <c r="L4" s="102" t="s">
        <v>527</v>
      </c>
      <c r="M4" s="102" t="s">
        <v>533</v>
      </c>
      <c r="N4" s="102" t="s">
        <v>1047</v>
      </c>
      <c r="O4" s="102" t="s">
        <v>1034</v>
      </c>
      <c r="P4" s="102" t="s">
        <v>1048</v>
      </c>
      <c r="Q4" s="102" t="s">
        <v>527</v>
      </c>
      <c r="R4" s="102" t="s">
        <v>1049</v>
      </c>
      <c r="S4" s="102" t="s">
        <v>1050</v>
      </c>
      <c r="T4" s="102" t="s">
        <v>588</v>
      </c>
    </row>
    <row r="5" spans="1:20" ht="15.75" customHeight="1" x14ac:dyDescent="0.2">
      <c r="A5" s="104">
        <v>43290.593000300927</v>
      </c>
      <c r="B5" s="102">
        <v>12</v>
      </c>
      <c r="C5" s="102" t="s">
        <v>891</v>
      </c>
      <c r="D5" s="102" t="s">
        <v>943</v>
      </c>
      <c r="E5" s="102" t="s">
        <v>1030</v>
      </c>
      <c r="F5" s="102" t="s">
        <v>1051</v>
      </c>
      <c r="H5" s="102" t="s">
        <v>1052</v>
      </c>
      <c r="J5" s="102" t="s">
        <v>525</v>
      </c>
      <c r="K5" s="102" t="s">
        <v>527</v>
      </c>
      <c r="L5" s="102" t="s">
        <v>525</v>
      </c>
      <c r="M5" s="102" t="s">
        <v>533</v>
      </c>
      <c r="N5" s="102" t="s">
        <v>1053</v>
      </c>
      <c r="O5" s="102" t="s">
        <v>1054</v>
      </c>
      <c r="P5" s="102" t="s">
        <v>1055</v>
      </c>
      <c r="Q5" s="102" t="s">
        <v>527</v>
      </c>
      <c r="R5" s="102" t="s">
        <v>764</v>
      </c>
      <c r="S5" s="102" t="s">
        <v>1056</v>
      </c>
      <c r="T5" s="102" t="s">
        <v>588</v>
      </c>
    </row>
    <row r="6" spans="1:20" ht="15.75" customHeight="1" x14ac:dyDescent="0.2">
      <c r="A6" s="104">
        <v>43290.688463888888</v>
      </c>
      <c r="B6" s="102">
        <v>60</v>
      </c>
      <c r="C6" s="102" t="s">
        <v>902</v>
      </c>
      <c r="D6" s="102" t="s">
        <v>956</v>
      </c>
      <c r="E6" s="102" t="s">
        <v>1057</v>
      </c>
      <c r="F6" s="102" t="s">
        <v>1037</v>
      </c>
      <c r="H6" s="102" t="s">
        <v>1058</v>
      </c>
      <c r="J6" s="102" t="s">
        <v>527</v>
      </c>
      <c r="K6" s="102" t="s">
        <v>525</v>
      </c>
      <c r="L6" s="102" t="s">
        <v>525</v>
      </c>
      <c r="M6" s="102" t="s">
        <v>533</v>
      </c>
      <c r="N6" s="102" t="s">
        <v>1059</v>
      </c>
      <c r="O6" s="102" t="s">
        <v>1060</v>
      </c>
      <c r="P6" s="102" t="s">
        <v>1061</v>
      </c>
      <c r="Q6" s="102" t="s">
        <v>531</v>
      </c>
      <c r="R6" s="102" t="s">
        <v>663</v>
      </c>
      <c r="S6" s="102" t="s">
        <v>1062</v>
      </c>
      <c r="T6" s="102" t="s">
        <v>588</v>
      </c>
    </row>
    <row r="7" spans="1:20" ht="15.75" customHeight="1" x14ac:dyDescent="0.2">
      <c r="A7" s="104">
        <v>43292.405983449076</v>
      </c>
      <c r="B7" s="102">
        <v>20</v>
      </c>
      <c r="C7" s="102" t="s">
        <v>902</v>
      </c>
      <c r="D7" s="102" t="s">
        <v>943</v>
      </c>
      <c r="E7" s="102" t="s">
        <v>1030</v>
      </c>
      <c r="F7" s="102" t="s">
        <v>1037</v>
      </c>
      <c r="H7" s="102" t="s">
        <v>1038</v>
      </c>
      <c r="J7" s="102" t="s">
        <v>529</v>
      </c>
      <c r="K7" s="102" t="s">
        <v>527</v>
      </c>
      <c r="L7" s="102" t="s">
        <v>525</v>
      </c>
      <c r="M7" s="102" t="s">
        <v>533</v>
      </c>
      <c r="N7" s="102" t="s">
        <v>1063</v>
      </c>
      <c r="O7" s="102" t="s">
        <v>1054</v>
      </c>
      <c r="P7" s="102" t="s">
        <v>1064</v>
      </c>
      <c r="Q7" s="102" t="s">
        <v>527</v>
      </c>
      <c r="R7" s="102" t="s">
        <v>764</v>
      </c>
      <c r="S7" s="102" t="s">
        <v>1065</v>
      </c>
      <c r="T7" s="102" t="s">
        <v>588</v>
      </c>
    </row>
    <row r="8" spans="1:20" ht="15.75" customHeight="1" x14ac:dyDescent="0.2">
      <c r="A8" s="104">
        <v>43307.573921967589</v>
      </c>
      <c r="B8" s="102">
        <v>45</v>
      </c>
      <c r="C8" s="102" t="s">
        <v>902</v>
      </c>
      <c r="D8" s="102" t="s">
        <v>926</v>
      </c>
      <c r="E8" s="102" t="s">
        <v>1030</v>
      </c>
      <c r="F8" s="102" t="s">
        <v>1031</v>
      </c>
      <c r="H8" s="102" t="s">
        <v>1058</v>
      </c>
      <c r="J8" s="102" t="s">
        <v>531</v>
      </c>
      <c r="K8" s="102" t="s">
        <v>527</v>
      </c>
      <c r="L8" s="102" t="s">
        <v>531</v>
      </c>
      <c r="M8" s="102" t="s">
        <v>533</v>
      </c>
      <c r="N8" s="102" t="s">
        <v>1066</v>
      </c>
      <c r="O8" s="102" t="s">
        <v>1054</v>
      </c>
      <c r="P8" s="102" t="s">
        <v>1067</v>
      </c>
      <c r="Q8" s="102" t="s">
        <v>531</v>
      </c>
      <c r="R8" s="102" t="s">
        <v>663</v>
      </c>
      <c r="S8" s="102" t="s">
        <v>1068</v>
      </c>
      <c r="T8" s="102" t="s">
        <v>588</v>
      </c>
    </row>
    <row r="9" spans="1:20" ht="15.75" customHeight="1" x14ac:dyDescent="0.2">
      <c r="A9" s="104">
        <v>43307.576224085649</v>
      </c>
      <c r="B9" s="102">
        <v>6</v>
      </c>
      <c r="C9" s="102" t="s">
        <v>902</v>
      </c>
      <c r="D9" s="102" t="s">
        <v>909</v>
      </c>
      <c r="E9" s="102" t="s">
        <v>1030</v>
      </c>
      <c r="F9" s="102" t="s">
        <v>1037</v>
      </c>
      <c r="H9" s="102" t="s">
        <v>1038</v>
      </c>
      <c r="J9" s="102" t="s">
        <v>527</v>
      </c>
      <c r="K9" s="102" t="s">
        <v>527</v>
      </c>
      <c r="L9" s="102" t="s">
        <v>525</v>
      </c>
      <c r="M9" s="102" t="s">
        <v>533</v>
      </c>
      <c r="N9" s="102" t="s">
        <v>1069</v>
      </c>
      <c r="O9" s="102" t="s">
        <v>1054</v>
      </c>
      <c r="P9" s="102" t="s">
        <v>1067</v>
      </c>
      <c r="Q9" s="102" t="s">
        <v>527</v>
      </c>
      <c r="R9" s="102" t="s">
        <v>663</v>
      </c>
      <c r="S9" s="102" t="s">
        <v>1070</v>
      </c>
      <c r="T9" s="102" t="s">
        <v>588</v>
      </c>
    </row>
    <row r="10" spans="1:20" ht="15.75" customHeight="1" x14ac:dyDescent="0.2">
      <c r="A10" s="104">
        <v>43307.6686208912</v>
      </c>
      <c r="B10" s="102">
        <v>54</v>
      </c>
      <c r="C10" s="102" t="s">
        <v>891</v>
      </c>
      <c r="D10" s="102" t="s">
        <v>1000</v>
      </c>
      <c r="E10" s="102" t="s">
        <v>1030</v>
      </c>
      <c r="F10" s="102" t="s">
        <v>1037</v>
      </c>
      <c r="H10" s="102" t="s">
        <v>1052</v>
      </c>
      <c r="J10" s="102" t="s">
        <v>525</v>
      </c>
      <c r="K10" s="102" t="s">
        <v>525</v>
      </c>
      <c r="L10" s="102" t="s">
        <v>527</v>
      </c>
      <c r="M10" s="102" t="s">
        <v>533</v>
      </c>
      <c r="N10" s="102" t="s">
        <v>1071</v>
      </c>
      <c r="O10" s="102" t="s">
        <v>1054</v>
      </c>
      <c r="P10" s="102" t="s">
        <v>1072</v>
      </c>
      <c r="Q10" s="102" t="s">
        <v>531</v>
      </c>
      <c r="R10" s="102" t="s">
        <v>764</v>
      </c>
      <c r="S10" s="102" t="s">
        <v>1073</v>
      </c>
      <c r="T10" s="102" t="s">
        <v>588</v>
      </c>
    </row>
    <row r="11" spans="1:20" ht="15.75" customHeight="1" x14ac:dyDescent="0.2">
      <c r="A11" s="104">
        <v>43308.51000761574</v>
      </c>
      <c r="B11" s="102">
        <v>18</v>
      </c>
      <c r="C11" s="102" t="s">
        <v>891</v>
      </c>
      <c r="D11" s="102" t="s">
        <v>916</v>
      </c>
      <c r="E11" s="102" t="s">
        <v>1030</v>
      </c>
      <c r="F11" s="102" t="s">
        <v>1031</v>
      </c>
      <c r="H11" s="102" t="s">
        <v>1038</v>
      </c>
      <c r="J11" s="102" t="s">
        <v>531</v>
      </c>
      <c r="K11" s="102" t="s">
        <v>523</v>
      </c>
      <c r="L11" s="102" t="s">
        <v>523</v>
      </c>
      <c r="M11" s="102" t="s">
        <v>530</v>
      </c>
      <c r="N11" s="102" t="s">
        <v>1074</v>
      </c>
      <c r="O11" s="102" t="s">
        <v>1075</v>
      </c>
      <c r="P11" s="102" t="s">
        <v>1076</v>
      </c>
      <c r="Q11" s="102" t="s">
        <v>527</v>
      </c>
      <c r="R11" s="102" t="s">
        <v>764</v>
      </c>
      <c r="S11" s="102" t="s">
        <v>1077</v>
      </c>
      <c r="T11" s="102" t="s">
        <v>588</v>
      </c>
    </row>
    <row r="12" spans="1:20" ht="15.75" customHeight="1" x14ac:dyDescent="0.2">
      <c r="A12" s="104">
        <v>43308.512872013889</v>
      </c>
      <c r="B12" s="102">
        <v>42</v>
      </c>
      <c r="C12" s="102" t="s">
        <v>902</v>
      </c>
      <c r="D12" s="102" t="s">
        <v>1000</v>
      </c>
      <c r="E12" s="102" t="s">
        <v>1030</v>
      </c>
      <c r="F12" s="102" t="s">
        <v>1037</v>
      </c>
      <c r="H12" s="102" t="s">
        <v>1058</v>
      </c>
      <c r="J12" s="102" t="s">
        <v>525</v>
      </c>
      <c r="K12" s="102" t="s">
        <v>525</v>
      </c>
      <c r="L12" s="102" t="s">
        <v>527</v>
      </c>
      <c r="M12" s="102" t="s">
        <v>533</v>
      </c>
      <c r="N12" s="102" t="s">
        <v>1069</v>
      </c>
      <c r="O12" s="102" t="s">
        <v>1054</v>
      </c>
      <c r="P12" s="102" t="s">
        <v>1078</v>
      </c>
      <c r="Q12" s="102" t="s">
        <v>531</v>
      </c>
      <c r="R12" s="102" t="s">
        <v>1043</v>
      </c>
      <c r="S12" s="102" t="s">
        <v>1073</v>
      </c>
      <c r="T12" s="102" t="s">
        <v>588</v>
      </c>
    </row>
    <row r="13" spans="1:20" ht="15.75" customHeight="1" x14ac:dyDescent="0.2">
      <c r="A13" s="104">
        <v>43308.648340208332</v>
      </c>
      <c r="B13" s="102">
        <v>35</v>
      </c>
      <c r="C13" s="102" t="s">
        <v>891</v>
      </c>
      <c r="D13" s="102" t="s">
        <v>909</v>
      </c>
      <c r="E13" s="102" t="s">
        <v>1030</v>
      </c>
      <c r="F13" s="102" t="s">
        <v>1037</v>
      </c>
      <c r="H13" s="102" t="s">
        <v>1038</v>
      </c>
      <c r="J13" s="102" t="s">
        <v>527</v>
      </c>
      <c r="K13" s="102" t="s">
        <v>527</v>
      </c>
      <c r="L13" s="102" t="s">
        <v>527</v>
      </c>
      <c r="M13" s="102" t="s">
        <v>533</v>
      </c>
      <c r="N13" s="102" t="s">
        <v>1069</v>
      </c>
      <c r="O13" s="102" t="s">
        <v>1054</v>
      </c>
      <c r="P13" s="102" t="s">
        <v>1079</v>
      </c>
      <c r="Q13" s="102" t="s">
        <v>527</v>
      </c>
      <c r="R13" s="102" t="s">
        <v>593</v>
      </c>
      <c r="S13" s="102" t="s">
        <v>1080</v>
      </c>
      <c r="T13" s="102" t="s">
        <v>588</v>
      </c>
    </row>
    <row r="14" spans="1:20" ht="15.75" customHeight="1" x14ac:dyDescent="0.2">
      <c r="A14" s="104">
        <v>43308.688286597222</v>
      </c>
      <c r="B14" s="102">
        <v>55</v>
      </c>
      <c r="C14" s="102" t="s">
        <v>902</v>
      </c>
      <c r="D14" s="102" t="s">
        <v>1081</v>
      </c>
      <c r="E14" s="102" t="s">
        <v>1030</v>
      </c>
      <c r="F14" s="102" t="s">
        <v>1046</v>
      </c>
      <c r="H14" s="102" t="s">
        <v>1052</v>
      </c>
      <c r="J14" s="102" t="s">
        <v>527</v>
      </c>
      <c r="K14" s="102" t="s">
        <v>527</v>
      </c>
      <c r="L14" s="102" t="s">
        <v>523</v>
      </c>
      <c r="M14" s="102" t="s">
        <v>524</v>
      </c>
      <c r="N14" s="102" t="s">
        <v>1082</v>
      </c>
      <c r="O14" s="102" t="s">
        <v>1040</v>
      </c>
      <c r="P14" s="102" t="s">
        <v>920</v>
      </c>
      <c r="Q14" s="102" t="s">
        <v>529</v>
      </c>
      <c r="R14" s="102" t="s">
        <v>663</v>
      </c>
      <c r="S14" s="102" t="s">
        <v>1083</v>
      </c>
      <c r="T14" s="102" t="s">
        <v>588</v>
      </c>
    </row>
    <row r="15" spans="1:20" ht="15.75" customHeight="1" x14ac:dyDescent="0.2">
      <c r="A15" s="104">
        <v>43309.383787766201</v>
      </c>
      <c r="B15" s="102">
        <v>27</v>
      </c>
      <c r="C15" s="102" t="s">
        <v>891</v>
      </c>
      <c r="D15" s="102" t="s">
        <v>926</v>
      </c>
      <c r="E15" s="102" t="s">
        <v>1030</v>
      </c>
      <c r="F15" s="102" t="s">
        <v>1046</v>
      </c>
      <c r="H15" s="102" t="s">
        <v>1052</v>
      </c>
      <c r="J15" s="102" t="s">
        <v>527</v>
      </c>
      <c r="K15" s="102" t="s">
        <v>527</v>
      </c>
      <c r="L15" s="102" t="s">
        <v>527</v>
      </c>
      <c r="M15" s="102" t="s">
        <v>533</v>
      </c>
      <c r="N15" s="102" t="s">
        <v>1084</v>
      </c>
      <c r="O15" s="102" t="s">
        <v>1054</v>
      </c>
      <c r="P15" s="102" t="s">
        <v>1085</v>
      </c>
      <c r="Q15" s="102" t="s">
        <v>527</v>
      </c>
      <c r="R15" s="102" t="s">
        <v>764</v>
      </c>
      <c r="S15" s="102" t="s">
        <v>1086</v>
      </c>
      <c r="T15" s="102" t="s">
        <v>588</v>
      </c>
    </row>
    <row r="16" spans="1:20" ht="15.75" customHeight="1" x14ac:dyDescent="0.2">
      <c r="A16" s="104">
        <v>43309.69338217593</v>
      </c>
      <c r="B16" s="102">
        <v>60</v>
      </c>
      <c r="C16" s="102" t="s">
        <v>902</v>
      </c>
      <c r="D16" s="102" t="s">
        <v>956</v>
      </c>
      <c r="E16" s="102" t="s">
        <v>1030</v>
      </c>
      <c r="F16" s="102" t="s">
        <v>1037</v>
      </c>
      <c r="H16" s="102" t="s">
        <v>1058</v>
      </c>
      <c r="J16" s="102" t="s">
        <v>531</v>
      </c>
      <c r="K16" s="102" t="s">
        <v>523</v>
      </c>
      <c r="L16" s="102" t="s">
        <v>523</v>
      </c>
      <c r="M16" s="102" t="s">
        <v>524</v>
      </c>
      <c r="N16" s="102" t="s">
        <v>1087</v>
      </c>
      <c r="O16" s="102" t="s">
        <v>1075</v>
      </c>
      <c r="P16" s="102" t="s">
        <v>688</v>
      </c>
      <c r="Q16" s="102" t="s">
        <v>531</v>
      </c>
      <c r="R16" s="102" t="s">
        <v>663</v>
      </c>
      <c r="S16" s="102" t="s">
        <v>1088</v>
      </c>
      <c r="T16" s="102" t="s">
        <v>588</v>
      </c>
    </row>
    <row r="17" spans="1:20" ht="15.75" customHeight="1" x14ac:dyDescent="0.2">
      <c r="A17" s="104">
        <v>43311.614087812501</v>
      </c>
      <c r="B17" s="102">
        <v>35</v>
      </c>
      <c r="C17" s="102" t="s">
        <v>902</v>
      </c>
      <c r="D17" s="102" t="s">
        <v>956</v>
      </c>
      <c r="E17" s="102" t="s">
        <v>1030</v>
      </c>
      <c r="F17" s="102" t="s">
        <v>1037</v>
      </c>
      <c r="H17" s="102" t="s">
        <v>1058</v>
      </c>
      <c r="J17" s="102" t="s">
        <v>527</v>
      </c>
      <c r="K17" s="102" t="s">
        <v>531</v>
      </c>
      <c r="L17" s="102" t="s">
        <v>531</v>
      </c>
      <c r="M17" s="102" t="s">
        <v>533</v>
      </c>
      <c r="N17" s="102" t="s">
        <v>1089</v>
      </c>
      <c r="O17" s="102" t="s">
        <v>1040</v>
      </c>
      <c r="P17" s="102" t="s">
        <v>920</v>
      </c>
      <c r="Q17" s="102" t="s">
        <v>527</v>
      </c>
      <c r="R17" s="102" t="s">
        <v>764</v>
      </c>
      <c r="S17" s="102" t="s">
        <v>1090</v>
      </c>
      <c r="T17" s="102" t="s">
        <v>588</v>
      </c>
    </row>
    <row r="18" spans="1:20" ht="15.75" customHeight="1" x14ac:dyDescent="0.2">
      <c r="A18" s="104">
        <v>43311.666177847219</v>
      </c>
      <c r="B18" s="102">
        <v>18</v>
      </c>
      <c r="C18" s="102" t="s">
        <v>891</v>
      </c>
      <c r="D18" s="102" t="s">
        <v>1045</v>
      </c>
      <c r="E18" s="102" t="s">
        <v>1057</v>
      </c>
      <c r="F18" s="102" t="s">
        <v>1051</v>
      </c>
      <c r="H18" s="102" t="s">
        <v>1038</v>
      </c>
      <c r="J18" s="102" t="s">
        <v>523</v>
      </c>
      <c r="K18" s="102" t="s">
        <v>527</v>
      </c>
      <c r="L18" s="102" t="s">
        <v>525</v>
      </c>
      <c r="M18" s="102" t="s">
        <v>533</v>
      </c>
      <c r="N18" s="102" t="s">
        <v>1091</v>
      </c>
      <c r="O18" s="102" t="s">
        <v>1054</v>
      </c>
      <c r="P18" s="102" t="s">
        <v>1092</v>
      </c>
      <c r="Q18" s="102" t="s">
        <v>527</v>
      </c>
      <c r="R18" s="102" t="s">
        <v>1093</v>
      </c>
      <c r="S18" s="102" t="s">
        <v>1094</v>
      </c>
      <c r="T18" s="102" t="s">
        <v>588</v>
      </c>
    </row>
    <row r="19" spans="1:20" ht="15.75" customHeight="1" x14ac:dyDescent="0.2">
      <c r="A19" s="104">
        <v>43313.676497118053</v>
      </c>
      <c r="B19" s="102">
        <v>21</v>
      </c>
      <c r="C19" s="102" t="s">
        <v>902</v>
      </c>
      <c r="D19" s="102" t="s">
        <v>1095</v>
      </c>
      <c r="E19" s="102" t="s">
        <v>1030</v>
      </c>
      <c r="F19" s="102" t="s">
        <v>1046</v>
      </c>
      <c r="H19" s="102" t="s">
        <v>1058</v>
      </c>
      <c r="J19" s="102" t="s">
        <v>527</v>
      </c>
      <c r="K19" s="102" t="s">
        <v>527</v>
      </c>
      <c r="L19" s="102" t="s">
        <v>527</v>
      </c>
      <c r="M19" s="102" t="s">
        <v>533</v>
      </c>
      <c r="N19" s="102" t="s">
        <v>1096</v>
      </c>
      <c r="O19" s="102" t="s">
        <v>1054</v>
      </c>
      <c r="P19" s="102" t="s">
        <v>1097</v>
      </c>
      <c r="Q19" s="102" t="s">
        <v>531</v>
      </c>
      <c r="R19" s="102" t="s">
        <v>1043</v>
      </c>
      <c r="S19" s="102" t="s">
        <v>1098</v>
      </c>
      <c r="T19" s="102" t="s">
        <v>588</v>
      </c>
    </row>
    <row r="20" spans="1:20" ht="15.75" customHeight="1" x14ac:dyDescent="0.2">
      <c r="A20" s="104">
        <v>43313.679232083334</v>
      </c>
      <c r="B20" s="102">
        <v>30</v>
      </c>
      <c r="C20" s="102" t="s">
        <v>902</v>
      </c>
      <c r="D20" s="102" t="s">
        <v>1099</v>
      </c>
      <c r="E20" s="102" t="s">
        <v>1030</v>
      </c>
      <c r="F20" s="102" t="s">
        <v>1037</v>
      </c>
      <c r="H20" s="102" t="s">
        <v>1038</v>
      </c>
      <c r="J20" s="102" t="s">
        <v>531</v>
      </c>
      <c r="K20" s="102" t="s">
        <v>527</v>
      </c>
      <c r="L20" s="102" t="s">
        <v>527</v>
      </c>
      <c r="M20" s="102" t="s">
        <v>533</v>
      </c>
      <c r="N20" s="102" t="s">
        <v>1100</v>
      </c>
      <c r="O20" s="102" t="s">
        <v>1034</v>
      </c>
      <c r="P20" s="102" t="s">
        <v>1097</v>
      </c>
      <c r="Q20" s="102" t="s">
        <v>531</v>
      </c>
      <c r="R20" s="102" t="s">
        <v>1043</v>
      </c>
      <c r="S20" s="102" t="s">
        <v>1101</v>
      </c>
      <c r="T20" s="102" t="s">
        <v>588</v>
      </c>
    </row>
    <row r="21" spans="1:20" ht="15.75" customHeight="1" x14ac:dyDescent="0.2">
      <c r="A21" s="104">
        <v>43314.632975115739</v>
      </c>
      <c r="B21" s="102">
        <v>45</v>
      </c>
      <c r="C21" s="102" t="s">
        <v>891</v>
      </c>
      <c r="D21" s="102" t="s">
        <v>956</v>
      </c>
      <c r="E21" s="102" t="s">
        <v>1030</v>
      </c>
      <c r="F21" s="102" t="s">
        <v>1037</v>
      </c>
      <c r="H21" s="102" t="s">
        <v>1058</v>
      </c>
      <c r="J21" s="102" t="s">
        <v>531</v>
      </c>
      <c r="K21" s="102" t="s">
        <v>531</v>
      </c>
      <c r="L21" s="102" t="s">
        <v>529</v>
      </c>
      <c r="M21" s="102" t="s">
        <v>533</v>
      </c>
      <c r="N21" s="102" t="s">
        <v>1102</v>
      </c>
      <c r="O21" s="102" t="s">
        <v>1040</v>
      </c>
      <c r="P21" s="102" t="s">
        <v>1103</v>
      </c>
      <c r="Q21" s="102" t="s">
        <v>531</v>
      </c>
      <c r="R21" s="102" t="s">
        <v>764</v>
      </c>
      <c r="S21" s="102" t="s">
        <v>1104</v>
      </c>
      <c r="T21" s="102" t="s">
        <v>588</v>
      </c>
    </row>
    <row r="22" spans="1:20" ht="15.75" customHeight="1" x14ac:dyDescent="0.2">
      <c r="A22" s="104">
        <v>43316.457548773149</v>
      </c>
      <c r="B22" s="102">
        <v>56</v>
      </c>
      <c r="C22" s="102" t="s">
        <v>902</v>
      </c>
      <c r="D22" s="102" t="s">
        <v>916</v>
      </c>
      <c r="E22" s="102" t="s">
        <v>1030</v>
      </c>
      <c r="F22" s="102" t="s">
        <v>1046</v>
      </c>
      <c r="H22" s="102" t="s">
        <v>1038</v>
      </c>
      <c r="J22" s="102" t="s">
        <v>527</v>
      </c>
      <c r="K22" s="102" t="s">
        <v>527</v>
      </c>
      <c r="L22" s="102" t="s">
        <v>527</v>
      </c>
      <c r="M22" s="102" t="s">
        <v>533</v>
      </c>
      <c r="N22" s="102" t="s">
        <v>1069</v>
      </c>
      <c r="O22" s="102" t="s">
        <v>1040</v>
      </c>
      <c r="P22" s="102" t="s">
        <v>1105</v>
      </c>
      <c r="Q22" s="102" t="s">
        <v>527</v>
      </c>
      <c r="R22" s="102" t="s">
        <v>764</v>
      </c>
      <c r="S22" s="102" t="s">
        <v>1106</v>
      </c>
      <c r="T22" s="102" t="s">
        <v>588</v>
      </c>
    </row>
    <row r="23" spans="1:20" ht="15.75" customHeight="1" x14ac:dyDescent="0.2">
      <c r="A23" s="104">
        <v>43382.424927870372</v>
      </c>
      <c r="B23" s="102">
        <v>35</v>
      </c>
      <c r="C23" s="102" t="s">
        <v>891</v>
      </c>
      <c r="D23" s="102" t="s">
        <v>1107</v>
      </c>
      <c r="E23" s="102" t="s">
        <v>1030</v>
      </c>
      <c r="F23" s="102" t="s">
        <v>1031</v>
      </c>
      <c r="H23" s="102" t="s">
        <v>1058</v>
      </c>
      <c r="J23" s="102" t="s">
        <v>525</v>
      </c>
      <c r="K23" s="102" t="s">
        <v>525</v>
      </c>
      <c r="L23" s="102" t="s">
        <v>525</v>
      </c>
      <c r="M23" s="102" t="s">
        <v>533</v>
      </c>
      <c r="N23" s="102" t="s">
        <v>1069</v>
      </c>
      <c r="O23" s="102" t="s">
        <v>1054</v>
      </c>
      <c r="P23" s="102" t="s">
        <v>1108</v>
      </c>
      <c r="Q23" s="102" t="s">
        <v>527</v>
      </c>
      <c r="R23" s="102" t="s">
        <v>764</v>
      </c>
      <c r="S23" s="102" t="s">
        <v>1109</v>
      </c>
      <c r="T23" s="102" t="s">
        <v>588</v>
      </c>
    </row>
    <row r="24" spans="1:20" ht="15.75" customHeight="1" x14ac:dyDescent="0.2">
      <c r="A24" s="104">
        <v>43382.428473877313</v>
      </c>
      <c r="B24" s="102">
        <v>28</v>
      </c>
      <c r="C24" s="102" t="s">
        <v>902</v>
      </c>
      <c r="D24" s="102" t="s">
        <v>1107</v>
      </c>
      <c r="E24" s="102" t="s">
        <v>1030</v>
      </c>
      <c r="F24" s="102" t="s">
        <v>1037</v>
      </c>
      <c r="H24" s="102" t="s">
        <v>1032</v>
      </c>
      <c r="J24" s="102" t="s">
        <v>525</v>
      </c>
      <c r="K24" s="102" t="s">
        <v>525</v>
      </c>
      <c r="L24" s="102" t="s">
        <v>525</v>
      </c>
      <c r="M24" s="102" t="s">
        <v>533</v>
      </c>
      <c r="N24" s="102" t="s">
        <v>1069</v>
      </c>
      <c r="O24" s="102" t="s">
        <v>1034</v>
      </c>
      <c r="P24" s="102" t="s">
        <v>1108</v>
      </c>
      <c r="Q24" s="102" t="s">
        <v>527</v>
      </c>
      <c r="R24" s="102" t="s">
        <v>764</v>
      </c>
      <c r="S24" s="102" t="s">
        <v>1110</v>
      </c>
      <c r="T24" s="102" t="s">
        <v>588</v>
      </c>
    </row>
    <row r="25" spans="1:20" ht="12.75" x14ac:dyDescent="0.2">
      <c r="A25" s="104">
        <v>43382.506597928237</v>
      </c>
      <c r="B25" s="102">
        <v>35</v>
      </c>
      <c r="C25" s="102" t="s">
        <v>891</v>
      </c>
      <c r="D25" s="102" t="s">
        <v>1107</v>
      </c>
      <c r="E25" s="102" t="s">
        <v>1030</v>
      </c>
      <c r="F25" s="102" t="s">
        <v>1031</v>
      </c>
      <c r="H25" s="102" t="s">
        <v>1058</v>
      </c>
      <c r="J25" s="102" t="s">
        <v>527</v>
      </c>
      <c r="K25" s="102" t="s">
        <v>527</v>
      </c>
      <c r="L25" s="102" t="s">
        <v>527</v>
      </c>
      <c r="M25" s="102" t="s">
        <v>533</v>
      </c>
      <c r="N25" s="102" t="s">
        <v>1111</v>
      </c>
      <c r="O25" s="102" t="s">
        <v>1040</v>
      </c>
      <c r="P25" s="102" t="s">
        <v>1112</v>
      </c>
      <c r="Q25" s="102" t="s">
        <v>527</v>
      </c>
      <c r="R25" s="102" t="s">
        <v>742</v>
      </c>
      <c r="S25" s="102" t="s">
        <v>1113</v>
      </c>
      <c r="T25" s="102" t="s">
        <v>588</v>
      </c>
    </row>
    <row r="26" spans="1:20" ht="12.75" x14ac:dyDescent="0.2">
      <c r="A26" s="104">
        <v>43382.521526215278</v>
      </c>
      <c r="B26" s="102">
        <v>44</v>
      </c>
      <c r="C26" s="102" t="s">
        <v>902</v>
      </c>
      <c r="D26" s="102" t="s">
        <v>1081</v>
      </c>
      <c r="E26" s="102" t="s">
        <v>1057</v>
      </c>
      <c r="F26" s="102" t="s">
        <v>1037</v>
      </c>
      <c r="H26" s="102" t="s">
        <v>1058</v>
      </c>
      <c r="J26" s="102" t="s">
        <v>523</v>
      </c>
      <c r="K26" s="102" t="s">
        <v>531</v>
      </c>
      <c r="L26" s="102" t="s">
        <v>529</v>
      </c>
      <c r="M26" s="102" t="s">
        <v>528</v>
      </c>
      <c r="N26" s="102" t="s">
        <v>1114</v>
      </c>
      <c r="O26" s="102" t="s">
        <v>1054</v>
      </c>
      <c r="P26" s="102" t="s">
        <v>1115</v>
      </c>
      <c r="Q26" s="102" t="s">
        <v>531</v>
      </c>
      <c r="R26" s="102" t="s">
        <v>663</v>
      </c>
      <c r="S26" s="102" t="s">
        <v>1116</v>
      </c>
      <c r="T26" s="102" t="s">
        <v>588</v>
      </c>
    </row>
    <row r="27" spans="1:20" ht="12.75" x14ac:dyDescent="0.2">
      <c r="A27" s="104">
        <v>43382.585937650467</v>
      </c>
      <c r="B27" s="102">
        <v>20</v>
      </c>
      <c r="C27" s="102" t="s">
        <v>891</v>
      </c>
      <c r="D27" s="102" t="s">
        <v>998</v>
      </c>
      <c r="E27" s="102" t="s">
        <v>1030</v>
      </c>
      <c r="F27" s="102" t="s">
        <v>1037</v>
      </c>
      <c r="H27" s="102" t="s">
        <v>1032</v>
      </c>
      <c r="J27" s="102" t="s">
        <v>527</v>
      </c>
      <c r="K27" s="102" t="s">
        <v>531</v>
      </c>
      <c r="L27" s="102" t="s">
        <v>531</v>
      </c>
      <c r="M27" s="102" t="s">
        <v>526</v>
      </c>
      <c r="N27" s="102" t="s">
        <v>1117</v>
      </c>
      <c r="O27" s="102" t="s">
        <v>1040</v>
      </c>
      <c r="P27" s="102" t="s">
        <v>1118</v>
      </c>
      <c r="Q27" s="102" t="s">
        <v>531</v>
      </c>
      <c r="R27" s="102" t="s">
        <v>838</v>
      </c>
      <c r="S27" s="102" t="s">
        <v>1119</v>
      </c>
      <c r="T27" s="102" t="s">
        <v>588</v>
      </c>
    </row>
    <row r="28" spans="1:20" ht="12.75" x14ac:dyDescent="0.2">
      <c r="A28" s="104">
        <v>43382.671195486109</v>
      </c>
      <c r="B28" s="102">
        <v>24</v>
      </c>
      <c r="C28" s="102" t="s">
        <v>902</v>
      </c>
      <c r="D28" s="102" t="s">
        <v>1107</v>
      </c>
      <c r="E28" s="102" t="s">
        <v>1030</v>
      </c>
      <c r="F28" s="102" t="s">
        <v>1037</v>
      </c>
      <c r="H28" s="102" t="s">
        <v>1032</v>
      </c>
      <c r="J28" s="102" t="s">
        <v>525</v>
      </c>
      <c r="K28" s="102" t="s">
        <v>527</v>
      </c>
      <c r="L28" s="102" t="s">
        <v>525</v>
      </c>
      <c r="M28" s="102" t="s">
        <v>533</v>
      </c>
      <c r="N28" s="102" t="s">
        <v>1069</v>
      </c>
      <c r="O28" s="102" t="s">
        <v>1040</v>
      </c>
      <c r="P28" s="102" t="s">
        <v>1120</v>
      </c>
      <c r="Q28" s="102" t="s">
        <v>527</v>
      </c>
      <c r="R28" s="102" t="s">
        <v>764</v>
      </c>
      <c r="S28" s="102" t="s">
        <v>1121</v>
      </c>
      <c r="T28" s="102" t="s">
        <v>588</v>
      </c>
    </row>
    <row r="29" spans="1:20" ht="12.75" x14ac:dyDescent="0.2">
      <c r="A29" s="104">
        <v>43382.682939687496</v>
      </c>
      <c r="B29" s="102">
        <v>52</v>
      </c>
      <c r="C29" s="102" t="s">
        <v>902</v>
      </c>
      <c r="D29" s="102" t="s">
        <v>998</v>
      </c>
      <c r="E29" s="102" t="s">
        <v>1030</v>
      </c>
      <c r="F29" s="102" t="s">
        <v>1046</v>
      </c>
      <c r="H29" s="102" t="s">
        <v>1038</v>
      </c>
      <c r="J29" s="102" t="s">
        <v>527</v>
      </c>
      <c r="K29" s="102" t="s">
        <v>525</v>
      </c>
      <c r="L29" s="102" t="s">
        <v>527</v>
      </c>
      <c r="M29" s="102" t="s">
        <v>533</v>
      </c>
      <c r="N29" s="102" t="s">
        <v>647</v>
      </c>
      <c r="O29" s="102" t="s">
        <v>1054</v>
      </c>
      <c r="P29" s="102" t="s">
        <v>1122</v>
      </c>
      <c r="Q29" s="102" t="s">
        <v>527</v>
      </c>
      <c r="R29" s="102" t="s">
        <v>663</v>
      </c>
      <c r="S29" s="102" t="s">
        <v>1123</v>
      </c>
      <c r="T29" s="102" t="s">
        <v>588</v>
      </c>
    </row>
    <row r="30" spans="1:20" ht="12.75" x14ac:dyDescent="0.2">
      <c r="A30" s="104">
        <v>43382.72803510417</v>
      </c>
      <c r="B30" s="102">
        <v>22</v>
      </c>
      <c r="C30" s="102" t="s">
        <v>902</v>
      </c>
      <c r="D30" s="102" t="s">
        <v>1124</v>
      </c>
      <c r="E30" s="102" t="s">
        <v>1030</v>
      </c>
      <c r="F30" s="102" t="s">
        <v>1046</v>
      </c>
      <c r="H30" s="102" t="s">
        <v>1038</v>
      </c>
      <c r="J30" s="102" t="s">
        <v>527</v>
      </c>
      <c r="K30" s="102" t="s">
        <v>527</v>
      </c>
      <c r="L30" s="102" t="s">
        <v>527</v>
      </c>
      <c r="M30" s="102" t="s">
        <v>533</v>
      </c>
      <c r="N30" s="102" t="s">
        <v>1069</v>
      </c>
      <c r="O30" s="102" t="s">
        <v>1054</v>
      </c>
      <c r="P30" s="102" t="s">
        <v>688</v>
      </c>
      <c r="Q30" s="102" t="s">
        <v>1042</v>
      </c>
      <c r="R30" s="102" t="s">
        <v>663</v>
      </c>
      <c r="S30" s="102" t="s">
        <v>1125</v>
      </c>
      <c r="T30" s="102" t="s">
        <v>588</v>
      </c>
    </row>
    <row r="31" spans="1:20" ht="12.75" x14ac:dyDescent="0.2">
      <c r="A31" s="104">
        <v>43383.386150810184</v>
      </c>
      <c r="B31" s="102">
        <v>62</v>
      </c>
      <c r="C31" s="102" t="s">
        <v>902</v>
      </c>
      <c r="D31" s="102" t="s">
        <v>998</v>
      </c>
      <c r="E31" s="102" t="s">
        <v>1030</v>
      </c>
      <c r="F31" s="102" t="s">
        <v>1037</v>
      </c>
      <c r="H31" s="102" t="s">
        <v>1032</v>
      </c>
      <c r="J31" s="102" t="s">
        <v>527</v>
      </c>
      <c r="K31" s="102" t="s">
        <v>527</v>
      </c>
      <c r="L31" s="102" t="s">
        <v>527</v>
      </c>
      <c r="M31" s="102" t="s">
        <v>533</v>
      </c>
      <c r="N31" s="102" t="s">
        <v>1069</v>
      </c>
      <c r="O31" s="102" t="s">
        <v>1054</v>
      </c>
      <c r="P31" s="102" t="s">
        <v>1126</v>
      </c>
      <c r="Q31" s="102" t="s">
        <v>531</v>
      </c>
      <c r="R31" s="102" t="s">
        <v>764</v>
      </c>
      <c r="S31" s="102" t="s">
        <v>1127</v>
      </c>
      <c r="T31" s="102" t="s">
        <v>588</v>
      </c>
    </row>
    <row r="32" spans="1:20" ht="12.75" x14ac:dyDescent="0.2">
      <c r="A32" s="104">
        <v>43383.42240299769</v>
      </c>
      <c r="B32" s="102">
        <v>26</v>
      </c>
      <c r="C32" s="102" t="s">
        <v>902</v>
      </c>
      <c r="D32" s="102" t="s">
        <v>998</v>
      </c>
      <c r="E32" s="102" t="s">
        <v>1030</v>
      </c>
      <c r="F32" s="102" t="s">
        <v>1037</v>
      </c>
      <c r="H32" s="102" t="s">
        <v>1032</v>
      </c>
      <c r="J32" s="102" t="s">
        <v>527</v>
      </c>
      <c r="K32" s="102" t="s">
        <v>531</v>
      </c>
      <c r="L32" s="102" t="s">
        <v>531</v>
      </c>
      <c r="M32" s="102" t="s">
        <v>524</v>
      </c>
      <c r="N32" s="102" t="s">
        <v>1128</v>
      </c>
      <c r="O32" s="102" t="s">
        <v>1060</v>
      </c>
      <c r="P32" s="102" t="s">
        <v>1122</v>
      </c>
      <c r="Q32" s="102" t="s">
        <v>531</v>
      </c>
      <c r="R32" s="102" t="s">
        <v>1129</v>
      </c>
      <c r="S32" s="102" t="s">
        <v>1130</v>
      </c>
      <c r="T32" s="102" t="s">
        <v>588</v>
      </c>
    </row>
    <row r="33" spans="1:20" ht="12.75" x14ac:dyDescent="0.2">
      <c r="A33" s="104">
        <v>43383.446334409724</v>
      </c>
      <c r="B33" s="102">
        <v>21</v>
      </c>
      <c r="C33" s="102" t="s">
        <v>891</v>
      </c>
      <c r="D33" s="102" t="s">
        <v>1131</v>
      </c>
      <c r="E33" s="102" t="s">
        <v>1057</v>
      </c>
      <c r="F33" s="102" t="s">
        <v>1037</v>
      </c>
      <c r="H33" s="102" t="s">
        <v>1052</v>
      </c>
      <c r="J33" s="102" t="s">
        <v>531</v>
      </c>
      <c r="K33" s="102" t="s">
        <v>525</v>
      </c>
      <c r="L33" s="102" t="s">
        <v>525</v>
      </c>
      <c r="M33" s="102" t="s">
        <v>533</v>
      </c>
      <c r="N33" s="102" t="s">
        <v>1069</v>
      </c>
      <c r="O33" s="102" t="s">
        <v>1034</v>
      </c>
      <c r="P33" s="102" t="s">
        <v>920</v>
      </c>
      <c r="Q33" s="102" t="s">
        <v>1042</v>
      </c>
      <c r="R33" s="102" t="s">
        <v>663</v>
      </c>
      <c r="S33" s="102" t="s">
        <v>1132</v>
      </c>
      <c r="T33" s="102" t="s">
        <v>588</v>
      </c>
    </row>
    <row r="34" spans="1:20" ht="12.75" x14ac:dyDescent="0.2">
      <c r="A34" s="104">
        <v>43383.452705868054</v>
      </c>
      <c r="B34" s="102">
        <v>57</v>
      </c>
      <c r="C34" s="102" t="s">
        <v>891</v>
      </c>
      <c r="D34" s="102" t="s">
        <v>1124</v>
      </c>
      <c r="E34" s="102" t="s">
        <v>1030</v>
      </c>
      <c r="F34" s="102" t="s">
        <v>1046</v>
      </c>
      <c r="H34" s="102" t="s">
        <v>1133</v>
      </c>
      <c r="J34" s="102" t="s">
        <v>527</v>
      </c>
      <c r="K34" s="102" t="s">
        <v>525</v>
      </c>
      <c r="L34" s="102" t="s">
        <v>527</v>
      </c>
      <c r="M34" s="102" t="s">
        <v>524</v>
      </c>
      <c r="N34" s="102" t="s">
        <v>1084</v>
      </c>
      <c r="O34" s="102" t="s">
        <v>1034</v>
      </c>
      <c r="P34" s="102" t="s">
        <v>1134</v>
      </c>
      <c r="Q34" s="102" t="s">
        <v>527</v>
      </c>
      <c r="R34" s="102" t="s">
        <v>663</v>
      </c>
      <c r="S34" s="102" t="s">
        <v>1135</v>
      </c>
      <c r="T34" s="102" t="s">
        <v>588</v>
      </c>
    </row>
    <row r="35" spans="1:20" ht="12.75" x14ac:dyDescent="0.2">
      <c r="A35" s="104">
        <v>43383.488435358799</v>
      </c>
      <c r="B35" s="102">
        <v>48</v>
      </c>
      <c r="C35" s="102" t="s">
        <v>891</v>
      </c>
      <c r="D35" s="102" t="s">
        <v>1131</v>
      </c>
      <c r="E35" s="102" t="s">
        <v>1030</v>
      </c>
      <c r="F35" s="102" t="s">
        <v>1037</v>
      </c>
      <c r="H35" s="102" t="s">
        <v>1058</v>
      </c>
      <c r="J35" s="102" t="s">
        <v>527</v>
      </c>
      <c r="K35" s="102" t="s">
        <v>527</v>
      </c>
      <c r="L35" s="102" t="s">
        <v>527</v>
      </c>
      <c r="M35" s="102" t="s">
        <v>533</v>
      </c>
      <c r="N35" s="102" t="s">
        <v>1136</v>
      </c>
      <c r="O35" s="102" t="s">
        <v>1040</v>
      </c>
      <c r="P35" s="102" t="s">
        <v>1137</v>
      </c>
      <c r="Q35" s="102" t="s">
        <v>527</v>
      </c>
      <c r="R35" s="102" t="s">
        <v>663</v>
      </c>
      <c r="S35" s="102" t="s">
        <v>1138</v>
      </c>
      <c r="T35" s="102" t="s">
        <v>588</v>
      </c>
    </row>
    <row r="36" spans="1:20" ht="12.75" x14ac:dyDescent="0.2">
      <c r="A36" s="104">
        <v>43383.505931631946</v>
      </c>
      <c r="B36" s="102">
        <v>23</v>
      </c>
      <c r="C36" s="102" t="s">
        <v>902</v>
      </c>
      <c r="D36" s="102" t="s">
        <v>1139</v>
      </c>
      <c r="E36" s="102" t="s">
        <v>1057</v>
      </c>
      <c r="F36" s="102" t="s">
        <v>1046</v>
      </c>
      <c r="H36" s="102" t="s">
        <v>1133</v>
      </c>
      <c r="J36" s="102" t="s">
        <v>527</v>
      </c>
      <c r="K36" s="102" t="s">
        <v>531</v>
      </c>
      <c r="L36" s="102" t="s">
        <v>531</v>
      </c>
      <c r="M36" s="102" t="s">
        <v>528</v>
      </c>
      <c r="N36" s="102" t="s">
        <v>1140</v>
      </c>
      <c r="O36" s="102" t="s">
        <v>1075</v>
      </c>
      <c r="P36" s="102" t="s">
        <v>1141</v>
      </c>
      <c r="Q36" s="102" t="s">
        <v>531</v>
      </c>
      <c r="R36" s="102" t="s">
        <v>663</v>
      </c>
      <c r="S36" s="102" t="s">
        <v>1142</v>
      </c>
      <c r="T36" s="102" t="s">
        <v>588</v>
      </c>
    </row>
    <row r="37" spans="1:20" ht="12.75" x14ac:dyDescent="0.2">
      <c r="A37" s="104">
        <v>43383.555620277781</v>
      </c>
      <c r="B37" s="102">
        <v>20</v>
      </c>
      <c r="C37" s="102" t="s">
        <v>891</v>
      </c>
      <c r="D37" s="102" t="s">
        <v>998</v>
      </c>
      <c r="E37" s="102" t="s">
        <v>1030</v>
      </c>
      <c r="F37" s="102" t="s">
        <v>1037</v>
      </c>
      <c r="H37" s="102" t="s">
        <v>1032</v>
      </c>
      <c r="J37" s="102" t="s">
        <v>527</v>
      </c>
      <c r="K37" s="102" t="s">
        <v>525</v>
      </c>
      <c r="L37" s="102" t="s">
        <v>525</v>
      </c>
      <c r="M37" s="102" t="s">
        <v>533</v>
      </c>
      <c r="N37" s="102" t="s">
        <v>1069</v>
      </c>
      <c r="O37" s="102" t="s">
        <v>1054</v>
      </c>
      <c r="P37" s="102" t="s">
        <v>1143</v>
      </c>
      <c r="Q37" s="102" t="s">
        <v>527</v>
      </c>
      <c r="R37" s="102" t="s">
        <v>764</v>
      </c>
      <c r="S37" s="102" t="s">
        <v>1144</v>
      </c>
      <c r="T37" s="102" t="s">
        <v>588</v>
      </c>
    </row>
    <row r="38" spans="1:20" ht="12.75" x14ac:dyDescent="0.2">
      <c r="A38" s="104">
        <v>43383.613046782411</v>
      </c>
      <c r="B38" s="102">
        <v>56</v>
      </c>
      <c r="C38" s="102" t="s">
        <v>902</v>
      </c>
      <c r="D38" s="102" t="s">
        <v>1145</v>
      </c>
      <c r="E38" s="102" t="s">
        <v>1030</v>
      </c>
      <c r="F38" s="102" t="s">
        <v>1037</v>
      </c>
      <c r="H38" s="102" t="s">
        <v>1032</v>
      </c>
      <c r="J38" s="102" t="s">
        <v>527</v>
      </c>
      <c r="K38" s="102" t="s">
        <v>525</v>
      </c>
      <c r="L38" s="102" t="s">
        <v>525</v>
      </c>
      <c r="M38" s="102" t="s">
        <v>533</v>
      </c>
      <c r="N38" s="102" t="s">
        <v>1146</v>
      </c>
      <c r="O38" s="102" t="s">
        <v>1034</v>
      </c>
      <c r="P38" s="102" t="s">
        <v>759</v>
      </c>
      <c r="Q38" s="102" t="s">
        <v>531</v>
      </c>
      <c r="R38" s="102" t="s">
        <v>764</v>
      </c>
      <c r="S38" s="102" t="s">
        <v>1147</v>
      </c>
      <c r="T38" s="102" t="s">
        <v>588</v>
      </c>
    </row>
    <row r="39" spans="1:20" ht="12.75" x14ac:dyDescent="0.2">
      <c r="A39" s="104">
        <v>43383.644147037034</v>
      </c>
      <c r="B39" s="102">
        <v>34</v>
      </c>
      <c r="C39" s="102" t="s">
        <v>891</v>
      </c>
      <c r="D39" s="102" t="s">
        <v>998</v>
      </c>
      <c r="E39" s="102" t="s">
        <v>1030</v>
      </c>
      <c r="F39" s="102" t="s">
        <v>1037</v>
      </c>
      <c r="H39" s="102" t="s">
        <v>1032</v>
      </c>
      <c r="J39" s="102" t="s">
        <v>525</v>
      </c>
      <c r="K39" s="102" t="s">
        <v>527</v>
      </c>
      <c r="L39" s="102" t="s">
        <v>531</v>
      </c>
      <c r="M39" s="102" t="s">
        <v>524</v>
      </c>
      <c r="N39" s="102" t="s">
        <v>1128</v>
      </c>
      <c r="O39" s="102" t="s">
        <v>1054</v>
      </c>
      <c r="P39" s="102" t="s">
        <v>1148</v>
      </c>
      <c r="Q39" s="102" t="s">
        <v>527</v>
      </c>
      <c r="R39" s="102" t="s">
        <v>1043</v>
      </c>
      <c r="S39" s="102" t="s">
        <v>1130</v>
      </c>
      <c r="T39" s="102" t="s">
        <v>588</v>
      </c>
    </row>
    <row r="40" spans="1:20" ht="12.75" x14ac:dyDescent="0.2">
      <c r="A40" s="104">
        <v>43383.645628877319</v>
      </c>
      <c r="B40" s="102">
        <v>26</v>
      </c>
      <c r="C40" s="102" t="s">
        <v>891</v>
      </c>
      <c r="D40" s="102" t="s">
        <v>943</v>
      </c>
      <c r="E40" s="102" t="s">
        <v>1030</v>
      </c>
      <c r="F40" s="102" t="s">
        <v>1031</v>
      </c>
      <c r="H40" s="102" t="s">
        <v>1038</v>
      </c>
      <c r="J40" s="102" t="s">
        <v>525</v>
      </c>
      <c r="K40" s="102" t="s">
        <v>527</v>
      </c>
      <c r="L40" s="102" t="s">
        <v>531</v>
      </c>
      <c r="M40" s="102" t="s">
        <v>533</v>
      </c>
      <c r="N40" s="102" t="s">
        <v>1069</v>
      </c>
      <c r="O40" s="102" t="s">
        <v>1054</v>
      </c>
      <c r="P40" s="102" t="s">
        <v>1149</v>
      </c>
      <c r="Q40" s="102" t="s">
        <v>527</v>
      </c>
      <c r="R40" s="102" t="s">
        <v>1043</v>
      </c>
      <c r="S40" s="102" t="s">
        <v>1150</v>
      </c>
      <c r="T40" s="102" t="s">
        <v>588</v>
      </c>
    </row>
    <row r="41" spans="1:20" ht="12.75" x14ac:dyDescent="0.2">
      <c r="A41" s="104">
        <v>43383.647743831018</v>
      </c>
      <c r="B41" s="102">
        <v>35</v>
      </c>
      <c r="C41" s="102" t="s">
        <v>891</v>
      </c>
      <c r="D41" s="102" t="s">
        <v>943</v>
      </c>
      <c r="E41" s="102" t="s">
        <v>1030</v>
      </c>
      <c r="F41" s="102" t="s">
        <v>1037</v>
      </c>
      <c r="H41" s="102" t="s">
        <v>1038</v>
      </c>
      <c r="J41" s="102" t="s">
        <v>531</v>
      </c>
      <c r="K41" s="102" t="s">
        <v>527</v>
      </c>
      <c r="L41" s="102" t="s">
        <v>523</v>
      </c>
      <c r="M41" s="102" t="s">
        <v>524</v>
      </c>
      <c r="N41" s="102" t="s">
        <v>1151</v>
      </c>
      <c r="O41" s="102" t="s">
        <v>1075</v>
      </c>
      <c r="P41" s="102" t="s">
        <v>1152</v>
      </c>
      <c r="Q41" s="102" t="s">
        <v>527</v>
      </c>
      <c r="R41" s="102" t="s">
        <v>1153</v>
      </c>
      <c r="S41" s="102" t="s">
        <v>1154</v>
      </c>
      <c r="T41" s="102" t="s">
        <v>588</v>
      </c>
    </row>
    <row r="42" spans="1:20" ht="12.75" x14ac:dyDescent="0.2">
      <c r="A42" s="104">
        <v>43383.650232835644</v>
      </c>
      <c r="B42" s="102">
        <v>67</v>
      </c>
      <c r="C42" s="102" t="s">
        <v>902</v>
      </c>
      <c r="D42" s="102" t="s">
        <v>943</v>
      </c>
      <c r="E42" s="102" t="s">
        <v>1030</v>
      </c>
      <c r="F42" s="102" t="s">
        <v>1031</v>
      </c>
      <c r="H42" s="102" t="s">
        <v>1032</v>
      </c>
      <c r="J42" s="102" t="s">
        <v>527</v>
      </c>
      <c r="K42" s="102" t="s">
        <v>527</v>
      </c>
      <c r="L42" s="102" t="s">
        <v>527</v>
      </c>
      <c r="M42" s="102" t="s">
        <v>533</v>
      </c>
      <c r="N42" s="102" t="s">
        <v>1146</v>
      </c>
      <c r="O42" s="102" t="s">
        <v>1054</v>
      </c>
      <c r="P42" s="102" t="s">
        <v>1155</v>
      </c>
      <c r="Q42" s="102" t="s">
        <v>527</v>
      </c>
      <c r="R42" s="102" t="s">
        <v>1156</v>
      </c>
      <c r="S42" s="102" t="s">
        <v>1155</v>
      </c>
      <c r="T42" s="102" t="s">
        <v>588</v>
      </c>
    </row>
    <row r="43" spans="1:20" ht="12.75" x14ac:dyDescent="0.2">
      <c r="A43" s="104">
        <v>43383.652989178241</v>
      </c>
      <c r="B43" s="102">
        <v>62</v>
      </c>
      <c r="C43" s="102" t="s">
        <v>902</v>
      </c>
      <c r="D43" s="102" t="s">
        <v>1157</v>
      </c>
      <c r="E43" s="102" t="s">
        <v>1030</v>
      </c>
      <c r="F43" s="102" t="s">
        <v>1031</v>
      </c>
      <c r="H43" s="102" t="s">
        <v>1038</v>
      </c>
      <c r="J43" s="102" t="s">
        <v>525</v>
      </c>
      <c r="K43" s="102" t="s">
        <v>523</v>
      </c>
      <c r="L43" s="102" t="s">
        <v>531</v>
      </c>
      <c r="M43" s="102" t="s">
        <v>524</v>
      </c>
      <c r="N43" s="102" t="s">
        <v>647</v>
      </c>
      <c r="O43" s="102" t="s">
        <v>1040</v>
      </c>
      <c r="P43" s="102" t="s">
        <v>688</v>
      </c>
      <c r="Q43" s="102" t="s">
        <v>531</v>
      </c>
      <c r="R43" s="102" t="s">
        <v>1158</v>
      </c>
      <c r="S43" s="102" t="s">
        <v>1159</v>
      </c>
      <c r="T43" s="102" t="s">
        <v>588</v>
      </c>
    </row>
    <row r="44" spans="1:20" ht="12.75" x14ac:dyDescent="0.2">
      <c r="A44" s="104">
        <v>43383.664536666663</v>
      </c>
      <c r="B44" s="102">
        <v>54</v>
      </c>
      <c r="C44" s="102" t="s">
        <v>891</v>
      </c>
      <c r="D44" s="102" t="s">
        <v>943</v>
      </c>
      <c r="E44" s="102" t="s">
        <v>1030</v>
      </c>
      <c r="F44" s="102" t="s">
        <v>1031</v>
      </c>
      <c r="H44" s="102" t="s">
        <v>1052</v>
      </c>
      <c r="J44" s="102" t="s">
        <v>527</v>
      </c>
      <c r="K44" s="102" t="s">
        <v>527</v>
      </c>
      <c r="L44" s="102" t="s">
        <v>527</v>
      </c>
      <c r="M44" s="102" t="s">
        <v>533</v>
      </c>
      <c r="N44" s="102" t="s">
        <v>1069</v>
      </c>
      <c r="O44" s="102" t="s">
        <v>1054</v>
      </c>
      <c r="P44" s="102" t="s">
        <v>1160</v>
      </c>
      <c r="Q44" s="102" t="s">
        <v>527</v>
      </c>
      <c r="R44" s="102" t="s">
        <v>1153</v>
      </c>
      <c r="S44" s="102" t="s">
        <v>1161</v>
      </c>
      <c r="T44" s="102" t="s">
        <v>588</v>
      </c>
    </row>
    <row r="45" spans="1:20" ht="12.75" x14ac:dyDescent="0.2">
      <c r="A45" s="104">
        <v>43383.665764155092</v>
      </c>
      <c r="B45" s="102">
        <v>45</v>
      </c>
      <c r="C45" s="102" t="s">
        <v>891</v>
      </c>
      <c r="D45" s="102" t="s">
        <v>1162</v>
      </c>
      <c r="E45" s="102" t="s">
        <v>1030</v>
      </c>
      <c r="F45" s="102" t="s">
        <v>1031</v>
      </c>
      <c r="H45" s="102" t="s">
        <v>1052</v>
      </c>
      <c r="J45" s="102" t="s">
        <v>531</v>
      </c>
      <c r="K45" s="102" t="s">
        <v>527</v>
      </c>
      <c r="L45" s="102" t="s">
        <v>525</v>
      </c>
      <c r="M45" s="102" t="s">
        <v>533</v>
      </c>
      <c r="N45" s="102" t="s">
        <v>1163</v>
      </c>
      <c r="O45" s="102" t="s">
        <v>1075</v>
      </c>
      <c r="P45" s="102" t="s">
        <v>1164</v>
      </c>
      <c r="Q45" s="102" t="s">
        <v>527</v>
      </c>
      <c r="R45" s="102" t="s">
        <v>1156</v>
      </c>
      <c r="S45" s="102" t="s">
        <v>1165</v>
      </c>
      <c r="T45" s="102" t="s">
        <v>588</v>
      </c>
    </row>
    <row r="46" spans="1:20" ht="12.75" x14ac:dyDescent="0.2">
      <c r="A46" s="104">
        <v>43383.667239236107</v>
      </c>
      <c r="B46" s="102">
        <v>80</v>
      </c>
      <c r="C46" s="102" t="s">
        <v>902</v>
      </c>
      <c r="D46" s="102" t="s">
        <v>943</v>
      </c>
      <c r="E46" s="102" t="s">
        <v>1057</v>
      </c>
      <c r="F46" s="102" t="s">
        <v>1031</v>
      </c>
      <c r="H46" s="102" t="s">
        <v>1052</v>
      </c>
      <c r="J46" s="102" t="s">
        <v>527</v>
      </c>
      <c r="K46" s="102" t="s">
        <v>527</v>
      </c>
      <c r="L46" s="102" t="s">
        <v>523</v>
      </c>
      <c r="M46" s="102" t="s">
        <v>534</v>
      </c>
      <c r="N46" s="102" t="s">
        <v>1166</v>
      </c>
      <c r="O46" s="102" t="s">
        <v>1075</v>
      </c>
      <c r="P46" s="102" t="s">
        <v>1167</v>
      </c>
      <c r="Q46" s="102" t="s">
        <v>527</v>
      </c>
      <c r="R46" s="102" t="s">
        <v>1168</v>
      </c>
      <c r="S46" s="102" t="s">
        <v>1169</v>
      </c>
      <c r="T46" s="102" t="s">
        <v>588</v>
      </c>
    </row>
    <row r="47" spans="1:20" ht="12.75" x14ac:dyDescent="0.2">
      <c r="A47" s="104">
        <v>43383.670190740741</v>
      </c>
      <c r="B47" s="102">
        <v>60</v>
      </c>
      <c r="C47" s="102" t="s">
        <v>902</v>
      </c>
      <c r="D47" s="102" t="s">
        <v>943</v>
      </c>
      <c r="E47" s="102" t="s">
        <v>1030</v>
      </c>
      <c r="F47" s="102" t="s">
        <v>1037</v>
      </c>
      <c r="H47" s="102" t="s">
        <v>1032</v>
      </c>
      <c r="J47" s="102" t="s">
        <v>525</v>
      </c>
      <c r="K47" s="102" t="s">
        <v>525</v>
      </c>
      <c r="L47" s="102" t="s">
        <v>527</v>
      </c>
      <c r="M47" s="102" t="s">
        <v>533</v>
      </c>
      <c r="N47" s="102" t="s">
        <v>1069</v>
      </c>
      <c r="O47" s="102" t="s">
        <v>1054</v>
      </c>
      <c r="P47" s="102" t="s">
        <v>1164</v>
      </c>
      <c r="Q47" s="102" t="s">
        <v>527</v>
      </c>
      <c r="R47" s="102" t="s">
        <v>1170</v>
      </c>
      <c r="S47" s="102" t="s">
        <v>1171</v>
      </c>
      <c r="T47" s="102" t="s">
        <v>588</v>
      </c>
    </row>
    <row r="48" spans="1:20" ht="12.75" x14ac:dyDescent="0.2">
      <c r="A48" s="104">
        <v>43383.67269122685</v>
      </c>
      <c r="B48" s="102">
        <v>45</v>
      </c>
      <c r="C48" s="102" t="s">
        <v>902</v>
      </c>
      <c r="D48" s="102" t="s">
        <v>943</v>
      </c>
      <c r="E48" s="102" t="s">
        <v>1057</v>
      </c>
      <c r="F48" s="102" t="s">
        <v>1046</v>
      </c>
      <c r="H48" s="102" t="s">
        <v>1052</v>
      </c>
      <c r="J48" s="102" t="s">
        <v>523</v>
      </c>
      <c r="K48" s="102" t="s">
        <v>527</v>
      </c>
      <c r="L48" s="102" t="s">
        <v>525</v>
      </c>
      <c r="M48" s="102" t="s">
        <v>533</v>
      </c>
      <c r="N48" s="102" t="s">
        <v>1069</v>
      </c>
      <c r="O48" s="102" t="s">
        <v>1054</v>
      </c>
      <c r="P48" s="102" t="s">
        <v>1164</v>
      </c>
      <c r="Q48" s="102" t="s">
        <v>527</v>
      </c>
      <c r="R48" s="102" t="s">
        <v>1172</v>
      </c>
      <c r="S48" s="102" t="s">
        <v>1173</v>
      </c>
      <c r="T48" s="102" t="s">
        <v>588</v>
      </c>
    </row>
    <row r="49" spans="1:20" ht="12.75" x14ac:dyDescent="0.2">
      <c r="A49" s="104">
        <v>43383.673780520832</v>
      </c>
      <c r="B49" s="102">
        <v>15</v>
      </c>
      <c r="C49" s="102" t="s">
        <v>902</v>
      </c>
      <c r="D49" s="102" t="s">
        <v>943</v>
      </c>
      <c r="E49" s="102" t="s">
        <v>1057</v>
      </c>
      <c r="F49" s="102" t="s">
        <v>1051</v>
      </c>
      <c r="H49" s="102" t="s">
        <v>1052</v>
      </c>
      <c r="J49" s="102" t="s">
        <v>527</v>
      </c>
      <c r="K49" s="102" t="s">
        <v>527</v>
      </c>
      <c r="L49" s="102" t="s">
        <v>525</v>
      </c>
      <c r="M49" s="102" t="s">
        <v>533</v>
      </c>
      <c r="N49" s="102" t="s">
        <v>1174</v>
      </c>
      <c r="O49" s="102" t="s">
        <v>1054</v>
      </c>
      <c r="P49" s="102" t="s">
        <v>1164</v>
      </c>
      <c r="Q49" s="102" t="s">
        <v>527</v>
      </c>
      <c r="R49" s="102" t="s">
        <v>1158</v>
      </c>
      <c r="S49" s="102" t="s">
        <v>1164</v>
      </c>
      <c r="T49" s="102" t="s">
        <v>588</v>
      </c>
    </row>
    <row r="50" spans="1:20" ht="12.75" x14ac:dyDescent="0.2">
      <c r="A50" s="104">
        <v>43383.674712928245</v>
      </c>
      <c r="B50" s="102">
        <v>28</v>
      </c>
      <c r="C50" s="102" t="s">
        <v>891</v>
      </c>
      <c r="D50" s="102" t="s">
        <v>943</v>
      </c>
      <c r="E50" s="102" t="s">
        <v>1057</v>
      </c>
      <c r="F50" s="102" t="s">
        <v>1031</v>
      </c>
      <c r="H50" s="102" t="s">
        <v>1038</v>
      </c>
      <c r="J50" s="102" t="s">
        <v>527</v>
      </c>
      <c r="K50" s="102" t="s">
        <v>527</v>
      </c>
      <c r="L50" s="102" t="s">
        <v>529</v>
      </c>
      <c r="M50" s="102" t="s">
        <v>533</v>
      </c>
      <c r="N50" s="102" t="s">
        <v>1175</v>
      </c>
      <c r="O50" s="102" t="s">
        <v>1075</v>
      </c>
      <c r="P50" s="102" t="s">
        <v>1176</v>
      </c>
      <c r="Q50" s="102" t="s">
        <v>529</v>
      </c>
      <c r="R50" s="102" t="s">
        <v>1177</v>
      </c>
      <c r="S50" s="102" t="s">
        <v>1178</v>
      </c>
      <c r="T50" s="102" t="s">
        <v>588</v>
      </c>
    </row>
    <row r="51" spans="1:20" ht="12.75" x14ac:dyDescent="0.2">
      <c r="A51" s="104">
        <v>43383.675574560184</v>
      </c>
      <c r="B51" s="102">
        <v>50</v>
      </c>
      <c r="C51" s="102" t="s">
        <v>891</v>
      </c>
      <c r="D51" s="102" t="s">
        <v>943</v>
      </c>
      <c r="E51" s="102" t="s">
        <v>1057</v>
      </c>
      <c r="F51" s="102" t="s">
        <v>1031</v>
      </c>
      <c r="H51" s="102" t="s">
        <v>1038</v>
      </c>
      <c r="J51" s="102" t="s">
        <v>527</v>
      </c>
      <c r="K51" s="102" t="s">
        <v>527</v>
      </c>
      <c r="L51" s="102" t="s">
        <v>529</v>
      </c>
      <c r="M51" s="102" t="s">
        <v>533</v>
      </c>
      <c r="N51" s="102" t="s">
        <v>1179</v>
      </c>
      <c r="O51" s="102" t="s">
        <v>1075</v>
      </c>
      <c r="P51" s="102" t="s">
        <v>1176</v>
      </c>
      <c r="Q51" s="102" t="s">
        <v>1042</v>
      </c>
      <c r="R51" s="102" t="s">
        <v>1177</v>
      </c>
      <c r="S51" s="102" t="s">
        <v>1164</v>
      </c>
      <c r="T51" s="102" t="s">
        <v>588</v>
      </c>
    </row>
    <row r="52" spans="1:20" ht="12.75" x14ac:dyDescent="0.2">
      <c r="A52" s="104">
        <v>43383.67655290509</v>
      </c>
      <c r="B52" s="102">
        <v>19</v>
      </c>
      <c r="C52" s="102" t="s">
        <v>902</v>
      </c>
      <c r="D52" s="102" t="s">
        <v>943</v>
      </c>
      <c r="E52" s="102" t="s">
        <v>1057</v>
      </c>
      <c r="F52" s="102" t="s">
        <v>1051</v>
      </c>
      <c r="H52" s="102" t="s">
        <v>1038</v>
      </c>
      <c r="J52" s="102" t="s">
        <v>527</v>
      </c>
      <c r="K52" s="102" t="s">
        <v>531</v>
      </c>
      <c r="L52" s="102" t="s">
        <v>529</v>
      </c>
      <c r="M52" s="102" t="s">
        <v>533</v>
      </c>
      <c r="N52" s="102" t="s">
        <v>1136</v>
      </c>
      <c r="O52" s="102" t="s">
        <v>1075</v>
      </c>
      <c r="P52" s="102" t="s">
        <v>1137</v>
      </c>
      <c r="Q52" s="102" t="s">
        <v>529</v>
      </c>
      <c r="R52" s="102" t="s">
        <v>1049</v>
      </c>
      <c r="S52" s="102" t="s">
        <v>1164</v>
      </c>
      <c r="T52" s="102" t="s">
        <v>588</v>
      </c>
    </row>
    <row r="53" spans="1:20" ht="12.75" x14ac:dyDescent="0.2">
      <c r="A53" s="104">
        <v>43383.677682719906</v>
      </c>
      <c r="B53" s="102">
        <v>22</v>
      </c>
      <c r="C53" s="102" t="s">
        <v>902</v>
      </c>
      <c r="D53" s="102" t="s">
        <v>943</v>
      </c>
      <c r="E53" s="102" t="s">
        <v>1030</v>
      </c>
      <c r="F53" s="102" t="s">
        <v>1037</v>
      </c>
      <c r="H53" s="102" t="s">
        <v>1038</v>
      </c>
      <c r="J53" s="102" t="s">
        <v>527</v>
      </c>
      <c r="K53" s="102" t="s">
        <v>527</v>
      </c>
      <c r="L53" s="102" t="s">
        <v>531</v>
      </c>
      <c r="M53" s="102" t="s">
        <v>533</v>
      </c>
      <c r="N53" s="102" t="s">
        <v>1128</v>
      </c>
      <c r="O53" s="102" t="s">
        <v>1054</v>
      </c>
      <c r="P53" s="102" t="s">
        <v>1164</v>
      </c>
      <c r="Q53" s="102" t="s">
        <v>527</v>
      </c>
      <c r="R53" s="102" t="s">
        <v>1170</v>
      </c>
      <c r="S53" s="102" t="s">
        <v>1180</v>
      </c>
      <c r="T53" s="102" t="s">
        <v>588</v>
      </c>
    </row>
    <row r="54" spans="1:20" ht="12.75" x14ac:dyDescent="0.2">
      <c r="A54" s="104">
        <v>43383.678781631941</v>
      </c>
      <c r="B54" s="102">
        <v>40</v>
      </c>
      <c r="C54" s="102" t="s">
        <v>891</v>
      </c>
      <c r="D54" s="102" t="s">
        <v>943</v>
      </c>
      <c r="E54" s="102" t="s">
        <v>1030</v>
      </c>
      <c r="F54" s="102" t="s">
        <v>1031</v>
      </c>
      <c r="H54" s="102" t="s">
        <v>1038</v>
      </c>
      <c r="J54" s="102" t="s">
        <v>527</v>
      </c>
      <c r="K54" s="102" t="s">
        <v>525</v>
      </c>
      <c r="L54" s="102" t="s">
        <v>525</v>
      </c>
      <c r="M54" s="102" t="s">
        <v>533</v>
      </c>
      <c r="N54" s="102" t="s">
        <v>1128</v>
      </c>
      <c r="O54" s="102" t="s">
        <v>1034</v>
      </c>
      <c r="P54" s="102" t="s">
        <v>920</v>
      </c>
      <c r="Q54" s="102" t="s">
        <v>531</v>
      </c>
      <c r="R54" s="102" t="s">
        <v>1043</v>
      </c>
      <c r="S54" s="102" t="s">
        <v>1181</v>
      </c>
      <c r="T54" s="102" t="s">
        <v>588</v>
      </c>
    </row>
    <row r="55" spans="1:20" ht="12.75" x14ac:dyDescent="0.2">
      <c r="A55" s="104">
        <v>43383.679853437498</v>
      </c>
      <c r="B55" s="102">
        <v>72</v>
      </c>
      <c r="C55" s="102" t="s">
        <v>902</v>
      </c>
      <c r="D55" s="102" t="s">
        <v>943</v>
      </c>
      <c r="E55" s="102" t="s">
        <v>1030</v>
      </c>
      <c r="F55" s="102" t="s">
        <v>1031</v>
      </c>
      <c r="H55" s="102" t="s">
        <v>1058</v>
      </c>
      <c r="J55" s="102" t="s">
        <v>525</v>
      </c>
      <c r="K55" s="102" t="s">
        <v>525</v>
      </c>
      <c r="L55" s="102" t="s">
        <v>525</v>
      </c>
      <c r="M55" s="102" t="s">
        <v>533</v>
      </c>
      <c r="N55" s="102" t="s">
        <v>1069</v>
      </c>
      <c r="O55" s="102" t="s">
        <v>1060</v>
      </c>
      <c r="P55" s="102" t="s">
        <v>1164</v>
      </c>
      <c r="Q55" s="102" t="s">
        <v>527</v>
      </c>
      <c r="R55" s="102" t="s">
        <v>1049</v>
      </c>
      <c r="S55" s="102" t="s">
        <v>1164</v>
      </c>
      <c r="T55" s="102" t="s">
        <v>588</v>
      </c>
    </row>
    <row r="56" spans="1:20" ht="12.75" x14ac:dyDescent="0.2">
      <c r="A56" s="104">
        <v>43383.68226400463</v>
      </c>
      <c r="B56" s="102">
        <v>50</v>
      </c>
      <c r="C56" s="102" t="s">
        <v>902</v>
      </c>
      <c r="D56" s="102" t="s">
        <v>943</v>
      </c>
      <c r="E56" s="102" t="s">
        <v>1030</v>
      </c>
      <c r="F56" s="102" t="s">
        <v>1031</v>
      </c>
      <c r="H56" s="102" t="s">
        <v>1052</v>
      </c>
      <c r="J56" s="102" t="s">
        <v>531</v>
      </c>
      <c r="K56" s="102" t="s">
        <v>531</v>
      </c>
      <c r="L56" s="102" t="s">
        <v>531</v>
      </c>
      <c r="M56" s="102" t="s">
        <v>533</v>
      </c>
      <c r="N56" s="102" t="s">
        <v>1069</v>
      </c>
      <c r="O56" s="102" t="s">
        <v>1040</v>
      </c>
      <c r="P56" s="102" t="s">
        <v>1182</v>
      </c>
      <c r="Q56" s="102" t="s">
        <v>527</v>
      </c>
      <c r="R56" s="102" t="s">
        <v>764</v>
      </c>
      <c r="S56" s="102" t="s">
        <v>1164</v>
      </c>
      <c r="T56" s="102" t="s">
        <v>588</v>
      </c>
    </row>
    <row r="57" spans="1:20" ht="12.75" x14ac:dyDescent="0.2">
      <c r="A57" s="104">
        <v>43383.683008495369</v>
      </c>
      <c r="B57" s="102">
        <v>30</v>
      </c>
      <c r="C57" s="102" t="s">
        <v>891</v>
      </c>
      <c r="D57" s="102" t="s">
        <v>1183</v>
      </c>
      <c r="E57" s="102" t="s">
        <v>1030</v>
      </c>
      <c r="F57" s="102" t="s">
        <v>1031</v>
      </c>
      <c r="H57" s="102" t="s">
        <v>1052</v>
      </c>
      <c r="J57" s="102" t="s">
        <v>529</v>
      </c>
      <c r="K57" s="102" t="s">
        <v>525</v>
      </c>
      <c r="L57" s="102" t="s">
        <v>527</v>
      </c>
      <c r="M57" s="102" t="s">
        <v>533</v>
      </c>
      <c r="N57" s="102" t="s">
        <v>1174</v>
      </c>
      <c r="O57" s="102" t="s">
        <v>1054</v>
      </c>
      <c r="P57" s="102" t="s">
        <v>1164</v>
      </c>
      <c r="Q57" s="102" t="s">
        <v>527</v>
      </c>
      <c r="R57" s="102" t="s">
        <v>1043</v>
      </c>
      <c r="S57" s="102" t="s">
        <v>1164</v>
      </c>
      <c r="T57" s="102" t="s">
        <v>588</v>
      </c>
    </row>
    <row r="58" spans="1:20" ht="12.75" x14ac:dyDescent="0.2">
      <c r="A58" s="104">
        <v>43383.684345879628</v>
      </c>
      <c r="B58" s="102">
        <v>55</v>
      </c>
      <c r="C58" s="102" t="s">
        <v>891</v>
      </c>
      <c r="D58" s="102" t="s">
        <v>943</v>
      </c>
      <c r="E58" s="102" t="s">
        <v>1057</v>
      </c>
      <c r="F58" s="102" t="s">
        <v>1031</v>
      </c>
      <c r="H58" s="102" t="s">
        <v>1058</v>
      </c>
      <c r="J58" s="102" t="s">
        <v>527</v>
      </c>
      <c r="K58" s="102" t="s">
        <v>527</v>
      </c>
      <c r="L58" s="102" t="s">
        <v>527</v>
      </c>
      <c r="M58" s="102" t="s">
        <v>533</v>
      </c>
      <c r="N58" s="102" t="s">
        <v>1146</v>
      </c>
      <c r="O58" s="102" t="s">
        <v>1060</v>
      </c>
      <c r="P58" s="102" t="s">
        <v>1164</v>
      </c>
      <c r="Q58" s="102" t="s">
        <v>527</v>
      </c>
      <c r="R58" s="102" t="s">
        <v>1177</v>
      </c>
      <c r="S58" s="102" t="s">
        <v>1164</v>
      </c>
      <c r="T58" s="102" t="s">
        <v>588</v>
      </c>
    </row>
    <row r="59" spans="1:20" ht="12.75" x14ac:dyDescent="0.2">
      <c r="A59" s="104">
        <v>43383.690479953701</v>
      </c>
      <c r="B59" s="102">
        <v>25</v>
      </c>
      <c r="C59" s="102" t="s">
        <v>902</v>
      </c>
      <c r="D59" s="102" t="s">
        <v>1184</v>
      </c>
      <c r="E59" s="102" t="s">
        <v>1030</v>
      </c>
      <c r="F59" s="102" t="s">
        <v>1046</v>
      </c>
      <c r="H59" s="102" t="s">
        <v>1032</v>
      </c>
      <c r="J59" s="102" t="s">
        <v>525</v>
      </c>
      <c r="K59" s="102" t="s">
        <v>525</v>
      </c>
      <c r="L59" s="102" t="s">
        <v>525</v>
      </c>
      <c r="M59" s="102" t="s">
        <v>533</v>
      </c>
      <c r="N59" s="102" t="s">
        <v>1128</v>
      </c>
      <c r="O59" s="102" t="s">
        <v>1054</v>
      </c>
      <c r="P59" s="102" t="s">
        <v>1185</v>
      </c>
      <c r="Q59" s="102" t="s">
        <v>527</v>
      </c>
      <c r="R59" s="102" t="s">
        <v>663</v>
      </c>
      <c r="S59" s="102" t="s">
        <v>1186</v>
      </c>
      <c r="T59" s="102" t="s">
        <v>588</v>
      </c>
    </row>
    <row r="60" spans="1:20" ht="12.75" x14ac:dyDescent="0.2">
      <c r="A60" s="104">
        <v>43383.693110196764</v>
      </c>
      <c r="B60" s="102">
        <v>30</v>
      </c>
      <c r="C60" s="102" t="s">
        <v>902</v>
      </c>
      <c r="D60" s="102" t="s">
        <v>909</v>
      </c>
      <c r="E60" s="102" t="s">
        <v>1057</v>
      </c>
      <c r="F60" s="102" t="s">
        <v>1037</v>
      </c>
      <c r="H60" s="102" t="s">
        <v>1133</v>
      </c>
      <c r="J60" s="102" t="s">
        <v>525</v>
      </c>
      <c r="K60" s="102" t="s">
        <v>525</v>
      </c>
      <c r="L60" s="102" t="s">
        <v>525</v>
      </c>
      <c r="M60" s="102" t="s">
        <v>533</v>
      </c>
      <c r="N60" s="102" t="s">
        <v>1187</v>
      </c>
      <c r="O60" s="102" t="s">
        <v>1040</v>
      </c>
      <c r="P60" s="102" t="s">
        <v>1188</v>
      </c>
      <c r="Q60" s="102" t="s">
        <v>527</v>
      </c>
      <c r="R60" s="102" t="s">
        <v>608</v>
      </c>
      <c r="S60" s="102" t="s">
        <v>1189</v>
      </c>
      <c r="T60" s="102" t="s">
        <v>588</v>
      </c>
    </row>
    <row r="61" spans="1:20" ht="12.75" x14ac:dyDescent="0.2">
      <c r="A61" s="104">
        <v>43383.69539872685</v>
      </c>
      <c r="B61" s="102">
        <v>22</v>
      </c>
      <c r="C61" s="102" t="s">
        <v>891</v>
      </c>
      <c r="D61" s="102" t="s">
        <v>1000</v>
      </c>
      <c r="E61" s="102" t="s">
        <v>1030</v>
      </c>
      <c r="F61" s="102" t="s">
        <v>1031</v>
      </c>
      <c r="H61" s="102" t="s">
        <v>1058</v>
      </c>
      <c r="J61" s="102" t="s">
        <v>525</v>
      </c>
      <c r="K61" s="102" t="s">
        <v>525</v>
      </c>
      <c r="L61" s="102" t="s">
        <v>525</v>
      </c>
      <c r="M61" s="102" t="s">
        <v>533</v>
      </c>
      <c r="N61" s="102" t="s">
        <v>1128</v>
      </c>
      <c r="O61" s="102" t="s">
        <v>1040</v>
      </c>
      <c r="P61" s="102" t="s">
        <v>1190</v>
      </c>
      <c r="Q61" s="102" t="s">
        <v>527</v>
      </c>
      <c r="R61" s="102" t="s">
        <v>1191</v>
      </c>
      <c r="S61" s="102" t="s">
        <v>1192</v>
      </c>
      <c r="T61" s="102" t="s">
        <v>588</v>
      </c>
    </row>
    <row r="62" spans="1:20" ht="12.75" x14ac:dyDescent="0.2">
      <c r="A62" s="104">
        <v>43383.696909409722</v>
      </c>
      <c r="B62" s="102">
        <v>52</v>
      </c>
      <c r="C62" s="102" t="s">
        <v>902</v>
      </c>
      <c r="D62" s="102" t="s">
        <v>1193</v>
      </c>
      <c r="E62" s="102" t="s">
        <v>1030</v>
      </c>
      <c r="F62" s="102" t="s">
        <v>1037</v>
      </c>
      <c r="H62" s="102" t="s">
        <v>1032</v>
      </c>
      <c r="J62" s="102" t="s">
        <v>527</v>
      </c>
      <c r="K62" s="102" t="s">
        <v>525</v>
      </c>
      <c r="L62" s="102" t="s">
        <v>525</v>
      </c>
      <c r="M62" s="102" t="s">
        <v>533</v>
      </c>
      <c r="N62" s="102" t="s">
        <v>1069</v>
      </c>
      <c r="O62" s="102" t="s">
        <v>1040</v>
      </c>
      <c r="P62" s="102" t="s">
        <v>1194</v>
      </c>
      <c r="Q62" s="102" t="s">
        <v>527</v>
      </c>
      <c r="R62" s="102" t="s">
        <v>764</v>
      </c>
      <c r="S62" s="102" t="s">
        <v>1195</v>
      </c>
      <c r="T62" s="102" t="s">
        <v>588</v>
      </c>
    </row>
    <row r="63" spans="1:20" ht="12.75" x14ac:dyDescent="0.2">
      <c r="A63" s="104">
        <v>43383.699710138884</v>
      </c>
      <c r="B63" s="102">
        <v>55</v>
      </c>
      <c r="C63" s="102" t="s">
        <v>902</v>
      </c>
      <c r="D63" s="102" t="s">
        <v>943</v>
      </c>
      <c r="E63" s="102" t="s">
        <v>1057</v>
      </c>
      <c r="F63" s="102" t="s">
        <v>1046</v>
      </c>
      <c r="H63" s="102" t="s">
        <v>1133</v>
      </c>
      <c r="J63" s="102" t="s">
        <v>527</v>
      </c>
      <c r="K63" s="102" t="s">
        <v>527</v>
      </c>
      <c r="L63" s="102" t="s">
        <v>529</v>
      </c>
      <c r="M63" s="102" t="s">
        <v>528</v>
      </c>
      <c r="N63" s="102" t="s">
        <v>1196</v>
      </c>
      <c r="O63" s="102" t="s">
        <v>1034</v>
      </c>
      <c r="P63" s="102" t="s">
        <v>672</v>
      </c>
      <c r="Q63" s="102" t="s">
        <v>527</v>
      </c>
      <c r="R63" s="102" t="s">
        <v>1168</v>
      </c>
      <c r="S63" s="102" t="s">
        <v>1197</v>
      </c>
      <c r="T63" s="102" t="s">
        <v>588</v>
      </c>
    </row>
    <row r="64" spans="1:20" ht="12.75" x14ac:dyDescent="0.2">
      <c r="A64" s="104">
        <v>43383.702710219906</v>
      </c>
      <c r="B64" s="102">
        <v>25</v>
      </c>
      <c r="C64" s="102" t="s">
        <v>891</v>
      </c>
      <c r="D64" s="102" t="s">
        <v>926</v>
      </c>
      <c r="E64" s="102" t="s">
        <v>1030</v>
      </c>
      <c r="F64" s="102" t="s">
        <v>1031</v>
      </c>
      <c r="H64" s="102" t="s">
        <v>1052</v>
      </c>
      <c r="J64" s="102" t="s">
        <v>525</v>
      </c>
      <c r="K64" s="102" t="s">
        <v>525</v>
      </c>
      <c r="L64" s="102" t="s">
        <v>525</v>
      </c>
      <c r="M64" s="102" t="s">
        <v>533</v>
      </c>
      <c r="N64" s="102" t="s">
        <v>1136</v>
      </c>
      <c r="O64" s="102" t="s">
        <v>1040</v>
      </c>
      <c r="P64" s="102" t="s">
        <v>1189</v>
      </c>
      <c r="Q64" s="102" t="s">
        <v>527</v>
      </c>
      <c r="R64" s="102" t="s">
        <v>1198</v>
      </c>
      <c r="S64" s="102" t="s">
        <v>1190</v>
      </c>
      <c r="T64" s="102" t="s">
        <v>588</v>
      </c>
    </row>
    <row r="65" spans="1:20" ht="12.75" x14ac:dyDescent="0.2">
      <c r="A65" s="104">
        <v>43383.704043368052</v>
      </c>
      <c r="B65" s="102">
        <v>30</v>
      </c>
      <c r="C65" s="102" t="s">
        <v>902</v>
      </c>
      <c r="D65" s="102" t="s">
        <v>956</v>
      </c>
      <c r="E65" s="102" t="s">
        <v>1030</v>
      </c>
      <c r="F65" s="102" t="s">
        <v>1037</v>
      </c>
      <c r="H65" s="102" t="s">
        <v>1038</v>
      </c>
      <c r="J65" s="102" t="s">
        <v>525</v>
      </c>
      <c r="K65" s="102" t="s">
        <v>525</v>
      </c>
      <c r="L65" s="102" t="s">
        <v>525</v>
      </c>
      <c r="M65" s="102" t="s">
        <v>533</v>
      </c>
      <c r="N65" s="102" t="s">
        <v>1069</v>
      </c>
      <c r="O65" s="102" t="s">
        <v>1040</v>
      </c>
      <c r="P65" s="102" t="s">
        <v>1199</v>
      </c>
      <c r="Q65" s="102" t="s">
        <v>529</v>
      </c>
      <c r="R65" s="102" t="s">
        <v>764</v>
      </c>
      <c r="S65" s="102" t="s">
        <v>1200</v>
      </c>
      <c r="T65" s="102" t="s">
        <v>588</v>
      </c>
    </row>
    <row r="66" spans="1:20" ht="12.75" x14ac:dyDescent="0.2">
      <c r="A66" s="104">
        <v>43383.707284907403</v>
      </c>
      <c r="B66" s="102">
        <v>40</v>
      </c>
      <c r="C66" s="102" t="s">
        <v>902</v>
      </c>
      <c r="D66" s="102" t="s">
        <v>909</v>
      </c>
      <c r="E66" s="102" t="s">
        <v>1057</v>
      </c>
      <c r="F66" s="102" t="s">
        <v>1046</v>
      </c>
      <c r="H66" s="102" t="s">
        <v>1038</v>
      </c>
      <c r="J66" s="102" t="s">
        <v>527</v>
      </c>
      <c r="K66" s="102" t="s">
        <v>527</v>
      </c>
      <c r="L66" s="102" t="s">
        <v>531</v>
      </c>
      <c r="M66" s="102" t="s">
        <v>524</v>
      </c>
      <c r="N66" s="102" t="s">
        <v>1201</v>
      </c>
      <c r="O66" s="102" t="s">
        <v>1034</v>
      </c>
      <c r="P66" s="102" t="s">
        <v>1122</v>
      </c>
      <c r="Q66" s="102" t="s">
        <v>527</v>
      </c>
      <c r="R66" s="102" t="s">
        <v>742</v>
      </c>
      <c r="S66" s="102" t="s">
        <v>1202</v>
      </c>
      <c r="T66" s="102" t="s">
        <v>588</v>
      </c>
    </row>
    <row r="67" spans="1:20" ht="12.75" x14ac:dyDescent="0.2">
      <c r="A67" s="104">
        <v>43383.720624537033</v>
      </c>
      <c r="B67" s="102">
        <v>29</v>
      </c>
      <c r="C67" s="102" t="s">
        <v>902</v>
      </c>
      <c r="D67" s="102" t="s">
        <v>1002</v>
      </c>
      <c r="E67" s="102" t="s">
        <v>1030</v>
      </c>
      <c r="F67" s="102" t="s">
        <v>1037</v>
      </c>
      <c r="H67" s="102" t="s">
        <v>1032</v>
      </c>
      <c r="J67" s="102" t="s">
        <v>525</v>
      </c>
      <c r="K67" s="102" t="s">
        <v>525</v>
      </c>
      <c r="L67" s="102" t="s">
        <v>525</v>
      </c>
      <c r="M67" s="102" t="s">
        <v>533</v>
      </c>
      <c r="N67" s="102" t="s">
        <v>1128</v>
      </c>
      <c r="O67" s="102" t="s">
        <v>1040</v>
      </c>
      <c r="P67" s="102" t="s">
        <v>1203</v>
      </c>
      <c r="Q67" s="102" t="s">
        <v>531</v>
      </c>
      <c r="R67" s="102" t="s">
        <v>764</v>
      </c>
      <c r="S67" s="102" t="s">
        <v>1204</v>
      </c>
      <c r="T67" s="102" t="s">
        <v>588</v>
      </c>
    </row>
    <row r="68" spans="1:20" ht="12.75" x14ac:dyDescent="0.2">
      <c r="A68" s="104">
        <v>43383.722321504625</v>
      </c>
      <c r="B68" s="102">
        <v>52</v>
      </c>
      <c r="C68" s="102" t="s">
        <v>902</v>
      </c>
      <c r="D68" s="102" t="s">
        <v>926</v>
      </c>
      <c r="E68" s="102" t="s">
        <v>1030</v>
      </c>
      <c r="F68" s="102" t="s">
        <v>1037</v>
      </c>
      <c r="H68" s="102" t="s">
        <v>1032</v>
      </c>
      <c r="J68" s="102" t="s">
        <v>525</v>
      </c>
      <c r="K68" s="102" t="s">
        <v>525</v>
      </c>
      <c r="L68" s="102" t="s">
        <v>525</v>
      </c>
      <c r="M68" s="102" t="s">
        <v>533</v>
      </c>
      <c r="N68" s="102" t="s">
        <v>1128</v>
      </c>
      <c r="O68" s="102" t="s">
        <v>1034</v>
      </c>
      <c r="P68" s="102" t="s">
        <v>1189</v>
      </c>
      <c r="Q68" s="102" t="s">
        <v>527</v>
      </c>
      <c r="R68" s="102" t="s">
        <v>764</v>
      </c>
      <c r="S68" s="102" t="s">
        <v>1205</v>
      </c>
      <c r="T68" s="102" t="s">
        <v>588</v>
      </c>
    </row>
    <row r="69" spans="1:20" ht="12.75" x14ac:dyDescent="0.2">
      <c r="A69" s="104">
        <v>43383.724302685187</v>
      </c>
      <c r="B69" s="102">
        <v>44</v>
      </c>
      <c r="C69" s="102" t="s">
        <v>902</v>
      </c>
      <c r="D69" s="102" t="s">
        <v>971</v>
      </c>
      <c r="E69" s="102" t="s">
        <v>1057</v>
      </c>
      <c r="F69" s="102" t="s">
        <v>1037</v>
      </c>
      <c r="H69" s="102" t="s">
        <v>1038</v>
      </c>
      <c r="J69" s="102" t="s">
        <v>525</v>
      </c>
      <c r="K69" s="102" t="s">
        <v>527</v>
      </c>
      <c r="L69" s="102" t="s">
        <v>527</v>
      </c>
      <c r="M69" s="102" t="s">
        <v>526</v>
      </c>
      <c r="N69" s="102" t="s">
        <v>1206</v>
      </c>
      <c r="O69" s="102" t="s">
        <v>1034</v>
      </c>
      <c r="P69" s="102" t="s">
        <v>1122</v>
      </c>
      <c r="Q69" s="102" t="s">
        <v>531</v>
      </c>
      <c r="R69" s="102" t="s">
        <v>1207</v>
      </c>
      <c r="S69" s="102" t="s">
        <v>1208</v>
      </c>
      <c r="T69" s="102" t="s">
        <v>588</v>
      </c>
    </row>
    <row r="70" spans="1:20" ht="12.75" x14ac:dyDescent="0.2">
      <c r="A70" s="104">
        <v>43383.725983287033</v>
      </c>
      <c r="B70" s="102">
        <v>28</v>
      </c>
      <c r="C70" s="102" t="s">
        <v>902</v>
      </c>
      <c r="D70" s="102" t="s">
        <v>1131</v>
      </c>
      <c r="E70" s="102" t="s">
        <v>1209</v>
      </c>
      <c r="F70" s="102" t="s">
        <v>1046</v>
      </c>
      <c r="H70" s="102" t="s">
        <v>1133</v>
      </c>
      <c r="J70" s="102" t="s">
        <v>525</v>
      </c>
      <c r="K70" s="102" t="s">
        <v>525</v>
      </c>
      <c r="L70" s="102" t="s">
        <v>525</v>
      </c>
      <c r="M70" s="102" t="s">
        <v>533</v>
      </c>
      <c r="N70" s="102" t="s">
        <v>1196</v>
      </c>
      <c r="O70" s="102" t="s">
        <v>1034</v>
      </c>
      <c r="P70" s="102" t="s">
        <v>1210</v>
      </c>
      <c r="Q70" s="102" t="s">
        <v>531</v>
      </c>
      <c r="R70" s="102" t="s">
        <v>1129</v>
      </c>
      <c r="S70" s="102" t="s">
        <v>1167</v>
      </c>
      <c r="T70" s="102" t="s">
        <v>588</v>
      </c>
    </row>
    <row r="71" spans="1:20" ht="12.75" x14ac:dyDescent="0.2">
      <c r="A71" s="104">
        <v>43383.728481157406</v>
      </c>
      <c r="B71" s="102">
        <v>24</v>
      </c>
      <c r="C71" s="102" t="s">
        <v>891</v>
      </c>
      <c r="D71" s="102" t="s">
        <v>1000</v>
      </c>
      <c r="E71" s="102" t="s">
        <v>1030</v>
      </c>
      <c r="F71" s="102" t="s">
        <v>1037</v>
      </c>
      <c r="H71" s="102" t="s">
        <v>1052</v>
      </c>
      <c r="J71" s="102" t="s">
        <v>527</v>
      </c>
      <c r="K71" s="102" t="s">
        <v>527</v>
      </c>
      <c r="L71" s="102" t="s">
        <v>531</v>
      </c>
      <c r="M71" s="102" t="s">
        <v>526</v>
      </c>
      <c r="N71" s="102" t="s">
        <v>1211</v>
      </c>
      <c r="O71" s="102" t="s">
        <v>1040</v>
      </c>
      <c r="P71" s="102" t="s">
        <v>1212</v>
      </c>
      <c r="Q71" s="102" t="s">
        <v>531</v>
      </c>
      <c r="R71" s="102" t="s">
        <v>1213</v>
      </c>
      <c r="S71" s="102" t="s">
        <v>1214</v>
      </c>
      <c r="T71" s="102" t="s">
        <v>588</v>
      </c>
    </row>
    <row r="72" spans="1:20" ht="12.75" x14ac:dyDescent="0.2">
      <c r="A72" s="104">
        <v>43383.729769537036</v>
      </c>
      <c r="B72" s="102">
        <v>36</v>
      </c>
      <c r="C72" s="102" t="s">
        <v>891</v>
      </c>
      <c r="D72" s="102" t="s">
        <v>916</v>
      </c>
      <c r="E72" s="102" t="s">
        <v>1030</v>
      </c>
      <c r="F72" s="102" t="s">
        <v>1031</v>
      </c>
      <c r="H72" s="102" t="s">
        <v>1032</v>
      </c>
      <c r="J72" s="102" t="s">
        <v>525</v>
      </c>
      <c r="K72" s="102" t="s">
        <v>525</v>
      </c>
      <c r="L72" s="102" t="s">
        <v>525</v>
      </c>
      <c r="M72" s="102" t="s">
        <v>533</v>
      </c>
      <c r="N72" s="102" t="s">
        <v>1215</v>
      </c>
      <c r="O72" s="102" t="s">
        <v>1040</v>
      </c>
      <c r="P72" s="102" t="s">
        <v>1216</v>
      </c>
      <c r="Q72" s="102" t="s">
        <v>531</v>
      </c>
      <c r="R72" s="102" t="s">
        <v>764</v>
      </c>
      <c r="S72" s="102" t="s">
        <v>1217</v>
      </c>
      <c r="T72" s="102" t="s">
        <v>588</v>
      </c>
    </row>
    <row r="73" spans="1:20" ht="12.75" x14ac:dyDescent="0.2">
      <c r="A73" s="104">
        <v>43383.731899328704</v>
      </c>
      <c r="B73" s="102">
        <v>65</v>
      </c>
      <c r="C73" s="102" t="s">
        <v>902</v>
      </c>
      <c r="D73" s="102" t="s">
        <v>1218</v>
      </c>
      <c r="E73" s="102" t="s">
        <v>1030</v>
      </c>
      <c r="F73" s="102" t="s">
        <v>1031</v>
      </c>
      <c r="H73" s="102" t="s">
        <v>1038</v>
      </c>
      <c r="J73" s="102" t="s">
        <v>529</v>
      </c>
      <c r="K73" s="102" t="s">
        <v>525</v>
      </c>
      <c r="L73" s="102" t="s">
        <v>525</v>
      </c>
      <c r="M73" s="102" t="s">
        <v>533</v>
      </c>
      <c r="N73" s="102" t="s">
        <v>1128</v>
      </c>
      <c r="O73" s="102" t="s">
        <v>1034</v>
      </c>
      <c r="P73" s="102" t="s">
        <v>1219</v>
      </c>
      <c r="Q73" s="102" t="s">
        <v>531</v>
      </c>
      <c r="R73" s="102" t="s">
        <v>1177</v>
      </c>
      <c r="S73" s="102" t="s">
        <v>1219</v>
      </c>
      <c r="T73" s="102" t="s">
        <v>588</v>
      </c>
    </row>
    <row r="74" spans="1:20" ht="12.75" x14ac:dyDescent="0.2">
      <c r="A74" s="104">
        <v>43383.733355567128</v>
      </c>
      <c r="B74" s="102">
        <v>29</v>
      </c>
      <c r="C74" s="102" t="s">
        <v>902</v>
      </c>
      <c r="D74" s="102" t="s">
        <v>943</v>
      </c>
      <c r="E74" s="102" t="s">
        <v>1030</v>
      </c>
      <c r="F74" s="102" t="s">
        <v>1046</v>
      </c>
      <c r="H74" s="102" t="s">
        <v>1032</v>
      </c>
      <c r="J74" s="102" t="s">
        <v>525</v>
      </c>
      <c r="K74" s="102" t="s">
        <v>525</v>
      </c>
      <c r="L74" s="102" t="s">
        <v>525</v>
      </c>
      <c r="M74" s="102" t="s">
        <v>533</v>
      </c>
      <c r="N74" s="102" t="s">
        <v>1220</v>
      </c>
      <c r="O74" s="102" t="s">
        <v>1054</v>
      </c>
      <c r="P74" s="102" t="s">
        <v>1212</v>
      </c>
      <c r="Q74" s="102" t="s">
        <v>527</v>
      </c>
      <c r="R74" s="102" t="s">
        <v>663</v>
      </c>
      <c r="S74" s="102" t="s">
        <v>1221</v>
      </c>
      <c r="T74" s="102" t="s">
        <v>588</v>
      </c>
    </row>
    <row r="75" spans="1:20" ht="12.75" x14ac:dyDescent="0.2">
      <c r="A75" s="104">
        <v>43384.418671134263</v>
      </c>
      <c r="B75" s="102">
        <v>75</v>
      </c>
      <c r="C75" s="102" t="s">
        <v>891</v>
      </c>
      <c r="D75" s="102" t="s">
        <v>1124</v>
      </c>
      <c r="E75" s="102" t="s">
        <v>1030</v>
      </c>
      <c r="F75" s="102" t="s">
        <v>1046</v>
      </c>
      <c r="H75" s="102" t="s">
        <v>1032</v>
      </c>
      <c r="J75" s="102" t="s">
        <v>527</v>
      </c>
      <c r="K75" s="102" t="s">
        <v>527</v>
      </c>
      <c r="L75" s="102" t="s">
        <v>527</v>
      </c>
      <c r="M75" s="102" t="s">
        <v>533</v>
      </c>
      <c r="N75" s="102" t="s">
        <v>1069</v>
      </c>
      <c r="O75" s="102" t="s">
        <v>1034</v>
      </c>
      <c r="P75" s="102" t="s">
        <v>1222</v>
      </c>
      <c r="Q75" s="102" t="s">
        <v>531</v>
      </c>
      <c r="R75" s="102" t="s">
        <v>663</v>
      </c>
      <c r="S75" s="102" t="s">
        <v>1223</v>
      </c>
      <c r="T75" s="102" t="s">
        <v>588</v>
      </c>
    </row>
    <row r="76" spans="1:20" ht="12.75" x14ac:dyDescent="0.2">
      <c r="A76" s="104">
        <v>43384.449859120374</v>
      </c>
      <c r="B76" s="102">
        <v>6</v>
      </c>
      <c r="C76" s="102" t="s">
        <v>891</v>
      </c>
      <c r="D76" s="102" t="s">
        <v>1124</v>
      </c>
      <c r="E76" s="102" t="s">
        <v>1030</v>
      </c>
      <c r="F76" s="102" t="s">
        <v>1037</v>
      </c>
      <c r="H76" s="102" t="s">
        <v>1058</v>
      </c>
      <c r="J76" s="102" t="s">
        <v>527</v>
      </c>
      <c r="K76" s="102" t="s">
        <v>531</v>
      </c>
      <c r="L76" s="102" t="s">
        <v>523</v>
      </c>
      <c r="M76" s="102" t="s">
        <v>526</v>
      </c>
      <c r="N76" s="102" t="s">
        <v>1224</v>
      </c>
      <c r="O76" s="102" t="s">
        <v>1034</v>
      </c>
      <c r="P76" s="102" t="s">
        <v>1225</v>
      </c>
      <c r="Q76" s="102" t="s">
        <v>529</v>
      </c>
      <c r="R76" s="102" t="s">
        <v>663</v>
      </c>
      <c r="S76" s="102" t="s">
        <v>1226</v>
      </c>
      <c r="T76" s="102" t="s">
        <v>588</v>
      </c>
    </row>
    <row r="77" spans="1:20" ht="12.75" x14ac:dyDescent="0.2">
      <c r="A77" s="104">
        <v>43384.503894120367</v>
      </c>
      <c r="B77" s="102">
        <v>28</v>
      </c>
      <c r="C77" s="102" t="s">
        <v>891</v>
      </c>
      <c r="D77" s="102" t="s">
        <v>1124</v>
      </c>
      <c r="E77" s="102" t="s">
        <v>1030</v>
      </c>
      <c r="F77" s="102" t="s">
        <v>1046</v>
      </c>
      <c r="H77" s="102" t="s">
        <v>1052</v>
      </c>
      <c r="J77" s="102" t="s">
        <v>527</v>
      </c>
      <c r="K77" s="102" t="s">
        <v>531</v>
      </c>
      <c r="L77" s="102" t="s">
        <v>529</v>
      </c>
      <c r="M77" s="102" t="s">
        <v>524</v>
      </c>
      <c r="N77" s="102" t="s">
        <v>1227</v>
      </c>
      <c r="O77" s="102" t="s">
        <v>1075</v>
      </c>
      <c r="P77" s="102" t="s">
        <v>1228</v>
      </c>
      <c r="Q77" s="102" t="s">
        <v>531</v>
      </c>
      <c r="R77" s="102" t="s">
        <v>742</v>
      </c>
      <c r="S77" s="102" t="s">
        <v>1229</v>
      </c>
      <c r="T77" s="102" t="s">
        <v>588</v>
      </c>
    </row>
    <row r="78" spans="1:20" ht="12.75" x14ac:dyDescent="0.2">
      <c r="A78" s="104">
        <v>43384.553005497684</v>
      </c>
      <c r="B78" s="102">
        <v>30</v>
      </c>
      <c r="C78" s="102" t="s">
        <v>891</v>
      </c>
      <c r="D78" s="102" t="s">
        <v>1124</v>
      </c>
      <c r="E78" s="102" t="s">
        <v>1030</v>
      </c>
      <c r="F78" s="102" t="s">
        <v>1046</v>
      </c>
      <c r="H78" s="102" t="s">
        <v>1038</v>
      </c>
      <c r="J78" s="102" t="s">
        <v>531</v>
      </c>
      <c r="K78" s="102" t="s">
        <v>527</v>
      </c>
      <c r="L78" s="102" t="s">
        <v>527</v>
      </c>
      <c r="M78" s="102" t="s">
        <v>526</v>
      </c>
      <c r="N78" s="102" t="s">
        <v>1069</v>
      </c>
      <c r="O78" s="102" t="s">
        <v>1034</v>
      </c>
      <c r="P78" s="102" t="s">
        <v>1230</v>
      </c>
      <c r="Q78" s="102" t="s">
        <v>1042</v>
      </c>
      <c r="R78" s="102" t="s">
        <v>764</v>
      </c>
      <c r="S78" s="102" t="s">
        <v>1231</v>
      </c>
      <c r="T78" s="102" t="s">
        <v>588</v>
      </c>
    </row>
    <row r="79" spans="1:20" ht="12.75" x14ac:dyDescent="0.2">
      <c r="A79" s="104">
        <v>43384.556239872691</v>
      </c>
      <c r="B79" s="102">
        <v>48</v>
      </c>
      <c r="C79" s="102" t="s">
        <v>902</v>
      </c>
      <c r="D79" s="102" t="s">
        <v>1124</v>
      </c>
      <c r="E79" s="102" t="s">
        <v>1057</v>
      </c>
      <c r="F79" s="102" t="s">
        <v>1037</v>
      </c>
      <c r="H79" s="102" t="s">
        <v>1052</v>
      </c>
      <c r="J79" s="102" t="s">
        <v>531</v>
      </c>
      <c r="K79" s="102" t="s">
        <v>523</v>
      </c>
      <c r="L79" s="102" t="s">
        <v>523</v>
      </c>
      <c r="M79" s="102" t="s">
        <v>524</v>
      </c>
      <c r="N79" s="102" t="s">
        <v>1232</v>
      </c>
      <c r="O79" s="102" t="s">
        <v>1075</v>
      </c>
      <c r="P79" s="102" t="s">
        <v>629</v>
      </c>
      <c r="Q79" s="102" t="s">
        <v>531</v>
      </c>
      <c r="R79" s="102" t="s">
        <v>663</v>
      </c>
      <c r="S79" s="102" t="s">
        <v>1233</v>
      </c>
      <c r="T79" s="102" t="s">
        <v>588</v>
      </c>
    </row>
    <row r="80" spans="1:20" ht="12.75" x14ac:dyDescent="0.2">
      <c r="A80" s="104">
        <v>43384.611133113431</v>
      </c>
      <c r="B80" s="102">
        <v>30</v>
      </c>
      <c r="C80" s="102" t="s">
        <v>891</v>
      </c>
      <c r="D80" s="102" t="s">
        <v>1124</v>
      </c>
      <c r="E80" s="102" t="s">
        <v>1030</v>
      </c>
      <c r="F80" s="102" t="s">
        <v>1037</v>
      </c>
      <c r="H80" s="102" t="s">
        <v>1032</v>
      </c>
      <c r="J80" s="102" t="s">
        <v>527</v>
      </c>
      <c r="K80" s="102" t="s">
        <v>525</v>
      </c>
      <c r="L80" s="102" t="s">
        <v>527</v>
      </c>
      <c r="M80" s="102" t="s">
        <v>533</v>
      </c>
      <c r="N80" s="102" t="s">
        <v>1174</v>
      </c>
      <c r="O80" s="102" t="s">
        <v>1040</v>
      </c>
      <c r="P80" s="102" t="s">
        <v>1234</v>
      </c>
      <c r="Q80" s="102" t="s">
        <v>529</v>
      </c>
      <c r="R80" s="102" t="s">
        <v>1198</v>
      </c>
      <c r="S80" s="102" t="s">
        <v>1235</v>
      </c>
      <c r="T80" s="102" t="s">
        <v>588</v>
      </c>
    </row>
    <row r="81" spans="1:20" ht="12.75" x14ac:dyDescent="0.2">
      <c r="A81" s="104">
        <v>43384.633270023143</v>
      </c>
      <c r="B81" s="102">
        <v>4</v>
      </c>
      <c r="C81" s="102" t="s">
        <v>891</v>
      </c>
      <c r="D81" s="102" t="s">
        <v>1124</v>
      </c>
      <c r="E81" s="102" t="s">
        <v>1030</v>
      </c>
      <c r="F81" s="102" t="s">
        <v>1037</v>
      </c>
      <c r="H81" s="102" t="s">
        <v>1038</v>
      </c>
      <c r="J81" s="102" t="s">
        <v>527</v>
      </c>
      <c r="K81" s="102" t="s">
        <v>531</v>
      </c>
      <c r="L81" s="102" t="s">
        <v>527</v>
      </c>
      <c r="M81" s="102" t="s">
        <v>524</v>
      </c>
      <c r="N81" s="102" t="s">
        <v>1117</v>
      </c>
      <c r="O81" s="102" t="s">
        <v>1054</v>
      </c>
      <c r="P81" s="102" t="s">
        <v>1236</v>
      </c>
      <c r="Q81" s="102" t="s">
        <v>527</v>
      </c>
      <c r="R81" s="102" t="s">
        <v>1237</v>
      </c>
      <c r="S81" s="102" t="s">
        <v>1238</v>
      </c>
      <c r="T81" s="102" t="s">
        <v>588</v>
      </c>
    </row>
    <row r="82" spans="1:20" ht="12.75" x14ac:dyDescent="0.2">
      <c r="A82" s="104">
        <v>43384.636086203704</v>
      </c>
      <c r="B82" s="102">
        <v>26</v>
      </c>
      <c r="C82" s="102" t="s">
        <v>891</v>
      </c>
      <c r="D82" s="102" t="s">
        <v>1081</v>
      </c>
      <c r="E82" s="102" t="s">
        <v>1030</v>
      </c>
      <c r="F82" s="102" t="s">
        <v>1037</v>
      </c>
      <c r="H82" s="102" t="s">
        <v>1052</v>
      </c>
      <c r="J82" s="102" t="s">
        <v>523</v>
      </c>
      <c r="K82" s="102" t="s">
        <v>531</v>
      </c>
      <c r="L82" s="102" t="s">
        <v>527</v>
      </c>
      <c r="M82" s="102" t="s">
        <v>533</v>
      </c>
      <c r="N82" s="102" t="s">
        <v>991</v>
      </c>
      <c r="O82" s="102" t="s">
        <v>1075</v>
      </c>
      <c r="P82" s="102" t="s">
        <v>1239</v>
      </c>
      <c r="Q82" s="102" t="s">
        <v>527</v>
      </c>
      <c r="R82" s="102" t="s">
        <v>764</v>
      </c>
      <c r="S82" s="102" t="s">
        <v>1240</v>
      </c>
      <c r="T82" s="102" t="s">
        <v>588</v>
      </c>
    </row>
    <row r="83" spans="1:20" ht="12.75" x14ac:dyDescent="0.2">
      <c r="A83" s="104">
        <v>43384.664034016205</v>
      </c>
      <c r="B83" s="102">
        <v>25</v>
      </c>
      <c r="C83" s="102" t="s">
        <v>891</v>
      </c>
      <c r="D83" s="102" t="s">
        <v>998</v>
      </c>
      <c r="E83" s="102" t="s">
        <v>1030</v>
      </c>
      <c r="F83" s="102" t="s">
        <v>1037</v>
      </c>
      <c r="H83" s="102" t="s">
        <v>1032</v>
      </c>
      <c r="J83" s="102" t="s">
        <v>531</v>
      </c>
      <c r="K83" s="102" t="s">
        <v>529</v>
      </c>
      <c r="L83" s="102" t="s">
        <v>529</v>
      </c>
      <c r="M83" s="102" t="s">
        <v>528</v>
      </c>
      <c r="N83" s="102" t="s">
        <v>1241</v>
      </c>
      <c r="O83" s="102" t="s">
        <v>1054</v>
      </c>
      <c r="P83" s="102" t="s">
        <v>1242</v>
      </c>
      <c r="Q83" s="102" t="s">
        <v>531</v>
      </c>
      <c r="R83" s="102" t="s">
        <v>1243</v>
      </c>
      <c r="S83" s="102" t="s">
        <v>1244</v>
      </c>
      <c r="T83" s="102" t="s">
        <v>588</v>
      </c>
    </row>
    <row r="84" spans="1:20" ht="12.75" x14ac:dyDescent="0.2">
      <c r="A84" s="104">
        <v>43384.666307407402</v>
      </c>
      <c r="B84" s="102">
        <v>57</v>
      </c>
      <c r="C84" s="102" t="s">
        <v>891</v>
      </c>
      <c r="D84" s="102" t="s">
        <v>1107</v>
      </c>
      <c r="E84" s="102" t="s">
        <v>1030</v>
      </c>
      <c r="F84" s="102" t="s">
        <v>1037</v>
      </c>
      <c r="H84" s="102" t="s">
        <v>1032</v>
      </c>
      <c r="J84" s="102" t="s">
        <v>527</v>
      </c>
      <c r="K84" s="102" t="s">
        <v>531</v>
      </c>
      <c r="L84" s="102" t="s">
        <v>529</v>
      </c>
      <c r="M84" s="102" t="s">
        <v>526</v>
      </c>
      <c r="N84" s="102" t="s">
        <v>1245</v>
      </c>
      <c r="O84" s="102" t="s">
        <v>1040</v>
      </c>
      <c r="P84" s="102" t="s">
        <v>1134</v>
      </c>
      <c r="Q84" s="102" t="s">
        <v>531</v>
      </c>
      <c r="R84" s="102" t="s">
        <v>1246</v>
      </c>
      <c r="S84" s="102" t="s">
        <v>1247</v>
      </c>
      <c r="T84" s="102" t="s">
        <v>588</v>
      </c>
    </row>
    <row r="85" spans="1:20" ht="12.75" x14ac:dyDescent="0.2">
      <c r="A85" s="104">
        <v>43384.673254918976</v>
      </c>
      <c r="B85" s="102">
        <v>14</v>
      </c>
      <c r="C85" s="102" t="s">
        <v>902</v>
      </c>
      <c r="D85" s="102" t="s">
        <v>1124</v>
      </c>
      <c r="E85" s="102" t="s">
        <v>1030</v>
      </c>
      <c r="F85" s="102" t="s">
        <v>1046</v>
      </c>
      <c r="H85" s="102" t="s">
        <v>1038</v>
      </c>
      <c r="J85" s="102" t="s">
        <v>527</v>
      </c>
      <c r="K85" s="102" t="s">
        <v>527</v>
      </c>
      <c r="L85" s="102" t="s">
        <v>527</v>
      </c>
      <c r="M85" s="102" t="s">
        <v>533</v>
      </c>
      <c r="N85" s="102" t="s">
        <v>1069</v>
      </c>
      <c r="O85" s="102" t="s">
        <v>1060</v>
      </c>
      <c r="P85" s="102" t="s">
        <v>629</v>
      </c>
      <c r="Q85" s="102" t="s">
        <v>531</v>
      </c>
      <c r="R85" s="102" t="s">
        <v>663</v>
      </c>
      <c r="S85" s="102" t="s">
        <v>1248</v>
      </c>
      <c r="T85" s="102" t="s">
        <v>588</v>
      </c>
    </row>
    <row r="86" spans="1:20" ht="12.75" x14ac:dyDescent="0.2">
      <c r="A86" s="104">
        <v>43384.674966273145</v>
      </c>
      <c r="B86" s="102">
        <v>27</v>
      </c>
      <c r="C86" s="102" t="s">
        <v>891</v>
      </c>
      <c r="D86" s="102" t="s">
        <v>1107</v>
      </c>
      <c r="E86" s="102" t="s">
        <v>1249</v>
      </c>
      <c r="F86" s="102" t="s">
        <v>1051</v>
      </c>
      <c r="H86" s="102" t="s">
        <v>1032</v>
      </c>
      <c r="J86" s="102" t="s">
        <v>525</v>
      </c>
      <c r="K86" s="102" t="s">
        <v>527</v>
      </c>
      <c r="L86" s="102" t="s">
        <v>527</v>
      </c>
      <c r="M86" s="102" t="s">
        <v>533</v>
      </c>
      <c r="N86" s="102" t="s">
        <v>1250</v>
      </c>
      <c r="O86" s="102" t="s">
        <v>1060</v>
      </c>
      <c r="P86" s="102" t="s">
        <v>1251</v>
      </c>
      <c r="Q86" s="102" t="s">
        <v>531</v>
      </c>
      <c r="R86" s="102" t="s">
        <v>1252</v>
      </c>
      <c r="S86" s="102" t="s">
        <v>1253</v>
      </c>
      <c r="T86" s="102" t="s">
        <v>588</v>
      </c>
    </row>
    <row r="87" spans="1:20" ht="12.75" x14ac:dyDescent="0.2">
      <c r="A87" s="104">
        <v>43384.676436782407</v>
      </c>
      <c r="B87" s="102">
        <v>35</v>
      </c>
      <c r="C87" s="102" t="s">
        <v>891</v>
      </c>
      <c r="D87" s="102" t="s">
        <v>1107</v>
      </c>
      <c r="E87" s="102" t="s">
        <v>1030</v>
      </c>
      <c r="F87" s="102" t="s">
        <v>1037</v>
      </c>
      <c r="H87" s="102" t="s">
        <v>1032</v>
      </c>
      <c r="J87" s="102" t="s">
        <v>527</v>
      </c>
      <c r="K87" s="102" t="s">
        <v>527</v>
      </c>
      <c r="L87" s="102" t="s">
        <v>527</v>
      </c>
      <c r="M87" s="102" t="s">
        <v>533</v>
      </c>
      <c r="N87" s="102" t="s">
        <v>641</v>
      </c>
      <c r="O87" s="102" t="s">
        <v>1054</v>
      </c>
      <c r="P87" s="102" t="s">
        <v>1122</v>
      </c>
      <c r="Q87" s="102" t="s">
        <v>531</v>
      </c>
      <c r="R87" s="102" t="s">
        <v>608</v>
      </c>
      <c r="S87" s="102" t="s">
        <v>1254</v>
      </c>
      <c r="T87" s="102" t="s">
        <v>588</v>
      </c>
    </row>
    <row r="88" spans="1:20" ht="12.75" x14ac:dyDescent="0.2">
      <c r="A88" s="104">
        <v>43384.679595983791</v>
      </c>
      <c r="B88" s="102">
        <v>62</v>
      </c>
      <c r="C88" s="102" t="s">
        <v>891</v>
      </c>
      <c r="D88" s="102" t="s">
        <v>998</v>
      </c>
      <c r="E88" s="102" t="s">
        <v>1030</v>
      </c>
      <c r="F88" s="102" t="s">
        <v>1037</v>
      </c>
      <c r="H88" s="102" t="s">
        <v>1032</v>
      </c>
      <c r="J88" s="102" t="s">
        <v>527</v>
      </c>
      <c r="K88" s="102" t="s">
        <v>529</v>
      </c>
      <c r="L88" s="102" t="s">
        <v>531</v>
      </c>
      <c r="M88" s="102" t="s">
        <v>524</v>
      </c>
      <c r="N88" s="102" t="s">
        <v>1146</v>
      </c>
      <c r="O88" s="102" t="s">
        <v>1034</v>
      </c>
      <c r="P88" s="102" t="s">
        <v>672</v>
      </c>
      <c r="Q88" s="102" t="s">
        <v>531</v>
      </c>
      <c r="R88" s="102" t="s">
        <v>1255</v>
      </c>
      <c r="S88" s="102" t="s">
        <v>1256</v>
      </c>
      <c r="T88" s="102" t="s">
        <v>588</v>
      </c>
    </row>
    <row r="89" spans="1:20" ht="12.75" x14ac:dyDescent="0.2">
      <c r="A89" s="104">
        <v>43384.68677049769</v>
      </c>
      <c r="B89" s="102">
        <v>20</v>
      </c>
      <c r="C89" s="102" t="s">
        <v>891</v>
      </c>
      <c r="D89" s="102" t="s">
        <v>1124</v>
      </c>
      <c r="E89" s="102" t="s">
        <v>1057</v>
      </c>
      <c r="F89" s="102" t="s">
        <v>1046</v>
      </c>
      <c r="H89" s="102" t="s">
        <v>1038</v>
      </c>
      <c r="J89" s="102" t="s">
        <v>527</v>
      </c>
      <c r="K89" s="102" t="s">
        <v>527</v>
      </c>
      <c r="L89" s="102" t="s">
        <v>527</v>
      </c>
      <c r="M89" s="102" t="s">
        <v>526</v>
      </c>
      <c r="N89" s="102" t="s">
        <v>1257</v>
      </c>
      <c r="O89" s="102" t="s">
        <v>1054</v>
      </c>
      <c r="P89" s="102" t="s">
        <v>1212</v>
      </c>
      <c r="Q89" s="102" t="s">
        <v>529</v>
      </c>
      <c r="R89" s="102" t="s">
        <v>1258</v>
      </c>
      <c r="S89" s="102" t="s">
        <v>1259</v>
      </c>
      <c r="T89" s="102" t="s">
        <v>588</v>
      </c>
    </row>
    <row r="90" spans="1:20" ht="12.75" x14ac:dyDescent="0.2">
      <c r="A90" s="104">
        <v>43384.818984837962</v>
      </c>
      <c r="B90" s="102">
        <v>19</v>
      </c>
      <c r="C90" s="102" t="s">
        <v>902</v>
      </c>
      <c r="D90" s="102" t="s">
        <v>1260</v>
      </c>
      <c r="E90" s="102" t="s">
        <v>1030</v>
      </c>
      <c r="F90" s="102" t="s">
        <v>1037</v>
      </c>
      <c r="H90" s="102" t="s">
        <v>1032</v>
      </c>
      <c r="J90" s="102" t="s">
        <v>525</v>
      </c>
      <c r="K90" s="102" t="s">
        <v>525</v>
      </c>
      <c r="L90" s="102" t="s">
        <v>523</v>
      </c>
      <c r="M90" s="102" t="s">
        <v>526</v>
      </c>
      <c r="N90" s="102" t="s">
        <v>1261</v>
      </c>
      <c r="O90" s="102" t="s">
        <v>1040</v>
      </c>
      <c r="P90" s="102" t="s">
        <v>1262</v>
      </c>
      <c r="Q90" s="102" t="s">
        <v>529</v>
      </c>
      <c r="R90" s="102" t="s">
        <v>1263</v>
      </c>
      <c r="S90" s="102" t="s">
        <v>1264</v>
      </c>
      <c r="T90" s="102" t="s">
        <v>588</v>
      </c>
    </row>
    <row r="91" spans="1:20" ht="12.75" x14ac:dyDescent="0.2">
      <c r="A91" s="104">
        <v>43384.837243692135</v>
      </c>
      <c r="B91" s="102">
        <v>24</v>
      </c>
      <c r="C91" s="102" t="s">
        <v>902</v>
      </c>
      <c r="D91" s="102" t="s">
        <v>1124</v>
      </c>
      <c r="E91" s="102" t="s">
        <v>1030</v>
      </c>
      <c r="F91" s="102" t="s">
        <v>1037</v>
      </c>
      <c r="H91" s="102" t="s">
        <v>1038</v>
      </c>
      <c r="J91" s="102" t="s">
        <v>531</v>
      </c>
      <c r="K91" s="102" t="s">
        <v>531</v>
      </c>
      <c r="L91" s="102" t="s">
        <v>523</v>
      </c>
      <c r="M91" s="102" t="s">
        <v>534</v>
      </c>
      <c r="N91" s="102" t="s">
        <v>1265</v>
      </c>
      <c r="O91" s="102" t="s">
        <v>1034</v>
      </c>
      <c r="P91" s="102" t="s">
        <v>1137</v>
      </c>
      <c r="Q91" s="102" t="s">
        <v>531</v>
      </c>
      <c r="R91" s="102" t="s">
        <v>1266</v>
      </c>
      <c r="S91" s="102" t="s">
        <v>1267</v>
      </c>
      <c r="T91" s="102" t="s">
        <v>588</v>
      </c>
    </row>
    <row r="92" spans="1:20" ht="12.75" x14ac:dyDescent="0.2">
      <c r="A92" s="104">
        <v>43385.426223287039</v>
      </c>
      <c r="B92" s="102">
        <v>24</v>
      </c>
      <c r="C92" s="102" t="s">
        <v>891</v>
      </c>
      <c r="D92" s="102" t="s">
        <v>998</v>
      </c>
      <c r="E92" s="102" t="s">
        <v>1030</v>
      </c>
      <c r="F92" s="102" t="s">
        <v>1051</v>
      </c>
      <c r="H92" s="102" t="s">
        <v>1032</v>
      </c>
      <c r="J92" s="102" t="s">
        <v>525</v>
      </c>
      <c r="K92" s="102" t="s">
        <v>531</v>
      </c>
      <c r="L92" s="102" t="s">
        <v>531</v>
      </c>
      <c r="M92" s="102" t="s">
        <v>533</v>
      </c>
      <c r="N92" s="102" t="s">
        <v>1268</v>
      </c>
      <c r="O92" s="102" t="s">
        <v>1054</v>
      </c>
      <c r="P92" s="102" t="s">
        <v>1269</v>
      </c>
      <c r="Q92" s="102" t="s">
        <v>527</v>
      </c>
      <c r="R92" s="102" t="s">
        <v>1270</v>
      </c>
      <c r="S92" s="102" t="s">
        <v>1271</v>
      </c>
      <c r="T92" s="102" t="s">
        <v>588</v>
      </c>
    </row>
    <row r="93" spans="1:20" ht="12.75" x14ac:dyDescent="0.2">
      <c r="A93" s="104">
        <v>43385.427632592589</v>
      </c>
      <c r="B93" s="102">
        <v>25</v>
      </c>
      <c r="C93" s="102" t="s">
        <v>902</v>
      </c>
      <c r="D93" s="102" t="s">
        <v>1107</v>
      </c>
      <c r="E93" s="102" t="s">
        <v>1030</v>
      </c>
      <c r="F93" s="102" t="s">
        <v>1037</v>
      </c>
      <c r="H93" s="102" t="s">
        <v>1032</v>
      </c>
      <c r="J93" s="102" t="s">
        <v>527</v>
      </c>
      <c r="K93" s="102" t="s">
        <v>527</v>
      </c>
      <c r="L93" s="102" t="s">
        <v>529</v>
      </c>
      <c r="M93" s="102" t="s">
        <v>524</v>
      </c>
      <c r="N93" s="102" t="s">
        <v>1232</v>
      </c>
      <c r="O93" s="102" t="s">
        <v>1054</v>
      </c>
      <c r="P93" s="102" t="s">
        <v>1122</v>
      </c>
      <c r="Q93" s="102" t="s">
        <v>527</v>
      </c>
      <c r="R93" s="102" t="s">
        <v>1153</v>
      </c>
      <c r="S93" s="102" t="s">
        <v>1272</v>
      </c>
      <c r="T93" s="102" t="s">
        <v>588</v>
      </c>
    </row>
    <row r="94" spans="1:20" ht="12.75" x14ac:dyDescent="0.2">
      <c r="A94" s="104">
        <v>43385.431160868058</v>
      </c>
      <c r="B94" s="102">
        <v>45</v>
      </c>
      <c r="C94" s="102" t="s">
        <v>902</v>
      </c>
      <c r="D94" s="102" t="s">
        <v>1107</v>
      </c>
      <c r="E94" s="102" t="s">
        <v>1030</v>
      </c>
      <c r="F94" s="102" t="s">
        <v>1037</v>
      </c>
      <c r="H94" s="102" t="s">
        <v>1032</v>
      </c>
      <c r="J94" s="102" t="s">
        <v>527</v>
      </c>
      <c r="K94" s="102" t="s">
        <v>527</v>
      </c>
      <c r="L94" s="102" t="s">
        <v>527</v>
      </c>
      <c r="M94" s="102" t="s">
        <v>533</v>
      </c>
      <c r="N94" s="102" t="s">
        <v>1175</v>
      </c>
      <c r="O94" s="102" t="s">
        <v>1034</v>
      </c>
      <c r="P94" s="102" t="s">
        <v>1242</v>
      </c>
      <c r="Q94" s="102" t="s">
        <v>531</v>
      </c>
      <c r="R94" s="102" t="s">
        <v>637</v>
      </c>
      <c r="S94" s="102" t="s">
        <v>1273</v>
      </c>
      <c r="T94" s="102" t="s">
        <v>588</v>
      </c>
    </row>
    <row r="95" spans="1:20" ht="12.75" x14ac:dyDescent="0.2">
      <c r="A95" s="104">
        <v>43385.43236126157</v>
      </c>
      <c r="B95" s="102">
        <v>26</v>
      </c>
      <c r="C95" s="102" t="s">
        <v>902</v>
      </c>
      <c r="D95" s="102" t="s">
        <v>998</v>
      </c>
      <c r="E95" s="102" t="s">
        <v>1030</v>
      </c>
      <c r="F95" s="102" t="s">
        <v>1037</v>
      </c>
      <c r="H95" s="102" t="s">
        <v>1032</v>
      </c>
      <c r="J95" s="102" t="s">
        <v>531</v>
      </c>
      <c r="K95" s="102" t="s">
        <v>531</v>
      </c>
      <c r="L95" s="102" t="s">
        <v>529</v>
      </c>
      <c r="M95" s="102" t="s">
        <v>528</v>
      </c>
      <c r="N95" s="102" t="s">
        <v>1241</v>
      </c>
      <c r="O95" s="102" t="s">
        <v>1060</v>
      </c>
      <c r="P95" s="102" t="s">
        <v>672</v>
      </c>
      <c r="Q95" s="102" t="s">
        <v>531</v>
      </c>
      <c r="R95" s="102" t="s">
        <v>1258</v>
      </c>
      <c r="S95" s="102" t="s">
        <v>1274</v>
      </c>
      <c r="T95" s="102" t="s">
        <v>588</v>
      </c>
    </row>
    <row r="96" spans="1:20" ht="12.75" x14ac:dyDescent="0.2">
      <c r="A96" s="104">
        <v>43385.440087071758</v>
      </c>
      <c r="B96" s="102">
        <v>57</v>
      </c>
      <c r="C96" s="102" t="s">
        <v>902</v>
      </c>
      <c r="D96" s="102" t="s">
        <v>998</v>
      </c>
      <c r="E96" s="102" t="s">
        <v>1057</v>
      </c>
      <c r="F96" s="102" t="s">
        <v>1037</v>
      </c>
      <c r="H96" s="102" t="s">
        <v>1038</v>
      </c>
      <c r="J96" s="102" t="s">
        <v>527</v>
      </c>
      <c r="K96" s="102" t="s">
        <v>527</v>
      </c>
      <c r="L96" s="102" t="s">
        <v>529</v>
      </c>
      <c r="M96" s="102" t="s">
        <v>528</v>
      </c>
      <c r="N96" s="102" t="s">
        <v>1275</v>
      </c>
      <c r="O96" s="102" t="s">
        <v>1054</v>
      </c>
      <c r="P96" s="102" t="s">
        <v>920</v>
      </c>
      <c r="Q96" s="102" t="s">
        <v>531</v>
      </c>
      <c r="R96" s="102" t="s">
        <v>695</v>
      </c>
      <c r="S96" s="102" t="s">
        <v>1276</v>
      </c>
      <c r="T96" s="102" t="s">
        <v>588</v>
      </c>
    </row>
    <row r="97" spans="1:20" ht="12.75" x14ac:dyDescent="0.2">
      <c r="A97" s="104">
        <v>43385.706553692129</v>
      </c>
      <c r="B97" s="102">
        <v>73</v>
      </c>
      <c r="C97" s="102" t="s">
        <v>902</v>
      </c>
      <c r="D97" s="102" t="s">
        <v>1124</v>
      </c>
      <c r="E97" s="102" t="s">
        <v>1030</v>
      </c>
      <c r="F97" s="102" t="s">
        <v>1037</v>
      </c>
      <c r="H97" s="102" t="s">
        <v>1038</v>
      </c>
      <c r="J97" s="102" t="s">
        <v>527</v>
      </c>
      <c r="K97" s="102" t="s">
        <v>527</v>
      </c>
      <c r="L97" s="102" t="s">
        <v>523</v>
      </c>
      <c r="M97" s="102" t="s">
        <v>526</v>
      </c>
      <c r="N97" s="102" t="s">
        <v>1074</v>
      </c>
      <c r="O97" s="102" t="s">
        <v>1034</v>
      </c>
      <c r="P97" s="102" t="s">
        <v>1277</v>
      </c>
      <c r="Q97" s="102" t="s">
        <v>529</v>
      </c>
      <c r="R97" s="102" t="s">
        <v>1049</v>
      </c>
      <c r="S97" s="102" t="s">
        <v>1278</v>
      </c>
      <c r="T97" s="102" t="s">
        <v>588</v>
      </c>
    </row>
    <row r="98" spans="1:20" ht="12.75" x14ac:dyDescent="0.2">
      <c r="A98" s="104">
        <v>43385.709758460653</v>
      </c>
      <c r="B98" s="102">
        <v>23</v>
      </c>
      <c r="C98" s="102" t="s">
        <v>902</v>
      </c>
      <c r="D98" s="102" t="s">
        <v>1124</v>
      </c>
      <c r="E98" s="102" t="s">
        <v>1030</v>
      </c>
      <c r="F98" s="102" t="s">
        <v>1037</v>
      </c>
      <c r="H98" s="102" t="s">
        <v>1052</v>
      </c>
      <c r="J98" s="102" t="s">
        <v>527</v>
      </c>
      <c r="K98" s="102" t="s">
        <v>527</v>
      </c>
      <c r="L98" s="102" t="s">
        <v>523</v>
      </c>
      <c r="M98" s="102" t="s">
        <v>530</v>
      </c>
      <c r="N98" s="102" t="s">
        <v>1279</v>
      </c>
      <c r="O98" s="102" t="s">
        <v>1040</v>
      </c>
      <c r="P98" s="102" t="s">
        <v>688</v>
      </c>
      <c r="Q98" s="102" t="s">
        <v>531</v>
      </c>
      <c r="R98" s="102" t="s">
        <v>1280</v>
      </c>
      <c r="S98" s="102" t="s">
        <v>1281</v>
      </c>
      <c r="T98" s="102" t="s">
        <v>588</v>
      </c>
    </row>
    <row r="99" spans="1:20" ht="12.75" x14ac:dyDescent="0.2">
      <c r="A99" s="104">
        <v>43385.718407824075</v>
      </c>
      <c r="B99" s="102">
        <v>40</v>
      </c>
      <c r="C99" s="102" t="s">
        <v>891</v>
      </c>
      <c r="D99" s="102" t="s">
        <v>1124</v>
      </c>
      <c r="E99" s="102" t="s">
        <v>1030</v>
      </c>
      <c r="F99" s="102" t="s">
        <v>1037</v>
      </c>
      <c r="H99" s="102" t="s">
        <v>1038</v>
      </c>
      <c r="J99" s="102" t="s">
        <v>527</v>
      </c>
      <c r="K99" s="102" t="s">
        <v>527</v>
      </c>
      <c r="L99" s="102" t="s">
        <v>529</v>
      </c>
      <c r="M99" s="102" t="s">
        <v>533</v>
      </c>
      <c r="N99" s="102" t="s">
        <v>1174</v>
      </c>
      <c r="O99" s="102" t="s">
        <v>1034</v>
      </c>
      <c r="P99" s="102" t="s">
        <v>1282</v>
      </c>
      <c r="Q99" s="102" t="s">
        <v>531</v>
      </c>
      <c r="R99" s="102" t="s">
        <v>1237</v>
      </c>
      <c r="S99" s="102" t="s">
        <v>1283</v>
      </c>
      <c r="T99" s="102" t="s">
        <v>588</v>
      </c>
    </row>
    <row r="100" spans="1:20" ht="12.75" x14ac:dyDescent="0.2">
      <c r="A100" s="104">
        <v>43385.722077997685</v>
      </c>
      <c r="B100" s="102">
        <v>18</v>
      </c>
      <c r="C100" s="102" t="s">
        <v>891</v>
      </c>
      <c r="D100" s="102" t="s">
        <v>1124</v>
      </c>
      <c r="E100" s="102" t="s">
        <v>1030</v>
      </c>
      <c r="F100" s="102" t="s">
        <v>1037</v>
      </c>
      <c r="H100" s="102" t="s">
        <v>1038</v>
      </c>
      <c r="J100" s="102" t="s">
        <v>529</v>
      </c>
      <c r="K100" s="102" t="s">
        <v>527</v>
      </c>
      <c r="L100" s="102" t="s">
        <v>529</v>
      </c>
      <c r="M100" s="102" t="s">
        <v>524</v>
      </c>
      <c r="N100" s="102" t="s">
        <v>1232</v>
      </c>
      <c r="O100" s="102" t="s">
        <v>1040</v>
      </c>
      <c r="P100" s="102" t="s">
        <v>1284</v>
      </c>
      <c r="Q100" s="102" t="s">
        <v>531</v>
      </c>
      <c r="R100" s="102" t="s">
        <v>1285</v>
      </c>
      <c r="S100" s="102" t="s">
        <v>1286</v>
      </c>
      <c r="T100" s="102" t="s">
        <v>588</v>
      </c>
    </row>
    <row r="101" spans="1:20" ht="12.75" x14ac:dyDescent="0.2">
      <c r="A101" s="104">
        <v>43385.811603784721</v>
      </c>
      <c r="B101" s="102">
        <v>25</v>
      </c>
      <c r="C101" s="102" t="s">
        <v>891</v>
      </c>
      <c r="D101" s="102" t="s">
        <v>1081</v>
      </c>
      <c r="E101" s="102" t="s">
        <v>1030</v>
      </c>
      <c r="F101" s="102" t="s">
        <v>1037</v>
      </c>
      <c r="H101" s="102" t="s">
        <v>1052</v>
      </c>
      <c r="J101" s="102" t="s">
        <v>525</v>
      </c>
      <c r="K101" s="102" t="s">
        <v>527</v>
      </c>
      <c r="L101" s="102" t="s">
        <v>531</v>
      </c>
      <c r="M101" s="102" t="s">
        <v>524</v>
      </c>
      <c r="N101" s="102" t="s">
        <v>673</v>
      </c>
      <c r="O101" s="102" t="s">
        <v>1034</v>
      </c>
      <c r="P101" s="102" t="s">
        <v>1287</v>
      </c>
      <c r="Q101" s="102" t="s">
        <v>531</v>
      </c>
      <c r="R101" s="102" t="s">
        <v>1177</v>
      </c>
      <c r="S101" s="102" t="s">
        <v>1288</v>
      </c>
      <c r="T101" s="102" t="s">
        <v>588</v>
      </c>
    </row>
    <row r="102" spans="1:20" ht="12.75" x14ac:dyDescent="0.2">
      <c r="A102" s="104">
        <v>43386.597163715276</v>
      </c>
      <c r="B102" s="102">
        <v>40</v>
      </c>
      <c r="C102" s="102" t="s">
        <v>891</v>
      </c>
      <c r="D102" s="102" t="s">
        <v>1289</v>
      </c>
      <c r="E102" s="102" t="s">
        <v>1030</v>
      </c>
      <c r="F102" s="102" t="s">
        <v>1037</v>
      </c>
      <c r="H102" s="102" t="s">
        <v>1052</v>
      </c>
      <c r="J102" s="102" t="s">
        <v>527</v>
      </c>
      <c r="K102" s="102" t="s">
        <v>527</v>
      </c>
      <c r="L102" s="102" t="s">
        <v>525</v>
      </c>
      <c r="M102" s="102" t="s">
        <v>524</v>
      </c>
      <c r="N102" s="102" t="s">
        <v>1290</v>
      </c>
      <c r="O102" s="102" t="s">
        <v>1075</v>
      </c>
      <c r="P102" s="102" t="s">
        <v>1291</v>
      </c>
      <c r="Q102" s="102" t="s">
        <v>527</v>
      </c>
      <c r="R102" s="102" t="s">
        <v>764</v>
      </c>
      <c r="S102" s="102" t="s">
        <v>1292</v>
      </c>
      <c r="T102" s="102" t="s">
        <v>588</v>
      </c>
    </row>
    <row r="103" spans="1:20" ht="12.75" x14ac:dyDescent="0.2">
      <c r="A103" s="104">
        <v>43386.600455856482</v>
      </c>
      <c r="B103" s="102">
        <v>60</v>
      </c>
      <c r="C103" s="102" t="s">
        <v>891</v>
      </c>
      <c r="D103" s="102" t="s">
        <v>1293</v>
      </c>
      <c r="E103" s="102" t="s">
        <v>1030</v>
      </c>
      <c r="F103" s="102" t="s">
        <v>1037</v>
      </c>
      <c r="H103" s="102" t="s">
        <v>1032</v>
      </c>
      <c r="J103" s="102" t="s">
        <v>527</v>
      </c>
      <c r="K103" s="102" t="s">
        <v>527</v>
      </c>
      <c r="L103" s="102" t="s">
        <v>527</v>
      </c>
      <c r="M103" s="102" t="s">
        <v>524</v>
      </c>
      <c r="N103" s="102" t="s">
        <v>1294</v>
      </c>
      <c r="O103" s="102" t="s">
        <v>1075</v>
      </c>
      <c r="P103" s="102" t="s">
        <v>920</v>
      </c>
      <c r="Q103" s="102" t="s">
        <v>527</v>
      </c>
      <c r="R103" s="102" t="s">
        <v>764</v>
      </c>
      <c r="S103" s="102" t="s">
        <v>1295</v>
      </c>
      <c r="T103" s="102" t="s">
        <v>588</v>
      </c>
    </row>
    <row r="104" spans="1:20" ht="12.75" x14ac:dyDescent="0.2">
      <c r="A104" s="104">
        <v>43386.604216990745</v>
      </c>
      <c r="B104" s="102">
        <v>50</v>
      </c>
      <c r="C104" s="102" t="s">
        <v>902</v>
      </c>
      <c r="D104" s="102" t="s">
        <v>1296</v>
      </c>
      <c r="E104" s="102" t="s">
        <v>1030</v>
      </c>
      <c r="F104" s="102" t="s">
        <v>1037</v>
      </c>
      <c r="H104" s="102" t="s">
        <v>1052</v>
      </c>
      <c r="J104" s="102" t="s">
        <v>527</v>
      </c>
      <c r="K104" s="102" t="s">
        <v>525</v>
      </c>
      <c r="L104" s="102" t="s">
        <v>525</v>
      </c>
      <c r="M104" s="102" t="s">
        <v>533</v>
      </c>
      <c r="N104" s="102" t="s">
        <v>1069</v>
      </c>
      <c r="O104" s="102" t="s">
        <v>1075</v>
      </c>
      <c r="P104" s="102" t="s">
        <v>1297</v>
      </c>
      <c r="Q104" s="102" t="s">
        <v>527</v>
      </c>
      <c r="R104" s="102" t="s">
        <v>1129</v>
      </c>
      <c r="S104" s="102" t="s">
        <v>1298</v>
      </c>
      <c r="T104" s="102" t="s">
        <v>588</v>
      </c>
    </row>
    <row r="105" spans="1:20" ht="12.75" x14ac:dyDescent="0.2">
      <c r="A105" s="104">
        <v>43386.607614050925</v>
      </c>
      <c r="B105" s="102">
        <v>36</v>
      </c>
      <c r="C105" s="102" t="s">
        <v>902</v>
      </c>
      <c r="D105" s="102" t="s">
        <v>926</v>
      </c>
      <c r="E105" s="102" t="s">
        <v>1030</v>
      </c>
      <c r="F105" s="102" t="s">
        <v>1037</v>
      </c>
      <c r="H105" s="102" t="s">
        <v>1038</v>
      </c>
      <c r="J105" s="102" t="s">
        <v>527</v>
      </c>
      <c r="K105" s="102" t="s">
        <v>525</v>
      </c>
      <c r="L105" s="102" t="s">
        <v>525</v>
      </c>
      <c r="M105" s="102" t="s">
        <v>533</v>
      </c>
      <c r="N105" s="102" t="s">
        <v>1069</v>
      </c>
      <c r="O105" s="102" t="s">
        <v>1075</v>
      </c>
      <c r="P105" s="102" t="s">
        <v>1212</v>
      </c>
      <c r="Q105" s="102" t="s">
        <v>527</v>
      </c>
      <c r="R105" s="102" t="s">
        <v>764</v>
      </c>
      <c r="S105" s="102" t="s">
        <v>1299</v>
      </c>
      <c r="T105" s="102" t="s">
        <v>588</v>
      </c>
    </row>
    <row r="106" spans="1:20" ht="12.75" x14ac:dyDescent="0.2">
      <c r="A106" s="104">
        <v>43386.613082905096</v>
      </c>
      <c r="B106" s="102">
        <v>25</v>
      </c>
      <c r="C106" s="102" t="s">
        <v>902</v>
      </c>
      <c r="D106" s="102" t="s">
        <v>1300</v>
      </c>
      <c r="E106" s="102" t="s">
        <v>1030</v>
      </c>
      <c r="F106" s="102" t="s">
        <v>1037</v>
      </c>
      <c r="H106" s="102" t="s">
        <v>1032</v>
      </c>
      <c r="J106" s="102" t="s">
        <v>527</v>
      </c>
      <c r="K106" s="102" t="s">
        <v>525</v>
      </c>
      <c r="L106" s="102" t="s">
        <v>525</v>
      </c>
      <c r="M106" s="102" t="s">
        <v>533</v>
      </c>
      <c r="N106" s="102" t="s">
        <v>1301</v>
      </c>
      <c r="O106" s="102" t="s">
        <v>1075</v>
      </c>
      <c r="P106" s="102" t="s">
        <v>1302</v>
      </c>
      <c r="Q106" s="102" t="s">
        <v>527</v>
      </c>
      <c r="R106" s="102" t="s">
        <v>764</v>
      </c>
      <c r="S106" s="102" t="s">
        <v>1303</v>
      </c>
      <c r="T106" s="102" t="s">
        <v>588</v>
      </c>
    </row>
    <row r="107" spans="1:20" ht="12.75" x14ac:dyDescent="0.2">
      <c r="A107" s="104">
        <v>43386.616031851852</v>
      </c>
      <c r="B107" s="102">
        <v>60</v>
      </c>
      <c r="C107" s="102" t="s">
        <v>891</v>
      </c>
      <c r="D107" s="102" t="s">
        <v>1304</v>
      </c>
      <c r="E107" s="102" t="s">
        <v>1030</v>
      </c>
      <c r="F107" s="102" t="s">
        <v>1037</v>
      </c>
      <c r="H107" s="102" t="s">
        <v>1032</v>
      </c>
      <c r="J107" s="102" t="s">
        <v>527</v>
      </c>
      <c r="K107" s="102" t="s">
        <v>527</v>
      </c>
      <c r="L107" s="102" t="s">
        <v>523</v>
      </c>
      <c r="M107" s="102" t="s">
        <v>532</v>
      </c>
      <c r="N107" s="102" t="s">
        <v>1066</v>
      </c>
      <c r="O107" s="102" t="s">
        <v>1075</v>
      </c>
      <c r="P107" s="102" t="s">
        <v>1305</v>
      </c>
      <c r="Q107" s="102" t="s">
        <v>527</v>
      </c>
      <c r="R107" s="102" t="s">
        <v>764</v>
      </c>
      <c r="S107" s="102" t="s">
        <v>1306</v>
      </c>
      <c r="T107" s="102" t="s">
        <v>588</v>
      </c>
    </row>
    <row r="108" spans="1:20" ht="12.75" x14ac:dyDescent="0.2">
      <c r="A108" s="104">
        <v>43386.619752094906</v>
      </c>
      <c r="B108" s="102">
        <v>40</v>
      </c>
      <c r="C108" s="102" t="s">
        <v>891</v>
      </c>
      <c r="D108" s="102" t="s">
        <v>1307</v>
      </c>
      <c r="E108" s="102" t="s">
        <v>1030</v>
      </c>
      <c r="F108" s="102" t="s">
        <v>1037</v>
      </c>
      <c r="H108" s="102" t="s">
        <v>1038</v>
      </c>
      <c r="J108" s="102" t="s">
        <v>527</v>
      </c>
      <c r="K108" s="102" t="s">
        <v>527</v>
      </c>
      <c r="L108" s="102" t="s">
        <v>525</v>
      </c>
      <c r="M108" s="102" t="s">
        <v>533</v>
      </c>
      <c r="N108" s="102" t="s">
        <v>1308</v>
      </c>
      <c r="O108" s="102" t="s">
        <v>1060</v>
      </c>
      <c r="P108" s="102" t="s">
        <v>1309</v>
      </c>
      <c r="Q108" s="102" t="s">
        <v>527</v>
      </c>
      <c r="R108" s="102" t="s">
        <v>663</v>
      </c>
      <c r="S108" s="102" t="s">
        <v>1310</v>
      </c>
      <c r="T108" s="102" t="s">
        <v>588</v>
      </c>
    </row>
    <row r="109" spans="1:20" ht="12.75" x14ac:dyDescent="0.2">
      <c r="A109" s="104">
        <v>43386.624248101856</v>
      </c>
      <c r="B109" s="102">
        <v>95</v>
      </c>
      <c r="C109" s="102" t="s">
        <v>891</v>
      </c>
      <c r="D109" s="102" t="s">
        <v>1311</v>
      </c>
      <c r="E109" s="102" t="s">
        <v>1030</v>
      </c>
      <c r="F109" s="102" t="s">
        <v>1037</v>
      </c>
      <c r="H109" s="102" t="s">
        <v>1038</v>
      </c>
      <c r="J109" s="102" t="s">
        <v>527</v>
      </c>
      <c r="K109" s="102" t="s">
        <v>525</v>
      </c>
      <c r="L109" s="102" t="s">
        <v>525</v>
      </c>
      <c r="M109" s="102" t="s">
        <v>533</v>
      </c>
      <c r="N109" s="102" t="s">
        <v>1069</v>
      </c>
      <c r="O109" s="102" t="s">
        <v>1075</v>
      </c>
      <c r="P109" s="102" t="s">
        <v>1302</v>
      </c>
      <c r="Q109" s="102" t="s">
        <v>527</v>
      </c>
      <c r="R109" s="102" t="s">
        <v>764</v>
      </c>
      <c r="S109" s="102" t="s">
        <v>1312</v>
      </c>
      <c r="T109" s="102" t="s">
        <v>588</v>
      </c>
    </row>
    <row r="110" spans="1:20" ht="12.75" x14ac:dyDescent="0.2">
      <c r="A110" s="104">
        <v>43386.750633148149</v>
      </c>
      <c r="B110" s="102">
        <v>35</v>
      </c>
      <c r="C110" s="102" t="s">
        <v>891</v>
      </c>
      <c r="D110" s="102" t="s">
        <v>1124</v>
      </c>
      <c r="E110" s="102" t="s">
        <v>1030</v>
      </c>
      <c r="F110" s="102" t="s">
        <v>1046</v>
      </c>
      <c r="H110" s="102" t="s">
        <v>1058</v>
      </c>
      <c r="J110" s="102" t="s">
        <v>527</v>
      </c>
      <c r="K110" s="102" t="s">
        <v>527</v>
      </c>
      <c r="L110" s="102" t="s">
        <v>527</v>
      </c>
      <c r="M110" s="102" t="s">
        <v>533</v>
      </c>
      <c r="N110" s="102" t="s">
        <v>1313</v>
      </c>
      <c r="O110" s="102" t="s">
        <v>1040</v>
      </c>
      <c r="P110" s="102" t="s">
        <v>1212</v>
      </c>
      <c r="Q110" s="102" t="s">
        <v>527</v>
      </c>
      <c r="R110" s="102" t="s">
        <v>1043</v>
      </c>
      <c r="S110" s="102" t="s">
        <v>1314</v>
      </c>
      <c r="T110" s="102" t="s">
        <v>588</v>
      </c>
    </row>
    <row r="111" spans="1:20" ht="12.75" x14ac:dyDescent="0.2">
      <c r="A111" s="104">
        <v>43399.599367800925</v>
      </c>
      <c r="B111" s="102">
        <v>20</v>
      </c>
      <c r="C111" s="102" t="s">
        <v>891</v>
      </c>
      <c r="D111" s="102" t="s">
        <v>1081</v>
      </c>
      <c r="E111" s="102" t="s">
        <v>1030</v>
      </c>
      <c r="F111" s="102" t="s">
        <v>1037</v>
      </c>
      <c r="H111" s="102" t="s">
        <v>1052</v>
      </c>
      <c r="J111" s="102" t="s">
        <v>525</v>
      </c>
      <c r="K111" s="102" t="s">
        <v>527</v>
      </c>
      <c r="L111" s="102" t="s">
        <v>531</v>
      </c>
      <c r="M111" s="102" t="s">
        <v>533</v>
      </c>
      <c r="N111" s="102" t="s">
        <v>1315</v>
      </c>
      <c r="O111" s="102" t="s">
        <v>1075</v>
      </c>
      <c r="P111" s="102" t="s">
        <v>1115</v>
      </c>
      <c r="Q111" s="102" t="s">
        <v>531</v>
      </c>
      <c r="R111" s="102" t="s">
        <v>663</v>
      </c>
      <c r="S111" s="102" t="s">
        <v>1316</v>
      </c>
      <c r="T111" s="102" t="s">
        <v>588</v>
      </c>
    </row>
    <row r="112" spans="1:20" ht="12.75" x14ac:dyDescent="0.2">
      <c r="A112" s="104">
        <v>43399.600887256944</v>
      </c>
      <c r="B112" s="102">
        <v>23</v>
      </c>
      <c r="C112" s="102" t="s">
        <v>902</v>
      </c>
      <c r="D112" s="102" t="s">
        <v>1081</v>
      </c>
      <c r="E112" s="102" t="s">
        <v>1057</v>
      </c>
      <c r="F112" s="102" t="s">
        <v>1037</v>
      </c>
      <c r="H112" s="102" t="s">
        <v>1032</v>
      </c>
      <c r="J112" s="102" t="s">
        <v>527</v>
      </c>
      <c r="K112" s="102" t="s">
        <v>527</v>
      </c>
      <c r="L112" s="102" t="s">
        <v>529</v>
      </c>
      <c r="M112" s="102" t="s">
        <v>526</v>
      </c>
      <c r="N112" s="102" t="s">
        <v>1175</v>
      </c>
      <c r="O112" s="102" t="s">
        <v>1040</v>
      </c>
      <c r="P112" s="102" t="s">
        <v>1239</v>
      </c>
      <c r="Q112" s="102" t="s">
        <v>531</v>
      </c>
      <c r="R112" s="102" t="s">
        <v>764</v>
      </c>
      <c r="S112" s="102" t="s">
        <v>1317</v>
      </c>
      <c r="T112" s="102" t="s">
        <v>588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W5"/>
  <sheetViews>
    <sheetView topLeftCell="K1" workbookViewId="0">
      <selection activeCell="U9" sqref="U9"/>
    </sheetView>
  </sheetViews>
  <sheetFormatPr defaultRowHeight="15" x14ac:dyDescent="0.25"/>
  <cols>
    <col min="4" max="7" width="11.5703125" bestFit="1" customWidth="1"/>
    <col min="8" max="19" width="13.28515625" bestFit="1" customWidth="1"/>
    <col min="20" max="23" width="14.28515625" bestFit="1" customWidth="1"/>
  </cols>
  <sheetData>
    <row r="2" spans="3:23" x14ac:dyDescent="0.25">
      <c r="C2" t="s">
        <v>1097</v>
      </c>
      <c r="D2" s="8">
        <f>'Main Center'!E64</f>
        <v>177342.77341076403</v>
      </c>
      <c r="E2" s="8">
        <f>'Main Center'!F64</f>
        <v>231259.44055386493</v>
      </c>
      <c r="F2" s="8">
        <f>'Main Center'!G64</f>
        <v>301674.87593572726</v>
      </c>
      <c r="G2" s="8">
        <f>'Main Center'!H64</f>
        <v>394869.26721546939</v>
      </c>
      <c r="H2" s="8">
        <f>'Main Center'!I64</f>
        <v>511162.12576600176</v>
      </c>
      <c r="I2" s="8">
        <f>'Main Center'!J64</f>
        <v>634310.72314556967</v>
      </c>
      <c r="J2" s="8">
        <f>'Main Center'!K64</f>
        <v>787356.85010288889</v>
      </c>
      <c r="K2" s="8">
        <f>'Main Center'!L64</f>
        <v>977624.70745629398</v>
      </c>
      <c r="L2" s="8">
        <f>'Main Center'!M64</f>
        <v>1214251.5675948102</v>
      </c>
      <c r="M2" s="8">
        <f>'Main Center'!N64</f>
        <v>1508641.9291877162</v>
      </c>
      <c r="N2" s="8">
        <f>'Main Center'!O64</f>
        <v>1793513.5880530237</v>
      </c>
      <c r="O2" s="8">
        <f>'Main Center'!P64</f>
        <v>2132920.0278452872</v>
      </c>
      <c r="P2" s="8">
        <f>'Main Center'!Q64</f>
        <v>2537471.7588253319</v>
      </c>
      <c r="Q2" s="8">
        <f>'Main Center'!R64</f>
        <v>3019882.388051053</v>
      </c>
      <c r="R2" s="8">
        <f>'Main Center'!S64</f>
        <v>3595394.1120678</v>
      </c>
      <c r="S2" s="8">
        <f>'Main Center'!T64</f>
        <v>4087641.5919826301</v>
      </c>
      <c r="T2" s="8">
        <f>'Main Center'!U64</f>
        <v>4649196.9509116095</v>
      </c>
      <c r="U2" s="8">
        <f>'Main Center'!V64</f>
        <v>5290144.7598523488</v>
      </c>
      <c r="V2" s="8">
        <f>'Main Center'!W64</f>
        <v>6022091.1009162068</v>
      </c>
      <c r="W2" s="8">
        <f>'Main Center'!X64</f>
        <v>6858401.8507098295</v>
      </c>
    </row>
    <row r="3" spans="3:23" x14ac:dyDescent="0.25">
      <c r="C3" t="s">
        <v>1474</v>
      </c>
      <c r="D3" s="131">
        <v>1440000</v>
      </c>
      <c r="E3" s="131">
        <v>1584000</v>
      </c>
      <c r="F3" s="131">
        <v>1742400</v>
      </c>
      <c r="G3" s="131">
        <v>1916640</v>
      </c>
      <c r="H3" s="131">
        <v>2108304</v>
      </c>
      <c r="I3" s="131">
        <v>2319134</v>
      </c>
      <c r="J3" s="131">
        <v>2551048</v>
      </c>
      <c r="K3" s="131">
        <v>2806153</v>
      </c>
      <c r="L3" s="131">
        <v>3086768</v>
      </c>
      <c r="M3" s="131">
        <v>3395445</v>
      </c>
      <c r="N3" s="131">
        <v>3734989</v>
      </c>
      <c r="O3" s="131">
        <v>4108488</v>
      </c>
      <c r="P3" s="131">
        <v>4519337</v>
      </c>
      <c r="Q3" s="131">
        <v>4971271</v>
      </c>
      <c r="R3" s="131">
        <v>5468398</v>
      </c>
      <c r="S3" s="131">
        <v>6015237</v>
      </c>
      <c r="T3" s="131">
        <v>6616761</v>
      </c>
      <c r="U3" s="131">
        <v>7278437</v>
      </c>
      <c r="V3" s="131">
        <v>8006281</v>
      </c>
      <c r="W3" s="131">
        <v>8806909</v>
      </c>
    </row>
    <row r="4" spans="3:23" x14ac:dyDescent="0.25">
      <c r="C4" t="s">
        <v>1475</v>
      </c>
      <c r="D4" s="131">
        <v>1890000</v>
      </c>
      <c r="E4" s="131">
        <v>2079000</v>
      </c>
      <c r="F4" s="131">
        <v>2286900</v>
      </c>
      <c r="G4" s="131">
        <v>2515590</v>
      </c>
      <c r="H4" s="131">
        <v>2767149</v>
      </c>
      <c r="I4" s="131">
        <v>3043864</v>
      </c>
      <c r="J4" s="131">
        <v>3348250</v>
      </c>
      <c r="K4" s="131">
        <v>3683075</v>
      </c>
      <c r="L4" s="131">
        <v>4051383</v>
      </c>
      <c r="M4" s="131">
        <v>4456521</v>
      </c>
      <c r="N4" s="131">
        <v>4902173</v>
      </c>
      <c r="O4" s="131">
        <v>5392391</v>
      </c>
      <c r="P4" s="131">
        <v>5931630</v>
      </c>
      <c r="Q4" s="131">
        <v>6524793</v>
      </c>
      <c r="R4" s="131">
        <v>7177272</v>
      </c>
      <c r="S4" s="131">
        <v>7894999</v>
      </c>
      <c r="T4" s="131">
        <v>8684499</v>
      </c>
      <c r="U4" s="131">
        <v>9552949</v>
      </c>
      <c r="V4" s="131">
        <v>10508244</v>
      </c>
      <c r="W4" s="131">
        <v>11559068</v>
      </c>
    </row>
    <row r="5" spans="3:23" x14ac:dyDescent="0.25">
      <c r="C5" t="s">
        <v>1476</v>
      </c>
      <c r="D5" s="131">
        <v>2400000</v>
      </c>
      <c r="E5" s="131">
        <v>2640000</v>
      </c>
      <c r="F5" s="131">
        <v>2904000</v>
      </c>
      <c r="G5" s="131">
        <v>3194400</v>
      </c>
      <c r="H5" s="131">
        <v>3513840</v>
      </c>
      <c r="I5" s="131">
        <v>3865224</v>
      </c>
      <c r="J5" s="131">
        <v>4251746</v>
      </c>
      <c r="K5" s="131">
        <v>4676921</v>
      </c>
      <c r="L5" s="131">
        <v>5144613</v>
      </c>
      <c r="M5" s="131">
        <v>5659074</v>
      </c>
      <c r="N5" s="131">
        <v>6224982</v>
      </c>
      <c r="O5" s="131">
        <v>6847480</v>
      </c>
      <c r="P5" s="131">
        <v>7532228</v>
      </c>
      <c r="Q5" s="131">
        <v>8285451</v>
      </c>
      <c r="R5" s="131">
        <v>9113996</v>
      </c>
      <c r="S5" s="131">
        <v>10025396</v>
      </c>
      <c r="T5" s="131">
        <v>11027935</v>
      </c>
      <c r="U5" s="131">
        <v>12130729</v>
      </c>
      <c r="V5" s="131">
        <v>13343802</v>
      </c>
      <c r="W5" s="131">
        <v>14678182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AH5026"/>
  <sheetViews>
    <sheetView showGridLines="0" topLeftCell="A388" workbookViewId="0">
      <selection sqref="A1:D9"/>
    </sheetView>
  </sheetViews>
  <sheetFormatPr defaultColWidth="6.85546875" defaultRowHeight="12.75" customHeight="1" x14ac:dyDescent="0.25"/>
  <cols>
    <col min="1" max="1" width="1.42578125" style="32" customWidth="1"/>
    <col min="2" max="2" width="1.5703125" style="32" customWidth="1"/>
    <col min="3" max="3" width="3.140625" style="32" customWidth="1"/>
    <col min="4" max="4" width="1.42578125" style="32" customWidth="1"/>
    <col min="5" max="5" width="1.140625" style="32" customWidth="1"/>
    <col min="6" max="6" width="34.7109375" style="32" customWidth="1"/>
    <col min="7" max="7" width="8" style="32" customWidth="1"/>
    <col min="8" max="8" width="1.140625" style="32" customWidth="1"/>
    <col min="9" max="9" width="1.5703125" style="32" customWidth="1"/>
    <col min="10" max="10" width="1.85546875" style="32" customWidth="1"/>
    <col min="11" max="11" width="3.42578125" style="32" customWidth="1"/>
    <col min="12" max="12" width="1.85546875" style="32" customWidth="1"/>
    <col min="13" max="13" width="2.28515625" style="32" customWidth="1"/>
    <col min="14" max="14" width="1" style="32" customWidth="1"/>
    <col min="15" max="15" width="1.28515625" style="32" customWidth="1"/>
    <col min="16" max="16" width="11.7109375" style="32" customWidth="1"/>
    <col min="17" max="17" width="2" style="32" customWidth="1"/>
    <col min="18" max="18" width="11.7109375" style="32" customWidth="1"/>
    <col min="19" max="19" width="1.28515625" style="32" customWidth="1"/>
    <col min="20" max="20" width="8" style="32" customWidth="1"/>
    <col min="21" max="21" width="2.28515625" style="32" customWidth="1"/>
    <col min="22" max="22" width="1.140625" style="32" customWidth="1"/>
    <col min="23" max="29" width="6.85546875" style="32" customWidth="1"/>
    <col min="30" max="30" width="9.5703125" style="32" bestFit="1" customWidth="1"/>
    <col min="31" max="16384" width="6.85546875" style="32"/>
  </cols>
  <sheetData>
    <row r="1" spans="2:21" x14ac:dyDescent="0.25">
      <c r="B1" s="280" t="s">
        <v>71</v>
      </c>
      <c r="C1" s="280"/>
      <c r="D1" s="280"/>
      <c r="F1" s="280" t="s">
        <v>465</v>
      </c>
      <c r="G1" s="280"/>
      <c r="I1" s="280" t="s">
        <v>464</v>
      </c>
      <c r="J1" s="280"/>
      <c r="K1" s="280"/>
      <c r="L1" s="280"/>
      <c r="M1" s="280"/>
      <c r="N1" s="281" t="s">
        <v>463</v>
      </c>
      <c r="O1" s="281"/>
      <c r="P1" s="281"/>
      <c r="R1" s="44" t="s">
        <v>34</v>
      </c>
      <c r="T1" s="281" t="s">
        <v>70</v>
      </c>
      <c r="U1" s="281"/>
    </row>
    <row r="2" spans="2:21" x14ac:dyDescent="0.25">
      <c r="B2" s="282">
        <v>1</v>
      </c>
      <c r="C2" s="282"/>
      <c r="F2" s="283" t="s">
        <v>200</v>
      </c>
      <c r="G2" s="283"/>
      <c r="I2" s="282">
        <v>35</v>
      </c>
      <c r="J2" s="282"/>
      <c r="K2" s="282"/>
      <c r="L2" s="282"/>
      <c r="P2" s="42">
        <v>17900</v>
      </c>
      <c r="R2" s="42">
        <v>4910</v>
      </c>
      <c r="T2" s="284">
        <v>12990</v>
      </c>
      <c r="U2" s="284"/>
    </row>
    <row r="3" spans="2:21" x14ac:dyDescent="0.25">
      <c r="B3" s="282">
        <v>2</v>
      </c>
      <c r="C3" s="282"/>
      <c r="F3" s="283" t="s">
        <v>371</v>
      </c>
      <c r="G3" s="283"/>
      <c r="I3" s="282">
        <v>3</v>
      </c>
      <c r="J3" s="282"/>
      <c r="K3" s="282"/>
      <c r="L3" s="282"/>
      <c r="P3" s="42">
        <v>1170</v>
      </c>
      <c r="R3" s="42">
        <v>630</v>
      </c>
      <c r="T3" s="284">
        <v>540</v>
      </c>
      <c r="U3" s="284"/>
    </row>
    <row r="4" spans="2:21" x14ac:dyDescent="0.25">
      <c r="B4" s="282">
        <v>3</v>
      </c>
      <c r="C4" s="282"/>
      <c r="F4" s="283" t="s">
        <v>311</v>
      </c>
      <c r="G4" s="283"/>
      <c r="I4" s="282">
        <v>5</v>
      </c>
      <c r="J4" s="282"/>
      <c r="K4" s="282"/>
      <c r="L4" s="282"/>
      <c r="P4" s="42">
        <v>3450</v>
      </c>
      <c r="R4" s="42">
        <v>906</v>
      </c>
      <c r="T4" s="284">
        <v>2544</v>
      </c>
      <c r="U4" s="284"/>
    </row>
    <row r="5" spans="2:21" x14ac:dyDescent="0.25">
      <c r="B5" s="282">
        <v>4</v>
      </c>
      <c r="C5" s="282"/>
      <c r="F5" s="283" t="s">
        <v>169</v>
      </c>
      <c r="G5" s="283"/>
      <c r="I5" s="282">
        <v>3</v>
      </c>
      <c r="J5" s="282"/>
      <c r="K5" s="282"/>
      <c r="L5" s="282"/>
      <c r="P5" s="42">
        <v>3090</v>
      </c>
      <c r="R5" s="42">
        <v>450</v>
      </c>
      <c r="T5" s="284">
        <v>2640</v>
      </c>
      <c r="U5" s="284"/>
    </row>
    <row r="6" spans="2:21" x14ac:dyDescent="0.25">
      <c r="B6" s="282">
        <v>5</v>
      </c>
      <c r="C6" s="282"/>
      <c r="F6" s="283" t="s">
        <v>316</v>
      </c>
      <c r="G6" s="283"/>
      <c r="I6" s="282">
        <v>4</v>
      </c>
      <c r="J6" s="282"/>
      <c r="K6" s="282"/>
      <c r="L6" s="282"/>
      <c r="P6" s="42">
        <v>1560</v>
      </c>
      <c r="R6" s="42">
        <v>480</v>
      </c>
      <c r="T6" s="284">
        <v>1080</v>
      </c>
      <c r="U6" s="284"/>
    </row>
    <row r="7" spans="2:21" x14ac:dyDescent="0.25">
      <c r="B7" s="282">
        <v>6</v>
      </c>
      <c r="C7" s="282"/>
      <c r="F7" s="283" t="s">
        <v>251</v>
      </c>
      <c r="G7" s="283"/>
      <c r="I7" s="282">
        <v>6</v>
      </c>
      <c r="J7" s="282"/>
      <c r="K7" s="282"/>
      <c r="L7" s="282"/>
      <c r="P7" s="42">
        <v>4800</v>
      </c>
      <c r="R7" s="42">
        <v>1000</v>
      </c>
      <c r="T7" s="284">
        <v>3800</v>
      </c>
      <c r="U7" s="284"/>
    </row>
    <row r="8" spans="2:21" x14ac:dyDescent="0.25">
      <c r="B8" s="282">
        <v>7</v>
      </c>
      <c r="C8" s="282"/>
      <c r="F8" s="283" t="s">
        <v>250</v>
      </c>
      <c r="G8" s="283"/>
      <c r="I8" s="282">
        <v>30</v>
      </c>
      <c r="J8" s="282"/>
      <c r="K8" s="282"/>
      <c r="L8" s="282"/>
      <c r="P8" s="42">
        <v>15000</v>
      </c>
      <c r="R8" s="42">
        <v>3513</v>
      </c>
      <c r="T8" s="284">
        <v>11487</v>
      </c>
      <c r="U8" s="284"/>
    </row>
    <row r="9" spans="2:21" x14ac:dyDescent="0.25">
      <c r="B9" s="282">
        <v>8</v>
      </c>
      <c r="C9" s="282"/>
      <c r="F9" s="283" t="s">
        <v>79</v>
      </c>
      <c r="G9" s="283"/>
      <c r="I9" s="282">
        <v>14</v>
      </c>
      <c r="J9" s="282"/>
      <c r="K9" s="282"/>
      <c r="L9" s="282"/>
      <c r="P9" s="42">
        <v>7000</v>
      </c>
      <c r="R9" s="42">
        <v>2080</v>
      </c>
      <c r="T9" s="284">
        <v>4920</v>
      </c>
      <c r="U9" s="284"/>
    </row>
    <row r="10" spans="2:21" x14ac:dyDescent="0.25">
      <c r="B10" s="282">
        <v>9</v>
      </c>
      <c r="C10" s="282"/>
      <c r="F10" s="283" t="s">
        <v>442</v>
      </c>
      <c r="G10" s="283"/>
      <c r="I10" s="282">
        <v>1</v>
      </c>
      <c r="J10" s="282"/>
      <c r="K10" s="282"/>
      <c r="L10" s="282"/>
      <c r="P10" s="42">
        <v>290</v>
      </c>
      <c r="R10" s="42">
        <v>0</v>
      </c>
      <c r="T10" s="284">
        <v>290</v>
      </c>
      <c r="U10" s="284"/>
    </row>
    <row r="11" spans="2:21" x14ac:dyDescent="0.25">
      <c r="B11" s="282">
        <v>10</v>
      </c>
      <c r="C11" s="282"/>
      <c r="F11" s="283" t="s">
        <v>269</v>
      </c>
      <c r="G11" s="283"/>
      <c r="I11" s="282">
        <v>1</v>
      </c>
      <c r="J11" s="282"/>
      <c r="K11" s="282"/>
      <c r="L11" s="282"/>
      <c r="P11" s="42">
        <v>920</v>
      </c>
      <c r="R11" s="42">
        <v>140</v>
      </c>
      <c r="T11" s="284">
        <v>780</v>
      </c>
      <c r="U11" s="284"/>
    </row>
    <row r="12" spans="2:21" x14ac:dyDescent="0.25">
      <c r="B12" s="282">
        <v>11</v>
      </c>
      <c r="C12" s="282"/>
      <c r="F12" s="283" t="s">
        <v>367</v>
      </c>
      <c r="G12" s="283"/>
      <c r="I12" s="282">
        <v>1</v>
      </c>
      <c r="J12" s="282"/>
      <c r="K12" s="282"/>
      <c r="L12" s="282"/>
      <c r="P12" s="42">
        <v>100</v>
      </c>
      <c r="R12" s="42">
        <v>0</v>
      </c>
      <c r="T12" s="284">
        <v>100</v>
      </c>
      <c r="U12" s="284"/>
    </row>
    <row r="13" spans="2:21" x14ac:dyDescent="0.25">
      <c r="B13" s="282">
        <v>12</v>
      </c>
      <c r="C13" s="282"/>
      <c r="F13" s="283" t="s">
        <v>346</v>
      </c>
      <c r="G13" s="283"/>
      <c r="I13" s="282">
        <v>4</v>
      </c>
      <c r="J13" s="282"/>
      <c r="K13" s="282"/>
      <c r="L13" s="282"/>
      <c r="P13" s="42">
        <v>2000</v>
      </c>
      <c r="R13" s="42">
        <v>600</v>
      </c>
      <c r="T13" s="284">
        <v>1400</v>
      </c>
      <c r="U13" s="284"/>
    </row>
    <row r="14" spans="2:21" x14ac:dyDescent="0.25">
      <c r="B14" s="282">
        <v>13</v>
      </c>
      <c r="C14" s="282"/>
      <c r="F14" s="283" t="s">
        <v>168</v>
      </c>
      <c r="G14" s="283"/>
      <c r="I14" s="282">
        <v>37</v>
      </c>
      <c r="J14" s="282"/>
      <c r="K14" s="282"/>
      <c r="L14" s="282"/>
      <c r="P14" s="42">
        <v>81400</v>
      </c>
      <c r="R14" s="42">
        <v>9790</v>
      </c>
      <c r="T14" s="284">
        <v>71610</v>
      </c>
      <c r="U14" s="284"/>
    </row>
    <row r="15" spans="2:21" x14ac:dyDescent="0.25">
      <c r="B15" s="282">
        <v>14</v>
      </c>
      <c r="C15" s="282"/>
      <c r="F15" s="283" t="s">
        <v>78</v>
      </c>
      <c r="G15" s="283"/>
      <c r="I15" s="282">
        <v>17506</v>
      </c>
      <c r="J15" s="282"/>
      <c r="K15" s="282"/>
      <c r="L15" s="282"/>
      <c r="P15" s="42">
        <v>5076740</v>
      </c>
      <c r="R15" s="42">
        <v>5075950</v>
      </c>
      <c r="T15" s="284">
        <v>790</v>
      </c>
      <c r="U15" s="284"/>
    </row>
    <row r="16" spans="2:21" x14ac:dyDescent="0.25">
      <c r="B16" s="282">
        <v>15</v>
      </c>
      <c r="C16" s="282"/>
      <c r="F16" s="283" t="s">
        <v>268</v>
      </c>
      <c r="G16" s="283"/>
      <c r="I16" s="282">
        <v>33</v>
      </c>
      <c r="J16" s="282"/>
      <c r="K16" s="282"/>
      <c r="L16" s="282"/>
      <c r="P16" s="42">
        <v>8250</v>
      </c>
      <c r="R16" s="42">
        <v>2170</v>
      </c>
      <c r="T16" s="284">
        <v>6080</v>
      </c>
      <c r="U16" s="284"/>
    </row>
    <row r="17" spans="2:21" x14ac:dyDescent="0.25">
      <c r="B17" s="282">
        <v>16</v>
      </c>
      <c r="C17" s="282"/>
      <c r="F17" s="283" t="s">
        <v>393</v>
      </c>
      <c r="G17" s="283"/>
      <c r="I17" s="282">
        <v>2</v>
      </c>
      <c r="J17" s="282"/>
      <c r="K17" s="282"/>
      <c r="L17" s="282"/>
      <c r="P17" s="42">
        <v>2800</v>
      </c>
      <c r="R17" s="42">
        <v>210</v>
      </c>
      <c r="T17" s="284">
        <v>2590</v>
      </c>
      <c r="U17" s="284"/>
    </row>
    <row r="18" spans="2:21" x14ac:dyDescent="0.25">
      <c r="B18" s="282">
        <v>17</v>
      </c>
      <c r="C18" s="282"/>
      <c r="F18" s="283" t="s">
        <v>199</v>
      </c>
      <c r="G18" s="283"/>
      <c r="I18" s="282">
        <v>28</v>
      </c>
      <c r="J18" s="282"/>
      <c r="K18" s="282"/>
      <c r="L18" s="282"/>
      <c r="P18" s="42">
        <v>8120</v>
      </c>
      <c r="R18" s="42">
        <v>2358</v>
      </c>
      <c r="T18" s="284">
        <v>5762</v>
      </c>
      <c r="U18" s="284"/>
    </row>
    <row r="19" spans="2:21" x14ac:dyDescent="0.25">
      <c r="B19" s="282">
        <v>18</v>
      </c>
      <c r="C19" s="282"/>
      <c r="F19" s="283" t="s">
        <v>310</v>
      </c>
      <c r="G19" s="283"/>
      <c r="I19" s="282">
        <v>2</v>
      </c>
      <c r="J19" s="282"/>
      <c r="K19" s="282"/>
      <c r="L19" s="282"/>
      <c r="P19" s="42">
        <v>5800</v>
      </c>
      <c r="R19" s="42">
        <v>860</v>
      </c>
      <c r="T19" s="284">
        <v>4940</v>
      </c>
      <c r="U19" s="284"/>
    </row>
    <row r="20" spans="2:21" x14ac:dyDescent="0.25">
      <c r="B20" s="282">
        <v>19</v>
      </c>
      <c r="C20" s="282"/>
      <c r="F20" s="283" t="s">
        <v>167</v>
      </c>
      <c r="G20" s="283"/>
      <c r="I20" s="282">
        <v>19</v>
      </c>
      <c r="J20" s="282"/>
      <c r="K20" s="282"/>
      <c r="L20" s="282"/>
      <c r="P20" s="42">
        <v>10830</v>
      </c>
      <c r="R20" s="42">
        <v>3060</v>
      </c>
      <c r="T20" s="284">
        <v>7770</v>
      </c>
      <c r="U20" s="284"/>
    </row>
    <row r="21" spans="2:21" x14ac:dyDescent="0.25">
      <c r="B21" s="282">
        <v>20</v>
      </c>
      <c r="C21" s="282"/>
      <c r="F21" s="283" t="s">
        <v>249</v>
      </c>
      <c r="G21" s="283"/>
      <c r="I21" s="282">
        <v>19</v>
      </c>
      <c r="J21" s="282"/>
      <c r="K21" s="282"/>
      <c r="L21" s="282"/>
      <c r="P21" s="42">
        <v>24700</v>
      </c>
      <c r="R21" s="42">
        <v>3600</v>
      </c>
      <c r="T21" s="284">
        <v>21100</v>
      </c>
      <c r="U21" s="284"/>
    </row>
    <row r="22" spans="2:21" x14ac:dyDescent="0.25">
      <c r="B22" s="282">
        <v>21</v>
      </c>
      <c r="C22" s="282"/>
      <c r="F22" s="283" t="s">
        <v>166</v>
      </c>
      <c r="G22" s="283"/>
      <c r="I22" s="282">
        <v>3</v>
      </c>
      <c r="J22" s="282"/>
      <c r="K22" s="282"/>
      <c r="L22" s="282"/>
      <c r="P22" s="42">
        <v>5700</v>
      </c>
      <c r="R22" s="42">
        <v>560</v>
      </c>
      <c r="T22" s="284">
        <v>5140</v>
      </c>
      <c r="U22" s="284"/>
    </row>
    <row r="23" spans="2:21" x14ac:dyDescent="0.25">
      <c r="B23" s="282">
        <v>22</v>
      </c>
      <c r="C23" s="282"/>
      <c r="F23" s="283" t="s">
        <v>294</v>
      </c>
      <c r="G23" s="283"/>
      <c r="I23" s="282">
        <v>28</v>
      </c>
      <c r="J23" s="282"/>
      <c r="K23" s="282"/>
      <c r="L23" s="282"/>
      <c r="P23" s="42">
        <v>14400</v>
      </c>
      <c r="R23" s="42">
        <v>3830</v>
      </c>
      <c r="T23" s="284">
        <v>10570</v>
      </c>
      <c r="U23" s="284"/>
    </row>
    <row r="24" spans="2:21" x14ac:dyDescent="0.25">
      <c r="B24" s="282">
        <v>23</v>
      </c>
      <c r="C24" s="282"/>
      <c r="F24" s="283" t="s">
        <v>345</v>
      </c>
      <c r="G24" s="283"/>
      <c r="I24" s="282">
        <v>4</v>
      </c>
      <c r="J24" s="282"/>
      <c r="K24" s="282"/>
      <c r="L24" s="282"/>
      <c r="P24" s="42">
        <v>7520</v>
      </c>
      <c r="R24" s="42">
        <v>1120</v>
      </c>
      <c r="T24" s="284">
        <v>6400</v>
      </c>
      <c r="U24" s="284"/>
    </row>
    <row r="25" spans="2:21" x14ac:dyDescent="0.25">
      <c r="B25" s="282">
        <v>24</v>
      </c>
      <c r="C25" s="282"/>
      <c r="F25" s="283" t="s">
        <v>329</v>
      </c>
      <c r="G25" s="283"/>
      <c r="I25" s="282">
        <v>11</v>
      </c>
      <c r="J25" s="282"/>
      <c r="K25" s="282"/>
      <c r="L25" s="282"/>
      <c r="P25" s="42">
        <v>13200</v>
      </c>
      <c r="R25" s="42">
        <v>1980</v>
      </c>
      <c r="T25" s="284">
        <v>11220</v>
      </c>
      <c r="U25" s="284"/>
    </row>
    <row r="26" spans="2:21" x14ac:dyDescent="0.25">
      <c r="B26" s="282">
        <v>25</v>
      </c>
      <c r="C26" s="282"/>
      <c r="F26" s="283" t="s">
        <v>248</v>
      </c>
      <c r="G26" s="283"/>
      <c r="I26" s="282">
        <v>13</v>
      </c>
      <c r="J26" s="282"/>
      <c r="K26" s="282"/>
      <c r="L26" s="282"/>
      <c r="P26" s="42">
        <v>15600</v>
      </c>
      <c r="R26" s="42">
        <v>1980</v>
      </c>
      <c r="T26" s="284">
        <v>13620</v>
      </c>
      <c r="U26" s="284"/>
    </row>
    <row r="27" spans="2:21" x14ac:dyDescent="0.25">
      <c r="B27" s="282">
        <v>26</v>
      </c>
      <c r="C27" s="282"/>
      <c r="F27" s="283" t="s">
        <v>165</v>
      </c>
      <c r="G27" s="283"/>
      <c r="I27" s="282">
        <v>74</v>
      </c>
      <c r="J27" s="282"/>
      <c r="K27" s="282"/>
      <c r="L27" s="282"/>
      <c r="P27" s="42">
        <v>43660</v>
      </c>
      <c r="R27" s="42">
        <v>11248</v>
      </c>
      <c r="T27" s="284">
        <v>32412</v>
      </c>
      <c r="U27" s="284"/>
    </row>
    <row r="28" spans="2:21" x14ac:dyDescent="0.25">
      <c r="B28" s="282">
        <v>27</v>
      </c>
      <c r="C28" s="282"/>
      <c r="F28" s="283" t="s">
        <v>247</v>
      </c>
      <c r="G28" s="283"/>
      <c r="I28" s="282">
        <v>5</v>
      </c>
      <c r="J28" s="282"/>
      <c r="K28" s="282"/>
      <c r="L28" s="282"/>
      <c r="P28" s="42">
        <v>4400</v>
      </c>
      <c r="R28" s="42">
        <v>390</v>
      </c>
      <c r="T28" s="284">
        <v>4010</v>
      </c>
      <c r="U28" s="284"/>
    </row>
    <row r="29" spans="2:21" x14ac:dyDescent="0.25">
      <c r="B29" s="282">
        <v>28</v>
      </c>
      <c r="C29" s="282"/>
      <c r="F29" s="283" t="s">
        <v>246</v>
      </c>
      <c r="G29" s="283"/>
      <c r="I29" s="282">
        <v>5</v>
      </c>
      <c r="J29" s="282"/>
      <c r="K29" s="282"/>
      <c r="L29" s="282"/>
      <c r="P29" s="42">
        <v>4950</v>
      </c>
      <c r="R29" s="42">
        <v>607</v>
      </c>
      <c r="T29" s="284">
        <v>4343</v>
      </c>
      <c r="U29" s="284"/>
    </row>
    <row r="30" spans="2:21" x14ac:dyDescent="0.25">
      <c r="B30" s="282">
        <v>29</v>
      </c>
      <c r="C30" s="282"/>
      <c r="F30" s="283" t="s">
        <v>344</v>
      </c>
      <c r="G30" s="283"/>
      <c r="I30" s="282">
        <v>3</v>
      </c>
      <c r="J30" s="282"/>
      <c r="K30" s="282"/>
      <c r="L30" s="282"/>
      <c r="P30" s="42">
        <v>1050</v>
      </c>
      <c r="R30" s="42">
        <v>238</v>
      </c>
      <c r="T30" s="284">
        <v>812</v>
      </c>
      <c r="U30" s="284"/>
    </row>
    <row r="31" spans="2:21" x14ac:dyDescent="0.25">
      <c r="B31" s="282">
        <v>30</v>
      </c>
      <c r="C31" s="282"/>
      <c r="F31" s="283" t="s">
        <v>164</v>
      </c>
      <c r="G31" s="283"/>
      <c r="I31" s="282">
        <v>34</v>
      </c>
      <c r="J31" s="282"/>
      <c r="K31" s="282"/>
      <c r="L31" s="282"/>
      <c r="P31" s="42">
        <v>20170</v>
      </c>
      <c r="R31" s="42">
        <v>5331</v>
      </c>
      <c r="T31" s="284">
        <v>14839</v>
      </c>
      <c r="U31" s="284"/>
    </row>
    <row r="32" spans="2:21" x14ac:dyDescent="0.25">
      <c r="B32" s="282">
        <v>31</v>
      </c>
      <c r="C32" s="282"/>
      <c r="F32" s="283" t="s">
        <v>245</v>
      </c>
      <c r="G32" s="283"/>
      <c r="I32" s="282">
        <v>4</v>
      </c>
      <c r="J32" s="282"/>
      <c r="K32" s="282"/>
      <c r="L32" s="282"/>
      <c r="P32" s="42">
        <v>12000</v>
      </c>
      <c r="R32" s="42">
        <v>3000</v>
      </c>
      <c r="T32" s="284">
        <v>9000</v>
      </c>
      <c r="U32" s="284"/>
    </row>
    <row r="33" spans="2:21" x14ac:dyDescent="0.25">
      <c r="B33" s="282">
        <v>32</v>
      </c>
      <c r="C33" s="282"/>
      <c r="F33" s="283" t="s">
        <v>459</v>
      </c>
      <c r="G33" s="283"/>
      <c r="I33" s="282">
        <v>1</v>
      </c>
      <c r="J33" s="282"/>
      <c r="K33" s="282"/>
      <c r="L33" s="282"/>
      <c r="P33" s="42">
        <v>240</v>
      </c>
      <c r="R33" s="42">
        <v>70</v>
      </c>
      <c r="T33" s="284">
        <v>170</v>
      </c>
      <c r="U33" s="284"/>
    </row>
    <row r="34" spans="2:21" ht="15" customHeight="1" x14ac:dyDescent="0.25">
      <c r="B34" s="282">
        <v>33</v>
      </c>
      <c r="C34" s="282"/>
      <c r="F34" s="283" t="s">
        <v>267</v>
      </c>
      <c r="G34" s="283"/>
      <c r="I34" s="282">
        <v>1</v>
      </c>
      <c r="J34" s="282"/>
      <c r="K34" s="282"/>
      <c r="L34" s="282"/>
      <c r="P34" s="42">
        <v>1430</v>
      </c>
      <c r="R34" s="42">
        <v>215</v>
      </c>
      <c r="T34" s="284">
        <v>1215</v>
      </c>
      <c r="U34" s="284"/>
    </row>
    <row r="35" spans="2:21" x14ac:dyDescent="0.25">
      <c r="B35" s="282">
        <v>34</v>
      </c>
      <c r="C35" s="282"/>
      <c r="F35" s="283" t="s">
        <v>163</v>
      </c>
      <c r="G35" s="283"/>
      <c r="I35" s="282">
        <v>204</v>
      </c>
      <c r="J35" s="282"/>
      <c r="K35" s="282"/>
      <c r="L35" s="282"/>
      <c r="P35" s="42">
        <v>242760</v>
      </c>
      <c r="R35" s="42">
        <v>28637</v>
      </c>
      <c r="T35" s="284">
        <v>214123</v>
      </c>
      <c r="U35" s="284"/>
    </row>
    <row r="36" spans="2:21" x14ac:dyDescent="0.25">
      <c r="B36" s="282">
        <v>35</v>
      </c>
      <c r="C36" s="282"/>
      <c r="F36" s="283" t="s">
        <v>162</v>
      </c>
      <c r="G36" s="283"/>
      <c r="I36" s="282">
        <v>1063</v>
      </c>
      <c r="J36" s="282"/>
      <c r="K36" s="282"/>
      <c r="L36" s="282"/>
      <c r="P36" s="42">
        <v>457090</v>
      </c>
      <c r="R36" s="42">
        <v>200570</v>
      </c>
      <c r="T36" s="284">
        <v>256520</v>
      </c>
      <c r="U36" s="284"/>
    </row>
    <row r="37" spans="2:21" x14ac:dyDescent="0.25">
      <c r="B37" s="282">
        <v>36</v>
      </c>
      <c r="C37" s="282"/>
      <c r="F37" s="283" t="s">
        <v>198</v>
      </c>
      <c r="G37" s="283"/>
      <c r="I37" s="282">
        <v>59</v>
      </c>
      <c r="J37" s="282"/>
      <c r="K37" s="282"/>
      <c r="L37" s="282"/>
      <c r="P37" s="42">
        <v>17110</v>
      </c>
      <c r="R37" s="42">
        <v>4422</v>
      </c>
      <c r="T37" s="284">
        <v>12688</v>
      </c>
      <c r="U37" s="284"/>
    </row>
    <row r="38" spans="2:21" x14ac:dyDescent="0.25">
      <c r="B38" s="282">
        <v>37</v>
      </c>
      <c r="C38" s="282"/>
      <c r="F38" s="283" t="s">
        <v>161</v>
      </c>
      <c r="G38" s="283"/>
      <c r="I38" s="282">
        <v>31</v>
      </c>
      <c r="J38" s="282"/>
      <c r="K38" s="282"/>
      <c r="L38" s="282"/>
      <c r="P38" s="42">
        <v>775</v>
      </c>
      <c r="R38" s="42">
        <v>145</v>
      </c>
      <c r="T38" s="284">
        <v>630</v>
      </c>
      <c r="U38" s="284"/>
    </row>
    <row r="39" spans="2:21" x14ac:dyDescent="0.25">
      <c r="B39" s="282">
        <v>38</v>
      </c>
      <c r="C39" s="282"/>
      <c r="F39" s="283" t="s">
        <v>384</v>
      </c>
      <c r="G39" s="283"/>
      <c r="I39" s="282">
        <v>2</v>
      </c>
      <c r="J39" s="282"/>
      <c r="K39" s="282"/>
      <c r="L39" s="282"/>
      <c r="P39" s="42">
        <v>8700</v>
      </c>
      <c r="R39" s="42">
        <v>1300</v>
      </c>
      <c r="T39" s="284">
        <v>7400</v>
      </c>
      <c r="U39" s="284"/>
    </row>
    <row r="40" spans="2:21" x14ac:dyDescent="0.25">
      <c r="B40" s="282">
        <v>39</v>
      </c>
      <c r="C40" s="282"/>
      <c r="F40" s="283" t="s">
        <v>160</v>
      </c>
      <c r="G40" s="283"/>
      <c r="I40" s="282">
        <v>694</v>
      </c>
      <c r="J40" s="282"/>
      <c r="K40" s="282"/>
      <c r="L40" s="282"/>
      <c r="P40" s="42">
        <v>201180</v>
      </c>
      <c r="R40" s="42">
        <v>47451</v>
      </c>
      <c r="T40" s="284">
        <v>153729</v>
      </c>
      <c r="U40" s="284"/>
    </row>
    <row r="41" spans="2:21" x14ac:dyDescent="0.25">
      <c r="B41" s="282">
        <v>40</v>
      </c>
      <c r="C41" s="282"/>
      <c r="F41" s="283" t="s">
        <v>159</v>
      </c>
      <c r="G41" s="283"/>
      <c r="I41" s="282">
        <v>4000</v>
      </c>
      <c r="J41" s="282"/>
      <c r="K41" s="282"/>
      <c r="L41" s="282"/>
      <c r="P41" s="42">
        <v>0</v>
      </c>
      <c r="R41" s="42">
        <v>0</v>
      </c>
      <c r="T41" s="284">
        <v>0</v>
      </c>
      <c r="U41" s="284"/>
    </row>
    <row r="42" spans="2:21" x14ac:dyDescent="0.25">
      <c r="B42" s="282">
        <v>41</v>
      </c>
      <c r="C42" s="282"/>
      <c r="F42" s="283" t="s">
        <v>266</v>
      </c>
      <c r="G42" s="283"/>
      <c r="I42" s="282">
        <v>14</v>
      </c>
      <c r="J42" s="282"/>
      <c r="K42" s="282"/>
      <c r="L42" s="282"/>
      <c r="P42" s="42">
        <v>18900</v>
      </c>
      <c r="R42" s="42">
        <v>4792</v>
      </c>
      <c r="T42" s="284">
        <v>14108</v>
      </c>
      <c r="U42" s="284"/>
    </row>
    <row r="43" spans="2:21" x14ac:dyDescent="0.25">
      <c r="B43" s="282">
        <v>42</v>
      </c>
      <c r="C43" s="282"/>
      <c r="F43" s="283" t="s">
        <v>158</v>
      </c>
      <c r="G43" s="283"/>
      <c r="I43" s="282">
        <v>28288</v>
      </c>
      <c r="J43" s="282"/>
      <c r="K43" s="282"/>
      <c r="L43" s="282"/>
      <c r="P43" s="42">
        <v>15558100</v>
      </c>
      <c r="R43" s="42">
        <v>4844149</v>
      </c>
      <c r="T43" s="284">
        <v>10713951</v>
      </c>
      <c r="U43" s="284"/>
    </row>
    <row r="44" spans="2:21" x14ac:dyDescent="0.25">
      <c r="B44" s="282">
        <v>43</v>
      </c>
      <c r="C44" s="282"/>
      <c r="F44" s="283" t="s">
        <v>157</v>
      </c>
      <c r="G44" s="283"/>
      <c r="I44" s="282">
        <v>8394</v>
      </c>
      <c r="J44" s="282"/>
      <c r="K44" s="282"/>
      <c r="L44" s="282"/>
      <c r="P44" s="42">
        <v>4110880</v>
      </c>
      <c r="R44" s="42">
        <v>1687431</v>
      </c>
      <c r="T44" s="284">
        <v>2423644</v>
      </c>
      <c r="U44" s="284"/>
    </row>
    <row r="45" spans="2:21" x14ac:dyDescent="0.25">
      <c r="B45" s="282">
        <v>44</v>
      </c>
      <c r="C45" s="282"/>
      <c r="F45" s="283" t="s">
        <v>456</v>
      </c>
      <c r="G45" s="283"/>
      <c r="I45" s="282">
        <v>1</v>
      </c>
      <c r="J45" s="282"/>
      <c r="K45" s="282"/>
      <c r="L45" s="282"/>
      <c r="P45" s="42">
        <v>1780</v>
      </c>
      <c r="R45" s="42">
        <v>0</v>
      </c>
      <c r="T45" s="284">
        <v>1780</v>
      </c>
      <c r="U45" s="284"/>
    </row>
    <row r="46" spans="2:21" x14ac:dyDescent="0.25">
      <c r="B46" s="282">
        <v>45</v>
      </c>
      <c r="C46" s="282"/>
      <c r="F46" s="283" t="s">
        <v>197</v>
      </c>
      <c r="G46" s="283"/>
      <c r="I46" s="282">
        <v>37</v>
      </c>
      <c r="J46" s="282"/>
      <c r="K46" s="282"/>
      <c r="L46" s="282"/>
      <c r="P46" s="42">
        <v>18500</v>
      </c>
      <c r="R46" s="42">
        <v>4720</v>
      </c>
      <c r="T46" s="284">
        <v>13780</v>
      </c>
      <c r="U46" s="284"/>
    </row>
    <row r="47" spans="2:21" x14ac:dyDescent="0.25">
      <c r="B47" s="282">
        <v>46</v>
      </c>
      <c r="C47" s="282"/>
      <c r="F47" s="283" t="s">
        <v>293</v>
      </c>
      <c r="G47" s="283"/>
      <c r="I47" s="282">
        <v>39</v>
      </c>
      <c r="J47" s="282"/>
      <c r="K47" s="282"/>
      <c r="L47" s="282"/>
      <c r="P47" s="42">
        <v>27900</v>
      </c>
      <c r="R47" s="42">
        <v>4920</v>
      </c>
      <c r="T47" s="284">
        <v>22980</v>
      </c>
      <c r="U47" s="284"/>
    </row>
    <row r="48" spans="2:21" x14ac:dyDescent="0.25">
      <c r="B48" s="282">
        <v>47</v>
      </c>
      <c r="C48" s="282"/>
      <c r="F48" s="283" t="s">
        <v>196</v>
      </c>
      <c r="G48" s="283"/>
      <c r="I48" s="282">
        <v>199</v>
      </c>
      <c r="J48" s="282"/>
      <c r="K48" s="282"/>
      <c r="L48" s="282"/>
      <c r="P48" s="42">
        <v>140100</v>
      </c>
      <c r="R48" s="42">
        <v>49846</v>
      </c>
      <c r="T48" s="284">
        <v>90254</v>
      </c>
      <c r="U48" s="284"/>
    </row>
    <row r="49" spans="2:21" x14ac:dyDescent="0.25">
      <c r="B49" s="282">
        <v>48</v>
      </c>
      <c r="C49" s="282"/>
      <c r="F49" s="283" t="s">
        <v>309</v>
      </c>
      <c r="G49" s="283"/>
      <c r="I49" s="282">
        <v>108</v>
      </c>
      <c r="J49" s="282"/>
      <c r="K49" s="282"/>
      <c r="L49" s="282"/>
      <c r="P49" s="42">
        <v>54000</v>
      </c>
      <c r="R49" s="42">
        <v>15430</v>
      </c>
      <c r="T49" s="284">
        <v>38570</v>
      </c>
      <c r="U49" s="284"/>
    </row>
    <row r="50" spans="2:21" x14ac:dyDescent="0.25">
      <c r="B50" s="282">
        <v>49</v>
      </c>
      <c r="C50" s="282"/>
      <c r="F50" s="283" t="s">
        <v>328</v>
      </c>
      <c r="G50" s="283"/>
      <c r="I50" s="282">
        <v>12</v>
      </c>
      <c r="J50" s="282"/>
      <c r="K50" s="282"/>
      <c r="L50" s="282"/>
      <c r="P50" s="42">
        <v>8000</v>
      </c>
      <c r="R50" s="42">
        <v>3800</v>
      </c>
      <c r="T50" s="284">
        <v>4200</v>
      </c>
      <c r="U50" s="284"/>
    </row>
    <row r="51" spans="2:21" x14ac:dyDescent="0.25">
      <c r="B51" s="282">
        <v>50</v>
      </c>
      <c r="C51" s="282"/>
      <c r="F51" s="283" t="s">
        <v>292</v>
      </c>
      <c r="G51" s="283"/>
      <c r="I51" s="282">
        <v>30</v>
      </c>
      <c r="J51" s="282"/>
      <c r="K51" s="282"/>
      <c r="L51" s="282"/>
      <c r="P51" s="42">
        <v>20800</v>
      </c>
      <c r="R51" s="42">
        <v>19050</v>
      </c>
      <c r="T51" s="284">
        <v>1750</v>
      </c>
      <c r="U51" s="284"/>
    </row>
    <row r="52" spans="2:21" x14ac:dyDescent="0.25">
      <c r="B52" s="282">
        <v>51</v>
      </c>
      <c r="C52" s="282"/>
      <c r="F52" s="283" t="s">
        <v>244</v>
      </c>
      <c r="G52" s="283"/>
      <c r="I52" s="282">
        <v>118</v>
      </c>
      <c r="J52" s="282"/>
      <c r="K52" s="282"/>
      <c r="L52" s="282"/>
      <c r="P52" s="42">
        <v>37600</v>
      </c>
      <c r="R52" s="42">
        <v>6991</v>
      </c>
      <c r="T52" s="284">
        <v>30609</v>
      </c>
      <c r="U52" s="284"/>
    </row>
    <row r="53" spans="2:21" x14ac:dyDescent="0.25">
      <c r="B53" s="282">
        <v>52</v>
      </c>
      <c r="C53" s="282"/>
      <c r="F53" s="283" t="s">
        <v>77</v>
      </c>
      <c r="G53" s="283"/>
      <c r="I53" s="282">
        <v>76366</v>
      </c>
      <c r="J53" s="282"/>
      <c r="K53" s="282"/>
      <c r="L53" s="282"/>
      <c r="P53" s="42">
        <v>30952800</v>
      </c>
      <c r="R53" s="42">
        <v>30941700</v>
      </c>
      <c r="T53" s="284">
        <v>11100</v>
      </c>
      <c r="U53" s="284"/>
    </row>
    <row r="54" spans="2:21" x14ac:dyDescent="0.25">
      <c r="B54" s="282">
        <v>53</v>
      </c>
      <c r="C54" s="282"/>
      <c r="F54" s="283" t="s">
        <v>291</v>
      </c>
      <c r="G54" s="283"/>
      <c r="I54" s="282">
        <v>3</v>
      </c>
      <c r="J54" s="282"/>
      <c r="K54" s="282"/>
      <c r="L54" s="282"/>
      <c r="P54" s="42">
        <v>600</v>
      </c>
      <c r="R54" s="42">
        <v>150</v>
      </c>
      <c r="T54" s="284">
        <v>450</v>
      </c>
      <c r="U54" s="284"/>
    </row>
    <row r="55" spans="2:21" x14ac:dyDescent="0.25">
      <c r="B55" s="282">
        <v>54</v>
      </c>
      <c r="C55" s="282"/>
      <c r="F55" s="283" t="s">
        <v>243</v>
      </c>
      <c r="G55" s="283"/>
      <c r="I55" s="282">
        <v>5</v>
      </c>
      <c r="J55" s="282"/>
      <c r="K55" s="282"/>
      <c r="L55" s="282"/>
      <c r="P55" s="42">
        <v>750</v>
      </c>
      <c r="R55" s="42">
        <v>199</v>
      </c>
      <c r="T55" s="284">
        <v>551</v>
      </c>
      <c r="U55" s="284"/>
    </row>
    <row r="56" spans="2:21" x14ac:dyDescent="0.25">
      <c r="B56" s="282">
        <v>55</v>
      </c>
      <c r="C56" s="282"/>
      <c r="F56" s="283" t="s">
        <v>343</v>
      </c>
      <c r="G56" s="283"/>
      <c r="I56" s="282">
        <v>32</v>
      </c>
      <c r="J56" s="282"/>
      <c r="K56" s="282"/>
      <c r="L56" s="282"/>
      <c r="P56" s="42">
        <v>6720</v>
      </c>
      <c r="R56" s="42">
        <v>2163</v>
      </c>
      <c r="T56" s="284">
        <v>4557</v>
      </c>
      <c r="U56" s="284"/>
    </row>
    <row r="57" spans="2:21" x14ac:dyDescent="0.25">
      <c r="B57" s="282">
        <v>56</v>
      </c>
      <c r="C57" s="282"/>
      <c r="F57" s="283" t="s">
        <v>242</v>
      </c>
      <c r="G57" s="283"/>
      <c r="I57" s="282">
        <v>289</v>
      </c>
      <c r="J57" s="282"/>
      <c r="K57" s="282"/>
      <c r="L57" s="282"/>
      <c r="P57" s="42">
        <v>144500</v>
      </c>
      <c r="R57" s="42">
        <v>133500</v>
      </c>
      <c r="T57" s="284">
        <v>11000</v>
      </c>
      <c r="U57" s="284"/>
    </row>
    <row r="58" spans="2:21" x14ac:dyDescent="0.25">
      <c r="B58" s="282">
        <v>57</v>
      </c>
      <c r="C58" s="282"/>
      <c r="F58" s="283" t="s">
        <v>241</v>
      </c>
      <c r="G58" s="283"/>
      <c r="I58" s="282">
        <v>10</v>
      </c>
      <c r="J58" s="282"/>
      <c r="K58" s="282"/>
      <c r="L58" s="282"/>
      <c r="P58" s="42">
        <v>3500</v>
      </c>
      <c r="R58" s="42">
        <v>3500</v>
      </c>
      <c r="T58" s="284">
        <v>0</v>
      </c>
      <c r="U58" s="284"/>
    </row>
    <row r="59" spans="2:21" x14ac:dyDescent="0.25">
      <c r="B59" s="282">
        <v>58</v>
      </c>
      <c r="C59" s="282"/>
      <c r="F59" s="283" t="s">
        <v>403</v>
      </c>
      <c r="G59" s="283"/>
      <c r="I59" s="282">
        <v>3</v>
      </c>
      <c r="J59" s="282"/>
      <c r="K59" s="282"/>
      <c r="L59" s="282"/>
      <c r="P59" s="42">
        <v>2250</v>
      </c>
      <c r="R59" s="42">
        <v>2250</v>
      </c>
      <c r="T59" s="284">
        <v>0</v>
      </c>
      <c r="U59" s="284"/>
    </row>
    <row r="60" spans="2:21" x14ac:dyDescent="0.25">
      <c r="B60" s="282">
        <v>59</v>
      </c>
      <c r="C60" s="282"/>
      <c r="F60" s="283" t="s">
        <v>76</v>
      </c>
      <c r="G60" s="283"/>
      <c r="I60" s="282">
        <v>271</v>
      </c>
      <c r="J60" s="282"/>
      <c r="K60" s="282"/>
      <c r="L60" s="282"/>
      <c r="P60" s="42">
        <v>160900</v>
      </c>
      <c r="R60" s="42">
        <v>160900</v>
      </c>
      <c r="T60" s="284">
        <v>0</v>
      </c>
      <c r="U60" s="284"/>
    </row>
    <row r="61" spans="2:21" x14ac:dyDescent="0.25">
      <c r="B61" s="282">
        <v>60</v>
      </c>
      <c r="C61" s="282"/>
      <c r="F61" s="283" t="s">
        <v>156</v>
      </c>
      <c r="G61" s="283"/>
      <c r="I61" s="282">
        <v>535</v>
      </c>
      <c r="J61" s="282"/>
      <c r="K61" s="282"/>
      <c r="L61" s="282"/>
      <c r="P61" s="42">
        <v>101650</v>
      </c>
      <c r="R61" s="42">
        <v>30890</v>
      </c>
      <c r="T61" s="284">
        <v>70760</v>
      </c>
      <c r="U61" s="284"/>
    </row>
    <row r="62" spans="2:21" x14ac:dyDescent="0.25">
      <c r="B62" s="282">
        <v>61</v>
      </c>
      <c r="C62" s="282"/>
      <c r="F62" s="283" t="s">
        <v>342</v>
      </c>
      <c r="G62" s="283"/>
      <c r="I62" s="282">
        <v>7</v>
      </c>
      <c r="J62" s="282"/>
      <c r="K62" s="282"/>
      <c r="L62" s="282"/>
      <c r="P62" s="42">
        <v>3500</v>
      </c>
      <c r="R62" s="42">
        <v>750</v>
      </c>
      <c r="T62" s="284">
        <v>2750</v>
      </c>
      <c r="U62" s="284"/>
    </row>
    <row r="63" spans="2:21" x14ac:dyDescent="0.25">
      <c r="B63" s="282">
        <v>62</v>
      </c>
      <c r="C63" s="282"/>
      <c r="F63" s="283" t="s">
        <v>290</v>
      </c>
      <c r="G63" s="283"/>
      <c r="I63" s="282">
        <v>2</v>
      </c>
      <c r="J63" s="282"/>
      <c r="K63" s="282"/>
      <c r="L63" s="282"/>
      <c r="P63" s="42">
        <v>3580</v>
      </c>
      <c r="R63" s="42">
        <v>540</v>
      </c>
      <c r="T63" s="284">
        <v>3040</v>
      </c>
      <c r="U63" s="284"/>
    </row>
    <row r="64" spans="2:21" x14ac:dyDescent="0.25">
      <c r="B64" s="282">
        <v>63</v>
      </c>
      <c r="C64" s="282"/>
      <c r="F64" s="283" t="s">
        <v>240</v>
      </c>
      <c r="G64" s="283"/>
      <c r="I64" s="282">
        <v>1</v>
      </c>
      <c r="J64" s="282"/>
      <c r="K64" s="282"/>
      <c r="L64" s="282"/>
      <c r="P64" s="42">
        <v>3240</v>
      </c>
      <c r="R64" s="42">
        <v>0</v>
      </c>
      <c r="T64" s="284">
        <v>3240</v>
      </c>
      <c r="U64" s="284"/>
    </row>
    <row r="65" spans="2:21" x14ac:dyDescent="0.25">
      <c r="B65" s="282">
        <v>64</v>
      </c>
      <c r="C65" s="282"/>
      <c r="F65" s="283" t="s">
        <v>341</v>
      </c>
      <c r="G65" s="283"/>
      <c r="I65" s="282">
        <v>5</v>
      </c>
      <c r="J65" s="282"/>
      <c r="K65" s="282"/>
      <c r="L65" s="282"/>
      <c r="P65" s="42">
        <v>2250</v>
      </c>
      <c r="R65" s="42">
        <v>650</v>
      </c>
      <c r="T65" s="284">
        <v>1600</v>
      </c>
      <c r="U65" s="284"/>
    </row>
    <row r="66" spans="2:21" x14ac:dyDescent="0.25">
      <c r="B66" s="282">
        <v>65</v>
      </c>
      <c r="C66" s="282"/>
      <c r="F66" s="283" t="s">
        <v>155</v>
      </c>
      <c r="G66" s="283"/>
      <c r="I66" s="282">
        <v>6265</v>
      </c>
      <c r="J66" s="282"/>
      <c r="K66" s="282"/>
      <c r="L66" s="282"/>
      <c r="P66" s="42">
        <v>1566200</v>
      </c>
      <c r="R66" s="42">
        <v>672539</v>
      </c>
      <c r="T66" s="284">
        <v>893661</v>
      </c>
      <c r="U66" s="284"/>
    </row>
    <row r="67" spans="2:21" x14ac:dyDescent="0.25">
      <c r="B67" s="282">
        <v>66</v>
      </c>
      <c r="C67" s="282"/>
      <c r="F67" s="283" t="s">
        <v>154</v>
      </c>
      <c r="G67" s="283"/>
      <c r="I67" s="282">
        <v>383</v>
      </c>
      <c r="J67" s="282"/>
      <c r="K67" s="282"/>
      <c r="L67" s="282"/>
      <c r="P67" s="42">
        <v>340870</v>
      </c>
      <c r="R67" s="42">
        <v>48449</v>
      </c>
      <c r="T67" s="284">
        <v>292421</v>
      </c>
      <c r="U67" s="284"/>
    </row>
    <row r="68" spans="2:21" x14ac:dyDescent="0.25">
      <c r="B68" s="282">
        <v>67</v>
      </c>
      <c r="C68" s="282"/>
      <c r="F68" s="283" t="s">
        <v>340</v>
      </c>
      <c r="G68" s="283"/>
      <c r="I68" s="282">
        <v>3</v>
      </c>
      <c r="J68" s="282"/>
      <c r="K68" s="282"/>
      <c r="L68" s="282"/>
      <c r="P68" s="42">
        <v>2640</v>
      </c>
      <c r="R68" s="42">
        <v>80</v>
      </c>
      <c r="T68" s="284">
        <v>2560</v>
      </c>
      <c r="U68" s="284"/>
    </row>
    <row r="69" spans="2:21" x14ac:dyDescent="0.25">
      <c r="B69" s="282">
        <v>68</v>
      </c>
      <c r="C69" s="282"/>
      <c r="F69" s="283" t="s">
        <v>239</v>
      </c>
      <c r="G69" s="283"/>
      <c r="I69" s="282">
        <v>12</v>
      </c>
      <c r="J69" s="282"/>
      <c r="K69" s="282"/>
      <c r="L69" s="282"/>
      <c r="P69" s="42">
        <v>13080</v>
      </c>
      <c r="R69" s="42">
        <v>0</v>
      </c>
      <c r="T69" s="284">
        <v>13080</v>
      </c>
      <c r="U69" s="284"/>
    </row>
    <row r="70" spans="2:21" x14ac:dyDescent="0.25">
      <c r="B70" s="282">
        <v>69</v>
      </c>
      <c r="C70" s="282"/>
      <c r="F70" s="283" t="s">
        <v>153</v>
      </c>
      <c r="G70" s="283"/>
      <c r="I70" s="282">
        <v>38</v>
      </c>
      <c r="J70" s="282"/>
      <c r="K70" s="282"/>
      <c r="L70" s="282"/>
      <c r="P70" s="42">
        <v>44840</v>
      </c>
      <c r="R70" s="42">
        <v>3960</v>
      </c>
      <c r="T70" s="284">
        <v>40880</v>
      </c>
      <c r="U70" s="284"/>
    </row>
    <row r="71" spans="2:21" x14ac:dyDescent="0.25">
      <c r="B71" s="282">
        <v>70</v>
      </c>
      <c r="C71" s="282"/>
      <c r="F71" s="283" t="s">
        <v>322</v>
      </c>
      <c r="G71" s="283"/>
      <c r="I71" s="282">
        <v>10</v>
      </c>
      <c r="J71" s="282"/>
      <c r="K71" s="282"/>
      <c r="L71" s="282"/>
      <c r="P71" s="42">
        <v>11800</v>
      </c>
      <c r="R71" s="42">
        <v>1738</v>
      </c>
      <c r="T71" s="284">
        <v>10062</v>
      </c>
      <c r="U71" s="284"/>
    </row>
    <row r="72" spans="2:21" x14ac:dyDescent="0.25">
      <c r="B72" s="282">
        <v>71</v>
      </c>
      <c r="C72" s="282"/>
      <c r="F72" s="283" t="s">
        <v>339</v>
      </c>
      <c r="G72" s="283"/>
      <c r="I72" s="282">
        <v>4</v>
      </c>
      <c r="J72" s="282"/>
      <c r="K72" s="282"/>
      <c r="L72" s="282"/>
      <c r="P72" s="42">
        <v>1400</v>
      </c>
      <c r="R72" s="42">
        <v>550</v>
      </c>
      <c r="T72" s="284">
        <v>850</v>
      </c>
      <c r="U72" s="284"/>
    </row>
    <row r="73" spans="2:21" x14ac:dyDescent="0.25">
      <c r="B73" s="282">
        <v>72</v>
      </c>
      <c r="C73" s="282"/>
      <c r="F73" s="283" t="s">
        <v>338</v>
      </c>
      <c r="G73" s="283"/>
      <c r="I73" s="282">
        <v>3</v>
      </c>
      <c r="J73" s="282"/>
      <c r="K73" s="282"/>
      <c r="L73" s="282"/>
      <c r="P73" s="42">
        <v>870</v>
      </c>
      <c r="R73" s="42">
        <v>240</v>
      </c>
      <c r="T73" s="284">
        <v>630</v>
      </c>
      <c r="U73" s="284"/>
    </row>
    <row r="74" spans="2:21" x14ac:dyDescent="0.25">
      <c r="B74" s="282">
        <v>73</v>
      </c>
      <c r="C74" s="282"/>
      <c r="F74" s="283" t="s">
        <v>308</v>
      </c>
      <c r="G74" s="283"/>
      <c r="I74" s="282">
        <v>2</v>
      </c>
      <c r="J74" s="282"/>
      <c r="K74" s="282"/>
      <c r="L74" s="282"/>
      <c r="P74" s="42">
        <v>20000</v>
      </c>
      <c r="R74" s="42">
        <v>13700</v>
      </c>
      <c r="T74" s="284">
        <v>6300</v>
      </c>
      <c r="U74" s="284"/>
    </row>
    <row r="75" spans="2:21" x14ac:dyDescent="0.25">
      <c r="B75" s="282">
        <v>74</v>
      </c>
      <c r="C75" s="282"/>
      <c r="F75" s="283" t="s">
        <v>195</v>
      </c>
      <c r="G75" s="283"/>
      <c r="I75" s="282">
        <v>22</v>
      </c>
      <c r="J75" s="282"/>
      <c r="K75" s="282"/>
      <c r="L75" s="282"/>
      <c r="P75" s="42">
        <v>21900</v>
      </c>
      <c r="R75" s="42">
        <v>2629</v>
      </c>
      <c r="T75" s="284">
        <v>19271</v>
      </c>
      <c r="U75" s="284"/>
    </row>
    <row r="76" spans="2:21" x14ac:dyDescent="0.25">
      <c r="B76" s="282">
        <v>75</v>
      </c>
      <c r="C76" s="282"/>
      <c r="F76" s="283" t="s">
        <v>194</v>
      </c>
      <c r="G76" s="283"/>
      <c r="I76" s="282">
        <v>21</v>
      </c>
      <c r="J76" s="282"/>
      <c r="K76" s="282"/>
      <c r="L76" s="282"/>
      <c r="P76" s="42">
        <v>14700</v>
      </c>
      <c r="R76" s="42">
        <v>3368</v>
      </c>
      <c r="T76" s="284">
        <v>11332</v>
      </c>
      <c r="U76" s="284"/>
    </row>
    <row r="77" spans="2:21" x14ac:dyDescent="0.25">
      <c r="B77" s="282">
        <v>76</v>
      </c>
      <c r="C77" s="282"/>
      <c r="F77" s="283" t="s">
        <v>444</v>
      </c>
      <c r="G77" s="283"/>
      <c r="I77" s="282">
        <v>1</v>
      </c>
      <c r="J77" s="282"/>
      <c r="K77" s="282"/>
      <c r="L77" s="282"/>
      <c r="P77" s="42">
        <v>880</v>
      </c>
      <c r="R77" s="42">
        <v>130</v>
      </c>
      <c r="T77" s="284">
        <v>750</v>
      </c>
      <c r="U77" s="284"/>
    </row>
    <row r="78" spans="2:21" x14ac:dyDescent="0.25">
      <c r="B78" s="282">
        <v>77</v>
      </c>
      <c r="C78" s="282"/>
      <c r="F78" s="283" t="s">
        <v>265</v>
      </c>
      <c r="G78" s="283"/>
      <c r="I78" s="282">
        <v>13</v>
      </c>
      <c r="J78" s="282"/>
      <c r="K78" s="282"/>
      <c r="L78" s="282"/>
      <c r="P78" s="42">
        <v>3900</v>
      </c>
      <c r="R78" s="42">
        <v>0</v>
      </c>
      <c r="T78" s="284">
        <v>3900</v>
      </c>
      <c r="U78" s="284"/>
    </row>
    <row r="79" spans="2:21" x14ac:dyDescent="0.25">
      <c r="B79" s="282">
        <v>78</v>
      </c>
      <c r="C79" s="282"/>
      <c r="F79" s="283" t="s">
        <v>321</v>
      </c>
      <c r="G79" s="283"/>
      <c r="I79" s="282">
        <v>3</v>
      </c>
      <c r="J79" s="282"/>
      <c r="K79" s="282"/>
      <c r="L79" s="282"/>
      <c r="P79" s="42">
        <v>1300</v>
      </c>
      <c r="R79" s="42">
        <v>380</v>
      </c>
      <c r="T79" s="284">
        <v>920</v>
      </c>
      <c r="U79" s="284"/>
    </row>
    <row r="80" spans="2:21" x14ac:dyDescent="0.25">
      <c r="B80" s="282">
        <v>79</v>
      </c>
      <c r="C80" s="282"/>
      <c r="F80" s="283" t="s">
        <v>289</v>
      </c>
      <c r="G80" s="283"/>
      <c r="I80" s="282">
        <v>46</v>
      </c>
      <c r="J80" s="282"/>
      <c r="K80" s="282"/>
      <c r="L80" s="282"/>
      <c r="P80" s="42">
        <v>23000</v>
      </c>
      <c r="R80" s="42">
        <v>6750</v>
      </c>
      <c r="T80" s="284">
        <v>16250</v>
      </c>
      <c r="U80" s="284"/>
    </row>
    <row r="81" spans="2:21" x14ac:dyDescent="0.25">
      <c r="B81" s="282">
        <v>80</v>
      </c>
      <c r="C81" s="282"/>
      <c r="F81" s="283" t="s">
        <v>320</v>
      </c>
      <c r="G81" s="283"/>
      <c r="I81" s="282">
        <v>32</v>
      </c>
      <c r="J81" s="282"/>
      <c r="K81" s="282"/>
      <c r="L81" s="282"/>
      <c r="P81" s="42">
        <v>16400</v>
      </c>
      <c r="R81" s="42">
        <v>4520</v>
      </c>
      <c r="T81" s="284">
        <v>11880</v>
      </c>
      <c r="U81" s="284"/>
    </row>
    <row r="82" spans="2:21" x14ac:dyDescent="0.25">
      <c r="B82" s="282">
        <v>81</v>
      </c>
      <c r="C82" s="282"/>
      <c r="F82" s="283" t="s">
        <v>152</v>
      </c>
      <c r="G82" s="283"/>
      <c r="I82" s="282">
        <v>903</v>
      </c>
      <c r="J82" s="282"/>
      <c r="K82" s="282"/>
      <c r="L82" s="282"/>
      <c r="P82" s="42">
        <v>532770</v>
      </c>
      <c r="R82" s="42">
        <v>153586</v>
      </c>
      <c r="T82" s="284">
        <v>379184</v>
      </c>
      <c r="U82" s="284"/>
    </row>
    <row r="83" spans="2:21" x14ac:dyDescent="0.25">
      <c r="B83" s="282">
        <v>82</v>
      </c>
      <c r="C83" s="282"/>
      <c r="F83" s="283" t="s">
        <v>151</v>
      </c>
      <c r="G83" s="283"/>
      <c r="I83" s="282">
        <v>1797</v>
      </c>
      <c r="J83" s="282"/>
      <c r="K83" s="282"/>
      <c r="L83" s="282"/>
      <c r="P83" s="42">
        <v>413310</v>
      </c>
      <c r="R83" s="42">
        <v>123323</v>
      </c>
      <c r="T83" s="284">
        <v>289987</v>
      </c>
      <c r="U83" s="284"/>
    </row>
    <row r="84" spans="2:21" x14ac:dyDescent="0.25">
      <c r="B84" s="282">
        <v>83</v>
      </c>
      <c r="C84" s="282"/>
      <c r="F84" s="283" t="s">
        <v>337</v>
      </c>
      <c r="G84" s="283"/>
      <c r="I84" s="282">
        <v>3</v>
      </c>
      <c r="J84" s="282"/>
      <c r="K84" s="282"/>
      <c r="L84" s="282"/>
      <c r="P84" s="42">
        <v>4140</v>
      </c>
      <c r="R84" s="42">
        <v>630</v>
      </c>
      <c r="T84" s="284">
        <v>3510</v>
      </c>
      <c r="U84" s="284"/>
    </row>
    <row r="85" spans="2:21" x14ac:dyDescent="0.25">
      <c r="B85" s="282">
        <v>84</v>
      </c>
      <c r="C85" s="282"/>
      <c r="F85" s="283" t="s">
        <v>238</v>
      </c>
      <c r="G85" s="283"/>
      <c r="I85" s="282">
        <v>1</v>
      </c>
      <c r="J85" s="282"/>
      <c r="K85" s="282"/>
      <c r="L85" s="282"/>
      <c r="P85" s="42">
        <v>990</v>
      </c>
      <c r="R85" s="42">
        <v>0</v>
      </c>
      <c r="T85" s="284">
        <v>990</v>
      </c>
      <c r="U85" s="284"/>
    </row>
    <row r="86" spans="2:21" x14ac:dyDescent="0.25">
      <c r="B86" s="282">
        <v>85</v>
      </c>
      <c r="C86" s="282"/>
      <c r="F86" s="283" t="s">
        <v>150</v>
      </c>
      <c r="G86" s="283"/>
      <c r="I86" s="282">
        <v>1125</v>
      </c>
      <c r="J86" s="282"/>
      <c r="K86" s="282"/>
      <c r="L86" s="282"/>
      <c r="P86" s="42">
        <v>191150</v>
      </c>
      <c r="R86" s="42">
        <v>49898</v>
      </c>
      <c r="T86" s="284">
        <v>141252</v>
      </c>
      <c r="U86" s="284"/>
    </row>
    <row r="87" spans="2:21" x14ac:dyDescent="0.25">
      <c r="B87" s="282">
        <v>86</v>
      </c>
      <c r="C87" s="282"/>
      <c r="F87" s="283" t="s">
        <v>149</v>
      </c>
      <c r="G87" s="283"/>
      <c r="I87" s="282">
        <v>294</v>
      </c>
      <c r="J87" s="282"/>
      <c r="K87" s="282"/>
      <c r="L87" s="282"/>
      <c r="P87" s="42">
        <v>14700</v>
      </c>
      <c r="R87" s="42">
        <v>2174</v>
      </c>
      <c r="T87" s="284">
        <v>12526</v>
      </c>
      <c r="U87" s="284"/>
    </row>
    <row r="88" spans="2:21" x14ac:dyDescent="0.25">
      <c r="B88" s="282">
        <v>87</v>
      </c>
      <c r="C88" s="282"/>
      <c r="F88" s="283" t="s">
        <v>237</v>
      </c>
      <c r="G88" s="283"/>
      <c r="I88" s="282">
        <v>4</v>
      </c>
      <c r="J88" s="282"/>
      <c r="K88" s="282"/>
      <c r="L88" s="282"/>
      <c r="P88" s="42">
        <v>3300</v>
      </c>
      <c r="R88" s="42">
        <v>870</v>
      </c>
      <c r="T88" s="284">
        <v>2430</v>
      </c>
      <c r="U88" s="284"/>
    </row>
    <row r="89" spans="2:21" x14ac:dyDescent="0.25">
      <c r="B89" s="282">
        <v>88</v>
      </c>
      <c r="C89" s="282"/>
      <c r="F89" s="283" t="s">
        <v>415</v>
      </c>
      <c r="G89" s="283"/>
      <c r="I89" s="282">
        <v>2</v>
      </c>
      <c r="J89" s="282"/>
      <c r="K89" s="282"/>
      <c r="L89" s="282"/>
      <c r="P89" s="42">
        <v>1700</v>
      </c>
      <c r="R89" s="42">
        <v>470</v>
      </c>
      <c r="T89" s="284">
        <v>1230</v>
      </c>
      <c r="U89" s="284"/>
    </row>
    <row r="90" spans="2:21" x14ac:dyDescent="0.25">
      <c r="B90" s="282">
        <v>89</v>
      </c>
      <c r="C90" s="282"/>
      <c r="F90" s="283" t="s">
        <v>236</v>
      </c>
      <c r="G90" s="283"/>
      <c r="I90" s="282">
        <v>6</v>
      </c>
      <c r="J90" s="282"/>
      <c r="K90" s="282"/>
      <c r="L90" s="282"/>
      <c r="P90" s="42">
        <v>4800</v>
      </c>
      <c r="R90" s="42">
        <v>800</v>
      </c>
      <c r="T90" s="284">
        <v>4000</v>
      </c>
      <c r="U90" s="284"/>
    </row>
    <row r="91" spans="2:21" x14ac:dyDescent="0.25">
      <c r="B91" s="282">
        <v>90</v>
      </c>
      <c r="C91" s="282"/>
      <c r="F91" s="283" t="s">
        <v>148</v>
      </c>
      <c r="G91" s="283"/>
      <c r="I91" s="282">
        <v>55</v>
      </c>
      <c r="J91" s="282"/>
      <c r="K91" s="282"/>
      <c r="L91" s="282"/>
      <c r="P91" s="42">
        <v>53900</v>
      </c>
      <c r="R91" s="42">
        <v>7950</v>
      </c>
      <c r="T91" s="284">
        <v>45950</v>
      </c>
      <c r="U91" s="284"/>
    </row>
    <row r="92" spans="2:21" x14ac:dyDescent="0.25">
      <c r="B92" s="282">
        <v>91</v>
      </c>
      <c r="C92" s="282"/>
      <c r="F92" s="283" t="s">
        <v>402</v>
      </c>
      <c r="G92" s="283"/>
      <c r="I92" s="282">
        <v>1</v>
      </c>
      <c r="J92" s="282"/>
      <c r="K92" s="282"/>
      <c r="L92" s="282"/>
      <c r="P92" s="42">
        <v>1420</v>
      </c>
      <c r="R92" s="42">
        <v>0</v>
      </c>
      <c r="T92" s="284">
        <v>1420</v>
      </c>
      <c r="U92" s="284"/>
    </row>
    <row r="93" spans="2:21" x14ac:dyDescent="0.25">
      <c r="B93" s="282">
        <v>92</v>
      </c>
      <c r="C93" s="282"/>
      <c r="F93" s="283" t="s">
        <v>147</v>
      </c>
      <c r="G93" s="283"/>
      <c r="I93" s="282">
        <v>26</v>
      </c>
      <c r="J93" s="282"/>
      <c r="K93" s="282"/>
      <c r="L93" s="282"/>
      <c r="P93" s="42">
        <v>780</v>
      </c>
      <c r="R93" s="42">
        <v>0</v>
      </c>
      <c r="T93" s="284">
        <v>780</v>
      </c>
      <c r="U93" s="284"/>
    </row>
    <row r="94" spans="2:21" x14ac:dyDescent="0.25">
      <c r="B94" s="282">
        <v>93</v>
      </c>
      <c r="C94" s="282"/>
      <c r="F94" s="283" t="s">
        <v>146</v>
      </c>
      <c r="G94" s="283"/>
      <c r="I94" s="282">
        <v>39</v>
      </c>
      <c r="J94" s="282"/>
      <c r="K94" s="282"/>
      <c r="L94" s="282"/>
      <c r="P94" s="42">
        <v>1950</v>
      </c>
      <c r="R94" s="42">
        <v>0</v>
      </c>
      <c r="T94" s="284">
        <v>1950</v>
      </c>
      <c r="U94" s="284"/>
    </row>
    <row r="95" spans="2:21" x14ac:dyDescent="0.25">
      <c r="B95" s="282">
        <v>94</v>
      </c>
      <c r="C95" s="282"/>
      <c r="F95" s="283" t="s">
        <v>145</v>
      </c>
      <c r="G95" s="283"/>
      <c r="I95" s="282">
        <v>26</v>
      </c>
      <c r="J95" s="282"/>
      <c r="K95" s="282"/>
      <c r="L95" s="282"/>
      <c r="P95" s="42">
        <v>3900</v>
      </c>
      <c r="R95" s="42">
        <v>0</v>
      </c>
      <c r="T95" s="284">
        <v>3900</v>
      </c>
      <c r="U95" s="284"/>
    </row>
    <row r="96" spans="2:21" x14ac:dyDescent="0.25">
      <c r="B96" s="282">
        <v>95</v>
      </c>
      <c r="C96" s="282"/>
      <c r="F96" s="283" t="s">
        <v>144</v>
      </c>
      <c r="G96" s="283"/>
      <c r="I96" s="282">
        <v>19</v>
      </c>
      <c r="J96" s="282"/>
      <c r="K96" s="282"/>
      <c r="L96" s="282"/>
      <c r="P96" s="42">
        <v>5700</v>
      </c>
      <c r="R96" s="42">
        <v>0</v>
      </c>
      <c r="T96" s="284">
        <v>5700</v>
      </c>
      <c r="U96" s="284"/>
    </row>
    <row r="97" spans="2:21" x14ac:dyDescent="0.25">
      <c r="B97" s="282">
        <v>96</v>
      </c>
      <c r="C97" s="282"/>
      <c r="F97" s="283" t="s">
        <v>425</v>
      </c>
      <c r="G97" s="283"/>
      <c r="I97" s="282">
        <v>1</v>
      </c>
      <c r="J97" s="282"/>
      <c r="K97" s="282"/>
      <c r="L97" s="282"/>
      <c r="P97" s="42">
        <v>500</v>
      </c>
      <c r="R97" s="42">
        <v>0</v>
      </c>
      <c r="T97" s="284">
        <v>500</v>
      </c>
      <c r="U97" s="284"/>
    </row>
    <row r="98" spans="2:21" x14ac:dyDescent="0.25">
      <c r="B98" s="282">
        <v>97</v>
      </c>
      <c r="C98" s="282"/>
      <c r="F98" s="283" t="s">
        <v>143</v>
      </c>
      <c r="G98" s="283"/>
      <c r="I98" s="282">
        <v>4</v>
      </c>
      <c r="J98" s="282"/>
      <c r="K98" s="282"/>
      <c r="L98" s="282"/>
      <c r="P98" s="42">
        <v>400</v>
      </c>
      <c r="R98" s="42">
        <v>0</v>
      </c>
      <c r="T98" s="284">
        <v>400</v>
      </c>
      <c r="U98" s="284"/>
    </row>
    <row r="99" spans="2:21" x14ac:dyDescent="0.25">
      <c r="B99" s="282">
        <v>98</v>
      </c>
      <c r="C99" s="282"/>
      <c r="F99" s="283" t="s">
        <v>441</v>
      </c>
      <c r="G99" s="283"/>
      <c r="I99" s="282">
        <v>1</v>
      </c>
      <c r="J99" s="282"/>
      <c r="K99" s="282"/>
      <c r="L99" s="282"/>
      <c r="P99" s="42">
        <v>990</v>
      </c>
      <c r="R99" s="42">
        <v>300</v>
      </c>
      <c r="T99" s="284">
        <v>690</v>
      </c>
      <c r="U99" s="284"/>
    </row>
    <row r="100" spans="2:21" x14ac:dyDescent="0.25">
      <c r="B100" s="282">
        <v>99</v>
      </c>
      <c r="C100" s="282"/>
      <c r="F100" s="283" t="s">
        <v>235</v>
      </c>
      <c r="G100" s="283"/>
      <c r="I100" s="282">
        <v>9</v>
      </c>
      <c r="J100" s="282"/>
      <c r="K100" s="282"/>
      <c r="L100" s="282"/>
      <c r="P100" s="42">
        <v>8550</v>
      </c>
      <c r="R100" s="42">
        <v>980</v>
      </c>
      <c r="T100" s="284">
        <v>7570</v>
      </c>
      <c r="U100" s="284"/>
    </row>
    <row r="101" spans="2:21" x14ac:dyDescent="0.25">
      <c r="B101" s="282">
        <v>100</v>
      </c>
      <c r="C101" s="282"/>
      <c r="F101" s="283" t="s">
        <v>288</v>
      </c>
      <c r="G101" s="283"/>
      <c r="I101" s="282">
        <v>71</v>
      </c>
      <c r="J101" s="282"/>
      <c r="K101" s="282"/>
      <c r="L101" s="282"/>
      <c r="P101" s="42">
        <v>57100</v>
      </c>
      <c r="R101" s="42">
        <v>30912</v>
      </c>
      <c r="T101" s="284">
        <v>26188</v>
      </c>
      <c r="U101" s="284"/>
    </row>
    <row r="102" spans="2:21" x14ac:dyDescent="0.25">
      <c r="B102" s="282">
        <v>101</v>
      </c>
      <c r="C102" s="282"/>
      <c r="F102" s="283" t="s">
        <v>234</v>
      </c>
      <c r="G102" s="283"/>
      <c r="I102" s="282">
        <v>79</v>
      </c>
      <c r="J102" s="282"/>
      <c r="K102" s="282"/>
      <c r="L102" s="282"/>
      <c r="P102" s="42">
        <v>63300</v>
      </c>
      <c r="R102" s="42">
        <v>34368</v>
      </c>
      <c r="T102" s="284">
        <v>28932</v>
      </c>
      <c r="U102" s="284"/>
    </row>
    <row r="103" spans="2:21" ht="6.75" customHeight="1" x14ac:dyDescent="0.25"/>
    <row r="104" spans="2:21" x14ac:dyDescent="0.25">
      <c r="B104" s="282">
        <v>102</v>
      </c>
      <c r="C104" s="282"/>
      <c r="F104" s="283" t="s">
        <v>287</v>
      </c>
      <c r="G104" s="283"/>
      <c r="I104" s="282">
        <v>41</v>
      </c>
      <c r="J104" s="282"/>
      <c r="K104" s="282"/>
      <c r="L104" s="282"/>
      <c r="P104" s="42">
        <v>33100</v>
      </c>
      <c r="R104" s="42">
        <v>16502</v>
      </c>
      <c r="T104" s="284">
        <v>16598</v>
      </c>
      <c r="U104" s="284"/>
    </row>
    <row r="105" spans="2:21" x14ac:dyDescent="0.25">
      <c r="B105" s="282">
        <v>103</v>
      </c>
      <c r="C105" s="282"/>
      <c r="F105" s="283" t="s">
        <v>286</v>
      </c>
      <c r="G105" s="283"/>
      <c r="I105" s="282">
        <v>22</v>
      </c>
      <c r="J105" s="282"/>
      <c r="K105" s="282"/>
      <c r="L105" s="282"/>
      <c r="P105" s="42">
        <v>17700</v>
      </c>
      <c r="R105" s="42">
        <v>8830</v>
      </c>
      <c r="T105" s="284">
        <v>8870</v>
      </c>
      <c r="U105" s="284"/>
    </row>
    <row r="106" spans="2:21" x14ac:dyDescent="0.25">
      <c r="B106" s="282">
        <v>104</v>
      </c>
      <c r="C106" s="282"/>
      <c r="F106" s="283" t="s">
        <v>233</v>
      </c>
      <c r="G106" s="283"/>
      <c r="I106" s="282">
        <v>35</v>
      </c>
      <c r="J106" s="282"/>
      <c r="K106" s="282"/>
      <c r="L106" s="282"/>
      <c r="P106" s="42">
        <v>34300</v>
      </c>
      <c r="R106" s="42">
        <v>5100</v>
      </c>
      <c r="T106" s="284">
        <v>29200</v>
      </c>
      <c r="U106" s="284"/>
    </row>
    <row r="107" spans="2:21" x14ac:dyDescent="0.25">
      <c r="B107" s="282">
        <v>105</v>
      </c>
      <c r="C107" s="282"/>
      <c r="F107" s="283" t="s">
        <v>232</v>
      </c>
      <c r="G107" s="283"/>
      <c r="I107" s="282">
        <v>52</v>
      </c>
      <c r="J107" s="282"/>
      <c r="K107" s="282"/>
      <c r="L107" s="282"/>
      <c r="P107" s="42">
        <v>50960</v>
      </c>
      <c r="R107" s="42">
        <v>7500</v>
      </c>
      <c r="T107" s="284">
        <v>43460</v>
      </c>
      <c r="U107" s="284"/>
    </row>
    <row r="108" spans="2:21" x14ac:dyDescent="0.25">
      <c r="B108" s="282">
        <v>106</v>
      </c>
      <c r="C108" s="282"/>
      <c r="F108" s="283" t="s">
        <v>193</v>
      </c>
      <c r="G108" s="283"/>
      <c r="I108" s="282">
        <v>89</v>
      </c>
      <c r="J108" s="282"/>
      <c r="K108" s="282"/>
      <c r="L108" s="282"/>
      <c r="P108" s="42">
        <v>79210</v>
      </c>
      <c r="R108" s="42">
        <v>8895</v>
      </c>
      <c r="T108" s="284">
        <v>70315</v>
      </c>
      <c r="U108" s="284"/>
    </row>
    <row r="109" spans="2:21" x14ac:dyDescent="0.25">
      <c r="B109" s="282">
        <v>107</v>
      </c>
      <c r="C109" s="282"/>
      <c r="F109" s="283" t="s">
        <v>353</v>
      </c>
      <c r="G109" s="283"/>
      <c r="I109" s="282">
        <v>2</v>
      </c>
      <c r="J109" s="282"/>
      <c r="K109" s="282"/>
      <c r="L109" s="282"/>
      <c r="P109" s="42">
        <v>700</v>
      </c>
      <c r="R109" s="42">
        <v>300</v>
      </c>
      <c r="T109" s="284">
        <v>400</v>
      </c>
      <c r="U109" s="284"/>
    </row>
    <row r="110" spans="2:21" x14ac:dyDescent="0.25">
      <c r="B110" s="282">
        <v>108</v>
      </c>
      <c r="C110" s="282"/>
      <c r="F110" s="283" t="s">
        <v>142</v>
      </c>
      <c r="G110" s="283"/>
      <c r="I110" s="282">
        <v>89</v>
      </c>
      <c r="J110" s="282"/>
      <c r="K110" s="282"/>
      <c r="L110" s="282"/>
      <c r="P110" s="42">
        <v>31150</v>
      </c>
      <c r="R110" s="42">
        <v>13350</v>
      </c>
      <c r="T110" s="284">
        <v>17800</v>
      </c>
      <c r="U110" s="284"/>
    </row>
    <row r="111" spans="2:21" x14ac:dyDescent="0.25">
      <c r="B111" s="282">
        <v>109</v>
      </c>
      <c r="C111" s="282"/>
      <c r="F111" s="283" t="s">
        <v>411</v>
      </c>
      <c r="G111" s="283"/>
      <c r="I111" s="282">
        <v>1</v>
      </c>
      <c r="J111" s="282"/>
      <c r="K111" s="282"/>
      <c r="L111" s="282"/>
      <c r="P111" s="42">
        <v>300</v>
      </c>
      <c r="R111" s="42">
        <v>90</v>
      </c>
      <c r="T111" s="284">
        <v>210</v>
      </c>
      <c r="U111" s="284"/>
    </row>
    <row r="112" spans="2:21" x14ac:dyDescent="0.25">
      <c r="B112" s="282">
        <v>110</v>
      </c>
      <c r="C112" s="282"/>
      <c r="F112" s="283" t="s">
        <v>75</v>
      </c>
      <c r="G112" s="283"/>
      <c r="I112" s="282">
        <v>80477</v>
      </c>
      <c r="J112" s="282"/>
      <c r="K112" s="282"/>
      <c r="L112" s="282"/>
      <c r="P112" s="42">
        <v>201190000</v>
      </c>
      <c r="R112" s="42">
        <v>201187360</v>
      </c>
      <c r="T112" s="284">
        <v>2640</v>
      </c>
      <c r="U112" s="284"/>
    </row>
    <row r="113" spans="2:21" x14ac:dyDescent="0.25">
      <c r="B113" s="282">
        <v>111</v>
      </c>
      <c r="C113" s="282"/>
      <c r="F113" s="283" t="s">
        <v>141</v>
      </c>
      <c r="G113" s="283"/>
      <c r="I113" s="282">
        <v>71</v>
      </c>
      <c r="J113" s="282"/>
      <c r="K113" s="282"/>
      <c r="L113" s="282"/>
      <c r="P113" s="42">
        <v>5325</v>
      </c>
      <c r="R113" s="42">
        <v>1496</v>
      </c>
      <c r="T113" s="284">
        <v>3829</v>
      </c>
      <c r="U113" s="284"/>
    </row>
    <row r="114" spans="2:21" x14ac:dyDescent="0.25">
      <c r="B114" s="282">
        <v>112</v>
      </c>
      <c r="C114" s="282"/>
      <c r="F114" s="283" t="s">
        <v>373</v>
      </c>
      <c r="G114" s="283"/>
      <c r="I114" s="282">
        <v>1</v>
      </c>
      <c r="J114" s="282"/>
      <c r="K114" s="282"/>
      <c r="L114" s="282"/>
      <c r="P114" s="42">
        <v>960</v>
      </c>
      <c r="R114" s="42">
        <v>360</v>
      </c>
      <c r="T114" s="284">
        <v>600</v>
      </c>
      <c r="U114" s="284"/>
    </row>
    <row r="115" spans="2:21" x14ac:dyDescent="0.25">
      <c r="B115" s="282">
        <v>113</v>
      </c>
      <c r="C115" s="282"/>
      <c r="F115" s="283" t="s">
        <v>140</v>
      </c>
      <c r="G115" s="283"/>
      <c r="I115" s="282">
        <v>9</v>
      </c>
      <c r="J115" s="282"/>
      <c r="K115" s="282"/>
      <c r="L115" s="282"/>
      <c r="P115" s="42">
        <v>2610</v>
      </c>
      <c r="R115" s="42">
        <v>160</v>
      </c>
      <c r="T115" s="284">
        <v>2450</v>
      </c>
      <c r="U115" s="284"/>
    </row>
    <row r="116" spans="2:21" x14ac:dyDescent="0.25">
      <c r="B116" s="282">
        <v>114</v>
      </c>
      <c r="C116" s="282"/>
      <c r="F116" s="283" t="s">
        <v>139</v>
      </c>
      <c r="G116" s="283"/>
      <c r="I116" s="282">
        <v>191</v>
      </c>
      <c r="J116" s="282"/>
      <c r="K116" s="282"/>
      <c r="L116" s="282"/>
      <c r="P116" s="42">
        <v>51570</v>
      </c>
      <c r="R116" s="42">
        <v>13450</v>
      </c>
      <c r="T116" s="284">
        <v>38120</v>
      </c>
      <c r="U116" s="284"/>
    </row>
    <row r="117" spans="2:21" x14ac:dyDescent="0.25">
      <c r="B117" s="282">
        <v>115</v>
      </c>
      <c r="C117" s="282"/>
      <c r="F117" s="283" t="s">
        <v>231</v>
      </c>
      <c r="G117" s="283"/>
      <c r="I117" s="282">
        <v>19</v>
      </c>
      <c r="J117" s="282"/>
      <c r="K117" s="282"/>
      <c r="L117" s="282"/>
      <c r="P117" s="42">
        <v>9500</v>
      </c>
      <c r="R117" s="42">
        <v>2230</v>
      </c>
      <c r="T117" s="284">
        <v>7270</v>
      </c>
      <c r="U117" s="284"/>
    </row>
    <row r="118" spans="2:21" x14ac:dyDescent="0.25">
      <c r="B118" s="282">
        <v>116</v>
      </c>
      <c r="C118" s="282"/>
      <c r="F118" s="283" t="s">
        <v>302</v>
      </c>
      <c r="G118" s="283"/>
      <c r="I118" s="282">
        <v>44</v>
      </c>
      <c r="J118" s="282"/>
      <c r="K118" s="282"/>
      <c r="L118" s="282"/>
      <c r="P118" s="42">
        <v>35200</v>
      </c>
      <c r="R118" s="42">
        <v>18191</v>
      </c>
      <c r="T118" s="284">
        <v>17009</v>
      </c>
      <c r="U118" s="284"/>
    </row>
    <row r="119" spans="2:21" x14ac:dyDescent="0.25">
      <c r="B119" s="282">
        <v>117</v>
      </c>
      <c r="C119" s="282"/>
      <c r="F119" s="283" t="s">
        <v>138</v>
      </c>
      <c r="G119" s="283"/>
      <c r="I119" s="282">
        <v>24</v>
      </c>
      <c r="J119" s="282"/>
      <c r="K119" s="282"/>
      <c r="L119" s="282"/>
      <c r="P119" s="42">
        <v>19200</v>
      </c>
      <c r="R119" s="42">
        <v>10300</v>
      </c>
      <c r="T119" s="284">
        <v>8900</v>
      </c>
      <c r="U119" s="284"/>
    </row>
    <row r="120" spans="2:21" x14ac:dyDescent="0.25">
      <c r="B120" s="282">
        <v>118</v>
      </c>
      <c r="C120" s="282"/>
      <c r="F120" s="283" t="s">
        <v>137</v>
      </c>
      <c r="G120" s="283"/>
      <c r="I120" s="282">
        <v>45</v>
      </c>
      <c r="J120" s="282"/>
      <c r="K120" s="282"/>
      <c r="L120" s="282"/>
      <c r="P120" s="42">
        <v>36000</v>
      </c>
      <c r="R120" s="42">
        <v>18618</v>
      </c>
      <c r="T120" s="284">
        <v>17382</v>
      </c>
      <c r="U120" s="284"/>
    </row>
    <row r="121" spans="2:21" x14ac:dyDescent="0.25">
      <c r="B121" s="282">
        <v>119</v>
      </c>
      <c r="C121" s="282"/>
      <c r="F121" s="283" t="s">
        <v>313</v>
      </c>
      <c r="G121" s="283"/>
      <c r="I121" s="282">
        <v>9</v>
      </c>
      <c r="J121" s="282"/>
      <c r="K121" s="282"/>
      <c r="L121" s="282"/>
      <c r="P121" s="42">
        <v>7200</v>
      </c>
      <c r="R121" s="42">
        <v>4050</v>
      </c>
      <c r="T121" s="284">
        <v>3150</v>
      </c>
      <c r="U121" s="284"/>
    </row>
    <row r="122" spans="2:21" x14ac:dyDescent="0.25">
      <c r="B122" s="282">
        <v>120</v>
      </c>
      <c r="C122" s="282"/>
      <c r="F122" s="283" t="s">
        <v>192</v>
      </c>
      <c r="G122" s="283"/>
      <c r="I122" s="282">
        <v>22</v>
      </c>
      <c r="J122" s="282"/>
      <c r="K122" s="282"/>
      <c r="L122" s="282"/>
      <c r="P122" s="42">
        <v>34100</v>
      </c>
      <c r="R122" s="42">
        <v>775</v>
      </c>
      <c r="T122" s="284">
        <v>33325</v>
      </c>
      <c r="U122" s="284"/>
    </row>
    <row r="123" spans="2:21" x14ac:dyDescent="0.25">
      <c r="B123" s="282">
        <v>121</v>
      </c>
      <c r="C123" s="282"/>
      <c r="F123" s="283" t="s">
        <v>136</v>
      </c>
      <c r="G123" s="283"/>
      <c r="I123" s="282">
        <v>1527</v>
      </c>
      <c r="J123" s="282"/>
      <c r="K123" s="282"/>
      <c r="L123" s="282"/>
      <c r="P123" s="42">
        <v>1297950</v>
      </c>
      <c r="R123" s="42">
        <v>267099</v>
      </c>
      <c r="T123" s="284">
        <v>1030851</v>
      </c>
      <c r="U123" s="284"/>
    </row>
    <row r="124" spans="2:21" x14ac:dyDescent="0.25">
      <c r="B124" s="282">
        <v>122</v>
      </c>
      <c r="C124" s="282"/>
      <c r="F124" s="283" t="s">
        <v>74</v>
      </c>
      <c r="G124" s="283"/>
      <c r="I124" s="282">
        <v>3420</v>
      </c>
      <c r="J124" s="282"/>
      <c r="K124" s="282"/>
      <c r="L124" s="282"/>
      <c r="P124" s="42">
        <v>2907000</v>
      </c>
      <c r="R124" s="42">
        <v>2907000</v>
      </c>
      <c r="T124" s="284">
        <v>0</v>
      </c>
      <c r="U124" s="284"/>
    </row>
    <row r="125" spans="2:21" x14ac:dyDescent="0.25">
      <c r="B125" s="282">
        <v>123</v>
      </c>
      <c r="C125" s="282"/>
      <c r="F125" s="283" t="s">
        <v>191</v>
      </c>
      <c r="G125" s="283"/>
      <c r="I125" s="282">
        <v>11</v>
      </c>
      <c r="J125" s="282"/>
      <c r="K125" s="282"/>
      <c r="L125" s="282"/>
      <c r="P125" s="42">
        <v>3850</v>
      </c>
      <c r="R125" s="42">
        <v>1280</v>
      </c>
      <c r="T125" s="284">
        <v>2570</v>
      </c>
      <c r="U125" s="284"/>
    </row>
    <row r="126" spans="2:21" x14ac:dyDescent="0.25">
      <c r="B126" s="282">
        <v>124</v>
      </c>
      <c r="C126" s="282"/>
      <c r="F126" s="283" t="s">
        <v>410</v>
      </c>
      <c r="G126" s="283"/>
      <c r="I126" s="282">
        <v>24</v>
      </c>
      <c r="J126" s="282"/>
      <c r="K126" s="282"/>
      <c r="L126" s="282"/>
      <c r="P126" s="42">
        <v>19200</v>
      </c>
      <c r="R126" s="42">
        <v>7200</v>
      </c>
      <c r="T126" s="284">
        <v>12000</v>
      </c>
      <c r="U126" s="284"/>
    </row>
    <row r="127" spans="2:21" x14ac:dyDescent="0.25">
      <c r="B127" s="282">
        <v>125</v>
      </c>
      <c r="C127" s="282"/>
      <c r="F127" s="283" t="s">
        <v>424</v>
      </c>
      <c r="G127" s="283"/>
      <c r="I127" s="282">
        <v>1</v>
      </c>
      <c r="J127" s="282"/>
      <c r="K127" s="282"/>
      <c r="L127" s="282"/>
      <c r="P127" s="42">
        <v>500</v>
      </c>
      <c r="R127" s="42">
        <v>150</v>
      </c>
      <c r="T127" s="284">
        <v>350</v>
      </c>
      <c r="U127" s="284"/>
    </row>
    <row r="128" spans="2:21" x14ac:dyDescent="0.25">
      <c r="B128" s="282">
        <v>126</v>
      </c>
      <c r="C128" s="282"/>
      <c r="F128" s="283" t="s">
        <v>352</v>
      </c>
      <c r="G128" s="283"/>
      <c r="I128" s="282">
        <v>8</v>
      </c>
      <c r="J128" s="282"/>
      <c r="K128" s="282"/>
      <c r="L128" s="282"/>
      <c r="P128" s="42">
        <v>6400</v>
      </c>
      <c r="R128" s="42">
        <v>3600</v>
      </c>
      <c r="T128" s="284">
        <v>2800</v>
      </c>
      <c r="U128" s="284"/>
    </row>
    <row r="129" spans="2:21" x14ac:dyDescent="0.25">
      <c r="B129" s="282">
        <v>127</v>
      </c>
      <c r="C129" s="282"/>
      <c r="F129" s="283" t="s">
        <v>351</v>
      </c>
      <c r="G129" s="283"/>
      <c r="I129" s="282">
        <v>5</v>
      </c>
      <c r="J129" s="282"/>
      <c r="K129" s="282"/>
      <c r="L129" s="282"/>
      <c r="P129" s="42">
        <v>4000</v>
      </c>
      <c r="R129" s="42">
        <v>2250</v>
      </c>
      <c r="T129" s="284">
        <v>1750</v>
      </c>
      <c r="U129" s="284"/>
    </row>
    <row r="130" spans="2:21" x14ac:dyDescent="0.25">
      <c r="B130" s="282">
        <v>128</v>
      </c>
      <c r="C130" s="282"/>
      <c r="F130" s="283" t="s">
        <v>190</v>
      </c>
      <c r="G130" s="283"/>
      <c r="I130" s="282">
        <v>338</v>
      </c>
      <c r="J130" s="282"/>
      <c r="K130" s="282"/>
      <c r="L130" s="282"/>
      <c r="P130" s="42">
        <v>530660</v>
      </c>
      <c r="R130" s="42">
        <v>72323</v>
      </c>
      <c r="T130" s="284">
        <v>458337</v>
      </c>
      <c r="U130" s="284"/>
    </row>
    <row r="131" spans="2:21" x14ac:dyDescent="0.25">
      <c r="B131" s="282">
        <v>129</v>
      </c>
      <c r="C131" s="282"/>
      <c r="F131" s="283" t="s">
        <v>264</v>
      </c>
      <c r="G131" s="283"/>
      <c r="I131" s="282">
        <v>6</v>
      </c>
      <c r="J131" s="282"/>
      <c r="K131" s="282"/>
      <c r="L131" s="282"/>
      <c r="P131" s="42">
        <v>7740</v>
      </c>
      <c r="R131" s="42">
        <v>0</v>
      </c>
      <c r="T131" s="284">
        <v>7740</v>
      </c>
      <c r="U131" s="284"/>
    </row>
    <row r="132" spans="2:21" x14ac:dyDescent="0.25">
      <c r="B132" s="282">
        <v>130</v>
      </c>
      <c r="C132" s="282"/>
      <c r="F132" s="283" t="s">
        <v>189</v>
      </c>
      <c r="G132" s="283"/>
      <c r="I132" s="282">
        <v>2</v>
      </c>
      <c r="J132" s="282"/>
      <c r="K132" s="282"/>
      <c r="L132" s="282"/>
      <c r="P132" s="42">
        <v>2280</v>
      </c>
      <c r="R132" s="42">
        <v>0</v>
      </c>
      <c r="T132" s="284">
        <v>2280</v>
      </c>
      <c r="U132" s="284"/>
    </row>
    <row r="133" spans="2:21" x14ac:dyDescent="0.25">
      <c r="B133" s="282">
        <v>131</v>
      </c>
      <c r="C133" s="282"/>
      <c r="F133" s="283" t="s">
        <v>230</v>
      </c>
      <c r="G133" s="283"/>
      <c r="I133" s="282">
        <v>37</v>
      </c>
      <c r="J133" s="282"/>
      <c r="K133" s="282"/>
      <c r="L133" s="282"/>
      <c r="P133" s="42">
        <v>35150</v>
      </c>
      <c r="R133" s="42">
        <v>4620</v>
      </c>
      <c r="T133" s="284">
        <v>30530</v>
      </c>
      <c r="U133" s="284"/>
    </row>
    <row r="134" spans="2:21" x14ac:dyDescent="0.25">
      <c r="B134" s="282">
        <v>132</v>
      </c>
      <c r="C134" s="282"/>
      <c r="F134" s="283" t="s">
        <v>135</v>
      </c>
      <c r="G134" s="283"/>
      <c r="I134" s="282">
        <v>417</v>
      </c>
      <c r="J134" s="282"/>
      <c r="K134" s="282"/>
      <c r="L134" s="282"/>
      <c r="P134" s="42">
        <v>396150</v>
      </c>
      <c r="R134" s="42">
        <v>116260</v>
      </c>
      <c r="T134" s="284">
        <v>279890</v>
      </c>
      <c r="U134" s="284"/>
    </row>
    <row r="135" spans="2:21" x14ac:dyDescent="0.25">
      <c r="B135" s="282">
        <v>133</v>
      </c>
      <c r="C135" s="282"/>
      <c r="F135" s="283" t="s">
        <v>315</v>
      </c>
      <c r="G135" s="283"/>
      <c r="I135" s="282">
        <v>1</v>
      </c>
      <c r="J135" s="282"/>
      <c r="K135" s="282"/>
      <c r="L135" s="282"/>
      <c r="P135" s="42">
        <v>500</v>
      </c>
      <c r="R135" s="42">
        <v>130</v>
      </c>
      <c r="T135" s="284">
        <v>370</v>
      </c>
      <c r="U135" s="284"/>
    </row>
    <row r="136" spans="2:21" x14ac:dyDescent="0.25">
      <c r="B136" s="282">
        <v>134</v>
      </c>
      <c r="C136" s="282"/>
      <c r="F136" s="283" t="s">
        <v>134</v>
      </c>
      <c r="G136" s="283"/>
      <c r="I136" s="282">
        <v>37</v>
      </c>
      <c r="J136" s="282"/>
      <c r="K136" s="282"/>
      <c r="L136" s="282"/>
      <c r="P136" s="42">
        <v>136900</v>
      </c>
      <c r="R136" s="42">
        <v>25600</v>
      </c>
      <c r="T136" s="284">
        <v>111300</v>
      </c>
      <c r="U136" s="284"/>
    </row>
    <row r="137" spans="2:21" x14ac:dyDescent="0.25">
      <c r="B137" s="282">
        <v>135</v>
      </c>
      <c r="C137" s="282"/>
      <c r="F137" s="283" t="s">
        <v>285</v>
      </c>
      <c r="G137" s="283"/>
      <c r="I137" s="282">
        <v>7</v>
      </c>
      <c r="J137" s="282"/>
      <c r="K137" s="282"/>
      <c r="L137" s="282"/>
      <c r="P137" s="42">
        <v>25900</v>
      </c>
      <c r="R137" s="42">
        <v>12950</v>
      </c>
      <c r="T137" s="284">
        <v>12950</v>
      </c>
      <c r="U137" s="284"/>
    </row>
    <row r="138" spans="2:21" x14ac:dyDescent="0.25">
      <c r="B138" s="282">
        <v>136</v>
      </c>
      <c r="C138" s="282"/>
      <c r="F138" s="283" t="s">
        <v>229</v>
      </c>
      <c r="G138" s="283"/>
      <c r="I138" s="282">
        <v>50</v>
      </c>
      <c r="J138" s="282"/>
      <c r="K138" s="282"/>
      <c r="L138" s="282"/>
      <c r="P138" s="42">
        <v>350000</v>
      </c>
      <c r="R138" s="42">
        <v>176100</v>
      </c>
      <c r="T138" s="284">
        <v>173900</v>
      </c>
      <c r="U138" s="284"/>
    </row>
    <row r="139" spans="2:21" x14ac:dyDescent="0.25">
      <c r="B139" s="282">
        <v>137</v>
      </c>
      <c r="C139" s="282"/>
      <c r="F139" s="283" t="s">
        <v>133</v>
      </c>
      <c r="G139" s="283"/>
      <c r="I139" s="282">
        <v>6</v>
      </c>
      <c r="J139" s="282"/>
      <c r="K139" s="282"/>
      <c r="L139" s="282"/>
      <c r="P139" s="42">
        <v>6540</v>
      </c>
      <c r="R139" s="42">
        <v>0</v>
      </c>
      <c r="T139" s="284">
        <v>6540</v>
      </c>
      <c r="U139" s="284"/>
    </row>
    <row r="140" spans="2:21" x14ac:dyDescent="0.25">
      <c r="B140" s="282">
        <v>138</v>
      </c>
      <c r="C140" s="282"/>
      <c r="F140" s="283" t="s">
        <v>132</v>
      </c>
      <c r="G140" s="283"/>
      <c r="I140" s="282">
        <v>516</v>
      </c>
      <c r="J140" s="282"/>
      <c r="K140" s="282"/>
      <c r="L140" s="282"/>
      <c r="P140" s="42">
        <v>639840</v>
      </c>
      <c r="R140" s="42">
        <v>188289</v>
      </c>
      <c r="T140" s="284">
        <v>451551</v>
      </c>
      <c r="U140" s="284"/>
    </row>
    <row r="141" spans="2:21" x14ac:dyDescent="0.25">
      <c r="B141" s="282">
        <v>139</v>
      </c>
      <c r="C141" s="282"/>
      <c r="F141" s="283" t="s">
        <v>392</v>
      </c>
      <c r="G141" s="283"/>
      <c r="I141" s="282">
        <v>4</v>
      </c>
      <c r="J141" s="282"/>
      <c r="K141" s="282"/>
      <c r="L141" s="282"/>
      <c r="P141" s="42">
        <v>36000</v>
      </c>
      <c r="R141" s="42">
        <v>3600</v>
      </c>
      <c r="T141" s="284">
        <v>32400</v>
      </c>
      <c r="U141" s="284"/>
    </row>
    <row r="142" spans="2:21" x14ac:dyDescent="0.25">
      <c r="B142" s="282">
        <v>140</v>
      </c>
      <c r="C142" s="282"/>
      <c r="F142" s="283" t="s">
        <v>455</v>
      </c>
      <c r="G142" s="283"/>
      <c r="I142" s="282">
        <v>1</v>
      </c>
      <c r="J142" s="282"/>
      <c r="K142" s="282"/>
      <c r="L142" s="282"/>
      <c r="P142" s="42">
        <v>9000</v>
      </c>
      <c r="R142" s="42">
        <v>4500</v>
      </c>
      <c r="T142" s="284">
        <v>4500</v>
      </c>
      <c r="U142" s="284"/>
    </row>
    <row r="143" spans="2:21" x14ac:dyDescent="0.25">
      <c r="B143" s="282">
        <v>141</v>
      </c>
      <c r="C143" s="282"/>
      <c r="F143" s="283" t="s">
        <v>131</v>
      </c>
      <c r="G143" s="283"/>
      <c r="I143" s="282">
        <v>174</v>
      </c>
      <c r="J143" s="282"/>
      <c r="K143" s="282"/>
      <c r="L143" s="282"/>
      <c r="P143" s="42">
        <v>643800</v>
      </c>
      <c r="R143" s="42">
        <v>120172</v>
      </c>
      <c r="T143" s="284">
        <v>523628</v>
      </c>
      <c r="U143" s="284"/>
    </row>
    <row r="144" spans="2:21" x14ac:dyDescent="0.25">
      <c r="B144" s="282">
        <v>142</v>
      </c>
      <c r="C144" s="282"/>
      <c r="F144" s="285" t="s">
        <v>284</v>
      </c>
      <c r="G144" s="285"/>
      <c r="I144" s="282">
        <v>32</v>
      </c>
      <c r="J144" s="282"/>
      <c r="K144" s="282"/>
      <c r="L144" s="282"/>
      <c r="P144" s="42">
        <v>118400</v>
      </c>
      <c r="R144" s="42">
        <v>55833</v>
      </c>
      <c r="T144" s="284">
        <v>62567</v>
      </c>
      <c r="U144" s="284"/>
    </row>
    <row r="145" spans="2:21" x14ac:dyDescent="0.25">
      <c r="F145" s="285"/>
      <c r="G145" s="285"/>
    </row>
    <row r="146" spans="2:21" x14ac:dyDescent="0.25">
      <c r="B146" s="282">
        <v>143</v>
      </c>
      <c r="C146" s="282"/>
      <c r="F146" s="283" t="s">
        <v>130</v>
      </c>
      <c r="G146" s="283"/>
      <c r="I146" s="282">
        <v>188</v>
      </c>
      <c r="J146" s="282"/>
      <c r="K146" s="282"/>
      <c r="L146" s="282"/>
      <c r="P146" s="42">
        <v>1504000</v>
      </c>
      <c r="R146" s="42">
        <v>795400</v>
      </c>
      <c r="T146" s="284">
        <v>708600</v>
      </c>
      <c r="U146" s="284"/>
    </row>
    <row r="147" spans="2:21" x14ac:dyDescent="0.25">
      <c r="B147" s="282">
        <v>144</v>
      </c>
      <c r="C147" s="282"/>
      <c r="F147" s="285" t="s">
        <v>188</v>
      </c>
      <c r="G147" s="285"/>
      <c r="I147" s="282">
        <v>7</v>
      </c>
      <c r="J147" s="282"/>
      <c r="K147" s="282"/>
      <c r="L147" s="282"/>
      <c r="P147" s="42">
        <v>56000</v>
      </c>
      <c r="R147" s="42">
        <v>28000</v>
      </c>
      <c r="T147" s="284">
        <v>28000</v>
      </c>
      <c r="U147" s="284"/>
    </row>
    <row r="148" spans="2:21" x14ac:dyDescent="0.25">
      <c r="F148" s="285"/>
      <c r="G148" s="285"/>
    </row>
    <row r="149" spans="2:21" x14ac:dyDescent="0.25">
      <c r="B149" s="282">
        <v>145</v>
      </c>
      <c r="C149" s="282"/>
      <c r="F149" s="283" t="s">
        <v>388</v>
      </c>
      <c r="G149" s="283"/>
      <c r="I149" s="282">
        <v>1</v>
      </c>
      <c r="J149" s="282"/>
      <c r="K149" s="282"/>
      <c r="L149" s="282"/>
      <c r="P149" s="42">
        <v>1990</v>
      </c>
      <c r="R149" s="42">
        <v>0</v>
      </c>
      <c r="T149" s="284">
        <v>1990</v>
      </c>
      <c r="U149" s="284"/>
    </row>
    <row r="150" spans="2:21" x14ac:dyDescent="0.25">
      <c r="B150" s="282">
        <v>146</v>
      </c>
      <c r="C150" s="282"/>
      <c r="F150" s="283" t="s">
        <v>361</v>
      </c>
      <c r="G150" s="283"/>
      <c r="I150" s="282">
        <v>1</v>
      </c>
      <c r="J150" s="282"/>
      <c r="K150" s="282"/>
      <c r="L150" s="282"/>
      <c r="P150" s="42">
        <v>2790</v>
      </c>
      <c r="R150" s="42">
        <v>0</v>
      </c>
      <c r="T150" s="284">
        <v>2790</v>
      </c>
      <c r="U150" s="284"/>
    </row>
    <row r="151" spans="2:21" x14ac:dyDescent="0.25">
      <c r="B151" s="282">
        <v>147</v>
      </c>
      <c r="C151" s="282"/>
      <c r="F151" s="283" t="s">
        <v>387</v>
      </c>
      <c r="G151" s="283"/>
      <c r="I151" s="282">
        <v>1</v>
      </c>
      <c r="J151" s="282"/>
      <c r="K151" s="282"/>
      <c r="L151" s="282"/>
      <c r="P151" s="42">
        <v>7900</v>
      </c>
      <c r="R151" s="42">
        <v>0</v>
      </c>
      <c r="T151" s="284">
        <v>7900</v>
      </c>
      <c r="U151" s="284"/>
    </row>
    <row r="152" spans="2:21" x14ac:dyDescent="0.25">
      <c r="B152" s="282">
        <v>148</v>
      </c>
      <c r="C152" s="282"/>
      <c r="F152" s="283" t="s">
        <v>418</v>
      </c>
      <c r="G152" s="283"/>
      <c r="I152" s="282">
        <v>1</v>
      </c>
      <c r="J152" s="282"/>
      <c r="K152" s="282"/>
      <c r="L152" s="282"/>
      <c r="P152" s="42">
        <v>2480</v>
      </c>
      <c r="R152" s="42">
        <v>0</v>
      </c>
      <c r="T152" s="284">
        <v>2480</v>
      </c>
      <c r="U152" s="284"/>
    </row>
    <row r="153" spans="2:21" x14ac:dyDescent="0.25">
      <c r="B153" s="282">
        <v>149</v>
      </c>
      <c r="C153" s="282"/>
      <c r="F153" s="283" t="s">
        <v>263</v>
      </c>
      <c r="G153" s="283"/>
      <c r="I153" s="282">
        <v>1</v>
      </c>
      <c r="J153" s="282"/>
      <c r="K153" s="282"/>
      <c r="L153" s="282"/>
      <c r="P153" s="42">
        <v>2480</v>
      </c>
      <c r="R153" s="42">
        <v>0</v>
      </c>
      <c r="T153" s="284">
        <v>2480</v>
      </c>
      <c r="U153" s="284"/>
    </row>
    <row r="154" spans="2:21" x14ac:dyDescent="0.25">
      <c r="B154" s="282">
        <v>150</v>
      </c>
      <c r="C154" s="282"/>
      <c r="F154" s="283" t="s">
        <v>187</v>
      </c>
      <c r="G154" s="283"/>
      <c r="I154" s="282">
        <v>89</v>
      </c>
      <c r="J154" s="282"/>
      <c r="K154" s="282"/>
      <c r="L154" s="282"/>
      <c r="P154" s="42">
        <v>8900</v>
      </c>
      <c r="R154" s="42">
        <v>0</v>
      </c>
      <c r="T154" s="284">
        <v>8900</v>
      </c>
      <c r="U154" s="284"/>
    </row>
    <row r="155" spans="2:21" x14ac:dyDescent="0.25">
      <c r="B155" s="282">
        <v>151</v>
      </c>
      <c r="C155" s="282"/>
      <c r="F155" s="283" t="s">
        <v>319</v>
      </c>
      <c r="G155" s="283"/>
      <c r="I155" s="282">
        <v>122</v>
      </c>
      <c r="J155" s="282"/>
      <c r="K155" s="282"/>
      <c r="L155" s="282"/>
      <c r="P155" s="42">
        <v>12200</v>
      </c>
      <c r="R155" s="42">
        <v>0</v>
      </c>
      <c r="T155" s="284">
        <v>12200</v>
      </c>
      <c r="U155" s="284"/>
    </row>
    <row r="156" spans="2:21" x14ac:dyDescent="0.25">
      <c r="B156" s="282">
        <v>152</v>
      </c>
      <c r="C156" s="282"/>
      <c r="F156" s="285" t="s">
        <v>186</v>
      </c>
      <c r="G156" s="285"/>
      <c r="I156" s="282">
        <v>1171</v>
      </c>
      <c r="J156" s="282"/>
      <c r="K156" s="282"/>
      <c r="L156" s="282"/>
      <c r="P156" s="42">
        <v>70260</v>
      </c>
      <c r="R156" s="42">
        <v>0</v>
      </c>
      <c r="T156" s="284">
        <v>70260</v>
      </c>
      <c r="U156" s="284"/>
    </row>
    <row r="157" spans="2:21" x14ac:dyDescent="0.25">
      <c r="F157" s="285"/>
      <c r="G157" s="285"/>
    </row>
    <row r="158" spans="2:21" x14ac:dyDescent="0.25">
      <c r="B158" s="282">
        <v>153</v>
      </c>
      <c r="C158" s="282"/>
      <c r="F158" s="283" t="s">
        <v>185</v>
      </c>
      <c r="G158" s="283"/>
      <c r="I158" s="282">
        <v>28</v>
      </c>
      <c r="J158" s="282"/>
      <c r="K158" s="282"/>
      <c r="L158" s="282"/>
      <c r="P158" s="42">
        <v>22500</v>
      </c>
      <c r="R158" s="42">
        <v>11566</v>
      </c>
      <c r="T158" s="284">
        <v>10934</v>
      </c>
      <c r="U158" s="284"/>
    </row>
    <row r="159" spans="2:21" x14ac:dyDescent="0.25">
      <c r="B159" s="282">
        <v>154</v>
      </c>
      <c r="C159" s="282"/>
      <c r="F159" s="283" t="s">
        <v>283</v>
      </c>
      <c r="G159" s="283"/>
      <c r="I159" s="282">
        <v>23</v>
      </c>
      <c r="J159" s="282"/>
      <c r="K159" s="282"/>
      <c r="L159" s="282"/>
      <c r="P159" s="42">
        <v>18600</v>
      </c>
      <c r="R159" s="42">
        <v>9080</v>
      </c>
      <c r="T159" s="284">
        <v>9520</v>
      </c>
      <c r="U159" s="284"/>
    </row>
    <row r="160" spans="2:21" x14ac:dyDescent="0.25">
      <c r="B160" s="282">
        <v>155</v>
      </c>
      <c r="C160" s="282"/>
      <c r="F160" s="283" t="s">
        <v>129</v>
      </c>
      <c r="G160" s="283"/>
      <c r="I160" s="282">
        <v>2</v>
      </c>
      <c r="J160" s="282"/>
      <c r="K160" s="282"/>
      <c r="L160" s="282"/>
      <c r="P160" s="42">
        <v>60</v>
      </c>
      <c r="R160" s="42">
        <v>60</v>
      </c>
      <c r="T160" s="284">
        <v>0</v>
      </c>
      <c r="U160" s="284"/>
    </row>
    <row r="161" spans="2:21" x14ac:dyDescent="0.25">
      <c r="B161" s="282">
        <v>156</v>
      </c>
      <c r="C161" s="282"/>
      <c r="F161" s="283" t="s">
        <v>128</v>
      </c>
      <c r="G161" s="283"/>
      <c r="I161" s="282">
        <v>53</v>
      </c>
      <c r="J161" s="282"/>
      <c r="K161" s="282"/>
      <c r="L161" s="282"/>
      <c r="P161" s="42">
        <v>60950</v>
      </c>
      <c r="R161" s="42">
        <v>7878</v>
      </c>
      <c r="T161" s="284">
        <v>53072</v>
      </c>
      <c r="U161" s="284"/>
    </row>
    <row r="162" spans="2:21" x14ac:dyDescent="0.25">
      <c r="B162" s="282">
        <v>157</v>
      </c>
      <c r="C162" s="282"/>
      <c r="F162" s="283" t="s">
        <v>366</v>
      </c>
      <c r="G162" s="283"/>
      <c r="I162" s="282">
        <v>7</v>
      </c>
      <c r="J162" s="282"/>
      <c r="K162" s="282"/>
      <c r="L162" s="282"/>
      <c r="P162" s="42">
        <v>5600</v>
      </c>
      <c r="R162" s="42">
        <v>3150</v>
      </c>
      <c r="T162" s="284">
        <v>2450</v>
      </c>
      <c r="U162" s="284"/>
    </row>
    <row r="163" spans="2:21" x14ac:dyDescent="0.25">
      <c r="B163" s="282">
        <v>158</v>
      </c>
      <c r="C163" s="282"/>
      <c r="F163" s="283" t="s">
        <v>378</v>
      </c>
      <c r="G163" s="283"/>
      <c r="I163" s="282">
        <v>3</v>
      </c>
      <c r="J163" s="282"/>
      <c r="K163" s="282"/>
      <c r="L163" s="282"/>
      <c r="P163" s="42">
        <v>2400</v>
      </c>
      <c r="R163" s="42">
        <v>1350</v>
      </c>
      <c r="T163" s="284">
        <v>1050</v>
      </c>
      <c r="U163" s="284"/>
    </row>
    <row r="164" spans="2:21" x14ac:dyDescent="0.25">
      <c r="B164" s="282">
        <v>159</v>
      </c>
      <c r="C164" s="282"/>
      <c r="F164" s="283" t="s">
        <v>228</v>
      </c>
      <c r="G164" s="283"/>
      <c r="I164" s="282">
        <v>4</v>
      </c>
      <c r="J164" s="282"/>
      <c r="K164" s="282"/>
      <c r="L164" s="282"/>
      <c r="P164" s="42">
        <v>3520</v>
      </c>
      <c r="R164" s="42">
        <v>130</v>
      </c>
      <c r="T164" s="284">
        <v>3390</v>
      </c>
      <c r="U164" s="284"/>
    </row>
    <row r="165" spans="2:21" x14ac:dyDescent="0.25">
      <c r="B165" s="282">
        <v>160</v>
      </c>
      <c r="C165" s="282"/>
      <c r="F165" s="283" t="s">
        <v>127</v>
      </c>
      <c r="G165" s="283"/>
      <c r="I165" s="282">
        <v>2403</v>
      </c>
      <c r="J165" s="282"/>
      <c r="K165" s="282"/>
      <c r="L165" s="282"/>
      <c r="P165" s="42">
        <v>720900</v>
      </c>
      <c r="R165" s="42">
        <v>218442</v>
      </c>
      <c r="T165" s="284">
        <v>502458</v>
      </c>
      <c r="U165" s="284"/>
    </row>
    <row r="166" spans="2:21" x14ac:dyDescent="0.25">
      <c r="B166" s="282">
        <v>161</v>
      </c>
      <c r="C166" s="282"/>
      <c r="F166" s="283" t="s">
        <v>126</v>
      </c>
      <c r="G166" s="283"/>
      <c r="I166" s="282">
        <v>2381</v>
      </c>
      <c r="J166" s="282"/>
      <c r="K166" s="282"/>
      <c r="L166" s="282"/>
      <c r="P166" s="42">
        <v>476200</v>
      </c>
      <c r="R166" s="42">
        <v>144577</v>
      </c>
      <c r="T166" s="284">
        <v>331623</v>
      </c>
      <c r="U166" s="284"/>
    </row>
    <row r="167" spans="2:21" x14ac:dyDescent="0.25">
      <c r="B167" s="282">
        <v>162</v>
      </c>
      <c r="C167" s="282"/>
      <c r="F167" s="283" t="s">
        <v>125</v>
      </c>
      <c r="G167" s="283"/>
      <c r="I167" s="282">
        <v>211</v>
      </c>
      <c r="J167" s="282"/>
      <c r="K167" s="282"/>
      <c r="L167" s="282"/>
      <c r="P167" s="42">
        <v>84400</v>
      </c>
      <c r="R167" s="42">
        <v>20260</v>
      </c>
      <c r="T167" s="284">
        <v>64140</v>
      </c>
      <c r="U167" s="284"/>
    </row>
    <row r="168" spans="2:21" x14ac:dyDescent="0.25">
      <c r="B168" s="282">
        <v>163</v>
      </c>
      <c r="C168" s="282"/>
      <c r="F168" s="283" t="s">
        <v>124</v>
      </c>
      <c r="G168" s="283"/>
      <c r="I168" s="282">
        <v>310</v>
      </c>
      <c r="J168" s="282"/>
      <c r="K168" s="282"/>
      <c r="L168" s="282"/>
      <c r="P168" s="42">
        <v>181760</v>
      </c>
      <c r="R168" s="42">
        <v>45529</v>
      </c>
      <c r="T168" s="284">
        <v>136231</v>
      </c>
      <c r="U168" s="284"/>
    </row>
    <row r="169" spans="2:21" x14ac:dyDescent="0.25">
      <c r="B169" s="282">
        <v>164</v>
      </c>
      <c r="C169" s="282"/>
      <c r="F169" s="283" t="s">
        <v>350</v>
      </c>
      <c r="G169" s="283"/>
      <c r="I169" s="282">
        <v>2</v>
      </c>
      <c r="J169" s="282"/>
      <c r="K169" s="282"/>
      <c r="L169" s="282"/>
      <c r="P169" s="42">
        <v>1560</v>
      </c>
      <c r="R169" s="42">
        <v>460</v>
      </c>
      <c r="T169" s="284">
        <v>1100</v>
      </c>
      <c r="U169" s="284"/>
    </row>
    <row r="170" spans="2:21" x14ac:dyDescent="0.25">
      <c r="B170" s="282">
        <v>165</v>
      </c>
      <c r="C170" s="282"/>
      <c r="F170" s="283" t="s">
        <v>123</v>
      </c>
      <c r="G170" s="283"/>
      <c r="I170" s="282">
        <v>822</v>
      </c>
      <c r="J170" s="282"/>
      <c r="K170" s="282"/>
      <c r="L170" s="282"/>
      <c r="P170" s="42">
        <v>641160</v>
      </c>
      <c r="R170" s="42">
        <v>173917</v>
      </c>
      <c r="T170" s="284">
        <v>467243</v>
      </c>
      <c r="U170" s="284"/>
    </row>
    <row r="171" spans="2:21" x14ac:dyDescent="0.25">
      <c r="B171" s="282">
        <v>166</v>
      </c>
      <c r="C171" s="282"/>
      <c r="F171" s="283" t="s">
        <v>184</v>
      </c>
      <c r="G171" s="283"/>
      <c r="I171" s="282">
        <v>15</v>
      </c>
      <c r="J171" s="282"/>
      <c r="K171" s="282"/>
      <c r="L171" s="282"/>
      <c r="P171" s="42">
        <v>16200</v>
      </c>
      <c r="R171" s="42">
        <v>2188</v>
      </c>
      <c r="T171" s="284">
        <v>14012</v>
      </c>
      <c r="U171" s="284"/>
    </row>
    <row r="172" spans="2:21" ht="8.25" customHeight="1" x14ac:dyDescent="0.25"/>
    <row r="173" spans="2:21" x14ac:dyDescent="0.25">
      <c r="B173" s="282">
        <v>167</v>
      </c>
      <c r="C173" s="282"/>
      <c r="F173" s="283" t="s">
        <v>183</v>
      </c>
      <c r="G173" s="283"/>
      <c r="I173" s="282">
        <v>39</v>
      </c>
      <c r="J173" s="282"/>
      <c r="K173" s="282"/>
      <c r="L173" s="282"/>
      <c r="P173" s="42">
        <v>17160</v>
      </c>
      <c r="R173" s="42">
        <v>4550</v>
      </c>
      <c r="T173" s="284">
        <v>12610</v>
      </c>
      <c r="U173" s="284"/>
    </row>
    <row r="174" spans="2:21" x14ac:dyDescent="0.25">
      <c r="B174" s="282">
        <v>168</v>
      </c>
      <c r="C174" s="282"/>
      <c r="F174" s="283" t="s">
        <v>227</v>
      </c>
      <c r="G174" s="283"/>
      <c r="I174" s="282">
        <v>54</v>
      </c>
      <c r="J174" s="282"/>
      <c r="K174" s="282"/>
      <c r="L174" s="282"/>
      <c r="P174" s="42">
        <v>27000</v>
      </c>
      <c r="R174" s="42">
        <v>6646</v>
      </c>
      <c r="T174" s="284">
        <v>20354</v>
      </c>
      <c r="U174" s="284"/>
    </row>
    <row r="175" spans="2:21" x14ac:dyDescent="0.25">
      <c r="B175" s="282">
        <v>169</v>
      </c>
      <c r="C175" s="282"/>
      <c r="F175" s="283" t="s">
        <v>336</v>
      </c>
      <c r="G175" s="283"/>
      <c r="I175" s="282">
        <v>17</v>
      </c>
      <c r="J175" s="282"/>
      <c r="K175" s="282"/>
      <c r="L175" s="282"/>
      <c r="P175" s="42">
        <v>10200</v>
      </c>
      <c r="R175" s="42">
        <v>3020</v>
      </c>
      <c r="T175" s="284">
        <v>7180</v>
      </c>
      <c r="U175" s="284"/>
    </row>
    <row r="176" spans="2:21" x14ac:dyDescent="0.25">
      <c r="B176" s="282">
        <v>170</v>
      </c>
      <c r="C176" s="282"/>
      <c r="F176" s="283" t="s">
        <v>122</v>
      </c>
      <c r="G176" s="283"/>
      <c r="I176" s="282">
        <v>145</v>
      </c>
      <c r="J176" s="282"/>
      <c r="K176" s="282"/>
      <c r="L176" s="282"/>
      <c r="P176" s="42">
        <v>74900</v>
      </c>
      <c r="R176" s="42">
        <v>21190</v>
      </c>
      <c r="T176" s="284">
        <v>53710</v>
      </c>
      <c r="U176" s="284"/>
    </row>
    <row r="177" spans="2:21" x14ac:dyDescent="0.25">
      <c r="B177" s="282">
        <v>171</v>
      </c>
      <c r="C177" s="282"/>
      <c r="F177" s="283" t="s">
        <v>121</v>
      </c>
      <c r="G177" s="283"/>
      <c r="I177" s="282">
        <v>122</v>
      </c>
      <c r="J177" s="282"/>
      <c r="K177" s="282"/>
      <c r="L177" s="282"/>
      <c r="P177" s="42">
        <v>61800</v>
      </c>
      <c r="R177" s="42">
        <v>16815</v>
      </c>
      <c r="T177" s="284">
        <v>44985</v>
      </c>
      <c r="U177" s="284"/>
    </row>
    <row r="178" spans="2:21" x14ac:dyDescent="0.25">
      <c r="B178" s="282">
        <v>172</v>
      </c>
      <c r="C178" s="282"/>
      <c r="F178" s="283" t="s">
        <v>349</v>
      </c>
      <c r="G178" s="283"/>
      <c r="I178" s="282">
        <v>5</v>
      </c>
      <c r="J178" s="282"/>
      <c r="K178" s="282"/>
      <c r="L178" s="282"/>
      <c r="P178" s="42">
        <v>2500</v>
      </c>
      <c r="R178" s="42">
        <v>750</v>
      </c>
      <c r="T178" s="284">
        <v>1750</v>
      </c>
      <c r="U178" s="284"/>
    </row>
    <row r="179" spans="2:21" x14ac:dyDescent="0.25">
      <c r="B179" s="282">
        <v>173</v>
      </c>
      <c r="C179" s="282"/>
      <c r="F179" s="283" t="s">
        <v>381</v>
      </c>
      <c r="G179" s="283"/>
      <c r="I179" s="282">
        <v>7</v>
      </c>
      <c r="J179" s="282"/>
      <c r="K179" s="282"/>
      <c r="L179" s="282"/>
      <c r="P179" s="42">
        <v>2730</v>
      </c>
      <c r="R179" s="42">
        <v>840</v>
      </c>
      <c r="T179" s="284">
        <v>1890</v>
      </c>
      <c r="U179" s="284"/>
    </row>
    <row r="180" spans="2:21" x14ac:dyDescent="0.25">
      <c r="B180" s="282">
        <v>174</v>
      </c>
      <c r="C180" s="282"/>
      <c r="F180" s="283" t="s">
        <v>120</v>
      </c>
      <c r="G180" s="283"/>
      <c r="I180" s="282">
        <v>38</v>
      </c>
      <c r="J180" s="282"/>
      <c r="K180" s="282"/>
      <c r="L180" s="282"/>
      <c r="P180" s="42">
        <v>13300</v>
      </c>
      <c r="R180" s="42">
        <v>3160</v>
      </c>
      <c r="T180" s="284">
        <v>10140</v>
      </c>
      <c r="U180" s="284"/>
    </row>
    <row r="181" spans="2:21" x14ac:dyDescent="0.25">
      <c r="B181" s="282">
        <v>175</v>
      </c>
      <c r="C181" s="282"/>
      <c r="F181" s="283" t="s">
        <v>282</v>
      </c>
      <c r="G181" s="283"/>
      <c r="I181" s="282">
        <v>41</v>
      </c>
      <c r="J181" s="282"/>
      <c r="K181" s="282"/>
      <c r="L181" s="282"/>
      <c r="P181" s="42">
        <v>20900</v>
      </c>
      <c r="R181" s="42">
        <v>5630</v>
      </c>
      <c r="T181" s="284">
        <v>15270</v>
      </c>
      <c r="U181" s="284"/>
    </row>
    <row r="182" spans="2:21" x14ac:dyDescent="0.25">
      <c r="B182" s="282">
        <v>176</v>
      </c>
      <c r="C182" s="282"/>
      <c r="F182" s="283" t="s">
        <v>226</v>
      </c>
      <c r="G182" s="283"/>
      <c r="I182" s="282">
        <v>28</v>
      </c>
      <c r="J182" s="282"/>
      <c r="K182" s="282"/>
      <c r="L182" s="282"/>
      <c r="P182" s="42">
        <v>14800</v>
      </c>
      <c r="R182" s="42">
        <v>3670</v>
      </c>
      <c r="T182" s="284">
        <v>11130</v>
      </c>
      <c r="U182" s="284"/>
    </row>
    <row r="183" spans="2:21" x14ac:dyDescent="0.25">
      <c r="B183" s="282">
        <v>177</v>
      </c>
      <c r="C183" s="282"/>
      <c r="F183" s="283" t="s">
        <v>182</v>
      </c>
      <c r="G183" s="283"/>
      <c r="I183" s="282">
        <v>65</v>
      </c>
      <c r="J183" s="282"/>
      <c r="K183" s="282"/>
      <c r="L183" s="282"/>
      <c r="P183" s="42">
        <v>51350</v>
      </c>
      <c r="R183" s="42">
        <v>5435</v>
      </c>
      <c r="T183" s="284">
        <v>45915</v>
      </c>
      <c r="U183" s="284"/>
    </row>
    <row r="184" spans="2:21" x14ac:dyDescent="0.25">
      <c r="B184" s="282">
        <v>178</v>
      </c>
      <c r="C184" s="282"/>
      <c r="F184" s="283" t="s">
        <v>119</v>
      </c>
      <c r="G184" s="283"/>
      <c r="I184" s="282">
        <v>1322</v>
      </c>
      <c r="J184" s="282"/>
      <c r="K184" s="282"/>
      <c r="L184" s="282"/>
      <c r="P184" s="42">
        <v>1176340</v>
      </c>
      <c r="R184" s="42">
        <v>329831</v>
      </c>
      <c r="T184" s="284">
        <v>846509</v>
      </c>
      <c r="U184" s="284"/>
    </row>
    <row r="185" spans="2:21" x14ac:dyDescent="0.25">
      <c r="B185" s="282">
        <v>179</v>
      </c>
      <c r="C185" s="282"/>
      <c r="F185" s="283" t="s">
        <v>118</v>
      </c>
      <c r="G185" s="283"/>
      <c r="I185" s="282">
        <v>9235</v>
      </c>
      <c r="J185" s="282"/>
      <c r="K185" s="282"/>
      <c r="L185" s="282"/>
      <c r="P185" s="42">
        <v>9141870</v>
      </c>
      <c r="R185" s="42">
        <v>3632405</v>
      </c>
      <c r="T185" s="284">
        <v>5510245</v>
      </c>
      <c r="U185" s="284"/>
    </row>
    <row r="186" spans="2:21" x14ac:dyDescent="0.25">
      <c r="B186" s="282">
        <v>180</v>
      </c>
      <c r="C186" s="282"/>
      <c r="F186" s="283" t="s">
        <v>117</v>
      </c>
      <c r="G186" s="283"/>
      <c r="I186" s="282">
        <v>339</v>
      </c>
      <c r="J186" s="282"/>
      <c r="K186" s="282"/>
      <c r="L186" s="282"/>
      <c r="P186" s="42">
        <v>272900</v>
      </c>
      <c r="R186" s="42">
        <v>61178</v>
      </c>
      <c r="T186" s="284">
        <v>211722</v>
      </c>
      <c r="U186" s="284"/>
    </row>
    <row r="187" spans="2:21" x14ac:dyDescent="0.25">
      <c r="B187" s="282">
        <v>181</v>
      </c>
      <c r="C187" s="282"/>
      <c r="F187" s="285" t="s">
        <v>116</v>
      </c>
      <c r="G187" s="285"/>
      <c r="I187" s="282">
        <v>30</v>
      </c>
      <c r="J187" s="282"/>
      <c r="K187" s="282"/>
      <c r="L187" s="282"/>
      <c r="P187" s="42">
        <v>24100</v>
      </c>
      <c r="R187" s="42">
        <v>4510</v>
      </c>
      <c r="T187" s="284">
        <v>19590</v>
      </c>
      <c r="U187" s="284"/>
    </row>
    <row r="188" spans="2:21" x14ac:dyDescent="0.25">
      <c r="F188" s="285"/>
      <c r="G188" s="285"/>
    </row>
    <row r="189" spans="2:21" x14ac:dyDescent="0.25">
      <c r="B189" s="282">
        <v>182</v>
      </c>
      <c r="C189" s="282"/>
      <c r="F189" s="283" t="s">
        <v>262</v>
      </c>
      <c r="G189" s="283"/>
      <c r="I189" s="282">
        <v>4</v>
      </c>
      <c r="J189" s="282"/>
      <c r="K189" s="282"/>
      <c r="L189" s="282"/>
      <c r="P189" s="42">
        <v>1800</v>
      </c>
      <c r="R189" s="42">
        <v>280</v>
      </c>
      <c r="T189" s="284">
        <v>1520</v>
      </c>
      <c r="U189" s="284"/>
    </row>
    <row r="190" spans="2:21" x14ac:dyDescent="0.25">
      <c r="B190" s="282">
        <v>183</v>
      </c>
      <c r="C190" s="282"/>
      <c r="F190" s="283" t="s">
        <v>115</v>
      </c>
      <c r="G190" s="283"/>
      <c r="I190" s="282">
        <v>1075</v>
      </c>
      <c r="J190" s="282"/>
      <c r="K190" s="282"/>
      <c r="L190" s="282"/>
      <c r="P190" s="42">
        <v>311210</v>
      </c>
      <c r="R190" s="42">
        <v>86389</v>
      </c>
      <c r="T190" s="284">
        <v>225361</v>
      </c>
      <c r="U190" s="284"/>
    </row>
    <row r="191" spans="2:21" x14ac:dyDescent="0.25">
      <c r="B191" s="282">
        <v>184</v>
      </c>
      <c r="C191" s="282"/>
      <c r="F191" s="283" t="s">
        <v>360</v>
      </c>
      <c r="G191" s="283"/>
      <c r="I191" s="282">
        <v>3</v>
      </c>
      <c r="J191" s="282"/>
      <c r="K191" s="282"/>
      <c r="L191" s="282"/>
      <c r="P191" s="42">
        <v>1500</v>
      </c>
      <c r="R191" s="42">
        <v>450</v>
      </c>
      <c r="T191" s="284">
        <v>1050</v>
      </c>
      <c r="U191" s="284"/>
    </row>
    <row r="192" spans="2:21" x14ac:dyDescent="0.25">
      <c r="B192" s="282">
        <v>185</v>
      </c>
      <c r="C192" s="282"/>
      <c r="F192" s="283" t="s">
        <v>281</v>
      </c>
      <c r="G192" s="283"/>
      <c r="I192" s="282">
        <v>3</v>
      </c>
      <c r="J192" s="282"/>
      <c r="K192" s="282"/>
      <c r="L192" s="282"/>
      <c r="P192" s="42">
        <v>1900</v>
      </c>
      <c r="R192" s="42">
        <v>850</v>
      </c>
      <c r="T192" s="284">
        <v>1050</v>
      </c>
      <c r="U192" s="284"/>
    </row>
    <row r="193" spans="2:21" x14ac:dyDescent="0.25">
      <c r="B193" s="282">
        <v>186</v>
      </c>
      <c r="C193" s="282"/>
      <c r="F193" s="283" t="s">
        <v>359</v>
      </c>
      <c r="G193" s="283"/>
      <c r="I193" s="282">
        <v>1</v>
      </c>
      <c r="J193" s="282"/>
      <c r="K193" s="282"/>
      <c r="L193" s="282"/>
      <c r="P193" s="42">
        <v>700</v>
      </c>
      <c r="R193" s="42">
        <v>350</v>
      </c>
      <c r="T193" s="284">
        <v>350</v>
      </c>
      <c r="U193" s="284"/>
    </row>
    <row r="194" spans="2:21" x14ac:dyDescent="0.25">
      <c r="B194" s="282">
        <v>187</v>
      </c>
      <c r="C194" s="282"/>
      <c r="F194" s="283" t="s">
        <v>114</v>
      </c>
      <c r="G194" s="283"/>
      <c r="I194" s="282">
        <v>8</v>
      </c>
      <c r="J194" s="282"/>
      <c r="K194" s="282"/>
      <c r="L194" s="282"/>
      <c r="P194" s="42">
        <v>4400</v>
      </c>
      <c r="R194" s="42">
        <v>640</v>
      </c>
      <c r="T194" s="284">
        <v>3760</v>
      </c>
      <c r="U194" s="284"/>
    </row>
    <row r="195" spans="2:21" x14ac:dyDescent="0.25">
      <c r="B195" s="282">
        <v>188</v>
      </c>
      <c r="C195" s="282"/>
      <c r="F195" s="283" t="s">
        <v>280</v>
      </c>
      <c r="G195" s="283"/>
      <c r="I195" s="282">
        <v>15</v>
      </c>
      <c r="J195" s="282"/>
      <c r="K195" s="282"/>
      <c r="L195" s="282"/>
      <c r="P195" s="42">
        <v>10500</v>
      </c>
      <c r="R195" s="42">
        <v>5096</v>
      </c>
      <c r="T195" s="284">
        <v>5404</v>
      </c>
      <c r="U195" s="284"/>
    </row>
    <row r="196" spans="2:21" x14ac:dyDescent="0.25">
      <c r="B196" s="282">
        <v>189</v>
      </c>
      <c r="C196" s="282"/>
      <c r="F196" s="283" t="s">
        <v>335</v>
      </c>
      <c r="G196" s="283"/>
      <c r="I196" s="282">
        <v>7</v>
      </c>
      <c r="J196" s="282"/>
      <c r="K196" s="282"/>
      <c r="L196" s="282"/>
      <c r="P196" s="42">
        <v>3500</v>
      </c>
      <c r="R196" s="42">
        <v>900</v>
      </c>
      <c r="T196" s="284">
        <v>2600</v>
      </c>
      <c r="U196" s="284"/>
    </row>
    <row r="197" spans="2:21" x14ac:dyDescent="0.25">
      <c r="B197" s="282">
        <v>190</v>
      </c>
      <c r="C197" s="282"/>
      <c r="F197" s="283" t="s">
        <v>279</v>
      </c>
      <c r="G197" s="283"/>
      <c r="I197" s="282">
        <v>19</v>
      </c>
      <c r="J197" s="282"/>
      <c r="K197" s="282"/>
      <c r="L197" s="282"/>
      <c r="P197" s="42">
        <v>9500</v>
      </c>
      <c r="R197" s="42">
        <v>2310</v>
      </c>
      <c r="T197" s="284">
        <v>7190</v>
      </c>
      <c r="U197" s="284"/>
    </row>
    <row r="198" spans="2:21" x14ac:dyDescent="0.25">
      <c r="B198" s="282">
        <v>191</v>
      </c>
      <c r="C198" s="282"/>
      <c r="F198" s="283" t="s">
        <v>417</v>
      </c>
      <c r="G198" s="283"/>
      <c r="I198" s="282">
        <v>4</v>
      </c>
      <c r="J198" s="282"/>
      <c r="K198" s="282"/>
      <c r="L198" s="282"/>
      <c r="P198" s="42">
        <v>6800</v>
      </c>
      <c r="R198" s="42">
        <v>4900</v>
      </c>
      <c r="T198" s="284">
        <v>1900</v>
      </c>
      <c r="U198" s="284"/>
    </row>
    <row r="199" spans="2:21" x14ac:dyDescent="0.25">
      <c r="B199" s="282">
        <v>192</v>
      </c>
      <c r="C199" s="282"/>
      <c r="F199" s="283" t="s">
        <v>448</v>
      </c>
      <c r="G199" s="283"/>
      <c r="I199" s="282">
        <v>1</v>
      </c>
      <c r="J199" s="282"/>
      <c r="K199" s="282"/>
      <c r="L199" s="282"/>
      <c r="P199" s="42">
        <v>60</v>
      </c>
      <c r="R199" s="42">
        <v>0</v>
      </c>
      <c r="T199" s="284">
        <v>60</v>
      </c>
      <c r="U199" s="284"/>
    </row>
    <row r="200" spans="2:21" x14ac:dyDescent="0.25">
      <c r="B200" s="282">
        <v>193</v>
      </c>
      <c r="C200" s="282"/>
      <c r="F200" s="283" t="s">
        <v>440</v>
      </c>
      <c r="G200" s="283"/>
      <c r="I200" s="282">
        <v>6</v>
      </c>
      <c r="J200" s="282"/>
      <c r="K200" s="282"/>
      <c r="L200" s="282"/>
      <c r="P200" s="42">
        <v>540</v>
      </c>
      <c r="R200" s="42">
        <v>0</v>
      </c>
      <c r="T200" s="284">
        <v>540</v>
      </c>
      <c r="U200" s="284"/>
    </row>
    <row r="201" spans="2:21" x14ac:dyDescent="0.25">
      <c r="B201" s="282">
        <v>194</v>
      </c>
      <c r="C201" s="282"/>
      <c r="F201" s="285" t="s">
        <v>113</v>
      </c>
      <c r="G201" s="285"/>
      <c r="I201" s="282">
        <v>4</v>
      </c>
      <c r="J201" s="282"/>
      <c r="K201" s="282"/>
      <c r="L201" s="282"/>
      <c r="P201" s="42">
        <v>360</v>
      </c>
      <c r="R201" s="42">
        <v>0</v>
      </c>
      <c r="T201" s="284">
        <v>360</v>
      </c>
      <c r="U201" s="284"/>
    </row>
    <row r="202" spans="2:21" x14ac:dyDescent="0.25">
      <c r="F202" s="285"/>
      <c r="G202" s="285"/>
    </row>
    <row r="203" spans="2:21" x14ac:dyDescent="0.25">
      <c r="B203" s="282">
        <v>195</v>
      </c>
      <c r="C203" s="282"/>
      <c r="F203" s="283" t="s">
        <v>423</v>
      </c>
      <c r="G203" s="283"/>
      <c r="I203" s="282">
        <v>1</v>
      </c>
      <c r="J203" s="282"/>
      <c r="K203" s="282"/>
      <c r="L203" s="282"/>
      <c r="P203" s="42">
        <v>120</v>
      </c>
      <c r="R203" s="42">
        <v>0</v>
      </c>
      <c r="T203" s="284">
        <v>120</v>
      </c>
      <c r="U203" s="284"/>
    </row>
    <row r="204" spans="2:21" x14ac:dyDescent="0.25">
      <c r="B204" s="282">
        <v>196</v>
      </c>
      <c r="C204" s="282"/>
      <c r="F204" s="285" t="s">
        <v>450</v>
      </c>
      <c r="G204" s="285"/>
      <c r="I204" s="282">
        <v>19</v>
      </c>
      <c r="J204" s="282"/>
      <c r="K204" s="282"/>
      <c r="L204" s="282"/>
      <c r="P204" s="42">
        <v>855</v>
      </c>
      <c r="R204" s="42">
        <v>0</v>
      </c>
      <c r="T204" s="284">
        <v>855</v>
      </c>
      <c r="U204" s="284"/>
    </row>
    <row r="205" spans="2:21" x14ac:dyDescent="0.25">
      <c r="F205" s="285"/>
      <c r="G205" s="285"/>
    </row>
    <row r="206" spans="2:21" x14ac:dyDescent="0.25">
      <c r="B206" s="282">
        <v>197</v>
      </c>
      <c r="C206" s="282"/>
      <c r="F206" s="285" t="s">
        <v>348</v>
      </c>
      <c r="G206" s="285"/>
      <c r="I206" s="282">
        <v>8</v>
      </c>
      <c r="J206" s="282"/>
      <c r="K206" s="282"/>
      <c r="L206" s="282"/>
      <c r="P206" s="42">
        <v>840</v>
      </c>
      <c r="R206" s="42">
        <v>0</v>
      </c>
      <c r="T206" s="284">
        <v>840</v>
      </c>
      <c r="U206" s="284"/>
    </row>
    <row r="207" spans="2:21" x14ac:dyDescent="0.25">
      <c r="F207" s="285"/>
      <c r="G207" s="285"/>
    </row>
    <row r="208" spans="2:21" x14ac:dyDescent="0.25">
      <c r="B208" s="282">
        <v>198</v>
      </c>
      <c r="C208" s="282"/>
      <c r="F208" s="285" t="s">
        <v>386</v>
      </c>
      <c r="G208" s="285"/>
      <c r="I208" s="282">
        <v>42</v>
      </c>
      <c r="J208" s="282"/>
      <c r="K208" s="282"/>
      <c r="L208" s="282"/>
      <c r="P208" s="42">
        <v>3780</v>
      </c>
      <c r="R208" s="42">
        <v>0</v>
      </c>
      <c r="T208" s="284">
        <v>3780</v>
      </c>
      <c r="U208" s="284"/>
    </row>
    <row r="209" spans="2:21" x14ac:dyDescent="0.25">
      <c r="F209" s="285"/>
      <c r="G209" s="285"/>
    </row>
    <row r="210" spans="2:21" x14ac:dyDescent="0.25">
      <c r="B210" s="282">
        <v>199</v>
      </c>
      <c r="C210" s="282"/>
      <c r="F210" s="285" t="s">
        <v>261</v>
      </c>
      <c r="G210" s="285"/>
      <c r="I210" s="282">
        <v>10</v>
      </c>
      <c r="J210" s="282"/>
      <c r="K210" s="282"/>
      <c r="L210" s="282"/>
      <c r="P210" s="42">
        <v>900</v>
      </c>
      <c r="R210" s="42">
        <v>0</v>
      </c>
      <c r="T210" s="284">
        <v>900</v>
      </c>
      <c r="U210" s="284"/>
    </row>
    <row r="211" spans="2:21" x14ac:dyDescent="0.25">
      <c r="F211" s="285"/>
      <c r="G211" s="285"/>
    </row>
    <row r="212" spans="2:21" x14ac:dyDescent="0.25">
      <c r="B212" s="282">
        <v>200</v>
      </c>
      <c r="C212" s="282"/>
      <c r="F212" s="283" t="s">
        <v>370</v>
      </c>
      <c r="G212" s="283"/>
      <c r="I212" s="282">
        <v>1</v>
      </c>
      <c r="J212" s="282"/>
      <c r="K212" s="282"/>
      <c r="L212" s="282"/>
      <c r="P212" s="42">
        <v>90</v>
      </c>
      <c r="R212" s="42">
        <v>0</v>
      </c>
      <c r="T212" s="284">
        <v>90</v>
      </c>
      <c r="U212" s="284"/>
    </row>
    <row r="213" spans="2:21" x14ac:dyDescent="0.25">
      <c r="B213" s="282">
        <v>201</v>
      </c>
      <c r="C213" s="282"/>
      <c r="F213" s="285" t="s">
        <v>391</v>
      </c>
      <c r="G213" s="285"/>
      <c r="I213" s="282">
        <v>17</v>
      </c>
      <c r="J213" s="282"/>
      <c r="K213" s="282"/>
      <c r="L213" s="282"/>
      <c r="P213" s="42">
        <v>1530</v>
      </c>
      <c r="R213" s="42">
        <v>0</v>
      </c>
      <c r="T213" s="284">
        <v>1530</v>
      </c>
      <c r="U213" s="284"/>
    </row>
    <row r="214" spans="2:21" x14ac:dyDescent="0.25">
      <c r="F214" s="285"/>
      <c r="G214" s="285"/>
    </row>
    <row r="215" spans="2:21" x14ac:dyDescent="0.25">
      <c r="B215" s="282">
        <v>202</v>
      </c>
      <c r="C215" s="282"/>
      <c r="F215" s="283" t="s">
        <v>432</v>
      </c>
      <c r="G215" s="283"/>
      <c r="I215" s="282">
        <v>2</v>
      </c>
      <c r="J215" s="282"/>
      <c r="K215" s="282"/>
      <c r="L215" s="282"/>
      <c r="P215" s="42">
        <v>120</v>
      </c>
      <c r="R215" s="42">
        <v>0</v>
      </c>
      <c r="T215" s="284">
        <v>120</v>
      </c>
      <c r="U215" s="284"/>
    </row>
    <row r="216" spans="2:21" x14ac:dyDescent="0.25">
      <c r="B216" s="282">
        <v>203</v>
      </c>
      <c r="C216" s="282"/>
      <c r="F216" s="283" t="s">
        <v>446</v>
      </c>
      <c r="G216" s="283"/>
      <c r="I216" s="282">
        <v>6</v>
      </c>
      <c r="J216" s="282"/>
      <c r="K216" s="282"/>
      <c r="L216" s="282"/>
      <c r="P216" s="42">
        <v>450</v>
      </c>
      <c r="R216" s="42">
        <v>0</v>
      </c>
      <c r="T216" s="284">
        <v>450</v>
      </c>
      <c r="U216" s="284"/>
    </row>
    <row r="217" spans="2:21" x14ac:dyDescent="0.25">
      <c r="B217" s="282">
        <v>204</v>
      </c>
      <c r="C217" s="282"/>
      <c r="F217" s="283" t="s">
        <v>401</v>
      </c>
      <c r="G217" s="283"/>
      <c r="I217" s="282">
        <v>132</v>
      </c>
      <c r="J217" s="282"/>
      <c r="K217" s="282"/>
      <c r="L217" s="282"/>
      <c r="P217" s="42">
        <v>19200</v>
      </c>
      <c r="R217" s="42">
        <v>0</v>
      </c>
      <c r="T217" s="284">
        <v>19200</v>
      </c>
      <c r="U217" s="284"/>
    </row>
    <row r="218" spans="2:21" x14ac:dyDescent="0.25">
      <c r="B218" s="282">
        <v>205</v>
      </c>
      <c r="C218" s="282"/>
      <c r="F218" s="285" t="s">
        <v>400</v>
      </c>
      <c r="G218" s="285"/>
      <c r="I218" s="282">
        <v>34</v>
      </c>
      <c r="J218" s="282"/>
      <c r="K218" s="282"/>
      <c r="L218" s="282"/>
      <c r="P218" s="42">
        <v>0</v>
      </c>
      <c r="R218" s="42">
        <v>0</v>
      </c>
      <c r="T218" s="284">
        <v>0</v>
      </c>
      <c r="U218" s="284"/>
    </row>
    <row r="219" spans="2:21" x14ac:dyDescent="0.25">
      <c r="F219" s="285"/>
      <c r="G219" s="285"/>
    </row>
    <row r="220" spans="2:21" x14ac:dyDescent="0.25">
      <c r="B220" s="282">
        <v>206</v>
      </c>
      <c r="C220" s="282"/>
      <c r="F220" s="285" t="s">
        <v>409</v>
      </c>
      <c r="G220" s="285"/>
      <c r="I220" s="282">
        <v>11</v>
      </c>
      <c r="J220" s="282"/>
      <c r="K220" s="282"/>
      <c r="L220" s="282"/>
      <c r="P220" s="42">
        <v>990</v>
      </c>
      <c r="R220" s="42">
        <v>0</v>
      </c>
      <c r="T220" s="284">
        <v>0</v>
      </c>
      <c r="U220" s="284"/>
    </row>
    <row r="221" spans="2:21" x14ac:dyDescent="0.25">
      <c r="F221" s="285"/>
      <c r="G221" s="285"/>
    </row>
    <row r="222" spans="2:21" x14ac:dyDescent="0.25">
      <c r="B222" s="282">
        <v>207</v>
      </c>
      <c r="C222" s="282"/>
      <c r="F222" s="283" t="s">
        <v>439</v>
      </c>
      <c r="G222" s="283"/>
      <c r="I222" s="282">
        <v>2</v>
      </c>
      <c r="J222" s="282"/>
      <c r="K222" s="282"/>
      <c r="L222" s="282"/>
      <c r="P222" s="42">
        <v>180</v>
      </c>
      <c r="R222" s="42">
        <v>0</v>
      </c>
      <c r="T222" s="284">
        <v>180</v>
      </c>
      <c r="U222" s="284"/>
    </row>
    <row r="223" spans="2:21" x14ac:dyDescent="0.25">
      <c r="B223" s="282">
        <v>208</v>
      </c>
      <c r="C223" s="282"/>
      <c r="F223" s="285" t="s">
        <v>318</v>
      </c>
      <c r="G223" s="285"/>
      <c r="I223" s="282">
        <v>21</v>
      </c>
      <c r="J223" s="282"/>
      <c r="K223" s="282"/>
      <c r="L223" s="282"/>
      <c r="P223" s="42">
        <v>1575</v>
      </c>
      <c r="R223" s="42">
        <v>0</v>
      </c>
      <c r="T223" s="284">
        <v>1575</v>
      </c>
      <c r="U223" s="284"/>
    </row>
    <row r="224" spans="2:21" x14ac:dyDescent="0.25">
      <c r="F224" s="285"/>
      <c r="G224" s="285"/>
    </row>
    <row r="225" spans="2:21" x14ac:dyDescent="0.25">
      <c r="B225" s="282">
        <v>209</v>
      </c>
      <c r="C225" s="282"/>
      <c r="F225" s="285" t="s">
        <v>260</v>
      </c>
      <c r="G225" s="285"/>
      <c r="I225" s="282">
        <v>18</v>
      </c>
      <c r="J225" s="282"/>
      <c r="K225" s="282"/>
      <c r="L225" s="282"/>
      <c r="P225" s="42">
        <v>4500</v>
      </c>
      <c r="R225" s="42">
        <v>1650</v>
      </c>
      <c r="T225" s="284">
        <v>2850</v>
      </c>
      <c r="U225" s="284"/>
    </row>
    <row r="226" spans="2:21" x14ac:dyDescent="0.25">
      <c r="F226" s="285"/>
      <c r="G226" s="285"/>
    </row>
    <row r="227" spans="2:21" x14ac:dyDescent="0.25">
      <c r="B227" s="282">
        <v>210</v>
      </c>
      <c r="C227" s="282"/>
      <c r="F227" s="285" t="s">
        <v>259</v>
      </c>
      <c r="G227" s="285"/>
      <c r="I227" s="282">
        <v>24</v>
      </c>
      <c r="J227" s="282"/>
      <c r="K227" s="282"/>
      <c r="L227" s="282"/>
      <c r="P227" s="42">
        <v>37200</v>
      </c>
      <c r="R227" s="42">
        <v>7506</v>
      </c>
      <c r="T227" s="284">
        <v>29694</v>
      </c>
      <c r="U227" s="284"/>
    </row>
    <row r="228" spans="2:21" x14ac:dyDescent="0.25">
      <c r="F228" s="285"/>
      <c r="G228" s="285"/>
    </row>
    <row r="229" spans="2:21" x14ac:dyDescent="0.25">
      <c r="B229" s="282">
        <v>211</v>
      </c>
      <c r="C229" s="282"/>
      <c r="F229" s="285" t="s">
        <v>375</v>
      </c>
      <c r="G229" s="285"/>
      <c r="I229" s="282">
        <v>45</v>
      </c>
      <c r="J229" s="282"/>
      <c r="K229" s="282"/>
      <c r="L229" s="282"/>
      <c r="P229" s="42">
        <v>5400</v>
      </c>
      <c r="R229" s="42">
        <v>0</v>
      </c>
      <c r="T229" s="284">
        <v>5400</v>
      </c>
      <c r="U229" s="284"/>
    </row>
    <row r="230" spans="2:21" x14ac:dyDescent="0.25">
      <c r="F230" s="285"/>
      <c r="G230" s="285"/>
    </row>
    <row r="231" spans="2:21" x14ac:dyDescent="0.25">
      <c r="B231" s="282">
        <v>212</v>
      </c>
      <c r="C231" s="282"/>
      <c r="F231" s="283" t="s">
        <v>112</v>
      </c>
      <c r="G231" s="283"/>
      <c r="I231" s="282">
        <v>3</v>
      </c>
      <c r="J231" s="282"/>
      <c r="K231" s="282"/>
      <c r="L231" s="282"/>
      <c r="P231" s="42">
        <v>180</v>
      </c>
      <c r="R231" s="42">
        <v>0</v>
      </c>
      <c r="T231" s="284">
        <v>180</v>
      </c>
      <c r="U231" s="284"/>
    </row>
    <row r="232" spans="2:21" x14ac:dyDescent="0.25">
      <c r="B232" s="282">
        <v>213</v>
      </c>
      <c r="C232" s="282"/>
      <c r="F232" s="285" t="s">
        <v>421</v>
      </c>
      <c r="G232" s="285"/>
      <c r="I232" s="282">
        <v>165</v>
      </c>
      <c r="J232" s="282"/>
      <c r="K232" s="282"/>
      <c r="L232" s="282"/>
      <c r="P232" s="42">
        <v>14850</v>
      </c>
      <c r="R232" s="42">
        <v>0</v>
      </c>
      <c r="T232" s="284">
        <v>14850</v>
      </c>
      <c r="U232" s="284"/>
    </row>
    <row r="233" spans="2:21" x14ac:dyDescent="0.25">
      <c r="F233" s="285"/>
      <c r="G233" s="285"/>
    </row>
    <row r="234" spans="2:21" x14ac:dyDescent="0.25">
      <c r="B234" s="282">
        <v>214</v>
      </c>
      <c r="C234" s="282"/>
      <c r="F234" s="283" t="s">
        <v>383</v>
      </c>
      <c r="G234" s="283"/>
      <c r="I234" s="282">
        <v>4</v>
      </c>
      <c r="J234" s="282"/>
      <c r="K234" s="282"/>
      <c r="L234" s="282"/>
      <c r="P234" s="42">
        <v>320</v>
      </c>
      <c r="R234" s="42">
        <v>0</v>
      </c>
      <c r="T234" s="284">
        <v>320</v>
      </c>
      <c r="U234" s="284"/>
    </row>
    <row r="235" spans="2:21" x14ac:dyDescent="0.25">
      <c r="B235" s="282">
        <v>215</v>
      </c>
      <c r="C235" s="282"/>
      <c r="F235" s="283" t="s">
        <v>225</v>
      </c>
      <c r="G235" s="283"/>
      <c r="I235" s="282">
        <v>29</v>
      </c>
      <c r="J235" s="282"/>
      <c r="K235" s="282"/>
      <c r="L235" s="282"/>
      <c r="P235" s="42">
        <v>135200</v>
      </c>
      <c r="R235" s="42">
        <v>132850</v>
      </c>
      <c r="T235" s="284">
        <v>2350</v>
      </c>
      <c r="U235" s="284"/>
    </row>
    <row r="236" spans="2:21" x14ac:dyDescent="0.25">
      <c r="B236" s="282">
        <v>216</v>
      </c>
      <c r="C236" s="282"/>
      <c r="F236" s="283" t="s">
        <v>224</v>
      </c>
      <c r="G236" s="283"/>
      <c r="I236" s="282">
        <v>1</v>
      </c>
      <c r="J236" s="282"/>
      <c r="K236" s="282"/>
      <c r="L236" s="282"/>
      <c r="P236" s="42">
        <v>500</v>
      </c>
      <c r="R236" s="42">
        <v>150</v>
      </c>
      <c r="T236" s="284">
        <v>350</v>
      </c>
      <c r="U236" s="284"/>
    </row>
    <row r="237" spans="2:21" x14ac:dyDescent="0.25">
      <c r="B237" s="282">
        <v>217</v>
      </c>
      <c r="C237" s="282"/>
      <c r="F237" s="283" t="s">
        <v>223</v>
      </c>
      <c r="G237" s="283"/>
      <c r="I237" s="282">
        <v>5</v>
      </c>
      <c r="J237" s="282"/>
      <c r="K237" s="282"/>
      <c r="L237" s="282"/>
      <c r="P237" s="42">
        <v>4950</v>
      </c>
      <c r="R237" s="42">
        <v>0</v>
      </c>
      <c r="T237" s="284">
        <v>4950</v>
      </c>
      <c r="U237" s="284"/>
    </row>
    <row r="238" spans="2:21" x14ac:dyDescent="0.25">
      <c r="B238" s="282">
        <v>218</v>
      </c>
      <c r="C238" s="282"/>
      <c r="F238" s="283" t="s">
        <v>222</v>
      </c>
      <c r="G238" s="283"/>
      <c r="I238" s="282">
        <v>27</v>
      </c>
      <c r="J238" s="282"/>
      <c r="K238" s="282"/>
      <c r="L238" s="282"/>
      <c r="P238" s="42">
        <v>13500</v>
      </c>
      <c r="R238" s="42">
        <v>3550</v>
      </c>
      <c r="T238" s="284">
        <v>9950</v>
      </c>
      <c r="U238" s="284"/>
    </row>
    <row r="239" spans="2:21" x14ac:dyDescent="0.25">
      <c r="B239" s="282">
        <v>219</v>
      </c>
      <c r="C239" s="282"/>
      <c r="F239" s="283" t="s">
        <v>301</v>
      </c>
      <c r="G239" s="283"/>
      <c r="I239" s="282">
        <v>6</v>
      </c>
      <c r="J239" s="282"/>
      <c r="K239" s="282"/>
      <c r="L239" s="282"/>
      <c r="P239" s="42">
        <v>4800</v>
      </c>
      <c r="R239" s="42">
        <v>1000</v>
      </c>
      <c r="T239" s="284">
        <v>3800</v>
      </c>
      <c r="U239" s="284"/>
    </row>
    <row r="240" spans="2:21" x14ac:dyDescent="0.25">
      <c r="B240" s="282">
        <v>220</v>
      </c>
      <c r="C240" s="282"/>
      <c r="F240" s="283" t="s">
        <v>278</v>
      </c>
      <c r="G240" s="283"/>
      <c r="I240" s="282">
        <v>7</v>
      </c>
      <c r="J240" s="282"/>
      <c r="K240" s="282"/>
      <c r="L240" s="282"/>
      <c r="P240" s="42">
        <v>2310</v>
      </c>
      <c r="R240" s="42">
        <v>600</v>
      </c>
      <c r="T240" s="284">
        <v>1710</v>
      </c>
      <c r="U240" s="284"/>
    </row>
    <row r="241" spans="2:21" ht="15.75" customHeight="1" x14ac:dyDescent="0.25">
      <c r="B241" s="282">
        <v>221</v>
      </c>
      <c r="C241" s="282"/>
      <c r="F241" s="283" t="s">
        <v>300</v>
      </c>
      <c r="G241" s="283"/>
      <c r="I241" s="282">
        <v>33</v>
      </c>
      <c r="J241" s="282"/>
      <c r="K241" s="282"/>
      <c r="L241" s="282"/>
      <c r="P241" s="42">
        <v>10890</v>
      </c>
      <c r="R241" s="42">
        <v>3225</v>
      </c>
      <c r="T241" s="284">
        <v>7665</v>
      </c>
      <c r="U241" s="284"/>
    </row>
    <row r="242" spans="2:21" x14ac:dyDescent="0.25">
      <c r="B242" s="282">
        <v>222</v>
      </c>
      <c r="C242" s="282"/>
      <c r="F242" s="283" t="s">
        <v>221</v>
      </c>
      <c r="G242" s="283"/>
      <c r="I242" s="282">
        <v>45</v>
      </c>
      <c r="J242" s="282"/>
      <c r="K242" s="282"/>
      <c r="L242" s="282"/>
      <c r="P242" s="42">
        <v>44550</v>
      </c>
      <c r="R242" s="42">
        <v>10447</v>
      </c>
      <c r="T242" s="284">
        <v>34103</v>
      </c>
      <c r="U242" s="284"/>
    </row>
    <row r="243" spans="2:21" x14ac:dyDescent="0.25">
      <c r="B243" s="282">
        <v>223</v>
      </c>
      <c r="C243" s="282"/>
      <c r="F243" s="283" t="s">
        <v>327</v>
      </c>
      <c r="G243" s="283"/>
      <c r="I243" s="282">
        <v>21</v>
      </c>
      <c r="J243" s="282"/>
      <c r="K243" s="282"/>
      <c r="L243" s="282"/>
      <c r="P243" s="42">
        <v>18480</v>
      </c>
      <c r="R243" s="42">
        <v>2018</v>
      </c>
      <c r="T243" s="284">
        <v>16462</v>
      </c>
      <c r="U243" s="284"/>
    </row>
    <row r="244" spans="2:21" x14ac:dyDescent="0.25">
      <c r="B244" s="282">
        <v>224</v>
      </c>
      <c r="C244" s="282"/>
      <c r="F244" s="283" t="s">
        <v>220</v>
      </c>
      <c r="G244" s="283"/>
      <c r="I244" s="282">
        <v>6</v>
      </c>
      <c r="J244" s="282"/>
      <c r="K244" s="282"/>
      <c r="L244" s="282"/>
      <c r="P244" s="42">
        <v>2100</v>
      </c>
      <c r="R244" s="42">
        <v>300</v>
      </c>
      <c r="T244" s="284">
        <v>1800</v>
      </c>
      <c r="U244" s="284"/>
    </row>
    <row r="245" spans="2:21" x14ac:dyDescent="0.25">
      <c r="B245" s="282">
        <v>225</v>
      </c>
      <c r="C245" s="282"/>
      <c r="F245" s="283" t="s">
        <v>219</v>
      </c>
      <c r="G245" s="283"/>
      <c r="I245" s="282">
        <v>96</v>
      </c>
      <c r="J245" s="282"/>
      <c r="K245" s="282"/>
      <c r="L245" s="282"/>
      <c r="P245" s="42">
        <v>48000</v>
      </c>
      <c r="R245" s="42">
        <v>10970</v>
      </c>
      <c r="T245" s="284">
        <v>37030</v>
      </c>
      <c r="U245" s="284"/>
    </row>
    <row r="246" spans="2:21" x14ac:dyDescent="0.25">
      <c r="B246" s="282">
        <v>226</v>
      </c>
      <c r="C246" s="282"/>
      <c r="F246" s="283" t="s">
        <v>258</v>
      </c>
      <c r="G246" s="283"/>
      <c r="I246" s="282">
        <v>7</v>
      </c>
      <c r="J246" s="282"/>
      <c r="K246" s="282"/>
      <c r="L246" s="282"/>
      <c r="P246" s="42">
        <v>2310</v>
      </c>
      <c r="R246" s="42">
        <v>800</v>
      </c>
      <c r="T246" s="284">
        <v>1510</v>
      </c>
      <c r="U246" s="284"/>
    </row>
    <row r="247" spans="2:21" x14ac:dyDescent="0.25">
      <c r="B247" s="282">
        <v>227</v>
      </c>
      <c r="C247" s="282"/>
      <c r="F247" s="283" t="s">
        <v>334</v>
      </c>
      <c r="G247" s="283"/>
      <c r="I247" s="282">
        <v>7</v>
      </c>
      <c r="J247" s="282"/>
      <c r="K247" s="282"/>
      <c r="L247" s="282"/>
      <c r="P247" s="42">
        <v>5530</v>
      </c>
      <c r="R247" s="42">
        <v>720</v>
      </c>
      <c r="T247" s="284">
        <v>4810</v>
      </c>
      <c r="U247" s="284"/>
    </row>
    <row r="248" spans="2:21" x14ac:dyDescent="0.25">
      <c r="B248" s="282">
        <v>228</v>
      </c>
      <c r="C248" s="282"/>
      <c r="F248" s="283" t="s">
        <v>181</v>
      </c>
      <c r="G248" s="283"/>
      <c r="I248" s="282">
        <v>72</v>
      </c>
      <c r="J248" s="282"/>
      <c r="K248" s="282"/>
      <c r="L248" s="282"/>
      <c r="P248" s="42">
        <v>56880</v>
      </c>
      <c r="R248" s="42">
        <v>6448</v>
      </c>
      <c r="T248" s="284">
        <v>50432</v>
      </c>
      <c r="U248" s="284"/>
    </row>
    <row r="249" spans="2:21" x14ac:dyDescent="0.25">
      <c r="B249" s="282">
        <v>229</v>
      </c>
      <c r="C249" s="282"/>
      <c r="F249" s="283" t="s">
        <v>171</v>
      </c>
      <c r="G249" s="283"/>
      <c r="I249" s="282">
        <v>26</v>
      </c>
      <c r="J249" s="282"/>
      <c r="K249" s="282"/>
      <c r="L249" s="282"/>
      <c r="P249" s="42">
        <v>13780</v>
      </c>
      <c r="R249" s="42">
        <v>3972</v>
      </c>
      <c r="T249" s="284">
        <v>9808</v>
      </c>
      <c r="U249" s="284"/>
    </row>
    <row r="250" spans="2:21" x14ac:dyDescent="0.25">
      <c r="B250" s="282">
        <v>230</v>
      </c>
      <c r="C250" s="282"/>
      <c r="F250" s="283" t="s">
        <v>111</v>
      </c>
      <c r="G250" s="283"/>
      <c r="I250" s="282">
        <v>101</v>
      </c>
      <c r="J250" s="282"/>
      <c r="K250" s="282"/>
      <c r="L250" s="282"/>
      <c r="P250" s="42">
        <v>43430</v>
      </c>
      <c r="R250" s="42">
        <v>11686</v>
      </c>
      <c r="T250" s="284">
        <v>31744</v>
      </c>
      <c r="U250" s="284"/>
    </row>
    <row r="251" spans="2:21" x14ac:dyDescent="0.25">
      <c r="B251" s="282">
        <v>231</v>
      </c>
      <c r="C251" s="282"/>
      <c r="F251" s="283" t="s">
        <v>110</v>
      </c>
      <c r="G251" s="283"/>
      <c r="I251" s="282">
        <v>12</v>
      </c>
      <c r="J251" s="282"/>
      <c r="K251" s="282"/>
      <c r="L251" s="282"/>
      <c r="P251" s="42">
        <v>12960</v>
      </c>
      <c r="R251" s="42">
        <v>1760</v>
      </c>
      <c r="T251" s="284">
        <v>11200</v>
      </c>
      <c r="U251" s="284"/>
    </row>
    <row r="252" spans="2:21" x14ac:dyDescent="0.25">
      <c r="B252" s="282">
        <v>232</v>
      </c>
      <c r="C252" s="282"/>
      <c r="F252" s="283" t="s">
        <v>277</v>
      </c>
      <c r="G252" s="283"/>
      <c r="I252" s="282">
        <v>3</v>
      </c>
      <c r="J252" s="282"/>
      <c r="K252" s="282"/>
      <c r="L252" s="282"/>
      <c r="P252" s="42">
        <v>4710</v>
      </c>
      <c r="R252" s="42">
        <v>0</v>
      </c>
      <c r="T252" s="284">
        <v>4710</v>
      </c>
      <c r="U252" s="284"/>
    </row>
    <row r="253" spans="2:21" x14ac:dyDescent="0.25">
      <c r="B253" s="282">
        <v>233</v>
      </c>
      <c r="C253" s="282"/>
      <c r="F253" s="283" t="s">
        <v>257</v>
      </c>
      <c r="G253" s="283"/>
      <c r="I253" s="282">
        <v>16</v>
      </c>
      <c r="J253" s="282"/>
      <c r="K253" s="282"/>
      <c r="L253" s="282"/>
      <c r="P253" s="42">
        <v>15840</v>
      </c>
      <c r="R253" s="42">
        <v>1800</v>
      </c>
      <c r="T253" s="284">
        <v>14040</v>
      </c>
      <c r="U253" s="284"/>
    </row>
    <row r="254" spans="2:21" x14ac:dyDescent="0.25">
      <c r="B254" s="282">
        <v>234</v>
      </c>
      <c r="C254" s="282"/>
      <c r="F254" s="283" t="s">
        <v>109</v>
      </c>
      <c r="G254" s="283"/>
      <c r="I254" s="282">
        <v>185</v>
      </c>
      <c r="J254" s="282"/>
      <c r="K254" s="282"/>
      <c r="L254" s="282"/>
      <c r="P254" s="42">
        <v>144300</v>
      </c>
      <c r="R254" s="42">
        <v>37829</v>
      </c>
      <c r="T254" s="284">
        <v>106471</v>
      </c>
      <c r="U254" s="284"/>
    </row>
    <row r="255" spans="2:21" x14ac:dyDescent="0.25">
      <c r="B255" s="282">
        <v>235</v>
      </c>
      <c r="C255" s="282"/>
      <c r="F255" s="283" t="s">
        <v>108</v>
      </c>
      <c r="G255" s="283"/>
      <c r="I255" s="282">
        <v>8709</v>
      </c>
      <c r="J255" s="282"/>
      <c r="K255" s="282"/>
      <c r="L255" s="282"/>
      <c r="P255" s="42">
        <v>870900</v>
      </c>
      <c r="R255" s="42">
        <v>110872</v>
      </c>
      <c r="T255" s="284">
        <v>760028</v>
      </c>
      <c r="U255" s="284"/>
    </row>
    <row r="256" spans="2:21" x14ac:dyDescent="0.25">
      <c r="B256" s="282">
        <v>236</v>
      </c>
      <c r="C256" s="282"/>
      <c r="F256" s="283" t="s">
        <v>107</v>
      </c>
      <c r="G256" s="283"/>
      <c r="I256" s="282">
        <v>3077</v>
      </c>
      <c r="J256" s="282"/>
      <c r="K256" s="282"/>
      <c r="L256" s="282"/>
      <c r="P256" s="42">
        <v>523040</v>
      </c>
      <c r="R256" s="42">
        <v>156367</v>
      </c>
      <c r="T256" s="284">
        <v>366673</v>
      </c>
      <c r="U256" s="284"/>
    </row>
    <row r="257" spans="2:21" x14ac:dyDescent="0.25">
      <c r="B257" s="282">
        <v>237</v>
      </c>
      <c r="C257" s="282"/>
      <c r="F257" s="283" t="s">
        <v>106</v>
      </c>
      <c r="G257" s="283"/>
      <c r="I257" s="282">
        <v>3985</v>
      </c>
      <c r="J257" s="282"/>
      <c r="K257" s="282"/>
      <c r="L257" s="282"/>
      <c r="P257" s="42">
        <v>398500</v>
      </c>
      <c r="R257" s="42">
        <v>83865</v>
      </c>
      <c r="T257" s="284">
        <v>314635</v>
      </c>
      <c r="U257" s="284"/>
    </row>
    <row r="258" spans="2:21" x14ac:dyDescent="0.25">
      <c r="B258" s="282">
        <v>238</v>
      </c>
      <c r="C258" s="282"/>
      <c r="F258" s="283" t="s">
        <v>218</v>
      </c>
      <c r="G258" s="283"/>
      <c r="I258" s="282">
        <v>7</v>
      </c>
      <c r="J258" s="282"/>
      <c r="K258" s="282"/>
      <c r="L258" s="282"/>
      <c r="P258" s="42">
        <v>2030</v>
      </c>
      <c r="R258" s="42">
        <v>540</v>
      </c>
      <c r="T258" s="284">
        <v>1490</v>
      </c>
      <c r="U258" s="284"/>
    </row>
    <row r="259" spans="2:21" x14ac:dyDescent="0.25">
      <c r="B259" s="282">
        <v>239</v>
      </c>
      <c r="C259" s="282"/>
      <c r="F259" s="283" t="s">
        <v>256</v>
      </c>
      <c r="G259" s="283"/>
      <c r="I259" s="282">
        <v>2</v>
      </c>
      <c r="J259" s="282"/>
      <c r="K259" s="282"/>
      <c r="L259" s="282"/>
      <c r="P259" s="42">
        <v>1260</v>
      </c>
      <c r="R259" s="42">
        <v>380</v>
      </c>
      <c r="T259" s="284">
        <v>880</v>
      </c>
      <c r="U259" s="284"/>
    </row>
    <row r="260" spans="2:21" x14ac:dyDescent="0.25">
      <c r="B260" s="282">
        <v>240</v>
      </c>
      <c r="C260" s="282"/>
      <c r="F260" s="283" t="s">
        <v>217</v>
      </c>
      <c r="G260" s="283"/>
      <c r="I260" s="282">
        <v>4</v>
      </c>
      <c r="J260" s="282"/>
      <c r="K260" s="282"/>
      <c r="L260" s="282"/>
      <c r="P260" s="42">
        <v>1400</v>
      </c>
      <c r="R260" s="42">
        <v>300</v>
      </c>
      <c r="T260" s="284">
        <v>1100</v>
      </c>
      <c r="U260" s="284"/>
    </row>
    <row r="261" spans="2:21" x14ac:dyDescent="0.25">
      <c r="B261" s="282">
        <v>241</v>
      </c>
      <c r="C261" s="282"/>
      <c r="F261" s="283" t="s">
        <v>365</v>
      </c>
      <c r="G261" s="283"/>
      <c r="I261" s="282">
        <v>2</v>
      </c>
      <c r="J261" s="282"/>
      <c r="K261" s="282"/>
      <c r="L261" s="282"/>
      <c r="P261" s="42">
        <v>-6920</v>
      </c>
      <c r="R261" s="42">
        <v>-4250</v>
      </c>
      <c r="T261" s="284">
        <v>-2670</v>
      </c>
      <c r="U261" s="284"/>
    </row>
    <row r="262" spans="2:21" x14ac:dyDescent="0.25">
      <c r="B262" s="282">
        <v>242</v>
      </c>
      <c r="C262" s="282"/>
      <c r="F262" s="283" t="s">
        <v>333</v>
      </c>
      <c r="G262" s="283"/>
      <c r="I262" s="282">
        <v>3</v>
      </c>
      <c r="J262" s="282"/>
      <c r="K262" s="282"/>
      <c r="L262" s="282"/>
      <c r="P262" s="42">
        <v>2370</v>
      </c>
      <c r="R262" s="42">
        <v>720</v>
      </c>
      <c r="T262" s="284">
        <v>1650</v>
      </c>
      <c r="U262" s="284"/>
    </row>
    <row r="263" spans="2:21" x14ac:dyDescent="0.25">
      <c r="B263" s="282">
        <v>243</v>
      </c>
      <c r="C263" s="282"/>
      <c r="F263" s="283" t="s">
        <v>180</v>
      </c>
      <c r="G263" s="283"/>
      <c r="I263" s="282">
        <v>8</v>
      </c>
      <c r="J263" s="282"/>
      <c r="K263" s="282"/>
      <c r="L263" s="282"/>
      <c r="P263" s="42">
        <v>4720</v>
      </c>
      <c r="R263" s="42">
        <v>1440</v>
      </c>
      <c r="T263" s="284">
        <v>3280</v>
      </c>
      <c r="U263" s="284"/>
    </row>
    <row r="264" spans="2:21" x14ac:dyDescent="0.25">
      <c r="B264" s="282">
        <v>244</v>
      </c>
      <c r="C264" s="282"/>
      <c r="F264" s="283" t="s">
        <v>255</v>
      </c>
      <c r="G264" s="283"/>
      <c r="I264" s="282">
        <v>11</v>
      </c>
      <c r="J264" s="282"/>
      <c r="K264" s="282"/>
      <c r="L264" s="282"/>
      <c r="P264" s="42">
        <v>10450</v>
      </c>
      <c r="R264" s="42">
        <v>1540</v>
      </c>
      <c r="T264" s="284">
        <v>8910</v>
      </c>
      <c r="U264" s="284"/>
    </row>
    <row r="265" spans="2:21" x14ac:dyDescent="0.25">
      <c r="B265" s="282">
        <v>245</v>
      </c>
      <c r="C265" s="282"/>
      <c r="F265" s="283" t="s">
        <v>299</v>
      </c>
      <c r="G265" s="283"/>
      <c r="I265" s="282">
        <v>1</v>
      </c>
      <c r="J265" s="282"/>
      <c r="K265" s="282"/>
      <c r="L265" s="282"/>
      <c r="P265" s="42">
        <v>990</v>
      </c>
      <c r="R265" s="42">
        <v>150</v>
      </c>
      <c r="T265" s="284">
        <v>840</v>
      </c>
      <c r="U265" s="284"/>
    </row>
    <row r="266" spans="2:21" x14ac:dyDescent="0.25">
      <c r="B266" s="282">
        <v>246</v>
      </c>
      <c r="C266" s="282"/>
      <c r="F266" s="283" t="s">
        <v>364</v>
      </c>
      <c r="G266" s="283"/>
      <c r="I266" s="282">
        <v>4</v>
      </c>
      <c r="J266" s="282"/>
      <c r="K266" s="282"/>
      <c r="L266" s="282"/>
      <c r="P266" s="42">
        <v>2000</v>
      </c>
      <c r="R266" s="42">
        <v>600</v>
      </c>
      <c r="T266" s="284">
        <v>1400</v>
      </c>
      <c r="U266" s="284"/>
    </row>
    <row r="267" spans="2:21" x14ac:dyDescent="0.25">
      <c r="B267" s="282">
        <v>247</v>
      </c>
      <c r="C267" s="282"/>
      <c r="F267" s="283" t="s">
        <v>216</v>
      </c>
      <c r="G267" s="283"/>
      <c r="I267" s="282">
        <v>34</v>
      </c>
      <c r="J267" s="282"/>
      <c r="K267" s="282"/>
      <c r="L267" s="282"/>
      <c r="P267" s="42">
        <v>36720</v>
      </c>
      <c r="R267" s="42">
        <v>4620</v>
      </c>
      <c r="T267" s="284">
        <v>32100</v>
      </c>
      <c r="U267" s="284"/>
    </row>
    <row r="268" spans="2:21" x14ac:dyDescent="0.25">
      <c r="B268" s="282">
        <v>248</v>
      </c>
      <c r="C268" s="282"/>
      <c r="F268" s="283" t="s">
        <v>215</v>
      </c>
      <c r="G268" s="283"/>
      <c r="I268" s="282">
        <v>2</v>
      </c>
      <c r="J268" s="282"/>
      <c r="K268" s="282"/>
      <c r="L268" s="282"/>
      <c r="P268" s="42">
        <v>2300</v>
      </c>
      <c r="R268" s="42">
        <v>0</v>
      </c>
      <c r="T268" s="284">
        <v>2300</v>
      </c>
      <c r="U268" s="284"/>
    </row>
    <row r="269" spans="2:21" x14ac:dyDescent="0.25">
      <c r="B269" s="282">
        <v>249</v>
      </c>
      <c r="C269" s="282"/>
      <c r="F269" s="283" t="s">
        <v>105</v>
      </c>
      <c r="G269" s="283"/>
      <c r="I269" s="282">
        <v>279</v>
      </c>
      <c r="J269" s="282"/>
      <c r="K269" s="282"/>
      <c r="L269" s="282"/>
      <c r="P269" s="42">
        <v>320850</v>
      </c>
      <c r="R269" s="42">
        <v>0</v>
      </c>
      <c r="T269" s="284">
        <v>320850</v>
      </c>
      <c r="U269" s="284"/>
    </row>
    <row r="270" spans="2:21" x14ac:dyDescent="0.25">
      <c r="B270" s="282">
        <v>250</v>
      </c>
      <c r="C270" s="282"/>
      <c r="F270" s="283" t="s">
        <v>369</v>
      </c>
      <c r="G270" s="283"/>
      <c r="I270" s="282">
        <v>3</v>
      </c>
      <c r="J270" s="282"/>
      <c r="K270" s="282"/>
      <c r="L270" s="282"/>
      <c r="P270" s="42">
        <v>3450</v>
      </c>
      <c r="R270" s="42">
        <v>0</v>
      </c>
      <c r="T270" s="284">
        <v>3450</v>
      </c>
      <c r="U270" s="284"/>
    </row>
    <row r="271" spans="2:21" x14ac:dyDescent="0.25">
      <c r="B271" s="282">
        <v>251</v>
      </c>
      <c r="C271" s="282"/>
      <c r="F271" s="283" t="s">
        <v>397</v>
      </c>
      <c r="G271" s="283"/>
      <c r="I271" s="282">
        <v>7</v>
      </c>
      <c r="J271" s="282"/>
      <c r="K271" s="282"/>
      <c r="L271" s="282"/>
      <c r="P271" s="42">
        <v>8050</v>
      </c>
      <c r="R271" s="42">
        <v>0</v>
      </c>
      <c r="T271" s="284">
        <v>8050</v>
      </c>
      <c r="U271" s="284"/>
    </row>
    <row r="272" spans="2:21" x14ac:dyDescent="0.25">
      <c r="B272" s="282">
        <v>252</v>
      </c>
      <c r="C272" s="282"/>
      <c r="F272" s="283" t="s">
        <v>214</v>
      </c>
      <c r="G272" s="283"/>
      <c r="I272" s="282">
        <v>8</v>
      </c>
      <c r="J272" s="282"/>
      <c r="K272" s="282"/>
      <c r="L272" s="282"/>
      <c r="P272" s="42">
        <v>7920</v>
      </c>
      <c r="R272" s="42">
        <v>1200</v>
      </c>
      <c r="T272" s="284">
        <v>6720</v>
      </c>
      <c r="U272" s="284"/>
    </row>
    <row r="273" spans="2:21" x14ac:dyDescent="0.25">
      <c r="B273" s="282">
        <v>253</v>
      </c>
      <c r="C273" s="282"/>
      <c r="F273" s="283" t="s">
        <v>377</v>
      </c>
      <c r="G273" s="283"/>
      <c r="I273" s="282">
        <v>3</v>
      </c>
      <c r="J273" s="282"/>
      <c r="K273" s="282"/>
      <c r="L273" s="282"/>
      <c r="P273" s="42">
        <v>6060</v>
      </c>
      <c r="R273" s="42">
        <v>0</v>
      </c>
      <c r="T273" s="284">
        <v>6060</v>
      </c>
      <c r="U273" s="284"/>
    </row>
    <row r="274" spans="2:21" x14ac:dyDescent="0.25">
      <c r="B274" s="282">
        <v>254</v>
      </c>
      <c r="C274" s="282"/>
      <c r="F274" s="283" t="s">
        <v>104</v>
      </c>
      <c r="G274" s="283"/>
      <c r="I274" s="282">
        <v>25</v>
      </c>
      <c r="J274" s="282"/>
      <c r="K274" s="282"/>
      <c r="L274" s="282"/>
      <c r="P274" s="42">
        <v>8250</v>
      </c>
      <c r="R274" s="42">
        <v>3140</v>
      </c>
      <c r="T274" s="284">
        <v>5110</v>
      </c>
      <c r="U274" s="284"/>
    </row>
    <row r="275" spans="2:21" x14ac:dyDescent="0.25">
      <c r="B275" s="282">
        <v>255</v>
      </c>
      <c r="C275" s="282"/>
      <c r="F275" s="283" t="s">
        <v>103</v>
      </c>
      <c r="G275" s="283"/>
      <c r="I275" s="282">
        <v>1272</v>
      </c>
      <c r="J275" s="282"/>
      <c r="K275" s="282"/>
      <c r="L275" s="282"/>
      <c r="P275" s="42">
        <v>419440</v>
      </c>
      <c r="R275" s="42">
        <v>136097</v>
      </c>
      <c r="T275" s="284">
        <v>283343</v>
      </c>
      <c r="U275" s="284"/>
    </row>
    <row r="276" spans="2:21" x14ac:dyDescent="0.25">
      <c r="B276" s="282">
        <v>256</v>
      </c>
      <c r="C276" s="282"/>
      <c r="F276" s="283" t="s">
        <v>213</v>
      </c>
      <c r="G276" s="283"/>
      <c r="I276" s="282">
        <v>17</v>
      </c>
      <c r="J276" s="282"/>
      <c r="K276" s="282"/>
      <c r="L276" s="282"/>
      <c r="P276" s="42">
        <v>11700</v>
      </c>
      <c r="R276" s="42">
        <v>4798</v>
      </c>
      <c r="T276" s="284">
        <v>6902</v>
      </c>
      <c r="U276" s="284"/>
    </row>
    <row r="277" spans="2:21" x14ac:dyDescent="0.25">
      <c r="B277" s="282">
        <v>257</v>
      </c>
      <c r="C277" s="282"/>
      <c r="F277" s="283" t="s">
        <v>212</v>
      </c>
      <c r="G277" s="283"/>
      <c r="I277" s="282">
        <v>31</v>
      </c>
      <c r="J277" s="282"/>
      <c r="K277" s="282"/>
      <c r="L277" s="282"/>
      <c r="P277" s="42">
        <v>15500</v>
      </c>
      <c r="R277" s="42">
        <v>4000</v>
      </c>
      <c r="T277" s="284">
        <v>11500</v>
      </c>
      <c r="U277" s="284"/>
    </row>
    <row r="278" spans="2:21" x14ac:dyDescent="0.25">
      <c r="B278" s="282">
        <v>258</v>
      </c>
      <c r="C278" s="282"/>
      <c r="F278" s="283" t="s">
        <v>420</v>
      </c>
      <c r="G278" s="283"/>
      <c r="I278" s="282">
        <v>1</v>
      </c>
      <c r="J278" s="282"/>
      <c r="K278" s="282"/>
      <c r="L278" s="282"/>
      <c r="P278" s="42">
        <v>300</v>
      </c>
      <c r="R278" s="42">
        <v>80</v>
      </c>
      <c r="T278" s="284">
        <v>220</v>
      </c>
      <c r="U278" s="284"/>
    </row>
    <row r="279" spans="2:21" x14ac:dyDescent="0.25">
      <c r="B279" s="282">
        <v>259</v>
      </c>
      <c r="C279" s="282"/>
      <c r="F279" s="283" t="s">
        <v>211</v>
      </c>
      <c r="G279" s="283"/>
      <c r="I279" s="282">
        <v>57</v>
      </c>
      <c r="J279" s="282"/>
      <c r="K279" s="282"/>
      <c r="L279" s="282"/>
      <c r="P279" s="42">
        <v>28900</v>
      </c>
      <c r="R279" s="42">
        <v>7855</v>
      </c>
      <c r="T279" s="284">
        <v>21045</v>
      </c>
      <c r="U279" s="284"/>
    </row>
    <row r="280" spans="2:21" x14ac:dyDescent="0.25">
      <c r="B280" s="282">
        <v>260</v>
      </c>
      <c r="C280" s="282"/>
      <c r="F280" s="283" t="s">
        <v>276</v>
      </c>
      <c r="G280" s="283"/>
      <c r="I280" s="282">
        <v>53</v>
      </c>
      <c r="J280" s="282"/>
      <c r="K280" s="282"/>
      <c r="L280" s="282"/>
      <c r="P280" s="42">
        <v>27700</v>
      </c>
      <c r="R280" s="42">
        <v>7370</v>
      </c>
      <c r="T280" s="284">
        <v>20330</v>
      </c>
      <c r="U280" s="284"/>
    </row>
    <row r="281" spans="2:21" x14ac:dyDescent="0.25">
      <c r="B281" s="282">
        <v>261</v>
      </c>
      <c r="C281" s="282"/>
      <c r="F281" s="283" t="s">
        <v>275</v>
      </c>
      <c r="G281" s="283"/>
      <c r="I281" s="282">
        <v>21</v>
      </c>
      <c r="J281" s="282"/>
      <c r="K281" s="282"/>
      <c r="L281" s="282"/>
      <c r="P281" s="42">
        <v>14100</v>
      </c>
      <c r="R281" s="42">
        <v>6406</v>
      </c>
      <c r="T281" s="284">
        <v>7694</v>
      </c>
      <c r="U281" s="284"/>
    </row>
    <row r="282" spans="2:21" x14ac:dyDescent="0.25">
      <c r="B282" s="282">
        <v>262</v>
      </c>
      <c r="C282" s="282"/>
      <c r="F282" s="283" t="s">
        <v>307</v>
      </c>
      <c r="G282" s="283"/>
      <c r="I282" s="282">
        <v>26</v>
      </c>
      <c r="J282" s="282"/>
      <c r="K282" s="282"/>
      <c r="L282" s="282"/>
      <c r="P282" s="42">
        <v>19000</v>
      </c>
      <c r="R282" s="42">
        <v>8561</v>
      </c>
      <c r="T282" s="284">
        <v>10439</v>
      </c>
      <c r="U282" s="284"/>
    </row>
    <row r="283" spans="2:21" x14ac:dyDescent="0.25">
      <c r="B283" s="282">
        <v>263</v>
      </c>
      <c r="C283" s="282"/>
      <c r="F283" s="283" t="s">
        <v>298</v>
      </c>
      <c r="G283" s="283"/>
      <c r="I283" s="282">
        <v>2</v>
      </c>
      <c r="J283" s="282"/>
      <c r="K283" s="282"/>
      <c r="L283" s="282"/>
      <c r="P283" s="42">
        <v>660</v>
      </c>
      <c r="R283" s="42">
        <v>280</v>
      </c>
      <c r="T283" s="284">
        <v>380</v>
      </c>
      <c r="U283" s="284"/>
    </row>
    <row r="284" spans="2:21" x14ac:dyDescent="0.25">
      <c r="B284" s="282">
        <v>264</v>
      </c>
      <c r="C284" s="282"/>
      <c r="F284" s="283" t="s">
        <v>408</v>
      </c>
      <c r="G284" s="283"/>
      <c r="I284" s="282">
        <v>65</v>
      </c>
      <c r="J284" s="282"/>
      <c r="K284" s="282"/>
      <c r="L284" s="282"/>
      <c r="P284" s="42">
        <v>32500</v>
      </c>
      <c r="R284" s="42">
        <v>9600</v>
      </c>
      <c r="T284" s="284">
        <v>22900</v>
      </c>
      <c r="U284" s="284"/>
    </row>
    <row r="285" spans="2:21" x14ac:dyDescent="0.25">
      <c r="B285" s="282">
        <v>265</v>
      </c>
      <c r="C285" s="282"/>
      <c r="F285" s="283" t="s">
        <v>210</v>
      </c>
      <c r="G285" s="283"/>
      <c r="I285" s="282">
        <v>7</v>
      </c>
      <c r="J285" s="282"/>
      <c r="K285" s="282"/>
      <c r="L285" s="282"/>
      <c r="P285" s="42">
        <v>2730</v>
      </c>
      <c r="R285" s="42">
        <v>720</v>
      </c>
      <c r="T285" s="284">
        <v>2010</v>
      </c>
      <c r="U285" s="284"/>
    </row>
    <row r="286" spans="2:21" x14ac:dyDescent="0.25">
      <c r="B286" s="282">
        <v>266</v>
      </c>
      <c r="C286" s="282"/>
      <c r="F286" s="283" t="s">
        <v>326</v>
      </c>
      <c r="G286" s="283"/>
      <c r="I286" s="282">
        <v>1</v>
      </c>
      <c r="J286" s="282"/>
      <c r="K286" s="282"/>
      <c r="L286" s="282"/>
      <c r="P286" s="42">
        <v>330</v>
      </c>
      <c r="R286" s="42">
        <v>33</v>
      </c>
      <c r="T286" s="284">
        <v>297</v>
      </c>
      <c r="U286" s="284"/>
    </row>
    <row r="287" spans="2:21" x14ac:dyDescent="0.25">
      <c r="B287" s="282">
        <v>267</v>
      </c>
      <c r="C287" s="282"/>
      <c r="F287" s="283" t="s">
        <v>209</v>
      </c>
      <c r="G287" s="283"/>
      <c r="I287" s="282">
        <v>1</v>
      </c>
      <c r="J287" s="282"/>
      <c r="K287" s="282"/>
      <c r="L287" s="282"/>
      <c r="P287" s="42">
        <v>390</v>
      </c>
      <c r="R287" s="42">
        <v>120</v>
      </c>
      <c r="T287" s="284">
        <v>270</v>
      </c>
      <c r="U287" s="284"/>
    </row>
    <row r="288" spans="2:21" x14ac:dyDescent="0.25">
      <c r="B288" s="282">
        <v>268</v>
      </c>
      <c r="C288" s="282"/>
      <c r="F288" s="283" t="s">
        <v>358</v>
      </c>
      <c r="G288" s="283"/>
      <c r="I288" s="282">
        <v>3</v>
      </c>
      <c r="J288" s="282"/>
      <c r="K288" s="282"/>
      <c r="L288" s="282"/>
      <c r="P288" s="42">
        <v>1170</v>
      </c>
      <c r="R288" s="42">
        <v>440</v>
      </c>
      <c r="T288" s="284">
        <v>730</v>
      </c>
      <c r="U288" s="284"/>
    </row>
    <row r="289" spans="2:21" x14ac:dyDescent="0.25">
      <c r="B289" s="282">
        <v>269</v>
      </c>
      <c r="C289" s="282"/>
      <c r="F289" s="283" t="s">
        <v>399</v>
      </c>
      <c r="G289" s="283"/>
      <c r="I289" s="282">
        <v>3</v>
      </c>
      <c r="J289" s="282"/>
      <c r="K289" s="282"/>
      <c r="L289" s="282"/>
      <c r="P289" s="42">
        <v>1080</v>
      </c>
      <c r="R289" s="42">
        <v>242</v>
      </c>
      <c r="T289" s="284">
        <v>838</v>
      </c>
      <c r="U289" s="284"/>
    </row>
    <row r="290" spans="2:21" x14ac:dyDescent="0.25">
      <c r="B290" s="282">
        <v>270</v>
      </c>
      <c r="C290" s="282"/>
      <c r="F290" s="283" t="s">
        <v>102</v>
      </c>
      <c r="G290" s="283"/>
      <c r="I290" s="282">
        <v>511</v>
      </c>
      <c r="J290" s="282"/>
      <c r="K290" s="282"/>
      <c r="L290" s="282"/>
      <c r="P290" s="42">
        <v>449680</v>
      </c>
      <c r="R290" s="42">
        <v>56963</v>
      </c>
      <c r="T290" s="284">
        <v>392717</v>
      </c>
      <c r="U290" s="284"/>
    </row>
    <row r="291" spans="2:21" x14ac:dyDescent="0.25">
      <c r="B291" s="282">
        <v>271</v>
      </c>
      <c r="C291" s="282"/>
      <c r="F291" s="283" t="s">
        <v>101</v>
      </c>
      <c r="G291" s="283"/>
      <c r="I291" s="282">
        <v>335</v>
      </c>
      <c r="J291" s="282"/>
      <c r="K291" s="282"/>
      <c r="L291" s="282"/>
      <c r="P291" s="42">
        <v>154100</v>
      </c>
      <c r="R291" s="42">
        <v>39720</v>
      </c>
      <c r="T291" s="284">
        <v>114380</v>
      </c>
      <c r="U291" s="284"/>
    </row>
    <row r="292" spans="2:21" x14ac:dyDescent="0.25">
      <c r="B292" s="282">
        <v>272</v>
      </c>
      <c r="C292" s="282"/>
      <c r="F292" s="283" t="s">
        <v>254</v>
      </c>
      <c r="G292" s="283"/>
      <c r="I292" s="282">
        <v>27</v>
      </c>
      <c r="J292" s="282"/>
      <c r="K292" s="282"/>
      <c r="L292" s="282"/>
      <c r="P292" s="42">
        <v>7830</v>
      </c>
      <c r="R292" s="42">
        <v>1440</v>
      </c>
      <c r="T292" s="284">
        <v>6390</v>
      </c>
      <c r="U292" s="284"/>
    </row>
    <row r="293" spans="2:21" x14ac:dyDescent="0.25">
      <c r="B293" s="282">
        <v>273</v>
      </c>
      <c r="C293" s="282"/>
      <c r="F293" s="283" t="s">
        <v>179</v>
      </c>
      <c r="G293" s="283"/>
      <c r="I293" s="282">
        <v>12</v>
      </c>
      <c r="J293" s="282"/>
      <c r="K293" s="282"/>
      <c r="L293" s="282"/>
      <c r="P293" s="42">
        <v>10560</v>
      </c>
      <c r="R293" s="42">
        <v>1430</v>
      </c>
      <c r="T293" s="284">
        <v>9130</v>
      </c>
      <c r="U293" s="284"/>
    </row>
    <row r="294" spans="2:21" x14ac:dyDescent="0.25">
      <c r="B294" s="282">
        <v>274</v>
      </c>
      <c r="C294" s="282"/>
      <c r="F294" s="283" t="s">
        <v>100</v>
      </c>
      <c r="G294" s="283"/>
      <c r="I294" s="282">
        <v>147</v>
      </c>
      <c r="J294" s="282"/>
      <c r="K294" s="282"/>
      <c r="L294" s="282"/>
      <c r="P294" s="42">
        <v>26460</v>
      </c>
      <c r="R294" s="42">
        <v>6255</v>
      </c>
      <c r="T294" s="284">
        <v>20205</v>
      </c>
      <c r="U294" s="284"/>
    </row>
    <row r="295" spans="2:21" x14ac:dyDescent="0.25">
      <c r="B295" s="282">
        <v>275</v>
      </c>
      <c r="C295" s="282"/>
      <c r="F295" s="283" t="s">
        <v>178</v>
      </c>
      <c r="G295" s="283"/>
      <c r="I295" s="282">
        <v>64</v>
      </c>
      <c r="J295" s="282"/>
      <c r="K295" s="282"/>
      <c r="L295" s="282"/>
      <c r="P295" s="42">
        <v>105600</v>
      </c>
      <c r="R295" s="42">
        <v>0</v>
      </c>
      <c r="T295" s="284">
        <v>105600</v>
      </c>
      <c r="U295" s="284"/>
    </row>
    <row r="296" spans="2:21" x14ac:dyDescent="0.25">
      <c r="B296" s="282">
        <v>276</v>
      </c>
      <c r="C296" s="282"/>
      <c r="F296" s="283" t="s">
        <v>274</v>
      </c>
      <c r="G296" s="283"/>
      <c r="I296" s="282">
        <v>7</v>
      </c>
      <c r="J296" s="282"/>
      <c r="K296" s="282"/>
      <c r="L296" s="282"/>
      <c r="P296" s="42">
        <v>1260</v>
      </c>
      <c r="R296" s="42">
        <v>300</v>
      </c>
      <c r="T296" s="284">
        <v>960</v>
      </c>
      <c r="U296" s="284"/>
    </row>
    <row r="297" spans="2:21" x14ac:dyDescent="0.25">
      <c r="B297" s="282">
        <v>277</v>
      </c>
      <c r="C297" s="282"/>
      <c r="F297" s="283" t="s">
        <v>177</v>
      </c>
      <c r="G297" s="283"/>
      <c r="I297" s="282">
        <v>2</v>
      </c>
      <c r="J297" s="282"/>
      <c r="K297" s="282"/>
      <c r="L297" s="282"/>
      <c r="P297" s="42">
        <v>1920</v>
      </c>
      <c r="R297" s="42">
        <v>580</v>
      </c>
      <c r="T297" s="284">
        <v>1340</v>
      </c>
      <c r="U297" s="284"/>
    </row>
    <row r="298" spans="2:21" x14ac:dyDescent="0.25">
      <c r="B298" s="282">
        <v>278</v>
      </c>
      <c r="C298" s="282"/>
      <c r="F298" s="283" t="s">
        <v>99</v>
      </c>
      <c r="G298" s="283"/>
      <c r="I298" s="282">
        <v>69</v>
      </c>
      <c r="J298" s="282"/>
      <c r="K298" s="282"/>
      <c r="L298" s="282"/>
      <c r="P298" s="42">
        <v>40710</v>
      </c>
      <c r="R298" s="42">
        <v>5037</v>
      </c>
      <c r="T298" s="284">
        <v>35673</v>
      </c>
      <c r="U298" s="284"/>
    </row>
    <row r="299" spans="2:21" x14ac:dyDescent="0.25">
      <c r="B299" s="282">
        <v>279</v>
      </c>
      <c r="C299" s="282"/>
      <c r="F299" s="283" t="s">
        <v>98</v>
      </c>
      <c r="G299" s="283"/>
      <c r="I299" s="282">
        <v>80</v>
      </c>
      <c r="J299" s="282"/>
      <c r="K299" s="282"/>
      <c r="L299" s="282"/>
      <c r="P299" s="42">
        <v>45600</v>
      </c>
      <c r="R299" s="42">
        <v>5485</v>
      </c>
      <c r="T299" s="284">
        <v>40115</v>
      </c>
      <c r="U299" s="284"/>
    </row>
    <row r="300" spans="2:21" x14ac:dyDescent="0.25">
      <c r="B300" s="282">
        <v>280</v>
      </c>
      <c r="C300" s="282"/>
      <c r="F300" s="283" t="s">
        <v>428</v>
      </c>
      <c r="G300" s="283"/>
      <c r="I300" s="282">
        <v>3</v>
      </c>
      <c r="J300" s="282"/>
      <c r="K300" s="282"/>
      <c r="L300" s="282"/>
      <c r="P300" s="42">
        <v>2100</v>
      </c>
      <c r="R300" s="42">
        <v>1050</v>
      </c>
      <c r="T300" s="284">
        <v>1050</v>
      </c>
      <c r="U300" s="284"/>
    </row>
    <row r="301" spans="2:21" x14ac:dyDescent="0.25">
      <c r="B301" s="282">
        <v>281</v>
      </c>
      <c r="C301" s="282"/>
      <c r="F301" s="283" t="s">
        <v>176</v>
      </c>
      <c r="G301" s="283"/>
      <c r="I301" s="282">
        <v>29</v>
      </c>
      <c r="J301" s="282"/>
      <c r="K301" s="282"/>
      <c r="L301" s="282"/>
      <c r="P301" s="42">
        <v>30740</v>
      </c>
      <c r="R301" s="42">
        <v>1920</v>
      </c>
      <c r="T301" s="284">
        <v>28820</v>
      </c>
      <c r="U301" s="284"/>
    </row>
    <row r="302" spans="2:21" x14ac:dyDescent="0.25">
      <c r="B302" s="282">
        <v>282</v>
      </c>
      <c r="C302" s="282"/>
      <c r="F302" s="283" t="s">
        <v>427</v>
      </c>
      <c r="G302" s="283"/>
      <c r="I302" s="282">
        <v>1</v>
      </c>
      <c r="J302" s="282"/>
      <c r="K302" s="282"/>
      <c r="L302" s="282"/>
      <c r="P302" s="42">
        <v>880</v>
      </c>
      <c r="R302" s="42">
        <v>130</v>
      </c>
      <c r="T302" s="284">
        <v>750</v>
      </c>
      <c r="U302" s="284"/>
    </row>
    <row r="303" spans="2:21" x14ac:dyDescent="0.25">
      <c r="B303" s="282">
        <v>283</v>
      </c>
      <c r="C303" s="282"/>
      <c r="F303" s="283" t="s">
        <v>325</v>
      </c>
      <c r="G303" s="283"/>
      <c r="I303" s="282">
        <v>4</v>
      </c>
      <c r="J303" s="282"/>
      <c r="K303" s="282"/>
      <c r="L303" s="282"/>
      <c r="P303" s="42">
        <v>2800</v>
      </c>
      <c r="R303" s="42">
        <v>1253</v>
      </c>
      <c r="T303" s="284">
        <v>1547</v>
      </c>
      <c r="U303" s="284"/>
    </row>
    <row r="304" spans="2:21" x14ac:dyDescent="0.25">
      <c r="B304" s="282">
        <v>284</v>
      </c>
      <c r="C304" s="282"/>
      <c r="F304" s="283" t="s">
        <v>97</v>
      </c>
      <c r="G304" s="283"/>
      <c r="I304" s="282">
        <v>250</v>
      </c>
      <c r="J304" s="282"/>
      <c r="K304" s="282"/>
      <c r="L304" s="282"/>
      <c r="P304" s="42">
        <v>397500</v>
      </c>
      <c r="R304" s="42">
        <v>47436</v>
      </c>
      <c r="T304" s="284">
        <v>350064</v>
      </c>
      <c r="U304" s="284"/>
    </row>
    <row r="305" spans="2:21" x14ac:dyDescent="0.25">
      <c r="B305" s="282">
        <v>285</v>
      </c>
      <c r="C305" s="282"/>
      <c r="F305" s="283" t="s">
        <v>96</v>
      </c>
      <c r="G305" s="283"/>
      <c r="I305" s="282">
        <v>30</v>
      </c>
      <c r="J305" s="282"/>
      <c r="K305" s="282"/>
      <c r="L305" s="282"/>
      <c r="P305" s="42">
        <v>13200</v>
      </c>
      <c r="R305" s="42">
        <v>3250</v>
      </c>
      <c r="T305" s="284">
        <v>9950</v>
      </c>
      <c r="U305" s="284"/>
    </row>
    <row r="306" spans="2:21" x14ac:dyDescent="0.25">
      <c r="B306" s="282">
        <v>286</v>
      </c>
      <c r="C306" s="282"/>
      <c r="F306" s="283" t="s">
        <v>332</v>
      </c>
      <c r="G306" s="283"/>
      <c r="I306" s="282">
        <v>5</v>
      </c>
      <c r="J306" s="282"/>
      <c r="K306" s="282"/>
      <c r="L306" s="282"/>
      <c r="P306" s="42">
        <v>1450</v>
      </c>
      <c r="R306" s="42">
        <v>440</v>
      </c>
      <c r="T306" s="284">
        <v>1010</v>
      </c>
      <c r="U306" s="284"/>
    </row>
    <row r="307" spans="2:21" x14ac:dyDescent="0.25">
      <c r="B307" s="282">
        <v>287</v>
      </c>
      <c r="C307" s="282"/>
      <c r="F307" s="283" t="s">
        <v>324</v>
      </c>
      <c r="G307" s="283"/>
      <c r="I307" s="282">
        <v>11</v>
      </c>
      <c r="J307" s="282"/>
      <c r="K307" s="282"/>
      <c r="L307" s="282"/>
      <c r="P307" s="42">
        <v>3850</v>
      </c>
      <c r="R307" s="42">
        <v>1365</v>
      </c>
      <c r="T307" s="284">
        <v>2485</v>
      </c>
      <c r="U307" s="284"/>
    </row>
    <row r="308" spans="2:21" x14ac:dyDescent="0.25">
      <c r="B308" s="282">
        <v>288</v>
      </c>
      <c r="C308" s="282"/>
      <c r="F308" s="283" t="s">
        <v>95</v>
      </c>
      <c r="G308" s="283"/>
      <c r="I308" s="282">
        <v>113</v>
      </c>
      <c r="J308" s="282"/>
      <c r="K308" s="282"/>
      <c r="L308" s="282"/>
      <c r="P308" s="42">
        <v>33010</v>
      </c>
      <c r="R308" s="42">
        <v>9252</v>
      </c>
      <c r="T308" s="284">
        <v>23998</v>
      </c>
      <c r="U308" s="284"/>
    </row>
    <row r="309" spans="2:21" x14ac:dyDescent="0.25">
      <c r="B309" s="282">
        <v>289</v>
      </c>
      <c r="C309" s="282"/>
      <c r="F309" s="283" t="s">
        <v>94</v>
      </c>
      <c r="G309" s="283"/>
      <c r="I309" s="282">
        <v>2</v>
      </c>
      <c r="J309" s="282"/>
      <c r="K309" s="282"/>
      <c r="L309" s="282"/>
      <c r="P309" s="42">
        <v>3980</v>
      </c>
      <c r="R309" s="42">
        <v>600</v>
      </c>
      <c r="T309" s="284">
        <v>3380</v>
      </c>
      <c r="U309" s="284"/>
    </row>
    <row r="310" spans="2:21" ht="6.75" customHeight="1" x14ac:dyDescent="0.25"/>
    <row r="311" spans="2:21" x14ac:dyDescent="0.25">
      <c r="B311" s="282">
        <v>290</v>
      </c>
      <c r="C311" s="282"/>
      <c r="F311" s="283" t="s">
        <v>253</v>
      </c>
      <c r="G311" s="283"/>
      <c r="I311" s="282">
        <v>20</v>
      </c>
      <c r="J311" s="282"/>
      <c r="K311" s="282"/>
      <c r="L311" s="282"/>
      <c r="P311" s="42">
        <v>5800</v>
      </c>
      <c r="R311" s="42">
        <v>1890</v>
      </c>
      <c r="T311" s="284">
        <v>3910</v>
      </c>
      <c r="U311" s="284"/>
    </row>
    <row r="312" spans="2:21" x14ac:dyDescent="0.25">
      <c r="B312" s="282">
        <v>291</v>
      </c>
      <c r="C312" s="282"/>
      <c r="F312" s="283" t="s">
        <v>93</v>
      </c>
      <c r="G312" s="283"/>
      <c r="I312" s="282">
        <v>431</v>
      </c>
      <c r="J312" s="282"/>
      <c r="K312" s="282"/>
      <c r="L312" s="282"/>
      <c r="P312" s="42">
        <v>254290</v>
      </c>
      <c r="R312" s="42">
        <v>34180</v>
      </c>
      <c r="T312" s="284">
        <v>220110</v>
      </c>
      <c r="U312" s="284"/>
    </row>
    <row r="313" spans="2:21" x14ac:dyDescent="0.25">
      <c r="B313" s="282">
        <v>292</v>
      </c>
      <c r="C313" s="282"/>
      <c r="F313" s="283" t="s">
        <v>92</v>
      </c>
      <c r="G313" s="283"/>
      <c r="I313" s="282">
        <v>1843</v>
      </c>
      <c r="J313" s="282"/>
      <c r="K313" s="282"/>
      <c r="L313" s="282"/>
      <c r="P313" s="42">
        <v>1268060</v>
      </c>
      <c r="R313" s="42">
        <v>335197</v>
      </c>
      <c r="T313" s="284">
        <v>932863</v>
      </c>
      <c r="U313" s="284"/>
    </row>
    <row r="314" spans="2:21" x14ac:dyDescent="0.25">
      <c r="B314" s="282">
        <v>293</v>
      </c>
      <c r="C314" s="282"/>
      <c r="F314" s="283" t="s">
        <v>306</v>
      </c>
      <c r="G314" s="283"/>
      <c r="I314" s="282">
        <v>28</v>
      </c>
      <c r="J314" s="282"/>
      <c r="K314" s="282"/>
      <c r="L314" s="282"/>
      <c r="P314" s="42">
        <v>30240</v>
      </c>
      <c r="R314" s="42">
        <v>8960</v>
      </c>
      <c r="T314" s="284">
        <v>21280</v>
      </c>
      <c r="U314" s="284"/>
    </row>
    <row r="315" spans="2:21" x14ac:dyDescent="0.25">
      <c r="B315" s="282">
        <v>294</v>
      </c>
      <c r="C315" s="282"/>
      <c r="F315" s="283" t="s">
        <v>390</v>
      </c>
      <c r="G315" s="283"/>
      <c r="I315" s="282">
        <v>2</v>
      </c>
      <c r="J315" s="282"/>
      <c r="K315" s="282"/>
      <c r="L315" s="282"/>
      <c r="P315" s="42">
        <v>1200</v>
      </c>
      <c r="R315" s="42">
        <v>180</v>
      </c>
      <c r="T315" s="284">
        <v>1020</v>
      </c>
      <c r="U315" s="284"/>
    </row>
    <row r="316" spans="2:21" x14ac:dyDescent="0.25">
      <c r="B316" s="282">
        <v>295</v>
      </c>
      <c r="C316" s="282"/>
      <c r="F316" s="283" t="s">
        <v>305</v>
      </c>
      <c r="G316" s="283"/>
      <c r="I316" s="282">
        <v>15</v>
      </c>
      <c r="J316" s="282"/>
      <c r="K316" s="282"/>
      <c r="L316" s="282"/>
      <c r="P316" s="42">
        <v>9000</v>
      </c>
      <c r="R316" s="42">
        <v>1800</v>
      </c>
      <c r="T316" s="284">
        <v>7200</v>
      </c>
      <c r="U316" s="284"/>
    </row>
    <row r="317" spans="2:21" x14ac:dyDescent="0.25">
      <c r="B317" s="282">
        <v>296</v>
      </c>
      <c r="C317" s="282"/>
      <c r="F317" s="283" t="s">
        <v>297</v>
      </c>
      <c r="G317" s="283"/>
      <c r="I317" s="282">
        <v>111</v>
      </c>
      <c r="J317" s="282"/>
      <c r="K317" s="282"/>
      <c r="L317" s="282"/>
      <c r="P317" s="42">
        <v>44400</v>
      </c>
      <c r="R317" s="42">
        <v>4380</v>
      </c>
      <c r="T317" s="284">
        <v>40020</v>
      </c>
      <c r="U317" s="284"/>
    </row>
    <row r="318" spans="2:21" x14ac:dyDescent="0.25">
      <c r="B318" s="282">
        <v>297</v>
      </c>
      <c r="C318" s="282"/>
      <c r="F318" s="283" t="s">
        <v>175</v>
      </c>
      <c r="G318" s="283"/>
      <c r="I318" s="282">
        <v>224</v>
      </c>
      <c r="J318" s="282"/>
      <c r="K318" s="282"/>
      <c r="L318" s="282"/>
      <c r="P318" s="42">
        <v>134400</v>
      </c>
      <c r="R318" s="42">
        <v>27310</v>
      </c>
      <c r="T318" s="284">
        <v>107090</v>
      </c>
      <c r="U318" s="284"/>
    </row>
    <row r="319" spans="2:21" x14ac:dyDescent="0.25">
      <c r="B319" s="282">
        <v>298</v>
      </c>
      <c r="C319" s="282"/>
      <c r="F319" s="283" t="s">
        <v>357</v>
      </c>
      <c r="G319" s="283"/>
      <c r="I319" s="282">
        <v>4</v>
      </c>
      <c r="J319" s="282"/>
      <c r="K319" s="282"/>
      <c r="L319" s="282"/>
      <c r="P319" s="42">
        <v>2000</v>
      </c>
      <c r="R319" s="42">
        <v>300</v>
      </c>
      <c r="T319" s="284">
        <v>1700</v>
      </c>
      <c r="U319" s="284"/>
    </row>
    <row r="320" spans="2:21" x14ac:dyDescent="0.25">
      <c r="B320" s="282">
        <v>299</v>
      </c>
      <c r="C320" s="282"/>
      <c r="F320" s="283" t="s">
        <v>174</v>
      </c>
      <c r="G320" s="283"/>
      <c r="I320" s="282">
        <v>379</v>
      </c>
      <c r="J320" s="282"/>
      <c r="K320" s="282"/>
      <c r="L320" s="282"/>
      <c r="P320" s="42">
        <v>151600</v>
      </c>
      <c r="R320" s="42">
        <v>23487</v>
      </c>
      <c r="T320" s="284">
        <v>128113</v>
      </c>
      <c r="U320" s="284"/>
    </row>
    <row r="321" spans="2:21" x14ac:dyDescent="0.25">
      <c r="B321" s="282">
        <v>300</v>
      </c>
      <c r="C321" s="282"/>
      <c r="F321" s="283" t="s">
        <v>356</v>
      </c>
      <c r="G321" s="283"/>
      <c r="I321" s="282">
        <v>10</v>
      </c>
      <c r="J321" s="282"/>
      <c r="K321" s="282"/>
      <c r="L321" s="282"/>
      <c r="P321" s="42">
        <v>8000</v>
      </c>
      <c r="R321" s="42">
        <v>1440</v>
      </c>
      <c r="T321" s="284">
        <v>6560</v>
      </c>
      <c r="U321" s="284"/>
    </row>
    <row r="322" spans="2:21" x14ac:dyDescent="0.25">
      <c r="B322" s="282">
        <v>301</v>
      </c>
      <c r="C322" s="282"/>
      <c r="F322" s="283" t="s">
        <v>438</v>
      </c>
      <c r="G322" s="283"/>
      <c r="I322" s="282">
        <v>1</v>
      </c>
      <c r="J322" s="282"/>
      <c r="K322" s="282"/>
      <c r="L322" s="282"/>
      <c r="P322" s="42">
        <v>1000</v>
      </c>
      <c r="R322" s="42">
        <v>0</v>
      </c>
      <c r="T322" s="284">
        <v>1000</v>
      </c>
      <c r="U322" s="284"/>
    </row>
    <row r="323" spans="2:21" x14ac:dyDescent="0.25">
      <c r="B323" s="282">
        <v>302</v>
      </c>
      <c r="C323" s="282"/>
      <c r="F323" s="283" t="s">
        <v>355</v>
      </c>
      <c r="G323" s="283"/>
      <c r="I323" s="282">
        <v>67</v>
      </c>
      <c r="J323" s="282"/>
      <c r="K323" s="282"/>
      <c r="L323" s="282"/>
      <c r="P323" s="42">
        <v>40200</v>
      </c>
      <c r="R323" s="42">
        <v>7240</v>
      </c>
      <c r="T323" s="284">
        <v>32960</v>
      </c>
      <c r="U323" s="284"/>
    </row>
    <row r="324" spans="2:21" x14ac:dyDescent="0.25">
      <c r="B324" s="282">
        <v>303</v>
      </c>
      <c r="C324" s="282"/>
      <c r="F324" s="283" t="s">
        <v>173</v>
      </c>
      <c r="G324" s="283"/>
      <c r="I324" s="282">
        <v>469</v>
      </c>
      <c r="J324" s="282"/>
      <c r="K324" s="282"/>
      <c r="L324" s="282"/>
      <c r="P324" s="42">
        <v>469000</v>
      </c>
      <c r="R324" s="42">
        <v>111747</v>
      </c>
      <c r="T324" s="284">
        <v>357253</v>
      </c>
      <c r="U324" s="284"/>
    </row>
    <row r="325" spans="2:21" x14ac:dyDescent="0.25">
      <c r="B325" s="282">
        <v>304</v>
      </c>
      <c r="C325" s="282"/>
      <c r="F325" s="283" t="s">
        <v>296</v>
      </c>
      <c r="G325" s="283"/>
      <c r="I325" s="282">
        <v>36</v>
      </c>
      <c r="J325" s="282"/>
      <c r="K325" s="282"/>
      <c r="L325" s="282"/>
      <c r="P325" s="42">
        <v>43200</v>
      </c>
      <c r="R325" s="42">
        <v>7784</v>
      </c>
      <c r="T325" s="284">
        <v>35416</v>
      </c>
      <c r="U325" s="284"/>
    </row>
    <row r="326" spans="2:21" x14ac:dyDescent="0.25">
      <c r="B326" s="282">
        <v>305</v>
      </c>
      <c r="C326" s="282"/>
      <c r="F326" s="283" t="s">
        <v>91</v>
      </c>
      <c r="G326" s="283"/>
      <c r="I326" s="282">
        <v>5808</v>
      </c>
      <c r="J326" s="282"/>
      <c r="K326" s="282"/>
      <c r="L326" s="282"/>
      <c r="P326" s="42">
        <v>1451950</v>
      </c>
      <c r="R326" s="42">
        <v>612752</v>
      </c>
      <c r="T326" s="284">
        <v>839198</v>
      </c>
      <c r="U326" s="284"/>
    </row>
    <row r="327" spans="2:21" x14ac:dyDescent="0.25">
      <c r="B327" s="282">
        <v>306</v>
      </c>
      <c r="C327" s="282"/>
      <c r="F327" s="283" t="s">
        <v>90</v>
      </c>
      <c r="G327" s="283"/>
      <c r="I327" s="282">
        <v>1717</v>
      </c>
      <c r="J327" s="282"/>
      <c r="K327" s="282"/>
      <c r="L327" s="282"/>
      <c r="P327" s="42">
        <v>497930</v>
      </c>
      <c r="R327" s="42">
        <v>123715</v>
      </c>
      <c r="T327" s="284">
        <v>374215</v>
      </c>
      <c r="U327" s="284"/>
    </row>
    <row r="328" spans="2:21" x14ac:dyDescent="0.25">
      <c r="B328" s="282">
        <v>307</v>
      </c>
      <c r="C328" s="282"/>
      <c r="F328" s="283" t="s">
        <v>89</v>
      </c>
      <c r="G328" s="283"/>
      <c r="I328" s="282">
        <v>132</v>
      </c>
      <c r="J328" s="282"/>
      <c r="K328" s="282"/>
      <c r="L328" s="282"/>
      <c r="P328" s="42">
        <v>116160</v>
      </c>
      <c r="R328" s="42">
        <v>14467</v>
      </c>
      <c r="T328" s="284">
        <v>101693</v>
      </c>
      <c r="U328" s="284"/>
    </row>
    <row r="329" spans="2:21" x14ac:dyDescent="0.25">
      <c r="B329" s="282">
        <v>308</v>
      </c>
      <c r="C329" s="282"/>
      <c r="F329" s="283" t="s">
        <v>88</v>
      </c>
      <c r="G329" s="283"/>
      <c r="I329" s="282">
        <v>3424</v>
      </c>
      <c r="J329" s="282"/>
      <c r="K329" s="282"/>
      <c r="L329" s="282"/>
      <c r="P329" s="42">
        <v>616270</v>
      </c>
      <c r="R329" s="42">
        <v>180245</v>
      </c>
      <c r="T329" s="284">
        <v>436025</v>
      </c>
      <c r="U329" s="284"/>
    </row>
    <row r="330" spans="2:21" x14ac:dyDescent="0.25">
      <c r="B330" s="282">
        <v>309</v>
      </c>
      <c r="C330" s="282"/>
      <c r="F330" s="283" t="s">
        <v>396</v>
      </c>
      <c r="G330" s="283"/>
      <c r="I330" s="282">
        <v>1</v>
      </c>
      <c r="J330" s="282"/>
      <c r="K330" s="282"/>
      <c r="L330" s="282"/>
      <c r="P330" s="42">
        <v>390</v>
      </c>
      <c r="R330" s="42">
        <v>0</v>
      </c>
      <c r="T330" s="284">
        <v>390</v>
      </c>
      <c r="U330" s="284"/>
    </row>
    <row r="331" spans="2:21" x14ac:dyDescent="0.25">
      <c r="B331" s="282">
        <v>310</v>
      </c>
      <c r="C331" s="282"/>
      <c r="F331" s="283" t="s">
        <v>395</v>
      </c>
      <c r="G331" s="283"/>
      <c r="I331" s="282">
        <v>1</v>
      </c>
      <c r="J331" s="282"/>
      <c r="K331" s="282"/>
      <c r="L331" s="282"/>
      <c r="P331" s="42">
        <v>390</v>
      </c>
      <c r="R331" s="42">
        <v>0</v>
      </c>
      <c r="T331" s="284">
        <v>390</v>
      </c>
      <c r="U331" s="284"/>
    </row>
    <row r="332" spans="2:21" x14ac:dyDescent="0.25">
      <c r="B332" s="282">
        <v>311</v>
      </c>
      <c r="C332" s="282"/>
      <c r="F332" s="283" t="s">
        <v>87</v>
      </c>
      <c r="G332" s="283"/>
      <c r="I332" s="282">
        <v>70</v>
      </c>
      <c r="J332" s="282"/>
      <c r="K332" s="282"/>
      <c r="L332" s="282"/>
      <c r="P332" s="42">
        <v>20300</v>
      </c>
      <c r="R332" s="42">
        <v>4080</v>
      </c>
      <c r="T332" s="284">
        <v>16220</v>
      </c>
      <c r="U332" s="284"/>
    </row>
    <row r="333" spans="2:21" x14ac:dyDescent="0.25">
      <c r="B333" s="282">
        <v>312</v>
      </c>
      <c r="C333" s="282"/>
      <c r="F333" s="283" t="s">
        <v>86</v>
      </c>
      <c r="G333" s="283"/>
      <c r="I333" s="282">
        <v>62</v>
      </c>
      <c r="J333" s="282"/>
      <c r="K333" s="282"/>
      <c r="L333" s="282"/>
      <c r="P333" s="42">
        <v>70680</v>
      </c>
      <c r="R333" s="42">
        <v>8388</v>
      </c>
      <c r="T333" s="284">
        <v>62292</v>
      </c>
      <c r="U333" s="284"/>
    </row>
    <row r="334" spans="2:21" x14ac:dyDescent="0.25">
      <c r="B334" s="282">
        <v>313</v>
      </c>
      <c r="C334" s="282"/>
      <c r="F334" s="283" t="s">
        <v>85</v>
      </c>
      <c r="G334" s="283"/>
      <c r="I334" s="282">
        <v>404</v>
      </c>
      <c r="J334" s="282"/>
      <c r="K334" s="282"/>
      <c r="L334" s="282"/>
      <c r="P334" s="42">
        <v>840320</v>
      </c>
      <c r="R334" s="42">
        <v>107912</v>
      </c>
      <c r="T334" s="284">
        <v>732408</v>
      </c>
      <c r="U334" s="284"/>
    </row>
    <row r="335" spans="2:21" x14ac:dyDescent="0.25">
      <c r="B335" s="282">
        <v>314</v>
      </c>
      <c r="C335" s="282"/>
      <c r="F335" s="283" t="s">
        <v>84</v>
      </c>
      <c r="G335" s="283"/>
      <c r="I335" s="282">
        <v>594</v>
      </c>
      <c r="J335" s="282"/>
      <c r="K335" s="282"/>
      <c r="L335" s="282"/>
      <c r="P335" s="42">
        <v>350460</v>
      </c>
      <c r="R335" s="42">
        <v>94110</v>
      </c>
      <c r="T335" s="284">
        <v>256350</v>
      </c>
      <c r="U335" s="284"/>
    </row>
    <row r="336" spans="2:21" x14ac:dyDescent="0.25">
      <c r="B336" s="282">
        <v>315</v>
      </c>
      <c r="C336" s="282"/>
      <c r="F336" s="283" t="s">
        <v>331</v>
      </c>
      <c r="G336" s="283"/>
      <c r="I336" s="282">
        <v>36</v>
      </c>
      <c r="J336" s="282"/>
      <c r="K336" s="282"/>
      <c r="L336" s="282"/>
      <c r="P336" s="42">
        <v>18000</v>
      </c>
      <c r="R336" s="42">
        <v>5300</v>
      </c>
      <c r="T336" s="284">
        <v>12700</v>
      </c>
      <c r="U336" s="284"/>
    </row>
    <row r="337" spans="2:21" x14ac:dyDescent="0.25">
      <c r="B337" s="282">
        <v>316</v>
      </c>
      <c r="C337" s="282"/>
      <c r="F337" s="283" t="s">
        <v>208</v>
      </c>
      <c r="G337" s="283"/>
      <c r="I337" s="282">
        <v>37</v>
      </c>
      <c r="J337" s="282"/>
      <c r="K337" s="282"/>
      <c r="L337" s="282"/>
      <c r="P337" s="42">
        <v>18500</v>
      </c>
      <c r="R337" s="42">
        <v>5080</v>
      </c>
      <c r="T337" s="284">
        <v>13420</v>
      </c>
      <c r="U337" s="284"/>
    </row>
    <row r="338" spans="2:21" x14ac:dyDescent="0.25">
      <c r="B338" s="282">
        <v>317</v>
      </c>
      <c r="C338" s="282"/>
      <c r="F338" s="283" t="s">
        <v>273</v>
      </c>
      <c r="G338" s="283"/>
      <c r="I338" s="282">
        <v>28</v>
      </c>
      <c r="J338" s="282"/>
      <c r="K338" s="282"/>
      <c r="L338" s="282"/>
      <c r="P338" s="42">
        <v>14000</v>
      </c>
      <c r="R338" s="42">
        <v>4010</v>
      </c>
      <c r="T338" s="284">
        <v>9990</v>
      </c>
      <c r="U338" s="284"/>
    </row>
    <row r="339" spans="2:21" x14ac:dyDescent="0.25">
      <c r="B339" s="282">
        <v>318</v>
      </c>
      <c r="C339" s="282"/>
      <c r="F339" s="283" t="s">
        <v>207</v>
      </c>
      <c r="G339" s="283"/>
      <c r="I339" s="282">
        <v>8</v>
      </c>
      <c r="J339" s="282"/>
      <c r="K339" s="282"/>
      <c r="L339" s="282"/>
      <c r="P339" s="42">
        <v>4000</v>
      </c>
      <c r="R339" s="42">
        <v>1050</v>
      </c>
      <c r="T339" s="284">
        <v>2950</v>
      </c>
      <c r="U339" s="284"/>
    </row>
    <row r="340" spans="2:21" x14ac:dyDescent="0.25">
      <c r="B340" s="282">
        <v>319</v>
      </c>
      <c r="C340" s="282"/>
      <c r="F340" s="283" t="s">
        <v>206</v>
      </c>
      <c r="G340" s="283"/>
      <c r="I340" s="282">
        <v>31</v>
      </c>
      <c r="J340" s="282"/>
      <c r="K340" s="282"/>
      <c r="L340" s="282"/>
      <c r="P340" s="42">
        <v>15500</v>
      </c>
      <c r="R340" s="42">
        <v>3850</v>
      </c>
      <c r="T340" s="284">
        <v>11650</v>
      </c>
      <c r="U340" s="284"/>
    </row>
    <row r="341" spans="2:21" x14ac:dyDescent="0.25">
      <c r="B341" s="282">
        <v>320</v>
      </c>
      <c r="C341" s="282"/>
      <c r="F341" s="283" t="s">
        <v>272</v>
      </c>
      <c r="G341" s="283"/>
      <c r="I341" s="282">
        <v>23</v>
      </c>
      <c r="J341" s="282"/>
      <c r="K341" s="282"/>
      <c r="L341" s="282"/>
      <c r="P341" s="42">
        <v>11500</v>
      </c>
      <c r="R341" s="42">
        <v>3430</v>
      </c>
      <c r="T341" s="284">
        <v>8070</v>
      </c>
      <c r="U341" s="284"/>
    </row>
    <row r="342" spans="2:21" x14ac:dyDescent="0.25">
      <c r="B342" s="282">
        <v>321</v>
      </c>
      <c r="C342" s="282"/>
      <c r="F342" s="283" t="s">
        <v>205</v>
      </c>
      <c r="G342" s="283"/>
      <c r="I342" s="282">
        <v>64</v>
      </c>
      <c r="J342" s="282"/>
      <c r="K342" s="282"/>
      <c r="L342" s="282"/>
      <c r="P342" s="42">
        <v>32000</v>
      </c>
      <c r="R342" s="42">
        <v>7715</v>
      </c>
      <c r="T342" s="284">
        <v>24285</v>
      </c>
      <c r="U342" s="284"/>
    </row>
    <row r="343" spans="2:21" x14ac:dyDescent="0.25">
      <c r="B343" s="282">
        <v>322</v>
      </c>
      <c r="C343" s="282"/>
      <c r="F343" s="283" t="s">
        <v>204</v>
      </c>
      <c r="G343" s="283"/>
      <c r="I343" s="282">
        <v>29</v>
      </c>
      <c r="J343" s="282"/>
      <c r="K343" s="282"/>
      <c r="L343" s="282"/>
      <c r="P343" s="42">
        <v>14500</v>
      </c>
      <c r="R343" s="42">
        <v>4350</v>
      </c>
      <c r="T343" s="284">
        <v>10150</v>
      </c>
      <c r="U343" s="284"/>
    </row>
    <row r="344" spans="2:21" x14ac:dyDescent="0.25">
      <c r="B344" s="282">
        <v>323</v>
      </c>
      <c r="C344" s="282"/>
      <c r="F344" s="283" t="s">
        <v>83</v>
      </c>
      <c r="G344" s="283"/>
      <c r="I344" s="282">
        <v>92</v>
      </c>
      <c r="J344" s="282"/>
      <c r="K344" s="282"/>
      <c r="L344" s="282"/>
      <c r="P344" s="42">
        <v>46000</v>
      </c>
      <c r="R344" s="42">
        <v>13330</v>
      </c>
      <c r="T344" s="284">
        <v>32670</v>
      </c>
      <c r="U344" s="284"/>
    </row>
    <row r="345" spans="2:21" x14ac:dyDescent="0.25">
      <c r="B345" s="282">
        <v>324</v>
      </c>
      <c r="C345" s="282"/>
      <c r="F345" s="283" t="s">
        <v>453</v>
      </c>
      <c r="G345" s="283"/>
      <c r="I345" s="282">
        <v>1</v>
      </c>
      <c r="J345" s="282"/>
      <c r="K345" s="282"/>
      <c r="L345" s="282"/>
      <c r="P345" s="42">
        <v>500</v>
      </c>
      <c r="R345" s="42">
        <v>150</v>
      </c>
      <c r="T345" s="284">
        <v>350</v>
      </c>
      <c r="U345" s="284"/>
    </row>
    <row r="346" spans="2:21" x14ac:dyDescent="0.25">
      <c r="B346" s="282">
        <v>325</v>
      </c>
      <c r="C346" s="282"/>
      <c r="F346" s="283" t="s">
        <v>271</v>
      </c>
      <c r="G346" s="283"/>
      <c r="I346" s="282">
        <v>79</v>
      </c>
      <c r="J346" s="282"/>
      <c r="K346" s="282"/>
      <c r="L346" s="282"/>
      <c r="P346" s="42">
        <v>39500</v>
      </c>
      <c r="R346" s="42">
        <v>10970</v>
      </c>
      <c r="T346" s="284">
        <v>28530</v>
      </c>
      <c r="U346" s="284"/>
    </row>
    <row r="347" spans="2:21" x14ac:dyDescent="0.25">
      <c r="B347" s="282">
        <v>326</v>
      </c>
      <c r="C347" s="282"/>
      <c r="F347" s="283" t="s">
        <v>203</v>
      </c>
      <c r="G347" s="283"/>
      <c r="I347" s="282">
        <v>8</v>
      </c>
      <c r="J347" s="282"/>
      <c r="K347" s="282"/>
      <c r="L347" s="282"/>
      <c r="P347" s="42">
        <v>4000</v>
      </c>
      <c r="R347" s="42">
        <v>1200</v>
      </c>
      <c r="T347" s="284">
        <v>2800</v>
      </c>
      <c r="U347" s="284"/>
    </row>
    <row r="348" spans="2:21" x14ac:dyDescent="0.25">
      <c r="B348" s="282">
        <v>327</v>
      </c>
      <c r="C348" s="282"/>
      <c r="F348" s="283" t="s">
        <v>363</v>
      </c>
      <c r="G348" s="283"/>
      <c r="I348" s="282">
        <v>15</v>
      </c>
      <c r="J348" s="282"/>
      <c r="K348" s="282"/>
      <c r="L348" s="282"/>
      <c r="P348" s="42">
        <v>7500</v>
      </c>
      <c r="R348" s="42">
        <v>2050</v>
      </c>
      <c r="T348" s="284">
        <v>5450</v>
      </c>
      <c r="U348" s="284"/>
    </row>
    <row r="349" spans="2:21" x14ac:dyDescent="0.25">
      <c r="B349" s="282">
        <v>328</v>
      </c>
      <c r="C349" s="282"/>
      <c r="F349" s="283" t="s">
        <v>202</v>
      </c>
      <c r="G349" s="283"/>
      <c r="I349" s="282">
        <v>10</v>
      </c>
      <c r="J349" s="282"/>
      <c r="K349" s="282"/>
      <c r="L349" s="282"/>
      <c r="P349" s="42">
        <v>5000</v>
      </c>
      <c r="R349" s="42">
        <v>1295</v>
      </c>
      <c r="T349" s="284">
        <v>3705</v>
      </c>
      <c r="U349" s="284"/>
    </row>
    <row r="350" spans="2:21" x14ac:dyDescent="0.25">
      <c r="B350" s="282">
        <v>329</v>
      </c>
      <c r="C350" s="282"/>
      <c r="F350" s="283" t="s">
        <v>82</v>
      </c>
      <c r="G350" s="283"/>
      <c r="I350" s="282">
        <v>144</v>
      </c>
      <c r="J350" s="282"/>
      <c r="K350" s="282"/>
      <c r="L350" s="282"/>
      <c r="P350" s="42">
        <v>41760</v>
      </c>
      <c r="R350" s="42">
        <v>40890</v>
      </c>
      <c r="T350" s="284">
        <v>870</v>
      </c>
      <c r="U350" s="284"/>
    </row>
    <row r="351" spans="2:21" x14ac:dyDescent="0.25">
      <c r="B351" s="282">
        <v>330</v>
      </c>
      <c r="C351" s="282"/>
      <c r="F351" s="283" t="s">
        <v>81</v>
      </c>
      <c r="G351" s="283"/>
      <c r="I351" s="282">
        <v>2273</v>
      </c>
      <c r="J351" s="282"/>
      <c r="K351" s="282"/>
      <c r="L351" s="282"/>
      <c r="P351" s="42">
        <v>659170</v>
      </c>
      <c r="R351" s="42">
        <v>153064</v>
      </c>
      <c r="T351" s="284">
        <v>506106</v>
      </c>
      <c r="U351" s="284"/>
    </row>
    <row r="352" spans="2:21" ht="12" customHeight="1" x14ac:dyDescent="0.25"/>
    <row r="353" spans="1:22" ht="13.5" customHeight="1" x14ac:dyDescent="0.25">
      <c r="B353" s="40"/>
      <c r="C353" s="286" t="s">
        <v>73</v>
      </c>
      <c r="D353" s="286"/>
      <c r="E353" s="286"/>
      <c r="F353" s="286"/>
      <c r="G353" s="286"/>
      <c r="H353" s="286"/>
      <c r="I353" s="286"/>
      <c r="J353" s="286"/>
      <c r="K353" s="286"/>
      <c r="L353" s="286"/>
      <c r="M353" s="40"/>
      <c r="N353" s="40"/>
      <c r="O353" s="40"/>
      <c r="P353" s="41">
        <v>297315900</v>
      </c>
      <c r="Q353" s="40"/>
      <c r="R353" s="41">
        <v>258400282</v>
      </c>
      <c r="S353" s="40"/>
      <c r="T353" s="287">
        <v>38916383</v>
      </c>
      <c r="U353" s="287"/>
      <c r="V353" s="40"/>
    </row>
    <row r="354" spans="1:22" ht="12" customHeight="1" x14ac:dyDescent="0.25"/>
    <row r="355" spans="1:22" ht="6" customHeight="1" x14ac:dyDescent="0.25"/>
    <row r="356" spans="1:22" ht="20.25" customHeight="1" x14ac:dyDescent="0.25">
      <c r="B356" s="288" t="s">
        <v>466</v>
      </c>
      <c r="C356" s="288"/>
      <c r="D356" s="288"/>
      <c r="E356" s="288"/>
      <c r="F356" s="288"/>
      <c r="G356" s="288"/>
      <c r="H356" s="288"/>
      <c r="I356" s="288"/>
      <c r="J356" s="288"/>
      <c r="K356" s="288"/>
      <c r="L356" s="288"/>
      <c r="M356" s="288"/>
      <c r="N356" s="288"/>
      <c r="O356" s="288"/>
      <c r="P356" s="288"/>
      <c r="Q356" s="288"/>
      <c r="R356" s="288"/>
      <c r="S356" s="288"/>
      <c r="T356" s="288"/>
      <c r="U356" s="288"/>
    </row>
    <row r="357" spans="1:22" ht="8.25" customHeight="1" x14ac:dyDescent="0.25"/>
    <row r="358" spans="1:22" x14ac:dyDescent="0.25">
      <c r="A358" s="280" t="s">
        <v>71</v>
      </c>
      <c r="B358" s="280"/>
      <c r="C358" s="280"/>
      <c r="F358" s="280" t="s">
        <v>465</v>
      </c>
      <c r="G358" s="280"/>
      <c r="I358" s="289" t="s">
        <v>464</v>
      </c>
      <c r="J358" s="289"/>
      <c r="K358" s="289"/>
      <c r="L358" s="289"/>
      <c r="M358" s="289"/>
      <c r="N358" s="289"/>
      <c r="O358" s="281" t="s">
        <v>463</v>
      </c>
      <c r="P358" s="281"/>
      <c r="R358" s="44" t="s">
        <v>34</v>
      </c>
      <c r="T358" s="281" t="s">
        <v>70</v>
      </c>
      <c r="U358" s="281"/>
    </row>
    <row r="359" spans="1:22" s="40" customFormat="1" x14ac:dyDescent="0.25">
      <c r="A359" s="290" t="s">
        <v>462</v>
      </c>
      <c r="B359" s="290"/>
      <c r="C359" s="290"/>
      <c r="D359" s="290"/>
      <c r="E359" s="290"/>
      <c r="F359" s="290"/>
      <c r="G359" s="290"/>
      <c r="H359" s="290"/>
      <c r="I359" s="290"/>
      <c r="J359" s="290"/>
      <c r="K359" s="291">
        <v>1463</v>
      </c>
      <c r="L359" s="291"/>
      <c r="M359" s="291"/>
      <c r="N359" s="291"/>
      <c r="O359" s="291"/>
      <c r="P359" s="41">
        <v>1322790</v>
      </c>
      <c r="R359" s="41">
        <v>1082715</v>
      </c>
      <c r="T359" s="287">
        <v>240075</v>
      </c>
      <c r="U359" s="287"/>
    </row>
    <row r="360" spans="1:22" x14ac:dyDescent="0.25">
      <c r="B360" s="292">
        <v>1</v>
      </c>
      <c r="C360" s="292"/>
      <c r="D360" s="292"/>
      <c r="F360" s="283" t="s">
        <v>78</v>
      </c>
      <c r="G360" s="283"/>
      <c r="J360" s="293">
        <v>27</v>
      </c>
      <c r="K360" s="293"/>
      <c r="L360" s="293"/>
      <c r="M360" s="293"/>
      <c r="N360" s="293"/>
      <c r="P360" s="42">
        <v>7830</v>
      </c>
      <c r="R360" s="42">
        <v>7830</v>
      </c>
      <c r="T360" s="284">
        <v>0</v>
      </c>
      <c r="U360" s="284"/>
    </row>
    <row r="361" spans="1:22" x14ac:dyDescent="0.25">
      <c r="B361" s="292">
        <v>2</v>
      </c>
      <c r="C361" s="292"/>
      <c r="D361" s="292"/>
      <c r="F361" s="283" t="s">
        <v>162</v>
      </c>
      <c r="G361" s="283"/>
      <c r="J361" s="293">
        <v>1</v>
      </c>
      <c r="K361" s="293"/>
      <c r="L361" s="293"/>
      <c r="M361" s="293"/>
      <c r="N361" s="293"/>
      <c r="P361" s="42">
        <v>430</v>
      </c>
      <c r="R361" s="42">
        <v>130</v>
      </c>
      <c r="T361" s="284">
        <v>300</v>
      </c>
      <c r="U361" s="284"/>
    </row>
    <row r="362" spans="1:22" x14ac:dyDescent="0.25">
      <c r="B362" s="292">
        <v>3</v>
      </c>
      <c r="C362" s="292"/>
      <c r="D362" s="292"/>
      <c r="F362" s="283" t="s">
        <v>160</v>
      </c>
      <c r="G362" s="283"/>
      <c r="J362" s="293">
        <v>16</v>
      </c>
      <c r="K362" s="293"/>
      <c r="L362" s="293"/>
      <c r="M362" s="293"/>
      <c r="N362" s="293"/>
      <c r="P362" s="42">
        <v>4640</v>
      </c>
      <c r="R362" s="42">
        <v>1280</v>
      </c>
      <c r="T362" s="284">
        <v>3360</v>
      </c>
      <c r="U362" s="284"/>
    </row>
    <row r="363" spans="1:22" x14ac:dyDescent="0.25">
      <c r="B363" s="292">
        <v>4</v>
      </c>
      <c r="C363" s="292"/>
      <c r="D363" s="292"/>
      <c r="F363" s="283" t="s">
        <v>158</v>
      </c>
      <c r="G363" s="283"/>
      <c r="J363" s="293">
        <v>211</v>
      </c>
      <c r="K363" s="293"/>
      <c r="L363" s="293"/>
      <c r="M363" s="293"/>
      <c r="N363" s="293"/>
      <c r="P363" s="42">
        <v>116050</v>
      </c>
      <c r="R363" s="42">
        <v>46193</v>
      </c>
      <c r="T363" s="284">
        <v>69857</v>
      </c>
      <c r="U363" s="284"/>
    </row>
    <row r="364" spans="1:22" x14ac:dyDescent="0.25">
      <c r="B364" s="292">
        <v>5</v>
      </c>
      <c r="C364" s="292"/>
      <c r="D364" s="292"/>
      <c r="F364" s="283" t="s">
        <v>157</v>
      </c>
      <c r="G364" s="283"/>
      <c r="J364" s="293">
        <v>37</v>
      </c>
      <c r="K364" s="293"/>
      <c r="L364" s="293"/>
      <c r="M364" s="293"/>
      <c r="N364" s="293"/>
      <c r="P364" s="42">
        <v>18130</v>
      </c>
      <c r="R364" s="42">
        <v>7955</v>
      </c>
      <c r="T364" s="284">
        <v>10175</v>
      </c>
      <c r="U364" s="284"/>
    </row>
    <row r="365" spans="1:22" x14ac:dyDescent="0.25">
      <c r="B365" s="292">
        <v>6</v>
      </c>
      <c r="C365" s="292"/>
      <c r="D365" s="292"/>
      <c r="F365" s="283" t="s">
        <v>293</v>
      </c>
      <c r="G365" s="283"/>
      <c r="J365" s="293">
        <v>1</v>
      </c>
      <c r="K365" s="293"/>
      <c r="L365" s="293"/>
      <c r="M365" s="293"/>
      <c r="N365" s="293"/>
      <c r="P365" s="42">
        <v>700</v>
      </c>
      <c r="R365" s="42">
        <v>180</v>
      </c>
      <c r="T365" s="284">
        <v>520</v>
      </c>
      <c r="U365" s="284"/>
    </row>
    <row r="366" spans="1:22" x14ac:dyDescent="0.25">
      <c r="B366" s="292">
        <v>7</v>
      </c>
      <c r="C366" s="292"/>
      <c r="D366" s="292"/>
      <c r="F366" s="283" t="s">
        <v>77</v>
      </c>
      <c r="G366" s="283"/>
      <c r="J366" s="293">
        <v>279</v>
      </c>
      <c r="K366" s="293"/>
      <c r="L366" s="293"/>
      <c r="M366" s="293"/>
      <c r="N366" s="293"/>
      <c r="P366" s="42">
        <v>114300</v>
      </c>
      <c r="R366" s="42">
        <v>114300</v>
      </c>
      <c r="T366" s="284">
        <v>0</v>
      </c>
      <c r="U366" s="284"/>
    </row>
    <row r="367" spans="1:22" x14ac:dyDescent="0.25">
      <c r="B367" s="292">
        <v>8</v>
      </c>
      <c r="C367" s="292"/>
      <c r="D367" s="292"/>
      <c r="F367" s="283" t="s">
        <v>156</v>
      </c>
      <c r="G367" s="283"/>
      <c r="J367" s="293">
        <v>7</v>
      </c>
      <c r="K367" s="293"/>
      <c r="L367" s="293"/>
      <c r="M367" s="293"/>
      <c r="N367" s="293"/>
      <c r="P367" s="42">
        <v>1330</v>
      </c>
      <c r="R367" s="42">
        <v>430</v>
      </c>
      <c r="T367" s="284">
        <v>900</v>
      </c>
      <c r="U367" s="284"/>
    </row>
    <row r="368" spans="1:22" x14ac:dyDescent="0.25">
      <c r="B368" s="292">
        <v>9</v>
      </c>
      <c r="C368" s="292"/>
      <c r="D368" s="292"/>
      <c r="F368" s="283" t="s">
        <v>342</v>
      </c>
      <c r="G368" s="283"/>
      <c r="J368" s="293">
        <v>1</v>
      </c>
      <c r="K368" s="293"/>
      <c r="L368" s="293"/>
      <c r="M368" s="293"/>
      <c r="N368" s="293"/>
      <c r="P368" s="42">
        <v>500</v>
      </c>
      <c r="R368" s="42">
        <v>150</v>
      </c>
      <c r="T368" s="284">
        <v>350</v>
      </c>
      <c r="U368" s="284"/>
    </row>
    <row r="369" spans="2:21" x14ac:dyDescent="0.25">
      <c r="B369" s="292">
        <v>10</v>
      </c>
      <c r="C369" s="292"/>
      <c r="D369" s="292"/>
      <c r="F369" s="283" t="s">
        <v>290</v>
      </c>
      <c r="G369" s="283"/>
      <c r="J369" s="293">
        <v>1</v>
      </c>
      <c r="K369" s="293"/>
      <c r="L369" s="293"/>
      <c r="M369" s="293"/>
      <c r="N369" s="293"/>
      <c r="P369" s="42">
        <v>1790</v>
      </c>
      <c r="R369" s="42">
        <v>270</v>
      </c>
      <c r="T369" s="284">
        <v>1520</v>
      </c>
      <c r="U369" s="284"/>
    </row>
    <row r="370" spans="2:21" x14ac:dyDescent="0.25">
      <c r="B370" s="292">
        <v>11</v>
      </c>
      <c r="C370" s="292"/>
      <c r="D370" s="292"/>
      <c r="F370" s="283" t="s">
        <v>155</v>
      </c>
      <c r="G370" s="283"/>
      <c r="J370" s="293">
        <v>96</v>
      </c>
      <c r="K370" s="293"/>
      <c r="L370" s="293"/>
      <c r="M370" s="293"/>
      <c r="N370" s="293"/>
      <c r="P370" s="42">
        <v>24000</v>
      </c>
      <c r="R370" s="42">
        <v>12051</v>
      </c>
      <c r="T370" s="284">
        <v>11949</v>
      </c>
      <c r="U370" s="284"/>
    </row>
    <row r="371" spans="2:21" x14ac:dyDescent="0.25">
      <c r="B371" s="292">
        <v>12</v>
      </c>
      <c r="C371" s="292"/>
      <c r="D371" s="292"/>
      <c r="F371" s="283" t="s">
        <v>151</v>
      </c>
      <c r="G371" s="283"/>
      <c r="J371" s="293">
        <v>3</v>
      </c>
      <c r="K371" s="293"/>
      <c r="L371" s="293"/>
      <c r="M371" s="293"/>
      <c r="N371" s="293"/>
      <c r="P371" s="42">
        <v>690</v>
      </c>
      <c r="R371" s="42">
        <v>230</v>
      </c>
      <c r="T371" s="284">
        <v>460</v>
      </c>
      <c r="U371" s="284"/>
    </row>
    <row r="372" spans="2:21" x14ac:dyDescent="0.25">
      <c r="B372" s="292">
        <v>13</v>
      </c>
      <c r="C372" s="292"/>
      <c r="D372" s="292"/>
      <c r="F372" s="283" t="s">
        <v>150</v>
      </c>
      <c r="G372" s="283"/>
      <c r="J372" s="293">
        <v>2</v>
      </c>
      <c r="K372" s="293"/>
      <c r="L372" s="293"/>
      <c r="M372" s="293"/>
      <c r="N372" s="293"/>
      <c r="P372" s="42">
        <v>340</v>
      </c>
      <c r="R372" s="42">
        <v>100</v>
      </c>
      <c r="T372" s="284">
        <v>240</v>
      </c>
      <c r="U372" s="284"/>
    </row>
    <row r="373" spans="2:21" x14ac:dyDescent="0.25">
      <c r="B373" s="292">
        <v>14</v>
      </c>
      <c r="C373" s="292"/>
      <c r="D373" s="292"/>
      <c r="F373" s="283" t="s">
        <v>149</v>
      </c>
      <c r="G373" s="283"/>
      <c r="J373" s="293">
        <v>1</v>
      </c>
      <c r="K373" s="293"/>
      <c r="L373" s="293"/>
      <c r="M373" s="293"/>
      <c r="N373" s="293"/>
      <c r="P373" s="42">
        <v>50</v>
      </c>
      <c r="R373" s="42">
        <v>10</v>
      </c>
      <c r="T373" s="284">
        <v>40</v>
      </c>
      <c r="U373" s="284"/>
    </row>
    <row r="374" spans="2:21" x14ac:dyDescent="0.25">
      <c r="B374" s="292">
        <v>15</v>
      </c>
      <c r="C374" s="292"/>
      <c r="D374" s="292"/>
      <c r="F374" s="283" t="s">
        <v>193</v>
      </c>
      <c r="G374" s="283"/>
      <c r="J374" s="293">
        <v>1</v>
      </c>
      <c r="K374" s="293"/>
      <c r="L374" s="293"/>
      <c r="M374" s="293"/>
      <c r="N374" s="293"/>
      <c r="P374" s="42">
        <v>890</v>
      </c>
      <c r="R374" s="42">
        <v>130</v>
      </c>
      <c r="T374" s="284">
        <v>760</v>
      </c>
      <c r="U374" s="284"/>
    </row>
    <row r="375" spans="2:21" x14ac:dyDescent="0.25">
      <c r="B375" s="292">
        <v>16</v>
      </c>
      <c r="C375" s="292"/>
      <c r="D375" s="292"/>
      <c r="F375" s="283" t="s">
        <v>75</v>
      </c>
      <c r="G375" s="283"/>
      <c r="J375" s="293">
        <v>320</v>
      </c>
      <c r="K375" s="293"/>
      <c r="L375" s="293"/>
      <c r="M375" s="293"/>
      <c r="N375" s="293"/>
      <c r="P375" s="42">
        <v>800000</v>
      </c>
      <c r="R375" s="42">
        <v>800000</v>
      </c>
      <c r="T375" s="284">
        <v>0</v>
      </c>
      <c r="U375" s="284"/>
    </row>
    <row r="376" spans="2:21" x14ac:dyDescent="0.25">
      <c r="B376" s="292">
        <v>17</v>
      </c>
      <c r="C376" s="292"/>
      <c r="D376" s="292"/>
      <c r="F376" s="283" t="s">
        <v>139</v>
      </c>
      <c r="G376" s="283"/>
      <c r="J376" s="293">
        <v>1</v>
      </c>
      <c r="K376" s="293"/>
      <c r="L376" s="293"/>
      <c r="M376" s="293"/>
      <c r="N376" s="293"/>
      <c r="P376" s="42">
        <v>270</v>
      </c>
      <c r="R376" s="42">
        <v>80</v>
      </c>
      <c r="T376" s="284">
        <v>190</v>
      </c>
      <c r="U376" s="284"/>
    </row>
    <row r="377" spans="2:21" x14ac:dyDescent="0.25">
      <c r="B377" s="292">
        <v>18</v>
      </c>
      <c r="C377" s="292"/>
      <c r="D377" s="292"/>
      <c r="F377" s="283" t="s">
        <v>136</v>
      </c>
      <c r="G377" s="283"/>
      <c r="J377" s="293">
        <v>5</v>
      </c>
      <c r="K377" s="293"/>
      <c r="L377" s="293"/>
      <c r="M377" s="293"/>
      <c r="N377" s="293"/>
      <c r="P377" s="42">
        <v>4250</v>
      </c>
      <c r="R377" s="42">
        <v>1040</v>
      </c>
      <c r="T377" s="284">
        <v>3210</v>
      </c>
      <c r="U377" s="284"/>
    </row>
    <row r="378" spans="2:21" x14ac:dyDescent="0.25">
      <c r="B378" s="292">
        <v>19</v>
      </c>
      <c r="C378" s="292"/>
      <c r="D378" s="292"/>
      <c r="F378" s="283" t="s">
        <v>74</v>
      </c>
      <c r="G378" s="283"/>
      <c r="J378" s="293">
        <v>1</v>
      </c>
      <c r="K378" s="293"/>
      <c r="L378" s="293"/>
      <c r="M378" s="293"/>
      <c r="N378" s="293"/>
      <c r="P378" s="42">
        <v>850</v>
      </c>
      <c r="R378" s="42">
        <v>850</v>
      </c>
      <c r="T378" s="284">
        <v>0</v>
      </c>
      <c r="U378" s="284"/>
    </row>
    <row r="379" spans="2:21" x14ac:dyDescent="0.25">
      <c r="B379" s="292">
        <v>20</v>
      </c>
      <c r="C379" s="292"/>
      <c r="D379" s="292"/>
      <c r="F379" s="283" t="s">
        <v>190</v>
      </c>
      <c r="G379" s="283"/>
      <c r="J379" s="293">
        <v>2</v>
      </c>
      <c r="K379" s="293"/>
      <c r="L379" s="293"/>
      <c r="M379" s="293"/>
      <c r="N379" s="293"/>
      <c r="P379" s="42">
        <v>3140</v>
      </c>
      <c r="R379" s="42">
        <v>480</v>
      </c>
      <c r="T379" s="284">
        <v>2660</v>
      </c>
      <c r="U379" s="284"/>
    </row>
    <row r="380" spans="2:21" x14ac:dyDescent="0.25">
      <c r="B380" s="292">
        <v>21</v>
      </c>
      <c r="C380" s="292"/>
      <c r="D380" s="292"/>
      <c r="F380" s="283" t="s">
        <v>127</v>
      </c>
      <c r="G380" s="283"/>
      <c r="J380" s="293">
        <v>27</v>
      </c>
      <c r="K380" s="293"/>
      <c r="L380" s="293"/>
      <c r="M380" s="293"/>
      <c r="N380" s="293"/>
      <c r="P380" s="42">
        <v>8100</v>
      </c>
      <c r="R380" s="42">
        <v>2430</v>
      </c>
      <c r="T380" s="284">
        <v>5670</v>
      </c>
      <c r="U380" s="284"/>
    </row>
    <row r="381" spans="2:21" x14ac:dyDescent="0.25">
      <c r="B381" s="292">
        <v>22</v>
      </c>
      <c r="C381" s="292"/>
      <c r="D381" s="292"/>
      <c r="F381" s="283" t="s">
        <v>126</v>
      </c>
      <c r="G381" s="283"/>
      <c r="J381" s="293">
        <v>16</v>
      </c>
      <c r="K381" s="293"/>
      <c r="L381" s="293"/>
      <c r="M381" s="293"/>
      <c r="N381" s="293"/>
      <c r="P381" s="42">
        <v>3200</v>
      </c>
      <c r="R381" s="42">
        <v>960</v>
      </c>
      <c r="T381" s="284">
        <v>2240</v>
      </c>
      <c r="U381" s="284"/>
    </row>
    <row r="382" spans="2:21" x14ac:dyDescent="0.25">
      <c r="B382" s="292">
        <v>23</v>
      </c>
      <c r="C382" s="292"/>
      <c r="D382" s="292"/>
      <c r="F382" s="283" t="s">
        <v>336</v>
      </c>
      <c r="G382" s="283"/>
      <c r="J382" s="293">
        <v>1</v>
      </c>
      <c r="K382" s="293"/>
      <c r="L382" s="293"/>
      <c r="M382" s="293"/>
      <c r="N382" s="293"/>
      <c r="P382" s="42">
        <v>600</v>
      </c>
      <c r="R382" s="42">
        <v>180</v>
      </c>
      <c r="T382" s="284">
        <v>420</v>
      </c>
      <c r="U382" s="284"/>
    </row>
    <row r="383" spans="2:21" x14ac:dyDescent="0.25">
      <c r="B383" s="292">
        <v>24</v>
      </c>
      <c r="C383" s="292"/>
      <c r="D383" s="292"/>
      <c r="F383" s="283" t="s">
        <v>226</v>
      </c>
      <c r="G383" s="283"/>
      <c r="J383" s="293">
        <v>1</v>
      </c>
      <c r="K383" s="293"/>
      <c r="L383" s="293"/>
      <c r="M383" s="293"/>
      <c r="N383" s="293"/>
      <c r="P383" s="42">
        <v>500</v>
      </c>
      <c r="R383" s="42">
        <v>150</v>
      </c>
      <c r="T383" s="284">
        <v>350</v>
      </c>
      <c r="U383" s="284"/>
    </row>
    <row r="384" spans="2:21" x14ac:dyDescent="0.25">
      <c r="B384" s="292">
        <v>25</v>
      </c>
      <c r="C384" s="292"/>
      <c r="D384" s="292"/>
      <c r="F384" s="283" t="s">
        <v>119</v>
      </c>
      <c r="G384" s="283"/>
      <c r="J384" s="293">
        <v>4</v>
      </c>
      <c r="K384" s="293"/>
      <c r="L384" s="293"/>
      <c r="M384" s="293"/>
      <c r="N384" s="293"/>
      <c r="P384" s="42">
        <v>3560</v>
      </c>
      <c r="R384" s="42">
        <v>1110</v>
      </c>
      <c r="T384" s="284">
        <v>2450</v>
      </c>
      <c r="U384" s="284"/>
    </row>
    <row r="385" spans="2:21" x14ac:dyDescent="0.25">
      <c r="B385" s="292">
        <v>26</v>
      </c>
      <c r="C385" s="292"/>
      <c r="D385" s="292"/>
      <c r="F385" s="283" t="s">
        <v>118</v>
      </c>
      <c r="G385" s="283"/>
      <c r="J385" s="293">
        <v>115</v>
      </c>
      <c r="K385" s="293"/>
      <c r="L385" s="293"/>
      <c r="M385" s="293"/>
      <c r="N385" s="293"/>
      <c r="P385" s="42">
        <v>113850</v>
      </c>
      <c r="R385" s="42">
        <v>54265</v>
      </c>
      <c r="T385" s="284">
        <v>59585</v>
      </c>
      <c r="U385" s="284"/>
    </row>
    <row r="386" spans="2:21" x14ac:dyDescent="0.25">
      <c r="B386" s="292">
        <v>27</v>
      </c>
      <c r="C386" s="292"/>
      <c r="D386" s="292"/>
      <c r="F386" s="283" t="s">
        <v>117</v>
      </c>
      <c r="G386" s="283"/>
      <c r="J386" s="293">
        <v>3</v>
      </c>
      <c r="K386" s="293"/>
      <c r="L386" s="293"/>
      <c r="M386" s="293"/>
      <c r="N386" s="293"/>
      <c r="P386" s="42">
        <v>2400</v>
      </c>
      <c r="R386" s="42">
        <v>600</v>
      </c>
      <c r="T386" s="284">
        <v>1800</v>
      </c>
      <c r="U386" s="284"/>
    </row>
    <row r="387" spans="2:21" x14ac:dyDescent="0.25">
      <c r="B387" s="292">
        <v>28</v>
      </c>
      <c r="C387" s="292"/>
      <c r="D387" s="292"/>
      <c r="F387" s="283" t="s">
        <v>115</v>
      </c>
      <c r="G387" s="283"/>
      <c r="J387" s="293">
        <v>5</v>
      </c>
      <c r="K387" s="293"/>
      <c r="L387" s="293"/>
      <c r="M387" s="293"/>
      <c r="N387" s="293"/>
      <c r="P387" s="42">
        <v>1450</v>
      </c>
      <c r="R387" s="42">
        <v>490</v>
      </c>
      <c r="T387" s="284">
        <v>960</v>
      </c>
      <c r="U387" s="284"/>
    </row>
    <row r="388" spans="2:21" x14ac:dyDescent="0.25">
      <c r="B388" s="292">
        <v>29</v>
      </c>
      <c r="C388" s="292"/>
      <c r="D388" s="292"/>
      <c r="F388" s="283" t="s">
        <v>181</v>
      </c>
      <c r="G388" s="283"/>
      <c r="J388" s="293">
        <v>2</v>
      </c>
      <c r="K388" s="293"/>
      <c r="L388" s="293"/>
      <c r="M388" s="293"/>
      <c r="N388" s="293"/>
      <c r="P388" s="42">
        <v>1580</v>
      </c>
      <c r="R388" s="42">
        <v>240</v>
      </c>
      <c r="T388" s="284">
        <v>1340</v>
      </c>
      <c r="U388" s="284"/>
    </row>
    <row r="389" spans="2:21" x14ac:dyDescent="0.25">
      <c r="B389" s="292">
        <v>30</v>
      </c>
      <c r="C389" s="292"/>
      <c r="D389" s="292"/>
      <c r="F389" s="283" t="s">
        <v>109</v>
      </c>
      <c r="G389" s="283"/>
      <c r="J389" s="293">
        <v>1</v>
      </c>
      <c r="K389" s="293"/>
      <c r="L389" s="293"/>
      <c r="M389" s="293"/>
      <c r="N389" s="293"/>
      <c r="P389" s="42">
        <v>780</v>
      </c>
      <c r="R389" s="42">
        <v>230</v>
      </c>
      <c r="T389" s="284">
        <v>550</v>
      </c>
      <c r="U389" s="284"/>
    </row>
    <row r="390" spans="2:21" x14ac:dyDescent="0.25">
      <c r="B390" s="292">
        <v>31</v>
      </c>
      <c r="C390" s="292"/>
      <c r="D390" s="292"/>
      <c r="F390" s="283" t="s">
        <v>108</v>
      </c>
      <c r="G390" s="283"/>
      <c r="J390" s="293">
        <v>20</v>
      </c>
      <c r="K390" s="293"/>
      <c r="L390" s="293"/>
      <c r="M390" s="293"/>
      <c r="N390" s="293"/>
      <c r="P390" s="42">
        <v>2000</v>
      </c>
      <c r="R390" s="42">
        <v>30</v>
      </c>
      <c r="T390" s="284">
        <v>1970</v>
      </c>
      <c r="U390" s="284"/>
    </row>
    <row r="391" spans="2:21" x14ac:dyDescent="0.25">
      <c r="B391" s="292">
        <v>32</v>
      </c>
      <c r="C391" s="292"/>
      <c r="D391" s="292"/>
      <c r="F391" s="283" t="s">
        <v>107</v>
      </c>
      <c r="G391" s="283"/>
      <c r="J391" s="293">
        <v>13</v>
      </c>
      <c r="K391" s="293"/>
      <c r="L391" s="293"/>
      <c r="M391" s="293"/>
      <c r="N391" s="293"/>
      <c r="P391" s="42">
        <v>2210</v>
      </c>
      <c r="R391" s="42">
        <v>650</v>
      </c>
      <c r="T391" s="284">
        <v>1560</v>
      </c>
      <c r="U391" s="284"/>
    </row>
    <row r="392" spans="2:21" x14ac:dyDescent="0.25">
      <c r="B392" s="292">
        <v>33</v>
      </c>
      <c r="C392" s="292"/>
      <c r="D392" s="292"/>
      <c r="F392" s="283" t="s">
        <v>104</v>
      </c>
      <c r="G392" s="283"/>
      <c r="J392" s="293">
        <v>1</v>
      </c>
      <c r="K392" s="293"/>
      <c r="L392" s="293"/>
      <c r="M392" s="293"/>
      <c r="N392" s="293"/>
      <c r="P392" s="42">
        <v>330</v>
      </c>
      <c r="R392" s="42">
        <v>100</v>
      </c>
      <c r="T392" s="284">
        <v>230</v>
      </c>
      <c r="U392" s="284"/>
    </row>
    <row r="393" spans="2:21" x14ac:dyDescent="0.25">
      <c r="B393" s="292">
        <v>34</v>
      </c>
      <c r="C393" s="292"/>
      <c r="D393" s="292"/>
      <c r="F393" s="283" t="s">
        <v>103</v>
      </c>
      <c r="G393" s="283"/>
      <c r="J393" s="293">
        <v>2</v>
      </c>
      <c r="K393" s="293"/>
      <c r="L393" s="293"/>
      <c r="M393" s="293"/>
      <c r="N393" s="293"/>
      <c r="P393" s="42">
        <v>660</v>
      </c>
      <c r="R393" s="42">
        <v>200</v>
      </c>
      <c r="T393" s="284">
        <v>460</v>
      </c>
      <c r="U393" s="284"/>
    </row>
    <row r="394" spans="2:21" x14ac:dyDescent="0.25">
      <c r="B394" s="292">
        <v>35</v>
      </c>
      <c r="C394" s="292"/>
      <c r="D394" s="292"/>
      <c r="F394" s="283" t="s">
        <v>211</v>
      </c>
      <c r="G394" s="283"/>
      <c r="J394" s="293">
        <v>1</v>
      </c>
      <c r="K394" s="293"/>
      <c r="L394" s="293"/>
      <c r="M394" s="293"/>
      <c r="N394" s="293"/>
      <c r="P394" s="42">
        <v>900</v>
      </c>
      <c r="R394" s="42">
        <v>270</v>
      </c>
      <c r="T394" s="284">
        <v>630</v>
      </c>
      <c r="U394" s="284"/>
    </row>
    <row r="395" spans="2:21" x14ac:dyDescent="0.25">
      <c r="B395" s="292">
        <v>36</v>
      </c>
      <c r="C395" s="292"/>
      <c r="D395" s="292"/>
      <c r="F395" s="283" t="s">
        <v>307</v>
      </c>
      <c r="G395" s="283"/>
      <c r="J395" s="293">
        <v>1</v>
      </c>
      <c r="K395" s="293"/>
      <c r="L395" s="293"/>
      <c r="M395" s="293"/>
      <c r="N395" s="293"/>
      <c r="P395" s="42">
        <v>700</v>
      </c>
      <c r="R395" s="42">
        <v>350</v>
      </c>
      <c r="T395" s="284">
        <v>350</v>
      </c>
      <c r="U395" s="284"/>
    </row>
    <row r="396" spans="2:21" x14ac:dyDescent="0.25">
      <c r="B396" s="292">
        <v>37</v>
      </c>
      <c r="C396" s="292"/>
      <c r="D396" s="292"/>
      <c r="F396" s="283" t="s">
        <v>176</v>
      </c>
      <c r="G396" s="283"/>
      <c r="J396" s="293">
        <v>1</v>
      </c>
      <c r="K396" s="293"/>
      <c r="L396" s="293"/>
      <c r="M396" s="293"/>
      <c r="N396" s="293"/>
      <c r="P396" s="42">
        <v>1060</v>
      </c>
      <c r="R396" s="42">
        <v>160</v>
      </c>
      <c r="T396" s="284">
        <v>900</v>
      </c>
      <c r="U396" s="284"/>
    </row>
    <row r="397" spans="2:21" x14ac:dyDescent="0.25">
      <c r="B397" s="292">
        <v>38</v>
      </c>
      <c r="C397" s="292"/>
      <c r="D397" s="292"/>
      <c r="F397" s="283" t="s">
        <v>97</v>
      </c>
      <c r="G397" s="283"/>
      <c r="J397" s="293">
        <v>2</v>
      </c>
      <c r="K397" s="293"/>
      <c r="L397" s="293"/>
      <c r="M397" s="293"/>
      <c r="N397" s="293"/>
      <c r="P397" s="42">
        <v>3180</v>
      </c>
      <c r="R397" s="42">
        <v>480</v>
      </c>
      <c r="T397" s="284">
        <v>2700</v>
      </c>
      <c r="U397" s="284"/>
    </row>
    <row r="398" spans="2:21" x14ac:dyDescent="0.25">
      <c r="B398" s="292">
        <v>39</v>
      </c>
      <c r="C398" s="292"/>
      <c r="D398" s="292"/>
      <c r="F398" s="283" t="s">
        <v>93</v>
      </c>
      <c r="G398" s="283"/>
      <c r="J398" s="293">
        <v>5</v>
      </c>
      <c r="K398" s="293"/>
      <c r="L398" s="293"/>
      <c r="M398" s="293"/>
      <c r="N398" s="293"/>
      <c r="P398" s="42">
        <v>2950</v>
      </c>
      <c r="R398" s="42">
        <v>450</v>
      </c>
      <c r="T398" s="284">
        <v>2500</v>
      </c>
      <c r="U398" s="284"/>
    </row>
    <row r="399" spans="2:21" x14ac:dyDescent="0.25">
      <c r="B399" s="292">
        <v>40</v>
      </c>
      <c r="C399" s="292"/>
      <c r="D399" s="292"/>
      <c r="F399" s="283" t="s">
        <v>92</v>
      </c>
      <c r="G399" s="283"/>
      <c r="J399" s="293">
        <v>17</v>
      </c>
      <c r="K399" s="293"/>
      <c r="L399" s="293"/>
      <c r="M399" s="293"/>
      <c r="N399" s="293"/>
      <c r="P399" s="42">
        <v>8840</v>
      </c>
      <c r="R399" s="42">
        <v>2640</v>
      </c>
      <c r="T399" s="284">
        <v>6200</v>
      </c>
      <c r="U399" s="284"/>
    </row>
    <row r="400" spans="2:21" x14ac:dyDescent="0.25">
      <c r="B400" s="292">
        <v>41</v>
      </c>
      <c r="C400" s="292"/>
      <c r="D400" s="292"/>
      <c r="F400" s="283" t="s">
        <v>306</v>
      </c>
      <c r="G400" s="283"/>
      <c r="J400" s="293">
        <v>2</v>
      </c>
      <c r="K400" s="293"/>
      <c r="L400" s="293"/>
      <c r="M400" s="293"/>
      <c r="N400" s="293"/>
      <c r="P400" s="42">
        <v>2160</v>
      </c>
      <c r="R400" s="42">
        <v>640</v>
      </c>
      <c r="T400" s="284">
        <v>1520</v>
      </c>
      <c r="U400" s="284"/>
    </row>
    <row r="401" spans="1:21" x14ac:dyDescent="0.25">
      <c r="B401" s="292">
        <v>42</v>
      </c>
      <c r="C401" s="292"/>
      <c r="D401" s="292"/>
      <c r="F401" s="283" t="s">
        <v>91</v>
      </c>
      <c r="G401" s="283"/>
      <c r="J401" s="293">
        <v>95</v>
      </c>
      <c r="K401" s="293"/>
      <c r="L401" s="293"/>
      <c r="M401" s="293"/>
      <c r="N401" s="293"/>
      <c r="P401" s="42">
        <v>23750</v>
      </c>
      <c r="R401" s="42">
        <v>11951</v>
      </c>
      <c r="T401" s="284">
        <v>11799</v>
      </c>
      <c r="U401" s="284"/>
    </row>
    <row r="402" spans="1:21" x14ac:dyDescent="0.25">
      <c r="B402" s="292">
        <v>43</v>
      </c>
      <c r="C402" s="292"/>
      <c r="D402" s="292"/>
      <c r="F402" s="283" t="s">
        <v>90</v>
      </c>
      <c r="G402" s="283"/>
      <c r="J402" s="293">
        <v>91</v>
      </c>
      <c r="K402" s="293"/>
      <c r="L402" s="293"/>
      <c r="M402" s="293"/>
      <c r="N402" s="293"/>
      <c r="P402" s="42">
        <v>26390</v>
      </c>
      <c r="R402" s="42">
        <v>7280</v>
      </c>
      <c r="T402" s="284">
        <v>19110</v>
      </c>
      <c r="U402" s="284"/>
    </row>
    <row r="403" spans="1:21" x14ac:dyDescent="0.25">
      <c r="B403" s="292">
        <v>44</v>
      </c>
      <c r="C403" s="292"/>
      <c r="D403" s="292"/>
      <c r="F403" s="283" t="s">
        <v>88</v>
      </c>
      <c r="G403" s="283"/>
      <c r="J403" s="293">
        <v>10</v>
      </c>
      <c r="K403" s="293"/>
      <c r="L403" s="293"/>
      <c r="M403" s="293"/>
      <c r="N403" s="293"/>
      <c r="P403" s="42">
        <v>1800</v>
      </c>
      <c r="R403" s="42">
        <v>550</v>
      </c>
      <c r="T403" s="284">
        <v>1250</v>
      </c>
      <c r="U403" s="284"/>
    </row>
    <row r="404" spans="1:21" x14ac:dyDescent="0.25">
      <c r="B404" s="292">
        <v>45</v>
      </c>
      <c r="C404" s="292"/>
      <c r="D404" s="292"/>
      <c r="F404" s="283" t="s">
        <v>85</v>
      </c>
      <c r="G404" s="283"/>
      <c r="J404" s="293">
        <v>1</v>
      </c>
      <c r="K404" s="293"/>
      <c r="L404" s="293"/>
      <c r="M404" s="293"/>
      <c r="N404" s="293"/>
      <c r="P404" s="42">
        <v>2080</v>
      </c>
      <c r="R404" s="42">
        <v>310</v>
      </c>
      <c r="T404" s="284">
        <v>1770</v>
      </c>
      <c r="U404" s="284"/>
    </row>
    <row r="405" spans="1:21" x14ac:dyDescent="0.25">
      <c r="B405" s="292">
        <v>46</v>
      </c>
      <c r="C405" s="292"/>
      <c r="D405" s="292"/>
      <c r="F405" s="283" t="s">
        <v>84</v>
      </c>
      <c r="G405" s="283"/>
      <c r="J405" s="293">
        <v>12</v>
      </c>
      <c r="K405" s="293"/>
      <c r="L405" s="293"/>
      <c r="M405" s="293"/>
      <c r="N405" s="293"/>
      <c r="P405" s="42">
        <v>7080</v>
      </c>
      <c r="R405" s="42">
        <v>2160</v>
      </c>
      <c r="T405" s="284">
        <v>4920</v>
      </c>
      <c r="U405" s="284"/>
    </row>
    <row r="406" spans="1:21" x14ac:dyDescent="0.25">
      <c r="B406" s="292">
        <v>47</v>
      </c>
      <c r="C406" s="292"/>
      <c r="D406" s="292"/>
      <c r="F406" s="283" t="s">
        <v>271</v>
      </c>
      <c r="G406" s="283"/>
      <c r="J406" s="293">
        <v>1</v>
      </c>
      <c r="K406" s="293"/>
      <c r="L406" s="293"/>
      <c r="M406" s="293"/>
      <c r="N406" s="293"/>
      <c r="P406" s="42">
        <v>500</v>
      </c>
      <c r="R406" s="42">
        <v>150</v>
      </c>
      <c r="T406" s="284">
        <v>350</v>
      </c>
      <c r="U406" s="284"/>
    </row>
    <row r="407" spans="1:21" s="40" customFormat="1" x14ac:dyDescent="0.25">
      <c r="A407" s="290" t="s">
        <v>461</v>
      </c>
      <c r="B407" s="290"/>
      <c r="C407" s="290"/>
      <c r="D407" s="290"/>
      <c r="E407" s="290"/>
      <c r="F407" s="290"/>
      <c r="G407" s="290"/>
      <c r="H407" s="290"/>
      <c r="I407" s="290"/>
      <c r="J407" s="290"/>
      <c r="K407" s="291">
        <v>716</v>
      </c>
      <c r="L407" s="291"/>
      <c r="M407" s="291"/>
      <c r="N407" s="291"/>
      <c r="O407" s="291"/>
      <c r="P407" s="41">
        <v>244470</v>
      </c>
      <c r="R407" s="41">
        <v>237605</v>
      </c>
      <c r="T407" s="287">
        <v>6865</v>
      </c>
      <c r="U407" s="287"/>
    </row>
    <row r="408" spans="1:21" x14ac:dyDescent="0.25">
      <c r="B408" s="292">
        <v>1</v>
      </c>
      <c r="C408" s="292"/>
      <c r="D408" s="292"/>
      <c r="F408" s="283" t="s">
        <v>78</v>
      </c>
      <c r="G408" s="283"/>
      <c r="J408" s="293">
        <v>466</v>
      </c>
      <c r="K408" s="293"/>
      <c r="L408" s="293"/>
      <c r="M408" s="293"/>
      <c r="N408" s="293"/>
      <c r="P408" s="42">
        <v>135140</v>
      </c>
      <c r="R408" s="42">
        <v>135140</v>
      </c>
      <c r="T408" s="284">
        <v>0</v>
      </c>
      <c r="U408" s="284"/>
    </row>
    <row r="409" spans="1:21" x14ac:dyDescent="0.25">
      <c r="B409" s="292">
        <v>2</v>
      </c>
      <c r="C409" s="292"/>
      <c r="D409" s="292"/>
      <c r="F409" s="283" t="s">
        <v>160</v>
      </c>
      <c r="G409" s="283"/>
      <c r="J409" s="293">
        <v>1</v>
      </c>
      <c r="K409" s="293"/>
      <c r="L409" s="293"/>
      <c r="M409" s="293"/>
      <c r="N409" s="293"/>
      <c r="P409" s="42">
        <v>290</v>
      </c>
      <c r="R409" s="42">
        <v>0</v>
      </c>
      <c r="T409" s="284">
        <v>290</v>
      </c>
      <c r="U409" s="284"/>
    </row>
    <row r="410" spans="1:21" x14ac:dyDescent="0.25">
      <c r="B410" s="292">
        <v>3</v>
      </c>
      <c r="C410" s="292"/>
      <c r="D410" s="292"/>
      <c r="F410" s="283" t="s">
        <v>158</v>
      </c>
      <c r="G410" s="283"/>
      <c r="J410" s="293">
        <v>5</v>
      </c>
      <c r="K410" s="293"/>
      <c r="L410" s="293"/>
      <c r="M410" s="293"/>
      <c r="N410" s="293"/>
      <c r="P410" s="42">
        <v>2750</v>
      </c>
      <c r="R410" s="42">
        <v>680</v>
      </c>
      <c r="T410" s="284">
        <v>2070</v>
      </c>
      <c r="U410" s="284"/>
    </row>
    <row r="411" spans="1:21" x14ac:dyDescent="0.25">
      <c r="B411" s="292">
        <v>4</v>
      </c>
      <c r="C411" s="292"/>
      <c r="D411" s="292"/>
      <c r="F411" s="283" t="s">
        <v>157</v>
      </c>
      <c r="G411" s="283"/>
      <c r="J411" s="293">
        <v>5</v>
      </c>
      <c r="K411" s="293"/>
      <c r="L411" s="293"/>
      <c r="M411" s="293"/>
      <c r="N411" s="293"/>
      <c r="P411" s="42">
        <v>2450</v>
      </c>
      <c r="R411" s="42">
        <v>215</v>
      </c>
      <c r="T411" s="284">
        <v>2235</v>
      </c>
      <c r="U411" s="284"/>
    </row>
    <row r="412" spans="1:21" x14ac:dyDescent="0.25">
      <c r="B412" s="292">
        <v>5</v>
      </c>
      <c r="C412" s="292"/>
      <c r="D412" s="292"/>
      <c r="F412" s="283" t="s">
        <v>77</v>
      </c>
      <c r="G412" s="283"/>
      <c r="J412" s="293">
        <v>236</v>
      </c>
      <c r="K412" s="293"/>
      <c r="L412" s="293"/>
      <c r="M412" s="293"/>
      <c r="N412" s="293"/>
      <c r="P412" s="42">
        <v>100900</v>
      </c>
      <c r="R412" s="42">
        <v>100900</v>
      </c>
      <c r="T412" s="284">
        <v>0</v>
      </c>
      <c r="U412" s="284"/>
    </row>
    <row r="413" spans="1:21" x14ac:dyDescent="0.25">
      <c r="B413" s="292">
        <v>6</v>
      </c>
      <c r="C413" s="292"/>
      <c r="D413" s="292"/>
      <c r="F413" s="283" t="s">
        <v>190</v>
      </c>
      <c r="G413" s="283"/>
      <c r="J413" s="293">
        <v>1</v>
      </c>
      <c r="K413" s="293"/>
      <c r="L413" s="293"/>
      <c r="M413" s="293"/>
      <c r="N413" s="293"/>
      <c r="P413" s="42">
        <v>1570</v>
      </c>
      <c r="R413" s="42">
        <v>240</v>
      </c>
      <c r="T413" s="284">
        <v>1330</v>
      </c>
      <c r="U413" s="284"/>
    </row>
    <row r="414" spans="1:21" x14ac:dyDescent="0.25">
      <c r="B414" s="292">
        <v>7</v>
      </c>
      <c r="C414" s="292"/>
      <c r="D414" s="292"/>
      <c r="F414" s="283" t="s">
        <v>115</v>
      </c>
      <c r="G414" s="283"/>
      <c r="J414" s="293">
        <v>1</v>
      </c>
      <c r="K414" s="293"/>
      <c r="L414" s="293"/>
      <c r="M414" s="293"/>
      <c r="N414" s="293"/>
      <c r="P414" s="42">
        <v>290</v>
      </c>
      <c r="R414" s="42">
        <v>110</v>
      </c>
      <c r="T414" s="284">
        <v>180</v>
      </c>
      <c r="U414" s="284"/>
    </row>
    <row r="415" spans="1:21" x14ac:dyDescent="0.25">
      <c r="B415" s="292">
        <v>8</v>
      </c>
      <c r="C415" s="292"/>
      <c r="D415" s="292"/>
      <c r="F415" s="283" t="s">
        <v>92</v>
      </c>
      <c r="G415" s="283"/>
      <c r="J415" s="293">
        <v>1</v>
      </c>
      <c r="K415" s="293"/>
      <c r="L415" s="293"/>
      <c r="M415" s="293"/>
      <c r="N415" s="293"/>
      <c r="P415" s="42">
        <v>1080</v>
      </c>
      <c r="R415" s="42">
        <v>320</v>
      </c>
      <c r="T415" s="284">
        <v>760</v>
      </c>
      <c r="U415" s="284"/>
    </row>
    <row r="416" spans="1:21" s="40" customFormat="1" x14ac:dyDescent="0.25">
      <c r="A416" s="290" t="s">
        <v>460</v>
      </c>
      <c r="B416" s="290"/>
      <c r="C416" s="290"/>
      <c r="D416" s="290"/>
      <c r="E416" s="290"/>
      <c r="F416" s="290"/>
      <c r="G416" s="290"/>
      <c r="H416" s="290"/>
      <c r="I416" s="290"/>
      <c r="J416" s="290"/>
      <c r="K416" s="291">
        <v>2877</v>
      </c>
      <c r="L416" s="291"/>
      <c r="M416" s="291"/>
      <c r="N416" s="291"/>
      <c r="O416" s="291"/>
      <c r="P416" s="41">
        <v>3139620</v>
      </c>
      <c r="R416" s="41">
        <v>2893652</v>
      </c>
      <c r="T416" s="287">
        <v>245968</v>
      </c>
      <c r="U416" s="287"/>
    </row>
    <row r="417" spans="2:21" x14ac:dyDescent="0.25">
      <c r="B417" s="292">
        <v>1</v>
      </c>
      <c r="C417" s="292"/>
      <c r="D417" s="292"/>
      <c r="F417" s="283" t="s">
        <v>250</v>
      </c>
      <c r="G417" s="283"/>
      <c r="J417" s="293">
        <v>1</v>
      </c>
      <c r="K417" s="293"/>
      <c r="L417" s="293"/>
      <c r="M417" s="293"/>
      <c r="N417" s="293"/>
      <c r="P417" s="42">
        <v>500</v>
      </c>
      <c r="R417" s="42">
        <v>150</v>
      </c>
      <c r="T417" s="284">
        <v>350</v>
      </c>
      <c r="U417" s="284"/>
    </row>
    <row r="418" spans="2:21" x14ac:dyDescent="0.25">
      <c r="B418" s="292">
        <v>2</v>
      </c>
      <c r="C418" s="292"/>
      <c r="D418" s="292"/>
      <c r="F418" s="283" t="s">
        <v>78</v>
      </c>
      <c r="G418" s="283"/>
      <c r="J418" s="293">
        <v>135</v>
      </c>
      <c r="K418" s="293"/>
      <c r="L418" s="293"/>
      <c r="M418" s="293"/>
      <c r="N418" s="293"/>
      <c r="P418" s="42">
        <v>39150</v>
      </c>
      <c r="R418" s="42">
        <v>39150</v>
      </c>
      <c r="T418" s="284">
        <v>0</v>
      </c>
      <c r="U418" s="284"/>
    </row>
    <row r="419" spans="2:21" x14ac:dyDescent="0.25">
      <c r="B419" s="292">
        <v>3</v>
      </c>
      <c r="C419" s="292"/>
      <c r="D419" s="292"/>
      <c r="F419" s="283" t="s">
        <v>268</v>
      </c>
      <c r="G419" s="283"/>
      <c r="J419" s="293">
        <v>1</v>
      </c>
      <c r="K419" s="293"/>
      <c r="L419" s="293"/>
      <c r="M419" s="293"/>
      <c r="N419" s="293"/>
      <c r="P419" s="42">
        <v>250</v>
      </c>
      <c r="R419" s="42">
        <v>70</v>
      </c>
      <c r="T419" s="284">
        <v>180</v>
      </c>
      <c r="U419" s="284"/>
    </row>
    <row r="420" spans="2:21" x14ac:dyDescent="0.25">
      <c r="B420" s="292">
        <v>4</v>
      </c>
      <c r="C420" s="292"/>
      <c r="D420" s="292"/>
      <c r="F420" s="283" t="s">
        <v>249</v>
      </c>
      <c r="G420" s="283"/>
      <c r="J420" s="293">
        <v>1</v>
      </c>
      <c r="K420" s="293"/>
      <c r="L420" s="293"/>
      <c r="M420" s="293"/>
      <c r="N420" s="293"/>
      <c r="P420" s="42">
        <v>1300</v>
      </c>
      <c r="R420" s="42">
        <v>200</v>
      </c>
      <c r="T420" s="284">
        <v>1100</v>
      </c>
      <c r="U420" s="284"/>
    </row>
    <row r="421" spans="2:21" x14ac:dyDescent="0.25">
      <c r="B421" s="292">
        <v>5</v>
      </c>
      <c r="C421" s="292"/>
      <c r="D421" s="292"/>
      <c r="F421" s="283" t="s">
        <v>294</v>
      </c>
      <c r="G421" s="283"/>
      <c r="J421" s="293">
        <v>1</v>
      </c>
      <c r="K421" s="293"/>
      <c r="L421" s="293"/>
      <c r="M421" s="293"/>
      <c r="N421" s="293"/>
      <c r="P421" s="42">
        <v>500</v>
      </c>
      <c r="R421" s="42">
        <v>150</v>
      </c>
      <c r="T421" s="284">
        <v>350</v>
      </c>
      <c r="U421" s="284"/>
    </row>
    <row r="422" spans="2:21" x14ac:dyDescent="0.25">
      <c r="B422" s="292">
        <v>6</v>
      </c>
      <c r="C422" s="292"/>
      <c r="D422" s="292"/>
      <c r="F422" s="283" t="s">
        <v>165</v>
      </c>
      <c r="G422" s="283"/>
      <c r="J422" s="293">
        <v>1</v>
      </c>
      <c r="K422" s="293"/>
      <c r="L422" s="293"/>
      <c r="M422" s="293"/>
      <c r="N422" s="293"/>
      <c r="P422" s="42">
        <v>590</v>
      </c>
      <c r="R422" s="42">
        <v>180</v>
      </c>
      <c r="T422" s="284">
        <v>410</v>
      </c>
      <c r="U422" s="284"/>
    </row>
    <row r="423" spans="2:21" x14ac:dyDescent="0.25">
      <c r="B423" s="292">
        <v>7</v>
      </c>
      <c r="C423" s="292"/>
      <c r="D423" s="292"/>
      <c r="F423" s="283" t="s">
        <v>459</v>
      </c>
      <c r="G423" s="283"/>
      <c r="J423" s="293">
        <v>1</v>
      </c>
      <c r="K423" s="293"/>
      <c r="L423" s="293"/>
      <c r="M423" s="293"/>
      <c r="N423" s="293"/>
      <c r="P423" s="42">
        <v>240</v>
      </c>
      <c r="R423" s="42">
        <v>70</v>
      </c>
      <c r="T423" s="284">
        <v>170</v>
      </c>
      <c r="U423" s="284"/>
    </row>
    <row r="424" spans="2:21" x14ac:dyDescent="0.25">
      <c r="B424" s="292">
        <v>8</v>
      </c>
      <c r="C424" s="292"/>
      <c r="D424" s="292"/>
      <c r="F424" s="283" t="s">
        <v>162</v>
      </c>
      <c r="G424" s="283"/>
      <c r="J424" s="293">
        <v>1</v>
      </c>
      <c r="K424" s="293"/>
      <c r="L424" s="293"/>
      <c r="M424" s="293"/>
      <c r="N424" s="293"/>
      <c r="P424" s="42">
        <v>430</v>
      </c>
      <c r="R424" s="42">
        <v>187</v>
      </c>
      <c r="T424" s="284">
        <v>243</v>
      </c>
      <c r="U424" s="284"/>
    </row>
    <row r="425" spans="2:21" x14ac:dyDescent="0.25">
      <c r="B425" s="292">
        <v>9</v>
      </c>
      <c r="C425" s="292"/>
      <c r="D425" s="292"/>
      <c r="F425" s="283" t="s">
        <v>198</v>
      </c>
      <c r="G425" s="283"/>
      <c r="J425" s="293">
        <v>1</v>
      </c>
      <c r="K425" s="293"/>
      <c r="L425" s="293"/>
      <c r="M425" s="293"/>
      <c r="N425" s="293"/>
      <c r="P425" s="42">
        <v>290</v>
      </c>
      <c r="R425" s="42">
        <v>80</v>
      </c>
      <c r="T425" s="284">
        <v>210</v>
      </c>
      <c r="U425" s="284"/>
    </row>
    <row r="426" spans="2:21" x14ac:dyDescent="0.25">
      <c r="B426" s="292">
        <v>10</v>
      </c>
      <c r="C426" s="292"/>
      <c r="D426" s="292"/>
      <c r="F426" s="283" t="s">
        <v>160</v>
      </c>
      <c r="G426" s="283"/>
      <c r="J426" s="293">
        <v>26</v>
      </c>
      <c r="K426" s="293"/>
      <c r="L426" s="293"/>
      <c r="M426" s="293"/>
      <c r="N426" s="293"/>
      <c r="P426" s="42">
        <v>7540</v>
      </c>
      <c r="R426" s="42">
        <v>2080</v>
      </c>
      <c r="T426" s="284">
        <v>5460</v>
      </c>
      <c r="U426" s="284"/>
    </row>
    <row r="427" spans="2:21" x14ac:dyDescent="0.25">
      <c r="B427" s="292">
        <v>11</v>
      </c>
      <c r="C427" s="292"/>
      <c r="D427" s="292"/>
      <c r="F427" s="283" t="s">
        <v>158</v>
      </c>
      <c r="G427" s="283"/>
      <c r="J427" s="293">
        <v>84</v>
      </c>
      <c r="K427" s="293"/>
      <c r="L427" s="293"/>
      <c r="M427" s="293"/>
      <c r="N427" s="293"/>
      <c r="P427" s="42">
        <v>46200</v>
      </c>
      <c r="R427" s="42">
        <v>17705</v>
      </c>
      <c r="T427" s="284">
        <v>28495</v>
      </c>
      <c r="U427" s="284"/>
    </row>
    <row r="428" spans="2:21" x14ac:dyDescent="0.25">
      <c r="B428" s="292">
        <v>12</v>
      </c>
      <c r="C428" s="292"/>
      <c r="D428" s="292"/>
      <c r="F428" s="283" t="s">
        <v>157</v>
      </c>
      <c r="G428" s="283"/>
      <c r="J428" s="293">
        <v>254</v>
      </c>
      <c r="K428" s="293"/>
      <c r="L428" s="293"/>
      <c r="M428" s="293"/>
      <c r="N428" s="293"/>
      <c r="P428" s="42">
        <v>124460</v>
      </c>
      <c r="R428" s="42">
        <v>55713</v>
      </c>
      <c r="T428" s="284">
        <v>68747</v>
      </c>
      <c r="U428" s="284"/>
    </row>
    <row r="429" spans="2:21" x14ac:dyDescent="0.25">
      <c r="B429" s="292">
        <v>13</v>
      </c>
      <c r="C429" s="292"/>
      <c r="D429" s="292"/>
      <c r="F429" s="283" t="s">
        <v>196</v>
      </c>
      <c r="G429" s="283"/>
      <c r="J429" s="293">
        <v>1</v>
      </c>
      <c r="K429" s="293"/>
      <c r="L429" s="293"/>
      <c r="M429" s="293"/>
      <c r="N429" s="293"/>
      <c r="P429" s="42">
        <v>700</v>
      </c>
      <c r="R429" s="42">
        <v>350</v>
      </c>
      <c r="T429" s="284">
        <v>350</v>
      </c>
      <c r="U429" s="284"/>
    </row>
    <row r="430" spans="2:21" x14ac:dyDescent="0.25">
      <c r="B430" s="292">
        <v>14</v>
      </c>
      <c r="C430" s="292"/>
      <c r="D430" s="292"/>
      <c r="F430" s="283" t="s">
        <v>77</v>
      </c>
      <c r="G430" s="283"/>
      <c r="J430" s="293">
        <v>872</v>
      </c>
      <c r="K430" s="293"/>
      <c r="L430" s="293"/>
      <c r="M430" s="293"/>
      <c r="N430" s="293"/>
      <c r="P430" s="42">
        <v>355600</v>
      </c>
      <c r="R430" s="42">
        <v>355600</v>
      </c>
      <c r="T430" s="284">
        <v>0</v>
      </c>
      <c r="U430" s="284"/>
    </row>
    <row r="431" spans="2:21" x14ac:dyDescent="0.25">
      <c r="B431" s="292">
        <v>15</v>
      </c>
      <c r="C431" s="292"/>
      <c r="D431" s="292"/>
      <c r="F431" s="283" t="s">
        <v>242</v>
      </c>
      <c r="G431" s="283"/>
      <c r="J431" s="293">
        <v>1</v>
      </c>
      <c r="K431" s="293"/>
      <c r="L431" s="293"/>
      <c r="M431" s="293"/>
      <c r="N431" s="293"/>
      <c r="P431" s="42">
        <v>500</v>
      </c>
      <c r="R431" s="42">
        <v>500</v>
      </c>
      <c r="T431" s="284">
        <v>0</v>
      </c>
      <c r="U431" s="284"/>
    </row>
    <row r="432" spans="2:21" x14ac:dyDescent="0.25">
      <c r="B432" s="292">
        <v>16</v>
      </c>
      <c r="C432" s="292"/>
      <c r="D432" s="292"/>
      <c r="F432" s="283" t="s">
        <v>76</v>
      </c>
      <c r="G432" s="283"/>
      <c r="J432" s="293">
        <v>1</v>
      </c>
      <c r="K432" s="293"/>
      <c r="L432" s="293"/>
      <c r="M432" s="293"/>
      <c r="N432" s="293"/>
      <c r="P432" s="42">
        <v>500</v>
      </c>
      <c r="R432" s="42">
        <v>500</v>
      </c>
      <c r="T432" s="284">
        <v>0</v>
      </c>
      <c r="U432" s="284"/>
    </row>
    <row r="433" spans="2:21" x14ac:dyDescent="0.25">
      <c r="B433" s="292">
        <v>17</v>
      </c>
      <c r="C433" s="292"/>
      <c r="D433" s="292"/>
      <c r="F433" s="283" t="s">
        <v>156</v>
      </c>
      <c r="G433" s="283"/>
      <c r="J433" s="293">
        <v>11</v>
      </c>
      <c r="K433" s="293"/>
      <c r="L433" s="293"/>
      <c r="M433" s="293"/>
      <c r="N433" s="293"/>
      <c r="P433" s="42">
        <v>2090</v>
      </c>
      <c r="R433" s="42">
        <v>750</v>
      </c>
      <c r="T433" s="284">
        <v>1340</v>
      </c>
      <c r="U433" s="284"/>
    </row>
    <row r="434" spans="2:21" x14ac:dyDescent="0.25">
      <c r="B434" s="292">
        <v>18</v>
      </c>
      <c r="C434" s="292"/>
      <c r="D434" s="292"/>
      <c r="F434" s="283" t="s">
        <v>155</v>
      </c>
      <c r="G434" s="283"/>
      <c r="J434" s="293">
        <v>46</v>
      </c>
      <c r="K434" s="293"/>
      <c r="L434" s="293"/>
      <c r="M434" s="293"/>
      <c r="N434" s="293"/>
      <c r="P434" s="42">
        <v>11500</v>
      </c>
      <c r="R434" s="42">
        <v>5281</v>
      </c>
      <c r="T434" s="284">
        <v>6219</v>
      </c>
      <c r="U434" s="284"/>
    </row>
    <row r="435" spans="2:21" x14ac:dyDescent="0.25">
      <c r="B435" s="292">
        <v>19</v>
      </c>
      <c r="C435" s="292"/>
      <c r="D435" s="292"/>
      <c r="F435" s="283" t="s">
        <v>152</v>
      </c>
      <c r="G435" s="283"/>
      <c r="J435" s="293">
        <v>2</v>
      </c>
      <c r="K435" s="293"/>
      <c r="L435" s="293"/>
      <c r="M435" s="293"/>
      <c r="N435" s="293"/>
      <c r="P435" s="42">
        <v>1180</v>
      </c>
      <c r="R435" s="42">
        <v>360</v>
      </c>
      <c r="T435" s="284">
        <v>820</v>
      </c>
      <c r="U435" s="284"/>
    </row>
    <row r="436" spans="2:21" x14ac:dyDescent="0.25">
      <c r="B436" s="292">
        <v>20</v>
      </c>
      <c r="C436" s="292"/>
      <c r="D436" s="292"/>
      <c r="F436" s="283" t="s">
        <v>150</v>
      </c>
      <c r="G436" s="283"/>
      <c r="J436" s="293">
        <v>1</v>
      </c>
      <c r="K436" s="293"/>
      <c r="L436" s="293"/>
      <c r="M436" s="293"/>
      <c r="N436" s="293"/>
      <c r="P436" s="42">
        <v>170</v>
      </c>
      <c r="R436" s="42">
        <v>50</v>
      </c>
      <c r="T436" s="284">
        <v>120</v>
      </c>
      <c r="U436" s="284"/>
    </row>
    <row r="437" spans="2:21" x14ac:dyDescent="0.25">
      <c r="B437" s="292">
        <v>21</v>
      </c>
      <c r="C437" s="292"/>
      <c r="D437" s="292"/>
      <c r="F437" s="283" t="s">
        <v>149</v>
      </c>
      <c r="G437" s="283"/>
      <c r="J437" s="293">
        <v>44</v>
      </c>
      <c r="K437" s="293"/>
      <c r="L437" s="293"/>
      <c r="M437" s="293"/>
      <c r="N437" s="293"/>
      <c r="P437" s="42">
        <v>2200</v>
      </c>
      <c r="R437" s="42">
        <v>420</v>
      </c>
      <c r="T437" s="284">
        <v>1780</v>
      </c>
      <c r="U437" s="284"/>
    </row>
    <row r="438" spans="2:21" x14ac:dyDescent="0.25">
      <c r="B438" s="292">
        <v>22</v>
      </c>
      <c r="C438" s="292"/>
      <c r="D438" s="292"/>
      <c r="F438" s="283" t="s">
        <v>75</v>
      </c>
      <c r="G438" s="283"/>
      <c r="J438" s="293">
        <v>934</v>
      </c>
      <c r="K438" s="293"/>
      <c r="L438" s="293"/>
      <c r="M438" s="293"/>
      <c r="N438" s="293"/>
      <c r="P438" s="42">
        <v>2335000</v>
      </c>
      <c r="R438" s="42">
        <v>2335000</v>
      </c>
      <c r="T438" s="284">
        <v>0</v>
      </c>
      <c r="U438" s="284"/>
    </row>
    <row r="439" spans="2:21" x14ac:dyDescent="0.25">
      <c r="B439" s="292">
        <v>23</v>
      </c>
      <c r="C439" s="292"/>
      <c r="D439" s="292"/>
      <c r="F439" s="283" t="s">
        <v>138</v>
      </c>
      <c r="G439" s="283"/>
      <c r="J439" s="293">
        <v>1</v>
      </c>
      <c r="K439" s="293"/>
      <c r="L439" s="293"/>
      <c r="M439" s="293"/>
      <c r="N439" s="293"/>
      <c r="P439" s="42">
        <v>800</v>
      </c>
      <c r="R439" s="42">
        <v>450</v>
      </c>
      <c r="T439" s="284">
        <v>350</v>
      </c>
      <c r="U439" s="284"/>
    </row>
    <row r="440" spans="2:21" x14ac:dyDescent="0.25">
      <c r="B440" s="292">
        <v>24</v>
      </c>
      <c r="C440" s="292"/>
      <c r="D440" s="292"/>
      <c r="F440" s="283" t="s">
        <v>136</v>
      </c>
      <c r="G440" s="283"/>
      <c r="J440" s="293">
        <v>4</v>
      </c>
      <c r="K440" s="293"/>
      <c r="L440" s="293"/>
      <c r="M440" s="293"/>
      <c r="N440" s="293"/>
      <c r="P440" s="42">
        <v>3400</v>
      </c>
      <c r="R440" s="42">
        <v>1040</v>
      </c>
      <c r="T440" s="284">
        <v>2360</v>
      </c>
      <c r="U440" s="284"/>
    </row>
    <row r="441" spans="2:21" x14ac:dyDescent="0.25">
      <c r="B441" s="292">
        <v>25</v>
      </c>
      <c r="C441" s="292"/>
      <c r="D441" s="292"/>
      <c r="F441" s="283" t="s">
        <v>74</v>
      </c>
      <c r="G441" s="283"/>
      <c r="J441" s="293">
        <v>5</v>
      </c>
      <c r="K441" s="293"/>
      <c r="L441" s="293"/>
      <c r="M441" s="293"/>
      <c r="N441" s="293"/>
      <c r="P441" s="42">
        <v>4250</v>
      </c>
      <c r="R441" s="42">
        <v>4250</v>
      </c>
      <c r="T441" s="284">
        <v>0</v>
      </c>
      <c r="U441" s="284"/>
    </row>
    <row r="442" spans="2:21" x14ac:dyDescent="0.25">
      <c r="B442" s="292">
        <v>26</v>
      </c>
      <c r="C442" s="292"/>
      <c r="D442" s="292"/>
      <c r="F442" s="285" t="s">
        <v>284</v>
      </c>
      <c r="G442" s="285"/>
      <c r="J442" s="293">
        <v>3</v>
      </c>
      <c r="K442" s="293"/>
      <c r="L442" s="293"/>
      <c r="M442" s="293"/>
      <c r="N442" s="293"/>
      <c r="P442" s="42">
        <v>11100</v>
      </c>
      <c r="R442" s="42">
        <v>5550</v>
      </c>
      <c r="T442" s="284">
        <v>5550</v>
      </c>
      <c r="U442" s="284"/>
    </row>
    <row r="443" spans="2:21" x14ac:dyDescent="0.25">
      <c r="F443" s="285"/>
      <c r="G443" s="285"/>
    </row>
    <row r="444" spans="2:21" x14ac:dyDescent="0.25">
      <c r="B444" s="292">
        <v>27</v>
      </c>
      <c r="C444" s="292"/>
      <c r="D444" s="292"/>
      <c r="F444" s="283" t="s">
        <v>130</v>
      </c>
      <c r="G444" s="283"/>
      <c r="J444" s="293">
        <v>1</v>
      </c>
      <c r="K444" s="293"/>
      <c r="L444" s="293"/>
      <c r="M444" s="293"/>
      <c r="N444" s="293"/>
      <c r="P444" s="42">
        <v>8000</v>
      </c>
      <c r="R444" s="42">
        <v>4100</v>
      </c>
      <c r="T444" s="284">
        <v>3900</v>
      </c>
      <c r="U444" s="284"/>
    </row>
    <row r="445" spans="2:21" x14ac:dyDescent="0.25">
      <c r="B445" s="292">
        <v>28</v>
      </c>
      <c r="C445" s="292"/>
      <c r="D445" s="292"/>
      <c r="F445" s="283" t="s">
        <v>127</v>
      </c>
      <c r="G445" s="283"/>
      <c r="J445" s="293">
        <v>87</v>
      </c>
      <c r="K445" s="293"/>
      <c r="L445" s="293"/>
      <c r="M445" s="293"/>
      <c r="N445" s="293"/>
      <c r="P445" s="42">
        <v>26100</v>
      </c>
      <c r="R445" s="42">
        <v>7871</v>
      </c>
      <c r="T445" s="284">
        <v>18229</v>
      </c>
      <c r="U445" s="284"/>
    </row>
    <row r="446" spans="2:21" x14ac:dyDescent="0.25">
      <c r="B446" s="292">
        <v>29</v>
      </c>
      <c r="C446" s="292"/>
      <c r="D446" s="292"/>
      <c r="F446" s="283" t="s">
        <v>126</v>
      </c>
      <c r="G446" s="283"/>
      <c r="J446" s="293">
        <v>90</v>
      </c>
      <c r="K446" s="293"/>
      <c r="L446" s="293"/>
      <c r="M446" s="293"/>
      <c r="N446" s="293"/>
      <c r="P446" s="42">
        <v>18000</v>
      </c>
      <c r="R446" s="42">
        <v>5427</v>
      </c>
      <c r="T446" s="284">
        <v>12573</v>
      </c>
      <c r="U446" s="284"/>
    </row>
    <row r="447" spans="2:21" x14ac:dyDescent="0.25">
      <c r="B447" s="292">
        <v>30</v>
      </c>
      <c r="C447" s="292"/>
      <c r="D447" s="292"/>
      <c r="F447" s="283" t="s">
        <v>125</v>
      </c>
      <c r="G447" s="283"/>
      <c r="J447" s="293">
        <v>1</v>
      </c>
      <c r="K447" s="293"/>
      <c r="L447" s="293"/>
      <c r="M447" s="293"/>
      <c r="N447" s="293"/>
      <c r="P447" s="42">
        <v>400</v>
      </c>
      <c r="R447" s="42">
        <v>120</v>
      </c>
      <c r="T447" s="284">
        <v>280</v>
      </c>
      <c r="U447" s="284"/>
    </row>
    <row r="448" spans="2:21" x14ac:dyDescent="0.25">
      <c r="B448" s="292">
        <v>31</v>
      </c>
      <c r="C448" s="292"/>
      <c r="D448" s="292"/>
      <c r="F448" s="283" t="s">
        <v>123</v>
      </c>
      <c r="G448" s="283"/>
      <c r="J448" s="293">
        <v>10</v>
      </c>
      <c r="K448" s="293"/>
      <c r="L448" s="293"/>
      <c r="M448" s="293"/>
      <c r="N448" s="293"/>
      <c r="P448" s="42">
        <v>7800</v>
      </c>
      <c r="R448" s="42">
        <v>2187</v>
      </c>
      <c r="T448" s="284">
        <v>5613</v>
      </c>
      <c r="U448" s="284"/>
    </row>
    <row r="449" spans="2:21" x14ac:dyDescent="0.25">
      <c r="B449" s="292">
        <v>32</v>
      </c>
      <c r="C449" s="292"/>
      <c r="D449" s="292"/>
      <c r="F449" s="283" t="s">
        <v>121</v>
      </c>
      <c r="G449" s="283"/>
      <c r="J449" s="293">
        <v>1</v>
      </c>
      <c r="K449" s="293"/>
      <c r="L449" s="293"/>
      <c r="M449" s="293"/>
      <c r="N449" s="293"/>
      <c r="P449" s="42">
        <v>500</v>
      </c>
      <c r="R449" s="42">
        <v>150</v>
      </c>
      <c r="T449" s="284">
        <v>350</v>
      </c>
      <c r="U449" s="284"/>
    </row>
    <row r="450" spans="2:21" x14ac:dyDescent="0.25">
      <c r="B450" s="292">
        <v>33</v>
      </c>
      <c r="C450" s="292"/>
      <c r="D450" s="292"/>
      <c r="F450" s="283" t="s">
        <v>119</v>
      </c>
      <c r="G450" s="283"/>
      <c r="J450" s="293">
        <v>6</v>
      </c>
      <c r="K450" s="293"/>
      <c r="L450" s="293"/>
      <c r="M450" s="293"/>
      <c r="N450" s="293"/>
      <c r="P450" s="42">
        <v>5340</v>
      </c>
      <c r="R450" s="42">
        <v>1770</v>
      </c>
      <c r="T450" s="284">
        <v>3570</v>
      </c>
      <c r="U450" s="284"/>
    </row>
    <row r="451" spans="2:21" x14ac:dyDescent="0.25">
      <c r="B451" s="292">
        <v>34</v>
      </c>
      <c r="C451" s="292"/>
      <c r="D451" s="292"/>
      <c r="F451" s="283" t="s">
        <v>118</v>
      </c>
      <c r="G451" s="283"/>
      <c r="J451" s="293">
        <v>60</v>
      </c>
      <c r="K451" s="293"/>
      <c r="L451" s="293"/>
      <c r="M451" s="293"/>
      <c r="N451" s="293"/>
      <c r="P451" s="42">
        <v>59400</v>
      </c>
      <c r="R451" s="42">
        <v>26025</v>
      </c>
      <c r="T451" s="284">
        <v>33375</v>
      </c>
      <c r="U451" s="284"/>
    </row>
    <row r="452" spans="2:21" x14ac:dyDescent="0.25">
      <c r="B452" s="292">
        <v>35</v>
      </c>
      <c r="C452" s="292"/>
      <c r="D452" s="292"/>
      <c r="F452" s="283" t="s">
        <v>278</v>
      </c>
      <c r="G452" s="283"/>
      <c r="J452" s="293">
        <v>1</v>
      </c>
      <c r="K452" s="293"/>
      <c r="L452" s="293"/>
      <c r="M452" s="293"/>
      <c r="N452" s="293"/>
      <c r="P452" s="42">
        <v>330</v>
      </c>
      <c r="R452" s="42">
        <v>100</v>
      </c>
      <c r="T452" s="284">
        <v>230</v>
      </c>
      <c r="U452" s="284"/>
    </row>
    <row r="453" spans="2:21" x14ac:dyDescent="0.25">
      <c r="B453" s="292">
        <v>36</v>
      </c>
      <c r="C453" s="292"/>
      <c r="D453" s="292"/>
      <c r="F453" s="283" t="s">
        <v>111</v>
      </c>
      <c r="G453" s="283"/>
      <c r="J453" s="293">
        <v>1</v>
      </c>
      <c r="K453" s="293"/>
      <c r="L453" s="293"/>
      <c r="M453" s="293"/>
      <c r="N453" s="293"/>
      <c r="P453" s="42">
        <v>430</v>
      </c>
      <c r="R453" s="42">
        <v>130</v>
      </c>
      <c r="T453" s="284">
        <v>300</v>
      </c>
      <c r="U453" s="284"/>
    </row>
    <row r="454" spans="2:21" x14ac:dyDescent="0.25">
      <c r="B454" s="292">
        <v>37</v>
      </c>
      <c r="C454" s="292"/>
      <c r="D454" s="292"/>
      <c r="F454" s="283" t="s">
        <v>277</v>
      </c>
      <c r="G454" s="283"/>
      <c r="J454" s="293">
        <v>1</v>
      </c>
      <c r="K454" s="293"/>
      <c r="L454" s="293"/>
      <c r="M454" s="293"/>
      <c r="N454" s="293"/>
      <c r="P454" s="42">
        <v>1570</v>
      </c>
      <c r="R454" s="42">
        <v>0</v>
      </c>
      <c r="T454" s="284">
        <v>1570</v>
      </c>
      <c r="U454" s="284"/>
    </row>
    <row r="455" spans="2:21" x14ac:dyDescent="0.25">
      <c r="B455" s="292">
        <v>38</v>
      </c>
      <c r="C455" s="292"/>
      <c r="D455" s="292"/>
      <c r="F455" s="283" t="s">
        <v>109</v>
      </c>
      <c r="G455" s="283"/>
      <c r="J455" s="293">
        <v>3</v>
      </c>
      <c r="K455" s="293"/>
      <c r="L455" s="293"/>
      <c r="M455" s="293"/>
      <c r="N455" s="293"/>
      <c r="P455" s="42">
        <v>2340</v>
      </c>
      <c r="R455" s="42">
        <v>690</v>
      </c>
      <c r="T455" s="284">
        <v>1650</v>
      </c>
      <c r="U455" s="284"/>
    </row>
    <row r="456" spans="2:21" x14ac:dyDescent="0.25">
      <c r="B456" s="292">
        <v>39</v>
      </c>
      <c r="C456" s="292"/>
      <c r="D456" s="292"/>
      <c r="F456" s="283" t="s">
        <v>107</v>
      </c>
      <c r="G456" s="283"/>
      <c r="J456" s="293">
        <v>16</v>
      </c>
      <c r="K456" s="293"/>
      <c r="L456" s="293"/>
      <c r="M456" s="293"/>
      <c r="N456" s="293"/>
      <c r="P456" s="42">
        <v>2720</v>
      </c>
      <c r="R456" s="42">
        <v>824</v>
      </c>
      <c r="T456" s="284">
        <v>1896</v>
      </c>
      <c r="U456" s="284"/>
    </row>
    <row r="457" spans="2:21" x14ac:dyDescent="0.25">
      <c r="B457" s="292">
        <v>40</v>
      </c>
      <c r="C457" s="292"/>
      <c r="D457" s="292"/>
      <c r="F457" s="283" t="s">
        <v>103</v>
      </c>
      <c r="G457" s="283"/>
      <c r="J457" s="293">
        <v>21</v>
      </c>
      <c r="K457" s="293"/>
      <c r="L457" s="293"/>
      <c r="M457" s="293"/>
      <c r="N457" s="293"/>
      <c r="P457" s="42">
        <v>6930</v>
      </c>
      <c r="R457" s="42">
        <v>2660</v>
      </c>
      <c r="T457" s="284">
        <v>4270</v>
      </c>
      <c r="U457" s="284"/>
    </row>
    <row r="458" spans="2:21" x14ac:dyDescent="0.25">
      <c r="B458" s="292">
        <v>41</v>
      </c>
      <c r="C458" s="292"/>
      <c r="D458" s="292"/>
      <c r="F458" s="283" t="s">
        <v>275</v>
      </c>
      <c r="G458" s="283"/>
      <c r="J458" s="293">
        <v>1</v>
      </c>
      <c r="K458" s="293"/>
      <c r="L458" s="293"/>
      <c r="M458" s="293"/>
      <c r="N458" s="293"/>
      <c r="P458" s="42">
        <v>700</v>
      </c>
      <c r="R458" s="42">
        <v>350</v>
      </c>
      <c r="T458" s="284">
        <v>350</v>
      </c>
      <c r="U458" s="284"/>
    </row>
    <row r="459" spans="2:21" x14ac:dyDescent="0.25">
      <c r="B459" s="292">
        <v>42</v>
      </c>
      <c r="C459" s="292"/>
      <c r="D459" s="292"/>
      <c r="F459" s="283" t="s">
        <v>98</v>
      </c>
      <c r="G459" s="283"/>
      <c r="J459" s="293">
        <v>1</v>
      </c>
      <c r="K459" s="293"/>
      <c r="L459" s="293"/>
      <c r="M459" s="293"/>
      <c r="N459" s="293"/>
      <c r="P459" s="42">
        <v>570</v>
      </c>
      <c r="R459" s="42">
        <v>80</v>
      </c>
      <c r="T459" s="284">
        <v>490</v>
      </c>
      <c r="U459" s="284"/>
    </row>
    <row r="460" spans="2:21" x14ac:dyDescent="0.25">
      <c r="B460" s="292">
        <v>43</v>
      </c>
      <c r="C460" s="292"/>
      <c r="D460" s="292"/>
      <c r="F460" s="283" t="s">
        <v>324</v>
      </c>
      <c r="G460" s="283"/>
      <c r="J460" s="293">
        <v>1</v>
      </c>
      <c r="K460" s="293"/>
      <c r="L460" s="293"/>
      <c r="M460" s="293"/>
      <c r="N460" s="293"/>
      <c r="P460" s="42">
        <v>350</v>
      </c>
      <c r="R460" s="42">
        <v>160</v>
      </c>
      <c r="T460" s="284">
        <v>190</v>
      </c>
      <c r="U460" s="284"/>
    </row>
    <row r="461" spans="2:21" x14ac:dyDescent="0.25">
      <c r="B461" s="292">
        <v>44</v>
      </c>
      <c r="C461" s="292"/>
      <c r="D461" s="292"/>
      <c r="F461" s="283" t="s">
        <v>93</v>
      </c>
      <c r="G461" s="283"/>
      <c r="J461" s="293">
        <v>1</v>
      </c>
      <c r="K461" s="293"/>
      <c r="L461" s="293"/>
      <c r="M461" s="293"/>
      <c r="N461" s="293"/>
      <c r="P461" s="42">
        <v>590</v>
      </c>
      <c r="R461" s="42">
        <v>90</v>
      </c>
      <c r="T461" s="284">
        <v>500</v>
      </c>
      <c r="U461" s="284"/>
    </row>
    <row r="462" spans="2:21" x14ac:dyDescent="0.25">
      <c r="B462" s="292">
        <v>45</v>
      </c>
      <c r="C462" s="292"/>
      <c r="D462" s="292"/>
      <c r="F462" s="283" t="s">
        <v>92</v>
      </c>
      <c r="G462" s="283"/>
      <c r="J462" s="293">
        <v>32</v>
      </c>
      <c r="K462" s="293"/>
      <c r="L462" s="293"/>
      <c r="M462" s="293"/>
      <c r="N462" s="293"/>
      <c r="P462" s="42">
        <v>16880</v>
      </c>
      <c r="R462" s="42">
        <v>5040</v>
      </c>
      <c r="T462" s="284">
        <v>11840</v>
      </c>
      <c r="U462" s="284"/>
    </row>
    <row r="463" spans="2:21" x14ac:dyDescent="0.25">
      <c r="B463" s="292">
        <v>46</v>
      </c>
      <c r="C463" s="292"/>
      <c r="D463" s="292"/>
      <c r="F463" s="283" t="s">
        <v>91</v>
      </c>
      <c r="G463" s="283"/>
      <c r="J463" s="293">
        <v>49</v>
      </c>
      <c r="K463" s="293"/>
      <c r="L463" s="293"/>
      <c r="M463" s="293"/>
      <c r="N463" s="293"/>
      <c r="P463" s="42">
        <v>12250</v>
      </c>
      <c r="R463" s="42">
        <v>5291</v>
      </c>
      <c r="T463" s="284">
        <v>6959</v>
      </c>
      <c r="U463" s="284"/>
    </row>
    <row r="464" spans="2:21" x14ac:dyDescent="0.25">
      <c r="B464" s="292">
        <v>47</v>
      </c>
      <c r="C464" s="292"/>
      <c r="D464" s="292"/>
      <c r="F464" s="283" t="s">
        <v>90</v>
      </c>
      <c r="G464" s="283"/>
      <c r="J464" s="293">
        <v>30</v>
      </c>
      <c r="K464" s="293"/>
      <c r="L464" s="293"/>
      <c r="M464" s="293"/>
      <c r="N464" s="293"/>
      <c r="P464" s="42">
        <v>8700</v>
      </c>
      <c r="R464" s="42">
        <v>2400</v>
      </c>
      <c r="T464" s="284">
        <v>6300</v>
      </c>
      <c r="U464" s="284"/>
    </row>
    <row r="465" spans="1:21" x14ac:dyDescent="0.25">
      <c r="B465" s="292">
        <v>48</v>
      </c>
      <c r="C465" s="292"/>
      <c r="D465" s="292"/>
      <c r="F465" s="283" t="s">
        <v>88</v>
      </c>
      <c r="G465" s="283"/>
      <c r="J465" s="293">
        <v>23</v>
      </c>
      <c r="K465" s="293"/>
      <c r="L465" s="293"/>
      <c r="M465" s="293"/>
      <c r="N465" s="293"/>
      <c r="P465" s="42">
        <v>4140</v>
      </c>
      <c r="R465" s="42">
        <v>1313</v>
      </c>
      <c r="T465" s="284">
        <v>2827</v>
      </c>
      <c r="U465" s="284"/>
    </row>
    <row r="466" spans="1:21" x14ac:dyDescent="0.25">
      <c r="B466" s="292">
        <v>49</v>
      </c>
      <c r="C466" s="292"/>
      <c r="D466" s="292"/>
      <c r="F466" s="283" t="s">
        <v>87</v>
      </c>
      <c r="G466" s="283"/>
      <c r="J466" s="293">
        <v>1</v>
      </c>
      <c r="K466" s="293"/>
      <c r="L466" s="293"/>
      <c r="M466" s="293"/>
      <c r="N466" s="293"/>
      <c r="P466" s="42">
        <v>290</v>
      </c>
      <c r="R466" s="42">
        <v>0</v>
      </c>
      <c r="T466" s="284">
        <v>290</v>
      </c>
      <c r="U466" s="284"/>
    </row>
    <row r="467" spans="1:21" x14ac:dyDescent="0.25">
      <c r="B467" s="292">
        <v>50</v>
      </c>
      <c r="C467" s="292"/>
      <c r="D467" s="292"/>
      <c r="F467" s="283" t="s">
        <v>85</v>
      </c>
      <c r="G467" s="283"/>
      <c r="J467" s="293">
        <v>1</v>
      </c>
      <c r="K467" s="293"/>
      <c r="L467" s="293"/>
      <c r="M467" s="293"/>
      <c r="N467" s="293"/>
      <c r="P467" s="42">
        <v>2080</v>
      </c>
      <c r="R467" s="42">
        <v>310</v>
      </c>
      <c r="T467" s="284">
        <v>1770</v>
      </c>
      <c r="U467" s="284"/>
    </row>
    <row r="468" spans="1:21" x14ac:dyDescent="0.25">
      <c r="B468" s="292">
        <v>51</v>
      </c>
      <c r="C468" s="292"/>
      <c r="D468" s="292"/>
      <c r="F468" s="283" t="s">
        <v>84</v>
      </c>
      <c r="G468" s="283"/>
      <c r="J468" s="293">
        <v>3</v>
      </c>
      <c r="K468" s="293"/>
      <c r="L468" s="293"/>
      <c r="M468" s="293"/>
      <c r="N468" s="293"/>
      <c r="P468" s="42">
        <v>1770</v>
      </c>
      <c r="R468" s="42">
        <v>448</v>
      </c>
      <c r="T468" s="284">
        <v>1322</v>
      </c>
      <c r="U468" s="284"/>
    </row>
    <row r="469" spans="1:21" x14ac:dyDescent="0.25">
      <c r="B469" s="292">
        <v>52</v>
      </c>
      <c r="C469" s="292"/>
      <c r="D469" s="292"/>
      <c r="F469" s="283" t="s">
        <v>208</v>
      </c>
      <c r="G469" s="283"/>
      <c r="J469" s="293">
        <v>1</v>
      </c>
      <c r="K469" s="293"/>
      <c r="L469" s="293"/>
      <c r="M469" s="293"/>
      <c r="N469" s="293"/>
      <c r="P469" s="42">
        <v>500</v>
      </c>
      <c r="R469" s="42">
        <v>150</v>
      </c>
      <c r="T469" s="284">
        <v>350</v>
      </c>
      <c r="U469" s="284"/>
    </row>
    <row r="470" spans="1:21" x14ac:dyDescent="0.25">
      <c r="B470" s="292">
        <v>53</v>
      </c>
      <c r="C470" s="292"/>
      <c r="D470" s="292"/>
      <c r="F470" s="283" t="s">
        <v>202</v>
      </c>
      <c r="G470" s="283"/>
      <c r="J470" s="293">
        <v>1</v>
      </c>
      <c r="K470" s="293"/>
      <c r="L470" s="293"/>
      <c r="M470" s="293"/>
      <c r="N470" s="293"/>
      <c r="P470" s="42">
        <v>500</v>
      </c>
      <c r="R470" s="42">
        <v>130</v>
      </c>
      <c r="T470" s="284">
        <v>370</v>
      </c>
      <c r="U470" s="284"/>
    </row>
    <row r="471" spans="1:21" s="40" customFormat="1" x14ac:dyDescent="0.25">
      <c r="A471" s="290" t="s">
        <v>458</v>
      </c>
      <c r="B471" s="290"/>
      <c r="C471" s="290"/>
      <c r="D471" s="290"/>
      <c r="E471" s="290"/>
      <c r="F471" s="290"/>
      <c r="G471" s="290"/>
      <c r="H471" s="290"/>
      <c r="I471" s="290"/>
      <c r="J471" s="290"/>
      <c r="K471" s="291">
        <v>4432</v>
      </c>
      <c r="L471" s="291"/>
      <c r="M471" s="291"/>
      <c r="N471" s="291"/>
      <c r="O471" s="291"/>
      <c r="P471" s="41">
        <v>3126150</v>
      </c>
      <c r="R471" s="41">
        <v>2384086</v>
      </c>
      <c r="T471" s="287">
        <v>742064</v>
      </c>
      <c r="U471" s="287"/>
    </row>
    <row r="472" spans="1:21" x14ac:dyDescent="0.25">
      <c r="B472" s="292">
        <v>1</v>
      </c>
      <c r="C472" s="292"/>
      <c r="D472" s="292"/>
      <c r="F472" s="283" t="s">
        <v>200</v>
      </c>
      <c r="G472" s="283"/>
      <c r="J472" s="293">
        <v>1</v>
      </c>
      <c r="K472" s="293"/>
      <c r="L472" s="293"/>
      <c r="M472" s="293"/>
      <c r="N472" s="293"/>
      <c r="P472" s="42">
        <v>500</v>
      </c>
      <c r="R472" s="42">
        <v>150</v>
      </c>
      <c r="T472" s="284">
        <v>350</v>
      </c>
      <c r="U472" s="284"/>
    </row>
    <row r="473" spans="1:21" x14ac:dyDescent="0.25">
      <c r="B473" s="292">
        <v>2</v>
      </c>
      <c r="C473" s="292"/>
      <c r="D473" s="292"/>
      <c r="F473" s="283" t="s">
        <v>250</v>
      </c>
      <c r="G473" s="283"/>
      <c r="J473" s="293">
        <v>1</v>
      </c>
      <c r="K473" s="293"/>
      <c r="L473" s="293"/>
      <c r="M473" s="293"/>
      <c r="N473" s="293"/>
      <c r="P473" s="42">
        <v>500</v>
      </c>
      <c r="R473" s="42">
        <v>150</v>
      </c>
      <c r="T473" s="284">
        <v>350</v>
      </c>
      <c r="U473" s="284"/>
    </row>
    <row r="474" spans="1:21" x14ac:dyDescent="0.25">
      <c r="B474" s="292">
        <v>3</v>
      </c>
      <c r="C474" s="292"/>
      <c r="D474" s="292"/>
      <c r="F474" s="283" t="s">
        <v>78</v>
      </c>
      <c r="G474" s="283"/>
      <c r="J474" s="293">
        <v>537</v>
      </c>
      <c r="K474" s="293"/>
      <c r="L474" s="293"/>
      <c r="M474" s="293"/>
      <c r="N474" s="293"/>
      <c r="P474" s="42">
        <v>155730</v>
      </c>
      <c r="R474" s="42">
        <v>155730</v>
      </c>
      <c r="T474" s="284">
        <v>0</v>
      </c>
      <c r="U474" s="284"/>
    </row>
    <row r="475" spans="1:21" x14ac:dyDescent="0.25">
      <c r="B475" s="292">
        <v>4</v>
      </c>
      <c r="C475" s="292"/>
      <c r="D475" s="292"/>
      <c r="F475" s="283" t="s">
        <v>249</v>
      </c>
      <c r="G475" s="283"/>
      <c r="J475" s="293">
        <v>1</v>
      </c>
      <c r="K475" s="293"/>
      <c r="L475" s="293"/>
      <c r="M475" s="293"/>
      <c r="N475" s="293"/>
      <c r="P475" s="42">
        <v>1300</v>
      </c>
      <c r="R475" s="42">
        <v>200</v>
      </c>
      <c r="T475" s="284">
        <v>1100</v>
      </c>
      <c r="U475" s="284"/>
    </row>
    <row r="476" spans="1:21" x14ac:dyDescent="0.25">
      <c r="B476" s="292">
        <v>5</v>
      </c>
      <c r="C476" s="292"/>
      <c r="D476" s="292"/>
      <c r="F476" s="283" t="s">
        <v>294</v>
      </c>
      <c r="G476" s="283"/>
      <c r="J476" s="293">
        <v>1</v>
      </c>
      <c r="K476" s="293"/>
      <c r="L476" s="293"/>
      <c r="M476" s="293"/>
      <c r="N476" s="293"/>
      <c r="P476" s="42">
        <v>500</v>
      </c>
      <c r="R476" s="42">
        <v>150</v>
      </c>
      <c r="T476" s="284">
        <v>350</v>
      </c>
      <c r="U476" s="284"/>
    </row>
    <row r="477" spans="1:21" x14ac:dyDescent="0.25">
      <c r="B477" s="292">
        <v>6</v>
      </c>
      <c r="C477" s="292"/>
      <c r="D477" s="292"/>
      <c r="F477" s="283" t="s">
        <v>329</v>
      </c>
      <c r="G477" s="283"/>
      <c r="J477" s="293">
        <v>1</v>
      </c>
      <c r="K477" s="293"/>
      <c r="L477" s="293"/>
      <c r="M477" s="293"/>
      <c r="N477" s="293"/>
      <c r="P477" s="42">
        <v>1200</v>
      </c>
      <c r="R477" s="42">
        <v>180</v>
      </c>
      <c r="T477" s="284">
        <v>1020</v>
      </c>
      <c r="U477" s="284"/>
    </row>
    <row r="478" spans="1:21" x14ac:dyDescent="0.25">
      <c r="B478" s="292">
        <v>7</v>
      </c>
      <c r="C478" s="292"/>
      <c r="D478" s="292"/>
      <c r="F478" s="283" t="s">
        <v>248</v>
      </c>
      <c r="G478" s="283"/>
      <c r="J478" s="293">
        <v>1</v>
      </c>
      <c r="K478" s="293"/>
      <c r="L478" s="293"/>
      <c r="M478" s="293"/>
      <c r="N478" s="293"/>
      <c r="P478" s="42">
        <v>1200</v>
      </c>
      <c r="R478" s="42">
        <v>180</v>
      </c>
      <c r="T478" s="284">
        <v>1020</v>
      </c>
      <c r="U478" s="284"/>
    </row>
    <row r="479" spans="1:21" x14ac:dyDescent="0.25">
      <c r="B479" s="292">
        <v>8</v>
      </c>
      <c r="C479" s="292"/>
      <c r="D479" s="292"/>
      <c r="F479" s="283" t="s">
        <v>165</v>
      </c>
      <c r="G479" s="283"/>
      <c r="J479" s="293">
        <v>1</v>
      </c>
      <c r="K479" s="293"/>
      <c r="L479" s="293"/>
      <c r="M479" s="293"/>
      <c r="N479" s="293"/>
      <c r="P479" s="42">
        <v>590</v>
      </c>
      <c r="R479" s="42">
        <v>0</v>
      </c>
      <c r="T479" s="284">
        <v>590</v>
      </c>
      <c r="U479" s="284"/>
    </row>
    <row r="480" spans="1:21" x14ac:dyDescent="0.25">
      <c r="B480" s="292">
        <v>9</v>
      </c>
      <c r="C480" s="292"/>
      <c r="D480" s="292"/>
      <c r="F480" s="283" t="s">
        <v>162</v>
      </c>
      <c r="G480" s="283"/>
      <c r="J480" s="293">
        <v>41</v>
      </c>
      <c r="K480" s="293"/>
      <c r="L480" s="293"/>
      <c r="M480" s="293"/>
      <c r="N480" s="293"/>
      <c r="P480" s="42">
        <v>17630</v>
      </c>
      <c r="R480" s="42">
        <v>7676</v>
      </c>
      <c r="T480" s="284">
        <v>9954</v>
      </c>
      <c r="U480" s="284"/>
    </row>
    <row r="481" spans="2:21" x14ac:dyDescent="0.25">
      <c r="B481" s="292">
        <v>10</v>
      </c>
      <c r="C481" s="292"/>
      <c r="D481" s="292"/>
      <c r="F481" s="283" t="s">
        <v>160</v>
      </c>
      <c r="G481" s="283"/>
      <c r="J481" s="293">
        <v>1</v>
      </c>
      <c r="K481" s="293"/>
      <c r="L481" s="293"/>
      <c r="M481" s="293"/>
      <c r="N481" s="293"/>
      <c r="P481" s="42">
        <v>290</v>
      </c>
      <c r="R481" s="42">
        <v>80</v>
      </c>
      <c r="T481" s="284">
        <v>210</v>
      </c>
      <c r="U481" s="284"/>
    </row>
    <row r="482" spans="2:21" x14ac:dyDescent="0.25">
      <c r="B482" s="292">
        <v>11</v>
      </c>
      <c r="C482" s="292"/>
      <c r="D482" s="292"/>
      <c r="F482" s="283" t="s">
        <v>158</v>
      </c>
      <c r="G482" s="283"/>
      <c r="J482" s="293">
        <v>625</v>
      </c>
      <c r="K482" s="293"/>
      <c r="L482" s="293"/>
      <c r="M482" s="293"/>
      <c r="N482" s="293"/>
      <c r="P482" s="42">
        <v>343750</v>
      </c>
      <c r="R482" s="42">
        <v>158869</v>
      </c>
      <c r="T482" s="284">
        <v>184881</v>
      </c>
      <c r="U482" s="284"/>
    </row>
    <row r="483" spans="2:21" x14ac:dyDescent="0.25">
      <c r="B483" s="292">
        <v>12</v>
      </c>
      <c r="C483" s="292"/>
      <c r="D483" s="292"/>
      <c r="F483" s="283" t="s">
        <v>157</v>
      </c>
      <c r="G483" s="283"/>
      <c r="J483" s="293">
        <v>47</v>
      </c>
      <c r="K483" s="293"/>
      <c r="L483" s="293"/>
      <c r="M483" s="293"/>
      <c r="N483" s="293"/>
      <c r="P483" s="42">
        <v>23030</v>
      </c>
      <c r="R483" s="42">
        <v>8524</v>
      </c>
      <c r="T483" s="284">
        <v>14506</v>
      </c>
      <c r="U483" s="284"/>
    </row>
    <row r="484" spans="2:21" x14ac:dyDescent="0.25">
      <c r="B484" s="292">
        <v>13</v>
      </c>
      <c r="C484" s="292"/>
      <c r="D484" s="292"/>
      <c r="F484" s="283" t="s">
        <v>328</v>
      </c>
      <c r="G484" s="283"/>
      <c r="J484" s="293">
        <v>1</v>
      </c>
      <c r="K484" s="293"/>
      <c r="L484" s="293"/>
      <c r="M484" s="293"/>
      <c r="N484" s="293"/>
      <c r="P484" s="42">
        <v>700</v>
      </c>
      <c r="R484" s="42">
        <v>350</v>
      </c>
      <c r="T484" s="284">
        <v>350</v>
      </c>
      <c r="U484" s="284"/>
    </row>
    <row r="485" spans="2:21" x14ac:dyDescent="0.25">
      <c r="B485" s="292">
        <v>14</v>
      </c>
      <c r="C485" s="292"/>
      <c r="D485" s="292"/>
      <c r="F485" s="283" t="s">
        <v>77</v>
      </c>
      <c r="G485" s="283"/>
      <c r="J485" s="293">
        <v>604</v>
      </c>
      <c r="K485" s="293"/>
      <c r="L485" s="293"/>
      <c r="M485" s="293"/>
      <c r="N485" s="293"/>
      <c r="P485" s="42">
        <v>243000</v>
      </c>
      <c r="R485" s="42">
        <v>243000</v>
      </c>
      <c r="T485" s="284">
        <v>0</v>
      </c>
      <c r="U485" s="284"/>
    </row>
    <row r="486" spans="2:21" x14ac:dyDescent="0.25">
      <c r="B486" s="292">
        <v>15</v>
      </c>
      <c r="C486" s="292"/>
      <c r="D486" s="292"/>
      <c r="F486" s="283" t="s">
        <v>343</v>
      </c>
      <c r="G486" s="283"/>
      <c r="J486" s="293">
        <v>2</v>
      </c>
      <c r="K486" s="293"/>
      <c r="L486" s="293"/>
      <c r="M486" s="293"/>
      <c r="N486" s="293"/>
      <c r="P486" s="42">
        <v>420</v>
      </c>
      <c r="R486" s="42">
        <v>126</v>
      </c>
      <c r="T486" s="284">
        <v>294</v>
      </c>
      <c r="U486" s="284"/>
    </row>
    <row r="487" spans="2:21" x14ac:dyDescent="0.25">
      <c r="B487" s="292">
        <v>16</v>
      </c>
      <c r="C487" s="292"/>
      <c r="D487" s="292"/>
      <c r="F487" s="283" t="s">
        <v>156</v>
      </c>
      <c r="G487" s="283"/>
      <c r="J487" s="293">
        <v>25</v>
      </c>
      <c r="K487" s="293"/>
      <c r="L487" s="293"/>
      <c r="M487" s="293"/>
      <c r="N487" s="293"/>
      <c r="P487" s="42">
        <v>4750</v>
      </c>
      <c r="R487" s="42">
        <v>1490</v>
      </c>
      <c r="T487" s="284">
        <v>3260</v>
      </c>
      <c r="U487" s="284"/>
    </row>
    <row r="488" spans="2:21" x14ac:dyDescent="0.25">
      <c r="B488" s="292">
        <v>17</v>
      </c>
      <c r="C488" s="292"/>
      <c r="D488" s="292"/>
      <c r="F488" s="283" t="s">
        <v>155</v>
      </c>
      <c r="G488" s="283"/>
      <c r="J488" s="293">
        <v>496</v>
      </c>
      <c r="K488" s="293"/>
      <c r="L488" s="293"/>
      <c r="M488" s="293"/>
      <c r="N488" s="293"/>
      <c r="P488" s="42">
        <v>124000</v>
      </c>
      <c r="R488" s="42">
        <v>62613</v>
      </c>
      <c r="T488" s="284">
        <v>61387</v>
      </c>
      <c r="U488" s="284"/>
    </row>
    <row r="489" spans="2:21" x14ac:dyDescent="0.25">
      <c r="B489" s="292">
        <v>18</v>
      </c>
      <c r="C489" s="292"/>
      <c r="D489" s="292"/>
      <c r="F489" s="283" t="s">
        <v>154</v>
      </c>
      <c r="G489" s="283"/>
      <c r="J489" s="293">
        <v>37</v>
      </c>
      <c r="K489" s="293"/>
      <c r="L489" s="293"/>
      <c r="M489" s="293"/>
      <c r="N489" s="293"/>
      <c r="P489" s="42">
        <v>32930</v>
      </c>
      <c r="R489" s="42">
        <v>4680</v>
      </c>
      <c r="T489" s="284">
        <v>28250</v>
      </c>
      <c r="U489" s="284"/>
    </row>
    <row r="490" spans="2:21" x14ac:dyDescent="0.25">
      <c r="B490" s="292">
        <v>19</v>
      </c>
      <c r="C490" s="292"/>
      <c r="D490" s="292"/>
      <c r="F490" s="283" t="s">
        <v>153</v>
      </c>
      <c r="G490" s="283"/>
      <c r="J490" s="293">
        <v>1</v>
      </c>
      <c r="K490" s="293"/>
      <c r="L490" s="293"/>
      <c r="M490" s="293"/>
      <c r="N490" s="293"/>
      <c r="P490" s="42">
        <v>1180</v>
      </c>
      <c r="R490" s="42">
        <v>180</v>
      </c>
      <c r="T490" s="284">
        <v>1000</v>
      </c>
      <c r="U490" s="284"/>
    </row>
    <row r="491" spans="2:21" x14ac:dyDescent="0.25">
      <c r="B491" s="292">
        <v>20</v>
      </c>
      <c r="C491" s="292"/>
      <c r="D491" s="292"/>
      <c r="F491" s="283" t="s">
        <v>322</v>
      </c>
      <c r="G491" s="283"/>
      <c r="J491" s="293">
        <v>1</v>
      </c>
      <c r="K491" s="293"/>
      <c r="L491" s="293"/>
      <c r="M491" s="293"/>
      <c r="N491" s="293"/>
      <c r="P491" s="42">
        <v>1180</v>
      </c>
      <c r="R491" s="42">
        <v>180</v>
      </c>
      <c r="T491" s="284">
        <v>1000</v>
      </c>
      <c r="U491" s="284"/>
    </row>
    <row r="492" spans="2:21" x14ac:dyDescent="0.25">
      <c r="B492" s="292">
        <v>21</v>
      </c>
      <c r="C492" s="292"/>
      <c r="D492" s="292"/>
      <c r="F492" s="283" t="s">
        <v>152</v>
      </c>
      <c r="G492" s="283"/>
      <c r="J492" s="293">
        <v>3</v>
      </c>
      <c r="K492" s="293"/>
      <c r="L492" s="293"/>
      <c r="M492" s="293"/>
      <c r="N492" s="293"/>
      <c r="P492" s="42">
        <v>1770</v>
      </c>
      <c r="R492" s="42">
        <v>540</v>
      </c>
      <c r="T492" s="284">
        <v>1230</v>
      </c>
      <c r="U492" s="284"/>
    </row>
    <row r="493" spans="2:21" x14ac:dyDescent="0.25">
      <c r="B493" s="292">
        <v>22</v>
      </c>
      <c r="C493" s="292"/>
      <c r="D493" s="292"/>
      <c r="F493" s="283" t="s">
        <v>151</v>
      </c>
      <c r="G493" s="283"/>
      <c r="J493" s="293">
        <v>2</v>
      </c>
      <c r="K493" s="293"/>
      <c r="L493" s="293"/>
      <c r="M493" s="293"/>
      <c r="N493" s="293"/>
      <c r="P493" s="42">
        <v>460</v>
      </c>
      <c r="R493" s="42">
        <v>140</v>
      </c>
      <c r="T493" s="284">
        <v>320</v>
      </c>
      <c r="U493" s="284"/>
    </row>
    <row r="494" spans="2:21" x14ac:dyDescent="0.25">
      <c r="B494" s="292">
        <v>23</v>
      </c>
      <c r="C494" s="292"/>
      <c r="D494" s="292"/>
      <c r="F494" s="283" t="s">
        <v>150</v>
      </c>
      <c r="G494" s="283"/>
      <c r="J494" s="293">
        <v>5</v>
      </c>
      <c r="K494" s="293"/>
      <c r="L494" s="293"/>
      <c r="M494" s="293"/>
      <c r="N494" s="293"/>
      <c r="P494" s="42">
        <v>850</v>
      </c>
      <c r="R494" s="42">
        <v>250</v>
      </c>
      <c r="T494" s="284">
        <v>600</v>
      </c>
      <c r="U494" s="284"/>
    </row>
    <row r="495" spans="2:21" x14ac:dyDescent="0.25">
      <c r="B495" s="292">
        <v>24</v>
      </c>
      <c r="C495" s="292"/>
      <c r="D495" s="292"/>
      <c r="F495" s="283" t="s">
        <v>149</v>
      </c>
      <c r="G495" s="283"/>
      <c r="J495" s="293">
        <v>1</v>
      </c>
      <c r="K495" s="293"/>
      <c r="L495" s="293"/>
      <c r="M495" s="293"/>
      <c r="N495" s="293"/>
      <c r="P495" s="42">
        <v>50</v>
      </c>
      <c r="R495" s="42">
        <v>10</v>
      </c>
      <c r="T495" s="284">
        <v>40</v>
      </c>
      <c r="U495" s="284"/>
    </row>
    <row r="496" spans="2:21" x14ac:dyDescent="0.25">
      <c r="B496" s="292">
        <v>25</v>
      </c>
      <c r="C496" s="292"/>
      <c r="D496" s="292"/>
      <c r="F496" s="283" t="s">
        <v>288</v>
      </c>
      <c r="G496" s="283"/>
      <c r="J496" s="293">
        <v>1</v>
      </c>
      <c r="K496" s="293"/>
      <c r="L496" s="293"/>
      <c r="M496" s="293"/>
      <c r="N496" s="293"/>
      <c r="P496" s="42">
        <v>800</v>
      </c>
      <c r="R496" s="42">
        <v>450</v>
      </c>
      <c r="T496" s="284">
        <v>350</v>
      </c>
      <c r="U496" s="284"/>
    </row>
    <row r="497" spans="2:21" x14ac:dyDescent="0.25">
      <c r="B497" s="292">
        <v>26</v>
      </c>
      <c r="C497" s="292"/>
      <c r="D497" s="292"/>
      <c r="F497" s="283" t="s">
        <v>286</v>
      </c>
      <c r="G497" s="283"/>
      <c r="J497" s="293">
        <v>1</v>
      </c>
      <c r="K497" s="293"/>
      <c r="L497" s="293"/>
      <c r="M497" s="293"/>
      <c r="N497" s="293"/>
      <c r="P497" s="42">
        <v>800</v>
      </c>
      <c r="R497" s="42">
        <v>450</v>
      </c>
      <c r="T497" s="284">
        <v>350</v>
      </c>
      <c r="U497" s="284"/>
    </row>
    <row r="498" spans="2:21" x14ac:dyDescent="0.25">
      <c r="B498" s="292">
        <v>27</v>
      </c>
      <c r="C498" s="292"/>
      <c r="D498" s="292"/>
      <c r="F498" s="283" t="s">
        <v>75</v>
      </c>
      <c r="G498" s="283"/>
      <c r="J498" s="293">
        <v>545</v>
      </c>
      <c r="K498" s="293"/>
      <c r="L498" s="293"/>
      <c r="M498" s="293"/>
      <c r="N498" s="293"/>
      <c r="P498" s="42">
        <v>1362500</v>
      </c>
      <c r="R498" s="42">
        <v>1362500</v>
      </c>
      <c r="T498" s="284">
        <v>0</v>
      </c>
      <c r="U498" s="284"/>
    </row>
    <row r="499" spans="2:21" x14ac:dyDescent="0.25">
      <c r="B499" s="292">
        <v>28</v>
      </c>
      <c r="C499" s="292"/>
      <c r="D499" s="292"/>
      <c r="F499" s="283" t="s">
        <v>139</v>
      </c>
      <c r="G499" s="283"/>
      <c r="J499" s="293">
        <v>7</v>
      </c>
      <c r="K499" s="293"/>
      <c r="L499" s="293"/>
      <c r="M499" s="293"/>
      <c r="N499" s="293"/>
      <c r="P499" s="42">
        <v>1890</v>
      </c>
      <c r="R499" s="42">
        <v>400</v>
      </c>
      <c r="T499" s="284">
        <v>1490</v>
      </c>
      <c r="U499" s="284"/>
    </row>
    <row r="500" spans="2:21" x14ac:dyDescent="0.25">
      <c r="B500" s="292">
        <v>29</v>
      </c>
      <c r="C500" s="292"/>
      <c r="D500" s="292"/>
      <c r="F500" s="283" t="s">
        <v>136</v>
      </c>
      <c r="G500" s="283"/>
      <c r="J500" s="293">
        <v>3</v>
      </c>
      <c r="K500" s="293"/>
      <c r="L500" s="293"/>
      <c r="M500" s="293"/>
      <c r="N500" s="293"/>
      <c r="P500" s="42">
        <v>2550</v>
      </c>
      <c r="R500" s="42">
        <v>780</v>
      </c>
      <c r="T500" s="284">
        <v>1770</v>
      </c>
      <c r="U500" s="284"/>
    </row>
    <row r="501" spans="2:21" x14ac:dyDescent="0.25">
      <c r="B501" s="292">
        <v>30</v>
      </c>
      <c r="C501" s="292"/>
      <c r="D501" s="292"/>
      <c r="F501" s="283" t="s">
        <v>74</v>
      </c>
      <c r="G501" s="283"/>
      <c r="J501" s="293">
        <v>5</v>
      </c>
      <c r="K501" s="293"/>
      <c r="L501" s="293"/>
      <c r="M501" s="293"/>
      <c r="N501" s="293"/>
      <c r="P501" s="42">
        <v>4250</v>
      </c>
      <c r="R501" s="42">
        <v>4250</v>
      </c>
      <c r="T501" s="284">
        <v>0</v>
      </c>
      <c r="U501" s="284"/>
    </row>
    <row r="502" spans="2:21" x14ac:dyDescent="0.25">
      <c r="B502" s="292">
        <v>31</v>
      </c>
      <c r="C502" s="292"/>
      <c r="D502" s="292"/>
      <c r="F502" s="283" t="s">
        <v>190</v>
      </c>
      <c r="G502" s="283"/>
      <c r="J502" s="293">
        <v>2</v>
      </c>
      <c r="K502" s="293"/>
      <c r="L502" s="293"/>
      <c r="M502" s="293"/>
      <c r="N502" s="293"/>
      <c r="P502" s="42">
        <v>3140</v>
      </c>
      <c r="R502" s="42">
        <v>480</v>
      </c>
      <c r="T502" s="284">
        <v>2660</v>
      </c>
      <c r="U502" s="284"/>
    </row>
    <row r="503" spans="2:21" x14ac:dyDescent="0.25">
      <c r="B503" s="292">
        <v>32</v>
      </c>
      <c r="C503" s="292"/>
      <c r="D503" s="292"/>
      <c r="F503" s="283" t="s">
        <v>230</v>
      </c>
      <c r="G503" s="283"/>
      <c r="J503" s="293">
        <v>2</v>
      </c>
      <c r="K503" s="293"/>
      <c r="L503" s="293"/>
      <c r="M503" s="293"/>
      <c r="N503" s="293"/>
      <c r="P503" s="42">
        <v>1900</v>
      </c>
      <c r="R503" s="42">
        <v>0</v>
      </c>
      <c r="T503" s="284">
        <v>1900</v>
      </c>
      <c r="U503" s="284"/>
    </row>
    <row r="504" spans="2:21" x14ac:dyDescent="0.25">
      <c r="B504" s="292">
        <v>33</v>
      </c>
      <c r="C504" s="292"/>
      <c r="D504" s="292"/>
      <c r="F504" s="283" t="s">
        <v>135</v>
      </c>
      <c r="G504" s="283"/>
      <c r="J504" s="293">
        <v>2</v>
      </c>
      <c r="K504" s="293"/>
      <c r="L504" s="293"/>
      <c r="M504" s="293"/>
      <c r="N504" s="293"/>
      <c r="P504" s="42">
        <v>1900</v>
      </c>
      <c r="R504" s="42">
        <v>560</v>
      </c>
      <c r="T504" s="284">
        <v>1340</v>
      </c>
      <c r="U504" s="284"/>
    </row>
    <row r="505" spans="2:21" x14ac:dyDescent="0.25">
      <c r="B505" s="292">
        <v>34</v>
      </c>
      <c r="C505" s="292"/>
      <c r="D505" s="292"/>
      <c r="F505" s="283" t="s">
        <v>132</v>
      </c>
      <c r="G505" s="283"/>
      <c r="J505" s="293">
        <v>5</v>
      </c>
      <c r="K505" s="293"/>
      <c r="L505" s="293"/>
      <c r="M505" s="293"/>
      <c r="N505" s="293"/>
      <c r="P505" s="42">
        <v>6200</v>
      </c>
      <c r="R505" s="42">
        <v>1110</v>
      </c>
      <c r="T505" s="284">
        <v>5090</v>
      </c>
      <c r="U505" s="284"/>
    </row>
    <row r="506" spans="2:21" x14ac:dyDescent="0.25">
      <c r="B506" s="292">
        <v>35</v>
      </c>
      <c r="C506" s="292"/>
      <c r="D506" s="292"/>
      <c r="F506" s="283" t="s">
        <v>130</v>
      </c>
      <c r="G506" s="283"/>
      <c r="J506" s="293">
        <v>4</v>
      </c>
      <c r="K506" s="293"/>
      <c r="L506" s="293"/>
      <c r="M506" s="293"/>
      <c r="N506" s="293"/>
      <c r="P506" s="42">
        <v>32000</v>
      </c>
      <c r="R506" s="42">
        <v>16400</v>
      </c>
      <c r="T506" s="284">
        <v>15600</v>
      </c>
      <c r="U506" s="284"/>
    </row>
    <row r="507" spans="2:21" x14ac:dyDescent="0.25">
      <c r="B507" s="292">
        <v>36</v>
      </c>
      <c r="C507" s="292"/>
      <c r="D507" s="292"/>
      <c r="F507" s="283" t="s">
        <v>127</v>
      </c>
      <c r="G507" s="283"/>
      <c r="J507" s="293">
        <v>38</v>
      </c>
      <c r="K507" s="293"/>
      <c r="L507" s="293"/>
      <c r="M507" s="293"/>
      <c r="N507" s="293"/>
      <c r="P507" s="42">
        <v>11400</v>
      </c>
      <c r="R507" s="42">
        <v>4978</v>
      </c>
      <c r="T507" s="284">
        <v>6422</v>
      </c>
      <c r="U507" s="284"/>
    </row>
    <row r="508" spans="2:21" x14ac:dyDescent="0.25">
      <c r="B508" s="292">
        <v>37</v>
      </c>
      <c r="C508" s="292"/>
      <c r="D508" s="292"/>
      <c r="F508" s="283" t="s">
        <v>126</v>
      </c>
      <c r="G508" s="283"/>
      <c r="J508" s="293">
        <v>68</v>
      </c>
      <c r="K508" s="293"/>
      <c r="L508" s="293"/>
      <c r="M508" s="293"/>
      <c r="N508" s="293"/>
      <c r="P508" s="42">
        <v>13600</v>
      </c>
      <c r="R508" s="42">
        <v>5106</v>
      </c>
      <c r="T508" s="284">
        <v>8494</v>
      </c>
      <c r="U508" s="284"/>
    </row>
    <row r="509" spans="2:21" x14ac:dyDescent="0.25">
      <c r="B509" s="292">
        <v>38</v>
      </c>
      <c r="C509" s="292"/>
      <c r="D509" s="292"/>
      <c r="F509" s="283" t="s">
        <v>123</v>
      </c>
      <c r="G509" s="283"/>
      <c r="J509" s="293">
        <v>25</v>
      </c>
      <c r="K509" s="293"/>
      <c r="L509" s="293"/>
      <c r="M509" s="293"/>
      <c r="N509" s="293"/>
      <c r="P509" s="42">
        <v>19500</v>
      </c>
      <c r="R509" s="42">
        <v>5290</v>
      </c>
      <c r="T509" s="284">
        <v>14210</v>
      </c>
      <c r="U509" s="284"/>
    </row>
    <row r="510" spans="2:21" x14ac:dyDescent="0.25">
      <c r="B510" s="292">
        <v>39</v>
      </c>
      <c r="C510" s="292"/>
      <c r="D510" s="292"/>
      <c r="F510" s="283" t="s">
        <v>122</v>
      </c>
      <c r="G510" s="283"/>
      <c r="J510" s="293">
        <v>2</v>
      </c>
      <c r="K510" s="293"/>
      <c r="L510" s="293"/>
      <c r="M510" s="293"/>
      <c r="N510" s="293"/>
      <c r="P510" s="42">
        <v>1000</v>
      </c>
      <c r="R510" s="42">
        <v>300</v>
      </c>
      <c r="T510" s="284">
        <v>700</v>
      </c>
      <c r="U510" s="284"/>
    </row>
    <row r="511" spans="2:21" x14ac:dyDescent="0.25">
      <c r="B511" s="292">
        <v>40</v>
      </c>
      <c r="C511" s="292"/>
      <c r="D511" s="292"/>
      <c r="F511" s="283" t="s">
        <v>121</v>
      </c>
      <c r="G511" s="283"/>
      <c r="J511" s="293">
        <v>1</v>
      </c>
      <c r="K511" s="293"/>
      <c r="L511" s="293"/>
      <c r="M511" s="293"/>
      <c r="N511" s="293"/>
      <c r="P511" s="42">
        <v>500</v>
      </c>
      <c r="R511" s="42">
        <v>150</v>
      </c>
      <c r="T511" s="284">
        <v>350</v>
      </c>
      <c r="U511" s="284"/>
    </row>
    <row r="512" spans="2:21" x14ac:dyDescent="0.25">
      <c r="B512" s="292">
        <v>41</v>
      </c>
      <c r="C512" s="292"/>
      <c r="D512" s="292"/>
      <c r="F512" s="283" t="s">
        <v>119</v>
      </c>
      <c r="G512" s="283"/>
      <c r="J512" s="293">
        <v>7</v>
      </c>
      <c r="K512" s="293"/>
      <c r="L512" s="293"/>
      <c r="M512" s="293"/>
      <c r="N512" s="293"/>
      <c r="P512" s="42">
        <v>6230</v>
      </c>
      <c r="R512" s="42">
        <v>2010</v>
      </c>
      <c r="T512" s="284">
        <v>4220</v>
      </c>
      <c r="U512" s="284"/>
    </row>
    <row r="513" spans="2:21" x14ac:dyDescent="0.25">
      <c r="B513" s="292">
        <v>42</v>
      </c>
      <c r="C513" s="292"/>
      <c r="D513" s="292"/>
      <c r="F513" s="283" t="s">
        <v>118</v>
      </c>
      <c r="G513" s="283"/>
      <c r="J513" s="293">
        <v>498</v>
      </c>
      <c r="K513" s="293"/>
      <c r="L513" s="293"/>
      <c r="M513" s="293"/>
      <c r="N513" s="293"/>
      <c r="P513" s="42">
        <v>493020</v>
      </c>
      <c r="R513" s="42">
        <v>249625</v>
      </c>
      <c r="T513" s="284">
        <v>243395</v>
      </c>
      <c r="U513" s="284"/>
    </row>
    <row r="514" spans="2:21" x14ac:dyDescent="0.25">
      <c r="B514" s="292">
        <v>43</v>
      </c>
      <c r="C514" s="292"/>
      <c r="D514" s="292"/>
      <c r="F514" s="283" t="s">
        <v>117</v>
      </c>
      <c r="G514" s="283"/>
      <c r="J514" s="293">
        <v>4</v>
      </c>
      <c r="K514" s="293"/>
      <c r="L514" s="293"/>
      <c r="M514" s="293"/>
      <c r="N514" s="293"/>
      <c r="P514" s="42">
        <v>3200</v>
      </c>
      <c r="R514" s="42">
        <v>800</v>
      </c>
      <c r="T514" s="284">
        <v>2400</v>
      </c>
      <c r="U514" s="284"/>
    </row>
    <row r="515" spans="2:21" x14ac:dyDescent="0.25">
      <c r="B515" s="292">
        <v>44</v>
      </c>
      <c r="C515" s="292"/>
      <c r="D515" s="292"/>
      <c r="F515" s="283" t="s">
        <v>115</v>
      </c>
      <c r="G515" s="283"/>
      <c r="J515" s="293">
        <v>20</v>
      </c>
      <c r="K515" s="293"/>
      <c r="L515" s="293"/>
      <c r="M515" s="293"/>
      <c r="N515" s="293"/>
      <c r="P515" s="42">
        <v>5800</v>
      </c>
      <c r="R515" s="42">
        <v>1650</v>
      </c>
      <c r="T515" s="284">
        <v>4150</v>
      </c>
      <c r="U515" s="284"/>
    </row>
    <row r="516" spans="2:21" x14ac:dyDescent="0.25">
      <c r="B516" s="292">
        <v>45</v>
      </c>
      <c r="C516" s="292"/>
      <c r="D516" s="292"/>
      <c r="F516" s="283" t="s">
        <v>219</v>
      </c>
      <c r="G516" s="283"/>
      <c r="J516" s="293">
        <v>1</v>
      </c>
      <c r="K516" s="293"/>
      <c r="L516" s="293"/>
      <c r="M516" s="293"/>
      <c r="N516" s="293"/>
      <c r="P516" s="42">
        <v>500</v>
      </c>
      <c r="R516" s="42">
        <v>150</v>
      </c>
      <c r="T516" s="284">
        <v>350</v>
      </c>
      <c r="U516" s="284"/>
    </row>
    <row r="517" spans="2:21" x14ac:dyDescent="0.25">
      <c r="B517" s="292">
        <v>46</v>
      </c>
      <c r="C517" s="292"/>
      <c r="D517" s="292"/>
      <c r="F517" s="283" t="s">
        <v>111</v>
      </c>
      <c r="G517" s="283"/>
      <c r="J517" s="293">
        <v>1</v>
      </c>
      <c r="K517" s="293"/>
      <c r="L517" s="293"/>
      <c r="M517" s="293"/>
      <c r="N517" s="293"/>
      <c r="P517" s="42">
        <v>430</v>
      </c>
      <c r="R517" s="42">
        <v>130</v>
      </c>
      <c r="T517" s="284">
        <v>300</v>
      </c>
      <c r="U517" s="284"/>
    </row>
    <row r="518" spans="2:21" x14ac:dyDescent="0.25">
      <c r="B518" s="292">
        <v>47</v>
      </c>
      <c r="C518" s="292"/>
      <c r="D518" s="292"/>
      <c r="F518" s="283" t="s">
        <v>109</v>
      </c>
      <c r="G518" s="283"/>
      <c r="J518" s="293">
        <v>1</v>
      </c>
      <c r="K518" s="293"/>
      <c r="L518" s="293"/>
      <c r="M518" s="293"/>
      <c r="N518" s="293"/>
      <c r="P518" s="42">
        <v>780</v>
      </c>
      <c r="R518" s="42">
        <v>230</v>
      </c>
      <c r="T518" s="284">
        <v>550</v>
      </c>
      <c r="U518" s="284"/>
    </row>
    <row r="519" spans="2:21" x14ac:dyDescent="0.25">
      <c r="B519" s="292">
        <v>48</v>
      </c>
      <c r="C519" s="292"/>
      <c r="D519" s="292"/>
      <c r="F519" s="283" t="s">
        <v>108</v>
      </c>
      <c r="G519" s="283"/>
      <c r="J519" s="293">
        <v>33</v>
      </c>
      <c r="K519" s="293"/>
      <c r="L519" s="293"/>
      <c r="M519" s="293"/>
      <c r="N519" s="293"/>
      <c r="P519" s="42">
        <v>3300</v>
      </c>
      <c r="R519" s="42">
        <v>90</v>
      </c>
      <c r="T519" s="284">
        <v>3210</v>
      </c>
      <c r="U519" s="284"/>
    </row>
    <row r="520" spans="2:21" x14ac:dyDescent="0.25">
      <c r="B520" s="292">
        <v>49</v>
      </c>
      <c r="C520" s="292"/>
      <c r="D520" s="292"/>
      <c r="F520" s="283" t="s">
        <v>107</v>
      </c>
      <c r="G520" s="283"/>
      <c r="J520" s="293">
        <v>79</v>
      </c>
      <c r="K520" s="293"/>
      <c r="L520" s="293"/>
      <c r="M520" s="293"/>
      <c r="N520" s="293"/>
      <c r="P520" s="42">
        <v>13430</v>
      </c>
      <c r="R520" s="42">
        <v>4812</v>
      </c>
      <c r="T520" s="284">
        <v>8618</v>
      </c>
      <c r="U520" s="284"/>
    </row>
    <row r="521" spans="2:21" x14ac:dyDescent="0.25">
      <c r="B521" s="292">
        <v>50</v>
      </c>
      <c r="C521" s="292"/>
      <c r="D521" s="292"/>
      <c r="F521" s="283" t="s">
        <v>364</v>
      </c>
      <c r="G521" s="283"/>
      <c r="J521" s="293">
        <v>1</v>
      </c>
      <c r="K521" s="293"/>
      <c r="L521" s="293"/>
      <c r="M521" s="293"/>
      <c r="N521" s="293"/>
      <c r="P521" s="42">
        <v>500</v>
      </c>
      <c r="R521" s="42">
        <v>150</v>
      </c>
      <c r="T521" s="284">
        <v>350</v>
      </c>
      <c r="U521" s="284"/>
    </row>
    <row r="522" spans="2:21" x14ac:dyDescent="0.25">
      <c r="B522" s="292">
        <v>51</v>
      </c>
      <c r="C522" s="292"/>
      <c r="D522" s="292"/>
      <c r="F522" s="283" t="s">
        <v>103</v>
      </c>
      <c r="G522" s="283"/>
      <c r="J522" s="293">
        <v>5</v>
      </c>
      <c r="K522" s="293"/>
      <c r="L522" s="293"/>
      <c r="M522" s="293"/>
      <c r="N522" s="293"/>
      <c r="P522" s="42">
        <v>1650</v>
      </c>
      <c r="R522" s="42">
        <v>620</v>
      </c>
      <c r="T522" s="284">
        <v>1030</v>
      </c>
      <c r="U522" s="284"/>
    </row>
    <row r="523" spans="2:21" x14ac:dyDescent="0.25">
      <c r="B523" s="292">
        <v>52</v>
      </c>
      <c r="C523" s="292"/>
      <c r="D523" s="292"/>
      <c r="F523" s="283" t="s">
        <v>276</v>
      </c>
      <c r="G523" s="283"/>
      <c r="J523" s="293">
        <v>1</v>
      </c>
      <c r="K523" s="293"/>
      <c r="L523" s="293"/>
      <c r="M523" s="293"/>
      <c r="N523" s="293"/>
      <c r="P523" s="42">
        <v>500</v>
      </c>
      <c r="R523" s="42">
        <v>150</v>
      </c>
      <c r="T523" s="284">
        <v>350</v>
      </c>
      <c r="U523" s="284"/>
    </row>
    <row r="524" spans="2:21" x14ac:dyDescent="0.25">
      <c r="B524" s="292">
        <v>53</v>
      </c>
      <c r="C524" s="292"/>
      <c r="D524" s="292"/>
      <c r="F524" s="283" t="s">
        <v>100</v>
      </c>
      <c r="G524" s="283"/>
      <c r="J524" s="293">
        <v>1</v>
      </c>
      <c r="K524" s="293"/>
      <c r="L524" s="293"/>
      <c r="M524" s="293"/>
      <c r="N524" s="293"/>
      <c r="P524" s="42">
        <v>180</v>
      </c>
      <c r="R524" s="42">
        <v>50</v>
      </c>
      <c r="T524" s="284">
        <v>130</v>
      </c>
      <c r="U524" s="284"/>
    </row>
    <row r="525" spans="2:21" x14ac:dyDescent="0.25">
      <c r="B525" s="292">
        <v>54</v>
      </c>
      <c r="C525" s="292"/>
      <c r="D525" s="292"/>
      <c r="F525" s="283" t="s">
        <v>274</v>
      </c>
      <c r="G525" s="283"/>
      <c r="J525" s="293">
        <v>1</v>
      </c>
      <c r="K525" s="293"/>
      <c r="L525" s="293"/>
      <c r="M525" s="293"/>
      <c r="N525" s="293"/>
      <c r="P525" s="42">
        <v>180</v>
      </c>
      <c r="R525" s="42">
        <v>50</v>
      </c>
      <c r="T525" s="284">
        <v>130</v>
      </c>
      <c r="U525" s="284"/>
    </row>
    <row r="526" spans="2:21" x14ac:dyDescent="0.25">
      <c r="B526" s="292">
        <v>55</v>
      </c>
      <c r="C526" s="292"/>
      <c r="D526" s="292"/>
      <c r="F526" s="283" t="s">
        <v>97</v>
      </c>
      <c r="G526" s="283"/>
      <c r="J526" s="293">
        <v>7</v>
      </c>
      <c r="K526" s="293"/>
      <c r="L526" s="293"/>
      <c r="M526" s="293"/>
      <c r="N526" s="293"/>
      <c r="P526" s="42">
        <v>11130</v>
      </c>
      <c r="R526" s="42">
        <v>1680</v>
      </c>
      <c r="T526" s="284">
        <v>9450</v>
      </c>
      <c r="U526" s="284"/>
    </row>
    <row r="527" spans="2:21" x14ac:dyDescent="0.25">
      <c r="B527" s="292">
        <v>56</v>
      </c>
      <c r="C527" s="292"/>
      <c r="D527" s="292"/>
      <c r="F527" s="283" t="s">
        <v>324</v>
      </c>
      <c r="G527" s="283"/>
      <c r="J527" s="293">
        <v>1</v>
      </c>
      <c r="K527" s="293"/>
      <c r="L527" s="293"/>
      <c r="M527" s="293"/>
      <c r="N527" s="293"/>
      <c r="P527" s="42">
        <v>350</v>
      </c>
      <c r="R527" s="42">
        <v>0</v>
      </c>
      <c r="T527" s="284">
        <v>350</v>
      </c>
      <c r="U527" s="284"/>
    </row>
    <row r="528" spans="2:21" x14ac:dyDescent="0.25">
      <c r="B528" s="292">
        <v>57</v>
      </c>
      <c r="C528" s="292"/>
      <c r="D528" s="292"/>
      <c r="F528" s="283" t="s">
        <v>93</v>
      </c>
      <c r="G528" s="283"/>
      <c r="J528" s="293">
        <v>4</v>
      </c>
      <c r="K528" s="293"/>
      <c r="L528" s="293"/>
      <c r="M528" s="293"/>
      <c r="N528" s="293"/>
      <c r="P528" s="42">
        <v>2360</v>
      </c>
      <c r="R528" s="42">
        <v>270</v>
      </c>
      <c r="T528" s="284">
        <v>2090</v>
      </c>
      <c r="U528" s="284"/>
    </row>
    <row r="529" spans="1:21" x14ac:dyDescent="0.25">
      <c r="B529" s="292">
        <v>58</v>
      </c>
      <c r="C529" s="292"/>
      <c r="D529" s="292"/>
      <c r="F529" s="283" t="s">
        <v>92</v>
      </c>
      <c r="G529" s="283"/>
      <c r="J529" s="293">
        <v>22</v>
      </c>
      <c r="K529" s="293"/>
      <c r="L529" s="293"/>
      <c r="M529" s="293"/>
      <c r="N529" s="293"/>
      <c r="P529" s="42">
        <v>12200</v>
      </c>
      <c r="R529" s="42">
        <v>3640</v>
      </c>
      <c r="T529" s="284">
        <v>8560</v>
      </c>
      <c r="U529" s="284"/>
    </row>
    <row r="530" spans="1:21" x14ac:dyDescent="0.25">
      <c r="B530" s="292">
        <v>59</v>
      </c>
      <c r="C530" s="292"/>
      <c r="D530" s="292"/>
      <c r="F530" s="283" t="s">
        <v>91</v>
      </c>
      <c r="G530" s="283"/>
      <c r="J530" s="293">
        <v>496</v>
      </c>
      <c r="K530" s="293"/>
      <c r="L530" s="293"/>
      <c r="M530" s="293"/>
      <c r="N530" s="293"/>
      <c r="P530" s="42">
        <v>124000</v>
      </c>
      <c r="R530" s="42">
        <v>62523</v>
      </c>
      <c r="T530" s="284">
        <v>61477</v>
      </c>
      <c r="U530" s="284"/>
    </row>
    <row r="531" spans="1:21" x14ac:dyDescent="0.25">
      <c r="B531" s="292">
        <v>60</v>
      </c>
      <c r="C531" s="292"/>
      <c r="D531" s="292"/>
      <c r="F531" s="283" t="s">
        <v>90</v>
      </c>
      <c r="G531" s="283"/>
      <c r="J531" s="293">
        <v>34</v>
      </c>
      <c r="K531" s="293"/>
      <c r="L531" s="293"/>
      <c r="M531" s="293"/>
      <c r="N531" s="293"/>
      <c r="P531" s="42">
        <v>9860</v>
      </c>
      <c r="R531" s="42">
        <v>2240</v>
      </c>
      <c r="T531" s="284">
        <v>7620</v>
      </c>
      <c r="U531" s="284"/>
    </row>
    <row r="532" spans="1:21" x14ac:dyDescent="0.25">
      <c r="B532" s="292">
        <v>61</v>
      </c>
      <c r="C532" s="292"/>
      <c r="D532" s="292"/>
      <c r="F532" s="283" t="s">
        <v>88</v>
      </c>
      <c r="G532" s="283"/>
      <c r="J532" s="293">
        <v>61</v>
      </c>
      <c r="K532" s="293"/>
      <c r="L532" s="293"/>
      <c r="M532" s="293"/>
      <c r="N532" s="293"/>
      <c r="P532" s="42">
        <v>10980</v>
      </c>
      <c r="R532" s="42">
        <v>3664</v>
      </c>
      <c r="T532" s="284">
        <v>7316</v>
      </c>
      <c r="U532" s="284"/>
    </row>
    <row r="533" spans="1:21" x14ac:dyDescent="0.25">
      <c r="B533" s="292">
        <v>62</v>
      </c>
      <c r="C533" s="292"/>
      <c r="D533" s="292"/>
      <c r="F533" s="283" t="s">
        <v>84</v>
      </c>
      <c r="G533" s="283"/>
      <c r="J533" s="293">
        <v>7</v>
      </c>
      <c r="K533" s="293"/>
      <c r="L533" s="293"/>
      <c r="M533" s="293"/>
      <c r="N533" s="293"/>
      <c r="P533" s="42">
        <v>4130</v>
      </c>
      <c r="R533" s="42">
        <v>900</v>
      </c>
      <c r="T533" s="284">
        <v>3230</v>
      </c>
      <c r="U533" s="284"/>
    </row>
    <row r="534" spans="1:21" s="40" customFormat="1" x14ac:dyDescent="0.25">
      <c r="A534" s="290" t="s">
        <v>457</v>
      </c>
      <c r="B534" s="290"/>
      <c r="C534" s="290"/>
      <c r="D534" s="290"/>
      <c r="E534" s="290"/>
      <c r="F534" s="290"/>
      <c r="G534" s="290"/>
      <c r="H534" s="290"/>
      <c r="I534" s="290"/>
      <c r="J534" s="290"/>
      <c r="K534" s="291">
        <v>5060</v>
      </c>
      <c r="L534" s="291"/>
      <c r="M534" s="291"/>
      <c r="N534" s="291"/>
      <c r="O534" s="291"/>
      <c r="P534" s="41">
        <v>3921380</v>
      </c>
      <c r="R534" s="41">
        <v>3120684</v>
      </c>
      <c r="T534" s="287">
        <v>800696</v>
      </c>
      <c r="U534" s="287"/>
    </row>
    <row r="535" spans="1:21" x14ac:dyDescent="0.25">
      <c r="B535" s="292">
        <v>1</v>
      </c>
      <c r="C535" s="292"/>
      <c r="D535" s="292"/>
      <c r="F535" s="283" t="s">
        <v>78</v>
      </c>
      <c r="G535" s="283"/>
      <c r="J535" s="293">
        <v>615</v>
      </c>
      <c r="K535" s="293"/>
      <c r="L535" s="293"/>
      <c r="M535" s="293"/>
      <c r="N535" s="293"/>
      <c r="P535" s="42">
        <v>178350</v>
      </c>
      <c r="R535" s="42">
        <v>178350</v>
      </c>
      <c r="T535" s="284">
        <v>0</v>
      </c>
      <c r="U535" s="284"/>
    </row>
    <row r="536" spans="1:21" x14ac:dyDescent="0.25">
      <c r="B536" s="292">
        <v>2</v>
      </c>
      <c r="C536" s="292"/>
      <c r="D536" s="292"/>
      <c r="F536" s="283" t="s">
        <v>167</v>
      </c>
      <c r="G536" s="283"/>
      <c r="J536" s="293">
        <v>1</v>
      </c>
      <c r="K536" s="293"/>
      <c r="L536" s="293"/>
      <c r="M536" s="293"/>
      <c r="N536" s="293"/>
      <c r="P536" s="42">
        <v>570</v>
      </c>
      <c r="R536" s="42">
        <v>170</v>
      </c>
      <c r="T536" s="284">
        <v>400</v>
      </c>
      <c r="U536" s="284"/>
    </row>
    <row r="537" spans="1:21" x14ac:dyDescent="0.25">
      <c r="B537" s="292">
        <v>3</v>
      </c>
      <c r="C537" s="292"/>
      <c r="D537" s="292"/>
      <c r="F537" s="283" t="s">
        <v>294</v>
      </c>
      <c r="G537" s="283"/>
      <c r="J537" s="293">
        <v>1</v>
      </c>
      <c r="K537" s="293"/>
      <c r="L537" s="293"/>
      <c r="M537" s="293"/>
      <c r="N537" s="293"/>
      <c r="P537" s="42">
        <v>500</v>
      </c>
      <c r="R537" s="42">
        <v>130</v>
      </c>
      <c r="T537" s="284">
        <v>370</v>
      </c>
      <c r="U537" s="284"/>
    </row>
    <row r="538" spans="1:21" x14ac:dyDescent="0.25">
      <c r="B538" s="292">
        <v>4</v>
      </c>
      <c r="C538" s="292"/>
      <c r="D538" s="292"/>
      <c r="F538" s="283" t="s">
        <v>329</v>
      </c>
      <c r="G538" s="283"/>
      <c r="J538" s="293">
        <v>1</v>
      </c>
      <c r="K538" s="293"/>
      <c r="L538" s="293"/>
      <c r="M538" s="293"/>
      <c r="N538" s="293"/>
      <c r="P538" s="42">
        <v>1200</v>
      </c>
      <c r="R538" s="42">
        <v>180</v>
      </c>
      <c r="T538" s="284">
        <v>1020</v>
      </c>
      <c r="U538" s="284"/>
    </row>
    <row r="539" spans="1:21" x14ac:dyDescent="0.25">
      <c r="B539" s="292">
        <v>5</v>
      </c>
      <c r="C539" s="292"/>
      <c r="D539" s="292"/>
      <c r="F539" s="283" t="s">
        <v>248</v>
      </c>
      <c r="G539" s="283"/>
      <c r="J539" s="293">
        <v>1</v>
      </c>
      <c r="K539" s="293"/>
      <c r="L539" s="293"/>
      <c r="M539" s="293"/>
      <c r="N539" s="293"/>
      <c r="P539" s="42">
        <v>1200</v>
      </c>
      <c r="R539" s="42">
        <v>180</v>
      </c>
      <c r="T539" s="284">
        <v>1020</v>
      </c>
      <c r="U539" s="284"/>
    </row>
    <row r="540" spans="1:21" x14ac:dyDescent="0.25">
      <c r="B540" s="292">
        <v>6</v>
      </c>
      <c r="C540" s="292"/>
      <c r="D540" s="292"/>
      <c r="F540" s="283" t="s">
        <v>164</v>
      </c>
      <c r="G540" s="283"/>
      <c r="J540" s="293">
        <v>1</v>
      </c>
      <c r="K540" s="293"/>
      <c r="L540" s="293"/>
      <c r="M540" s="293"/>
      <c r="N540" s="293"/>
      <c r="P540" s="42">
        <v>590</v>
      </c>
      <c r="R540" s="42">
        <v>180</v>
      </c>
      <c r="T540" s="284">
        <v>410</v>
      </c>
      <c r="U540" s="284"/>
    </row>
    <row r="541" spans="1:21" x14ac:dyDescent="0.25">
      <c r="B541" s="292">
        <v>7</v>
      </c>
      <c r="C541" s="292"/>
      <c r="D541" s="292"/>
      <c r="F541" s="283" t="s">
        <v>163</v>
      </c>
      <c r="G541" s="283"/>
      <c r="J541" s="293">
        <v>1</v>
      </c>
      <c r="K541" s="293"/>
      <c r="L541" s="293"/>
      <c r="M541" s="293"/>
      <c r="N541" s="293"/>
      <c r="P541" s="42">
        <v>1190</v>
      </c>
      <c r="R541" s="42">
        <v>180</v>
      </c>
      <c r="T541" s="284">
        <v>1010</v>
      </c>
      <c r="U541" s="284"/>
    </row>
    <row r="542" spans="1:21" x14ac:dyDescent="0.25">
      <c r="B542" s="292">
        <v>8</v>
      </c>
      <c r="C542" s="292"/>
      <c r="D542" s="292"/>
      <c r="F542" s="283" t="s">
        <v>162</v>
      </c>
      <c r="G542" s="283"/>
      <c r="J542" s="293">
        <v>25</v>
      </c>
      <c r="K542" s="293"/>
      <c r="L542" s="293"/>
      <c r="M542" s="293"/>
      <c r="N542" s="293"/>
      <c r="P542" s="42">
        <v>10750</v>
      </c>
      <c r="R542" s="42">
        <v>4654</v>
      </c>
      <c r="T542" s="284">
        <v>6096</v>
      </c>
      <c r="U542" s="284"/>
    </row>
    <row r="543" spans="1:21" x14ac:dyDescent="0.25">
      <c r="B543" s="292">
        <v>9</v>
      </c>
      <c r="C543" s="292"/>
      <c r="D543" s="292"/>
      <c r="F543" s="283" t="s">
        <v>160</v>
      </c>
      <c r="G543" s="283"/>
      <c r="J543" s="293">
        <v>12</v>
      </c>
      <c r="K543" s="293"/>
      <c r="L543" s="293"/>
      <c r="M543" s="293"/>
      <c r="N543" s="293"/>
      <c r="P543" s="42">
        <v>3480</v>
      </c>
      <c r="R543" s="42">
        <v>960</v>
      </c>
      <c r="T543" s="284">
        <v>2520</v>
      </c>
      <c r="U543" s="284"/>
    </row>
    <row r="544" spans="1:21" x14ac:dyDescent="0.25">
      <c r="B544" s="292">
        <v>10</v>
      </c>
      <c r="C544" s="292"/>
      <c r="D544" s="292"/>
      <c r="F544" s="283" t="s">
        <v>266</v>
      </c>
      <c r="G544" s="283"/>
      <c r="J544" s="293">
        <v>1</v>
      </c>
      <c r="K544" s="293"/>
      <c r="L544" s="293"/>
      <c r="M544" s="293"/>
      <c r="N544" s="293"/>
      <c r="P544" s="42">
        <v>1350</v>
      </c>
      <c r="R544" s="42">
        <v>400</v>
      </c>
      <c r="T544" s="284">
        <v>950</v>
      </c>
      <c r="U544" s="284"/>
    </row>
    <row r="545" spans="2:21" x14ac:dyDescent="0.25">
      <c r="B545" s="292">
        <v>11</v>
      </c>
      <c r="C545" s="292"/>
      <c r="D545" s="292"/>
      <c r="F545" s="283" t="s">
        <v>158</v>
      </c>
      <c r="G545" s="283"/>
      <c r="J545" s="293">
        <v>820</v>
      </c>
      <c r="K545" s="293"/>
      <c r="L545" s="293"/>
      <c r="M545" s="293"/>
      <c r="N545" s="293"/>
      <c r="P545" s="42">
        <v>451000</v>
      </c>
      <c r="R545" s="42">
        <v>162630</v>
      </c>
      <c r="T545" s="284">
        <v>288370</v>
      </c>
      <c r="U545" s="284"/>
    </row>
    <row r="546" spans="2:21" x14ac:dyDescent="0.25">
      <c r="B546" s="292">
        <v>12</v>
      </c>
      <c r="C546" s="292"/>
      <c r="D546" s="292"/>
      <c r="F546" s="283" t="s">
        <v>157</v>
      </c>
      <c r="G546" s="283"/>
      <c r="J546" s="293">
        <v>41</v>
      </c>
      <c r="K546" s="293"/>
      <c r="L546" s="293"/>
      <c r="M546" s="293"/>
      <c r="N546" s="293"/>
      <c r="P546" s="42">
        <v>20090</v>
      </c>
      <c r="R546" s="42">
        <v>8714</v>
      </c>
      <c r="T546" s="284">
        <v>11376</v>
      </c>
      <c r="U546" s="284"/>
    </row>
    <row r="547" spans="2:21" x14ac:dyDescent="0.25">
      <c r="B547" s="292">
        <v>13</v>
      </c>
      <c r="C547" s="292"/>
      <c r="D547" s="292"/>
      <c r="F547" s="283" t="s">
        <v>456</v>
      </c>
      <c r="G547" s="283"/>
      <c r="J547" s="293">
        <v>1</v>
      </c>
      <c r="K547" s="293"/>
      <c r="L547" s="293"/>
      <c r="M547" s="293"/>
      <c r="N547" s="293"/>
      <c r="P547" s="42">
        <v>1780</v>
      </c>
      <c r="R547" s="42">
        <v>0</v>
      </c>
      <c r="T547" s="284">
        <v>1780</v>
      </c>
      <c r="U547" s="284"/>
    </row>
    <row r="548" spans="2:21" x14ac:dyDescent="0.25">
      <c r="B548" s="292">
        <v>14</v>
      </c>
      <c r="C548" s="292"/>
      <c r="D548" s="292"/>
      <c r="F548" s="283" t="s">
        <v>196</v>
      </c>
      <c r="G548" s="283"/>
      <c r="J548" s="293">
        <v>2</v>
      </c>
      <c r="K548" s="293"/>
      <c r="L548" s="293"/>
      <c r="M548" s="293"/>
      <c r="N548" s="293"/>
      <c r="P548" s="42">
        <v>1400</v>
      </c>
      <c r="R548" s="42">
        <v>700</v>
      </c>
      <c r="T548" s="284">
        <v>700</v>
      </c>
      <c r="U548" s="284"/>
    </row>
    <row r="549" spans="2:21" x14ac:dyDescent="0.25">
      <c r="B549" s="292">
        <v>15</v>
      </c>
      <c r="C549" s="292"/>
      <c r="D549" s="292"/>
      <c r="F549" s="283" t="s">
        <v>77</v>
      </c>
      <c r="G549" s="283"/>
      <c r="J549" s="293">
        <v>1464</v>
      </c>
      <c r="K549" s="293"/>
      <c r="L549" s="293"/>
      <c r="M549" s="293"/>
      <c r="N549" s="293"/>
      <c r="P549" s="42">
        <v>595400</v>
      </c>
      <c r="R549" s="42">
        <v>595400</v>
      </c>
      <c r="T549" s="284">
        <v>0</v>
      </c>
      <c r="U549" s="284"/>
    </row>
    <row r="550" spans="2:21" x14ac:dyDescent="0.25">
      <c r="B550" s="292">
        <v>16</v>
      </c>
      <c r="C550" s="292"/>
      <c r="D550" s="292"/>
      <c r="F550" s="283" t="s">
        <v>343</v>
      </c>
      <c r="G550" s="283"/>
      <c r="J550" s="293">
        <v>6</v>
      </c>
      <c r="K550" s="293"/>
      <c r="L550" s="293"/>
      <c r="M550" s="293"/>
      <c r="N550" s="293"/>
      <c r="P550" s="42">
        <v>1260</v>
      </c>
      <c r="R550" s="42">
        <v>378</v>
      </c>
      <c r="T550" s="284">
        <v>882</v>
      </c>
      <c r="U550" s="284"/>
    </row>
    <row r="551" spans="2:21" x14ac:dyDescent="0.25">
      <c r="B551" s="292">
        <v>17</v>
      </c>
      <c r="C551" s="292"/>
      <c r="D551" s="292"/>
      <c r="F551" s="283" t="s">
        <v>76</v>
      </c>
      <c r="G551" s="283"/>
      <c r="J551" s="293">
        <v>1</v>
      </c>
      <c r="K551" s="293"/>
      <c r="L551" s="293"/>
      <c r="M551" s="293"/>
      <c r="N551" s="293"/>
      <c r="P551" s="42">
        <v>600</v>
      </c>
      <c r="R551" s="42">
        <v>600</v>
      </c>
      <c r="T551" s="284">
        <v>0</v>
      </c>
      <c r="U551" s="284"/>
    </row>
    <row r="552" spans="2:21" x14ac:dyDescent="0.25">
      <c r="B552" s="292">
        <v>18</v>
      </c>
      <c r="C552" s="292"/>
      <c r="D552" s="292"/>
      <c r="F552" s="283" t="s">
        <v>156</v>
      </c>
      <c r="G552" s="283"/>
      <c r="J552" s="293">
        <v>5</v>
      </c>
      <c r="K552" s="293"/>
      <c r="L552" s="293"/>
      <c r="M552" s="293"/>
      <c r="N552" s="293"/>
      <c r="P552" s="42">
        <v>950</v>
      </c>
      <c r="R552" s="42">
        <v>320</v>
      </c>
      <c r="T552" s="284">
        <v>630</v>
      </c>
      <c r="U552" s="284"/>
    </row>
    <row r="553" spans="2:21" x14ac:dyDescent="0.25">
      <c r="B553" s="292">
        <v>19</v>
      </c>
      <c r="C553" s="292"/>
      <c r="D553" s="292"/>
      <c r="F553" s="283" t="s">
        <v>155</v>
      </c>
      <c r="G553" s="283"/>
      <c r="J553" s="293">
        <v>230</v>
      </c>
      <c r="K553" s="293"/>
      <c r="L553" s="293"/>
      <c r="M553" s="293"/>
      <c r="N553" s="293"/>
      <c r="P553" s="42">
        <v>57500</v>
      </c>
      <c r="R553" s="42">
        <v>28477</v>
      </c>
      <c r="T553" s="284">
        <v>29023</v>
      </c>
      <c r="U553" s="284"/>
    </row>
    <row r="554" spans="2:21" x14ac:dyDescent="0.25">
      <c r="B554" s="292">
        <v>20</v>
      </c>
      <c r="C554" s="292"/>
      <c r="D554" s="292"/>
      <c r="F554" s="283" t="s">
        <v>154</v>
      </c>
      <c r="G554" s="283"/>
      <c r="J554" s="293">
        <v>167</v>
      </c>
      <c r="K554" s="293"/>
      <c r="L554" s="293"/>
      <c r="M554" s="293"/>
      <c r="N554" s="293"/>
      <c r="P554" s="42">
        <v>148630</v>
      </c>
      <c r="R554" s="42">
        <v>21710</v>
      </c>
      <c r="T554" s="284">
        <v>126920</v>
      </c>
      <c r="U554" s="284"/>
    </row>
    <row r="555" spans="2:21" x14ac:dyDescent="0.25">
      <c r="B555" s="292">
        <v>21</v>
      </c>
      <c r="C555" s="292"/>
      <c r="D555" s="292"/>
      <c r="F555" s="283" t="s">
        <v>322</v>
      </c>
      <c r="G555" s="283"/>
      <c r="J555" s="293">
        <v>2</v>
      </c>
      <c r="K555" s="293"/>
      <c r="L555" s="293"/>
      <c r="M555" s="293"/>
      <c r="N555" s="293"/>
      <c r="P555" s="42">
        <v>2360</v>
      </c>
      <c r="R555" s="42">
        <v>360</v>
      </c>
      <c r="T555" s="284">
        <v>2000</v>
      </c>
      <c r="U555" s="284"/>
    </row>
    <row r="556" spans="2:21" x14ac:dyDescent="0.25">
      <c r="B556" s="292">
        <v>22</v>
      </c>
      <c r="C556" s="292"/>
      <c r="D556" s="292"/>
      <c r="F556" s="283" t="s">
        <v>339</v>
      </c>
      <c r="G556" s="283"/>
      <c r="J556" s="293">
        <v>1</v>
      </c>
      <c r="K556" s="293"/>
      <c r="L556" s="293"/>
      <c r="M556" s="293"/>
      <c r="N556" s="293"/>
      <c r="P556" s="42">
        <v>350</v>
      </c>
      <c r="R556" s="42">
        <v>150</v>
      </c>
      <c r="T556" s="284">
        <v>200</v>
      </c>
      <c r="U556" s="284"/>
    </row>
    <row r="557" spans="2:21" x14ac:dyDescent="0.25">
      <c r="B557" s="292">
        <v>23</v>
      </c>
      <c r="C557" s="292"/>
      <c r="D557" s="292"/>
      <c r="F557" s="283" t="s">
        <v>289</v>
      </c>
      <c r="G557" s="283"/>
      <c r="J557" s="293">
        <v>2</v>
      </c>
      <c r="K557" s="293"/>
      <c r="L557" s="293"/>
      <c r="M557" s="293"/>
      <c r="N557" s="293"/>
      <c r="P557" s="42">
        <v>1000</v>
      </c>
      <c r="R557" s="42">
        <v>280</v>
      </c>
      <c r="T557" s="284">
        <v>720</v>
      </c>
      <c r="U557" s="284"/>
    </row>
    <row r="558" spans="2:21" x14ac:dyDescent="0.25">
      <c r="B558" s="292">
        <v>24</v>
      </c>
      <c r="C558" s="292"/>
      <c r="D558" s="292"/>
      <c r="F558" s="283" t="s">
        <v>320</v>
      </c>
      <c r="G558" s="283"/>
      <c r="J558" s="293">
        <v>1</v>
      </c>
      <c r="K558" s="293"/>
      <c r="L558" s="293"/>
      <c r="M558" s="293"/>
      <c r="N558" s="293"/>
      <c r="P558" s="42">
        <v>500</v>
      </c>
      <c r="R558" s="42">
        <v>150</v>
      </c>
      <c r="T558" s="284">
        <v>350</v>
      </c>
      <c r="U558" s="284"/>
    </row>
    <row r="559" spans="2:21" x14ac:dyDescent="0.25">
      <c r="B559" s="292">
        <v>25</v>
      </c>
      <c r="C559" s="292"/>
      <c r="D559" s="292"/>
      <c r="F559" s="283" t="s">
        <v>152</v>
      </c>
      <c r="G559" s="283"/>
      <c r="J559" s="293">
        <v>5</v>
      </c>
      <c r="K559" s="293"/>
      <c r="L559" s="293"/>
      <c r="M559" s="293"/>
      <c r="N559" s="293"/>
      <c r="P559" s="42">
        <v>2950</v>
      </c>
      <c r="R559" s="42">
        <v>930</v>
      </c>
      <c r="T559" s="284">
        <v>2020</v>
      </c>
      <c r="U559" s="284"/>
    </row>
    <row r="560" spans="2:21" x14ac:dyDescent="0.25">
      <c r="B560" s="292">
        <v>26</v>
      </c>
      <c r="C560" s="292"/>
      <c r="D560" s="292"/>
      <c r="F560" s="283" t="s">
        <v>151</v>
      </c>
      <c r="G560" s="283"/>
      <c r="J560" s="293">
        <v>5</v>
      </c>
      <c r="K560" s="293"/>
      <c r="L560" s="293"/>
      <c r="M560" s="293"/>
      <c r="N560" s="293"/>
      <c r="P560" s="42">
        <v>1150</v>
      </c>
      <c r="R560" s="42">
        <v>390</v>
      </c>
      <c r="T560" s="284">
        <v>760</v>
      </c>
      <c r="U560" s="284"/>
    </row>
    <row r="561" spans="2:21" x14ac:dyDescent="0.25">
      <c r="B561" s="292">
        <v>27</v>
      </c>
      <c r="C561" s="292"/>
      <c r="D561" s="292"/>
      <c r="F561" s="283" t="s">
        <v>337</v>
      </c>
      <c r="G561" s="283"/>
      <c r="J561" s="293">
        <v>1</v>
      </c>
      <c r="K561" s="293"/>
      <c r="L561" s="293"/>
      <c r="M561" s="293"/>
      <c r="N561" s="293"/>
      <c r="P561" s="42">
        <v>1380</v>
      </c>
      <c r="R561" s="42">
        <v>210</v>
      </c>
      <c r="T561" s="284">
        <v>1170</v>
      </c>
      <c r="U561" s="284"/>
    </row>
    <row r="562" spans="2:21" x14ac:dyDescent="0.25">
      <c r="B562" s="292">
        <v>28</v>
      </c>
      <c r="C562" s="292"/>
      <c r="D562" s="292"/>
      <c r="F562" s="283" t="s">
        <v>150</v>
      </c>
      <c r="G562" s="283"/>
      <c r="J562" s="293">
        <v>3</v>
      </c>
      <c r="K562" s="293"/>
      <c r="L562" s="293"/>
      <c r="M562" s="293"/>
      <c r="N562" s="293"/>
      <c r="P562" s="42">
        <v>510</v>
      </c>
      <c r="R562" s="42">
        <v>150</v>
      </c>
      <c r="T562" s="284">
        <v>360</v>
      </c>
      <c r="U562" s="284"/>
    </row>
    <row r="563" spans="2:21" x14ac:dyDescent="0.25">
      <c r="B563" s="292">
        <v>29</v>
      </c>
      <c r="C563" s="292"/>
      <c r="D563" s="292"/>
      <c r="F563" s="283" t="s">
        <v>237</v>
      </c>
      <c r="G563" s="283"/>
      <c r="J563" s="293">
        <v>1</v>
      </c>
      <c r="K563" s="293"/>
      <c r="L563" s="293"/>
      <c r="M563" s="293"/>
      <c r="N563" s="293"/>
      <c r="P563" s="42">
        <v>800</v>
      </c>
      <c r="R563" s="42">
        <v>200</v>
      </c>
      <c r="T563" s="284">
        <v>600</v>
      </c>
      <c r="U563" s="284"/>
    </row>
    <row r="564" spans="2:21" x14ac:dyDescent="0.25">
      <c r="B564" s="292">
        <v>30</v>
      </c>
      <c r="C564" s="292"/>
      <c r="D564" s="292"/>
      <c r="F564" s="283" t="s">
        <v>148</v>
      </c>
      <c r="G564" s="283"/>
      <c r="J564" s="293">
        <v>2</v>
      </c>
      <c r="K564" s="293"/>
      <c r="L564" s="293"/>
      <c r="M564" s="293"/>
      <c r="N564" s="293"/>
      <c r="P564" s="42">
        <v>1960</v>
      </c>
      <c r="R564" s="42">
        <v>300</v>
      </c>
      <c r="T564" s="284">
        <v>1660</v>
      </c>
      <c r="U564" s="284"/>
    </row>
    <row r="565" spans="2:21" x14ac:dyDescent="0.25">
      <c r="B565" s="292">
        <v>31</v>
      </c>
      <c r="C565" s="292"/>
      <c r="D565" s="292"/>
      <c r="F565" s="283" t="s">
        <v>235</v>
      </c>
      <c r="G565" s="283"/>
      <c r="J565" s="293">
        <v>3</v>
      </c>
      <c r="K565" s="293"/>
      <c r="L565" s="293"/>
      <c r="M565" s="293"/>
      <c r="N565" s="293"/>
      <c r="P565" s="42">
        <v>2850</v>
      </c>
      <c r="R565" s="42">
        <v>420</v>
      </c>
      <c r="T565" s="284">
        <v>2430</v>
      </c>
      <c r="U565" s="284"/>
    </row>
    <row r="566" spans="2:21" x14ac:dyDescent="0.25">
      <c r="B566" s="292">
        <v>32</v>
      </c>
      <c r="C566" s="292"/>
      <c r="D566" s="292"/>
      <c r="F566" s="283" t="s">
        <v>288</v>
      </c>
      <c r="G566" s="283"/>
      <c r="J566" s="293">
        <v>2</v>
      </c>
      <c r="K566" s="293"/>
      <c r="L566" s="293"/>
      <c r="M566" s="293"/>
      <c r="N566" s="293"/>
      <c r="P566" s="42">
        <v>1600</v>
      </c>
      <c r="R566" s="42">
        <v>900</v>
      </c>
      <c r="T566" s="284">
        <v>700</v>
      </c>
      <c r="U566" s="284"/>
    </row>
    <row r="567" spans="2:21" x14ac:dyDescent="0.25">
      <c r="B567" s="292">
        <v>33</v>
      </c>
      <c r="C567" s="292"/>
      <c r="D567" s="292"/>
      <c r="F567" s="283" t="s">
        <v>234</v>
      </c>
      <c r="G567" s="283"/>
      <c r="J567" s="293">
        <v>1</v>
      </c>
      <c r="K567" s="293"/>
      <c r="L567" s="293"/>
      <c r="M567" s="293"/>
      <c r="N567" s="293"/>
      <c r="P567" s="42">
        <v>800</v>
      </c>
      <c r="R567" s="42">
        <v>450</v>
      </c>
      <c r="T567" s="284">
        <v>350</v>
      </c>
      <c r="U567" s="284"/>
    </row>
    <row r="568" spans="2:21" x14ac:dyDescent="0.25">
      <c r="B568" s="292">
        <v>34</v>
      </c>
      <c r="C568" s="292"/>
      <c r="D568" s="292"/>
      <c r="F568" s="283" t="s">
        <v>193</v>
      </c>
      <c r="G568" s="283"/>
      <c r="J568" s="293">
        <v>1</v>
      </c>
      <c r="K568" s="293"/>
      <c r="L568" s="293"/>
      <c r="M568" s="293"/>
      <c r="N568" s="293"/>
      <c r="P568" s="42">
        <v>890</v>
      </c>
      <c r="R568" s="42">
        <v>130</v>
      </c>
      <c r="T568" s="284">
        <v>760</v>
      </c>
      <c r="U568" s="284"/>
    </row>
    <row r="569" spans="2:21" x14ac:dyDescent="0.25">
      <c r="B569" s="292">
        <v>35</v>
      </c>
      <c r="C569" s="292"/>
      <c r="D569" s="292"/>
      <c r="F569" s="283" t="s">
        <v>142</v>
      </c>
      <c r="G569" s="283"/>
      <c r="J569" s="293">
        <v>1</v>
      </c>
      <c r="K569" s="293"/>
      <c r="L569" s="293"/>
      <c r="M569" s="293"/>
      <c r="N569" s="293"/>
      <c r="P569" s="42">
        <v>350</v>
      </c>
      <c r="R569" s="42">
        <v>150</v>
      </c>
      <c r="T569" s="284">
        <v>200</v>
      </c>
      <c r="U569" s="284"/>
    </row>
    <row r="570" spans="2:21" x14ac:dyDescent="0.25">
      <c r="B570" s="292">
        <v>36</v>
      </c>
      <c r="C570" s="292"/>
      <c r="D570" s="292"/>
      <c r="F570" s="283" t="s">
        <v>75</v>
      </c>
      <c r="G570" s="283"/>
      <c r="J570" s="293">
        <v>757</v>
      </c>
      <c r="K570" s="293"/>
      <c r="L570" s="293"/>
      <c r="M570" s="293"/>
      <c r="N570" s="293"/>
      <c r="P570" s="42">
        <v>1892500</v>
      </c>
      <c r="R570" s="42">
        <v>1892500</v>
      </c>
      <c r="T570" s="284">
        <v>0</v>
      </c>
      <c r="U570" s="284"/>
    </row>
    <row r="571" spans="2:21" x14ac:dyDescent="0.25">
      <c r="B571" s="292">
        <v>37</v>
      </c>
      <c r="C571" s="292"/>
      <c r="D571" s="292"/>
      <c r="F571" s="283" t="s">
        <v>139</v>
      </c>
      <c r="G571" s="283"/>
      <c r="J571" s="293">
        <v>2</v>
      </c>
      <c r="K571" s="293"/>
      <c r="L571" s="293"/>
      <c r="M571" s="293"/>
      <c r="N571" s="293"/>
      <c r="P571" s="42">
        <v>540</v>
      </c>
      <c r="R571" s="42">
        <v>160</v>
      </c>
      <c r="T571" s="284">
        <v>380</v>
      </c>
      <c r="U571" s="284"/>
    </row>
    <row r="572" spans="2:21" x14ac:dyDescent="0.25">
      <c r="B572" s="292">
        <v>38</v>
      </c>
      <c r="C572" s="292"/>
      <c r="D572" s="292"/>
      <c r="F572" s="283" t="s">
        <v>138</v>
      </c>
      <c r="G572" s="283"/>
      <c r="J572" s="293">
        <v>1</v>
      </c>
      <c r="K572" s="293"/>
      <c r="L572" s="293"/>
      <c r="M572" s="293"/>
      <c r="N572" s="293"/>
      <c r="P572" s="42">
        <v>800</v>
      </c>
      <c r="R572" s="42">
        <v>450</v>
      </c>
      <c r="T572" s="284">
        <v>350</v>
      </c>
      <c r="U572" s="284"/>
    </row>
    <row r="573" spans="2:21" x14ac:dyDescent="0.25">
      <c r="B573" s="292">
        <v>39</v>
      </c>
      <c r="C573" s="292"/>
      <c r="D573" s="292"/>
      <c r="F573" s="283" t="s">
        <v>137</v>
      </c>
      <c r="G573" s="283"/>
      <c r="J573" s="293">
        <v>1</v>
      </c>
      <c r="K573" s="293"/>
      <c r="L573" s="293"/>
      <c r="M573" s="293"/>
      <c r="N573" s="293"/>
      <c r="P573" s="42">
        <v>800</v>
      </c>
      <c r="R573" s="42">
        <v>450</v>
      </c>
      <c r="T573" s="284">
        <v>350</v>
      </c>
      <c r="U573" s="284"/>
    </row>
    <row r="574" spans="2:21" x14ac:dyDescent="0.25">
      <c r="B574" s="292">
        <v>40</v>
      </c>
      <c r="C574" s="292"/>
      <c r="D574" s="292"/>
      <c r="F574" s="283" t="s">
        <v>136</v>
      </c>
      <c r="G574" s="283"/>
      <c r="J574" s="293">
        <v>10</v>
      </c>
      <c r="K574" s="293"/>
      <c r="L574" s="293"/>
      <c r="M574" s="293"/>
      <c r="N574" s="293"/>
      <c r="P574" s="42">
        <v>8500</v>
      </c>
      <c r="R574" s="42">
        <v>2210</v>
      </c>
      <c r="T574" s="284">
        <v>6290</v>
      </c>
      <c r="U574" s="284"/>
    </row>
    <row r="575" spans="2:21" x14ac:dyDescent="0.25">
      <c r="B575" s="292">
        <v>41</v>
      </c>
      <c r="C575" s="292"/>
      <c r="D575" s="292"/>
      <c r="F575" s="283" t="s">
        <v>74</v>
      </c>
      <c r="G575" s="283"/>
      <c r="J575" s="293">
        <v>3</v>
      </c>
      <c r="K575" s="293"/>
      <c r="L575" s="293"/>
      <c r="M575" s="293"/>
      <c r="N575" s="293"/>
      <c r="P575" s="42">
        <v>2550</v>
      </c>
      <c r="R575" s="42">
        <v>2550</v>
      </c>
      <c r="T575" s="284">
        <v>0</v>
      </c>
      <c r="U575" s="284"/>
    </row>
    <row r="576" spans="2:21" x14ac:dyDescent="0.25">
      <c r="B576" s="292">
        <v>42</v>
      </c>
      <c r="C576" s="292"/>
      <c r="D576" s="292"/>
      <c r="F576" s="283" t="s">
        <v>191</v>
      </c>
      <c r="G576" s="283"/>
      <c r="J576" s="293">
        <v>2</v>
      </c>
      <c r="K576" s="293"/>
      <c r="L576" s="293"/>
      <c r="M576" s="293"/>
      <c r="N576" s="293"/>
      <c r="P576" s="42">
        <v>700</v>
      </c>
      <c r="R576" s="42">
        <v>200</v>
      </c>
      <c r="T576" s="284">
        <v>500</v>
      </c>
      <c r="U576" s="284"/>
    </row>
    <row r="577" spans="2:21" x14ac:dyDescent="0.25">
      <c r="B577" s="292">
        <v>43</v>
      </c>
      <c r="C577" s="292"/>
      <c r="D577" s="292"/>
      <c r="F577" s="283" t="s">
        <v>190</v>
      </c>
      <c r="G577" s="283"/>
      <c r="J577" s="293">
        <v>3</v>
      </c>
      <c r="K577" s="293"/>
      <c r="L577" s="293"/>
      <c r="M577" s="293"/>
      <c r="N577" s="293"/>
      <c r="P577" s="42">
        <v>4710</v>
      </c>
      <c r="R577" s="42">
        <v>720</v>
      </c>
      <c r="T577" s="284">
        <v>3990</v>
      </c>
      <c r="U577" s="284"/>
    </row>
    <row r="578" spans="2:21" x14ac:dyDescent="0.25">
      <c r="B578" s="292">
        <v>44</v>
      </c>
      <c r="C578" s="292"/>
      <c r="D578" s="292"/>
      <c r="F578" s="283" t="s">
        <v>135</v>
      </c>
      <c r="G578" s="283"/>
      <c r="J578" s="293">
        <v>4</v>
      </c>
      <c r="K578" s="293"/>
      <c r="L578" s="293"/>
      <c r="M578" s="293"/>
      <c r="N578" s="293"/>
      <c r="P578" s="42">
        <v>3800</v>
      </c>
      <c r="R578" s="42">
        <v>1120</v>
      </c>
      <c r="T578" s="284">
        <v>2680</v>
      </c>
      <c r="U578" s="284"/>
    </row>
    <row r="579" spans="2:21" x14ac:dyDescent="0.25">
      <c r="B579" s="292">
        <v>45</v>
      </c>
      <c r="C579" s="292"/>
      <c r="D579" s="292"/>
      <c r="F579" s="283" t="s">
        <v>132</v>
      </c>
      <c r="G579" s="283"/>
      <c r="J579" s="293">
        <v>4</v>
      </c>
      <c r="K579" s="293"/>
      <c r="L579" s="293"/>
      <c r="M579" s="293"/>
      <c r="N579" s="293"/>
      <c r="P579" s="42">
        <v>4960</v>
      </c>
      <c r="R579" s="42">
        <v>1480</v>
      </c>
      <c r="T579" s="284">
        <v>3480</v>
      </c>
      <c r="U579" s="284"/>
    </row>
    <row r="580" spans="2:21" x14ac:dyDescent="0.25">
      <c r="B580" s="292">
        <v>46</v>
      </c>
      <c r="C580" s="292"/>
      <c r="D580" s="292"/>
      <c r="F580" s="283" t="s">
        <v>455</v>
      </c>
      <c r="G580" s="283"/>
      <c r="J580" s="293">
        <v>1</v>
      </c>
      <c r="K580" s="293"/>
      <c r="L580" s="293"/>
      <c r="M580" s="293"/>
      <c r="N580" s="293"/>
      <c r="P580" s="42">
        <v>9000</v>
      </c>
      <c r="R580" s="42">
        <v>4500</v>
      </c>
      <c r="T580" s="284">
        <v>4500</v>
      </c>
      <c r="U580" s="284"/>
    </row>
    <row r="581" spans="2:21" x14ac:dyDescent="0.25">
      <c r="B581" s="292">
        <v>47</v>
      </c>
      <c r="C581" s="292"/>
      <c r="D581" s="292"/>
      <c r="F581" s="283" t="s">
        <v>131</v>
      </c>
      <c r="G581" s="283"/>
      <c r="J581" s="293">
        <v>1</v>
      </c>
      <c r="K581" s="293"/>
      <c r="L581" s="293"/>
      <c r="M581" s="293"/>
      <c r="N581" s="293"/>
      <c r="P581" s="42">
        <v>3700</v>
      </c>
      <c r="R581" s="42">
        <v>0</v>
      </c>
      <c r="T581" s="284">
        <v>3700</v>
      </c>
      <c r="U581" s="284"/>
    </row>
    <row r="582" spans="2:21" x14ac:dyDescent="0.25">
      <c r="B582" s="292">
        <v>48</v>
      </c>
      <c r="C582" s="292"/>
      <c r="D582" s="292"/>
      <c r="F582" s="283" t="s">
        <v>130</v>
      </c>
      <c r="G582" s="283"/>
      <c r="J582" s="293">
        <v>4</v>
      </c>
      <c r="K582" s="293"/>
      <c r="L582" s="293"/>
      <c r="M582" s="293"/>
      <c r="N582" s="293"/>
      <c r="P582" s="42">
        <v>32000</v>
      </c>
      <c r="R582" s="42">
        <v>16400</v>
      </c>
      <c r="T582" s="284">
        <v>15600</v>
      </c>
      <c r="U582" s="284"/>
    </row>
    <row r="583" spans="2:21" x14ac:dyDescent="0.25">
      <c r="B583" s="292">
        <v>49</v>
      </c>
      <c r="C583" s="292"/>
      <c r="D583" s="292"/>
      <c r="F583" s="283" t="s">
        <v>127</v>
      </c>
      <c r="G583" s="283"/>
      <c r="J583" s="293">
        <v>24</v>
      </c>
      <c r="K583" s="293"/>
      <c r="L583" s="293"/>
      <c r="M583" s="293"/>
      <c r="N583" s="293"/>
      <c r="P583" s="42">
        <v>7200</v>
      </c>
      <c r="R583" s="42">
        <v>2911</v>
      </c>
      <c r="T583" s="284">
        <v>4289</v>
      </c>
      <c r="U583" s="284"/>
    </row>
    <row r="584" spans="2:21" x14ac:dyDescent="0.25">
      <c r="B584" s="292">
        <v>50</v>
      </c>
      <c r="C584" s="292"/>
      <c r="D584" s="292"/>
      <c r="F584" s="283" t="s">
        <v>126</v>
      </c>
      <c r="G584" s="283"/>
      <c r="J584" s="293">
        <v>51</v>
      </c>
      <c r="K584" s="293"/>
      <c r="L584" s="293"/>
      <c r="M584" s="293"/>
      <c r="N584" s="293"/>
      <c r="P584" s="42">
        <v>10200</v>
      </c>
      <c r="R584" s="42">
        <v>3555</v>
      </c>
      <c r="T584" s="284">
        <v>6645</v>
      </c>
      <c r="U584" s="284"/>
    </row>
    <row r="585" spans="2:21" x14ac:dyDescent="0.25">
      <c r="B585" s="292">
        <v>51</v>
      </c>
      <c r="C585" s="292"/>
      <c r="D585" s="292"/>
      <c r="F585" s="283" t="s">
        <v>124</v>
      </c>
      <c r="G585" s="283"/>
      <c r="J585" s="293">
        <v>10</v>
      </c>
      <c r="K585" s="293"/>
      <c r="L585" s="293"/>
      <c r="M585" s="293"/>
      <c r="N585" s="293"/>
      <c r="P585" s="42">
        <v>5900</v>
      </c>
      <c r="R585" s="42">
        <v>1750</v>
      </c>
      <c r="T585" s="284">
        <v>4150</v>
      </c>
      <c r="U585" s="284"/>
    </row>
    <row r="586" spans="2:21" x14ac:dyDescent="0.25">
      <c r="B586" s="292">
        <v>52</v>
      </c>
      <c r="C586" s="292"/>
      <c r="D586" s="292"/>
      <c r="F586" s="283" t="s">
        <v>123</v>
      </c>
      <c r="G586" s="283"/>
      <c r="J586" s="293">
        <v>22</v>
      </c>
      <c r="K586" s="293"/>
      <c r="L586" s="293"/>
      <c r="M586" s="293"/>
      <c r="N586" s="293"/>
      <c r="P586" s="42">
        <v>17160</v>
      </c>
      <c r="R586" s="42">
        <v>5060</v>
      </c>
      <c r="T586" s="284">
        <v>12100</v>
      </c>
      <c r="U586" s="284"/>
    </row>
    <row r="587" spans="2:21" x14ac:dyDescent="0.25">
      <c r="B587" s="292">
        <v>53</v>
      </c>
      <c r="C587" s="292"/>
      <c r="D587" s="292"/>
      <c r="F587" s="283" t="s">
        <v>183</v>
      </c>
      <c r="G587" s="283"/>
      <c r="J587" s="293">
        <v>2</v>
      </c>
      <c r="K587" s="293"/>
      <c r="L587" s="293"/>
      <c r="M587" s="293"/>
      <c r="N587" s="293"/>
      <c r="P587" s="42">
        <v>880</v>
      </c>
      <c r="R587" s="42">
        <v>260</v>
      </c>
      <c r="T587" s="284">
        <v>620</v>
      </c>
      <c r="U587" s="284"/>
    </row>
    <row r="588" spans="2:21" x14ac:dyDescent="0.25">
      <c r="B588" s="292">
        <v>54</v>
      </c>
      <c r="C588" s="292"/>
      <c r="D588" s="292"/>
      <c r="F588" s="283" t="s">
        <v>227</v>
      </c>
      <c r="G588" s="283"/>
      <c r="J588" s="293">
        <v>1</v>
      </c>
      <c r="K588" s="293"/>
      <c r="L588" s="293"/>
      <c r="M588" s="293"/>
      <c r="N588" s="293"/>
      <c r="P588" s="42">
        <v>500</v>
      </c>
      <c r="R588" s="42">
        <v>150</v>
      </c>
      <c r="T588" s="284">
        <v>350</v>
      </c>
      <c r="U588" s="284"/>
    </row>
    <row r="589" spans="2:21" x14ac:dyDescent="0.25">
      <c r="B589" s="292">
        <v>55</v>
      </c>
      <c r="C589" s="292"/>
      <c r="D589" s="292"/>
      <c r="F589" s="283" t="s">
        <v>122</v>
      </c>
      <c r="G589" s="283"/>
      <c r="J589" s="293">
        <v>4</v>
      </c>
      <c r="K589" s="293"/>
      <c r="L589" s="293"/>
      <c r="M589" s="293"/>
      <c r="N589" s="293"/>
      <c r="P589" s="42">
        <v>2000</v>
      </c>
      <c r="R589" s="42">
        <v>580</v>
      </c>
      <c r="T589" s="284">
        <v>1420</v>
      </c>
      <c r="U589" s="284"/>
    </row>
    <row r="590" spans="2:21" x14ac:dyDescent="0.25">
      <c r="B590" s="292">
        <v>56</v>
      </c>
      <c r="C590" s="292"/>
      <c r="D590" s="292"/>
      <c r="F590" s="283" t="s">
        <v>121</v>
      </c>
      <c r="G590" s="283"/>
      <c r="J590" s="293">
        <v>4</v>
      </c>
      <c r="K590" s="293"/>
      <c r="L590" s="293"/>
      <c r="M590" s="293"/>
      <c r="N590" s="293"/>
      <c r="P590" s="42">
        <v>2000</v>
      </c>
      <c r="R590" s="42">
        <v>600</v>
      </c>
      <c r="T590" s="284">
        <v>1400</v>
      </c>
      <c r="U590" s="284"/>
    </row>
    <row r="591" spans="2:21" x14ac:dyDescent="0.25">
      <c r="B591" s="292">
        <v>57</v>
      </c>
      <c r="C591" s="292"/>
      <c r="D591" s="292"/>
      <c r="F591" s="283" t="s">
        <v>381</v>
      </c>
      <c r="G591" s="283"/>
      <c r="J591" s="293">
        <v>1</v>
      </c>
      <c r="K591" s="293"/>
      <c r="L591" s="293"/>
      <c r="M591" s="293"/>
      <c r="N591" s="293"/>
      <c r="P591" s="42">
        <v>390</v>
      </c>
      <c r="R591" s="42">
        <v>120</v>
      </c>
      <c r="T591" s="284">
        <v>270</v>
      </c>
      <c r="U591" s="284"/>
    </row>
    <row r="592" spans="2:21" x14ac:dyDescent="0.25">
      <c r="B592" s="292">
        <v>58</v>
      </c>
      <c r="C592" s="292"/>
      <c r="D592" s="292"/>
      <c r="F592" s="283" t="s">
        <v>120</v>
      </c>
      <c r="G592" s="283"/>
      <c r="J592" s="293">
        <v>2</v>
      </c>
      <c r="K592" s="293"/>
      <c r="L592" s="293"/>
      <c r="M592" s="293"/>
      <c r="N592" s="293"/>
      <c r="P592" s="42">
        <v>700</v>
      </c>
      <c r="R592" s="42">
        <v>200</v>
      </c>
      <c r="T592" s="284">
        <v>500</v>
      </c>
      <c r="U592" s="284"/>
    </row>
    <row r="593" spans="2:21" x14ac:dyDescent="0.25">
      <c r="B593" s="292">
        <v>59</v>
      </c>
      <c r="C593" s="292"/>
      <c r="D593" s="292"/>
      <c r="F593" s="283" t="s">
        <v>182</v>
      </c>
      <c r="G593" s="283"/>
      <c r="J593" s="293">
        <v>1</v>
      </c>
      <c r="K593" s="293"/>
      <c r="L593" s="293"/>
      <c r="M593" s="293"/>
      <c r="N593" s="293"/>
      <c r="P593" s="42">
        <v>790</v>
      </c>
      <c r="R593" s="42">
        <v>120</v>
      </c>
      <c r="T593" s="284">
        <v>670</v>
      </c>
      <c r="U593" s="284"/>
    </row>
    <row r="594" spans="2:21" x14ac:dyDescent="0.25">
      <c r="B594" s="292">
        <v>60</v>
      </c>
      <c r="C594" s="292"/>
      <c r="D594" s="292"/>
      <c r="F594" s="283" t="s">
        <v>119</v>
      </c>
      <c r="G594" s="283"/>
      <c r="J594" s="293">
        <v>12</v>
      </c>
      <c r="K594" s="293"/>
      <c r="L594" s="293"/>
      <c r="M594" s="293"/>
      <c r="N594" s="293"/>
      <c r="P594" s="42">
        <v>10680</v>
      </c>
      <c r="R594" s="42">
        <v>3510</v>
      </c>
      <c r="T594" s="284">
        <v>7170</v>
      </c>
      <c r="U594" s="284"/>
    </row>
    <row r="595" spans="2:21" x14ac:dyDescent="0.25">
      <c r="B595" s="292">
        <v>61</v>
      </c>
      <c r="C595" s="292"/>
      <c r="D595" s="292"/>
      <c r="F595" s="283" t="s">
        <v>118</v>
      </c>
      <c r="G595" s="283"/>
      <c r="J595" s="293">
        <v>241</v>
      </c>
      <c r="K595" s="293"/>
      <c r="L595" s="293"/>
      <c r="M595" s="293"/>
      <c r="N595" s="293"/>
      <c r="P595" s="42">
        <v>238590</v>
      </c>
      <c r="R595" s="42">
        <v>116391</v>
      </c>
      <c r="T595" s="284">
        <v>122199</v>
      </c>
      <c r="U595" s="284"/>
    </row>
    <row r="596" spans="2:21" x14ac:dyDescent="0.25">
      <c r="B596" s="292">
        <v>62</v>
      </c>
      <c r="C596" s="292"/>
      <c r="D596" s="292"/>
      <c r="F596" s="283" t="s">
        <v>117</v>
      </c>
      <c r="G596" s="283"/>
      <c r="J596" s="293">
        <v>9</v>
      </c>
      <c r="K596" s="293"/>
      <c r="L596" s="293"/>
      <c r="M596" s="293"/>
      <c r="N596" s="293"/>
      <c r="P596" s="42">
        <v>7200</v>
      </c>
      <c r="R596" s="42">
        <v>1800</v>
      </c>
      <c r="T596" s="284">
        <v>5400</v>
      </c>
      <c r="U596" s="284"/>
    </row>
    <row r="597" spans="2:21" x14ac:dyDescent="0.25">
      <c r="B597" s="292">
        <v>63</v>
      </c>
      <c r="C597" s="292"/>
      <c r="D597" s="292"/>
      <c r="F597" s="283" t="s">
        <v>115</v>
      </c>
      <c r="G597" s="283"/>
      <c r="J597" s="293">
        <v>2</v>
      </c>
      <c r="K597" s="293"/>
      <c r="L597" s="293"/>
      <c r="M597" s="293"/>
      <c r="N597" s="293"/>
      <c r="P597" s="42">
        <v>580</v>
      </c>
      <c r="R597" s="42">
        <v>220</v>
      </c>
      <c r="T597" s="284">
        <v>360</v>
      </c>
      <c r="U597" s="284"/>
    </row>
    <row r="598" spans="2:21" x14ac:dyDescent="0.25">
      <c r="B598" s="292">
        <v>64</v>
      </c>
      <c r="C598" s="292"/>
      <c r="D598" s="292"/>
      <c r="F598" s="283" t="s">
        <v>300</v>
      </c>
      <c r="G598" s="283"/>
      <c r="J598" s="293">
        <v>1</v>
      </c>
      <c r="K598" s="293"/>
      <c r="L598" s="293"/>
      <c r="M598" s="293"/>
      <c r="N598" s="293"/>
      <c r="P598" s="42">
        <v>330</v>
      </c>
      <c r="R598" s="42">
        <v>140</v>
      </c>
      <c r="T598" s="284">
        <v>190</v>
      </c>
      <c r="U598" s="284"/>
    </row>
    <row r="599" spans="2:21" x14ac:dyDescent="0.25">
      <c r="B599" s="292">
        <v>65</v>
      </c>
      <c r="C599" s="292"/>
      <c r="D599" s="292"/>
      <c r="F599" s="283" t="s">
        <v>219</v>
      </c>
      <c r="G599" s="283"/>
      <c r="J599" s="293">
        <v>2</v>
      </c>
      <c r="K599" s="293"/>
      <c r="L599" s="293"/>
      <c r="M599" s="293"/>
      <c r="N599" s="293"/>
      <c r="P599" s="42">
        <v>1000</v>
      </c>
      <c r="R599" s="42">
        <v>130</v>
      </c>
      <c r="T599" s="284">
        <v>870</v>
      </c>
      <c r="U599" s="284"/>
    </row>
    <row r="600" spans="2:21" x14ac:dyDescent="0.25">
      <c r="B600" s="292">
        <v>66</v>
      </c>
      <c r="C600" s="292"/>
      <c r="D600" s="292"/>
      <c r="F600" s="283" t="s">
        <v>334</v>
      </c>
      <c r="G600" s="283"/>
      <c r="J600" s="293">
        <v>1</v>
      </c>
      <c r="K600" s="293"/>
      <c r="L600" s="293"/>
      <c r="M600" s="293"/>
      <c r="N600" s="293"/>
      <c r="P600" s="42">
        <v>790</v>
      </c>
      <c r="R600" s="42">
        <v>120</v>
      </c>
      <c r="T600" s="284">
        <v>670</v>
      </c>
      <c r="U600" s="284"/>
    </row>
    <row r="601" spans="2:21" x14ac:dyDescent="0.25">
      <c r="B601" s="292">
        <v>67</v>
      </c>
      <c r="C601" s="292"/>
      <c r="D601" s="292"/>
      <c r="F601" s="283" t="s">
        <v>181</v>
      </c>
      <c r="G601" s="283"/>
      <c r="J601" s="293">
        <v>2</v>
      </c>
      <c r="K601" s="293"/>
      <c r="L601" s="293"/>
      <c r="M601" s="293"/>
      <c r="N601" s="293"/>
      <c r="P601" s="42">
        <v>1580</v>
      </c>
      <c r="R601" s="42">
        <v>240</v>
      </c>
      <c r="T601" s="284">
        <v>1340</v>
      </c>
      <c r="U601" s="284"/>
    </row>
    <row r="602" spans="2:21" x14ac:dyDescent="0.25">
      <c r="B602" s="292">
        <v>68</v>
      </c>
      <c r="C602" s="292"/>
      <c r="D602" s="292"/>
      <c r="F602" s="283" t="s">
        <v>108</v>
      </c>
      <c r="G602" s="283"/>
      <c r="J602" s="293">
        <v>11</v>
      </c>
      <c r="K602" s="293"/>
      <c r="L602" s="293"/>
      <c r="M602" s="293"/>
      <c r="N602" s="293"/>
      <c r="P602" s="42">
        <v>1100</v>
      </c>
      <c r="R602" s="42">
        <v>0</v>
      </c>
      <c r="T602" s="284">
        <v>1100</v>
      </c>
      <c r="U602" s="284"/>
    </row>
    <row r="603" spans="2:21" x14ac:dyDescent="0.25">
      <c r="B603" s="292">
        <v>69</v>
      </c>
      <c r="C603" s="292"/>
      <c r="D603" s="292"/>
      <c r="F603" s="283" t="s">
        <v>107</v>
      </c>
      <c r="G603" s="283"/>
      <c r="J603" s="293">
        <v>47</v>
      </c>
      <c r="K603" s="293"/>
      <c r="L603" s="293"/>
      <c r="M603" s="293"/>
      <c r="N603" s="293"/>
      <c r="P603" s="42">
        <v>7990</v>
      </c>
      <c r="R603" s="42">
        <v>2811</v>
      </c>
      <c r="T603" s="284">
        <v>5179</v>
      </c>
      <c r="U603" s="284"/>
    </row>
    <row r="604" spans="2:21" x14ac:dyDescent="0.25">
      <c r="B604" s="292">
        <v>70</v>
      </c>
      <c r="C604" s="292"/>
      <c r="D604" s="292"/>
      <c r="F604" s="283" t="s">
        <v>103</v>
      </c>
      <c r="G604" s="283"/>
      <c r="J604" s="293">
        <v>7</v>
      </c>
      <c r="K604" s="293"/>
      <c r="L604" s="293"/>
      <c r="M604" s="293"/>
      <c r="N604" s="293"/>
      <c r="P604" s="42">
        <v>2310</v>
      </c>
      <c r="R604" s="42">
        <v>880</v>
      </c>
      <c r="T604" s="284">
        <v>1430</v>
      </c>
      <c r="U604" s="284"/>
    </row>
    <row r="605" spans="2:21" x14ac:dyDescent="0.25">
      <c r="B605" s="292">
        <v>71</v>
      </c>
      <c r="C605" s="292"/>
      <c r="D605" s="292"/>
      <c r="F605" s="283" t="s">
        <v>213</v>
      </c>
      <c r="G605" s="283"/>
      <c r="J605" s="293">
        <v>1</v>
      </c>
      <c r="K605" s="293"/>
      <c r="L605" s="293"/>
      <c r="M605" s="293"/>
      <c r="N605" s="293"/>
      <c r="P605" s="42">
        <v>700</v>
      </c>
      <c r="R605" s="42">
        <v>350</v>
      </c>
      <c r="T605" s="284">
        <v>350</v>
      </c>
      <c r="U605" s="284"/>
    </row>
    <row r="606" spans="2:21" x14ac:dyDescent="0.25">
      <c r="B606" s="292">
        <v>72</v>
      </c>
      <c r="C606" s="292"/>
      <c r="D606" s="292"/>
      <c r="F606" s="283" t="s">
        <v>98</v>
      </c>
      <c r="G606" s="283"/>
      <c r="J606" s="293">
        <v>1</v>
      </c>
      <c r="K606" s="293"/>
      <c r="L606" s="293"/>
      <c r="M606" s="293"/>
      <c r="N606" s="293"/>
      <c r="P606" s="42">
        <v>570</v>
      </c>
      <c r="R606" s="42">
        <v>80</v>
      </c>
      <c r="T606" s="284">
        <v>490</v>
      </c>
      <c r="U606" s="284"/>
    </row>
    <row r="607" spans="2:21" x14ac:dyDescent="0.25">
      <c r="B607" s="292">
        <v>73</v>
      </c>
      <c r="C607" s="292"/>
      <c r="D607" s="292"/>
      <c r="F607" s="283" t="s">
        <v>428</v>
      </c>
      <c r="G607" s="283"/>
      <c r="J607" s="293">
        <v>1</v>
      </c>
      <c r="K607" s="293"/>
      <c r="L607" s="293"/>
      <c r="M607" s="293"/>
      <c r="N607" s="293"/>
      <c r="P607" s="42">
        <v>700</v>
      </c>
      <c r="R607" s="42">
        <v>350</v>
      </c>
      <c r="T607" s="284">
        <v>350</v>
      </c>
      <c r="U607" s="284"/>
    </row>
    <row r="608" spans="2:21" x14ac:dyDescent="0.25">
      <c r="B608" s="292">
        <v>74</v>
      </c>
      <c r="C608" s="292"/>
      <c r="D608" s="292"/>
      <c r="F608" s="283" t="s">
        <v>176</v>
      </c>
      <c r="G608" s="283"/>
      <c r="J608" s="293">
        <v>1</v>
      </c>
      <c r="K608" s="293"/>
      <c r="L608" s="293"/>
      <c r="M608" s="293"/>
      <c r="N608" s="293"/>
      <c r="P608" s="42">
        <v>1060</v>
      </c>
      <c r="R608" s="42">
        <v>160</v>
      </c>
      <c r="T608" s="284">
        <v>900</v>
      </c>
      <c r="U608" s="284"/>
    </row>
    <row r="609" spans="1:21" x14ac:dyDescent="0.25">
      <c r="B609" s="292">
        <v>75</v>
      </c>
      <c r="C609" s="292"/>
      <c r="D609" s="292"/>
      <c r="F609" s="283" t="s">
        <v>97</v>
      </c>
      <c r="G609" s="283"/>
      <c r="J609" s="293">
        <v>17</v>
      </c>
      <c r="K609" s="293"/>
      <c r="L609" s="293"/>
      <c r="M609" s="293"/>
      <c r="N609" s="293"/>
      <c r="P609" s="42">
        <v>27030</v>
      </c>
      <c r="R609" s="42">
        <v>4080</v>
      </c>
      <c r="T609" s="284">
        <v>22950</v>
      </c>
      <c r="U609" s="284"/>
    </row>
    <row r="610" spans="1:21" x14ac:dyDescent="0.25">
      <c r="B610" s="292">
        <v>76</v>
      </c>
      <c r="C610" s="292"/>
      <c r="D610" s="292"/>
      <c r="F610" s="283" t="s">
        <v>96</v>
      </c>
      <c r="G610" s="283"/>
      <c r="J610" s="293">
        <v>1</v>
      </c>
      <c r="K610" s="293"/>
      <c r="L610" s="293"/>
      <c r="M610" s="293"/>
      <c r="N610" s="293"/>
      <c r="P610" s="42">
        <v>440</v>
      </c>
      <c r="R610" s="42">
        <v>130</v>
      </c>
      <c r="T610" s="284">
        <v>310</v>
      </c>
      <c r="U610" s="284"/>
    </row>
    <row r="611" spans="1:21" x14ac:dyDescent="0.25">
      <c r="B611" s="292">
        <v>77</v>
      </c>
      <c r="C611" s="292"/>
      <c r="D611" s="292"/>
      <c r="F611" s="283" t="s">
        <v>95</v>
      </c>
      <c r="G611" s="283"/>
      <c r="J611" s="293">
        <v>1</v>
      </c>
      <c r="K611" s="293"/>
      <c r="L611" s="293"/>
      <c r="M611" s="293"/>
      <c r="N611" s="293"/>
      <c r="P611" s="42">
        <v>290</v>
      </c>
      <c r="R611" s="42">
        <v>80</v>
      </c>
      <c r="T611" s="284">
        <v>210</v>
      </c>
      <c r="U611" s="284"/>
    </row>
    <row r="612" spans="1:21" x14ac:dyDescent="0.25">
      <c r="B612" s="292">
        <v>78</v>
      </c>
      <c r="C612" s="292"/>
      <c r="D612" s="292"/>
      <c r="F612" s="283" t="s">
        <v>253</v>
      </c>
      <c r="G612" s="283"/>
      <c r="J612" s="293">
        <v>2</v>
      </c>
      <c r="K612" s="293"/>
      <c r="L612" s="293"/>
      <c r="M612" s="293"/>
      <c r="N612" s="293"/>
      <c r="P612" s="42">
        <v>580</v>
      </c>
      <c r="R612" s="42">
        <v>160</v>
      </c>
      <c r="T612" s="284">
        <v>420</v>
      </c>
      <c r="U612" s="284"/>
    </row>
    <row r="613" spans="1:21" x14ac:dyDescent="0.25">
      <c r="B613" s="292">
        <v>79</v>
      </c>
      <c r="C613" s="292"/>
      <c r="D613" s="292"/>
      <c r="F613" s="283" t="s">
        <v>93</v>
      </c>
      <c r="G613" s="283"/>
      <c r="J613" s="293">
        <v>1</v>
      </c>
      <c r="K613" s="293"/>
      <c r="L613" s="293"/>
      <c r="M613" s="293"/>
      <c r="N613" s="293"/>
      <c r="P613" s="42">
        <v>590</v>
      </c>
      <c r="R613" s="42">
        <v>90</v>
      </c>
      <c r="T613" s="284">
        <v>500</v>
      </c>
      <c r="U613" s="284"/>
    </row>
    <row r="614" spans="1:21" x14ac:dyDescent="0.25">
      <c r="B614" s="292">
        <v>80</v>
      </c>
      <c r="C614" s="292"/>
      <c r="D614" s="292"/>
      <c r="F614" s="283" t="s">
        <v>92</v>
      </c>
      <c r="G614" s="283"/>
      <c r="J614" s="293">
        <v>11</v>
      </c>
      <c r="K614" s="293"/>
      <c r="L614" s="293"/>
      <c r="M614" s="293"/>
      <c r="N614" s="293"/>
      <c r="P614" s="42">
        <v>9840</v>
      </c>
      <c r="R614" s="42">
        <v>2920</v>
      </c>
      <c r="T614" s="284">
        <v>6920</v>
      </c>
      <c r="U614" s="284"/>
    </row>
    <row r="615" spans="1:21" x14ac:dyDescent="0.25">
      <c r="B615" s="292">
        <v>81</v>
      </c>
      <c r="C615" s="292"/>
      <c r="D615" s="292"/>
      <c r="F615" s="283" t="s">
        <v>306</v>
      </c>
      <c r="G615" s="283"/>
      <c r="J615" s="293">
        <v>2</v>
      </c>
      <c r="K615" s="293"/>
      <c r="L615" s="293"/>
      <c r="M615" s="293"/>
      <c r="N615" s="293"/>
      <c r="P615" s="42">
        <v>2160</v>
      </c>
      <c r="R615" s="42">
        <v>640</v>
      </c>
      <c r="T615" s="284">
        <v>1520</v>
      </c>
      <c r="U615" s="284"/>
    </row>
    <row r="616" spans="1:21" x14ac:dyDescent="0.25">
      <c r="B616" s="292">
        <v>82</v>
      </c>
      <c r="C616" s="292"/>
      <c r="D616" s="292"/>
      <c r="F616" s="283" t="s">
        <v>91</v>
      </c>
      <c r="G616" s="283"/>
      <c r="J616" s="293">
        <v>229</v>
      </c>
      <c r="K616" s="293"/>
      <c r="L616" s="293"/>
      <c r="M616" s="293"/>
      <c r="N616" s="293"/>
      <c r="P616" s="42">
        <v>57250</v>
      </c>
      <c r="R616" s="42">
        <v>28072</v>
      </c>
      <c r="T616" s="284">
        <v>29178</v>
      </c>
      <c r="U616" s="284"/>
    </row>
    <row r="617" spans="1:21" x14ac:dyDescent="0.25">
      <c r="B617" s="292">
        <v>83</v>
      </c>
      <c r="C617" s="292"/>
      <c r="D617" s="292"/>
      <c r="F617" s="283" t="s">
        <v>90</v>
      </c>
      <c r="G617" s="283"/>
      <c r="J617" s="293">
        <v>52</v>
      </c>
      <c r="K617" s="293"/>
      <c r="L617" s="293"/>
      <c r="M617" s="293"/>
      <c r="N617" s="293"/>
      <c r="P617" s="42">
        <v>15080</v>
      </c>
      <c r="R617" s="42">
        <v>4160</v>
      </c>
      <c r="T617" s="284">
        <v>10920</v>
      </c>
      <c r="U617" s="284"/>
    </row>
    <row r="618" spans="1:21" x14ac:dyDescent="0.25">
      <c r="B618" s="292">
        <v>84</v>
      </c>
      <c r="C618" s="292"/>
      <c r="D618" s="292"/>
      <c r="F618" s="283" t="s">
        <v>89</v>
      </c>
      <c r="G618" s="283"/>
      <c r="J618" s="293">
        <v>2</v>
      </c>
      <c r="K618" s="293"/>
      <c r="L618" s="293"/>
      <c r="M618" s="293"/>
      <c r="N618" s="293"/>
      <c r="P618" s="42">
        <v>1760</v>
      </c>
      <c r="R618" s="42">
        <v>260</v>
      </c>
      <c r="T618" s="284">
        <v>1500</v>
      </c>
      <c r="U618" s="284"/>
    </row>
    <row r="619" spans="1:21" x14ac:dyDescent="0.25">
      <c r="B619" s="292">
        <v>85</v>
      </c>
      <c r="C619" s="292"/>
      <c r="D619" s="292"/>
      <c r="F619" s="283" t="s">
        <v>88</v>
      </c>
      <c r="G619" s="283"/>
      <c r="J619" s="293">
        <v>51</v>
      </c>
      <c r="K619" s="293"/>
      <c r="L619" s="293"/>
      <c r="M619" s="293"/>
      <c r="N619" s="293"/>
      <c r="P619" s="42">
        <v>9180</v>
      </c>
      <c r="R619" s="42">
        <v>3281</v>
      </c>
      <c r="T619" s="284">
        <v>5899</v>
      </c>
      <c r="U619" s="284"/>
    </row>
    <row r="620" spans="1:21" x14ac:dyDescent="0.25">
      <c r="B620" s="292">
        <v>86</v>
      </c>
      <c r="C620" s="292"/>
      <c r="D620" s="292"/>
      <c r="F620" s="283" t="s">
        <v>86</v>
      </c>
      <c r="G620" s="283"/>
      <c r="J620" s="293">
        <v>4</v>
      </c>
      <c r="K620" s="293"/>
      <c r="L620" s="293"/>
      <c r="M620" s="293"/>
      <c r="N620" s="293"/>
      <c r="P620" s="42">
        <v>4560</v>
      </c>
      <c r="R620" s="42">
        <v>680</v>
      </c>
      <c r="T620" s="284">
        <v>3880</v>
      </c>
      <c r="U620" s="284"/>
    </row>
    <row r="621" spans="1:21" x14ac:dyDescent="0.25">
      <c r="B621" s="292">
        <v>87</v>
      </c>
      <c r="C621" s="292"/>
      <c r="D621" s="292"/>
      <c r="F621" s="283" t="s">
        <v>85</v>
      </c>
      <c r="G621" s="283"/>
      <c r="J621" s="293">
        <v>3</v>
      </c>
      <c r="K621" s="293"/>
      <c r="L621" s="293"/>
      <c r="M621" s="293"/>
      <c r="N621" s="293"/>
      <c r="P621" s="42">
        <v>6240</v>
      </c>
      <c r="R621" s="42">
        <v>930</v>
      </c>
      <c r="T621" s="284">
        <v>5310</v>
      </c>
      <c r="U621" s="284"/>
    </row>
    <row r="622" spans="1:21" x14ac:dyDescent="0.25">
      <c r="B622" s="292">
        <v>88</v>
      </c>
      <c r="C622" s="292"/>
      <c r="D622" s="292"/>
      <c r="F622" s="283" t="s">
        <v>84</v>
      </c>
      <c r="G622" s="283"/>
      <c r="J622" s="293">
        <v>2</v>
      </c>
      <c r="K622" s="293"/>
      <c r="L622" s="293"/>
      <c r="M622" s="293"/>
      <c r="N622" s="293"/>
      <c r="P622" s="42">
        <v>1180</v>
      </c>
      <c r="R622" s="42">
        <v>360</v>
      </c>
      <c r="T622" s="284">
        <v>820</v>
      </c>
      <c r="U622" s="284"/>
    </row>
    <row r="623" spans="1:21" x14ac:dyDescent="0.25">
      <c r="B623" s="292">
        <v>89</v>
      </c>
      <c r="C623" s="292"/>
      <c r="D623" s="292"/>
      <c r="F623" s="283" t="s">
        <v>83</v>
      </c>
      <c r="G623" s="283"/>
      <c r="J623" s="293">
        <v>1</v>
      </c>
      <c r="K623" s="293"/>
      <c r="L623" s="293"/>
      <c r="M623" s="293"/>
      <c r="N623" s="293"/>
      <c r="P623" s="42">
        <v>500</v>
      </c>
      <c r="R623" s="42">
        <v>130</v>
      </c>
      <c r="T623" s="284">
        <v>370</v>
      </c>
      <c r="U623" s="284"/>
    </row>
    <row r="624" spans="1:21" s="40" customFormat="1" x14ac:dyDescent="0.25">
      <c r="A624" s="290" t="s">
        <v>454</v>
      </c>
      <c r="B624" s="290"/>
      <c r="C624" s="290"/>
      <c r="D624" s="290"/>
      <c r="E624" s="290"/>
      <c r="F624" s="290"/>
      <c r="G624" s="290"/>
      <c r="H624" s="290"/>
      <c r="I624" s="290"/>
      <c r="J624" s="290"/>
      <c r="K624" s="291">
        <v>4223</v>
      </c>
      <c r="L624" s="291"/>
      <c r="M624" s="291"/>
      <c r="N624" s="291"/>
      <c r="O624" s="291"/>
      <c r="P624" s="41">
        <v>4976750</v>
      </c>
      <c r="R624" s="41">
        <v>4576281</v>
      </c>
      <c r="T624" s="287">
        <v>400469</v>
      </c>
      <c r="U624" s="287"/>
    </row>
    <row r="625" spans="2:21" x14ac:dyDescent="0.25">
      <c r="B625" s="292">
        <v>1</v>
      </c>
      <c r="C625" s="292"/>
      <c r="D625" s="292"/>
      <c r="F625" s="283" t="s">
        <v>316</v>
      </c>
      <c r="G625" s="283"/>
      <c r="J625" s="293">
        <v>1</v>
      </c>
      <c r="K625" s="293"/>
      <c r="L625" s="293"/>
      <c r="M625" s="293"/>
      <c r="N625" s="293"/>
      <c r="P625" s="42">
        <v>390</v>
      </c>
      <c r="R625" s="42">
        <v>120</v>
      </c>
      <c r="T625" s="284">
        <v>270</v>
      </c>
      <c r="U625" s="284"/>
    </row>
    <row r="626" spans="2:21" x14ac:dyDescent="0.25">
      <c r="B626" s="292">
        <v>2</v>
      </c>
      <c r="C626" s="292"/>
      <c r="D626" s="292"/>
      <c r="F626" s="283" t="s">
        <v>78</v>
      </c>
      <c r="G626" s="283"/>
      <c r="J626" s="293">
        <v>456</v>
      </c>
      <c r="K626" s="293"/>
      <c r="L626" s="293"/>
      <c r="M626" s="293"/>
      <c r="N626" s="293"/>
      <c r="P626" s="42">
        <v>132240</v>
      </c>
      <c r="R626" s="42">
        <v>132240</v>
      </c>
      <c r="T626" s="284">
        <v>0</v>
      </c>
      <c r="U626" s="284"/>
    </row>
    <row r="627" spans="2:21" x14ac:dyDescent="0.25">
      <c r="B627" s="292">
        <v>3</v>
      </c>
      <c r="C627" s="292"/>
      <c r="D627" s="292"/>
      <c r="F627" s="283" t="s">
        <v>162</v>
      </c>
      <c r="G627" s="283"/>
      <c r="J627" s="293">
        <v>4</v>
      </c>
      <c r="K627" s="293"/>
      <c r="L627" s="293"/>
      <c r="M627" s="293"/>
      <c r="N627" s="293"/>
      <c r="P627" s="42">
        <v>1720</v>
      </c>
      <c r="R627" s="42">
        <v>570</v>
      </c>
      <c r="T627" s="284">
        <v>1150</v>
      </c>
      <c r="U627" s="284"/>
    </row>
    <row r="628" spans="2:21" x14ac:dyDescent="0.25">
      <c r="B628" s="292">
        <v>4</v>
      </c>
      <c r="C628" s="292"/>
      <c r="D628" s="292"/>
      <c r="F628" s="283" t="s">
        <v>160</v>
      </c>
      <c r="G628" s="283"/>
      <c r="J628" s="293">
        <v>22</v>
      </c>
      <c r="K628" s="293"/>
      <c r="L628" s="293"/>
      <c r="M628" s="293"/>
      <c r="N628" s="293"/>
      <c r="P628" s="42">
        <v>6380</v>
      </c>
      <c r="R628" s="42">
        <v>960</v>
      </c>
      <c r="T628" s="284">
        <v>5420</v>
      </c>
      <c r="U628" s="284"/>
    </row>
    <row r="629" spans="2:21" x14ac:dyDescent="0.25">
      <c r="B629" s="292">
        <v>5</v>
      </c>
      <c r="C629" s="292"/>
      <c r="D629" s="292"/>
      <c r="F629" s="283" t="s">
        <v>158</v>
      </c>
      <c r="G629" s="283"/>
      <c r="J629" s="293">
        <v>416</v>
      </c>
      <c r="K629" s="293"/>
      <c r="L629" s="293"/>
      <c r="M629" s="293"/>
      <c r="N629" s="293"/>
      <c r="P629" s="42">
        <v>228800</v>
      </c>
      <c r="R629" s="42">
        <v>65206</v>
      </c>
      <c r="T629" s="284">
        <v>163594</v>
      </c>
      <c r="U629" s="284"/>
    </row>
    <row r="630" spans="2:21" x14ac:dyDescent="0.25">
      <c r="B630" s="292">
        <v>6</v>
      </c>
      <c r="C630" s="292"/>
      <c r="D630" s="292"/>
      <c r="F630" s="283" t="s">
        <v>157</v>
      </c>
      <c r="G630" s="283"/>
      <c r="J630" s="293">
        <v>261</v>
      </c>
      <c r="K630" s="293"/>
      <c r="L630" s="293"/>
      <c r="M630" s="293"/>
      <c r="N630" s="293"/>
      <c r="P630" s="42">
        <v>127890</v>
      </c>
      <c r="R630" s="42">
        <v>52735</v>
      </c>
      <c r="T630" s="284">
        <v>75155</v>
      </c>
      <c r="U630" s="284"/>
    </row>
    <row r="631" spans="2:21" x14ac:dyDescent="0.25">
      <c r="B631" s="292">
        <v>7</v>
      </c>
      <c r="C631" s="292"/>
      <c r="D631" s="292"/>
      <c r="F631" s="283" t="s">
        <v>309</v>
      </c>
      <c r="G631" s="283"/>
      <c r="J631" s="293">
        <v>11</v>
      </c>
      <c r="K631" s="293"/>
      <c r="L631" s="293"/>
      <c r="M631" s="293"/>
      <c r="N631" s="293"/>
      <c r="P631" s="42">
        <v>5500</v>
      </c>
      <c r="R631" s="42">
        <v>1650</v>
      </c>
      <c r="T631" s="284">
        <v>3850</v>
      </c>
      <c r="U631" s="284"/>
    </row>
    <row r="632" spans="2:21" x14ac:dyDescent="0.25">
      <c r="B632" s="292">
        <v>8</v>
      </c>
      <c r="C632" s="292"/>
      <c r="D632" s="292"/>
      <c r="F632" s="283" t="s">
        <v>244</v>
      </c>
      <c r="G632" s="283"/>
      <c r="J632" s="293">
        <v>2</v>
      </c>
      <c r="K632" s="293"/>
      <c r="L632" s="293"/>
      <c r="M632" s="293"/>
      <c r="N632" s="293"/>
      <c r="P632" s="42">
        <v>600</v>
      </c>
      <c r="R632" s="42">
        <v>160</v>
      </c>
      <c r="T632" s="284">
        <v>440</v>
      </c>
      <c r="U632" s="284"/>
    </row>
    <row r="633" spans="2:21" x14ac:dyDescent="0.25">
      <c r="B633" s="292">
        <v>9</v>
      </c>
      <c r="C633" s="292"/>
      <c r="D633" s="292"/>
      <c r="F633" s="283" t="s">
        <v>77</v>
      </c>
      <c r="G633" s="283"/>
      <c r="J633" s="293">
        <v>837</v>
      </c>
      <c r="K633" s="293"/>
      <c r="L633" s="293"/>
      <c r="M633" s="293"/>
      <c r="N633" s="293"/>
      <c r="P633" s="42">
        <v>339700</v>
      </c>
      <c r="R633" s="42">
        <v>339700</v>
      </c>
      <c r="T633" s="284">
        <v>0</v>
      </c>
      <c r="U633" s="284"/>
    </row>
    <row r="634" spans="2:21" x14ac:dyDescent="0.25">
      <c r="B634" s="292">
        <v>10</v>
      </c>
      <c r="C634" s="292"/>
      <c r="D634" s="292"/>
      <c r="F634" s="283" t="s">
        <v>76</v>
      </c>
      <c r="G634" s="283"/>
      <c r="J634" s="293">
        <v>8</v>
      </c>
      <c r="K634" s="293"/>
      <c r="L634" s="293"/>
      <c r="M634" s="293"/>
      <c r="N634" s="293"/>
      <c r="P634" s="42">
        <v>4800</v>
      </c>
      <c r="R634" s="42">
        <v>4800</v>
      </c>
      <c r="T634" s="284">
        <v>0</v>
      </c>
      <c r="U634" s="284"/>
    </row>
    <row r="635" spans="2:21" x14ac:dyDescent="0.25">
      <c r="B635" s="292">
        <v>11</v>
      </c>
      <c r="C635" s="292"/>
      <c r="D635" s="292"/>
      <c r="F635" s="283" t="s">
        <v>156</v>
      </c>
      <c r="G635" s="283"/>
      <c r="J635" s="293">
        <v>5</v>
      </c>
      <c r="K635" s="293"/>
      <c r="L635" s="293"/>
      <c r="M635" s="293"/>
      <c r="N635" s="293"/>
      <c r="P635" s="42">
        <v>950</v>
      </c>
      <c r="R635" s="42">
        <v>220</v>
      </c>
      <c r="T635" s="284">
        <v>730</v>
      </c>
      <c r="U635" s="284"/>
    </row>
    <row r="636" spans="2:21" x14ac:dyDescent="0.25">
      <c r="B636" s="292">
        <v>12</v>
      </c>
      <c r="C636" s="292"/>
      <c r="D636" s="292"/>
      <c r="F636" s="283" t="s">
        <v>155</v>
      </c>
      <c r="G636" s="283"/>
      <c r="J636" s="293">
        <v>8</v>
      </c>
      <c r="K636" s="293"/>
      <c r="L636" s="293"/>
      <c r="M636" s="293"/>
      <c r="N636" s="293"/>
      <c r="P636" s="42">
        <v>2000</v>
      </c>
      <c r="R636" s="42">
        <v>340</v>
      </c>
      <c r="T636" s="284">
        <v>1660</v>
      </c>
      <c r="U636" s="284"/>
    </row>
    <row r="637" spans="2:21" x14ac:dyDescent="0.25">
      <c r="B637" s="292">
        <v>13</v>
      </c>
      <c r="C637" s="292"/>
      <c r="D637" s="292"/>
      <c r="F637" s="283" t="s">
        <v>321</v>
      </c>
      <c r="G637" s="283"/>
      <c r="J637" s="293">
        <v>1</v>
      </c>
      <c r="K637" s="293"/>
      <c r="L637" s="293"/>
      <c r="M637" s="293"/>
      <c r="N637" s="293"/>
      <c r="P637" s="42">
        <v>300</v>
      </c>
      <c r="R637" s="42">
        <v>80</v>
      </c>
      <c r="T637" s="284">
        <v>220</v>
      </c>
      <c r="U637" s="284"/>
    </row>
    <row r="638" spans="2:21" x14ac:dyDescent="0.25">
      <c r="B638" s="292">
        <v>14</v>
      </c>
      <c r="C638" s="292"/>
      <c r="D638" s="292"/>
      <c r="F638" s="283" t="s">
        <v>151</v>
      </c>
      <c r="G638" s="283"/>
      <c r="J638" s="293">
        <v>6</v>
      </c>
      <c r="K638" s="293"/>
      <c r="L638" s="293"/>
      <c r="M638" s="293"/>
      <c r="N638" s="293"/>
      <c r="P638" s="42">
        <v>1380</v>
      </c>
      <c r="R638" s="42">
        <v>450</v>
      </c>
      <c r="T638" s="284">
        <v>930</v>
      </c>
      <c r="U638" s="284"/>
    </row>
    <row r="639" spans="2:21" x14ac:dyDescent="0.25">
      <c r="B639" s="292">
        <v>15</v>
      </c>
      <c r="C639" s="292"/>
      <c r="D639" s="292"/>
      <c r="F639" s="283" t="s">
        <v>150</v>
      </c>
      <c r="G639" s="283"/>
      <c r="J639" s="293">
        <v>10</v>
      </c>
      <c r="K639" s="293"/>
      <c r="L639" s="293"/>
      <c r="M639" s="293"/>
      <c r="N639" s="293"/>
      <c r="P639" s="42">
        <v>1700</v>
      </c>
      <c r="R639" s="42">
        <v>350</v>
      </c>
      <c r="T639" s="284">
        <v>1350</v>
      </c>
      <c r="U639" s="284"/>
    </row>
    <row r="640" spans="2:21" x14ac:dyDescent="0.25">
      <c r="B640" s="292">
        <v>16</v>
      </c>
      <c r="C640" s="292"/>
      <c r="D640" s="292"/>
      <c r="F640" s="283" t="s">
        <v>149</v>
      </c>
      <c r="G640" s="283"/>
      <c r="J640" s="293">
        <v>26</v>
      </c>
      <c r="K640" s="293"/>
      <c r="L640" s="293"/>
      <c r="M640" s="293"/>
      <c r="N640" s="293"/>
      <c r="P640" s="42">
        <v>1300</v>
      </c>
      <c r="R640" s="42">
        <v>250</v>
      </c>
      <c r="T640" s="284">
        <v>1050</v>
      </c>
      <c r="U640" s="284"/>
    </row>
    <row r="641" spans="2:21" x14ac:dyDescent="0.25">
      <c r="B641" s="292">
        <v>17</v>
      </c>
      <c r="C641" s="292"/>
      <c r="D641" s="292"/>
      <c r="F641" s="283" t="s">
        <v>75</v>
      </c>
      <c r="G641" s="283"/>
      <c r="J641" s="293">
        <v>1568</v>
      </c>
      <c r="K641" s="293"/>
      <c r="L641" s="293"/>
      <c r="M641" s="293"/>
      <c r="N641" s="293"/>
      <c r="P641" s="42">
        <v>3920000</v>
      </c>
      <c r="R641" s="42">
        <v>3920000</v>
      </c>
      <c r="T641" s="284">
        <v>0</v>
      </c>
      <c r="U641" s="284"/>
    </row>
    <row r="642" spans="2:21" x14ac:dyDescent="0.25">
      <c r="B642" s="292">
        <v>18</v>
      </c>
      <c r="C642" s="292"/>
      <c r="D642" s="292"/>
      <c r="F642" s="283" t="s">
        <v>139</v>
      </c>
      <c r="G642" s="283"/>
      <c r="J642" s="293">
        <v>3</v>
      </c>
      <c r="K642" s="293"/>
      <c r="L642" s="293"/>
      <c r="M642" s="293"/>
      <c r="N642" s="293"/>
      <c r="P642" s="42">
        <v>810</v>
      </c>
      <c r="R642" s="42">
        <v>240</v>
      </c>
      <c r="T642" s="284">
        <v>570</v>
      </c>
      <c r="U642" s="284"/>
    </row>
    <row r="643" spans="2:21" x14ac:dyDescent="0.25">
      <c r="B643" s="292">
        <v>19</v>
      </c>
      <c r="C643" s="292"/>
      <c r="D643" s="292"/>
      <c r="F643" s="283" t="s">
        <v>136</v>
      </c>
      <c r="G643" s="283"/>
      <c r="J643" s="293">
        <v>4</v>
      </c>
      <c r="K643" s="293"/>
      <c r="L643" s="293"/>
      <c r="M643" s="293"/>
      <c r="N643" s="293"/>
      <c r="P643" s="42">
        <v>3400</v>
      </c>
      <c r="R643" s="42">
        <v>520</v>
      </c>
      <c r="T643" s="284">
        <v>2880</v>
      </c>
      <c r="U643" s="284"/>
    </row>
    <row r="644" spans="2:21" x14ac:dyDescent="0.25">
      <c r="B644" s="292">
        <v>20</v>
      </c>
      <c r="C644" s="292"/>
      <c r="D644" s="292"/>
      <c r="F644" s="283" t="s">
        <v>74</v>
      </c>
      <c r="G644" s="283"/>
      <c r="J644" s="293">
        <v>3</v>
      </c>
      <c r="K644" s="293"/>
      <c r="L644" s="293"/>
      <c r="M644" s="293"/>
      <c r="N644" s="293"/>
      <c r="P644" s="42">
        <v>2550</v>
      </c>
      <c r="R644" s="42">
        <v>2550</v>
      </c>
      <c r="T644" s="284">
        <v>0</v>
      </c>
      <c r="U644" s="284"/>
    </row>
    <row r="645" spans="2:21" x14ac:dyDescent="0.25">
      <c r="B645" s="292">
        <v>21</v>
      </c>
      <c r="C645" s="292"/>
      <c r="D645" s="292"/>
      <c r="F645" s="283" t="s">
        <v>190</v>
      </c>
      <c r="G645" s="283"/>
      <c r="J645" s="293">
        <v>2</v>
      </c>
      <c r="K645" s="293"/>
      <c r="L645" s="293"/>
      <c r="M645" s="293"/>
      <c r="N645" s="293"/>
      <c r="P645" s="42">
        <v>3140</v>
      </c>
      <c r="R645" s="42">
        <v>240</v>
      </c>
      <c r="T645" s="284">
        <v>2900</v>
      </c>
      <c r="U645" s="284"/>
    </row>
    <row r="646" spans="2:21" x14ac:dyDescent="0.25">
      <c r="B646" s="292">
        <v>22</v>
      </c>
      <c r="C646" s="292"/>
      <c r="D646" s="292"/>
      <c r="F646" s="283" t="s">
        <v>135</v>
      </c>
      <c r="G646" s="283"/>
      <c r="J646" s="293">
        <v>3</v>
      </c>
      <c r="K646" s="293"/>
      <c r="L646" s="293"/>
      <c r="M646" s="293"/>
      <c r="N646" s="293"/>
      <c r="P646" s="42">
        <v>2850</v>
      </c>
      <c r="R646" s="42">
        <v>280</v>
      </c>
      <c r="T646" s="284">
        <v>2570</v>
      </c>
      <c r="U646" s="284"/>
    </row>
    <row r="647" spans="2:21" x14ac:dyDescent="0.25">
      <c r="B647" s="292">
        <v>23</v>
      </c>
      <c r="C647" s="292"/>
      <c r="D647" s="292"/>
      <c r="F647" s="283" t="s">
        <v>229</v>
      </c>
      <c r="G647" s="283"/>
      <c r="J647" s="293">
        <v>1</v>
      </c>
      <c r="K647" s="293"/>
      <c r="L647" s="293"/>
      <c r="M647" s="293"/>
      <c r="N647" s="293"/>
      <c r="P647" s="42">
        <v>7000</v>
      </c>
      <c r="R647" s="42">
        <v>7000</v>
      </c>
      <c r="T647" s="284">
        <v>0</v>
      </c>
      <c r="U647" s="284"/>
    </row>
    <row r="648" spans="2:21" x14ac:dyDescent="0.25">
      <c r="B648" s="292">
        <v>24</v>
      </c>
      <c r="C648" s="292"/>
      <c r="D648" s="292"/>
      <c r="F648" s="283" t="s">
        <v>132</v>
      </c>
      <c r="G648" s="283"/>
      <c r="J648" s="293">
        <v>3</v>
      </c>
      <c r="K648" s="293"/>
      <c r="L648" s="293"/>
      <c r="M648" s="293"/>
      <c r="N648" s="293"/>
      <c r="P648" s="42">
        <v>3720</v>
      </c>
      <c r="R648" s="42">
        <v>740</v>
      </c>
      <c r="T648" s="284">
        <v>2980</v>
      </c>
      <c r="U648" s="284"/>
    </row>
    <row r="649" spans="2:21" x14ac:dyDescent="0.25">
      <c r="B649" s="292">
        <v>25</v>
      </c>
      <c r="C649" s="292"/>
      <c r="D649" s="292"/>
      <c r="F649" s="283" t="s">
        <v>127</v>
      </c>
      <c r="G649" s="283"/>
      <c r="J649" s="293">
        <v>4</v>
      </c>
      <c r="K649" s="293"/>
      <c r="L649" s="293"/>
      <c r="M649" s="293"/>
      <c r="N649" s="293"/>
      <c r="P649" s="42">
        <v>1200</v>
      </c>
      <c r="R649" s="42">
        <v>180</v>
      </c>
      <c r="T649" s="284">
        <v>1020</v>
      </c>
      <c r="U649" s="284"/>
    </row>
    <row r="650" spans="2:21" x14ac:dyDescent="0.25">
      <c r="B650" s="292">
        <v>26</v>
      </c>
      <c r="C650" s="292"/>
      <c r="D650" s="292"/>
      <c r="F650" s="283" t="s">
        <v>126</v>
      </c>
      <c r="G650" s="283"/>
      <c r="J650" s="293">
        <v>3</v>
      </c>
      <c r="K650" s="293"/>
      <c r="L650" s="293"/>
      <c r="M650" s="293"/>
      <c r="N650" s="293"/>
      <c r="P650" s="42">
        <v>600</v>
      </c>
      <c r="R650" s="42">
        <v>120</v>
      </c>
      <c r="T650" s="284">
        <v>480</v>
      </c>
      <c r="U650" s="284"/>
    </row>
    <row r="651" spans="2:21" x14ac:dyDescent="0.25">
      <c r="B651" s="292">
        <v>27</v>
      </c>
      <c r="C651" s="292"/>
      <c r="D651" s="292"/>
      <c r="F651" s="283" t="s">
        <v>125</v>
      </c>
      <c r="G651" s="283"/>
      <c r="J651" s="293">
        <v>3</v>
      </c>
      <c r="K651" s="293"/>
      <c r="L651" s="293"/>
      <c r="M651" s="293"/>
      <c r="N651" s="293"/>
      <c r="P651" s="42">
        <v>1200</v>
      </c>
      <c r="R651" s="42">
        <v>120</v>
      </c>
      <c r="T651" s="284">
        <v>1080</v>
      </c>
      <c r="U651" s="284"/>
    </row>
    <row r="652" spans="2:21" x14ac:dyDescent="0.25">
      <c r="B652" s="292">
        <v>28</v>
      </c>
      <c r="C652" s="292"/>
      <c r="D652" s="292"/>
      <c r="F652" s="283" t="s">
        <v>124</v>
      </c>
      <c r="G652" s="283"/>
      <c r="J652" s="293">
        <v>1</v>
      </c>
      <c r="K652" s="293"/>
      <c r="L652" s="293"/>
      <c r="M652" s="293"/>
      <c r="N652" s="293"/>
      <c r="P652" s="42">
        <v>780</v>
      </c>
      <c r="R652" s="42">
        <v>230</v>
      </c>
      <c r="T652" s="284">
        <v>550</v>
      </c>
      <c r="U652" s="284"/>
    </row>
    <row r="653" spans="2:21" x14ac:dyDescent="0.25">
      <c r="B653" s="292">
        <v>29</v>
      </c>
      <c r="C653" s="292"/>
      <c r="D653" s="292"/>
      <c r="F653" s="283" t="s">
        <v>121</v>
      </c>
      <c r="G653" s="283"/>
      <c r="J653" s="293">
        <v>1</v>
      </c>
      <c r="K653" s="293"/>
      <c r="L653" s="293"/>
      <c r="M653" s="293"/>
      <c r="N653" s="293"/>
      <c r="P653" s="42">
        <v>500</v>
      </c>
      <c r="R653" s="42">
        <v>150</v>
      </c>
      <c r="T653" s="284">
        <v>350</v>
      </c>
      <c r="U653" s="284"/>
    </row>
    <row r="654" spans="2:21" x14ac:dyDescent="0.25">
      <c r="B654" s="292">
        <v>30</v>
      </c>
      <c r="C654" s="292"/>
      <c r="D654" s="292"/>
      <c r="F654" s="283" t="s">
        <v>119</v>
      </c>
      <c r="G654" s="283"/>
      <c r="J654" s="293">
        <v>4</v>
      </c>
      <c r="K654" s="293"/>
      <c r="L654" s="293"/>
      <c r="M654" s="293"/>
      <c r="N654" s="293"/>
      <c r="P654" s="42">
        <v>3560</v>
      </c>
      <c r="R654" s="42">
        <v>300</v>
      </c>
      <c r="T654" s="284">
        <v>3260</v>
      </c>
      <c r="U654" s="284"/>
    </row>
    <row r="655" spans="2:21" x14ac:dyDescent="0.25">
      <c r="B655" s="292">
        <v>31</v>
      </c>
      <c r="C655" s="292"/>
      <c r="D655" s="292"/>
      <c r="F655" s="283" t="s">
        <v>118</v>
      </c>
      <c r="G655" s="283"/>
      <c r="J655" s="293">
        <v>26</v>
      </c>
      <c r="K655" s="293"/>
      <c r="L655" s="293"/>
      <c r="M655" s="293"/>
      <c r="N655" s="293"/>
      <c r="P655" s="42">
        <v>25740</v>
      </c>
      <c r="R655" s="42">
        <v>9330</v>
      </c>
      <c r="T655" s="284">
        <v>16410</v>
      </c>
      <c r="U655" s="284"/>
    </row>
    <row r="656" spans="2:21" x14ac:dyDescent="0.25">
      <c r="B656" s="292">
        <v>32</v>
      </c>
      <c r="C656" s="292"/>
      <c r="D656" s="292"/>
      <c r="F656" s="283" t="s">
        <v>115</v>
      </c>
      <c r="G656" s="283"/>
      <c r="J656" s="293">
        <v>6</v>
      </c>
      <c r="K656" s="293"/>
      <c r="L656" s="293"/>
      <c r="M656" s="293"/>
      <c r="N656" s="293"/>
      <c r="P656" s="42">
        <v>1740</v>
      </c>
      <c r="R656" s="42">
        <v>490</v>
      </c>
      <c r="T656" s="284">
        <v>1250</v>
      </c>
      <c r="U656" s="284"/>
    </row>
    <row r="657" spans="2:21" x14ac:dyDescent="0.25">
      <c r="B657" s="292">
        <v>33</v>
      </c>
      <c r="C657" s="292"/>
      <c r="D657" s="292"/>
      <c r="F657" s="283" t="s">
        <v>181</v>
      </c>
      <c r="G657" s="283"/>
      <c r="J657" s="293">
        <v>4</v>
      </c>
      <c r="K657" s="293"/>
      <c r="L657" s="293"/>
      <c r="M657" s="293"/>
      <c r="N657" s="293"/>
      <c r="P657" s="42">
        <v>3160</v>
      </c>
      <c r="R657" s="42">
        <v>480</v>
      </c>
      <c r="T657" s="284">
        <v>2680</v>
      </c>
      <c r="U657" s="284"/>
    </row>
    <row r="658" spans="2:21" x14ac:dyDescent="0.25">
      <c r="B658" s="292">
        <v>34</v>
      </c>
      <c r="C658" s="292"/>
      <c r="D658" s="292"/>
      <c r="F658" s="283" t="s">
        <v>109</v>
      </c>
      <c r="G658" s="283"/>
      <c r="J658" s="293">
        <v>3</v>
      </c>
      <c r="K658" s="293"/>
      <c r="L658" s="293"/>
      <c r="M658" s="293"/>
      <c r="N658" s="293"/>
      <c r="P658" s="42">
        <v>2340</v>
      </c>
      <c r="R658" s="42">
        <v>0</v>
      </c>
      <c r="T658" s="284">
        <v>2340</v>
      </c>
      <c r="U658" s="284"/>
    </row>
    <row r="659" spans="2:21" x14ac:dyDescent="0.25">
      <c r="B659" s="292">
        <v>35</v>
      </c>
      <c r="C659" s="292"/>
      <c r="D659" s="292"/>
      <c r="F659" s="283" t="s">
        <v>108</v>
      </c>
      <c r="G659" s="283"/>
      <c r="J659" s="293">
        <v>9</v>
      </c>
      <c r="K659" s="293"/>
      <c r="L659" s="293"/>
      <c r="M659" s="293"/>
      <c r="N659" s="293"/>
      <c r="P659" s="42">
        <v>900</v>
      </c>
      <c r="R659" s="42">
        <v>120</v>
      </c>
      <c r="T659" s="284">
        <v>780</v>
      </c>
      <c r="U659" s="284"/>
    </row>
    <row r="660" spans="2:21" x14ac:dyDescent="0.25">
      <c r="B660" s="292">
        <v>36</v>
      </c>
      <c r="C660" s="292"/>
      <c r="D660" s="292"/>
      <c r="F660" s="283" t="s">
        <v>107</v>
      </c>
      <c r="G660" s="283"/>
      <c r="J660" s="293">
        <v>275</v>
      </c>
      <c r="K660" s="293"/>
      <c r="L660" s="293"/>
      <c r="M660" s="293"/>
      <c r="N660" s="293"/>
      <c r="P660" s="42">
        <v>46750</v>
      </c>
      <c r="R660" s="42">
        <v>13050</v>
      </c>
      <c r="T660" s="284">
        <v>33700</v>
      </c>
      <c r="U660" s="284"/>
    </row>
    <row r="661" spans="2:21" x14ac:dyDescent="0.25">
      <c r="B661" s="292">
        <v>37</v>
      </c>
      <c r="C661" s="292"/>
      <c r="D661" s="292"/>
      <c r="F661" s="283" t="s">
        <v>103</v>
      </c>
      <c r="G661" s="283"/>
      <c r="J661" s="293">
        <v>4</v>
      </c>
      <c r="K661" s="293"/>
      <c r="L661" s="293"/>
      <c r="M661" s="293"/>
      <c r="N661" s="293"/>
      <c r="P661" s="42">
        <v>1320</v>
      </c>
      <c r="R661" s="42">
        <v>340</v>
      </c>
      <c r="T661" s="284">
        <v>980</v>
      </c>
      <c r="U661" s="284"/>
    </row>
    <row r="662" spans="2:21" x14ac:dyDescent="0.25">
      <c r="B662" s="292">
        <v>38</v>
      </c>
      <c r="C662" s="292"/>
      <c r="D662" s="292"/>
      <c r="F662" s="283" t="s">
        <v>211</v>
      </c>
      <c r="G662" s="283"/>
      <c r="J662" s="293">
        <v>1</v>
      </c>
      <c r="K662" s="293"/>
      <c r="L662" s="293"/>
      <c r="M662" s="293"/>
      <c r="N662" s="293"/>
      <c r="P662" s="42">
        <v>500</v>
      </c>
      <c r="R662" s="42">
        <v>150</v>
      </c>
      <c r="T662" s="284">
        <v>350</v>
      </c>
      <c r="U662" s="284"/>
    </row>
    <row r="663" spans="2:21" x14ac:dyDescent="0.25">
      <c r="B663" s="292">
        <v>39</v>
      </c>
      <c r="C663" s="292"/>
      <c r="D663" s="292"/>
      <c r="F663" s="283" t="s">
        <v>97</v>
      </c>
      <c r="G663" s="283"/>
      <c r="J663" s="293">
        <v>4</v>
      </c>
      <c r="K663" s="293"/>
      <c r="L663" s="293"/>
      <c r="M663" s="293"/>
      <c r="N663" s="293"/>
      <c r="P663" s="42">
        <v>6360</v>
      </c>
      <c r="R663" s="42">
        <v>960</v>
      </c>
      <c r="T663" s="284">
        <v>5400</v>
      </c>
      <c r="U663" s="284"/>
    </row>
    <row r="664" spans="2:21" x14ac:dyDescent="0.25">
      <c r="B664" s="292">
        <v>40</v>
      </c>
      <c r="C664" s="292"/>
      <c r="D664" s="292"/>
      <c r="F664" s="283" t="s">
        <v>93</v>
      </c>
      <c r="G664" s="283"/>
      <c r="J664" s="293">
        <v>2</v>
      </c>
      <c r="K664" s="293"/>
      <c r="L664" s="293"/>
      <c r="M664" s="293"/>
      <c r="N664" s="293"/>
      <c r="P664" s="42">
        <v>1180</v>
      </c>
      <c r="R664" s="42">
        <v>180</v>
      </c>
      <c r="T664" s="284">
        <v>1000</v>
      </c>
      <c r="U664" s="284"/>
    </row>
    <row r="665" spans="2:21" x14ac:dyDescent="0.25">
      <c r="B665" s="292">
        <v>41</v>
      </c>
      <c r="C665" s="292"/>
      <c r="D665" s="292"/>
      <c r="F665" s="283" t="s">
        <v>92</v>
      </c>
      <c r="G665" s="283"/>
      <c r="J665" s="293">
        <v>63</v>
      </c>
      <c r="K665" s="293"/>
      <c r="L665" s="293"/>
      <c r="M665" s="293"/>
      <c r="N665" s="293"/>
      <c r="P665" s="42">
        <v>36080</v>
      </c>
      <c r="R665" s="42">
        <v>8960</v>
      </c>
      <c r="T665" s="284">
        <v>27120</v>
      </c>
      <c r="U665" s="284"/>
    </row>
    <row r="666" spans="2:21" x14ac:dyDescent="0.25">
      <c r="B666" s="292">
        <v>42</v>
      </c>
      <c r="C666" s="292"/>
      <c r="D666" s="292"/>
      <c r="F666" s="283" t="s">
        <v>91</v>
      </c>
      <c r="G666" s="283"/>
      <c r="J666" s="293">
        <v>7</v>
      </c>
      <c r="K666" s="293"/>
      <c r="L666" s="293"/>
      <c r="M666" s="293"/>
      <c r="N666" s="293"/>
      <c r="P666" s="42">
        <v>1750</v>
      </c>
      <c r="R666" s="42">
        <v>280</v>
      </c>
      <c r="T666" s="284">
        <v>1470</v>
      </c>
      <c r="U666" s="284"/>
    </row>
    <row r="667" spans="2:21" x14ac:dyDescent="0.25">
      <c r="B667" s="292">
        <v>43</v>
      </c>
      <c r="C667" s="292"/>
      <c r="D667" s="292"/>
      <c r="F667" s="283" t="s">
        <v>90</v>
      </c>
      <c r="G667" s="283"/>
      <c r="J667" s="293">
        <v>116</v>
      </c>
      <c r="K667" s="293"/>
      <c r="L667" s="293"/>
      <c r="M667" s="293"/>
      <c r="N667" s="293"/>
      <c r="P667" s="42">
        <v>33640</v>
      </c>
      <c r="R667" s="42">
        <v>8240</v>
      </c>
      <c r="T667" s="284">
        <v>25400</v>
      </c>
      <c r="U667" s="284"/>
    </row>
    <row r="668" spans="2:21" x14ac:dyDescent="0.25">
      <c r="B668" s="292">
        <v>44</v>
      </c>
      <c r="C668" s="292"/>
      <c r="D668" s="292"/>
      <c r="F668" s="283" t="s">
        <v>89</v>
      </c>
      <c r="G668" s="283"/>
      <c r="J668" s="293">
        <v>1</v>
      </c>
      <c r="K668" s="293"/>
      <c r="L668" s="293"/>
      <c r="M668" s="293"/>
      <c r="N668" s="293"/>
      <c r="P668" s="42">
        <v>880</v>
      </c>
      <c r="R668" s="42">
        <v>130</v>
      </c>
      <c r="T668" s="284">
        <v>750</v>
      </c>
      <c r="U668" s="284"/>
    </row>
    <row r="669" spans="2:21" x14ac:dyDescent="0.25">
      <c r="B669" s="292">
        <v>45</v>
      </c>
      <c r="C669" s="292"/>
      <c r="D669" s="292"/>
      <c r="F669" s="283" t="s">
        <v>88</v>
      </c>
      <c r="G669" s="283"/>
      <c r="J669" s="293">
        <v>21</v>
      </c>
      <c r="K669" s="293"/>
      <c r="L669" s="293"/>
      <c r="M669" s="293"/>
      <c r="N669" s="293"/>
      <c r="P669" s="42">
        <v>3780</v>
      </c>
      <c r="R669" s="42">
        <v>770</v>
      </c>
      <c r="T669" s="284">
        <v>3010</v>
      </c>
      <c r="U669" s="284"/>
    </row>
    <row r="670" spans="2:21" x14ac:dyDescent="0.25">
      <c r="B670" s="292">
        <v>46</v>
      </c>
      <c r="C670" s="292"/>
      <c r="D670" s="292"/>
      <c r="F670" s="283" t="s">
        <v>85</v>
      </c>
      <c r="G670" s="283"/>
      <c r="J670" s="293">
        <v>1</v>
      </c>
      <c r="K670" s="293"/>
      <c r="L670" s="293"/>
      <c r="M670" s="293"/>
      <c r="N670" s="293"/>
      <c r="P670" s="42">
        <v>2080</v>
      </c>
      <c r="R670" s="42">
        <v>0</v>
      </c>
      <c r="T670" s="284">
        <v>2080</v>
      </c>
      <c r="U670" s="284"/>
    </row>
    <row r="671" spans="2:21" x14ac:dyDescent="0.25">
      <c r="B671" s="292">
        <v>47</v>
      </c>
      <c r="C671" s="292"/>
      <c r="D671" s="292"/>
      <c r="F671" s="283" t="s">
        <v>84</v>
      </c>
      <c r="G671" s="283"/>
      <c r="J671" s="293">
        <v>1</v>
      </c>
      <c r="K671" s="293"/>
      <c r="L671" s="293"/>
      <c r="M671" s="293"/>
      <c r="N671" s="293"/>
      <c r="P671" s="42">
        <v>590</v>
      </c>
      <c r="R671" s="42">
        <v>0</v>
      </c>
      <c r="T671" s="284">
        <v>590</v>
      </c>
      <c r="U671" s="284"/>
    </row>
    <row r="672" spans="2:21" x14ac:dyDescent="0.25">
      <c r="B672" s="292">
        <v>48</v>
      </c>
      <c r="C672" s="292"/>
      <c r="D672" s="292"/>
      <c r="F672" s="283" t="s">
        <v>206</v>
      </c>
      <c r="G672" s="283"/>
      <c r="J672" s="293">
        <v>1</v>
      </c>
      <c r="K672" s="293"/>
      <c r="L672" s="293"/>
      <c r="M672" s="293"/>
      <c r="N672" s="293"/>
      <c r="P672" s="42">
        <v>500</v>
      </c>
      <c r="R672" s="42">
        <v>150</v>
      </c>
      <c r="T672" s="284">
        <v>350</v>
      </c>
      <c r="U672" s="284"/>
    </row>
    <row r="673" spans="1:21" x14ac:dyDescent="0.25">
      <c r="B673" s="292">
        <v>49</v>
      </c>
      <c r="C673" s="292"/>
      <c r="D673" s="292"/>
      <c r="F673" s="283" t="s">
        <v>453</v>
      </c>
      <c r="G673" s="283"/>
      <c r="J673" s="293">
        <v>1</v>
      </c>
      <c r="K673" s="293"/>
      <c r="L673" s="293"/>
      <c r="M673" s="293"/>
      <c r="N673" s="293"/>
      <c r="P673" s="42">
        <v>500</v>
      </c>
      <c r="R673" s="42">
        <v>150</v>
      </c>
      <c r="T673" s="284">
        <v>350</v>
      </c>
      <c r="U673" s="284"/>
    </row>
    <row r="674" spans="1:21" s="40" customFormat="1" x14ac:dyDescent="0.25">
      <c r="A674" s="290" t="s">
        <v>452</v>
      </c>
      <c r="B674" s="290"/>
      <c r="C674" s="290"/>
      <c r="D674" s="290"/>
      <c r="E674" s="290"/>
      <c r="F674" s="290"/>
      <c r="G674" s="290"/>
      <c r="H674" s="290"/>
      <c r="I674" s="290"/>
      <c r="J674" s="290"/>
      <c r="K674" s="291">
        <v>1084</v>
      </c>
      <c r="L674" s="291"/>
      <c r="M674" s="291"/>
      <c r="N674" s="291"/>
      <c r="O674" s="291"/>
      <c r="P674" s="41">
        <v>1874000</v>
      </c>
      <c r="R674" s="41">
        <v>1872950</v>
      </c>
      <c r="T674" s="287">
        <v>1050</v>
      </c>
      <c r="U674" s="287"/>
    </row>
    <row r="675" spans="1:21" x14ac:dyDescent="0.25">
      <c r="B675" s="292">
        <v>1</v>
      </c>
      <c r="C675" s="292"/>
      <c r="D675" s="292"/>
      <c r="F675" s="283" t="s">
        <v>78</v>
      </c>
      <c r="G675" s="283"/>
      <c r="J675" s="293">
        <v>40</v>
      </c>
      <c r="K675" s="293"/>
      <c r="L675" s="293"/>
      <c r="M675" s="293"/>
      <c r="N675" s="293"/>
      <c r="P675" s="42">
        <v>11600</v>
      </c>
      <c r="R675" s="42">
        <v>11600</v>
      </c>
      <c r="T675" s="284">
        <v>0</v>
      </c>
      <c r="U675" s="284"/>
    </row>
    <row r="676" spans="1:21" x14ac:dyDescent="0.25">
      <c r="B676" s="292">
        <v>2</v>
      </c>
      <c r="C676" s="292"/>
      <c r="D676" s="292"/>
      <c r="F676" s="283" t="s">
        <v>292</v>
      </c>
      <c r="G676" s="283"/>
      <c r="J676" s="293">
        <v>1</v>
      </c>
      <c r="K676" s="293"/>
      <c r="L676" s="293"/>
      <c r="M676" s="293"/>
      <c r="N676" s="293"/>
      <c r="P676" s="42">
        <v>700</v>
      </c>
      <c r="R676" s="42">
        <v>700</v>
      </c>
      <c r="T676" s="284">
        <v>0</v>
      </c>
      <c r="U676" s="284"/>
    </row>
    <row r="677" spans="1:21" x14ac:dyDescent="0.25">
      <c r="B677" s="292">
        <v>3</v>
      </c>
      <c r="C677" s="292"/>
      <c r="D677" s="292"/>
      <c r="F677" s="283" t="s">
        <v>77</v>
      </c>
      <c r="G677" s="283"/>
      <c r="J677" s="293">
        <v>350</v>
      </c>
      <c r="K677" s="293"/>
      <c r="L677" s="293"/>
      <c r="M677" s="293"/>
      <c r="N677" s="293"/>
      <c r="P677" s="42">
        <v>142800</v>
      </c>
      <c r="R677" s="42">
        <v>142800</v>
      </c>
      <c r="T677" s="284">
        <v>0</v>
      </c>
      <c r="U677" s="284"/>
    </row>
    <row r="678" spans="1:21" x14ac:dyDescent="0.25">
      <c r="B678" s="292">
        <v>4</v>
      </c>
      <c r="C678" s="292"/>
      <c r="D678" s="292"/>
      <c r="F678" s="283" t="s">
        <v>76</v>
      </c>
      <c r="G678" s="283"/>
      <c r="J678" s="293">
        <v>4</v>
      </c>
      <c r="K678" s="293"/>
      <c r="L678" s="293"/>
      <c r="M678" s="293"/>
      <c r="N678" s="293"/>
      <c r="P678" s="42">
        <v>2400</v>
      </c>
      <c r="R678" s="42">
        <v>2400</v>
      </c>
      <c r="T678" s="284">
        <v>0</v>
      </c>
      <c r="U678" s="284"/>
    </row>
    <row r="679" spans="1:21" x14ac:dyDescent="0.25">
      <c r="B679" s="292">
        <v>5</v>
      </c>
      <c r="C679" s="292"/>
      <c r="D679" s="292"/>
      <c r="F679" s="283" t="s">
        <v>75</v>
      </c>
      <c r="G679" s="283"/>
      <c r="J679" s="293">
        <v>686</v>
      </c>
      <c r="K679" s="293"/>
      <c r="L679" s="293"/>
      <c r="M679" s="293"/>
      <c r="N679" s="293"/>
      <c r="P679" s="42">
        <v>1715000</v>
      </c>
      <c r="R679" s="42">
        <v>1715000</v>
      </c>
      <c r="T679" s="284">
        <v>0</v>
      </c>
      <c r="U679" s="284"/>
    </row>
    <row r="680" spans="1:21" x14ac:dyDescent="0.25">
      <c r="B680" s="292">
        <v>6</v>
      </c>
      <c r="C680" s="292"/>
      <c r="D680" s="292"/>
      <c r="F680" s="283" t="s">
        <v>219</v>
      </c>
      <c r="G680" s="283"/>
      <c r="J680" s="293">
        <v>1</v>
      </c>
      <c r="K680" s="293"/>
      <c r="L680" s="293"/>
      <c r="M680" s="293"/>
      <c r="N680" s="293"/>
      <c r="P680" s="42">
        <v>500</v>
      </c>
      <c r="R680" s="42">
        <v>150</v>
      </c>
      <c r="T680" s="284">
        <v>350</v>
      </c>
      <c r="U680" s="284"/>
    </row>
    <row r="681" spans="1:21" x14ac:dyDescent="0.25">
      <c r="B681" s="292">
        <v>7</v>
      </c>
      <c r="C681" s="292"/>
      <c r="D681" s="292"/>
      <c r="F681" s="283" t="s">
        <v>331</v>
      </c>
      <c r="G681" s="283"/>
      <c r="J681" s="293">
        <v>2</v>
      </c>
      <c r="K681" s="293"/>
      <c r="L681" s="293"/>
      <c r="M681" s="293"/>
      <c r="N681" s="293"/>
      <c r="P681" s="42">
        <v>1000</v>
      </c>
      <c r="R681" s="42">
        <v>300</v>
      </c>
      <c r="T681" s="284">
        <v>700</v>
      </c>
      <c r="U681" s="284"/>
    </row>
    <row r="682" spans="1:21" s="40" customFormat="1" x14ac:dyDescent="0.25">
      <c r="A682" s="290" t="s">
        <v>451</v>
      </c>
      <c r="B682" s="290"/>
      <c r="C682" s="290"/>
      <c r="D682" s="290"/>
      <c r="E682" s="290"/>
      <c r="F682" s="290"/>
      <c r="G682" s="290"/>
      <c r="H682" s="290"/>
      <c r="I682" s="290"/>
      <c r="J682" s="290"/>
      <c r="K682" s="291">
        <v>4416</v>
      </c>
      <c r="L682" s="291"/>
      <c r="M682" s="291"/>
      <c r="N682" s="291"/>
      <c r="O682" s="291"/>
      <c r="P682" s="41">
        <v>3885715</v>
      </c>
      <c r="R682" s="41">
        <v>3186083</v>
      </c>
      <c r="T682" s="287">
        <v>699632</v>
      </c>
      <c r="U682" s="287"/>
    </row>
    <row r="683" spans="1:21" x14ac:dyDescent="0.25">
      <c r="B683" s="292">
        <v>1</v>
      </c>
      <c r="C683" s="292"/>
      <c r="D683" s="292"/>
      <c r="F683" s="283" t="s">
        <v>200</v>
      </c>
      <c r="G683" s="283"/>
      <c r="J683" s="293">
        <v>1</v>
      </c>
      <c r="K683" s="293"/>
      <c r="L683" s="293"/>
      <c r="M683" s="293"/>
      <c r="N683" s="293"/>
      <c r="P683" s="42">
        <v>500</v>
      </c>
      <c r="R683" s="42">
        <v>150</v>
      </c>
      <c r="T683" s="284">
        <v>350</v>
      </c>
      <c r="U683" s="284"/>
    </row>
    <row r="684" spans="1:21" x14ac:dyDescent="0.25">
      <c r="B684" s="292">
        <v>2</v>
      </c>
      <c r="C684" s="292"/>
      <c r="D684" s="292"/>
      <c r="F684" s="283" t="s">
        <v>250</v>
      </c>
      <c r="G684" s="283"/>
      <c r="J684" s="293">
        <v>1</v>
      </c>
      <c r="K684" s="293"/>
      <c r="L684" s="293"/>
      <c r="M684" s="293"/>
      <c r="N684" s="293"/>
      <c r="P684" s="42">
        <v>500</v>
      </c>
      <c r="R684" s="42">
        <v>150</v>
      </c>
      <c r="T684" s="284">
        <v>350</v>
      </c>
      <c r="U684" s="284"/>
    </row>
    <row r="685" spans="1:21" x14ac:dyDescent="0.25">
      <c r="B685" s="292">
        <v>3</v>
      </c>
      <c r="C685" s="292"/>
      <c r="D685" s="292"/>
      <c r="F685" s="283" t="s">
        <v>78</v>
      </c>
      <c r="G685" s="283"/>
      <c r="J685" s="293">
        <v>174</v>
      </c>
      <c r="K685" s="293"/>
      <c r="L685" s="293"/>
      <c r="M685" s="293"/>
      <c r="N685" s="293"/>
      <c r="P685" s="42">
        <v>50460</v>
      </c>
      <c r="R685" s="42">
        <v>50460</v>
      </c>
      <c r="T685" s="284">
        <v>0</v>
      </c>
      <c r="U685" s="284"/>
    </row>
    <row r="686" spans="1:21" x14ac:dyDescent="0.25">
      <c r="B686" s="292">
        <v>4</v>
      </c>
      <c r="C686" s="292"/>
      <c r="D686" s="292"/>
      <c r="F686" s="283" t="s">
        <v>167</v>
      </c>
      <c r="G686" s="283"/>
      <c r="J686" s="293">
        <v>2</v>
      </c>
      <c r="K686" s="293"/>
      <c r="L686" s="293"/>
      <c r="M686" s="293"/>
      <c r="N686" s="293"/>
      <c r="P686" s="42">
        <v>1140</v>
      </c>
      <c r="R686" s="42">
        <v>340</v>
      </c>
      <c r="T686" s="284">
        <v>800</v>
      </c>
      <c r="U686" s="284"/>
    </row>
    <row r="687" spans="1:21" x14ac:dyDescent="0.25">
      <c r="B687" s="292">
        <v>5</v>
      </c>
      <c r="C687" s="292"/>
      <c r="D687" s="292"/>
      <c r="F687" s="283" t="s">
        <v>329</v>
      </c>
      <c r="G687" s="283"/>
      <c r="J687" s="293">
        <v>1</v>
      </c>
      <c r="K687" s="293"/>
      <c r="L687" s="293"/>
      <c r="M687" s="293"/>
      <c r="N687" s="293"/>
      <c r="P687" s="42">
        <v>1200</v>
      </c>
      <c r="R687" s="42">
        <v>180</v>
      </c>
      <c r="T687" s="284">
        <v>1020</v>
      </c>
      <c r="U687" s="284"/>
    </row>
    <row r="688" spans="1:21" x14ac:dyDescent="0.25">
      <c r="B688" s="292">
        <v>6</v>
      </c>
      <c r="C688" s="292"/>
      <c r="D688" s="292"/>
      <c r="F688" s="283" t="s">
        <v>165</v>
      </c>
      <c r="G688" s="283"/>
      <c r="J688" s="293">
        <v>1</v>
      </c>
      <c r="K688" s="293"/>
      <c r="L688" s="293"/>
      <c r="M688" s="293"/>
      <c r="N688" s="293"/>
      <c r="P688" s="42">
        <v>590</v>
      </c>
      <c r="R688" s="42">
        <v>180</v>
      </c>
      <c r="T688" s="284">
        <v>410</v>
      </c>
      <c r="U688" s="284"/>
    </row>
    <row r="689" spans="2:21" x14ac:dyDescent="0.25">
      <c r="B689" s="292">
        <v>7</v>
      </c>
      <c r="C689" s="292"/>
      <c r="D689" s="292"/>
      <c r="F689" s="283" t="s">
        <v>164</v>
      </c>
      <c r="G689" s="283"/>
      <c r="J689" s="293">
        <v>1</v>
      </c>
      <c r="K689" s="293"/>
      <c r="L689" s="293"/>
      <c r="M689" s="293"/>
      <c r="N689" s="293"/>
      <c r="P689" s="42">
        <v>590</v>
      </c>
      <c r="R689" s="42">
        <v>180</v>
      </c>
      <c r="T689" s="284">
        <v>410</v>
      </c>
      <c r="U689" s="284"/>
    </row>
    <row r="690" spans="2:21" x14ac:dyDescent="0.25">
      <c r="B690" s="292">
        <v>8</v>
      </c>
      <c r="C690" s="292"/>
      <c r="D690" s="292"/>
      <c r="F690" s="283" t="s">
        <v>163</v>
      </c>
      <c r="G690" s="283"/>
      <c r="J690" s="293">
        <v>6</v>
      </c>
      <c r="K690" s="293"/>
      <c r="L690" s="293"/>
      <c r="M690" s="293"/>
      <c r="N690" s="293"/>
      <c r="P690" s="42">
        <v>7140</v>
      </c>
      <c r="R690" s="42">
        <v>1080</v>
      </c>
      <c r="T690" s="284">
        <v>6060</v>
      </c>
      <c r="U690" s="284"/>
    </row>
    <row r="691" spans="2:21" x14ac:dyDescent="0.25">
      <c r="B691" s="292">
        <v>9</v>
      </c>
      <c r="C691" s="292"/>
      <c r="D691" s="292"/>
      <c r="F691" s="283" t="s">
        <v>162</v>
      </c>
      <c r="G691" s="283"/>
      <c r="J691" s="293">
        <v>16</v>
      </c>
      <c r="K691" s="293"/>
      <c r="L691" s="293"/>
      <c r="M691" s="293"/>
      <c r="N691" s="293"/>
      <c r="P691" s="42">
        <v>6880</v>
      </c>
      <c r="R691" s="42">
        <v>2824</v>
      </c>
      <c r="T691" s="284">
        <v>4056</v>
      </c>
      <c r="U691" s="284"/>
    </row>
    <row r="692" spans="2:21" x14ac:dyDescent="0.25">
      <c r="B692" s="292">
        <v>10</v>
      </c>
      <c r="C692" s="292"/>
      <c r="D692" s="292"/>
      <c r="F692" s="283" t="s">
        <v>198</v>
      </c>
      <c r="G692" s="283"/>
      <c r="J692" s="293">
        <v>1</v>
      </c>
      <c r="K692" s="293"/>
      <c r="L692" s="293"/>
      <c r="M692" s="293"/>
      <c r="N692" s="293"/>
      <c r="P692" s="42">
        <v>290</v>
      </c>
      <c r="R692" s="42">
        <v>80</v>
      </c>
      <c r="T692" s="284">
        <v>210</v>
      </c>
      <c r="U692" s="284"/>
    </row>
    <row r="693" spans="2:21" x14ac:dyDescent="0.25">
      <c r="B693" s="292">
        <v>11</v>
      </c>
      <c r="C693" s="292"/>
      <c r="D693" s="292"/>
      <c r="F693" s="283" t="s">
        <v>161</v>
      </c>
      <c r="G693" s="283"/>
      <c r="J693" s="293">
        <v>9</v>
      </c>
      <c r="K693" s="293"/>
      <c r="L693" s="293"/>
      <c r="M693" s="293"/>
      <c r="N693" s="293"/>
      <c r="P693" s="42">
        <v>225</v>
      </c>
      <c r="R693" s="42">
        <v>45</v>
      </c>
      <c r="T693" s="284">
        <v>180</v>
      </c>
      <c r="U693" s="284"/>
    </row>
    <row r="694" spans="2:21" x14ac:dyDescent="0.25">
      <c r="B694" s="292">
        <v>12</v>
      </c>
      <c r="C694" s="292"/>
      <c r="D694" s="292"/>
      <c r="F694" s="283" t="s">
        <v>160</v>
      </c>
      <c r="G694" s="283"/>
      <c r="J694" s="293">
        <v>7</v>
      </c>
      <c r="K694" s="293"/>
      <c r="L694" s="293"/>
      <c r="M694" s="293"/>
      <c r="N694" s="293"/>
      <c r="P694" s="42">
        <v>2030</v>
      </c>
      <c r="R694" s="42">
        <v>512</v>
      </c>
      <c r="T694" s="284">
        <v>1518</v>
      </c>
      <c r="U694" s="284"/>
    </row>
    <row r="695" spans="2:21" x14ac:dyDescent="0.25">
      <c r="B695" s="292">
        <v>13</v>
      </c>
      <c r="C695" s="292"/>
      <c r="D695" s="292"/>
      <c r="F695" s="283" t="s">
        <v>159</v>
      </c>
      <c r="G695" s="283"/>
      <c r="J695" s="293">
        <v>472</v>
      </c>
      <c r="K695" s="293"/>
      <c r="L695" s="293"/>
      <c r="M695" s="293"/>
      <c r="N695" s="293"/>
      <c r="P695" s="42">
        <v>0</v>
      </c>
      <c r="R695" s="42">
        <v>0</v>
      </c>
      <c r="T695" s="284">
        <v>0</v>
      </c>
      <c r="U695" s="284"/>
    </row>
    <row r="696" spans="2:21" x14ac:dyDescent="0.25">
      <c r="B696" s="292">
        <v>14</v>
      </c>
      <c r="C696" s="292"/>
      <c r="D696" s="292"/>
      <c r="F696" s="283" t="s">
        <v>158</v>
      </c>
      <c r="G696" s="283"/>
      <c r="J696" s="293">
        <v>335</v>
      </c>
      <c r="K696" s="293"/>
      <c r="L696" s="293"/>
      <c r="M696" s="293"/>
      <c r="N696" s="293"/>
      <c r="P696" s="42">
        <v>184250</v>
      </c>
      <c r="R696" s="42">
        <v>55330</v>
      </c>
      <c r="T696" s="284">
        <v>128920</v>
      </c>
      <c r="U696" s="284"/>
    </row>
    <row r="697" spans="2:21" x14ac:dyDescent="0.25">
      <c r="B697" s="292">
        <v>15</v>
      </c>
      <c r="C697" s="292"/>
      <c r="D697" s="292"/>
      <c r="F697" s="283" t="s">
        <v>157</v>
      </c>
      <c r="G697" s="283"/>
      <c r="J697" s="293">
        <v>115</v>
      </c>
      <c r="K697" s="293"/>
      <c r="L697" s="293"/>
      <c r="M697" s="293"/>
      <c r="N697" s="293"/>
      <c r="P697" s="42">
        <v>56350</v>
      </c>
      <c r="R697" s="42">
        <v>24895</v>
      </c>
      <c r="T697" s="284">
        <v>31455</v>
      </c>
      <c r="U697" s="284"/>
    </row>
    <row r="698" spans="2:21" x14ac:dyDescent="0.25">
      <c r="B698" s="292">
        <v>16</v>
      </c>
      <c r="C698" s="292"/>
      <c r="D698" s="292"/>
      <c r="F698" s="283" t="s">
        <v>197</v>
      </c>
      <c r="G698" s="283"/>
      <c r="J698" s="293">
        <v>2</v>
      </c>
      <c r="K698" s="293"/>
      <c r="L698" s="293"/>
      <c r="M698" s="293"/>
      <c r="N698" s="293"/>
      <c r="P698" s="42">
        <v>1000</v>
      </c>
      <c r="R698" s="42">
        <v>300</v>
      </c>
      <c r="T698" s="284">
        <v>700</v>
      </c>
      <c r="U698" s="284"/>
    </row>
    <row r="699" spans="2:21" x14ac:dyDescent="0.25">
      <c r="B699" s="292">
        <v>17</v>
      </c>
      <c r="C699" s="292"/>
      <c r="D699" s="292"/>
      <c r="F699" s="283" t="s">
        <v>293</v>
      </c>
      <c r="G699" s="283"/>
      <c r="J699" s="293">
        <v>1</v>
      </c>
      <c r="K699" s="293"/>
      <c r="L699" s="293"/>
      <c r="M699" s="293"/>
      <c r="N699" s="293"/>
      <c r="P699" s="42">
        <v>900</v>
      </c>
      <c r="R699" s="42">
        <v>270</v>
      </c>
      <c r="T699" s="284">
        <v>630</v>
      </c>
      <c r="U699" s="284"/>
    </row>
    <row r="700" spans="2:21" x14ac:dyDescent="0.25">
      <c r="B700" s="292">
        <v>18</v>
      </c>
      <c r="C700" s="292"/>
      <c r="D700" s="292"/>
      <c r="F700" s="283" t="s">
        <v>196</v>
      </c>
      <c r="G700" s="283"/>
      <c r="J700" s="293">
        <v>2</v>
      </c>
      <c r="K700" s="293"/>
      <c r="L700" s="293"/>
      <c r="M700" s="293"/>
      <c r="N700" s="293"/>
      <c r="P700" s="42">
        <v>1400</v>
      </c>
      <c r="R700" s="42">
        <v>700</v>
      </c>
      <c r="T700" s="284">
        <v>700</v>
      </c>
      <c r="U700" s="284"/>
    </row>
    <row r="701" spans="2:21" x14ac:dyDescent="0.25">
      <c r="B701" s="292">
        <v>19</v>
      </c>
      <c r="C701" s="292"/>
      <c r="D701" s="292"/>
      <c r="F701" s="283" t="s">
        <v>244</v>
      </c>
      <c r="G701" s="283"/>
      <c r="J701" s="293">
        <v>1</v>
      </c>
      <c r="K701" s="293"/>
      <c r="L701" s="293"/>
      <c r="M701" s="293"/>
      <c r="N701" s="293"/>
      <c r="P701" s="42">
        <v>500</v>
      </c>
      <c r="R701" s="42">
        <v>500</v>
      </c>
      <c r="T701" s="284">
        <v>0</v>
      </c>
      <c r="U701" s="284"/>
    </row>
    <row r="702" spans="2:21" x14ac:dyDescent="0.25">
      <c r="B702" s="292">
        <v>20</v>
      </c>
      <c r="C702" s="292"/>
      <c r="D702" s="292"/>
      <c r="F702" s="283" t="s">
        <v>77</v>
      </c>
      <c r="G702" s="283"/>
      <c r="J702" s="293">
        <v>901</v>
      </c>
      <c r="K702" s="293"/>
      <c r="L702" s="293"/>
      <c r="M702" s="293"/>
      <c r="N702" s="293"/>
      <c r="P702" s="42">
        <v>377000</v>
      </c>
      <c r="R702" s="42">
        <v>377000</v>
      </c>
      <c r="T702" s="284">
        <v>0</v>
      </c>
      <c r="U702" s="284"/>
    </row>
    <row r="703" spans="2:21" x14ac:dyDescent="0.25">
      <c r="B703" s="292">
        <v>21</v>
      </c>
      <c r="C703" s="292"/>
      <c r="D703" s="292"/>
      <c r="F703" s="283" t="s">
        <v>156</v>
      </c>
      <c r="G703" s="283"/>
      <c r="J703" s="293">
        <v>7</v>
      </c>
      <c r="K703" s="293"/>
      <c r="L703" s="293"/>
      <c r="M703" s="293"/>
      <c r="N703" s="293"/>
      <c r="P703" s="42">
        <v>1330</v>
      </c>
      <c r="R703" s="42">
        <v>450</v>
      </c>
      <c r="T703" s="284">
        <v>880</v>
      </c>
      <c r="U703" s="284"/>
    </row>
    <row r="704" spans="2:21" x14ac:dyDescent="0.25">
      <c r="B704" s="292">
        <v>22</v>
      </c>
      <c r="C704" s="292"/>
      <c r="D704" s="292"/>
      <c r="F704" s="283" t="s">
        <v>155</v>
      </c>
      <c r="G704" s="283"/>
      <c r="J704" s="293">
        <v>53</v>
      </c>
      <c r="K704" s="293"/>
      <c r="L704" s="293"/>
      <c r="M704" s="293"/>
      <c r="N704" s="293"/>
      <c r="P704" s="42">
        <v>13250</v>
      </c>
      <c r="R704" s="42">
        <v>4435</v>
      </c>
      <c r="T704" s="284">
        <v>8815</v>
      </c>
      <c r="U704" s="284"/>
    </row>
    <row r="705" spans="2:21" x14ac:dyDescent="0.25">
      <c r="B705" s="292">
        <v>23</v>
      </c>
      <c r="C705" s="292"/>
      <c r="D705" s="292"/>
      <c r="F705" s="283" t="s">
        <v>154</v>
      </c>
      <c r="G705" s="283"/>
      <c r="J705" s="293">
        <v>7</v>
      </c>
      <c r="K705" s="293"/>
      <c r="L705" s="293"/>
      <c r="M705" s="293"/>
      <c r="N705" s="293"/>
      <c r="P705" s="42">
        <v>6230</v>
      </c>
      <c r="R705" s="42">
        <v>910</v>
      </c>
      <c r="T705" s="284">
        <v>5320</v>
      </c>
      <c r="U705" s="284"/>
    </row>
    <row r="706" spans="2:21" x14ac:dyDescent="0.25">
      <c r="B706" s="292">
        <v>24</v>
      </c>
      <c r="C706" s="292"/>
      <c r="D706" s="292"/>
      <c r="F706" s="283" t="s">
        <v>153</v>
      </c>
      <c r="G706" s="283"/>
      <c r="J706" s="293">
        <v>1</v>
      </c>
      <c r="K706" s="293"/>
      <c r="L706" s="293"/>
      <c r="M706" s="293"/>
      <c r="N706" s="293"/>
      <c r="P706" s="42">
        <v>1180</v>
      </c>
      <c r="R706" s="42">
        <v>180</v>
      </c>
      <c r="T706" s="284">
        <v>1000</v>
      </c>
      <c r="U706" s="284"/>
    </row>
    <row r="707" spans="2:21" x14ac:dyDescent="0.25">
      <c r="B707" s="292">
        <v>25</v>
      </c>
      <c r="C707" s="292"/>
      <c r="D707" s="292"/>
      <c r="F707" s="283" t="s">
        <v>322</v>
      </c>
      <c r="G707" s="283"/>
      <c r="J707" s="293">
        <v>1</v>
      </c>
      <c r="K707" s="293"/>
      <c r="L707" s="293"/>
      <c r="M707" s="293"/>
      <c r="N707" s="293"/>
      <c r="P707" s="42">
        <v>1180</v>
      </c>
      <c r="R707" s="42">
        <v>180</v>
      </c>
      <c r="T707" s="284">
        <v>1000</v>
      </c>
      <c r="U707" s="284"/>
    </row>
    <row r="708" spans="2:21" x14ac:dyDescent="0.25">
      <c r="B708" s="292">
        <v>26</v>
      </c>
      <c r="C708" s="292"/>
      <c r="D708" s="292"/>
      <c r="F708" s="283" t="s">
        <v>321</v>
      </c>
      <c r="G708" s="283"/>
      <c r="J708" s="293">
        <v>1</v>
      </c>
      <c r="K708" s="293"/>
      <c r="L708" s="293"/>
      <c r="M708" s="293"/>
      <c r="N708" s="293"/>
      <c r="P708" s="42">
        <v>500</v>
      </c>
      <c r="R708" s="42">
        <v>150</v>
      </c>
      <c r="T708" s="284">
        <v>350</v>
      </c>
      <c r="U708" s="284"/>
    </row>
    <row r="709" spans="2:21" x14ac:dyDescent="0.25">
      <c r="B709" s="292">
        <v>27</v>
      </c>
      <c r="C709" s="292"/>
      <c r="D709" s="292"/>
      <c r="F709" s="283" t="s">
        <v>152</v>
      </c>
      <c r="G709" s="283"/>
      <c r="J709" s="293">
        <v>11</v>
      </c>
      <c r="K709" s="293"/>
      <c r="L709" s="293"/>
      <c r="M709" s="293"/>
      <c r="N709" s="293"/>
      <c r="P709" s="42">
        <v>6490</v>
      </c>
      <c r="R709" s="42">
        <v>1930</v>
      </c>
      <c r="T709" s="284">
        <v>4560</v>
      </c>
      <c r="U709" s="284"/>
    </row>
    <row r="710" spans="2:21" x14ac:dyDescent="0.25">
      <c r="B710" s="292">
        <v>28</v>
      </c>
      <c r="C710" s="292"/>
      <c r="D710" s="292"/>
      <c r="F710" s="283" t="s">
        <v>151</v>
      </c>
      <c r="G710" s="283"/>
      <c r="J710" s="293">
        <v>14</v>
      </c>
      <c r="K710" s="293"/>
      <c r="L710" s="293"/>
      <c r="M710" s="293"/>
      <c r="N710" s="293"/>
      <c r="P710" s="42">
        <v>3220</v>
      </c>
      <c r="R710" s="42">
        <v>1010</v>
      </c>
      <c r="T710" s="284">
        <v>2210</v>
      </c>
      <c r="U710" s="284"/>
    </row>
    <row r="711" spans="2:21" x14ac:dyDescent="0.25">
      <c r="B711" s="292">
        <v>29</v>
      </c>
      <c r="C711" s="292"/>
      <c r="D711" s="292"/>
      <c r="F711" s="283" t="s">
        <v>150</v>
      </c>
      <c r="G711" s="283"/>
      <c r="J711" s="293">
        <v>53</v>
      </c>
      <c r="K711" s="293"/>
      <c r="L711" s="293"/>
      <c r="M711" s="293"/>
      <c r="N711" s="293"/>
      <c r="P711" s="42">
        <v>9010</v>
      </c>
      <c r="R711" s="42">
        <v>2600</v>
      </c>
      <c r="T711" s="284">
        <v>6410</v>
      </c>
      <c r="U711" s="284"/>
    </row>
    <row r="712" spans="2:21" x14ac:dyDescent="0.25">
      <c r="B712" s="292">
        <v>30</v>
      </c>
      <c r="C712" s="292"/>
      <c r="D712" s="292"/>
      <c r="F712" s="283" t="s">
        <v>149</v>
      </c>
      <c r="G712" s="283"/>
      <c r="J712" s="293">
        <v>8</v>
      </c>
      <c r="K712" s="293"/>
      <c r="L712" s="293"/>
      <c r="M712" s="293"/>
      <c r="N712" s="293"/>
      <c r="P712" s="42">
        <v>400</v>
      </c>
      <c r="R712" s="42">
        <v>80</v>
      </c>
      <c r="T712" s="284">
        <v>320</v>
      </c>
      <c r="U712" s="284"/>
    </row>
    <row r="713" spans="2:21" x14ac:dyDescent="0.25">
      <c r="B713" s="292">
        <v>31</v>
      </c>
      <c r="C713" s="292"/>
      <c r="D713" s="292"/>
      <c r="F713" s="283" t="s">
        <v>147</v>
      </c>
      <c r="G713" s="283"/>
      <c r="J713" s="293">
        <v>4</v>
      </c>
      <c r="K713" s="293"/>
      <c r="L713" s="293"/>
      <c r="M713" s="293"/>
      <c r="N713" s="293"/>
      <c r="P713" s="42">
        <v>120</v>
      </c>
      <c r="R713" s="42">
        <v>0</v>
      </c>
      <c r="T713" s="284">
        <v>120</v>
      </c>
      <c r="U713" s="284"/>
    </row>
    <row r="714" spans="2:21" x14ac:dyDescent="0.25">
      <c r="B714" s="292">
        <v>32</v>
      </c>
      <c r="C714" s="292"/>
      <c r="D714" s="292"/>
      <c r="F714" s="283" t="s">
        <v>146</v>
      </c>
      <c r="G714" s="283"/>
      <c r="J714" s="293">
        <v>3</v>
      </c>
      <c r="K714" s="293"/>
      <c r="L714" s="293"/>
      <c r="M714" s="293"/>
      <c r="N714" s="293"/>
      <c r="P714" s="42">
        <v>150</v>
      </c>
      <c r="R714" s="42">
        <v>0</v>
      </c>
      <c r="T714" s="284">
        <v>150</v>
      </c>
      <c r="U714" s="284"/>
    </row>
    <row r="715" spans="2:21" x14ac:dyDescent="0.25">
      <c r="B715" s="292">
        <v>33</v>
      </c>
      <c r="C715" s="292"/>
      <c r="D715" s="292"/>
      <c r="F715" s="283" t="s">
        <v>145</v>
      </c>
      <c r="G715" s="283"/>
      <c r="J715" s="293">
        <v>15</v>
      </c>
      <c r="K715" s="293"/>
      <c r="L715" s="293"/>
      <c r="M715" s="293"/>
      <c r="N715" s="293"/>
      <c r="P715" s="42">
        <v>2250</v>
      </c>
      <c r="R715" s="42">
        <v>0</v>
      </c>
      <c r="T715" s="284">
        <v>2250</v>
      </c>
      <c r="U715" s="284"/>
    </row>
    <row r="716" spans="2:21" x14ac:dyDescent="0.25">
      <c r="B716" s="292">
        <v>34</v>
      </c>
      <c r="C716" s="292"/>
      <c r="D716" s="292"/>
      <c r="F716" s="283" t="s">
        <v>143</v>
      </c>
      <c r="G716" s="283"/>
      <c r="J716" s="293">
        <v>2</v>
      </c>
      <c r="K716" s="293"/>
      <c r="L716" s="293"/>
      <c r="M716" s="293"/>
      <c r="N716" s="293"/>
      <c r="P716" s="42">
        <v>200</v>
      </c>
      <c r="R716" s="42">
        <v>0</v>
      </c>
      <c r="T716" s="284">
        <v>200</v>
      </c>
      <c r="U716" s="284"/>
    </row>
    <row r="717" spans="2:21" x14ac:dyDescent="0.25">
      <c r="B717" s="292">
        <v>35</v>
      </c>
      <c r="C717" s="292"/>
      <c r="D717" s="292"/>
      <c r="F717" s="283" t="s">
        <v>234</v>
      </c>
      <c r="G717" s="283"/>
      <c r="J717" s="293">
        <v>1</v>
      </c>
      <c r="K717" s="293"/>
      <c r="L717" s="293"/>
      <c r="M717" s="293"/>
      <c r="N717" s="293"/>
      <c r="P717" s="42">
        <v>800</v>
      </c>
      <c r="R717" s="42">
        <v>450</v>
      </c>
      <c r="T717" s="284">
        <v>350</v>
      </c>
      <c r="U717" s="284"/>
    </row>
    <row r="718" spans="2:21" x14ac:dyDescent="0.25">
      <c r="B718" s="292">
        <v>36</v>
      </c>
      <c r="C718" s="292"/>
      <c r="D718" s="292"/>
      <c r="F718" s="283" t="s">
        <v>287</v>
      </c>
      <c r="G718" s="283"/>
      <c r="J718" s="293">
        <v>1</v>
      </c>
      <c r="K718" s="293"/>
      <c r="L718" s="293"/>
      <c r="M718" s="293"/>
      <c r="N718" s="293"/>
      <c r="P718" s="42">
        <v>800</v>
      </c>
      <c r="R718" s="42">
        <v>450</v>
      </c>
      <c r="T718" s="284">
        <v>350</v>
      </c>
      <c r="U718" s="284"/>
    </row>
    <row r="719" spans="2:21" x14ac:dyDescent="0.25">
      <c r="B719" s="292">
        <v>37</v>
      </c>
      <c r="C719" s="292"/>
      <c r="D719" s="292"/>
      <c r="F719" s="283" t="s">
        <v>286</v>
      </c>
      <c r="G719" s="283"/>
      <c r="J719" s="293">
        <v>1</v>
      </c>
      <c r="K719" s="293"/>
      <c r="L719" s="293"/>
      <c r="M719" s="293"/>
      <c r="N719" s="293"/>
      <c r="P719" s="42">
        <v>800</v>
      </c>
      <c r="R719" s="42">
        <v>450</v>
      </c>
      <c r="T719" s="284">
        <v>350</v>
      </c>
      <c r="U719" s="284"/>
    </row>
    <row r="720" spans="2:21" x14ac:dyDescent="0.25">
      <c r="B720" s="292">
        <v>38</v>
      </c>
      <c r="C720" s="292"/>
      <c r="D720" s="292"/>
      <c r="F720" s="283" t="s">
        <v>232</v>
      </c>
      <c r="G720" s="283"/>
      <c r="J720" s="293">
        <v>1</v>
      </c>
      <c r="K720" s="293"/>
      <c r="L720" s="293"/>
      <c r="M720" s="293"/>
      <c r="N720" s="293"/>
      <c r="P720" s="42">
        <v>980</v>
      </c>
      <c r="R720" s="42">
        <v>150</v>
      </c>
      <c r="T720" s="284">
        <v>830</v>
      </c>
      <c r="U720" s="284"/>
    </row>
    <row r="721" spans="2:21" x14ac:dyDescent="0.25">
      <c r="B721" s="292">
        <v>39</v>
      </c>
      <c r="C721" s="292"/>
      <c r="D721" s="292"/>
      <c r="F721" s="283" t="s">
        <v>193</v>
      </c>
      <c r="G721" s="283"/>
      <c r="J721" s="293">
        <v>1</v>
      </c>
      <c r="K721" s="293"/>
      <c r="L721" s="293"/>
      <c r="M721" s="293"/>
      <c r="N721" s="293"/>
      <c r="P721" s="42">
        <v>890</v>
      </c>
      <c r="R721" s="42">
        <v>130</v>
      </c>
      <c r="T721" s="284">
        <v>760</v>
      </c>
      <c r="U721" s="284"/>
    </row>
    <row r="722" spans="2:21" x14ac:dyDescent="0.25">
      <c r="B722" s="292">
        <v>40</v>
      </c>
      <c r="C722" s="292"/>
      <c r="D722" s="292"/>
      <c r="F722" s="283" t="s">
        <v>75</v>
      </c>
      <c r="G722" s="283"/>
      <c r="J722" s="293">
        <v>971</v>
      </c>
      <c r="K722" s="293"/>
      <c r="L722" s="293"/>
      <c r="M722" s="293"/>
      <c r="N722" s="293"/>
      <c r="P722" s="42">
        <v>2427500</v>
      </c>
      <c r="R722" s="42">
        <v>2427500</v>
      </c>
      <c r="T722" s="284">
        <v>0</v>
      </c>
      <c r="U722" s="284"/>
    </row>
    <row r="723" spans="2:21" x14ac:dyDescent="0.25">
      <c r="B723" s="292">
        <v>41</v>
      </c>
      <c r="C723" s="292"/>
      <c r="D723" s="292"/>
      <c r="F723" s="283" t="s">
        <v>141</v>
      </c>
      <c r="G723" s="283"/>
      <c r="J723" s="293">
        <v>51</v>
      </c>
      <c r="K723" s="293"/>
      <c r="L723" s="293"/>
      <c r="M723" s="293"/>
      <c r="N723" s="293"/>
      <c r="P723" s="42">
        <v>3825</v>
      </c>
      <c r="R723" s="42">
        <v>1122</v>
      </c>
      <c r="T723" s="284">
        <v>2703</v>
      </c>
      <c r="U723" s="284"/>
    </row>
    <row r="724" spans="2:21" x14ac:dyDescent="0.25">
      <c r="B724" s="292">
        <v>42</v>
      </c>
      <c r="C724" s="292"/>
      <c r="D724" s="292"/>
      <c r="F724" s="283" t="s">
        <v>139</v>
      </c>
      <c r="G724" s="283"/>
      <c r="J724" s="293">
        <v>2</v>
      </c>
      <c r="K724" s="293"/>
      <c r="L724" s="293"/>
      <c r="M724" s="293"/>
      <c r="N724" s="293"/>
      <c r="P724" s="42">
        <v>540</v>
      </c>
      <c r="R724" s="42">
        <v>160</v>
      </c>
      <c r="T724" s="284">
        <v>380</v>
      </c>
      <c r="U724" s="284"/>
    </row>
    <row r="725" spans="2:21" x14ac:dyDescent="0.25">
      <c r="B725" s="292">
        <v>43</v>
      </c>
      <c r="C725" s="292"/>
      <c r="D725" s="292"/>
      <c r="F725" s="283" t="s">
        <v>138</v>
      </c>
      <c r="G725" s="283"/>
      <c r="J725" s="293">
        <v>1</v>
      </c>
      <c r="K725" s="293"/>
      <c r="L725" s="293"/>
      <c r="M725" s="293"/>
      <c r="N725" s="293"/>
      <c r="P725" s="42">
        <v>800</v>
      </c>
      <c r="R725" s="42">
        <v>450</v>
      </c>
      <c r="T725" s="284">
        <v>350</v>
      </c>
      <c r="U725" s="284"/>
    </row>
    <row r="726" spans="2:21" x14ac:dyDescent="0.25">
      <c r="B726" s="292">
        <v>44</v>
      </c>
      <c r="C726" s="292"/>
      <c r="D726" s="292"/>
      <c r="F726" s="283" t="s">
        <v>137</v>
      </c>
      <c r="G726" s="283"/>
      <c r="J726" s="293">
        <v>2</v>
      </c>
      <c r="K726" s="293"/>
      <c r="L726" s="293"/>
      <c r="M726" s="293"/>
      <c r="N726" s="293"/>
      <c r="P726" s="42">
        <v>1600</v>
      </c>
      <c r="R726" s="42">
        <v>900</v>
      </c>
      <c r="T726" s="284">
        <v>700</v>
      </c>
      <c r="U726" s="284"/>
    </row>
    <row r="727" spans="2:21" x14ac:dyDescent="0.25">
      <c r="B727" s="292">
        <v>45</v>
      </c>
      <c r="C727" s="292"/>
      <c r="D727" s="292"/>
      <c r="F727" s="283" t="s">
        <v>313</v>
      </c>
      <c r="G727" s="283"/>
      <c r="J727" s="293">
        <v>1</v>
      </c>
      <c r="K727" s="293"/>
      <c r="L727" s="293"/>
      <c r="M727" s="293"/>
      <c r="N727" s="293"/>
      <c r="P727" s="42">
        <v>800</v>
      </c>
      <c r="R727" s="42">
        <v>450</v>
      </c>
      <c r="T727" s="284">
        <v>350</v>
      </c>
      <c r="U727" s="284"/>
    </row>
    <row r="728" spans="2:21" x14ac:dyDescent="0.25">
      <c r="B728" s="292">
        <v>46</v>
      </c>
      <c r="C728" s="292"/>
      <c r="D728" s="292"/>
      <c r="F728" s="283" t="s">
        <v>136</v>
      </c>
      <c r="G728" s="283"/>
      <c r="J728" s="293">
        <v>42</v>
      </c>
      <c r="K728" s="293"/>
      <c r="L728" s="293"/>
      <c r="M728" s="293"/>
      <c r="N728" s="293"/>
      <c r="P728" s="42">
        <v>35700</v>
      </c>
      <c r="R728" s="42">
        <v>7577</v>
      </c>
      <c r="T728" s="284">
        <v>28123</v>
      </c>
      <c r="U728" s="284"/>
    </row>
    <row r="729" spans="2:21" x14ac:dyDescent="0.25">
      <c r="B729" s="292">
        <v>47</v>
      </c>
      <c r="C729" s="292"/>
      <c r="D729" s="292"/>
      <c r="F729" s="283" t="s">
        <v>74</v>
      </c>
      <c r="G729" s="283"/>
      <c r="J729" s="293">
        <v>77</v>
      </c>
      <c r="K729" s="293"/>
      <c r="L729" s="293"/>
      <c r="M729" s="293"/>
      <c r="N729" s="293"/>
      <c r="P729" s="42">
        <v>65450</v>
      </c>
      <c r="R729" s="42">
        <v>65450</v>
      </c>
      <c r="T729" s="284">
        <v>0</v>
      </c>
      <c r="U729" s="284"/>
    </row>
    <row r="730" spans="2:21" x14ac:dyDescent="0.25">
      <c r="B730" s="292">
        <v>48</v>
      </c>
      <c r="C730" s="292"/>
      <c r="D730" s="292"/>
      <c r="F730" s="283" t="s">
        <v>190</v>
      </c>
      <c r="G730" s="283"/>
      <c r="J730" s="293">
        <v>24</v>
      </c>
      <c r="K730" s="293"/>
      <c r="L730" s="293"/>
      <c r="M730" s="293"/>
      <c r="N730" s="293"/>
      <c r="P730" s="42">
        <v>37680</v>
      </c>
      <c r="R730" s="42">
        <v>5735</v>
      </c>
      <c r="T730" s="284">
        <v>31945</v>
      </c>
      <c r="U730" s="284"/>
    </row>
    <row r="731" spans="2:21" x14ac:dyDescent="0.25">
      <c r="B731" s="292">
        <v>49</v>
      </c>
      <c r="C731" s="292"/>
      <c r="D731" s="292"/>
      <c r="F731" s="283" t="s">
        <v>135</v>
      </c>
      <c r="G731" s="283"/>
      <c r="J731" s="293">
        <v>6</v>
      </c>
      <c r="K731" s="293"/>
      <c r="L731" s="293"/>
      <c r="M731" s="293"/>
      <c r="N731" s="293"/>
      <c r="P731" s="42">
        <v>5700</v>
      </c>
      <c r="R731" s="42">
        <v>1680</v>
      </c>
      <c r="T731" s="284">
        <v>4020</v>
      </c>
      <c r="U731" s="284"/>
    </row>
    <row r="732" spans="2:21" x14ac:dyDescent="0.25">
      <c r="B732" s="292">
        <v>50</v>
      </c>
      <c r="C732" s="292"/>
      <c r="D732" s="292"/>
      <c r="F732" s="283" t="s">
        <v>132</v>
      </c>
      <c r="G732" s="283"/>
      <c r="J732" s="293">
        <v>11</v>
      </c>
      <c r="K732" s="293"/>
      <c r="L732" s="293"/>
      <c r="M732" s="293"/>
      <c r="N732" s="293"/>
      <c r="P732" s="42">
        <v>13640</v>
      </c>
      <c r="R732" s="42">
        <v>4070</v>
      </c>
      <c r="T732" s="284">
        <v>9570</v>
      </c>
      <c r="U732" s="284"/>
    </row>
    <row r="733" spans="2:21" x14ac:dyDescent="0.25">
      <c r="B733" s="292">
        <v>51</v>
      </c>
      <c r="C733" s="292"/>
      <c r="D733" s="292"/>
      <c r="F733" s="283" t="s">
        <v>131</v>
      </c>
      <c r="G733" s="283"/>
      <c r="J733" s="293">
        <v>5</v>
      </c>
      <c r="K733" s="293"/>
      <c r="L733" s="293"/>
      <c r="M733" s="293"/>
      <c r="N733" s="293"/>
      <c r="P733" s="42">
        <v>18500</v>
      </c>
      <c r="R733" s="42">
        <v>4000</v>
      </c>
      <c r="T733" s="284">
        <v>14500</v>
      </c>
      <c r="U733" s="284"/>
    </row>
    <row r="734" spans="2:21" x14ac:dyDescent="0.25">
      <c r="B734" s="292">
        <v>52</v>
      </c>
      <c r="C734" s="292"/>
      <c r="D734" s="292"/>
      <c r="F734" s="283" t="s">
        <v>319</v>
      </c>
      <c r="G734" s="283"/>
      <c r="J734" s="293">
        <v>40</v>
      </c>
      <c r="K734" s="293"/>
      <c r="L734" s="293"/>
      <c r="M734" s="293"/>
      <c r="N734" s="293"/>
      <c r="P734" s="42">
        <v>4000</v>
      </c>
      <c r="R734" s="42">
        <v>0</v>
      </c>
      <c r="T734" s="284">
        <v>4000</v>
      </c>
      <c r="U734" s="284"/>
    </row>
    <row r="735" spans="2:21" x14ac:dyDescent="0.25">
      <c r="B735" s="292">
        <v>53</v>
      </c>
      <c r="C735" s="292"/>
      <c r="D735" s="292"/>
      <c r="F735" s="283" t="s">
        <v>127</v>
      </c>
      <c r="G735" s="283"/>
      <c r="J735" s="293">
        <v>18</v>
      </c>
      <c r="K735" s="293"/>
      <c r="L735" s="293"/>
      <c r="M735" s="293"/>
      <c r="N735" s="293"/>
      <c r="P735" s="42">
        <v>5400</v>
      </c>
      <c r="R735" s="42">
        <v>1702</v>
      </c>
      <c r="T735" s="284">
        <v>3698</v>
      </c>
      <c r="U735" s="284"/>
    </row>
    <row r="736" spans="2:21" x14ac:dyDescent="0.25">
      <c r="B736" s="292">
        <v>54</v>
      </c>
      <c r="C736" s="292"/>
      <c r="D736" s="292"/>
      <c r="F736" s="283" t="s">
        <v>126</v>
      </c>
      <c r="G736" s="283"/>
      <c r="J736" s="293">
        <v>20</v>
      </c>
      <c r="K736" s="293"/>
      <c r="L736" s="293"/>
      <c r="M736" s="293"/>
      <c r="N736" s="293"/>
      <c r="P736" s="42">
        <v>4000</v>
      </c>
      <c r="R736" s="42">
        <v>1254</v>
      </c>
      <c r="T736" s="284">
        <v>2746</v>
      </c>
      <c r="U736" s="284"/>
    </row>
    <row r="737" spans="2:21" x14ac:dyDescent="0.25">
      <c r="B737" s="292">
        <v>55</v>
      </c>
      <c r="C737" s="292"/>
      <c r="D737" s="292"/>
      <c r="F737" s="283" t="s">
        <v>125</v>
      </c>
      <c r="G737" s="283"/>
      <c r="J737" s="293">
        <v>8</v>
      </c>
      <c r="K737" s="293"/>
      <c r="L737" s="293"/>
      <c r="M737" s="293"/>
      <c r="N737" s="293"/>
      <c r="P737" s="42">
        <v>3200</v>
      </c>
      <c r="R737" s="42">
        <v>960</v>
      </c>
      <c r="T737" s="284">
        <v>2240</v>
      </c>
      <c r="U737" s="284"/>
    </row>
    <row r="738" spans="2:21" x14ac:dyDescent="0.25">
      <c r="B738" s="292">
        <v>56</v>
      </c>
      <c r="C738" s="292"/>
      <c r="D738" s="292"/>
      <c r="F738" s="283" t="s">
        <v>124</v>
      </c>
      <c r="G738" s="283"/>
      <c r="J738" s="293">
        <v>30</v>
      </c>
      <c r="K738" s="293"/>
      <c r="L738" s="293"/>
      <c r="M738" s="293"/>
      <c r="N738" s="293"/>
      <c r="P738" s="42">
        <v>17320</v>
      </c>
      <c r="R738" s="42">
        <v>5049</v>
      </c>
      <c r="T738" s="284">
        <v>12271</v>
      </c>
      <c r="U738" s="284"/>
    </row>
    <row r="739" spans="2:21" x14ac:dyDescent="0.25">
      <c r="B739" s="292">
        <v>57</v>
      </c>
      <c r="C739" s="292"/>
      <c r="D739" s="292"/>
      <c r="F739" s="283" t="s">
        <v>123</v>
      </c>
      <c r="G739" s="283"/>
      <c r="J739" s="293">
        <v>7</v>
      </c>
      <c r="K739" s="293"/>
      <c r="L739" s="293"/>
      <c r="M739" s="293"/>
      <c r="N739" s="293"/>
      <c r="P739" s="42">
        <v>5460</v>
      </c>
      <c r="R739" s="42">
        <v>1600</v>
      </c>
      <c r="T739" s="284">
        <v>3860</v>
      </c>
      <c r="U739" s="284"/>
    </row>
    <row r="740" spans="2:21" x14ac:dyDescent="0.25">
      <c r="B740" s="292">
        <v>58</v>
      </c>
      <c r="C740" s="292"/>
      <c r="D740" s="292"/>
      <c r="F740" s="283" t="s">
        <v>227</v>
      </c>
      <c r="G740" s="283"/>
      <c r="J740" s="293">
        <v>3</v>
      </c>
      <c r="K740" s="293"/>
      <c r="L740" s="293"/>
      <c r="M740" s="293"/>
      <c r="N740" s="293"/>
      <c r="P740" s="42">
        <v>1500</v>
      </c>
      <c r="R740" s="42">
        <v>450</v>
      </c>
      <c r="T740" s="284">
        <v>1050</v>
      </c>
      <c r="U740" s="284"/>
    </row>
    <row r="741" spans="2:21" x14ac:dyDescent="0.25">
      <c r="B741" s="292">
        <v>59</v>
      </c>
      <c r="C741" s="292"/>
      <c r="D741" s="292"/>
      <c r="F741" s="283" t="s">
        <v>121</v>
      </c>
      <c r="G741" s="283"/>
      <c r="J741" s="293">
        <v>3</v>
      </c>
      <c r="K741" s="293"/>
      <c r="L741" s="293"/>
      <c r="M741" s="293"/>
      <c r="N741" s="293"/>
      <c r="P741" s="42">
        <v>1500</v>
      </c>
      <c r="R741" s="42">
        <v>450</v>
      </c>
      <c r="T741" s="284">
        <v>1050</v>
      </c>
      <c r="U741" s="284"/>
    </row>
    <row r="742" spans="2:21" x14ac:dyDescent="0.25">
      <c r="B742" s="292">
        <v>60</v>
      </c>
      <c r="C742" s="292"/>
      <c r="D742" s="292"/>
      <c r="F742" s="283" t="s">
        <v>119</v>
      </c>
      <c r="G742" s="283"/>
      <c r="J742" s="293">
        <v>41</v>
      </c>
      <c r="K742" s="293"/>
      <c r="L742" s="293"/>
      <c r="M742" s="293"/>
      <c r="N742" s="293"/>
      <c r="P742" s="42">
        <v>36490</v>
      </c>
      <c r="R742" s="42">
        <v>11657</v>
      </c>
      <c r="T742" s="284">
        <v>24833</v>
      </c>
      <c r="U742" s="284"/>
    </row>
    <row r="743" spans="2:21" x14ac:dyDescent="0.25">
      <c r="B743" s="292">
        <v>61</v>
      </c>
      <c r="C743" s="292"/>
      <c r="D743" s="292"/>
      <c r="F743" s="283" t="s">
        <v>118</v>
      </c>
      <c r="G743" s="283"/>
      <c r="J743" s="293">
        <v>138</v>
      </c>
      <c r="K743" s="293"/>
      <c r="L743" s="293"/>
      <c r="M743" s="293"/>
      <c r="N743" s="293"/>
      <c r="P743" s="42">
        <v>136620</v>
      </c>
      <c r="R743" s="42">
        <v>44796</v>
      </c>
      <c r="T743" s="284">
        <v>91824</v>
      </c>
      <c r="U743" s="284"/>
    </row>
    <row r="744" spans="2:21" x14ac:dyDescent="0.25">
      <c r="B744" s="292">
        <v>62</v>
      </c>
      <c r="C744" s="292"/>
      <c r="D744" s="292"/>
      <c r="F744" s="285" t="s">
        <v>116</v>
      </c>
      <c r="G744" s="285"/>
      <c r="J744" s="293">
        <v>1</v>
      </c>
      <c r="K744" s="293"/>
      <c r="L744" s="293"/>
      <c r="M744" s="293"/>
      <c r="N744" s="293"/>
      <c r="P744" s="42">
        <v>800</v>
      </c>
      <c r="R744" s="42">
        <v>200</v>
      </c>
      <c r="T744" s="284">
        <v>600</v>
      </c>
      <c r="U744" s="284"/>
    </row>
    <row r="745" spans="2:21" x14ac:dyDescent="0.25">
      <c r="F745" s="285"/>
      <c r="G745" s="285"/>
    </row>
    <row r="746" spans="2:21" x14ac:dyDescent="0.25">
      <c r="B746" s="292">
        <v>63</v>
      </c>
      <c r="C746" s="292"/>
      <c r="D746" s="292"/>
      <c r="F746" s="283" t="s">
        <v>115</v>
      </c>
      <c r="G746" s="283"/>
      <c r="J746" s="293">
        <v>61</v>
      </c>
      <c r="K746" s="293"/>
      <c r="L746" s="293"/>
      <c r="M746" s="293"/>
      <c r="N746" s="293"/>
      <c r="P746" s="42">
        <v>17690</v>
      </c>
      <c r="R746" s="42">
        <v>5669</v>
      </c>
      <c r="T746" s="284">
        <v>12021</v>
      </c>
      <c r="U746" s="284"/>
    </row>
    <row r="747" spans="2:21" x14ac:dyDescent="0.25">
      <c r="B747" s="292">
        <v>64</v>
      </c>
      <c r="C747" s="292"/>
      <c r="D747" s="292"/>
      <c r="F747" s="283" t="s">
        <v>280</v>
      </c>
      <c r="G747" s="283"/>
      <c r="J747" s="293">
        <v>1</v>
      </c>
      <c r="K747" s="293"/>
      <c r="L747" s="293"/>
      <c r="M747" s="293"/>
      <c r="N747" s="293"/>
      <c r="P747" s="42">
        <v>700</v>
      </c>
      <c r="R747" s="42">
        <v>350</v>
      </c>
      <c r="T747" s="284">
        <v>350</v>
      </c>
      <c r="U747" s="284"/>
    </row>
    <row r="748" spans="2:21" x14ac:dyDescent="0.25">
      <c r="B748" s="292">
        <v>65</v>
      </c>
      <c r="C748" s="292"/>
      <c r="D748" s="292"/>
      <c r="F748" s="285" t="s">
        <v>450</v>
      </c>
      <c r="G748" s="285"/>
      <c r="J748" s="293">
        <v>19</v>
      </c>
      <c r="K748" s="293"/>
      <c r="L748" s="293"/>
      <c r="M748" s="293"/>
      <c r="N748" s="293"/>
      <c r="P748" s="42">
        <v>855</v>
      </c>
      <c r="R748" s="42">
        <v>0</v>
      </c>
      <c r="T748" s="284">
        <v>855</v>
      </c>
      <c r="U748" s="284"/>
    </row>
    <row r="749" spans="2:21" x14ac:dyDescent="0.25">
      <c r="F749" s="285"/>
      <c r="G749" s="285"/>
    </row>
    <row r="750" spans="2:21" x14ac:dyDescent="0.25">
      <c r="B750" s="292">
        <v>66</v>
      </c>
      <c r="C750" s="292"/>
      <c r="D750" s="292"/>
      <c r="F750" s="283" t="s">
        <v>222</v>
      </c>
      <c r="G750" s="283"/>
      <c r="J750" s="293">
        <v>1</v>
      </c>
      <c r="K750" s="293"/>
      <c r="L750" s="293"/>
      <c r="M750" s="293"/>
      <c r="N750" s="293"/>
      <c r="P750" s="42">
        <v>500</v>
      </c>
      <c r="R750" s="42">
        <v>150</v>
      </c>
      <c r="T750" s="284">
        <v>350</v>
      </c>
      <c r="U750" s="284"/>
    </row>
    <row r="751" spans="2:21" x14ac:dyDescent="0.25">
      <c r="B751" s="292">
        <v>67</v>
      </c>
      <c r="C751" s="292"/>
      <c r="D751" s="292"/>
      <c r="F751" s="283" t="s">
        <v>278</v>
      </c>
      <c r="G751" s="283"/>
      <c r="J751" s="293">
        <v>1</v>
      </c>
      <c r="K751" s="293"/>
      <c r="L751" s="293"/>
      <c r="M751" s="293"/>
      <c r="N751" s="293"/>
      <c r="P751" s="42">
        <v>330</v>
      </c>
      <c r="R751" s="42">
        <v>100</v>
      </c>
      <c r="T751" s="284">
        <v>230</v>
      </c>
      <c r="U751" s="284"/>
    </row>
    <row r="752" spans="2:21" x14ac:dyDescent="0.25">
      <c r="B752" s="292">
        <v>68</v>
      </c>
      <c r="C752" s="292"/>
      <c r="D752" s="292"/>
      <c r="F752" s="283" t="s">
        <v>181</v>
      </c>
      <c r="G752" s="283"/>
      <c r="J752" s="293">
        <v>1</v>
      </c>
      <c r="K752" s="293"/>
      <c r="L752" s="293"/>
      <c r="M752" s="293"/>
      <c r="N752" s="293"/>
      <c r="P752" s="42">
        <v>790</v>
      </c>
      <c r="R752" s="42">
        <v>120</v>
      </c>
      <c r="T752" s="284">
        <v>670</v>
      </c>
      <c r="U752" s="284"/>
    </row>
    <row r="753" spans="2:21" x14ac:dyDescent="0.25">
      <c r="B753" s="292">
        <v>69</v>
      </c>
      <c r="C753" s="292"/>
      <c r="D753" s="292"/>
      <c r="F753" s="283" t="s">
        <v>171</v>
      </c>
      <c r="G753" s="283"/>
      <c r="J753" s="293">
        <v>1</v>
      </c>
      <c r="K753" s="293"/>
      <c r="L753" s="293"/>
      <c r="M753" s="293"/>
      <c r="N753" s="293"/>
      <c r="P753" s="42">
        <v>530</v>
      </c>
      <c r="R753" s="42">
        <v>160</v>
      </c>
      <c r="T753" s="284">
        <v>370</v>
      </c>
      <c r="U753" s="284"/>
    </row>
    <row r="754" spans="2:21" x14ac:dyDescent="0.25">
      <c r="B754" s="292">
        <v>70</v>
      </c>
      <c r="C754" s="292"/>
      <c r="D754" s="292"/>
      <c r="F754" s="283" t="s">
        <v>111</v>
      </c>
      <c r="G754" s="283"/>
      <c r="J754" s="293">
        <v>1</v>
      </c>
      <c r="K754" s="293"/>
      <c r="L754" s="293"/>
      <c r="M754" s="293"/>
      <c r="N754" s="293"/>
      <c r="P754" s="42">
        <v>430</v>
      </c>
      <c r="R754" s="42">
        <v>130</v>
      </c>
      <c r="T754" s="284">
        <v>300</v>
      </c>
      <c r="U754" s="284"/>
    </row>
    <row r="755" spans="2:21" x14ac:dyDescent="0.25">
      <c r="B755" s="292">
        <v>71</v>
      </c>
      <c r="C755" s="292"/>
      <c r="D755" s="292"/>
      <c r="F755" s="283" t="s">
        <v>109</v>
      </c>
      <c r="G755" s="283"/>
      <c r="J755" s="293">
        <v>10</v>
      </c>
      <c r="K755" s="293"/>
      <c r="L755" s="293"/>
      <c r="M755" s="293"/>
      <c r="N755" s="293"/>
      <c r="P755" s="42">
        <v>7800</v>
      </c>
      <c r="R755" s="42">
        <v>2300</v>
      </c>
      <c r="T755" s="284">
        <v>5500</v>
      </c>
      <c r="U755" s="284"/>
    </row>
    <row r="756" spans="2:21" x14ac:dyDescent="0.25">
      <c r="B756" s="292">
        <v>72</v>
      </c>
      <c r="C756" s="292"/>
      <c r="D756" s="292"/>
      <c r="F756" s="283" t="s">
        <v>108</v>
      </c>
      <c r="G756" s="283"/>
      <c r="J756" s="293">
        <v>21</v>
      </c>
      <c r="K756" s="293"/>
      <c r="L756" s="293"/>
      <c r="M756" s="293"/>
      <c r="N756" s="293"/>
      <c r="P756" s="42">
        <v>2100</v>
      </c>
      <c r="R756" s="42">
        <v>630</v>
      </c>
      <c r="T756" s="284">
        <v>1470</v>
      </c>
      <c r="U756" s="284"/>
    </row>
    <row r="757" spans="2:21" x14ac:dyDescent="0.25">
      <c r="B757" s="292">
        <v>73</v>
      </c>
      <c r="C757" s="292"/>
      <c r="D757" s="292"/>
      <c r="F757" s="283" t="s">
        <v>107</v>
      </c>
      <c r="G757" s="283"/>
      <c r="J757" s="293">
        <v>57</v>
      </c>
      <c r="K757" s="293"/>
      <c r="L757" s="293"/>
      <c r="M757" s="293"/>
      <c r="N757" s="293"/>
      <c r="P757" s="42">
        <v>9690</v>
      </c>
      <c r="R757" s="42">
        <v>2848</v>
      </c>
      <c r="T757" s="284">
        <v>6842</v>
      </c>
      <c r="U757" s="284"/>
    </row>
    <row r="758" spans="2:21" x14ac:dyDescent="0.25">
      <c r="B758" s="292">
        <v>74</v>
      </c>
      <c r="C758" s="292"/>
      <c r="D758" s="292"/>
      <c r="F758" s="283" t="s">
        <v>106</v>
      </c>
      <c r="G758" s="283"/>
      <c r="J758" s="293">
        <v>10</v>
      </c>
      <c r="K758" s="293"/>
      <c r="L758" s="293"/>
      <c r="M758" s="293"/>
      <c r="N758" s="293"/>
      <c r="P758" s="42">
        <v>1000</v>
      </c>
      <c r="R758" s="42">
        <v>300</v>
      </c>
      <c r="T758" s="284">
        <v>700</v>
      </c>
      <c r="U758" s="284"/>
    </row>
    <row r="759" spans="2:21" x14ac:dyDescent="0.25">
      <c r="B759" s="292">
        <v>75</v>
      </c>
      <c r="C759" s="292"/>
      <c r="D759" s="292"/>
      <c r="F759" s="283" t="s">
        <v>218</v>
      </c>
      <c r="G759" s="283"/>
      <c r="J759" s="293">
        <v>1</v>
      </c>
      <c r="K759" s="293"/>
      <c r="L759" s="293"/>
      <c r="M759" s="293"/>
      <c r="N759" s="293"/>
      <c r="P759" s="42">
        <v>290</v>
      </c>
      <c r="R759" s="42">
        <v>100</v>
      </c>
      <c r="T759" s="284">
        <v>190</v>
      </c>
      <c r="U759" s="284"/>
    </row>
    <row r="760" spans="2:21" x14ac:dyDescent="0.25">
      <c r="B760" s="292">
        <v>76</v>
      </c>
      <c r="C760" s="292"/>
      <c r="D760" s="292"/>
      <c r="F760" s="283" t="s">
        <v>255</v>
      </c>
      <c r="G760" s="283"/>
      <c r="J760" s="293">
        <v>1</v>
      </c>
      <c r="K760" s="293"/>
      <c r="L760" s="293"/>
      <c r="M760" s="293"/>
      <c r="N760" s="293"/>
      <c r="P760" s="42">
        <v>950</v>
      </c>
      <c r="R760" s="42">
        <v>140</v>
      </c>
      <c r="T760" s="284">
        <v>810</v>
      </c>
      <c r="U760" s="284"/>
    </row>
    <row r="761" spans="2:21" x14ac:dyDescent="0.25">
      <c r="B761" s="292">
        <v>77</v>
      </c>
      <c r="C761" s="292"/>
      <c r="D761" s="292"/>
      <c r="F761" s="283" t="s">
        <v>216</v>
      </c>
      <c r="G761" s="283"/>
      <c r="J761" s="293">
        <v>5</v>
      </c>
      <c r="K761" s="293"/>
      <c r="L761" s="293"/>
      <c r="M761" s="293"/>
      <c r="N761" s="293"/>
      <c r="P761" s="42">
        <v>5400</v>
      </c>
      <c r="R761" s="42">
        <v>825</v>
      </c>
      <c r="T761" s="284">
        <v>4575</v>
      </c>
      <c r="U761" s="284"/>
    </row>
    <row r="762" spans="2:21" x14ac:dyDescent="0.25">
      <c r="B762" s="292">
        <v>78</v>
      </c>
      <c r="C762" s="292"/>
      <c r="D762" s="292"/>
      <c r="F762" s="283" t="s">
        <v>105</v>
      </c>
      <c r="G762" s="283"/>
      <c r="J762" s="293">
        <v>28</v>
      </c>
      <c r="K762" s="293"/>
      <c r="L762" s="293"/>
      <c r="M762" s="293"/>
      <c r="N762" s="293"/>
      <c r="P762" s="42">
        <v>32200</v>
      </c>
      <c r="R762" s="42">
        <v>0</v>
      </c>
      <c r="T762" s="284">
        <v>32200</v>
      </c>
      <c r="U762" s="284"/>
    </row>
    <row r="763" spans="2:21" x14ac:dyDescent="0.25">
      <c r="B763" s="292">
        <v>79</v>
      </c>
      <c r="C763" s="292"/>
      <c r="D763" s="292"/>
      <c r="F763" s="283" t="s">
        <v>104</v>
      </c>
      <c r="G763" s="283"/>
      <c r="J763" s="293">
        <v>4</v>
      </c>
      <c r="K763" s="293"/>
      <c r="L763" s="293"/>
      <c r="M763" s="293"/>
      <c r="N763" s="293"/>
      <c r="P763" s="42">
        <v>1320</v>
      </c>
      <c r="R763" s="42">
        <v>525</v>
      </c>
      <c r="T763" s="284">
        <v>795</v>
      </c>
      <c r="U763" s="284"/>
    </row>
    <row r="764" spans="2:21" x14ac:dyDescent="0.25">
      <c r="B764" s="292">
        <v>80</v>
      </c>
      <c r="C764" s="292"/>
      <c r="D764" s="292"/>
      <c r="F764" s="283" t="s">
        <v>103</v>
      </c>
      <c r="G764" s="283"/>
      <c r="J764" s="293">
        <v>7</v>
      </c>
      <c r="K764" s="293"/>
      <c r="L764" s="293"/>
      <c r="M764" s="293"/>
      <c r="N764" s="293"/>
      <c r="P764" s="42">
        <v>2310</v>
      </c>
      <c r="R764" s="42">
        <v>860</v>
      </c>
      <c r="T764" s="284">
        <v>1450</v>
      </c>
      <c r="U764" s="284"/>
    </row>
    <row r="765" spans="2:21" x14ac:dyDescent="0.25">
      <c r="B765" s="292">
        <v>81</v>
      </c>
      <c r="C765" s="292"/>
      <c r="D765" s="292"/>
      <c r="F765" s="283" t="s">
        <v>211</v>
      </c>
      <c r="G765" s="283"/>
      <c r="J765" s="293">
        <v>1</v>
      </c>
      <c r="K765" s="293"/>
      <c r="L765" s="293"/>
      <c r="M765" s="293"/>
      <c r="N765" s="293"/>
      <c r="P765" s="42">
        <v>500</v>
      </c>
      <c r="R765" s="42">
        <v>150</v>
      </c>
      <c r="T765" s="284">
        <v>350</v>
      </c>
      <c r="U765" s="284"/>
    </row>
    <row r="766" spans="2:21" x14ac:dyDescent="0.25">
      <c r="B766" s="292">
        <v>82</v>
      </c>
      <c r="C766" s="292"/>
      <c r="D766" s="292"/>
      <c r="F766" s="283" t="s">
        <v>276</v>
      </c>
      <c r="G766" s="283"/>
      <c r="J766" s="293">
        <v>1</v>
      </c>
      <c r="K766" s="293"/>
      <c r="L766" s="293"/>
      <c r="M766" s="293"/>
      <c r="N766" s="293"/>
      <c r="P766" s="42">
        <v>500</v>
      </c>
      <c r="R766" s="42">
        <v>150</v>
      </c>
      <c r="T766" s="284">
        <v>350</v>
      </c>
      <c r="U766" s="284"/>
    </row>
    <row r="767" spans="2:21" x14ac:dyDescent="0.25">
      <c r="B767" s="292">
        <v>83</v>
      </c>
      <c r="C767" s="292"/>
      <c r="D767" s="292"/>
      <c r="F767" s="283" t="s">
        <v>275</v>
      </c>
      <c r="G767" s="283"/>
      <c r="J767" s="293">
        <v>2</v>
      </c>
      <c r="K767" s="293"/>
      <c r="L767" s="293"/>
      <c r="M767" s="293"/>
      <c r="N767" s="293"/>
      <c r="P767" s="42">
        <v>1200</v>
      </c>
      <c r="R767" s="42">
        <v>500</v>
      </c>
      <c r="T767" s="284">
        <v>700</v>
      </c>
      <c r="U767" s="284"/>
    </row>
    <row r="768" spans="2:21" x14ac:dyDescent="0.25">
      <c r="B768" s="292">
        <v>84</v>
      </c>
      <c r="C768" s="292"/>
      <c r="D768" s="292"/>
      <c r="F768" s="283" t="s">
        <v>102</v>
      </c>
      <c r="G768" s="283"/>
      <c r="J768" s="293">
        <v>2</v>
      </c>
      <c r="K768" s="293"/>
      <c r="L768" s="293"/>
      <c r="M768" s="293"/>
      <c r="N768" s="293"/>
      <c r="P768" s="42">
        <v>1760</v>
      </c>
      <c r="R768" s="42">
        <v>260</v>
      </c>
      <c r="T768" s="284">
        <v>1500</v>
      </c>
      <c r="U768" s="284"/>
    </row>
    <row r="769" spans="2:21" x14ac:dyDescent="0.25">
      <c r="B769" s="292">
        <v>85</v>
      </c>
      <c r="C769" s="292"/>
      <c r="D769" s="292"/>
      <c r="F769" s="283" t="s">
        <v>100</v>
      </c>
      <c r="G769" s="283"/>
      <c r="J769" s="293">
        <v>8</v>
      </c>
      <c r="K769" s="293"/>
      <c r="L769" s="293"/>
      <c r="M769" s="293"/>
      <c r="N769" s="293"/>
      <c r="P769" s="42">
        <v>1440</v>
      </c>
      <c r="R769" s="42">
        <v>400</v>
      </c>
      <c r="T769" s="284">
        <v>1040</v>
      </c>
      <c r="U769" s="284"/>
    </row>
    <row r="770" spans="2:21" x14ac:dyDescent="0.25">
      <c r="B770" s="292">
        <v>86</v>
      </c>
      <c r="C770" s="292"/>
      <c r="D770" s="292"/>
      <c r="F770" s="283" t="s">
        <v>178</v>
      </c>
      <c r="G770" s="283"/>
      <c r="J770" s="293">
        <v>1</v>
      </c>
      <c r="K770" s="293"/>
      <c r="L770" s="293"/>
      <c r="M770" s="293"/>
      <c r="N770" s="293"/>
      <c r="P770" s="42">
        <v>1650</v>
      </c>
      <c r="R770" s="42">
        <v>0</v>
      </c>
      <c r="T770" s="284">
        <v>1650</v>
      </c>
      <c r="U770" s="284"/>
    </row>
    <row r="771" spans="2:21" x14ac:dyDescent="0.25">
      <c r="B771" s="292">
        <v>87</v>
      </c>
      <c r="C771" s="292"/>
      <c r="D771" s="292"/>
      <c r="F771" s="283" t="s">
        <v>97</v>
      </c>
      <c r="G771" s="283"/>
      <c r="J771" s="293">
        <v>5</v>
      </c>
      <c r="K771" s="293"/>
      <c r="L771" s="293"/>
      <c r="M771" s="293"/>
      <c r="N771" s="293"/>
      <c r="P771" s="42">
        <v>7950</v>
      </c>
      <c r="R771" s="42">
        <v>1200</v>
      </c>
      <c r="T771" s="284">
        <v>6750</v>
      </c>
      <c r="U771" s="284"/>
    </row>
    <row r="772" spans="2:21" x14ac:dyDescent="0.25">
      <c r="B772" s="292">
        <v>88</v>
      </c>
      <c r="C772" s="292"/>
      <c r="D772" s="292"/>
      <c r="F772" s="283" t="s">
        <v>332</v>
      </c>
      <c r="G772" s="283"/>
      <c r="J772" s="293">
        <v>1</v>
      </c>
      <c r="K772" s="293"/>
      <c r="L772" s="293"/>
      <c r="M772" s="293"/>
      <c r="N772" s="293"/>
      <c r="P772" s="42">
        <v>290</v>
      </c>
      <c r="R772" s="42">
        <v>80</v>
      </c>
      <c r="T772" s="284">
        <v>210</v>
      </c>
      <c r="U772" s="284"/>
    </row>
    <row r="773" spans="2:21" x14ac:dyDescent="0.25">
      <c r="B773" s="292">
        <v>89</v>
      </c>
      <c r="C773" s="292"/>
      <c r="D773" s="292"/>
      <c r="F773" s="283" t="s">
        <v>93</v>
      </c>
      <c r="G773" s="283"/>
      <c r="J773" s="293">
        <v>12</v>
      </c>
      <c r="K773" s="293"/>
      <c r="L773" s="293"/>
      <c r="M773" s="293"/>
      <c r="N773" s="293"/>
      <c r="P773" s="42">
        <v>7080</v>
      </c>
      <c r="R773" s="42">
        <v>1080</v>
      </c>
      <c r="T773" s="284">
        <v>6000</v>
      </c>
      <c r="U773" s="284"/>
    </row>
    <row r="774" spans="2:21" x14ac:dyDescent="0.25">
      <c r="B774" s="292">
        <v>90</v>
      </c>
      <c r="C774" s="292"/>
      <c r="D774" s="292"/>
      <c r="F774" s="283" t="s">
        <v>92</v>
      </c>
      <c r="G774" s="283"/>
      <c r="J774" s="293">
        <v>77</v>
      </c>
      <c r="K774" s="293"/>
      <c r="L774" s="293"/>
      <c r="M774" s="293"/>
      <c r="N774" s="293"/>
      <c r="P774" s="42">
        <v>60720</v>
      </c>
      <c r="R774" s="42">
        <v>17750</v>
      </c>
      <c r="T774" s="284">
        <v>42970</v>
      </c>
      <c r="U774" s="284"/>
    </row>
    <row r="775" spans="2:21" x14ac:dyDescent="0.25">
      <c r="B775" s="292">
        <v>91</v>
      </c>
      <c r="C775" s="292"/>
      <c r="D775" s="292"/>
      <c r="F775" s="283" t="s">
        <v>174</v>
      </c>
      <c r="G775" s="283"/>
      <c r="J775" s="293">
        <v>1</v>
      </c>
      <c r="K775" s="293"/>
      <c r="L775" s="293"/>
      <c r="M775" s="293"/>
      <c r="N775" s="293"/>
      <c r="P775" s="42">
        <v>400</v>
      </c>
      <c r="R775" s="42">
        <v>120</v>
      </c>
      <c r="T775" s="284">
        <v>280</v>
      </c>
      <c r="U775" s="284"/>
    </row>
    <row r="776" spans="2:21" x14ac:dyDescent="0.25">
      <c r="B776" s="292">
        <v>92</v>
      </c>
      <c r="C776" s="292"/>
      <c r="D776" s="292"/>
      <c r="F776" s="283" t="s">
        <v>173</v>
      </c>
      <c r="G776" s="283"/>
      <c r="J776" s="293">
        <v>1</v>
      </c>
      <c r="K776" s="293"/>
      <c r="L776" s="293"/>
      <c r="M776" s="293"/>
      <c r="N776" s="293"/>
      <c r="P776" s="42">
        <v>1000</v>
      </c>
      <c r="R776" s="42">
        <v>300</v>
      </c>
      <c r="T776" s="284">
        <v>700</v>
      </c>
      <c r="U776" s="284"/>
    </row>
    <row r="777" spans="2:21" x14ac:dyDescent="0.25">
      <c r="B777" s="292">
        <v>93</v>
      </c>
      <c r="C777" s="292"/>
      <c r="D777" s="292"/>
      <c r="F777" s="283" t="s">
        <v>91</v>
      </c>
      <c r="G777" s="283"/>
      <c r="J777" s="293">
        <v>48</v>
      </c>
      <c r="K777" s="293"/>
      <c r="L777" s="293"/>
      <c r="M777" s="293"/>
      <c r="N777" s="293"/>
      <c r="P777" s="42">
        <v>12000</v>
      </c>
      <c r="R777" s="42">
        <v>3233</v>
      </c>
      <c r="T777" s="284">
        <v>8767</v>
      </c>
      <c r="U777" s="284"/>
    </row>
    <row r="778" spans="2:21" x14ac:dyDescent="0.25">
      <c r="B778" s="292">
        <v>94</v>
      </c>
      <c r="C778" s="292"/>
      <c r="D778" s="292"/>
      <c r="F778" s="283" t="s">
        <v>90</v>
      </c>
      <c r="G778" s="283"/>
      <c r="J778" s="293">
        <v>25</v>
      </c>
      <c r="K778" s="293"/>
      <c r="L778" s="293"/>
      <c r="M778" s="293"/>
      <c r="N778" s="293"/>
      <c r="P778" s="42">
        <v>7250</v>
      </c>
      <c r="R778" s="42">
        <v>1931</v>
      </c>
      <c r="T778" s="284">
        <v>5319</v>
      </c>
      <c r="U778" s="284"/>
    </row>
    <row r="779" spans="2:21" x14ac:dyDescent="0.25">
      <c r="B779" s="292">
        <v>95</v>
      </c>
      <c r="C779" s="292"/>
      <c r="D779" s="292"/>
      <c r="F779" s="283" t="s">
        <v>89</v>
      </c>
      <c r="G779" s="283"/>
      <c r="J779" s="293">
        <v>6</v>
      </c>
      <c r="K779" s="293"/>
      <c r="L779" s="293"/>
      <c r="M779" s="293"/>
      <c r="N779" s="293"/>
      <c r="P779" s="42">
        <v>5280</v>
      </c>
      <c r="R779" s="42">
        <v>738</v>
      </c>
      <c r="T779" s="284">
        <v>4542</v>
      </c>
      <c r="U779" s="284"/>
    </row>
    <row r="780" spans="2:21" x14ac:dyDescent="0.25">
      <c r="B780" s="292">
        <v>96</v>
      </c>
      <c r="C780" s="292"/>
      <c r="D780" s="292"/>
      <c r="F780" s="283" t="s">
        <v>88</v>
      </c>
      <c r="G780" s="283"/>
      <c r="J780" s="293">
        <v>159</v>
      </c>
      <c r="K780" s="293"/>
      <c r="L780" s="293"/>
      <c r="M780" s="293"/>
      <c r="N780" s="293"/>
      <c r="P780" s="42">
        <v>28620</v>
      </c>
      <c r="R780" s="42">
        <v>8159</v>
      </c>
      <c r="T780" s="284">
        <v>20461</v>
      </c>
      <c r="U780" s="284"/>
    </row>
    <row r="781" spans="2:21" x14ac:dyDescent="0.25">
      <c r="B781" s="292">
        <v>97</v>
      </c>
      <c r="C781" s="292"/>
      <c r="D781" s="292"/>
      <c r="F781" s="283" t="s">
        <v>87</v>
      </c>
      <c r="G781" s="283"/>
      <c r="J781" s="293">
        <v>3</v>
      </c>
      <c r="K781" s="293"/>
      <c r="L781" s="293"/>
      <c r="M781" s="293"/>
      <c r="N781" s="293"/>
      <c r="P781" s="42">
        <v>870</v>
      </c>
      <c r="R781" s="42">
        <v>240</v>
      </c>
      <c r="T781" s="284">
        <v>630</v>
      </c>
      <c r="U781" s="284"/>
    </row>
    <row r="782" spans="2:21" x14ac:dyDescent="0.25">
      <c r="B782" s="292">
        <v>98</v>
      </c>
      <c r="C782" s="292"/>
      <c r="D782" s="292"/>
      <c r="F782" s="283" t="s">
        <v>85</v>
      </c>
      <c r="G782" s="283"/>
      <c r="J782" s="293">
        <v>28</v>
      </c>
      <c r="K782" s="293"/>
      <c r="L782" s="293"/>
      <c r="M782" s="293"/>
      <c r="N782" s="293"/>
      <c r="P782" s="42">
        <v>58240</v>
      </c>
      <c r="R782" s="42">
        <v>8542</v>
      </c>
      <c r="T782" s="284">
        <v>49698</v>
      </c>
      <c r="U782" s="284"/>
    </row>
    <row r="783" spans="2:21" x14ac:dyDescent="0.25">
      <c r="B783" s="292">
        <v>99</v>
      </c>
      <c r="C783" s="292"/>
      <c r="D783" s="292"/>
      <c r="F783" s="283" t="s">
        <v>84</v>
      </c>
      <c r="G783" s="283"/>
      <c r="J783" s="293">
        <v>22</v>
      </c>
      <c r="K783" s="293"/>
      <c r="L783" s="293"/>
      <c r="M783" s="293"/>
      <c r="N783" s="293"/>
      <c r="P783" s="42">
        <v>12980</v>
      </c>
      <c r="R783" s="42">
        <v>3960</v>
      </c>
      <c r="T783" s="284">
        <v>9020</v>
      </c>
      <c r="U783" s="284"/>
    </row>
    <row r="784" spans="2:21" x14ac:dyDescent="0.25">
      <c r="B784" s="292">
        <v>100</v>
      </c>
      <c r="C784" s="292"/>
      <c r="D784" s="292"/>
      <c r="F784" s="283" t="s">
        <v>207</v>
      </c>
      <c r="G784" s="283"/>
      <c r="J784" s="293">
        <v>1</v>
      </c>
      <c r="K784" s="293"/>
      <c r="L784" s="293"/>
      <c r="M784" s="293"/>
      <c r="N784" s="293"/>
      <c r="P784" s="42">
        <v>500</v>
      </c>
      <c r="R784" s="42">
        <v>150</v>
      </c>
      <c r="T784" s="284">
        <v>350</v>
      </c>
      <c r="U784" s="284"/>
    </row>
    <row r="785" spans="1:21" x14ac:dyDescent="0.25">
      <c r="B785" s="292">
        <v>101</v>
      </c>
      <c r="C785" s="292"/>
      <c r="D785" s="292"/>
      <c r="F785" s="283" t="s">
        <v>206</v>
      </c>
      <c r="G785" s="283"/>
      <c r="J785" s="293">
        <v>2</v>
      </c>
      <c r="K785" s="293"/>
      <c r="L785" s="293"/>
      <c r="M785" s="293"/>
      <c r="N785" s="293"/>
      <c r="P785" s="42">
        <v>1000</v>
      </c>
      <c r="R785" s="42">
        <v>300</v>
      </c>
      <c r="T785" s="284">
        <v>700</v>
      </c>
      <c r="U785" s="284"/>
    </row>
    <row r="786" spans="1:21" x14ac:dyDescent="0.25">
      <c r="B786" s="292">
        <v>102</v>
      </c>
      <c r="C786" s="292"/>
      <c r="D786" s="292"/>
      <c r="F786" s="283" t="s">
        <v>205</v>
      </c>
      <c r="G786" s="283"/>
      <c r="J786" s="293">
        <v>1</v>
      </c>
      <c r="K786" s="293"/>
      <c r="L786" s="293"/>
      <c r="M786" s="293"/>
      <c r="N786" s="293"/>
      <c r="P786" s="42">
        <v>500</v>
      </c>
      <c r="R786" s="42">
        <v>150</v>
      </c>
      <c r="T786" s="284">
        <v>350</v>
      </c>
      <c r="U786" s="284"/>
    </row>
    <row r="787" spans="1:21" x14ac:dyDescent="0.25">
      <c r="B787" s="292">
        <v>103</v>
      </c>
      <c r="C787" s="292"/>
      <c r="D787" s="292"/>
      <c r="F787" s="283" t="s">
        <v>204</v>
      </c>
      <c r="G787" s="283"/>
      <c r="J787" s="293">
        <v>6</v>
      </c>
      <c r="K787" s="293"/>
      <c r="L787" s="293"/>
      <c r="M787" s="293"/>
      <c r="N787" s="293"/>
      <c r="P787" s="42">
        <v>3000</v>
      </c>
      <c r="R787" s="42">
        <v>900</v>
      </c>
      <c r="T787" s="284">
        <v>2100</v>
      </c>
      <c r="U787" s="284"/>
    </row>
    <row r="788" spans="1:21" x14ac:dyDescent="0.25">
      <c r="B788" s="292">
        <v>104</v>
      </c>
      <c r="C788" s="292"/>
      <c r="D788" s="292"/>
      <c r="F788" s="283" t="s">
        <v>83</v>
      </c>
      <c r="G788" s="283"/>
      <c r="J788" s="293">
        <v>9</v>
      </c>
      <c r="K788" s="293"/>
      <c r="L788" s="293"/>
      <c r="M788" s="293"/>
      <c r="N788" s="293"/>
      <c r="P788" s="42">
        <v>4500</v>
      </c>
      <c r="R788" s="42">
        <v>1350</v>
      </c>
      <c r="T788" s="284">
        <v>3150</v>
      </c>
      <c r="U788" s="284"/>
    </row>
    <row r="789" spans="1:21" x14ac:dyDescent="0.25">
      <c r="B789" s="292">
        <v>105</v>
      </c>
      <c r="C789" s="292"/>
      <c r="D789" s="292"/>
      <c r="F789" s="283" t="s">
        <v>271</v>
      </c>
      <c r="G789" s="283"/>
      <c r="J789" s="293">
        <v>10</v>
      </c>
      <c r="K789" s="293"/>
      <c r="L789" s="293"/>
      <c r="M789" s="293"/>
      <c r="N789" s="293"/>
      <c r="P789" s="42">
        <v>5000</v>
      </c>
      <c r="R789" s="42">
        <v>1500</v>
      </c>
      <c r="T789" s="284">
        <v>3500</v>
      </c>
      <c r="U789" s="284"/>
    </row>
    <row r="790" spans="1:21" x14ac:dyDescent="0.25">
      <c r="B790" s="292">
        <v>106</v>
      </c>
      <c r="C790" s="292"/>
      <c r="D790" s="292"/>
      <c r="F790" s="283" t="s">
        <v>203</v>
      </c>
      <c r="G790" s="283"/>
      <c r="J790" s="293">
        <v>1</v>
      </c>
      <c r="K790" s="293"/>
      <c r="L790" s="293"/>
      <c r="M790" s="293"/>
      <c r="N790" s="293"/>
      <c r="P790" s="42">
        <v>500</v>
      </c>
      <c r="R790" s="42">
        <v>150</v>
      </c>
      <c r="T790" s="284">
        <v>350</v>
      </c>
      <c r="U790" s="284"/>
    </row>
    <row r="791" spans="1:21" x14ac:dyDescent="0.25">
      <c r="B791" s="292">
        <v>107</v>
      </c>
      <c r="C791" s="292"/>
      <c r="D791" s="292"/>
      <c r="F791" s="283" t="s">
        <v>363</v>
      </c>
      <c r="G791" s="283"/>
      <c r="J791" s="293">
        <v>2</v>
      </c>
      <c r="K791" s="293"/>
      <c r="L791" s="293"/>
      <c r="M791" s="293"/>
      <c r="N791" s="293"/>
      <c r="P791" s="42">
        <v>1000</v>
      </c>
      <c r="R791" s="42">
        <v>300</v>
      </c>
      <c r="T791" s="284">
        <v>700</v>
      </c>
      <c r="U791" s="284"/>
    </row>
    <row r="792" spans="1:21" x14ac:dyDescent="0.25">
      <c r="B792" s="292">
        <v>108</v>
      </c>
      <c r="C792" s="292"/>
      <c r="D792" s="292"/>
      <c r="F792" s="283" t="s">
        <v>82</v>
      </c>
      <c r="G792" s="283"/>
      <c r="J792" s="293">
        <v>1</v>
      </c>
      <c r="K792" s="293"/>
      <c r="L792" s="293"/>
      <c r="M792" s="293"/>
      <c r="N792" s="293"/>
      <c r="P792" s="42">
        <v>290</v>
      </c>
      <c r="R792" s="42">
        <v>290</v>
      </c>
      <c r="T792" s="284">
        <v>0</v>
      </c>
      <c r="U792" s="284"/>
    </row>
    <row r="793" spans="1:21" x14ac:dyDescent="0.25">
      <c r="B793" s="292">
        <v>109</v>
      </c>
      <c r="C793" s="292"/>
      <c r="D793" s="292"/>
      <c r="F793" s="283" t="s">
        <v>81</v>
      </c>
      <c r="G793" s="283"/>
      <c r="J793" s="293">
        <v>14</v>
      </c>
      <c r="K793" s="293"/>
      <c r="L793" s="293"/>
      <c r="M793" s="293"/>
      <c r="N793" s="293"/>
      <c r="P793" s="42">
        <v>4060</v>
      </c>
      <c r="R793" s="42">
        <v>1050</v>
      </c>
      <c r="T793" s="284">
        <v>3010</v>
      </c>
      <c r="U793" s="284"/>
    </row>
    <row r="794" spans="1:21" s="40" customFormat="1" x14ac:dyDescent="0.25">
      <c r="A794" s="290" t="s">
        <v>449</v>
      </c>
      <c r="B794" s="290"/>
      <c r="C794" s="290"/>
      <c r="D794" s="290"/>
      <c r="E794" s="290"/>
      <c r="F794" s="290"/>
      <c r="G794" s="290"/>
      <c r="H794" s="290"/>
      <c r="I794" s="290"/>
      <c r="J794" s="290"/>
      <c r="K794" s="291">
        <v>3012</v>
      </c>
      <c r="L794" s="291"/>
      <c r="M794" s="291"/>
      <c r="N794" s="291"/>
      <c r="O794" s="291"/>
      <c r="P794" s="41">
        <v>3178300</v>
      </c>
      <c r="R794" s="41">
        <v>2783064</v>
      </c>
      <c r="T794" s="287">
        <v>395236</v>
      </c>
      <c r="U794" s="287"/>
    </row>
    <row r="795" spans="1:21" x14ac:dyDescent="0.25">
      <c r="B795" s="292">
        <v>1</v>
      </c>
      <c r="C795" s="292"/>
      <c r="D795" s="292"/>
      <c r="F795" s="283" t="s">
        <v>250</v>
      </c>
      <c r="G795" s="283"/>
      <c r="J795" s="293">
        <v>1</v>
      </c>
      <c r="K795" s="293"/>
      <c r="L795" s="293"/>
      <c r="M795" s="293"/>
      <c r="N795" s="293"/>
      <c r="P795" s="42">
        <v>500</v>
      </c>
      <c r="R795" s="42">
        <v>150</v>
      </c>
      <c r="T795" s="284">
        <v>350</v>
      </c>
      <c r="U795" s="284"/>
    </row>
    <row r="796" spans="1:21" x14ac:dyDescent="0.25">
      <c r="B796" s="292">
        <v>2</v>
      </c>
      <c r="C796" s="292"/>
      <c r="D796" s="292"/>
      <c r="F796" s="283" t="s">
        <v>346</v>
      </c>
      <c r="G796" s="283"/>
      <c r="J796" s="293">
        <v>1</v>
      </c>
      <c r="K796" s="293"/>
      <c r="L796" s="293"/>
      <c r="M796" s="293"/>
      <c r="N796" s="293"/>
      <c r="P796" s="42">
        <v>500</v>
      </c>
      <c r="R796" s="42">
        <v>150</v>
      </c>
      <c r="T796" s="284">
        <v>350</v>
      </c>
      <c r="U796" s="284"/>
    </row>
    <row r="797" spans="1:21" x14ac:dyDescent="0.25">
      <c r="B797" s="292">
        <v>3</v>
      </c>
      <c r="C797" s="292"/>
      <c r="D797" s="292"/>
      <c r="F797" s="283" t="s">
        <v>168</v>
      </c>
      <c r="G797" s="283"/>
      <c r="J797" s="293">
        <v>2</v>
      </c>
      <c r="K797" s="293"/>
      <c r="L797" s="293"/>
      <c r="M797" s="293"/>
      <c r="N797" s="293"/>
      <c r="P797" s="42">
        <v>4400</v>
      </c>
      <c r="R797" s="42">
        <v>660</v>
      </c>
      <c r="T797" s="284">
        <v>3740</v>
      </c>
      <c r="U797" s="284"/>
    </row>
    <row r="798" spans="1:21" x14ac:dyDescent="0.25">
      <c r="B798" s="292">
        <v>4</v>
      </c>
      <c r="C798" s="292"/>
      <c r="D798" s="292"/>
      <c r="F798" s="283" t="s">
        <v>78</v>
      </c>
      <c r="G798" s="283"/>
      <c r="J798" s="293">
        <v>161</v>
      </c>
      <c r="K798" s="293"/>
      <c r="L798" s="293"/>
      <c r="M798" s="293"/>
      <c r="N798" s="293"/>
      <c r="P798" s="42">
        <v>46690</v>
      </c>
      <c r="R798" s="42">
        <v>46400</v>
      </c>
      <c r="T798" s="284">
        <v>290</v>
      </c>
      <c r="U798" s="284"/>
    </row>
    <row r="799" spans="1:21" x14ac:dyDescent="0.25">
      <c r="B799" s="292">
        <v>5</v>
      </c>
      <c r="C799" s="292"/>
      <c r="D799" s="292"/>
      <c r="F799" s="283" t="s">
        <v>199</v>
      </c>
      <c r="G799" s="283"/>
      <c r="J799" s="293">
        <v>1</v>
      </c>
      <c r="K799" s="293"/>
      <c r="L799" s="293"/>
      <c r="M799" s="293"/>
      <c r="N799" s="293"/>
      <c r="P799" s="42">
        <v>290</v>
      </c>
      <c r="R799" s="42">
        <v>80</v>
      </c>
      <c r="T799" s="284">
        <v>210</v>
      </c>
      <c r="U799" s="284"/>
    </row>
    <row r="800" spans="1:21" x14ac:dyDescent="0.25">
      <c r="B800" s="292">
        <v>6</v>
      </c>
      <c r="C800" s="292"/>
      <c r="D800" s="292"/>
      <c r="F800" s="283" t="s">
        <v>249</v>
      </c>
      <c r="G800" s="283"/>
      <c r="J800" s="293">
        <v>1</v>
      </c>
      <c r="K800" s="293"/>
      <c r="L800" s="293"/>
      <c r="M800" s="293"/>
      <c r="N800" s="293"/>
      <c r="P800" s="42">
        <v>1300</v>
      </c>
      <c r="R800" s="42">
        <v>200</v>
      </c>
      <c r="T800" s="284">
        <v>1100</v>
      </c>
      <c r="U800" s="284"/>
    </row>
    <row r="801" spans="2:21" x14ac:dyDescent="0.25">
      <c r="B801" s="292">
        <v>7</v>
      </c>
      <c r="C801" s="292"/>
      <c r="D801" s="292"/>
      <c r="F801" s="283" t="s">
        <v>345</v>
      </c>
      <c r="G801" s="283"/>
      <c r="J801" s="293">
        <v>1</v>
      </c>
      <c r="K801" s="293"/>
      <c r="L801" s="293"/>
      <c r="M801" s="293"/>
      <c r="N801" s="293"/>
      <c r="P801" s="42">
        <v>1880</v>
      </c>
      <c r="R801" s="42">
        <v>280</v>
      </c>
      <c r="T801" s="284">
        <v>1600</v>
      </c>
      <c r="U801" s="284"/>
    </row>
    <row r="802" spans="2:21" x14ac:dyDescent="0.25">
      <c r="B802" s="292">
        <v>8</v>
      </c>
      <c r="C802" s="292"/>
      <c r="D802" s="292"/>
      <c r="F802" s="283" t="s">
        <v>165</v>
      </c>
      <c r="G802" s="283"/>
      <c r="J802" s="293">
        <v>1</v>
      </c>
      <c r="K802" s="293"/>
      <c r="L802" s="293"/>
      <c r="M802" s="293"/>
      <c r="N802" s="293"/>
      <c r="P802" s="42">
        <v>590</v>
      </c>
      <c r="R802" s="42">
        <v>180</v>
      </c>
      <c r="T802" s="284">
        <v>410</v>
      </c>
      <c r="U802" s="284"/>
    </row>
    <row r="803" spans="2:21" x14ac:dyDescent="0.25">
      <c r="B803" s="292">
        <v>9</v>
      </c>
      <c r="C803" s="292"/>
      <c r="D803" s="292"/>
      <c r="F803" s="283" t="s">
        <v>163</v>
      </c>
      <c r="G803" s="283"/>
      <c r="J803" s="293">
        <v>2</v>
      </c>
      <c r="K803" s="293"/>
      <c r="L803" s="293"/>
      <c r="M803" s="293"/>
      <c r="N803" s="293"/>
      <c r="P803" s="42">
        <v>2380</v>
      </c>
      <c r="R803" s="42">
        <v>360</v>
      </c>
      <c r="T803" s="284">
        <v>2020</v>
      </c>
      <c r="U803" s="284"/>
    </row>
    <row r="804" spans="2:21" x14ac:dyDescent="0.25">
      <c r="B804" s="292">
        <v>10</v>
      </c>
      <c r="C804" s="292"/>
      <c r="D804" s="292"/>
      <c r="F804" s="283" t="s">
        <v>162</v>
      </c>
      <c r="G804" s="283"/>
      <c r="J804" s="293">
        <v>26</v>
      </c>
      <c r="K804" s="293"/>
      <c r="L804" s="293"/>
      <c r="M804" s="293"/>
      <c r="N804" s="293"/>
      <c r="P804" s="42">
        <v>11180</v>
      </c>
      <c r="R804" s="42">
        <v>5384</v>
      </c>
      <c r="T804" s="284">
        <v>5796</v>
      </c>
      <c r="U804" s="284"/>
    </row>
    <row r="805" spans="2:21" x14ac:dyDescent="0.25">
      <c r="B805" s="292">
        <v>11</v>
      </c>
      <c r="C805" s="292"/>
      <c r="D805" s="292"/>
      <c r="F805" s="283" t="s">
        <v>198</v>
      </c>
      <c r="G805" s="283"/>
      <c r="J805" s="293">
        <v>2</v>
      </c>
      <c r="K805" s="293"/>
      <c r="L805" s="293"/>
      <c r="M805" s="293"/>
      <c r="N805" s="293"/>
      <c r="P805" s="42">
        <v>580</v>
      </c>
      <c r="R805" s="42">
        <v>160</v>
      </c>
      <c r="T805" s="284">
        <v>420</v>
      </c>
      <c r="U805" s="284"/>
    </row>
    <row r="806" spans="2:21" x14ac:dyDescent="0.25">
      <c r="B806" s="292">
        <v>12</v>
      </c>
      <c r="C806" s="292"/>
      <c r="D806" s="292"/>
      <c r="F806" s="283" t="s">
        <v>160</v>
      </c>
      <c r="G806" s="283"/>
      <c r="J806" s="293">
        <v>4</v>
      </c>
      <c r="K806" s="293"/>
      <c r="L806" s="293"/>
      <c r="M806" s="293"/>
      <c r="N806" s="293"/>
      <c r="P806" s="42">
        <v>1160</v>
      </c>
      <c r="R806" s="42">
        <v>320</v>
      </c>
      <c r="T806" s="284">
        <v>840</v>
      </c>
      <c r="U806" s="284"/>
    </row>
    <row r="807" spans="2:21" x14ac:dyDescent="0.25">
      <c r="B807" s="292">
        <v>13</v>
      </c>
      <c r="C807" s="292"/>
      <c r="D807" s="292"/>
      <c r="F807" s="283" t="s">
        <v>159</v>
      </c>
      <c r="G807" s="283"/>
      <c r="J807" s="293">
        <v>12</v>
      </c>
      <c r="K807" s="293"/>
      <c r="L807" s="293"/>
      <c r="M807" s="293"/>
      <c r="N807" s="293"/>
      <c r="P807" s="42">
        <v>0</v>
      </c>
      <c r="R807" s="42">
        <v>0</v>
      </c>
      <c r="T807" s="284">
        <v>0</v>
      </c>
      <c r="U807" s="284"/>
    </row>
    <row r="808" spans="2:21" x14ac:dyDescent="0.25">
      <c r="B808" s="292">
        <v>14</v>
      </c>
      <c r="C808" s="292"/>
      <c r="D808" s="292"/>
      <c r="F808" s="283" t="s">
        <v>266</v>
      </c>
      <c r="G808" s="283"/>
      <c r="J808" s="293">
        <v>3</v>
      </c>
      <c r="K808" s="293"/>
      <c r="L808" s="293"/>
      <c r="M808" s="293"/>
      <c r="N808" s="293"/>
      <c r="P808" s="42">
        <v>4050</v>
      </c>
      <c r="R808" s="42">
        <v>1200</v>
      </c>
      <c r="T808" s="284">
        <v>2850</v>
      </c>
      <c r="U808" s="284"/>
    </row>
    <row r="809" spans="2:21" x14ac:dyDescent="0.25">
      <c r="B809" s="292">
        <v>15</v>
      </c>
      <c r="C809" s="292"/>
      <c r="D809" s="292"/>
      <c r="F809" s="283" t="s">
        <v>158</v>
      </c>
      <c r="G809" s="283"/>
      <c r="J809" s="293">
        <v>228</v>
      </c>
      <c r="K809" s="293"/>
      <c r="L809" s="293"/>
      <c r="M809" s="293"/>
      <c r="N809" s="293"/>
      <c r="P809" s="42">
        <v>125400</v>
      </c>
      <c r="R809" s="42">
        <v>33153</v>
      </c>
      <c r="T809" s="284">
        <v>92247</v>
      </c>
      <c r="U809" s="284"/>
    </row>
    <row r="810" spans="2:21" x14ac:dyDescent="0.25">
      <c r="B810" s="292">
        <v>16</v>
      </c>
      <c r="C810" s="292"/>
      <c r="D810" s="292"/>
      <c r="F810" s="283" t="s">
        <v>157</v>
      </c>
      <c r="G810" s="283"/>
      <c r="J810" s="293">
        <v>77</v>
      </c>
      <c r="K810" s="293"/>
      <c r="L810" s="293"/>
      <c r="M810" s="293"/>
      <c r="N810" s="293"/>
      <c r="P810" s="42">
        <v>37730</v>
      </c>
      <c r="R810" s="42">
        <v>14917</v>
      </c>
      <c r="T810" s="284">
        <v>22813</v>
      </c>
      <c r="U810" s="284"/>
    </row>
    <row r="811" spans="2:21" x14ac:dyDescent="0.25">
      <c r="B811" s="292">
        <v>17</v>
      </c>
      <c r="C811" s="292"/>
      <c r="D811" s="292"/>
      <c r="F811" s="283" t="s">
        <v>196</v>
      </c>
      <c r="G811" s="283"/>
      <c r="J811" s="293">
        <v>3</v>
      </c>
      <c r="K811" s="293"/>
      <c r="L811" s="293"/>
      <c r="M811" s="293"/>
      <c r="N811" s="293"/>
      <c r="P811" s="42">
        <v>2300</v>
      </c>
      <c r="R811" s="42">
        <v>270</v>
      </c>
      <c r="T811" s="284">
        <v>2030</v>
      </c>
      <c r="U811" s="284"/>
    </row>
    <row r="812" spans="2:21" x14ac:dyDescent="0.25">
      <c r="B812" s="292">
        <v>18</v>
      </c>
      <c r="C812" s="292"/>
      <c r="D812" s="292"/>
      <c r="F812" s="283" t="s">
        <v>292</v>
      </c>
      <c r="G812" s="283"/>
      <c r="J812" s="293">
        <v>3</v>
      </c>
      <c r="K812" s="293"/>
      <c r="L812" s="293"/>
      <c r="M812" s="293"/>
      <c r="N812" s="293"/>
      <c r="P812" s="42">
        <v>2100</v>
      </c>
      <c r="R812" s="42">
        <v>1400</v>
      </c>
      <c r="T812" s="284">
        <v>700</v>
      </c>
      <c r="U812" s="284"/>
    </row>
    <row r="813" spans="2:21" x14ac:dyDescent="0.25">
      <c r="B813" s="292">
        <v>19</v>
      </c>
      <c r="C813" s="292"/>
      <c r="D813" s="292"/>
      <c r="F813" s="283" t="s">
        <v>77</v>
      </c>
      <c r="G813" s="283"/>
      <c r="J813" s="293">
        <v>868</v>
      </c>
      <c r="K813" s="293"/>
      <c r="L813" s="293"/>
      <c r="M813" s="293"/>
      <c r="N813" s="293"/>
      <c r="P813" s="42">
        <v>353100</v>
      </c>
      <c r="R813" s="42">
        <v>353100</v>
      </c>
      <c r="T813" s="284">
        <v>0</v>
      </c>
      <c r="U813" s="284"/>
    </row>
    <row r="814" spans="2:21" x14ac:dyDescent="0.25">
      <c r="B814" s="292">
        <v>20</v>
      </c>
      <c r="C814" s="292"/>
      <c r="D814" s="292"/>
      <c r="F814" s="283" t="s">
        <v>242</v>
      </c>
      <c r="G814" s="283"/>
      <c r="J814" s="293">
        <v>2</v>
      </c>
      <c r="K814" s="293"/>
      <c r="L814" s="293"/>
      <c r="M814" s="293"/>
      <c r="N814" s="293"/>
      <c r="P814" s="42">
        <v>1000</v>
      </c>
      <c r="R814" s="42">
        <v>1000</v>
      </c>
      <c r="T814" s="284">
        <v>0</v>
      </c>
      <c r="U814" s="284"/>
    </row>
    <row r="815" spans="2:21" x14ac:dyDescent="0.25">
      <c r="B815" s="292">
        <v>21</v>
      </c>
      <c r="C815" s="292"/>
      <c r="D815" s="292"/>
      <c r="F815" s="283" t="s">
        <v>76</v>
      </c>
      <c r="G815" s="283"/>
      <c r="J815" s="293">
        <v>4</v>
      </c>
      <c r="K815" s="293"/>
      <c r="L815" s="293"/>
      <c r="M815" s="293"/>
      <c r="N815" s="293"/>
      <c r="P815" s="42">
        <v>2300</v>
      </c>
      <c r="R815" s="42">
        <v>2300</v>
      </c>
      <c r="T815" s="284">
        <v>0</v>
      </c>
      <c r="U815" s="284"/>
    </row>
    <row r="816" spans="2:21" x14ac:dyDescent="0.25">
      <c r="B816" s="292">
        <v>22</v>
      </c>
      <c r="C816" s="292"/>
      <c r="D816" s="292"/>
      <c r="F816" s="283" t="s">
        <v>156</v>
      </c>
      <c r="G816" s="283"/>
      <c r="J816" s="293">
        <v>26</v>
      </c>
      <c r="K816" s="293"/>
      <c r="L816" s="293"/>
      <c r="M816" s="293"/>
      <c r="N816" s="293"/>
      <c r="P816" s="42">
        <v>4940</v>
      </c>
      <c r="R816" s="42">
        <v>1900</v>
      </c>
      <c r="T816" s="284">
        <v>3040</v>
      </c>
      <c r="U816" s="284"/>
    </row>
    <row r="817" spans="2:21" x14ac:dyDescent="0.25">
      <c r="B817" s="292">
        <v>23</v>
      </c>
      <c r="C817" s="292"/>
      <c r="D817" s="292"/>
      <c r="F817" s="283" t="s">
        <v>155</v>
      </c>
      <c r="G817" s="283"/>
      <c r="J817" s="293">
        <v>58</v>
      </c>
      <c r="K817" s="293"/>
      <c r="L817" s="293"/>
      <c r="M817" s="293"/>
      <c r="N817" s="293"/>
      <c r="P817" s="42">
        <v>14500</v>
      </c>
      <c r="R817" s="42">
        <v>5088</v>
      </c>
      <c r="T817" s="284">
        <v>9412</v>
      </c>
      <c r="U817" s="284"/>
    </row>
    <row r="818" spans="2:21" x14ac:dyDescent="0.25">
      <c r="B818" s="292">
        <v>24</v>
      </c>
      <c r="C818" s="292"/>
      <c r="D818" s="292"/>
      <c r="F818" s="283" t="s">
        <v>154</v>
      </c>
      <c r="G818" s="283"/>
      <c r="J818" s="293">
        <v>10</v>
      </c>
      <c r="K818" s="293"/>
      <c r="L818" s="293"/>
      <c r="M818" s="293"/>
      <c r="N818" s="293"/>
      <c r="P818" s="42">
        <v>8900</v>
      </c>
      <c r="R818" s="42">
        <v>1040</v>
      </c>
      <c r="T818" s="284">
        <v>7860</v>
      </c>
      <c r="U818" s="284"/>
    </row>
    <row r="819" spans="2:21" x14ac:dyDescent="0.25">
      <c r="B819" s="292">
        <v>25</v>
      </c>
      <c r="C819" s="292"/>
      <c r="D819" s="292"/>
      <c r="F819" s="283" t="s">
        <v>194</v>
      </c>
      <c r="G819" s="283"/>
      <c r="J819" s="293">
        <v>1</v>
      </c>
      <c r="K819" s="293"/>
      <c r="L819" s="293"/>
      <c r="M819" s="293"/>
      <c r="N819" s="293"/>
      <c r="P819" s="42">
        <v>700</v>
      </c>
      <c r="R819" s="42">
        <v>180</v>
      </c>
      <c r="T819" s="284">
        <v>520</v>
      </c>
      <c r="U819" s="284"/>
    </row>
    <row r="820" spans="2:21" x14ac:dyDescent="0.25">
      <c r="B820" s="292">
        <v>26</v>
      </c>
      <c r="C820" s="292"/>
      <c r="D820" s="292"/>
      <c r="F820" s="283" t="s">
        <v>152</v>
      </c>
      <c r="G820" s="283"/>
      <c r="J820" s="293">
        <v>34</v>
      </c>
      <c r="K820" s="293"/>
      <c r="L820" s="293"/>
      <c r="M820" s="293"/>
      <c r="N820" s="293"/>
      <c r="P820" s="42">
        <v>20060</v>
      </c>
      <c r="R820" s="42">
        <v>6570</v>
      </c>
      <c r="T820" s="284">
        <v>13490</v>
      </c>
      <c r="U820" s="284"/>
    </row>
    <row r="821" spans="2:21" x14ac:dyDescent="0.25">
      <c r="B821" s="292">
        <v>27</v>
      </c>
      <c r="C821" s="292"/>
      <c r="D821" s="292"/>
      <c r="F821" s="283" t="s">
        <v>151</v>
      </c>
      <c r="G821" s="283"/>
      <c r="J821" s="293">
        <v>60</v>
      </c>
      <c r="K821" s="293"/>
      <c r="L821" s="293"/>
      <c r="M821" s="293"/>
      <c r="N821" s="293"/>
      <c r="P821" s="42">
        <v>13800</v>
      </c>
      <c r="R821" s="42">
        <v>3375</v>
      </c>
      <c r="T821" s="284">
        <v>10425</v>
      </c>
      <c r="U821" s="284"/>
    </row>
    <row r="822" spans="2:21" x14ac:dyDescent="0.25">
      <c r="B822" s="292">
        <v>28</v>
      </c>
      <c r="C822" s="292"/>
      <c r="D822" s="292"/>
      <c r="F822" s="283" t="s">
        <v>150</v>
      </c>
      <c r="G822" s="283"/>
      <c r="J822" s="293">
        <v>10</v>
      </c>
      <c r="K822" s="293"/>
      <c r="L822" s="293"/>
      <c r="M822" s="293"/>
      <c r="N822" s="293"/>
      <c r="P822" s="42">
        <v>1700</v>
      </c>
      <c r="R822" s="42">
        <v>510</v>
      </c>
      <c r="T822" s="284">
        <v>1190</v>
      </c>
      <c r="U822" s="284"/>
    </row>
    <row r="823" spans="2:21" x14ac:dyDescent="0.25">
      <c r="B823" s="292">
        <v>29</v>
      </c>
      <c r="C823" s="292"/>
      <c r="D823" s="292"/>
      <c r="F823" s="283" t="s">
        <v>143</v>
      </c>
      <c r="G823" s="283"/>
      <c r="J823" s="293">
        <v>1</v>
      </c>
      <c r="K823" s="293"/>
      <c r="L823" s="293"/>
      <c r="M823" s="293"/>
      <c r="N823" s="293"/>
      <c r="P823" s="42">
        <v>100</v>
      </c>
      <c r="R823" s="42">
        <v>0</v>
      </c>
      <c r="T823" s="284">
        <v>100</v>
      </c>
      <c r="U823" s="284"/>
    </row>
    <row r="824" spans="2:21" x14ac:dyDescent="0.25">
      <c r="B824" s="292">
        <v>30</v>
      </c>
      <c r="C824" s="292"/>
      <c r="D824" s="292"/>
      <c r="F824" s="283" t="s">
        <v>288</v>
      </c>
      <c r="G824" s="283"/>
      <c r="J824" s="293">
        <v>1</v>
      </c>
      <c r="K824" s="293"/>
      <c r="L824" s="293"/>
      <c r="M824" s="293"/>
      <c r="N824" s="293"/>
      <c r="P824" s="42">
        <v>800</v>
      </c>
      <c r="R824" s="42">
        <v>450</v>
      </c>
      <c r="T824" s="284">
        <v>350</v>
      </c>
      <c r="U824" s="284"/>
    </row>
    <row r="825" spans="2:21" x14ac:dyDescent="0.25">
      <c r="B825" s="292">
        <v>31</v>
      </c>
      <c r="C825" s="292"/>
      <c r="D825" s="292"/>
      <c r="F825" s="283" t="s">
        <v>234</v>
      </c>
      <c r="G825" s="283"/>
      <c r="J825" s="293">
        <v>1</v>
      </c>
      <c r="K825" s="293"/>
      <c r="L825" s="293"/>
      <c r="M825" s="293"/>
      <c r="N825" s="293"/>
      <c r="P825" s="42">
        <v>800</v>
      </c>
      <c r="R825" s="42">
        <v>450</v>
      </c>
      <c r="T825" s="284">
        <v>350</v>
      </c>
      <c r="U825" s="284"/>
    </row>
    <row r="826" spans="2:21" x14ac:dyDescent="0.25">
      <c r="B826" s="292">
        <v>32</v>
      </c>
      <c r="C826" s="292"/>
      <c r="D826" s="292"/>
      <c r="F826" s="283" t="s">
        <v>232</v>
      </c>
      <c r="G826" s="283"/>
      <c r="J826" s="293">
        <v>5</v>
      </c>
      <c r="K826" s="293"/>
      <c r="L826" s="293"/>
      <c r="M826" s="293"/>
      <c r="N826" s="293"/>
      <c r="P826" s="42">
        <v>4900</v>
      </c>
      <c r="R826" s="42">
        <v>600</v>
      </c>
      <c r="T826" s="284">
        <v>4300</v>
      </c>
      <c r="U826" s="284"/>
    </row>
    <row r="827" spans="2:21" x14ac:dyDescent="0.25">
      <c r="B827" s="292">
        <v>33</v>
      </c>
      <c r="C827" s="292"/>
      <c r="D827" s="292"/>
      <c r="F827" s="283" t="s">
        <v>353</v>
      </c>
      <c r="G827" s="283"/>
      <c r="J827" s="293">
        <v>1</v>
      </c>
      <c r="K827" s="293"/>
      <c r="L827" s="293"/>
      <c r="M827" s="293"/>
      <c r="N827" s="293"/>
      <c r="P827" s="42">
        <v>350</v>
      </c>
      <c r="R827" s="42">
        <v>150</v>
      </c>
      <c r="T827" s="284">
        <v>200</v>
      </c>
      <c r="U827" s="284"/>
    </row>
    <row r="828" spans="2:21" x14ac:dyDescent="0.25">
      <c r="B828" s="292">
        <v>34</v>
      </c>
      <c r="C828" s="292"/>
      <c r="D828" s="292"/>
      <c r="F828" s="283" t="s">
        <v>142</v>
      </c>
      <c r="G828" s="283"/>
      <c r="J828" s="293">
        <v>21</v>
      </c>
      <c r="K828" s="293"/>
      <c r="L828" s="293"/>
      <c r="M828" s="293"/>
      <c r="N828" s="293"/>
      <c r="P828" s="42">
        <v>7350</v>
      </c>
      <c r="R828" s="42">
        <v>3150</v>
      </c>
      <c r="T828" s="284">
        <v>4200</v>
      </c>
      <c r="U828" s="284"/>
    </row>
    <row r="829" spans="2:21" x14ac:dyDescent="0.25">
      <c r="B829" s="292">
        <v>35</v>
      </c>
      <c r="C829" s="292"/>
      <c r="D829" s="292"/>
      <c r="F829" s="283" t="s">
        <v>75</v>
      </c>
      <c r="G829" s="283"/>
      <c r="J829" s="293">
        <v>871</v>
      </c>
      <c r="K829" s="293"/>
      <c r="L829" s="293"/>
      <c r="M829" s="293"/>
      <c r="N829" s="293"/>
      <c r="P829" s="42">
        <v>2177500</v>
      </c>
      <c r="R829" s="42">
        <v>2177500</v>
      </c>
      <c r="T829" s="284">
        <v>0</v>
      </c>
      <c r="U829" s="284"/>
    </row>
    <row r="830" spans="2:21" x14ac:dyDescent="0.25">
      <c r="B830" s="292">
        <v>36</v>
      </c>
      <c r="C830" s="292"/>
      <c r="D830" s="292"/>
      <c r="F830" s="283" t="s">
        <v>139</v>
      </c>
      <c r="G830" s="283"/>
      <c r="J830" s="293">
        <v>5</v>
      </c>
      <c r="K830" s="293"/>
      <c r="L830" s="293"/>
      <c r="M830" s="293"/>
      <c r="N830" s="293"/>
      <c r="P830" s="42">
        <v>1350</v>
      </c>
      <c r="R830" s="42">
        <v>160</v>
      </c>
      <c r="T830" s="284">
        <v>1190</v>
      </c>
      <c r="U830" s="284"/>
    </row>
    <row r="831" spans="2:21" x14ac:dyDescent="0.25">
      <c r="B831" s="292">
        <v>37</v>
      </c>
      <c r="C831" s="292"/>
      <c r="D831" s="292"/>
      <c r="F831" s="283" t="s">
        <v>231</v>
      </c>
      <c r="G831" s="283"/>
      <c r="J831" s="293">
        <v>1</v>
      </c>
      <c r="K831" s="293"/>
      <c r="L831" s="293"/>
      <c r="M831" s="293"/>
      <c r="N831" s="293"/>
      <c r="P831" s="42">
        <v>500</v>
      </c>
      <c r="R831" s="42">
        <v>150</v>
      </c>
      <c r="T831" s="284">
        <v>350</v>
      </c>
      <c r="U831" s="284"/>
    </row>
    <row r="832" spans="2:21" x14ac:dyDescent="0.25">
      <c r="B832" s="292">
        <v>38</v>
      </c>
      <c r="C832" s="292"/>
      <c r="D832" s="292"/>
      <c r="F832" s="283" t="s">
        <v>136</v>
      </c>
      <c r="G832" s="283"/>
      <c r="J832" s="293">
        <v>17</v>
      </c>
      <c r="K832" s="293"/>
      <c r="L832" s="293"/>
      <c r="M832" s="293"/>
      <c r="N832" s="293"/>
      <c r="P832" s="42">
        <v>14450</v>
      </c>
      <c r="R832" s="42">
        <v>3380</v>
      </c>
      <c r="T832" s="284">
        <v>11070</v>
      </c>
      <c r="U832" s="284"/>
    </row>
    <row r="833" spans="2:21" x14ac:dyDescent="0.25">
      <c r="B833" s="292">
        <v>39</v>
      </c>
      <c r="C833" s="292"/>
      <c r="D833" s="292"/>
      <c r="F833" s="283" t="s">
        <v>74</v>
      </c>
      <c r="G833" s="283"/>
      <c r="J833" s="293">
        <v>28</v>
      </c>
      <c r="K833" s="293"/>
      <c r="L833" s="293"/>
      <c r="M833" s="293"/>
      <c r="N833" s="293"/>
      <c r="P833" s="42">
        <v>23800</v>
      </c>
      <c r="R833" s="42">
        <v>23800</v>
      </c>
      <c r="T833" s="284">
        <v>0</v>
      </c>
      <c r="U833" s="284"/>
    </row>
    <row r="834" spans="2:21" x14ac:dyDescent="0.25">
      <c r="B834" s="292">
        <v>40</v>
      </c>
      <c r="C834" s="292"/>
      <c r="D834" s="292"/>
      <c r="F834" s="283" t="s">
        <v>190</v>
      </c>
      <c r="G834" s="283"/>
      <c r="J834" s="293">
        <v>1</v>
      </c>
      <c r="K834" s="293"/>
      <c r="L834" s="293"/>
      <c r="M834" s="293"/>
      <c r="N834" s="293"/>
      <c r="P834" s="42">
        <v>1570</v>
      </c>
      <c r="R834" s="42">
        <v>240</v>
      </c>
      <c r="T834" s="284">
        <v>1330</v>
      </c>
      <c r="U834" s="284"/>
    </row>
    <row r="835" spans="2:21" x14ac:dyDescent="0.25">
      <c r="B835" s="292">
        <v>41</v>
      </c>
      <c r="C835" s="292"/>
      <c r="D835" s="292"/>
      <c r="F835" s="283" t="s">
        <v>230</v>
      </c>
      <c r="G835" s="283"/>
      <c r="J835" s="293">
        <v>3</v>
      </c>
      <c r="K835" s="293"/>
      <c r="L835" s="293"/>
      <c r="M835" s="293"/>
      <c r="N835" s="293"/>
      <c r="P835" s="42">
        <v>2850</v>
      </c>
      <c r="R835" s="42">
        <v>420</v>
      </c>
      <c r="T835" s="284">
        <v>2430</v>
      </c>
      <c r="U835" s="284"/>
    </row>
    <row r="836" spans="2:21" x14ac:dyDescent="0.25">
      <c r="B836" s="292">
        <v>42</v>
      </c>
      <c r="C836" s="292"/>
      <c r="D836" s="292"/>
      <c r="F836" s="283" t="s">
        <v>135</v>
      </c>
      <c r="G836" s="283"/>
      <c r="J836" s="293">
        <v>28</v>
      </c>
      <c r="K836" s="293"/>
      <c r="L836" s="293"/>
      <c r="M836" s="293"/>
      <c r="N836" s="293"/>
      <c r="P836" s="42">
        <v>26600</v>
      </c>
      <c r="R836" s="42">
        <v>7333</v>
      </c>
      <c r="T836" s="284">
        <v>19267</v>
      </c>
      <c r="U836" s="284"/>
    </row>
    <row r="837" spans="2:21" x14ac:dyDescent="0.25">
      <c r="B837" s="292">
        <v>43</v>
      </c>
      <c r="C837" s="292"/>
      <c r="D837" s="292"/>
      <c r="F837" s="283" t="s">
        <v>132</v>
      </c>
      <c r="G837" s="283"/>
      <c r="J837" s="293">
        <v>32</v>
      </c>
      <c r="K837" s="293"/>
      <c r="L837" s="293"/>
      <c r="M837" s="293"/>
      <c r="N837" s="293"/>
      <c r="P837" s="42">
        <v>39680</v>
      </c>
      <c r="R837" s="42">
        <v>11164</v>
      </c>
      <c r="T837" s="284">
        <v>28516</v>
      </c>
      <c r="U837" s="284"/>
    </row>
    <row r="838" spans="2:21" x14ac:dyDescent="0.25">
      <c r="B838" s="292">
        <v>44</v>
      </c>
      <c r="C838" s="292"/>
      <c r="D838" s="292"/>
      <c r="F838" s="283" t="s">
        <v>131</v>
      </c>
      <c r="G838" s="283"/>
      <c r="J838" s="293">
        <v>1</v>
      </c>
      <c r="K838" s="293"/>
      <c r="L838" s="293"/>
      <c r="M838" s="293"/>
      <c r="N838" s="293"/>
      <c r="P838" s="42">
        <v>3700</v>
      </c>
      <c r="R838" s="42">
        <v>0</v>
      </c>
      <c r="T838" s="284">
        <v>3700</v>
      </c>
      <c r="U838" s="284"/>
    </row>
    <row r="839" spans="2:21" x14ac:dyDescent="0.25">
      <c r="B839" s="292">
        <v>45</v>
      </c>
      <c r="C839" s="292"/>
      <c r="D839" s="292"/>
      <c r="F839" s="283" t="s">
        <v>127</v>
      </c>
      <c r="G839" s="283"/>
      <c r="J839" s="293">
        <v>6</v>
      </c>
      <c r="K839" s="293"/>
      <c r="L839" s="293"/>
      <c r="M839" s="293"/>
      <c r="N839" s="293"/>
      <c r="P839" s="42">
        <v>1800</v>
      </c>
      <c r="R839" s="42">
        <v>532</v>
      </c>
      <c r="T839" s="284">
        <v>1268</v>
      </c>
      <c r="U839" s="284"/>
    </row>
    <row r="840" spans="2:21" x14ac:dyDescent="0.25">
      <c r="B840" s="292">
        <v>46</v>
      </c>
      <c r="C840" s="292"/>
      <c r="D840" s="292"/>
      <c r="F840" s="283" t="s">
        <v>126</v>
      </c>
      <c r="G840" s="283"/>
      <c r="J840" s="293">
        <v>8</v>
      </c>
      <c r="K840" s="293"/>
      <c r="L840" s="293"/>
      <c r="M840" s="293"/>
      <c r="N840" s="293"/>
      <c r="P840" s="42">
        <v>1600</v>
      </c>
      <c r="R840" s="42">
        <v>414</v>
      </c>
      <c r="T840" s="284">
        <v>1186</v>
      </c>
      <c r="U840" s="284"/>
    </row>
    <row r="841" spans="2:21" x14ac:dyDescent="0.25">
      <c r="B841" s="292">
        <v>47</v>
      </c>
      <c r="C841" s="292"/>
      <c r="D841" s="292"/>
      <c r="F841" s="283" t="s">
        <v>124</v>
      </c>
      <c r="G841" s="283"/>
      <c r="J841" s="293">
        <v>2</v>
      </c>
      <c r="K841" s="293"/>
      <c r="L841" s="293"/>
      <c r="M841" s="293"/>
      <c r="N841" s="293"/>
      <c r="P841" s="42">
        <v>1180</v>
      </c>
      <c r="R841" s="42">
        <v>350</v>
      </c>
      <c r="T841" s="284">
        <v>830</v>
      </c>
      <c r="U841" s="284"/>
    </row>
    <row r="842" spans="2:21" x14ac:dyDescent="0.25">
      <c r="B842" s="292">
        <v>48</v>
      </c>
      <c r="C842" s="292"/>
      <c r="D842" s="292"/>
      <c r="F842" s="283" t="s">
        <v>123</v>
      </c>
      <c r="G842" s="283"/>
      <c r="J842" s="293">
        <v>2</v>
      </c>
      <c r="K842" s="293"/>
      <c r="L842" s="293"/>
      <c r="M842" s="293"/>
      <c r="N842" s="293"/>
      <c r="P842" s="42">
        <v>1560</v>
      </c>
      <c r="R842" s="42">
        <v>460</v>
      </c>
      <c r="T842" s="284">
        <v>1100</v>
      </c>
      <c r="U842" s="284"/>
    </row>
    <row r="843" spans="2:21" x14ac:dyDescent="0.25">
      <c r="B843" s="292">
        <v>49</v>
      </c>
      <c r="C843" s="292"/>
      <c r="D843" s="292"/>
      <c r="F843" s="283" t="s">
        <v>336</v>
      </c>
      <c r="G843" s="283"/>
      <c r="J843" s="293">
        <v>3</v>
      </c>
      <c r="K843" s="293"/>
      <c r="L843" s="293"/>
      <c r="M843" s="293"/>
      <c r="N843" s="293"/>
      <c r="P843" s="42">
        <v>1800</v>
      </c>
      <c r="R843" s="42">
        <v>500</v>
      </c>
      <c r="T843" s="284">
        <v>1300</v>
      </c>
      <c r="U843" s="284"/>
    </row>
    <row r="844" spans="2:21" x14ac:dyDescent="0.25">
      <c r="B844" s="292">
        <v>50</v>
      </c>
      <c r="C844" s="292"/>
      <c r="D844" s="292"/>
      <c r="F844" s="283" t="s">
        <v>122</v>
      </c>
      <c r="G844" s="283"/>
      <c r="J844" s="293">
        <v>1</v>
      </c>
      <c r="K844" s="293"/>
      <c r="L844" s="293"/>
      <c r="M844" s="293"/>
      <c r="N844" s="293"/>
      <c r="P844" s="42">
        <v>500</v>
      </c>
      <c r="R844" s="42">
        <v>0</v>
      </c>
      <c r="T844" s="284">
        <v>500</v>
      </c>
      <c r="U844" s="284"/>
    </row>
    <row r="845" spans="2:21" x14ac:dyDescent="0.25">
      <c r="B845" s="292">
        <v>51</v>
      </c>
      <c r="C845" s="292"/>
      <c r="D845" s="292"/>
      <c r="F845" s="283" t="s">
        <v>121</v>
      </c>
      <c r="G845" s="283"/>
      <c r="J845" s="293">
        <v>3</v>
      </c>
      <c r="K845" s="293"/>
      <c r="L845" s="293"/>
      <c r="M845" s="293"/>
      <c r="N845" s="293"/>
      <c r="P845" s="42">
        <v>1500</v>
      </c>
      <c r="R845" s="42">
        <v>300</v>
      </c>
      <c r="T845" s="284">
        <v>1200</v>
      </c>
      <c r="U845" s="284"/>
    </row>
    <row r="846" spans="2:21" x14ac:dyDescent="0.25">
      <c r="B846" s="292">
        <v>52</v>
      </c>
      <c r="C846" s="292"/>
      <c r="D846" s="292"/>
      <c r="F846" s="283" t="s">
        <v>282</v>
      </c>
      <c r="G846" s="283"/>
      <c r="J846" s="293">
        <v>1</v>
      </c>
      <c r="K846" s="293"/>
      <c r="L846" s="293"/>
      <c r="M846" s="293"/>
      <c r="N846" s="293"/>
      <c r="P846" s="42">
        <v>500</v>
      </c>
      <c r="R846" s="42">
        <v>0</v>
      </c>
      <c r="T846" s="284">
        <v>500</v>
      </c>
      <c r="U846" s="284"/>
    </row>
    <row r="847" spans="2:21" x14ac:dyDescent="0.25">
      <c r="B847" s="292">
        <v>53</v>
      </c>
      <c r="C847" s="292"/>
      <c r="D847" s="292"/>
      <c r="F847" s="283" t="s">
        <v>119</v>
      </c>
      <c r="G847" s="283"/>
      <c r="J847" s="293">
        <v>10</v>
      </c>
      <c r="K847" s="293"/>
      <c r="L847" s="293"/>
      <c r="M847" s="293"/>
      <c r="N847" s="293"/>
      <c r="P847" s="42">
        <v>8900</v>
      </c>
      <c r="R847" s="42">
        <v>2862</v>
      </c>
      <c r="T847" s="284">
        <v>6038</v>
      </c>
      <c r="U847" s="284"/>
    </row>
    <row r="848" spans="2:21" x14ac:dyDescent="0.25">
      <c r="B848" s="292">
        <v>54</v>
      </c>
      <c r="C848" s="292"/>
      <c r="D848" s="292"/>
      <c r="F848" s="283" t="s">
        <v>118</v>
      </c>
      <c r="G848" s="283"/>
      <c r="J848" s="293">
        <v>38</v>
      </c>
      <c r="K848" s="293"/>
      <c r="L848" s="293"/>
      <c r="M848" s="293"/>
      <c r="N848" s="293"/>
      <c r="P848" s="42">
        <v>37620</v>
      </c>
      <c r="R848" s="42">
        <v>11775</v>
      </c>
      <c r="T848" s="284">
        <v>25845</v>
      </c>
      <c r="U848" s="284"/>
    </row>
    <row r="849" spans="2:21" x14ac:dyDescent="0.25">
      <c r="B849" s="292">
        <v>55</v>
      </c>
      <c r="C849" s="292"/>
      <c r="D849" s="292"/>
      <c r="F849" s="283" t="s">
        <v>117</v>
      </c>
      <c r="G849" s="283"/>
      <c r="J849" s="293">
        <v>4</v>
      </c>
      <c r="K849" s="293"/>
      <c r="L849" s="293"/>
      <c r="M849" s="293"/>
      <c r="N849" s="293"/>
      <c r="P849" s="42">
        <v>3200</v>
      </c>
      <c r="R849" s="42">
        <v>200</v>
      </c>
      <c r="T849" s="284">
        <v>3000</v>
      </c>
      <c r="U849" s="284"/>
    </row>
    <row r="850" spans="2:21" x14ac:dyDescent="0.25">
      <c r="B850" s="292">
        <v>56</v>
      </c>
      <c r="C850" s="292"/>
      <c r="D850" s="292"/>
      <c r="F850" s="283" t="s">
        <v>262</v>
      </c>
      <c r="G850" s="283"/>
      <c r="J850" s="293">
        <v>1</v>
      </c>
      <c r="K850" s="293"/>
      <c r="L850" s="293"/>
      <c r="M850" s="293"/>
      <c r="N850" s="293"/>
      <c r="P850" s="42">
        <v>450</v>
      </c>
      <c r="R850" s="42">
        <v>70</v>
      </c>
      <c r="T850" s="284">
        <v>380</v>
      </c>
      <c r="U850" s="284"/>
    </row>
    <row r="851" spans="2:21" x14ac:dyDescent="0.25">
      <c r="B851" s="292">
        <v>57</v>
      </c>
      <c r="C851" s="292"/>
      <c r="D851" s="292"/>
      <c r="F851" s="283" t="s">
        <v>115</v>
      </c>
      <c r="G851" s="283"/>
      <c r="J851" s="293">
        <v>3</v>
      </c>
      <c r="K851" s="293"/>
      <c r="L851" s="293"/>
      <c r="M851" s="293"/>
      <c r="N851" s="293"/>
      <c r="P851" s="42">
        <v>870</v>
      </c>
      <c r="R851" s="42">
        <v>270</v>
      </c>
      <c r="T851" s="284">
        <v>600</v>
      </c>
      <c r="U851" s="284"/>
    </row>
    <row r="852" spans="2:21" x14ac:dyDescent="0.25">
      <c r="B852" s="292">
        <v>58</v>
      </c>
      <c r="C852" s="292"/>
      <c r="D852" s="292"/>
      <c r="F852" s="283" t="s">
        <v>417</v>
      </c>
      <c r="G852" s="283"/>
      <c r="J852" s="293">
        <v>2</v>
      </c>
      <c r="K852" s="293"/>
      <c r="L852" s="293"/>
      <c r="M852" s="293"/>
      <c r="N852" s="293"/>
      <c r="P852" s="42">
        <v>1200</v>
      </c>
      <c r="R852" s="42">
        <v>0</v>
      </c>
      <c r="T852" s="284">
        <v>1200</v>
      </c>
      <c r="U852" s="284"/>
    </row>
    <row r="853" spans="2:21" x14ac:dyDescent="0.25">
      <c r="B853" s="292">
        <v>59</v>
      </c>
      <c r="C853" s="292"/>
      <c r="D853" s="292"/>
      <c r="F853" s="283" t="s">
        <v>448</v>
      </c>
      <c r="G853" s="283"/>
      <c r="J853" s="293">
        <v>1</v>
      </c>
      <c r="K853" s="293"/>
      <c r="L853" s="293"/>
      <c r="M853" s="293"/>
      <c r="N853" s="293"/>
      <c r="P853" s="42">
        <v>60</v>
      </c>
      <c r="R853" s="42">
        <v>0</v>
      </c>
      <c r="T853" s="284">
        <v>60</v>
      </c>
      <c r="U853" s="284"/>
    </row>
    <row r="854" spans="2:21" x14ac:dyDescent="0.25">
      <c r="B854" s="292">
        <v>60</v>
      </c>
      <c r="C854" s="292"/>
      <c r="D854" s="292"/>
      <c r="F854" s="283" t="s">
        <v>225</v>
      </c>
      <c r="G854" s="283"/>
      <c r="J854" s="293">
        <v>6</v>
      </c>
      <c r="K854" s="293"/>
      <c r="L854" s="293"/>
      <c r="M854" s="293"/>
      <c r="N854" s="293"/>
      <c r="P854" s="42">
        <v>30000</v>
      </c>
      <c r="R854" s="42">
        <v>29600</v>
      </c>
      <c r="T854" s="284">
        <v>400</v>
      </c>
      <c r="U854" s="284"/>
    </row>
    <row r="855" spans="2:21" x14ac:dyDescent="0.25">
      <c r="B855" s="292">
        <v>61</v>
      </c>
      <c r="C855" s="292"/>
      <c r="D855" s="292"/>
      <c r="F855" s="283" t="s">
        <v>222</v>
      </c>
      <c r="G855" s="283"/>
      <c r="J855" s="293">
        <v>1</v>
      </c>
      <c r="K855" s="293"/>
      <c r="L855" s="293"/>
      <c r="M855" s="293"/>
      <c r="N855" s="293"/>
      <c r="P855" s="42">
        <v>500</v>
      </c>
      <c r="R855" s="42">
        <v>0</v>
      </c>
      <c r="T855" s="284">
        <v>500</v>
      </c>
      <c r="U855" s="284"/>
    </row>
    <row r="856" spans="2:21" x14ac:dyDescent="0.25">
      <c r="B856" s="292">
        <v>62</v>
      </c>
      <c r="C856" s="292"/>
      <c r="D856" s="292"/>
      <c r="F856" s="283" t="s">
        <v>300</v>
      </c>
      <c r="G856" s="283"/>
      <c r="J856" s="293">
        <v>2</v>
      </c>
      <c r="K856" s="293"/>
      <c r="L856" s="293"/>
      <c r="M856" s="293"/>
      <c r="N856" s="293"/>
      <c r="P856" s="42">
        <v>660</v>
      </c>
      <c r="R856" s="42">
        <v>199</v>
      </c>
      <c r="T856" s="284">
        <v>461</v>
      </c>
      <c r="U856" s="284"/>
    </row>
    <row r="857" spans="2:21" x14ac:dyDescent="0.25">
      <c r="B857" s="292">
        <v>63</v>
      </c>
      <c r="C857" s="292"/>
      <c r="D857" s="292"/>
      <c r="F857" s="283" t="s">
        <v>219</v>
      </c>
      <c r="G857" s="283"/>
      <c r="J857" s="293">
        <v>1</v>
      </c>
      <c r="K857" s="293"/>
      <c r="L857" s="293"/>
      <c r="M857" s="293"/>
      <c r="N857" s="293"/>
      <c r="P857" s="42">
        <v>500</v>
      </c>
      <c r="R857" s="42">
        <v>150</v>
      </c>
      <c r="T857" s="284">
        <v>350</v>
      </c>
      <c r="U857" s="284"/>
    </row>
    <row r="858" spans="2:21" x14ac:dyDescent="0.25">
      <c r="B858" s="292">
        <v>64</v>
      </c>
      <c r="C858" s="292"/>
      <c r="D858" s="292"/>
      <c r="F858" s="283" t="s">
        <v>171</v>
      </c>
      <c r="G858" s="283"/>
      <c r="J858" s="293">
        <v>2</v>
      </c>
      <c r="K858" s="293"/>
      <c r="L858" s="293"/>
      <c r="M858" s="293"/>
      <c r="N858" s="293"/>
      <c r="P858" s="42">
        <v>1060</v>
      </c>
      <c r="R858" s="42">
        <v>346</v>
      </c>
      <c r="T858" s="284">
        <v>714</v>
      </c>
      <c r="U858" s="284"/>
    </row>
    <row r="859" spans="2:21" x14ac:dyDescent="0.25">
      <c r="B859" s="292">
        <v>65</v>
      </c>
      <c r="C859" s="292"/>
      <c r="D859" s="292"/>
      <c r="F859" s="283" t="s">
        <v>111</v>
      </c>
      <c r="G859" s="283"/>
      <c r="J859" s="293">
        <v>3</v>
      </c>
      <c r="K859" s="293"/>
      <c r="L859" s="293"/>
      <c r="M859" s="293"/>
      <c r="N859" s="293"/>
      <c r="P859" s="42">
        <v>1290</v>
      </c>
      <c r="R859" s="42">
        <v>390</v>
      </c>
      <c r="T859" s="284">
        <v>900</v>
      </c>
      <c r="U859" s="284"/>
    </row>
    <row r="860" spans="2:21" x14ac:dyDescent="0.25">
      <c r="B860" s="292">
        <v>66</v>
      </c>
      <c r="C860" s="292"/>
      <c r="D860" s="292"/>
      <c r="F860" s="283" t="s">
        <v>109</v>
      </c>
      <c r="G860" s="283"/>
      <c r="J860" s="293">
        <v>2</v>
      </c>
      <c r="K860" s="293"/>
      <c r="L860" s="293"/>
      <c r="M860" s="293"/>
      <c r="N860" s="293"/>
      <c r="P860" s="42">
        <v>1560</v>
      </c>
      <c r="R860" s="42">
        <v>230</v>
      </c>
      <c r="T860" s="284">
        <v>1330</v>
      </c>
      <c r="U860" s="284"/>
    </row>
    <row r="861" spans="2:21" x14ac:dyDescent="0.25">
      <c r="B861" s="292">
        <v>67</v>
      </c>
      <c r="C861" s="292"/>
      <c r="D861" s="292"/>
      <c r="F861" s="283" t="s">
        <v>108</v>
      </c>
      <c r="G861" s="283"/>
      <c r="J861" s="293">
        <v>3</v>
      </c>
      <c r="K861" s="293"/>
      <c r="L861" s="293"/>
      <c r="M861" s="293"/>
      <c r="N861" s="293"/>
      <c r="P861" s="42">
        <v>300</v>
      </c>
      <c r="R861" s="42">
        <v>30</v>
      </c>
      <c r="T861" s="284">
        <v>270</v>
      </c>
      <c r="U861" s="284"/>
    </row>
    <row r="862" spans="2:21" x14ac:dyDescent="0.25">
      <c r="B862" s="292">
        <v>68</v>
      </c>
      <c r="C862" s="292"/>
      <c r="D862" s="292"/>
      <c r="F862" s="283" t="s">
        <v>107</v>
      </c>
      <c r="G862" s="283"/>
      <c r="J862" s="293">
        <v>42</v>
      </c>
      <c r="K862" s="293"/>
      <c r="L862" s="293"/>
      <c r="M862" s="293"/>
      <c r="N862" s="293"/>
      <c r="P862" s="42">
        <v>7140</v>
      </c>
      <c r="R862" s="42">
        <v>2468</v>
      </c>
      <c r="T862" s="284">
        <v>4672</v>
      </c>
      <c r="U862" s="284"/>
    </row>
    <row r="863" spans="2:21" x14ac:dyDescent="0.25">
      <c r="B863" s="292">
        <v>69</v>
      </c>
      <c r="C863" s="292"/>
      <c r="D863" s="292"/>
      <c r="F863" s="283" t="s">
        <v>256</v>
      </c>
      <c r="G863" s="283"/>
      <c r="J863" s="293">
        <v>1</v>
      </c>
      <c r="K863" s="293"/>
      <c r="L863" s="293"/>
      <c r="M863" s="293"/>
      <c r="N863" s="293"/>
      <c r="P863" s="42">
        <v>630</v>
      </c>
      <c r="R863" s="42">
        <v>190</v>
      </c>
      <c r="T863" s="284">
        <v>440</v>
      </c>
      <c r="U863" s="284"/>
    </row>
    <row r="864" spans="2:21" x14ac:dyDescent="0.25">
      <c r="B864" s="292">
        <v>70</v>
      </c>
      <c r="C864" s="292"/>
      <c r="D864" s="292"/>
      <c r="F864" s="283" t="s">
        <v>105</v>
      </c>
      <c r="G864" s="283"/>
      <c r="J864" s="293">
        <v>1</v>
      </c>
      <c r="K864" s="293"/>
      <c r="L864" s="293"/>
      <c r="M864" s="293"/>
      <c r="N864" s="293"/>
      <c r="P864" s="42">
        <v>1150</v>
      </c>
      <c r="R864" s="42">
        <v>0</v>
      </c>
      <c r="T864" s="284">
        <v>1150</v>
      </c>
      <c r="U864" s="284"/>
    </row>
    <row r="865" spans="2:21" x14ac:dyDescent="0.25">
      <c r="B865" s="292">
        <v>71</v>
      </c>
      <c r="C865" s="292"/>
      <c r="D865" s="292"/>
      <c r="F865" s="283" t="s">
        <v>104</v>
      </c>
      <c r="G865" s="283"/>
      <c r="J865" s="293">
        <v>4</v>
      </c>
      <c r="K865" s="293"/>
      <c r="L865" s="293"/>
      <c r="M865" s="293"/>
      <c r="N865" s="293"/>
      <c r="P865" s="42">
        <v>1320</v>
      </c>
      <c r="R865" s="42">
        <v>505</v>
      </c>
      <c r="T865" s="284">
        <v>815</v>
      </c>
      <c r="U865" s="284"/>
    </row>
    <row r="866" spans="2:21" x14ac:dyDescent="0.25">
      <c r="B866" s="292">
        <v>72</v>
      </c>
      <c r="C866" s="292"/>
      <c r="D866" s="292"/>
      <c r="F866" s="283" t="s">
        <v>103</v>
      </c>
      <c r="G866" s="283"/>
      <c r="J866" s="293">
        <v>39</v>
      </c>
      <c r="K866" s="293"/>
      <c r="L866" s="293"/>
      <c r="M866" s="293"/>
      <c r="N866" s="293"/>
      <c r="P866" s="42">
        <v>12870</v>
      </c>
      <c r="R866" s="42">
        <v>5420</v>
      </c>
      <c r="T866" s="284">
        <v>7450</v>
      </c>
      <c r="U866" s="284"/>
    </row>
    <row r="867" spans="2:21" x14ac:dyDescent="0.25">
      <c r="B867" s="292">
        <v>73</v>
      </c>
      <c r="C867" s="292"/>
      <c r="D867" s="292"/>
      <c r="F867" s="283" t="s">
        <v>307</v>
      </c>
      <c r="G867" s="283"/>
      <c r="J867" s="293">
        <v>1</v>
      </c>
      <c r="K867" s="293"/>
      <c r="L867" s="293"/>
      <c r="M867" s="293"/>
      <c r="N867" s="293"/>
      <c r="P867" s="42">
        <v>700</v>
      </c>
      <c r="R867" s="42">
        <v>350</v>
      </c>
      <c r="T867" s="284">
        <v>350</v>
      </c>
      <c r="U867" s="284"/>
    </row>
    <row r="868" spans="2:21" x14ac:dyDescent="0.25">
      <c r="B868" s="292">
        <v>74</v>
      </c>
      <c r="C868" s="292"/>
      <c r="D868" s="292"/>
      <c r="F868" s="283" t="s">
        <v>102</v>
      </c>
      <c r="G868" s="283"/>
      <c r="J868" s="293">
        <v>4</v>
      </c>
      <c r="K868" s="293"/>
      <c r="L868" s="293"/>
      <c r="M868" s="293"/>
      <c r="N868" s="293"/>
      <c r="P868" s="42">
        <v>3520</v>
      </c>
      <c r="R868" s="42">
        <v>520</v>
      </c>
      <c r="T868" s="284">
        <v>3000</v>
      </c>
      <c r="U868" s="284"/>
    </row>
    <row r="869" spans="2:21" x14ac:dyDescent="0.25">
      <c r="B869" s="292">
        <v>75</v>
      </c>
      <c r="C869" s="292"/>
      <c r="D869" s="292"/>
      <c r="F869" s="283" t="s">
        <v>99</v>
      </c>
      <c r="G869" s="283"/>
      <c r="J869" s="293">
        <v>3</v>
      </c>
      <c r="K869" s="293"/>
      <c r="L869" s="293"/>
      <c r="M869" s="293"/>
      <c r="N869" s="293"/>
      <c r="P869" s="42">
        <v>1770</v>
      </c>
      <c r="R869" s="42">
        <v>90</v>
      </c>
      <c r="T869" s="284">
        <v>1680</v>
      </c>
      <c r="U869" s="284"/>
    </row>
    <row r="870" spans="2:21" x14ac:dyDescent="0.25">
      <c r="B870" s="292">
        <v>76</v>
      </c>
      <c r="C870" s="292"/>
      <c r="D870" s="292"/>
      <c r="F870" s="283" t="s">
        <v>98</v>
      </c>
      <c r="G870" s="283"/>
      <c r="J870" s="293">
        <v>4</v>
      </c>
      <c r="K870" s="293"/>
      <c r="L870" s="293"/>
      <c r="M870" s="293"/>
      <c r="N870" s="293"/>
      <c r="P870" s="42">
        <v>2280</v>
      </c>
      <c r="R870" s="42">
        <v>240</v>
      </c>
      <c r="T870" s="284">
        <v>2040</v>
      </c>
      <c r="U870" s="284"/>
    </row>
    <row r="871" spans="2:21" x14ac:dyDescent="0.25">
      <c r="B871" s="292">
        <v>77</v>
      </c>
      <c r="C871" s="292"/>
      <c r="D871" s="292"/>
      <c r="F871" s="283" t="s">
        <v>97</v>
      </c>
      <c r="G871" s="283"/>
      <c r="J871" s="293">
        <v>1</v>
      </c>
      <c r="K871" s="293"/>
      <c r="L871" s="293"/>
      <c r="M871" s="293"/>
      <c r="N871" s="293"/>
      <c r="P871" s="42">
        <v>1590</v>
      </c>
      <c r="R871" s="42">
        <v>240</v>
      </c>
      <c r="T871" s="284">
        <v>1350</v>
      </c>
      <c r="U871" s="284"/>
    </row>
    <row r="872" spans="2:21" x14ac:dyDescent="0.25">
      <c r="B872" s="292">
        <v>78</v>
      </c>
      <c r="C872" s="292"/>
      <c r="D872" s="292"/>
      <c r="F872" s="283" t="s">
        <v>253</v>
      </c>
      <c r="G872" s="283"/>
      <c r="J872" s="293">
        <v>1</v>
      </c>
      <c r="K872" s="293"/>
      <c r="L872" s="293"/>
      <c r="M872" s="293"/>
      <c r="N872" s="293"/>
      <c r="P872" s="42">
        <v>290</v>
      </c>
      <c r="R872" s="42">
        <v>80</v>
      </c>
      <c r="T872" s="284">
        <v>210</v>
      </c>
      <c r="U872" s="284"/>
    </row>
    <row r="873" spans="2:21" x14ac:dyDescent="0.25">
      <c r="B873" s="292">
        <v>79</v>
      </c>
      <c r="C873" s="292"/>
      <c r="D873" s="292"/>
      <c r="F873" s="283" t="s">
        <v>93</v>
      </c>
      <c r="G873" s="283"/>
      <c r="J873" s="293">
        <v>17</v>
      </c>
      <c r="K873" s="293"/>
      <c r="L873" s="293"/>
      <c r="M873" s="293"/>
      <c r="N873" s="293"/>
      <c r="P873" s="42">
        <v>10030</v>
      </c>
      <c r="R873" s="42">
        <v>990</v>
      </c>
      <c r="T873" s="284">
        <v>9040</v>
      </c>
      <c r="U873" s="284"/>
    </row>
    <row r="874" spans="2:21" x14ac:dyDescent="0.25">
      <c r="B874" s="292">
        <v>80</v>
      </c>
      <c r="C874" s="292"/>
      <c r="D874" s="292"/>
      <c r="F874" s="283" t="s">
        <v>92</v>
      </c>
      <c r="G874" s="283"/>
      <c r="J874" s="293">
        <v>4</v>
      </c>
      <c r="K874" s="293"/>
      <c r="L874" s="293"/>
      <c r="M874" s="293"/>
      <c r="N874" s="293"/>
      <c r="P874" s="42">
        <v>2960</v>
      </c>
      <c r="R874" s="42">
        <v>860</v>
      </c>
      <c r="T874" s="284">
        <v>2100</v>
      </c>
      <c r="U874" s="284"/>
    </row>
    <row r="875" spans="2:21" x14ac:dyDescent="0.25">
      <c r="B875" s="292">
        <v>81</v>
      </c>
      <c r="C875" s="292"/>
      <c r="D875" s="292"/>
      <c r="F875" s="283" t="s">
        <v>91</v>
      </c>
      <c r="G875" s="283"/>
      <c r="J875" s="293">
        <v>43</v>
      </c>
      <c r="K875" s="293"/>
      <c r="L875" s="293"/>
      <c r="M875" s="293"/>
      <c r="N875" s="293"/>
      <c r="P875" s="42">
        <v>10750</v>
      </c>
      <c r="R875" s="42">
        <v>2835</v>
      </c>
      <c r="T875" s="284">
        <v>7915</v>
      </c>
      <c r="U875" s="284"/>
    </row>
    <row r="876" spans="2:21" x14ac:dyDescent="0.25">
      <c r="B876" s="292">
        <v>82</v>
      </c>
      <c r="C876" s="292"/>
      <c r="D876" s="292"/>
      <c r="F876" s="283" t="s">
        <v>90</v>
      </c>
      <c r="G876" s="283"/>
      <c r="J876" s="293">
        <v>16</v>
      </c>
      <c r="K876" s="293"/>
      <c r="L876" s="293"/>
      <c r="M876" s="293"/>
      <c r="N876" s="293"/>
      <c r="P876" s="42">
        <v>4640</v>
      </c>
      <c r="R876" s="42">
        <v>960</v>
      </c>
      <c r="T876" s="284">
        <v>3680</v>
      </c>
      <c r="U876" s="284"/>
    </row>
    <row r="877" spans="2:21" x14ac:dyDescent="0.25">
      <c r="B877" s="292">
        <v>83</v>
      </c>
      <c r="C877" s="292"/>
      <c r="D877" s="292"/>
      <c r="F877" s="283" t="s">
        <v>89</v>
      </c>
      <c r="G877" s="283"/>
      <c r="J877" s="293">
        <v>3</v>
      </c>
      <c r="K877" s="293"/>
      <c r="L877" s="293"/>
      <c r="M877" s="293"/>
      <c r="N877" s="293"/>
      <c r="P877" s="42">
        <v>2640</v>
      </c>
      <c r="R877" s="42">
        <v>130</v>
      </c>
      <c r="T877" s="284">
        <v>2510</v>
      </c>
      <c r="U877" s="284"/>
    </row>
    <row r="878" spans="2:21" x14ac:dyDescent="0.25">
      <c r="B878" s="292">
        <v>84</v>
      </c>
      <c r="C878" s="292"/>
      <c r="D878" s="292"/>
      <c r="F878" s="283" t="s">
        <v>88</v>
      </c>
      <c r="G878" s="283"/>
      <c r="J878" s="293">
        <v>48</v>
      </c>
      <c r="K878" s="293"/>
      <c r="L878" s="293"/>
      <c r="M878" s="293"/>
      <c r="N878" s="293"/>
      <c r="P878" s="42">
        <v>8640</v>
      </c>
      <c r="R878" s="42">
        <v>3014</v>
      </c>
      <c r="T878" s="284">
        <v>5626</v>
      </c>
      <c r="U878" s="284"/>
    </row>
    <row r="879" spans="2:21" x14ac:dyDescent="0.25">
      <c r="B879" s="292">
        <v>85</v>
      </c>
      <c r="C879" s="292"/>
      <c r="D879" s="292"/>
      <c r="F879" s="283" t="s">
        <v>86</v>
      </c>
      <c r="G879" s="283"/>
      <c r="J879" s="293">
        <v>1</v>
      </c>
      <c r="K879" s="293"/>
      <c r="L879" s="293"/>
      <c r="M879" s="293"/>
      <c r="N879" s="293"/>
      <c r="P879" s="42">
        <v>1140</v>
      </c>
      <c r="R879" s="42">
        <v>170</v>
      </c>
      <c r="T879" s="284">
        <v>970</v>
      </c>
      <c r="U879" s="284"/>
    </row>
    <row r="880" spans="2:21" x14ac:dyDescent="0.25">
      <c r="B880" s="292">
        <v>86</v>
      </c>
      <c r="C880" s="292"/>
      <c r="D880" s="292"/>
      <c r="F880" s="283" t="s">
        <v>85</v>
      </c>
      <c r="G880" s="283"/>
      <c r="J880" s="293">
        <v>9</v>
      </c>
      <c r="K880" s="293"/>
      <c r="L880" s="293"/>
      <c r="M880" s="293"/>
      <c r="N880" s="293"/>
      <c r="P880" s="42">
        <v>18720</v>
      </c>
      <c r="R880" s="42">
        <v>2480</v>
      </c>
      <c r="T880" s="284">
        <v>16240</v>
      </c>
      <c r="U880" s="284"/>
    </row>
    <row r="881" spans="1:21" x14ac:dyDescent="0.25">
      <c r="B881" s="292">
        <v>87</v>
      </c>
      <c r="C881" s="292"/>
      <c r="D881" s="292"/>
      <c r="F881" s="283" t="s">
        <v>84</v>
      </c>
      <c r="G881" s="283"/>
      <c r="J881" s="293">
        <v>1</v>
      </c>
      <c r="K881" s="293"/>
      <c r="L881" s="293"/>
      <c r="M881" s="293"/>
      <c r="N881" s="293"/>
      <c r="P881" s="42">
        <v>590</v>
      </c>
      <c r="R881" s="42">
        <v>180</v>
      </c>
      <c r="T881" s="284">
        <v>410</v>
      </c>
      <c r="U881" s="284"/>
    </row>
    <row r="882" spans="1:21" x14ac:dyDescent="0.25">
      <c r="B882" s="292">
        <v>88</v>
      </c>
      <c r="C882" s="292"/>
      <c r="D882" s="292"/>
      <c r="F882" s="283" t="s">
        <v>206</v>
      </c>
      <c r="G882" s="283"/>
      <c r="J882" s="293">
        <v>2</v>
      </c>
      <c r="K882" s="293"/>
      <c r="L882" s="293"/>
      <c r="M882" s="293"/>
      <c r="N882" s="293"/>
      <c r="P882" s="42">
        <v>1000</v>
      </c>
      <c r="R882" s="42">
        <v>300</v>
      </c>
      <c r="T882" s="284">
        <v>700</v>
      </c>
      <c r="U882" s="284"/>
    </row>
    <row r="883" spans="1:21" x14ac:dyDescent="0.25">
      <c r="B883" s="292">
        <v>89</v>
      </c>
      <c r="C883" s="292"/>
      <c r="D883" s="292"/>
      <c r="F883" s="283" t="s">
        <v>205</v>
      </c>
      <c r="G883" s="283"/>
      <c r="J883" s="293">
        <v>1</v>
      </c>
      <c r="K883" s="293"/>
      <c r="L883" s="293"/>
      <c r="M883" s="293"/>
      <c r="N883" s="293"/>
      <c r="P883" s="42">
        <v>500</v>
      </c>
      <c r="R883" s="42">
        <v>0</v>
      </c>
      <c r="T883" s="284">
        <v>500</v>
      </c>
      <c r="U883" s="284"/>
    </row>
    <row r="884" spans="1:21" x14ac:dyDescent="0.25">
      <c r="B884" s="292">
        <v>90</v>
      </c>
      <c r="C884" s="292"/>
      <c r="D884" s="292"/>
      <c r="F884" s="283" t="s">
        <v>83</v>
      </c>
      <c r="G884" s="283"/>
      <c r="J884" s="293">
        <v>7</v>
      </c>
      <c r="K884" s="293"/>
      <c r="L884" s="293"/>
      <c r="M884" s="293"/>
      <c r="N884" s="293"/>
      <c r="P884" s="42">
        <v>3500</v>
      </c>
      <c r="R884" s="42">
        <v>1050</v>
      </c>
      <c r="T884" s="284">
        <v>2450</v>
      </c>
      <c r="U884" s="284"/>
    </row>
    <row r="885" spans="1:21" x14ac:dyDescent="0.25">
      <c r="B885" s="292">
        <v>91</v>
      </c>
      <c r="C885" s="292"/>
      <c r="D885" s="292"/>
      <c r="F885" s="283" t="s">
        <v>271</v>
      </c>
      <c r="G885" s="283"/>
      <c r="J885" s="293">
        <v>2</v>
      </c>
      <c r="K885" s="293"/>
      <c r="L885" s="293"/>
      <c r="M885" s="293"/>
      <c r="N885" s="293"/>
      <c r="P885" s="42">
        <v>1000</v>
      </c>
      <c r="R885" s="42">
        <v>300</v>
      </c>
      <c r="T885" s="284">
        <v>700</v>
      </c>
      <c r="U885" s="284"/>
    </row>
    <row r="886" spans="1:21" x14ac:dyDescent="0.25">
      <c r="B886" s="292">
        <v>92</v>
      </c>
      <c r="C886" s="292"/>
      <c r="D886" s="292"/>
      <c r="F886" s="283" t="s">
        <v>203</v>
      </c>
      <c r="G886" s="283"/>
      <c r="J886" s="293">
        <v>2</v>
      </c>
      <c r="K886" s="293"/>
      <c r="L886" s="293"/>
      <c r="M886" s="293"/>
      <c r="N886" s="293"/>
      <c r="P886" s="42">
        <v>1000</v>
      </c>
      <c r="R886" s="42">
        <v>300</v>
      </c>
      <c r="T886" s="284">
        <v>700</v>
      </c>
      <c r="U886" s="284"/>
    </row>
    <row r="887" spans="1:21" x14ac:dyDescent="0.25">
      <c r="B887" s="292">
        <v>93</v>
      </c>
      <c r="C887" s="292"/>
      <c r="D887" s="292"/>
      <c r="F887" s="283" t="s">
        <v>81</v>
      </c>
      <c r="G887" s="283"/>
      <c r="J887" s="293">
        <v>31</v>
      </c>
      <c r="K887" s="293"/>
      <c r="L887" s="293"/>
      <c r="M887" s="293"/>
      <c r="N887" s="293"/>
      <c r="P887" s="42">
        <v>8990</v>
      </c>
      <c r="R887" s="42">
        <v>1440</v>
      </c>
      <c r="T887" s="284">
        <v>7550</v>
      </c>
      <c r="U887" s="284"/>
    </row>
    <row r="888" spans="1:21" s="40" customFormat="1" x14ac:dyDescent="0.25">
      <c r="A888" s="290" t="s">
        <v>447</v>
      </c>
      <c r="B888" s="290"/>
      <c r="C888" s="290"/>
      <c r="D888" s="290"/>
      <c r="E888" s="290"/>
      <c r="F888" s="290"/>
      <c r="G888" s="290"/>
      <c r="H888" s="290"/>
      <c r="I888" s="290"/>
      <c r="J888" s="290"/>
      <c r="K888" s="291">
        <v>5074</v>
      </c>
      <c r="L888" s="291"/>
      <c r="M888" s="291"/>
      <c r="N888" s="291"/>
      <c r="O888" s="291"/>
      <c r="P888" s="41">
        <v>5178170</v>
      </c>
      <c r="R888" s="41">
        <v>4632725</v>
      </c>
      <c r="T888" s="287">
        <v>546830</v>
      </c>
      <c r="U888" s="287"/>
    </row>
    <row r="889" spans="1:21" x14ac:dyDescent="0.25">
      <c r="B889" s="292">
        <v>1</v>
      </c>
      <c r="C889" s="292"/>
      <c r="D889" s="292"/>
      <c r="F889" s="283" t="s">
        <v>250</v>
      </c>
      <c r="G889" s="283"/>
      <c r="J889" s="293">
        <v>1</v>
      </c>
      <c r="K889" s="293"/>
      <c r="L889" s="293"/>
      <c r="M889" s="293"/>
      <c r="N889" s="293"/>
      <c r="P889" s="42">
        <v>500</v>
      </c>
      <c r="R889" s="42">
        <v>150</v>
      </c>
      <c r="T889" s="284">
        <v>350</v>
      </c>
      <c r="U889" s="284"/>
    </row>
    <row r="890" spans="1:21" x14ac:dyDescent="0.25">
      <c r="B890" s="292">
        <v>2</v>
      </c>
      <c r="C890" s="292"/>
      <c r="D890" s="292"/>
      <c r="F890" s="283" t="s">
        <v>78</v>
      </c>
      <c r="G890" s="283"/>
      <c r="J890" s="293">
        <v>283</v>
      </c>
      <c r="K890" s="293"/>
      <c r="L890" s="293"/>
      <c r="M890" s="293"/>
      <c r="N890" s="293"/>
      <c r="P890" s="42">
        <v>82070</v>
      </c>
      <c r="R890" s="42">
        <v>82070</v>
      </c>
      <c r="T890" s="284">
        <v>0</v>
      </c>
      <c r="U890" s="284"/>
    </row>
    <row r="891" spans="1:21" x14ac:dyDescent="0.25">
      <c r="B891" s="292">
        <v>3</v>
      </c>
      <c r="C891" s="292"/>
      <c r="D891" s="292"/>
      <c r="F891" s="283" t="s">
        <v>199</v>
      </c>
      <c r="G891" s="283"/>
      <c r="J891" s="293">
        <v>1</v>
      </c>
      <c r="K891" s="293"/>
      <c r="L891" s="293"/>
      <c r="M891" s="293"/>
      <c r="N891" s="293"/>
      <c r="P891" s="42">
        <v>290</v>
      </c>
      <c r="R891" s="42">
        <v>0</v>
      </c>
      <c r="T891" s="284">
        <v>290</v>
      </c>
      <c r="U891" s="284"/>
    </row>
    <row r="892" spans="1:21" x14ac:dyDescent="0.25">
      <c r="B892" s="292">
        <v>4</v>
      </c>
      <c r="C892" s="292"/>
      <c r="D892" s="292"/>
      <c r="F892" s="283" t="s">
        <v>165</v>
      </c>
      <c r="G892" s="283"/>
      <c r="J892" s="293">
        <v>5</v>
      </c>
      <c r="K892" s="293"/>
      <c r="L892" s="293"/>
      <c r="M892" s="293"/>
      <c r="N892" s="293"/>
      <c r="P892" s="42">
        <v>2950</v>
      </c>
      <c r="R892" s="42">
        <v>720</v>
      </c>
      <c r="T892" s="284">
        <v>2230</v>
      </c>
      <c r="U892" s="284"/>
    </row>
    <row r="893" spans="1:21" x14ac:dyDescent="0.25">
      <c r="B893" s="292">
        <v>5</v>
      </c>
      <c r="C893" s="292"/>
      <c r="D893" s="292"/>
      <c r="F893" s="283" t="s">
        <v>247</v>
      </c>
      <c r="G893" s="283"/>
      <c r="J893" s="293">
        <v>1</v>
      </c>
      <c r="K893" s="293"/>
      <c r="L893" s="293"/>
      <c r="M893" s="293"/>
      <c r="N893" s="293"/>
      <c r="P893" s="42">
        <v>880</v>
      </c>
      <c r="R893" s="42">
        <v>130</v>
      </c>
      <c r="T893" s="284">
        <v>750</v>
      </c>
      <c r="U893" s="284"/>
    </row>
    <row r="894" spans="1:21" x14ac:dyDescent="0.25">
      <c r="B894" s="292">
        <v>6</v>
      </c>
      <c r="C894" s="292"/>
      <c r="D894" s="292"/>
      <c r="F894" s="283" t="s">
        <v>246</v>
      </c>
      <c r="G894" s="283"/>
      <c r="J894" s="293">
        <v>1</v>
      </c>
      <c r="K894" s="293"/>
      <c r="L894" s="293"/>
      <c r="M894" s="293"/>
      <c r="N894" s="293"/>
      <c r="P894" s="42">
        <v>990</v>
      </c>
      <c r="R894" s="42">
        <v>300</v>
      </c>
      <c r="T894" s="284">
        <v>690</v>
      </c>
      <c r="U894" s="284"/>
    </row>
    <row r="895" spans="1:21" x14ac:dyDescent="0.25">
      <c r="B895" s="292">
        <v>7</v>
      </c>
      <c r="C895" s="292"/>
      <c r="D895" s="292"/>
      <c r="F895" s="283" t="s">
        <v>163</v>
      </c>
      <c r="G895" s="283"/>
      <c r="J895" s="293">
        <v>2</v>
      </c>
      <c r="K895" s="293"/>
      <c r="L895" s="293"/>
      <c r="M895" s="293"/>
      <c r="N895" s="293"/>
      <c r="P895" s="42">
        <v>2380</v>
      </c>
      <c r="R895" s="42">
        <v>360</v>
      </c>
      <c r="T895" s="284">
        <v>2020</v>
      </c>
      <c r="U895" s="284"/>
    </row>
    <row r="896" spans="1:21" x14ac:dyDescent="0.25">
      <c r="B896" s="292">
        <v>8</v>
      </c>
      <c r="C896" s="292"/>
      <c r="D896" s="292"/>
      <c r="F896" s="283" t="s">
        <v>162</v>
      </c>
      <c r="G896" s="283"/>
      <c r="J896" s="293">
        <v>26</v>
      </c>
      <c r="K896" s="293"/>
      <c r="L896" s="293"/>
      <c r="M896" s="293"/>
      <c r="N896" s="293"/>
      <c r="P896" s="42">
        <v>11180</v>
      </c>
      <c r="R896" s="42">
        <v>4619</v>
      </c>
      <c r="T896" s="284">
        <v>6561</v>
      </c>
      <c r="U896" s="284"/>
    </row>
    <row r="897" spans="2:21" x14ac:dyDescent="0.25">
      <c r="B897" s="292">
        <v>9</v>
      </c>
      <c r="C897" s="292"/>
      <c r="D897" s="292"/>
      <c r="F897" s="283" t="s">
        <v>160</v>
      </c>
      <c r="G897" s="283"/>
      <c r="J897" s="293">
        <v>18</v>
      </c>
      <c r="K897" s="293"/>
      <c r="L897" s="293"/>
      <c r="M897" s="293"/>
      <c r="N897" s="293"/>
      <c r="P897" s="42">
        <v>5140</v>
      </c>
      <c r="R897" s="42">
        <v>1280</v>
      </c>
      <c r="T897" s="284">
        <v>3860</v>
      </c>
      <c r="U897" s="284"/>
    </row>
    <row r="898" spans="2:21" x14ac:dyDescent="0.25">
      <c r="B898" s="292">
        <v>10</v>
      </c>
      <c r="C898" s="292"/>
      <c r="D898" s="292"/>
      <c r="F898" s="283" t="s">
        <v>159</v>
      </c>
      <c r="G898" s="283"/>
      <c r="J898" s="293">
        <v>430</v>
      </c>
      <c r="K898" s="293"/>
      <c r="L898" s="293"/>
      <c r="M898" s="293"/>
      <c r="N898" s="293"/>
      <c r="P898" s="42">
        <v>0</v>
      </c>
      <c r="R898" s="42">
        <v>0</v>
      </c>
      <c r="T898" s="284">
        <v>0</v>
      </c>
      <c r="U898" s="284"/>
    </row>
    <row r="899" spans="2:21" x14ac:dyDescent="0.25">
      <c r="B899" s="292">
        <v>11</v>
      </c>
      <c r="C899" s="292"/>
      <c r="D899" s="292"/>
      <c r="F899" s="283" t="s">
        <v>158</v>
      </c>
      <c r="G899" s="283"/>
      <c r="J899" s="293">
        <v>378</v>
      </c>
      <c r="K899" s="293"/>
      <c r="L899" s="293"/>
      <c r="M899" s="293"/>
      <c r="N899" s="293"/>
      <c r="P899" s="42">
        <v>207600</v>
      </c>
      <c r="R899" s="42">
        <v>62970</v>
      </c>
      <c r="T899" s="284">
        <v>144630</v>
      </c>
      <c r="U899" s="284"/>
    </row>
    <row r="900" spans="2:21" x14ac:dyDescent="0.25">
      <c r="B900" s="292">
        <v>12</v>
      </c>
      <c r="C900" s="292"/>
      <c r="D900" s="292"/>
      <c r="F900" s="283" t="s">
        <v>157</v>
      </c>
      <c r="G900" s="283"/>
      <c r="J900" s="293">
        <v>414</v>
      </c>
      <c r="K900" s="293"/>
      <c r="L900" s="293"/>
      <c r="M900" s="293"/>
      <c r="N900" s="293"/>
      <c r="P900" s="42">
        <v>200620</v>
      </c>
      <c r="R900" s="42">
        <v>85517</v>
      </c>
      <c r="T900" s="284">
        <v>115168</v>
      </c>
      <c r="U900" s="284"/>
    </row>
    <row r="901" spans="2:21" x14ac:dyDescent="0.25">
      <c r="B901" s="292">
        <v>13</v>
      </c>
      <c r="C901" s="292"/>
      <c r="D901" s="292"/>
      <c r="F901" s="283" t="s">
        <v>197</v>
      </c>
      <c r="G901" s="283"/>
      <c r="J901" s="293">
        <v>1</v>
      </c>
      <c r="K901" s="293"/>
      <c r="L901" s="293"/>
      <c r="M901" s="293"/>
      <c r="N901" s="293"/>
      <c r="P901" s="42">
        <v>500</v>
      </c>
      <c r="R901" s="42">
        <v>150</v>
      </c>
      <c r="T901" s="284">
        <v>350</v>
      </c>
      <c r="U901" s="284"/>
    </row>
    <row r="902" spans="2:21" x14ac:dyDescent="0.25">
      <c r="B902" s="292">
        <v>14</v>
      </c>
      <c r="C902" s="292"/>
      <c r="D902" s="292"/>
      <c r="F902" s="283" t="s">
        <v>292</v>
      </c>
      <c r="G902" s="283"/>
      <c r="J902" s="293">
        <v>3</v>
      </c>
      <c r="K902" s="293"/>
      <c r="L902" s="293"/>
      <c r="M902" s="293"/>
      <c r="N902" s="293"/>
      <c r="P902" s="42">
        <v>2100</v>
      </c>
      <c r="R902" s="42">
        <v>2100</v>
      </c>
      <c r="T902" s="284">
        <v>0</v>
      </c>
      <c r="U902" s="284"/>
    </row>
    <row r="903" spans="2:21" x14ac:dyDescent="0.25">
      <c r="B903" s="292">
        <v>15</v>
      </c>
      <c r="C903" s="292"/>
      <c r="D903" s="292"/>
      <c r="F903" s="283" t="s">
        <v>77</v>
      </c>
      <c r="G903" s="283"/>
      <c r="J903" s="293">
        <v>577</v>
      </c>
      <c r="K903" s="293"/>
      <c r="L903" s="293"/>
      <c r="M903" s="293"/>
      <c r="N903" s="293"/>
      <c r="P903" s="42">
        <v>241800</v>
      </c>
      <c r="R903" s="42">
        <v>241800</v>
      </c>
      <c r="T903" s="284">
        <v>0</v>
      </c>
      <c r="U903" s="284"/>
    </row>
    <row r="904" spans="2:21" x14ac:dyDescent="0.25">
      <c r="B904" s="292">
        <v>16</v>
      </c>
      <c r="C904" s="292"/>
      <c r="D904" s="292"/>
      <c r="F904" s="283" t="s">
        <v>242</v>
      </c>
      <c r="G904" s="283"/>
      <c r="J904" s="293">
        <v>163</v>
      </c>
      <c r="K904" s="293"/>
      <c r="L904" s="293"/>
      <c r="M904" s="293"/>
      <c r="N904" s="293"/>
      <c r="P904" s="42">
        <v>81500</v>
      </c>
      <c r="R904" s="42">
        <v>81500</v>
      </c>
      <c r="T904" s="284">
        <v>0</v>
      </c>
      <c r="U904" s="284"/>
    </row>
    <row r="905" spans="2:21" x14ac:dyDescent="0.25">
      <c r="B905" s="292">
        <v>17</v>
      </c>
      <c r="C905" s="292"/>
      <c r="D905" s="292"/>
      <c r="F905" s="283" t="s">
        <v>156</v>
      </c>
      <c r="G905" s="283"/>
      <c r="J905" s="293">
        <v>5</v>
      </c>
      <c r="K905" s="293"/>
      <c r="L905" s="293"/>
      <c r="M905" s="293"/>
      <c r="N905" s="293"/>
      <c r="P905" s="42">
        <v>950</v>
      </c>
      <c r="R905" s="42">
        <v>260</v>
      </c>
      <c r="T905" s="284">
        <v>690</v>
      </c>
      <c r="U905" s="284"/>
    </row>
    <row r="906" spans="2:21" x14ac:dyDescent="0.25">
      <c r="B906" s="292">
        <v>18</v>
      </c>
      <c r="C906" s="292"/>
      <c r="D906" s="292"/>
      <c r="F906" s="283" t="s">
        <v>155</v>
      </c>
      <c r="G906" s="283"/>
      <c r="J906" s="293">
        <v>13</v>
      </c>
      <c r="K906" s="293"/>
      <c r="L906" s="293"/>
      <c r="M906" s="293"/>
      <c r="N906" s="293"/>
      <c r="P906" s="42">
        <v>3200</v>
      </c>
      <c r="R906" s="42">
        <v>950</v>
      </c>
      <c r="T906" s="284">
        <v>2250</v>
      </c>
      <c r="U906" s="284"/>
    </row>
    <row r="907" spans="2:21" x14ac:dyDescent="0.25">
      <c r="B907" s="292">
        <v>19</v>
      </c>
      <c r="C907" s="292"/>
      <c r="D907" s="292"/>
      <c r="F907" s="283" t="s">
        <v>152</v>
      </c>
      <c r="G907" s="283"/>
      <c r="J907" s="293">
        <v>6</v>
      </c>
      <c r="K907" s="293"/>
      <c r="L907" s="293"/>
      <c r="M907" s="293"/>
      <c r="N907" s="293"/>
      <c r="P907" s="42">
        <v>3540</v>
      </c>
      <c r="R907" s="42">
        <v>1080</v>
      </c>
      <c r="T907" s="284">
        <v>2460</v>
      </c>
      <c r="U907" s="284"/>
    </row>
    <row r="908" spans="2:21" x14ac:dyDescent="0.25">
      <c r="B908" s="292">
        <v>20</v>
      </c>
      <c r="C908" s="292"/>
      <c r="D908" s="292"/>
      <c r="F908" s="283" t="s">
        <v>151</v>
      </c>
      <c r="G908" s="283"/>
      <c r="J908" s="293">
        <v>260</v>
      </c>
      <c r="K908" s="293"/>
      <c r="L908" s="293"/>
      <c r="M908" s="293"/>
      <c r="N908" s="293"/>
      <c r="P908" s="42">
        <v>59800</v>
      </c>
      <c r="R908" s="42">
        <v>19820</v>
      </c>
      <c r="T908" s="284">
        <v>39980</v>
      </c>
      <c r="U908" s="284"/>
    </row>
    <row r="909" spans="2:21" x14ac:dyDescent="0.25">
      <c r="B909" s="292">
        <v>21</v>
      </c>
      <c r="C909" s="292"/>
      <c r="D909" s="292"/>
      <c r="F909" s="283" t="s">
        <v>150</v>
      </c>
      <c r="G909" s="283"/>
      <c r="J909" s="293">
        <v>25</v>
      </c>
      <c r="K909" s="293"/>
      <c r="L909" s="293"/>
      <c r="M909" s="293"/>
      <c r="N909" s="293"/>
      <c r="P909" s="42">
        <v>4150</v>
      </c>
      <c r="R909" s="42">
        <v>1150</v>
      </c>
      <c r="T909" s="284">
        <v>3000</v>
      </c>
      <c r="U909" s="284"/>
    </row>
    <row r="910" spans="2:21" x14ac:dyDescent="0.25">
      <c r="B910" s="292">
        <v>22</v>
      </c>
      <c r="C910" s="292"/>
      <c r="D910" s="292"/>
      <c r="F910" s="283" t="s">
        <v>75</v>
      </c>
      <c r="G910" s="283"/>
      <c r="J910" s="293">
        <v>1544</v>
      </c>
      <c r="K910" s="293"/>
      <c r="L910" s="293"/>
      <c r="M910" s="293"/>
      <c r="N910" s="293"/>
      <c r="P910" s="42">
        <v>3860000</v>
      </c>
      <c r="R910" s="42">
        <v>3860000</v>
      </c>
      <c r="T910" s="284">
        <v>0</v>
      </c>
      <c r="U910" s="284"/>
    </row>
    <row r="911" spans="2:21" x14ac:dyDescent="0.25">
      <c r="B911" s="292">
        <v>23</v>
      </c>
      <c r="C911" s="292"/>
      <c r="D911" s="292"/>
      <c r="F911" s="283" t="s">
        <v>139</v>
      </c>
      <c r="G911" s="283"/>
      <c r="J911" s="293">
        <v>2</v>
      </c>
      <c r="K911" s="293"/>
      <c r="L911" s="293"/>
      <c r="M911" s="293"/>
      <c r="N911" s="293"/>
      <c r="P911" s="42">
        <v>540</v>
      </c>
      <c r="R911" s="42">
        <v>160</v>
      </c>
      <c r="T911" s="284">
        <v>380</v>
      </c>
      <c r="U911" s="284"/>
    </row>
    <row r="912" spans="2:21" x14ac:dyDescent="0.25">
      <c r="B912" s="292">
        <v>24</v>
      </c>
      <c r="C912" s="292"/>
      <c r="D912" s="292"/>
      <c r="F912" s="283" t="s">
        <v>192</v>
      </c>
      <c r="G912" s="283"/>
      <c r="J912" s="293">
        <v>1</v>
      </c>
      <c r="K912" s="293"/>
      <c r="L912" s="293"/>
      <c r="M912" s="293"/>
      <c r="N912" s="293"/>
      <c r="P912" s="42">
        <v>1550</v>
      </c>
      <c r="R912" s="42">
        <v>0</v>
      </c>
      <c r="T912" s="284">
        <v>1550</v>
      </c>
      <c r="U912" s="284"/>
    </row>
    <row r="913" spans="2:21" x14ac:dyDescent="0.25">
      <c r="B913" s="292">
        <v>25</v>
      </c>
      <c r="C913" s="292"/>
      <c r="D913" s="292"/>
      <c r="F913" s="283" t="s">
        <v>136</v>
      </c>
      <c r="G913" s="283"/>
      <c r="J913" s="293">
        <v>12</v>
      </c>
      <c r="K913" s="293"/>
      <c r="L913" s="293"/>
      <c r="M913" s="293"/>
      <c r="N913" s="293"/>
      <c r="P913" s="42">
        <v>10200</v>
      </c>
      <c r="R913" s="42">
        <v>2224</v>
      </c>
      <c r="T913" s="284">
        <v>7976</v>
      </c>
      <c r="U913" s="284"/>
    </row>
    <row r="914" spans="2:21" x14ac:dyDescent="0.25">
      <c r="B914" s="292">
        <v>26</v>
      </c>
      <c r="C914" s="292"/>
      <c r="D914" s="292"/>
      <c r="F914" s="283" t="s">
        <v>74</v>
      </c>
      <c r="G914" s="283"/>
      <c r="J914" s="293">
        <v>119</v>
      </c>
      <c r="K914" s="293"/>
      <c r="L914" s="293"/>
      <c r="M914" s="293"/>
      <c r="N914" s="293"/>
      <c r="P914" s="42">
        <v>101150</v>
      </c>
      <c r="R914" s="42">
        <v>101150</v>
      </c>
      <c r="T914" s="284">
        <v>0</v>
      </c>
      <c r="U914" s="284"/>
    </row>
    <row r="915" spans="2:21" x14ac:dyDescent="0.25">
      <c r="B915" s="292">
        <v>27</v>
      </c>
      <c r="C915" s="292"/>
      <c r="D915" s="292"/>
      <c r="F915" s="283" t="s">
        <v>190</v>
      </c>
      <c r="G915" s="283"/>
      <c r="J915" s="293">
        <v>5</v>
      </c>
      <c r="K915" s="293"/>
      <c r="L915" s="293"/>
      <c r="M915" s="293"/>
      <c r="N915" s="293"/>
      <c r="P915" s="42">
        <v>7850</v>
      </c>
      <c r="R915" s="42">
        <v>1200</v>
      </c>
      <c r="T915" s="284">
        <v>6650</v>
      </c>
      <c r="U915" s="284"/>
    </row>
    <row r="916" spans="2:21" x14ac:dyDescent="0.25">
      <c r="B916" s="292">
        <v>28</v>
      </c>
      <c r="C916" s="292"/>
      <c r="D916" s="292"/>
      <c r="F916" s="283" t="s">
        <v>135</v>
      </c>
      <c r="G916" s="283"/>
      <c r="J916" s="293">
        <v>2</v>
      </c>
      <c r="K916" s="293"/>
      <c r="L916" s="293"/>
      <c r="M916" s="293"/>
      <c r="N916" s="293"/>
      <c r="P916" s="42">
        <v>1900</v>
      </c>
      <c r="R916" s="42">
        <v>560</v>
      </c>
      <c r="T916" s="284">
        <v>1340</v>
      </c>
      <c r="U916" s="284"/>
    </row>
    <row r="917" spans="2:21" x14ac:dyDescent="0.25">
      <c r="B917" s="292">
        <v>29</v>
      </c>
      <c r="C917" s="292"/>
      <c r="D917" s="292"/>
      <c r="F917" s="283" t="s">
        <v>134</v>
      </c>
      <c r="G917" s="283"/>
      <c r="J917" s="293">
        <v>1</v>
      </c>
      <c r="K917" s="293"/>
      <c r="L917" s="293"/>
      <c r="M917" s="293"/>
      <c r="N917" s="293"/>
      <c r="P917" s="42">
        <v>3700</v>
      </c>
      <c r="R917" s="42">
        <v>800</v>
      </c>
      <c r="T917" s="284">
        <v>2900</v>
      </c>
      <c r="U917" s="284"/>
    </row>
    <row r="918" spans="2:21" x14ac:dyDescent="0.25">
      <c r="B918" s="292">
        <v>30</v>
      </c>
      <c r="C918" s="292"/>
      <c r="D918" s="292"/>
      <c r="F918" s="283" t="s">
        <v>132</v>
      </c>
      <c r="G918" s="283"/>
      <c r="J918" s="293">
        <v>1</v>
      </c>
      <c r="K918" s="293"/>
      <c r="L918" s="293"/>
      <c r="M918" s="293"/>
      <c r="N918" s="293"/>
      <c r="P918" s="42">
        <v>1240</v>
      </c>
      <c r="R918" s="42">
        <v>370</v>
      </c>
      <c r="T918" s="284">
        <v>870</v>
      </c>
      <c r="U918" s="284"/>
    </row>
    <row r="919" spans="2:21" x14ac:dyDescent="0.25">
      <c r="B919" s="292">
        <v>31</v>
      </c>
      <c r="C919" s="292"/>
      <c r="D919" s="292"/>
      <c r="F919" s="283" t="s">
        <v>131</v>
      </c>
      <c r="G919" s="283"/>
      <c r="J919" s="293">
        <v>2</v>
      </c>
      <c r="K919" s="293"/>
      <c r="L919" s="293"/>
      <c r="M919" s="293"/>
      <c r="N919" s="293"/>
      <c r="P919" s="42">
        <v>7400</v>
      </c>
      <c r="R919" s="42">
        <v>1600</v>
      </c>
      <c r="T919" s="284">
        <v>5800</v>
      </c>
      <c r="U919" s="284"/>
    </row>
    <row r="920" spans="2:21" x14ac:dyDescent="0.25">
      <c r="B920" s="292">
        <v>32</v>
      </c>
      <c r="C920" s="292"/>
      <c r="D920" s="292"/>
      <c r="F920" s="283" t="s">
        <v>127</v>
      </c>
      <c r="G920" s="283"/>
      <c r="J920" s="293">
        <v>34</v>
      </c>
      <c r="K920" s="293"/>
      <c r="L920" s="293"/>
      <c r="M920" s="293"/>
      <c r="N920" s="293"/>
      <c r="P920" s="42">
        <v>10200</v>
      </c>
      <c r="R920" s="42">
        <v>3567</v>
      </c>
      <c r="T920" s="284">
        <v>6633</v>
      </c>
      <c r="U920" s="284"/>
    </row>
    <row r="921" spans="2:21" x14ac:dyDescent="0.25">
      <c r="B921" s="292">
        <v>33</v>
      </c>
      <c r="C921" s="292"/>
      <c r="D921" s="292"/>
      <c r="F921" s="283" t="s">
        <v>126</v>
      </c>
      <c r="G921" s="283"/>
      <c r="J921" s="293">
        <v>32</v>
      </c>
      <c r="K921" s="293"/>
      <c r="L921" s="293"/>
      <c r="M921" s="293"/>
      <c r="N921" s="293"/>
      <c r="P921" s="42">
        <v>6400</v>
      </c>
      <c r="R921" s="42">
        <v>2199</v>
      </c>
      <c r="T921" s="284">
        <v>4201</v>
      </c>
      <c r="U921" s="284"/>
    </row>
    <row r="922" spans="2:21" x14ac:dyDescent="0.25">
      <c r="B922" s="292">
        <v>34</v>
      </c>
      <c r="C922" s="292"/>
      <c r="D922" s="292"/>
      <c r="F922" s="283" t="s">
        <v>125</v>
      </c>
      <c r="G922" s="283"/>
      <c r="J922" s="293">
        <v>8</v>
      </c>
      <c r="K922" s="293"/>
      <c r="L922" s="293"/>
      <c r="M922" s="293"/>
      <c r="N922" s="293"/>
      <c r="P922" s="42">
        <v>3200</v>
      </c>
      <c r="R922" s="42">
        <v>960</v>
      </c>
      <c r="T922" s="284">
        <v>2240</v>
      </c>
      <c r="U922" s="284"/>
    </row>
    <row r="923" spans="2:21" x14ac:dyDescent="0.25">
      <c r="B923" s="292">
        <v>35</v>
      </c>
      <c r="C923" s="292"/>
      <c r="D923" s="292"/>
      <c r="F923" s="283" t="s">
        <v>124</v>
      </c>
      <c r="G923" s="283"/>
      <c r="J923" s="293">
        <v>6</v>
      </c>
      <c r="K923" s="293"/>
      <c r="L923" s="293"/>
      <c r="M923" s="293"/>
      <c r="N923" s="293"/>
      <c r="P923" s="42">
        <v>2780</v>
      </c>
      <c r="R923" s="42">
        <v>810</v>
      </c>
      <c r="T923" s="284">
        <v>1970</v>
      </c>
      <c r="U923" s="284"/>
    </row>
    <row r="924" spans="2:21" x14ac:dyDescent="0.25">
      <c r="B924" s="292">
        <v>36</v>
      </c>
      <c r="C924" s="292"/>
      <c r="D924" s="292"/>
      <c r="F924" s="283" t="s">
        <v>123</v>
      </c>
      <c r="G924" s="283"/>
      <c r="J924" s="293">
        <v>5</v>
      </c>
      <c r="K924" s="293"/>
      <c r="L924" s="293"/>
      <c r="M924" s="293"/>
      <c r="N924" s="293"/>
      <c r="P924" s="42">
        <v>3900</v>
      </c>
      <c r="R924" s="42">
        <v>1150</v>
      </c>
      <c r="T924" s="284">
        <v>2750</v>
      </c>
      <c r="U924" s="284"/>
    </row>
    <row r="925" spans="2:21" x14ac:dyDescent="0.25">
      <c r="B925" s="292">
        <v>37</v>
      </c>
      <c r="C925" s="292"/>
      <c r="D925" s="292"/>
      <c r="F925" s="283" t="s">
        <v>183</v>
      </c>
      <c r="G925" s="283"/>
      <c r="J925" s="293">
        <v>1</v>
      </c>
      <c r="K925" s="293"/>
      <c r="L925" s="293"/>
      <c r="M925" s="293"/>
      <c r="N925" s="293"/>
      <c r="P925" s="42">
        <v>440</v>
      </c>
      <c r="R925" s="42">
        <v>130</v>
      </c>
      <c r="T925" s="284">
        <v>310</v>
      </c>
      <c r="U925" s="284"/>
    </row>
    <row r="926" spans="2:21" x14ac:dyDescent="0.25">
      <c r="B926" s="292">
        <v>38</v>
      </c>
      <c r="C926" s="292"/>
      <c r="D926" s="292"/>
      <c r="F926" s="283" t="s">
        <v>119</v>
      </c>
      <c r="G926" s="283"/>
      <c r="J926" s="293">
        <v>10</v>
      </c>
      <c r="K926" s="293"/>
      <c r="L926" s="293"/>
      <c r="M926" s="293"/>
      <c r="N926" s="293"/>
      <c r="P926" s="42">
        <v>8660</v>
      </c>
      <c r="R926" s="42">
        <v>2250</v>
      </c>
      <c r="T926" s="284">
        <v>6410</v>
      </c>
      <c r="U926" s="284"/>
    </row>
    <row r="927" spans="2:21" x14ac:dyDescent="0.25">
      <c r="B927" s="292">
        <v>39</v>
      </c>
      <c r="C927" s="292"/>
      <c r="D927" s="292"/>
      <c r="F927" s="283" t="s">
        <v>118</v>
      </c>
      <c r="G927" s="283"/>
      <c r="J927" s="293">
        <v>104</v>
      </c>
      <c r="K927" s="293"/>
      <c r="L927" s="293"/>
      <c r="M927" s="293"/>
      <c r="N927" s="293"/>
      <c r="P927" s="42">
        <v>102180</v>
      </c>
      <c r="R927" s="42">
        <v>35337</v>
      </c>
      <c r="T927" s="284">
        <v>67623</v>
      </c>
      <c r="U927" s="284"/>
    </row>
    <row r="928" spans="2:21" x14ac:dyDescent="0.25">
      <c r="B928" s="292">
        <v>40</v>
      </c>
      <c r="C928" s="292"/>
      <c r="D928" s="292"/>
      <c r="F928" s="283" t="s">
        <v>115</v>
      </c>
      <c r="G928" s="283"/>
      <c r="J928" s="293">
        <v>41</v>
      </c>
      <c r="K928" s="293"/>
      <c r="L928" s="293"/>
      <c r="M928" s="293"/>
      <c r="N928" s="293"/>
      <c r="P928" s="42">
        <v>11350</v>
      </c>
      <c r="R928" s="42">
        <v>3550</v>
      </c>
      <c r="T928" s="284">
        <v>8340</v>
      </c>
      <c r="U928" s="284"/>
    </row>
    <row r="929" spans="2:21" x14ac:dyDescent="0.25">
      <c r="B929" s="292">
        <v>41</v>
      </c>
      <c r="C929" s="292"/>
      <c r="D929" s="292"/>
      <c r="F929" s="283" t="s">
        <v>279</v>
      </c>
      <c r="G929" s="283"/>
      <c r="J929" s="293">
        <v>1</v>
      </c>
      <c r="K929" s="293"/>
      <c r="L929" s="293"/>
      <c r="M929" s="293"/>
      <c r="N929" s="293"/>
      <c r="P929" s="42">
        <v>500</v>
      </c>
      <c r="R929" s="42">
        <v>150</v>
      </c>
      <c r="T929" s="284">
        <v>350</v>
      </c>
      <c r="U929" s="284"/>
    </row>
    <row r="930" spans="2:21" x14ac:dyDescent="0.25">
      <c r="B930" s="292">
        <v>42</v>
      </c>
      <c r="C930" s="292"/>
      <c r="D930" s="292"/>
      <c r="F930" s="283" t="s">
        <v>446</v>
      </c>
      <c r="G930" s="283"/>
      <c r="J930" s="293">
        <v>6</v>
      </c>
      <c r="K930" s="293"/>
      <c r="L930" s="293"/>
      <c r="M930" s="293"/>
      <c r="N930" s="293"/>
      <c r="P930" s="42">
        <v>450</v>
      </c>
      <c r="R930" s="42">
        <v>0</v>
      </c>
      <c r="T930" s="284">
        <v>450</v>
      </c>
      <c r="U930" s="284"/>
    </row>
    <row r="931" spans="2:21" x14ac:dyDescent="0.25">
      <c r="B931" s="292">
        <v>43</v>
      </c>
      <c r="C931" s="292"/>
      <c r="D931" s="292"/>
      <c r="F931" s="283" t="s">
        <v>334</v>
      </c>
      <c r="G931" s="283"/>
      <c r="J931" s="293">
        <v>2</v>
      </c>
      <c r="K931" s="293"/>
      <c r="L931" s="293"/>
      <c r="M931" s="293"/>
      <c r="N931" s="293"/>
      <c r="P931" s="42">
        <v>1580</v>
      </c>
      <c r="R931" s="42">
        <v>120</v>
      </c>
      <c r="T931" s="284">
        <v>1460</v>
      </c>
      <c r="U931" s="284"/>
    </row>
    <row r="932" spans="2:21" x14ac:dyDescent="0.25">
      <c r="B932" s="292">
        <v>44</v>
      </c>
      <c r="C932" s="292"/>
      <c r="D932" s="292"/>
      <c r="F932" s="283" t="s">
        <v>111</v>
      </c>
      <c r="G932" s="283"/>
      <c r="J932" s="293">
        <v>1</v>
      </c>
      <c r="K932" s="293"/>
      <c r="L932" s="293"/>
      <c r="M932" s="293"/>
      <c r="N932" s="293"/>
      <c r="P932" s="42">
        <v>430</v>
      </c>
      <c r="R932" s="42">
        <v>130</v>
      </c>
      <c r="T932" s="284">
        <v>300</v>
      </c>
      <c r="U932" s="284"/>
    </row>
    <row r="933" spans="2:21" x14ac:dyDescent="0.25">
      <c r="B933" s="292">
        <v>45</v>
      </c>
      <c r="C933" s="292"/>
      <c r="D933" s="292"/>
      <c r="F933" s="283" t="s">
        <v>110</v>
      </c>
      <c r="G933" s="283"/>
      <c r="J933" s="293">
        <v>1</v>
      </c>
      <c r="K933" s="293"/>
      <c r="L933" s="293"/>
      <c r="M933" s="293"/>
      <c r="N933" s="293"/>
      <c r="P933" s="42">
        <v>1080</v>
      </c>
      <c r="R933" s="42">
        <v>160</v>
      </c>
      <c r="T933" s="284">
        <v>920</v>
      </c>
      <c r="U933" s="284"/>
    </row>
    <row r="934" spans="2:21" x14ac:dyDescent="0.25">
      <c r="B934" s="292">
        <v>46</v>
      </c>
      <c r="C934" s="292"/>
      <c r="D934" s="292"/>
      <c r="F934" s="283" t="s">
        <v>108</v>
      </c>
      <c r="G934" s="283"/>
      <c r="J934" s="293">
        <v>251</v>
      </c>
      <c r="K934" s="293"/>
      <c r="L934" s="293"/>
      <c r="M934" s="293"/>
      <c r="N934" s="293"/>
      <c r="P934" s="42">
        <v>25100</v>
      </c>
      <c r="R934" s="42">
        <v>3990</v>
      </c>
      <c r="T934" s="284">
        <v>21110</v>
      </c>
      <c r="U934" s="284"/>
    </row>
    <row r="935" spans="2:21" x14ac:dyDescent="0.25">
      <c r="B935" s="292">
        <v>47</v>
      </c>
      <c r="C935" s="292"/>
      <c r="D935" s="292"/>
      <c r="F935" s="283" t="s">
        <v>107</v>
      </c>
      <c r="G935" s="283"/>
      <c r="J935" s="293">
        <v>60</v>
      </c>
      <c r="K935" s="293"/>
      <c r="L935" s="293"/>
      <c r="M935" s="293"/>
      <c r="N935" s="293"/>
      <c r="P935" s="42">
        <v>10150</v>
      </c>
      <c r="R935" s="42">
        <v>3308</v>
      </c>
      <c r="T935" s="284">
        <v>6842</v>
      </c>
      <c r="U935" s="284"/>
    </row>
    <row r="936" spans="2:21" x14ac:dyDescent="0.25">
      <c r="B936" s="292">
        <v>48</v>
      </c>
      <c r="C936" s="292"/>
      <c r="D936" s="292"/>
      <c r="F936" s="283" t="s">
        <v>105</v>
      </c>
      <c r="G936" s="283"/>
      <c r="J936" s="293">
        <v>1</v>
      </c>
      <c r="K936" s="293"/>
      <c r="L936" s="293"/>
      <c r="M936" s="293"/>
      <c r="N936" s="293"/>
      <c r="P936" s="42">
        <v>1150</v>
      </c>
      <c r="R936" s="42">
        <v>0</v>
      </c>
      <c r="T936" s="284">
        <v>1150</v>
      </c>
      <c r="U936" s="284"/>
    </row>
    <row r="937" spans="2:21" x14ac:dyDescent="0.25">
      <c r="B937" s="292">
        <v>49</v>
      </c>
      <c r="C937" s="292"/>
      <c r="D937" s="292"/>
      <c r="F937" s="283" t="s">
        <v>103</v>
      </c>
      <c r="G937" s="283"/>
      <c r="J937" s="293">
        <v>25</v>
      </c>
      <c r="K937" s="293"/>
      <c r="L937" s="293"/>
      <c r="M937" s="293"/>
      <c r="N937" s="293"/>
      <c r="P937" s="42">
        <v>7930</v>
      </c>
      <c r="R937" s="42">
        <v>2000</v>
      </c>
      <c r="T937" s="284">
        <v>5930</v>
      </c>
      <c r="U937" s="284"/>
    </row>
    <row r="938" spans="2:21" x14ac:dyDescent="0.25">
      <c r="B938" s="292">
        <v>50</v>
      </c>
      <c r="C938" s="292"/>
      <c r="D938" s="292"/>
      <c r="F938" s="283" t="s">
        <v>212</v>
      </c>
      <c r="G938" s="283"/>
      <c r="J938" s="293">
        <v>1</v>
      </c>
      <c r="K938" s="293"/>
      <c r="L938" s="293"/>
      <c r="M938" s="293"/>
      <c r="N938" s="293"/>
      <c r="P938" s="42">
        <v>500</v>
      </c>
      <c r="R938" s="42">
        <v>150</v>
      </c>
      <c r="T938" s="284">
        <v>350</v>
      </c>
      <c r="U938" s="284"/>
    </row>
    <row r="939" spans="2:21" x14ac:dyDescent="0.25">
      <c r="B939" s="292">
        <v>51</v>
      </c>
      <c r="C939" s="292"/>
      <c r="D939" s="292"/>
      <c r="F939" s="283" t="s">
        <v>276</v>
      </c>
      <c r="G939" s="283"/>
      <c r="J939" s="293">
        <v>1</v>
      </c>
      <c r="K939" s="293"/>
      <c r="L939" s="293"/>
      <c r="M939" s="293"/>
      <c r="N939" s="293"/>
      <c r="P939" s="42">
        <v>500</v>
      </c>
      <c r="R939" s="42">
        <v>150</v>
      </c>
      <c r="T939" s="284">
        <v>350</v>
      </c>
      <c r="U939" s="284"/>
    </row>
    <row r="940" spans="2:21" x14ac:dyDescent="0.25">
      <c r="B940" s="292">
        <v>52</v>
      </c>
      <c r="C940" s="292"/>
      <c r="D940" s="292"/>
      <c r="F940" s="283" t="s">
        <v>102</v>
      </c>
      <c r="G940" s="283"/>
      <c r="J940" s="293">
        <v>2</v>
      </c>
      <c r="K940" s="293"/>
      <c r="L940" s="293"/>
      <c r="M940" s="293"/>
      <c r="N940" s="293"/>
      <c r="P940" s="42">
        <v>1760</v>
      </c>
      <c r="R940" s="42">
        <v>260</v>
      </c>
      <c r="T940" s="284">
        <v>1500</v>
      </c>
      <c r="U940" s="284"/>
    </row>
    <row r="941" spans="2:21" x14ac:dyDescent="0.25">
      <c r="B941" s="292">
        <v>53</v>
      </c>
      <c r="C941" s="292"/>
      <c r="D941" s="292"/>
      <c r="F941" s="283" t="s">
        <v>254</v>
      </c>
      <c r="G941" s="283"/>
      <c r="J941" s="293">
        <v>1</v>
      </c>
      <c r="K941" s="293"/>
      <c r="L941" s="293"/>
      <c r="M941" s="293"/>
      <c r="N941" s="293"/>
      <c r="P941" s="42">
        <v>290</v>
      </c>
      <c r="R941" s="42">
        <v>80</v>
      </c>
      <c r="T941" s="284">
        <v>210</v>
      </c>
      <c r="U941" s="284"/>
    </row>
    <row r="942" spans="2:21" x14ac:dyDescent="0.25">
      <c r="B942" s="292">
        <v>54</v>
      </c>
      <c r="C942" s="292"/>
      <c r="D942" s="292"/>
      <c r="F942" s="283" t="s">
        <v>100</v>
      </c>
      <c r="G942" s="283"/>
      <c r="J942" s="293">
        <v>1</v>
      </c>
      <c r="K942" s="293"/>
      <c r="L942" s="293"/>
      <c r="M942" s="293"/>
      <c r="N942" s="293"/>
      <c r="P942" s="42">
        <v>180</v>
      </c>
      <c r="R942" s="42">
        <v>50</v>
      </c>
      <c r="T942" s="284">
        <v>130</v>
      </c>
      <c r="U942" s="284"/>
    </row>
    <row r="943" spans="2:21" x14ac:dyDescent="0.25">
      <c r="B943" s="292">
        <v>55</v>
      </c>
      <c r="C943" s="292"/>
      <c r="D943" s="292"/>
      <c r="F943" s="283" t="s">
        <v>178</v>
      </c>
      <c r="G943" s="283"/>
      <c r="J943" s="293">
        <v>3</v>
      </c>
      <c r="K943" s="293"/>
      <c r="L943" s="293"/>
      <c r="M943" s="293"/>
      <c r="N943" s="293"/>
      <c r="P943" s="42">
        <v>4950</v>
      </c>
      <c r="R943" s="42">
        <v>0</v>
      </c>
      <c r="T943" s="284">
        <v>4950</v>
      </c>
      <c r="U943" s="284"/>
    </row>
    <row r="944" spans="2:21" x14ac:dyDescent="0.25">
      <c r="B944" s="292">
        <v>56</v>
      </c>
      <c r="C944" s="292"/>
      <c r="D944" s="292"/>
      <c r="F944" s="283" t="s">
        <v>176</v>
      </c>
      <c r="G944" s="283"/>
      <c r="J944" s="293">
        <v>1</v>
      </c>
      <c r="K944" s="293"/>
      <c r="L944" s="293"/>
      <c r="M944" s="293"/>
      <c r="N944" s="293"/>
      <c r="P944" s="42">
        <v>1060</v>
      </c>
      <c r="R944" s="42">
        <v>160</v>
      </c>
      <c r="T944" s="284">
        <v>900</v>
      </c>
      <c r="U944" s="284"/>
    </row>
    <row r="945" spans="2:21" x14ac:dyDescent="0.25">
      <c r="B945" s="292">
        <v>57</v>
      </c>
      <c r="C945" s="292"/>
      <c r="D945" s="292"/>
      <c r="F945" s="283" t="s">
        <v>332</v>
      </c>
      <c r="G945" s="283"/>
      <c r="J945" s="293">
        <v>1</v>
      </c>
      <c r="K945" s="293"/>
      <c r="L945" s="293"/>
      <c r="M945" s="293"/>
      <c r="N945" s="293"/>
      <c r="P945" s="42">
        <v>290</v>
      </c>
      <c r="R945" s="42">
        <v>80</v>
      </c>
      <c r="T945" s="284">
        <v>210</v>
      </c>
      <c r="U945" s="284"/>
    </row>
    <row r="946" spans="2:21" x14ac:dyDescent="0.25">
      <c r="B946" s="292">
        <v>58</v>
      </c>
      <c r="C946" s="292"/>
      <c r="D946" s="292"/>
      <c r="F946" s="283" t="s">
        <v>93</v>
      </c>
      <c r="G946" s="283"/>
      <c r="J946" s="293">
        <v>2</v>
      </c>
      <c r="K946" s="293"/>
      <c r="L946" s="293"/>
      <c r="M946" s="293"/>
      <c r="N946" s="293"/>
      <c r="P946" s="42">
        <v>1180</v>
      </c>
      <c r="R946" s="42">
        <v>180</v>
      </c>
      <c r="T946" s="284">
        <v>1000</v>
      </c>
      <c r="U946" s="284"/>
    </row>
    <row r="947" spans="2:21" x14ac:dyDescent="0.25">
      <c r="B947" s="292">
        <v>59</v>
      </c>
      <c r="C947" s="292"/>
      <c r="D947" s="292"/>
      <c r="F947" s="283" t="s">
        <v>92</v>
      </c>
      <c r="G947" s="283"/>
      <c r="J947" s="293">
        <v>50</v>
      </c>
      <c r="K947" s="293"/>
      <c r="L947" s="293"/>
      <c r="M947" s="293"/>
      <c r="N947" s="293"/>
      <c r="P947" s="42">
        <v>23860</v>
      </c>
      <c r="R947" s="42">
        <v>6320</v>
      </c>
      <c r="T947" s="284">
        <v>17540</v>
      </c>
      <c r="U947" s="284"/>
    </row>
    <row r="948" spans="2:21" x14ac:dyDescent="0.25">
      <c r="B948" s="292">
        <v>60</v>
      </c>
      <c r="C948" s="292"/>
      <c r="D948" s="292"/>
      <c r="F948" s="283" t="s">
        <v>91</v>
      </c>
      <c r="G948" s="283"/>
      <c r="J948" s="293">
        <v>9</v>
      </c>
      <c r="K948" s="293"/>
      <c r="L948" s="293"/>
      <c r="M948" s="293"/>
      <c r="N948" s="293"/>
      <c r="P948" s="42">
        <v>2200</v>
      </c>
      <c r="R948" s="42">
        <v>560</v>
      </c>
      <c r="T948" s="284">
        <v>1640</v>
      </c>
      <c r="U948" s="284"/>
    </row>
    <row r="949" spans="2:21" x14ac:dyDescent="0.25">
      <c r="B949" s="292">
        <v>61</v>
      </c>
      <c r="C949" s="292"/>
      <c r="D949" s="292"/>
      <c r="F949" s="283" t="s">
        <v>90</v>
      </c>
      <c r="G949" s="283"/>
      <c r="J949" s="293">
        <v>5</v>
      </c>
      <c r="K949" s="293"/>
      <c r="L949" s="293"/>
      <c r="M949" s="293"/>
      <c r="N949" s="293"/>
      <c r="P949" s="42">
        <v>1450</v>
      </c>
      <c r="R949" s="42">
        <v>400</v>
      </c>
      <c r="T949" s="284">
        <v>1050</v>
      </c>
      <c r="U949" s="284"/>
    </row>
    <row r="950" spans="2:21" x14ac:dyDescent="0.25">
      <c r="B950" s="292">
        <v>62</v>
      </c>
      <c r="C950" s="292"/>
      <c r="D950" s="292"/>
      <c r="F950" s="283" t="s">
        <v>89</v>
      </c>
      <c r="G950" s="283"/>
      <c r="J950" s="293">
        <v>1</v>
      </c>
      <c r="K950" s="293"/>
      <c r="L950" s="293"/>
      <c r="M950" s="293"/>
      <c r="N950" s="293"/>
      <c r="P950" s="42">
        <v>880</v>
      </c>
      <c r="R950" s="42">
        <v>130</v>
      </c>
      <c r="T950" s="284">
        <v>750</v>
      </c>
      <c r="U950" s="284"/>
    </row>
    <row r="951" spans="2:21" x14ac:dyDescent="0.25">
      <c r="B951" s="292">
        <v>63</v>
      </c>
      <c r="C951" s="292"/>
      <c r="D951" s="292"/>
      <c r="F951" s="283" t="s">
        <v>88</v>
      </c>
      <c r="G951" s="283"/>
      <c r="J951" s="293">
        <v>45</v>
      </c>
      <c r="K951" s="293"/>
      <c r="L951" s="293"/>
      <c r="M951" s="293"/>
      <c r="N951" s="293"/>
      <c r="P951" s="42">
        <v>8050</v>
      </c>
      <c r="R951" s="42">
        <v>2686</v>
      </c>
      <c r="T951" s="284">
        <v>5364</v>
      </c>
      <c r="U951" s="284"/>
    </row>
    <row r="952" spans="2:21" x14ac:dyDescent="0.25">
      <c r="B952" s="292">
        <v>64</v>
      </c>
      <c r="C952" s="292"/>
      <c r="D952" s="292"/>
      <c r="F952" s="283" t="s">
        <v>87</v>
      </c>
      <c r="G952" s="283"/>
      <c r="J952" s="293">
        <v>4</v>
      </c>
      <c r="K952" s="293"/>
      <c r="L952" s="293"/>
      <c r="M952" s="293"/>
      <c r="N952" s="293"/>
      <c r="P952" s="42">
        <v>1160</v>
      </c>
      <c r="R952" s="42">
        <v>320</v>
      </c>
      <c r="T952" s="284">
        <v>840</v>
      </c>
      <c r="U952" s="284"/>
    </row>
    <row r="953" spans="2:21" x14ac:dyDescent="0.25">
      <c r="B953" s="292">
        <v>65</v>
      </c>
      <c r="C953" s="292"/>
      <c r="D953" s="292"/>
      <c r="F953" s="283" t="s">
        <v>85</v>
      </c>
      <c r="G953" s="283"/>
      <c r="J953" s="293">
        <v>2</v>
      </c>
      <c r="K953" s="293"/>
      <c r="L953" s="293"/>
      <c r="M953" s="293"/>
      <c r="N953" s="293"/>
      <c r="P953" s="42">
        <v>4160</v>
      </c>
      <c r="R953" s="42">
        <v>620</v>
      </c>
      <c r="T953" s="284">
        <v>3540</v>
      </c>
      <c r="U953" s="284"/>
    </row>
    <row r="954" spans="2:21" x14ac:dyDescent="0.25">
      <c r="B954" s="292">
        <v>66</v>
      </c>
      <c r="C954" s="292"/>
      <c r="D954" s="292"/>
      <c r="F954" s="283" t="s">
        <v>84</v>
      </c>
      <c r="G954" s="283"/>
      <c r="J954" s="293">
        <v>10</v>
      </c>
      <c r="K954" s="293"/>
      <c r="L954" s="293"/>
      <c r="M954" s="293"/>
      <c r="N954" s="293"/>
      <c r="P954" s="42">
        <v>5900</v>
      </c>
      <c r="R954" s="42">
        <v>1738</v>
      </c>
      <c r="T954" s="284">
        <v>4162</v>
      </c>
      <c r="U954" s="284"/>
    </row>
    <row r="955" spans="2:21" x14ac:dyDescent="0.25">
      <c r="B955" s="292">
        <v>67</v>
      </c>
      <c r="C955" s="292"/>
      <c r="D955" s="292"/>
      <c r="F955" s="283" t="s">
        <v>206</v>
      </c>
      <c r="G955" s="283"/>
      <c r="J955" s="293">
        <v>2</v>
      </c>
      <c r="K955" s="293"/>
      <c r="L955" s="293"/>
      <c r="M955" s="293"/>
      <c r="N955" s="293"/>
      <c r="P955" s="42">
        <v>1000</v>
      </c>
      <c r="R955" s="42">
        <v>300</v>
      </c>
      <c r="T955" s="284">
        <v>700</v>
      </c>
      <c r="U955" s="284"/>
    </row>
    <row r="956" spans="2:21" x14ac:dyDescent="0.25">
      <c r="B956" s="292">
        <v>68</v>
      </c>
      <c r="C956" s="292"/>
      <c r="D956" s="292"/>
      <c r="F956" s="283" t="s">
        <v>272</v>
      </c>
      <c r="G956" s="283"/>
      <c r="J956" s="293">
        <v>1</v>
      </c>
      <c r="K956" s="293"/>
      <c r="L956" s="293"/>
      <c r="M956" s="293"/>
      <c r="N956" s="293"/>
      <c r="P956" s="42">
        <v>500</v>
      </c>
      <c r="R956" s="42">
        <v>150</v>
      </c>
      <c r="T956" s="284">
        <v>350</v>
      </c>
      <c r="U956" s="284"/>
    </row>
    <row r="957" spans="2:21" x14ac:dyDescent="0.25">
      <c r="B957" s="292">
        <v>69</v>
      </c>
      <c r="C957" s="292"/>
      <c r="D957" s="292"/>
      <c r="F957" s="283" t="s">
        <v>205</v>
      </c>
      <c r="G957" s="283"/>
      <c r="J957" s="293">
        <v>1</v>
      </c>
      <c r="K957" s="293"/>
      <c r="L957" s="293"/>
      <c r="M957" s="293"/>
      <c r="N957" s="293"/>
      <c r="P957" s="42">
        <v>500</v>
      </c>
      <c r="R957" s="42">
        <v>150</v>
      </c>
      <c r="T957" s="284">
        <v>350</v>
      </c>
      <c r="U957" s="284"/>
    </row>
    <row r="958" spans="2:21" x14ac:dyDescent="0.25">
      <c r="B958" s="292">
        <v>70</v>
      </c>
      <c r="C958" s="292"/>
      <c r="D958" s="292"/>
      <c r="F958" s="283" t="s">
        <v>204</v>
      </c>
      <c r="G958" s="283"/>
      <c r="J958" s="293">
        <v>2</v>
      </c>
      <c r="K958" s="293"/>
      <c r="L958" s="293"/>
      <c r="M958" s="293"/>
      <c r="N958" s="293"/>
      <c r="P958" s="42">
        <v>1000</v>
      </c>
      <c r="R958" s="42">
        <v>300</v>
      </c>
      <c r="T958" s="284">
        <v>700</v>
      </c>
      <c r="U958" s="284"/>
    </row>
    <row r="959" spans="2:21" x14ac:dyDescent="0.25">
      <c r="B959" s="292">
        <v>71</v>
      </c>
      <c r="C959" s="292"/>
      <c r="D959" s="292"/>
      <c r="F959" s="283" t="s">
        <v>271</v>
      </c>
      <c r="G959" s="283"/>
      <c r="J959" s="293">
        <v>2</v>
      </c>
      <c r="K959" s="293"/>
      <c r="L959" s="293"/>
      <c r="M959" s="293"/>
      <c r="N959" s="293"/>
      <c r="P959" s="42">
        <v>1000</v>
      </c>
      <c r="R959" s="42">
        <v>300</v>
      </c>
      <c r="T959" s="284">
        <v>700</v>
      </c>
      <c r="U959" s="284"/>
    </row>
    <row r="960" spans="2:21" x14ac:dyDescent="0.25">
      <c r="B960" s="292">
        <v>72</v>
      </c>
      <c r="C960" s="292"/>
      <c r="D960" s="292"/>
      <c r="F960" s="283" t="s">
        <v>203</v>
      </c>
      <c r="G960" s="283"/>
      <c r="J960" s="293">
        <v>1</v>
      </c>
      <c r="K960" s="293"/>
      <c r="L960" s="293"/>
      <c r="M960" s="293"/>
      <c r="N960" s="293"/>
      <c r="P960" s="42">
        <v>500</v>
      </c>
      <c r="R960" s="42">
        <v>150</v>
      </c>
      <c r="T960" s="284">
        <v>350</v>
      </c>
      <c r="U960" s="284"/>
    </row>
    <row r="961" spans="1:21" x14ac:dyDescent="0.25">
      <c r="B961" s="292">
        <v>73</v>
      </c>
      <c r="C961" s="292"/>
      <c r="D961" s="292"/>
      <c r="F961" s="283" t="s">
        <v>82</v>
      </c>
      <c r="G961" s="283"/>
      <c r="J961" s="293">
        <v>1</v>
      </c>
      <c r="K961" s="293"/>
      <c r="L961" s="293"/>
      <c r="M961" s="293"/>
      <c r="N961" s="293"/>
      <c r="P961" s="42">
        <v>290</v>
      </c>
      <c r="R961" s="42">
        <v>290</v>
      </c>
      <c r="T961" s="284">
        <v>0</v>
      </c>
      <c r="U961" s="284"/>
    </row>
    <row r="962" spans="1:21" x14ac:dyDescent="0.25">
      <c r="B962" s="292">
        <v>74</v>
      </c>
      <c r="C962" s="292"/>
      <c r="D962" s="292"/>
      <c r="F962" s="283" t="s">
        <v>81</v>
      </c>
      <c r="G962" s="283"/>
      <c r="J962" s="293">
        <v>34</v>
      </c>
      <c r="K962" s="293"/>
      <c r="L962" s="293"/>
      <c r="M962" s="293"/>
      <c r="N962" s="293"/>
      <c r="P962" s="42">
        <v>9860</v>
      </c>
      <c r="R962" s="42">
        <v>2400</v>
      </c>
      <c r="T962" s="284">
        <v>7460</v>
      </c>
      <c r="U962" s="284"/>
    </row>
    <row r="963" spans="1:21" s="40" customFormat="1" x14ac:dyDescent="0.25">
      <c r="A963" s="290" t="s">
        <v>445</v>
      </c>
      <c r="B963" s="290"/>
      <c r="C963" s="290"/>
      <c r="D963" s="290"/>
      <c r="E963" s="290"/>
      <c r="F963" s="290"/>
      <c r="G963" s="290"/>
      <c r="H963" s="290"/>
      <c r="I963" s="290"/>
      <c r="J963" s="290"/>
      <c r="K963" s="291">
        <v>2036</v>
      </c>
      <c r="L963" s="291"/>
      <c r="M963" s="291"/>
      <c r="N963" s="291"/>
      <c r="O963" s="291"/>
      <c r="P963" s="41">
        <v>2523580</v>
      </c>
      <c r="R963" s="41">
        <v>2223382</v>
      </c>
      <c r="T963" s="287">
        <v>300198</v>
      </c>
      <c r="U963" s="287"/>
    </row>
    <row r="964" spans="1:21" x14ac:dyDescent="0.25">
      <c r="B964" s="292">
        <v>1</v>
      </c>
      <c r="C964" s="292"/>
      <c r="D964" s="292"/>
      <c r="F964" s="283" t="s">
        <v>78</v>
      </c>
      <c r="G964" s="283"/>
      <c r="J964" s="293">
        <v>45</v>
      </c>
      <c r="K964" s="293"/>
      <c r="L964" s="293"/>
      <c r="M964" s="293"/>
      <c r="N964" s="293"/>
      <c r="P964" s="42">
        <v>13050</v>
      </c>
      <c r="R964" s="42">
        <v>13050</v>
      </c>
      <c r="T964" s="284">
        <v>0</v>
      </c>
      <c r="U964" s="284"/>
    </row>
    <row r="965" spans="1:21" x14ac:dyDescent="0.25">
      <c r="B965" s="292">
        <v>2</v>
      </c>
      <c r="C965" s="292"/>
      <c r="D965" s="292"/>
      <c r="F965" s="283" t="s">
        <v>162</v>
      </c>
      <c r="G965" s="283"/>
      <c r="J965" s="293">
        <v>9</v>
      </c>
      <c r="K965" s="293"/>
      <c r="L965" s="293"/>
      <c r="M965" s="293"/>
      <c r="N965" s="293"/>
      <c r="P965" s="42">
        <v>3870</v>
      </c>
      <c r="R965" s="42">
        <v>1659</v>
      </c>
      <c r="T965" s="284">
        <v>2211</v>
      </c>
      <c r="U965" s="284"/>
    </row>
    <row r="966" spans="1:21" x14ac:dyDescent="0.25">
      <c r="B966" s="292">
        <v>3</v>
      </c>
      <c r="C966" s="292"/>
      <c r="D966" s="292"/>
      <c r="F966" s="283" t="s">
        <v>160</v>
      </c>
      <c r="G966" s="283"/>
      <c r="J966" s="293">
        <v>4</v>
      </c>
      <c r="K966" s="293"/>
      <c r="L966" s="293"/>
      <c r="M966" s="293"/>
      <c r="N966" s="293"/>
      <c r="P966" s="42">
        <v>1160</v>
      </c>
      <c r="R966" s="42">
        <v>320</v>
      </c>
      <c r="T966" s="284">
        <v>840</v>
      </c>
      <c r="U966" s="284"/>
    </row>
    <row r="967" spans="1:21" x14ac:dyDescent="0.25">
      <c r="B967" s="292">
        <v>4</v>
      </c>
      <c r="C967" s="292"/>
      <c r="D967" s="292"/>
      <c r="F967" s="283" t="s">
        <v>158</v>
      </c>
      <c r="G967" s="283"/>
      <c r="J967" s="293">
        <v>116</v>
      </c>
      <c r="K967" s="293"/>
      <c r="L967" s="293"/>
      <c r="M967" s="293"/>
      <c r="N967" s="293"/>
      <c r="P967" s="42">
        <v>63800</v>
      </c>
      <c r="R967" s="42">
        <v>17939</v>
      </c>
      <c r="T967" s="284">
        <v>45861</v>
      </c>
      <c r="U967" s="284"/>
    </row>
    <row r="968" spans="1:21" x14ac:dyDescent="0.25">
      <c r="B968" s="292">
        <v>5</v>
      </c>
      <c r="C968" s="292"/>
      <c r="D968" s="292"/>
      <c r="F968" s="283" t="s">
        <v>157</v>
      </c>
      <c r="G968" s="283"/>
      <c r="J968" s="293">
        <v>155</v>
      </c>
      <c r="K968" s="293"/>
      <c r="L968" s="293"/>
      <c r="M968" s="293"/>
      <c r="N968" s="293"/>
      <c r="P968" s="42">
        <v>75950</v>
      </c>
      <c r="R968" s="42">
        <v>32570</v>
      </c>
      <c r="T968" s="284">
        <v>43380</v>
      </c>
      <c r="U968" s="284"/>
    </row>
    <row r="969" spans="1:21" x14ac:dyDescent="0.25">
      <c r="B969" s="292">
        <v>6</v>
      </c>
      <c r="C969" s="292"/>
      <c r="D969" s="292"/>
      <c r="F969" s="283" t="s">
        <v>77</v>
      </c>
      <c r="G969" s="283"/>
      <c r="J969" s="293">
        <v>251</v>
      </c>
      <c r="K969" s="293"/>
      <c r="L969" s="293"/>
      <c r="M969" s="293"/>
      <c r="N969" s="293"/>
      <c r="P969" s="42">
        <v>102400</v>
      </c>
      <c r="R969" s="42">
        <v>102400</v>
      </c>
      <c r="T969" s="284">
        <v>0</v>
      </c>
      <c r="U969" s="284"/>
    </row>
    <row r="970" spans="1:21" x14ac:dyDescent="0.25">
      <c r="B970" s="292">
        <v>7</v>
      </c>
      <c r="C970" s="292"/>
      <c r="D970" s="292"/>
      <c r="F970" s="283" t="s">
        <v>242</v>
      </c>
      <c r="G970" s="283"/>
      <c r="J970" s="293">
        <v>1</v>
      </c>
      <c r="K970" s="293"/>
      <c r="L970" s="293"/>
      <c r="M970" s="293"/>
      <c r="N970" s="293"/>
      <c r="P970" s="42">
        <v>500</v>
      </c>
      <c r="R970" s="42">
        <v>500</v>
      </c>
      <c r="T970" s="284">
        <v>0</v>
      </c>
      <c r="U970" s="284"/>
    </row>
    <row r="971" spans="1:21" x14ac:dyDescent="0.25">
      <c r="B971" s="292">
        <v>8</v>
      </c>
      <c r="C971" s="292"/>
      <c r="D971" s="292"/>
      <c r="F971" s="283" t="s">
        <v>76</v>
      </c>
      <c r="G971" s="283"/>
      <c r="J971" s="293">
        <v>2</v>
      </c>
      <c r="K971" s="293"/>
      <c r="L971" s="293"/>
      <c r="M971" s="293"/>
      <c r="N971" s="293"/>
      <c r="P971" s="42">
        <v>1200</v>
      </c>
      <c r="R971" s="42">
        <v>1200</v>
      </c>
      <c r="T971" s="284">
        <v>0</v>
      </c>
      <c r="U971" s="284"/>
    </row>
    <row r="972" spans="1:21" x14ac:dyDescent="0.25">
      <c r="B972" s="292">
        <v>9</v>
      </c>
      <c r="C972" s="292"/>
      <c r="D972" s="292"/>
      <c r="F972" s="283" t="s">
        <v>156</v>
      </c>
      <c r="G972" s="283"/>
      <c r="J972" s="293">
        <v>6</v>
      </c>
      <c r="K972" s="293"/>
      <c r="L972" s="293"/>
      <c r="M972" s="293"/>
      <c r="N972" s="293"/>
      <c r="P972" s="42">
        <v>1140</v>
      </c>
      <c r="R972" s="42">
        <v>320</v>
      </c>
      <c r="T972" s="284">
        <v>820</v>
      </c>
      <c r="U972" s="284"/>
    </row>
    <row r="973" spans="1:21" x14ac:dyDescent="0.25">
      <c r="B973" s="292">
        <v>10</v>
      </c>
      <c r="C973" s="292"/>
      <c r="D973" s="292"/>
      <c r="F973" s="283" t="s">
        <v>155</v>
      </c>
      <c r="G973" s="283"/>
      <c r="J973" s="293">
        <v>20</v>
      </c>
      <c r="K973" s="293"/>
      <c r="L973" s="293"/>
      <c r="M973" s="293"/>
      <c r="N973" s="293"/>
      <c r="P973" s="42">
        <v>5000</v>
      </c>
      <c r="R973" s="42">
        <v>1640</v>
      </c>
      <c r="T973" s="284">
        <v>3360</v>
      </c>
      <c r="U973" s="284"/>
    </row>
    <row r="974" spans="1:21" x14ac:dyDescent="0.25">
      <c r="B974" s="292">
        <v>11</v>
      </c>
      <c r="C974" s="292"/>
      <c r="D974" s="292"/>
      <c r="F974" s="283" t="s">
        <v>154</v>
      </c>
      <c r="G974" s="283"/>
      <c r="J974" s="293">
        <v>3</v>
      </c>
      <c r="K974" s="293"/>
      <c r="L974" s="293"/>
      <c r="M974" s="293"/>
      <c r="N974" s="293"/>
      <c r="P974" s="42">
        <v>2670</v>
      </c>
      <c r="R974" s="42">
        <v>260</v>
      </c>
      <c r="T974" s="284">
        <v>2410</v>
      </c>
      <c r="U974" s="284"/>
    </row>
    <row r="975" spans="1:21" x14ac:dyDescent="0.25">
      <c r="B975" s="292">
        <v>12</v>
      </c>
      <c r="C975" s="292"/>
      <c r="D975" s="292"/>
      <c r="F975" s="283" t="s">
        <v>444</v>
      </c>
      <c r="G975" s="283"/>
      <c r="J975" s="293">
        <v>1</v>
      </c>
      <c r="K975" s="293"/>
      <c r="L975" s="293"/>
      <c r="M975" s="293"/>
      <c r="N975" s="293"/>
      <c r="P975" s="42">
        <v>880</v>
      </c>
      <c r="R975" s="42">
        <v>130</v>
      </c>
      <c r="T975" s="284">
        <v>750</v>
      </c>
      <c r="U975" s="284"/>
    </row>
    <row r="976" spans="1:21" x14ac:dyDescent="0.25">
      <c r="B976" s="292">
        <v>13</v>
      </c>
      <c r="C976" s="292"/>
      <c r="D976" s="292"/>
      <c r="F976" s="283" t="s">
        <v>152</v>
      </c>
      <c r="G976" s="283"/>
      <c r="J976" s="293">
        <v>3</v>
      </c>
      <c r="K976" s="293"/>
      <c r="L976" s="293"/>
      <c r="M976" s="293"/>
      <c r="N976" s="293"/>
      <c r="P976" s="42">
        <v>1770</v>
      </c>
      <c r="R976" s="42">
        <v>540</v>
      </c>
      <c r="T976" s="284">
        <v>1230</v>
      </c>
      <c r="U976" s="284"/>
    </row>
    <row r="977" spans="2:21" x14ac:dyDescent="0.25">
      <c r="B977" s="292">
        <v>14</v>
      </c>
      <c r="C977" s="292"/>
      <c r="D977" s="292"/>
      <c r="F977" s="283" t="s">
        <v>151</v>
      </c>
      <c r="G977" s="283"/>
      <c r="J977" s="293">
        <v>102</v>
      </c>
      <c r="K977" s="293"/>
      <c r="L977" s="293"/>
      <c r="M977" s="293"/>
      <c r="N977" s="293"/>
      <c r="P977" s="42">
        <v>23460</v>
      </c>
      <c r="R977" s="42">
        <v>6138</v>
      </c>
      <c r="T977" s="284">
        <v>17322</v>
      </c>
      <c r="U977" s="284"/>
    </row>
    <row r="978" spans="2:21" x14ac:dyDescent="0.25">
      <c r="B978" s="292">
        <v>15</v>
      </c>
      <c r="C978" s="292"/>
      <c r="D978" s="292"/>
      <c r="F978" s="283" t="s">
        <v>150</v>
      </c>
      <c r="G978" s="283"/>
      <c r="J978" s="293">
        <v>4</v>
      </c>
      <c r="K978" s="293"/>
      <c r="L978" s="293"/>
      <c r="M978" s="293"/>
      <c r="N978" s="293"/>
      <c r="P978" s="42">
        <v>680</v>
      </c>
      <c r="R978" s="42">
        <v>150</v>
      </c>
      <c r="T978" s="284">
        <v>530</v>
      </c>
      <c r="U978" s="284"/>
    </row>
    <row r="979" spans="2:21" x14ac:dyDescent="0.25">
      <c r="B979" s="292">
        <v>16</v>
      </c>
      <c r="C979" s="292"/>
      <c r="D979" s="292"/>
      <c r="F979" s="283" t="s">
        <v>148</v>
      </c>
      <c r="G979" s="283"/>
      <c r="J979" s="293">
        <v>1</v>
      </c>
      <c r="K979" s="293"/>
      <c r="L979" s="293"/>
      <c r="M979" s="293"/>
      <c r="N979" s="293"/>
      <c r="P979" s="42">
        <v>980</v>
      </c>
      <c r="R979" s="42">
        <v>150</v>
      </c>
      <c r="T979" s="284">
        <v>830</v>
      </c>
      <c r="U979" s="284"/>
    </row>
    <row r="980" spans="2:21" x14ac:dyDescent="0.25">
      <c r="B980" s="292">
        <v>17</v>
      </c>
      <c r="C980" s="292"/>
      <c r="D980" s="292"/>
      <c r="F980" s="283" t="s">
        <v>288</v>
      </c>
      <c r="G980" s="283"/>
      <c r="J980" s="293">
        <v>1</v>
      </c>
      <c r="K980" s="293"/>
      <c r="L980" s="293"/>
      <c r="M980" s="293"/>
      <c r="N980" s="293"/>
      <c r="P980" s="42">
        <v>800</v>
      </c>
      <c r="R980" s="42">
        <v>450</v>
      </c>
      <c r="T980" s="284">
        <v>350</v>
      </c>
      <c r="U980" s="284"/>
    </row>
    <row r="981" spans="2:21" x14ac:dyDescent="0.25">
      <c r="B981" s="292">
        <v>18</v>
      </c>
      <c r="C981" s="292"/>
      <c r="D981" s="292"/>
      <c r="F981" s="283" t="s">
        <v>193</v>
      </c>
      <c r="G981" s="283"/>
      <c r="J981" s="293">
        <v>1</v>
      </c>
      <c r="K981" s="293"/>
      <c r="L981" s="293"/>
      <c r="M981" s="293"/>
      <c r="N981" s="293"/>
      <c r="P981" s="42">
        <v>890</v>
      </c>
      <c r="R981" s="42">
        <v>267</v>
      </c>
      <c r="T981" s="284">
        <v>623</v>
      </c>
      <c r="U981" s="284"/>
    </row>
    <row r="982" spans="2:21" x14ac:dyDescent="0.25">
      <c r="B982" s="292">
        <v>19</v>
      </c>
      <c r="C982" s="292"/>
      <c r="D982" s="292"/>
      <c r="F982" s="283" t="s">
        <v>75</v>
      </c>
      <c r="G982" s="283"/>
      <c r="J982" s="293">
        <v>779</v>
      </c>
      <c r="K982" s="293"/>
      <c r="L982" s="293"/>
      <c r="M982" s="293"/>
      <c r="N982" s="293"/>
      <c r="P982" s="42">
        <v>1947500</v>
      </c>
      <c r="R982" s="42">
        <v>1947500</v>
      </c>
      <c r="T982" s="284">
        <v>0</v>
      </c>
      <c r="U982" s="284"/>
    </row>
    <row r="983" spans="2:21" x14ac:dyDescent="0.25">
      <c r="B983" s="292">
        <v>20</v>
      </c>
      <c r="C983" s="292"/>
      <c r="D983" s="292"/>
      <c r="F983" s="283" t="s">
        <v>139</v>
      </c>
      <c r="G983" s="283"/>
      <c r="J983" s="293">
        <v>5</v>
      </c>
      <c r="K983" s="293"/>
      <c r="L983" s="293"/>
      <c r="M983" s="293"/>
      <c r="N983" s="293"/>
      <c r="P983" s="42">
        <v>1350</v>
      </c>
      <c r="R983" s="42">
        <v>400</v>
      </c>
      <c r="T983" s="284">
        <v>950</v>
      </c>
      <c r="U983" s="284"/>
    </row>
    <row r="984" spans="2:21" x14ac:dyDescent="0.25">
      <c r="B984" s="292">
        <v>21</v>
      </c>
      <c r="C984" s="292"/>
      <c r="D984" s="292"/>
      <c r="F984" s="283" t="s">
        <v>136</v>
      </c>
      <c r="G984" s="283"/>
      <c r="J984" s="293">
        <v>11</v>
      </c>
      <c r="K984" s="293"/>
      <c r="L984" s="293"/>
      <c r="M984" s="293"/>
      <c r="N984" s="293"/>
      <c r="P984" s="42">
        <v>9350</v>
      </c>
      <c r="R984" s="42">
        <v>1950</v>
      </c>
      <c r="T984" s="284">
        <v>7400</v>
      </c>
      <c r="U984" s="284"/>
    </row>
    <row r="985" spans="2:21" x14ac:dyDescent="0.25">
      <c r="B985" s="292">
        <v>22</v>
      </c>
      <c r="C985" s="292"/>
      <c r="D985" s="292"/>
      <c r="F985" s="283" t="s">
        <v>74</v>
      </c>
      <c r="G985" s="283"/>
      <c r="J985" s="293">
        <v>34</v>
      </c>
      <c r="K985" s="293"/>
      <c r="L985" s="293"/>
      <c r="M985" s="293"/>
      <c r="N985" s="293"/>
      <c r="P985" s="42">
        <v>28900</v>
      </c>
      <c r="R985" s="42">
        <v>28900</v>
      </c>
      <c r="T985" s="284">
        <v>0</v>
      </c>
      <c r="U985" s="284"/>
    </row>
    <row r="986" spans="2:21" x14ac:dyDescent="0.25">
      <c r="B986" s="292">
        <v>23</v>
      </c>
      <c r="C986" s="292"/>
      <c r="D986" s="292"/>
      <c r="F986" s="283" t="s">
        <v>190</v>
      </c>
      <c r="G986" s="283"/>
      <c r="J986" s="293">
        <v>2</v>
      </c>
      <c r="K986" s="293"/>
      <c r="L986" s="293"/>
      <c r="M986" s="293"/>
      <c r="N986" s="293"/>
      <c r="P986" s="42">
        <v>3140</v>
      </c>
      <c r="R986" s="42">
        <v>480</v>
      </c>
      <c r="T986" s="284">
        <v>2660</v>
      </c>
      <c r="U986" s="284"/>
    </row>
    <row r="987" spans="2:21" x14ac:dyDescent="0.25">
      <c r="B987" s="292">
        <v>24</v>
      </c>
      <c r="C987" s="292"/>
      <c r="D987" s="292"/>
      <c r="F987" s="283" t="s">
        <v>135</v>
      </c>
      <c r="G987" s="283"/>
      <c r="J987" s="293">
        <v>6</v>
      </c>
      <c r="K987" s="293"/>
      <c r="L987" s="293"/>
      <c r="M987" s="293"/>
      <c r="N987" s="293"/>
      <c r="P987" s="42">
        <v>5700</v>
      </c>
      <c r="R987" s="42">
        <v>1542</v>
      </c>
      <c r="T987" s="284">
        <v>4158</v>
      </c>
      <c r="U987" s="284"/>
    </row>
    <row r="988" spans="2:21" x14ac:dyDescent="0.25">
      <c r="B988" s="292">
        <v>25</v>
      </c>
      <c r="C988" s="292"/>
      <c r="D988" s="292"/>
      <c r="F988" s="283" t="s">
        <v>229</v>
      </c>
      <c r="G988" s="283"/>
      <c r="J988" s="293">
        <v>1</v>
      </c>
      <c r="K988" s="293"/>
      <c r="L988" s="293"/>
      <c r="M988" s="293"/>
      <c r="N988" s="293"/>
      <c r="P988" s="42">
        <v>7000</v>
      </c>
      <c r="R988" s="42">
        <v>3100</v>
      </c>
      <c r="T988" s="284">
        <v>3900</v>
      </c>
      <c r="U988" s="284"/>
    </row>
    <row r="989" spans="2:21" x14ac:dyDescent="0.25">
      <c r="B989" s="292">
        <v>26</v>
      </c>
      <c r="C989" s="292"/>
      <c r="D989" s="292"/>
      <c r="F989" s="283" t="s">
        <v>132</v>
      </c>
      <c r="G989" s="283"/>
      <c r="J989" s="293">
        <v>3</v>
      </c>
      <c r="K989" s="293"/>
      <c r="L989" s="293"/>
      <c r="M989" s="293"/>
      <c r="N989" s="293"/>
      <c r="P989" s="42">
        <v>3720</v>
      </c>
      <c r="R989" s="42">
        <v>1110</v>
      </c>
      <c r="T989" s="284">
        <v>2610</v>
      </c>
      <c r="U989" s="284"/>
    </row>
    <row r="990" spans="2:21" x14ac:dyDescent="0.25">
      <c r="B990" s="292">
        <v>27</v>
      </c>
      <c r="C990" s="292"/>
      <c r="D990" s="292"/>
      <c r="F990" s="283" t="s">
        <v>392</v>
      </c>
      <c r="G990" s="283"/>
      <c r="J990" s="293">
        <v>1</v>
      </c>
      <c r="K990" s="293"/>
      <c r="L990" s="293"/>
      <c r="M990" s="293"/>
      <c r="N990" s="293"/>
      <c r="P990" s="42">
        <v>9000</v>
      </c>
      <c r="R990" s="42">
        <v>1800</v>
      </c>
      <c r="T990" s="284">
        <v>7200</v>
      </c>
      <c r="U990" s="284"/>
    </row>
    <row r="991" spans="2:21" x14ac:dyDescent="0.25">
      <c r="B991" s="292">
        <v>28</v>
      </c>
      <c r="C991" s="292"/>
      <c r="D991" s="292"/>
      <c r="F991" s="283" t="s">
        <v>131</v>
      </c>
      <c r="G991" s="283"/>
      <c r="J991" s="293">
        <v>3</v>
      </c>
      <c r="K991" s="293"/>
      <c r="L991" s="293"/>
      <c r="M991" s="293"/>
      <c r="N991" s="293"/>
      <c r="P991" s="42">
        <v>11100</v>
      </c>
      <c r="R991" s="42">
        <v>2220</v>
      </c>
      <c r="T991" s="284">
        <v>8880</v>
      </c>
      <c r="U991" s="284"/>
    </row>
    <row r="992" spans="2:21" x14ac:dyDescent="0.25">
      <c r="B992" s="292">
        <v>29</v>
      </c>
      <c r="C992" s="292"/>
      <c r="D992" s="292"/>
      <c r="F992" s="283" t="s">
        <v>130</v>
      </c>
      <c r="G992" s="283"/>
      <c r="J992" s="293">
        <v>2</v>
      </c>
      <c r="K992" s="293"/>
      <c r="L992" s="293"/>
      <c r="M992" s="293"/>
      <c r="N992" s="293"/>
      <c r="P992" s="42">
        <v>16000</v>
      </c>
      <c r="R992" s="42">
        <v>5700</v>
      </c>
      <c r="T992" s="284">
        <v>10300</v>
      </c>
      <c r="U992" s="284"/>
    </row>
    <row r="993" spans="2:21" x14ac:dyDescent="0.25">
      <c r="B993" s="292">
        <v>30</v>
      </c>
      <c r="C993" s="292"/>
      <c r="D993" s="292"/>
      <c r="F993" s="285" t="s">
        <v>186</v>
      </c>
      <c r="G993" s="285"/>
      <c r="J993" s="293">
        <v>14</v>
      </c>
      <c r="K993" s="293"/>
      <c r="L993" s="293"/>
      <c r="M993" s="293"/>
      <c r="N993" s="293"/>
      <c r="P993" s="42">
        <v>840</v>
      </c>
      <c r="R993" s="42">
        <v>0</v>
      </c>
      <c r="T993" s="284">
        <v>840</v>
      </c>
      <c r="U993" s="284"/>
    </row>
    <row r="994" spans="2:21" x14ac:dyDescent="0.25">
      <c r="F994" s="285"/>
      <c r="G994" s="285"/>
    </row>
    <row r="995" spans="2:21" x14ac:dyDescent="0.25">
      <c r="B995" s="292">
        <v>31</v>
      </c>
      <c r="C995" s="292"/>
      <c r="D995" s="292"/>
      <c r="F995" s="283" t="s">
        <v>128</v>
      </c>
      <c r="G995" s="283"/>
      <c r="J995" s="293">
        <v>2</v>
      </c>
      <c r="K995" s="293"/>
      <c r="L995" s="293"/>
      <c r="M995" s="293"/>
      <c r="N995" s="293"/>
      <c r="P995" s="42">
        <v>2300</v>
      </c>
      <c r="R995" s="42">
        <v>340</v>
      </c>
      <c r="T995" s="284">
        <v>1960</v>
      </c>
      <c r="U995" s="284"/>
    </row>
    <row r="996" spans="2:21" x14ac:dyDescent="0.25">
      <c r="B996" s="292">
        <v>32</v>
      </c>
      <c r="C996" s="292"/>
      <c r="D996" s="292"/>
      <c r="F996" s="283" t="s">
        <v>127</v>
      </c>
      <c r="G996" s="283"/>
      <c r="J996" s="293">
        <v>32</v>
      </c>
      <c r="K996" s="293"/>
      <c r="L996" s="293"/>
      <c r="M996" s="293"/>
      <c r="N996" s="293"/>
      <c r="P996" s="42">
        <v>9600</v>
      </c>
      <c r="R996" s="42">
        <v>3077</v>
      </c>
      <c r="T996" s="284">
        <v>6523</v>
      </c>
      <c r="U996" s="284"/>
    </row>
    <row r="997" spans="2:21" x14ac:dyDescent="0.25">
      <c r="B997" s="292">
        <v>33</v>
      </c>
      <c r="C997" s="292"/>
      <c r="D997" s="292"/>
      <c r="F997" s="283" t="s">
        <v>126</v>
      </c>
      <c r="G997" s="283"/>
      <c r="J997" s="293">
        <v>31</v>
      </c>
      <c r="K997" s="293"/>
      <c r="L997" s="293"/>
      <c r="M997" s="293"/>
      <c r="N997" s="293"/>
      <c r="P997" s="42">
        <v>6200</v>
      </c>
      <c r="R997" s="42">
        <v>2049</v>
      </c>
      <c r="T997" s="284">
        <v>4151</v>
      </c>
      <c r="U997" s="284"/>
    </row>
    <row r="998" spans="2:21" x14ac:dyDescent="0.25">
      <c r="B998" s="292">
        <v>34</v>
      </c>
      <c r="C998" s="292"/>
      <c r="D998" s="292"/>
      <c r="F998" s="283" t="s">
        <v>125</v>
      </c>
      <c r="G998" s="283"/>
      <c r="J998" s="293">
        <v>7</v>
      </c>
      <c r="K998" s="293"/>
      <c r="L998" s="293"/>
      <c r="M998" s="293"/>
      <c r="N998" s="293"/>
      <c r="P998" s="42">
        <v>2800</v>
      </c>
      <c r="R998" s="42">
        <v>600</v>
      </c>
      <c r="T998" s="284">
        <v>2200</v>
      </c>
      <c r="U998" s="284"/>
    </row>
    <row r="999" spans="2:21" x14ac:dyDescent="0.25">
      <c r="B999" s="292">
        <v>35</v>
      </c>
      <c r="C999" s="292"/>
      <c r="D999" s="292"/>
      <c r="F999" s="283" t="s">
        <v>124</v>
      </c>
      <c r="G999" s="283"/>
      <c r="J999" s="293">
        <v>7</v>
      </c>
      <c r="K999" s="293"/>
      <c r="L999" s="293"/>
      <c r="M999" s="293"/>
      <c r="N999" s="293"/>
      <c r="P999" s="42">
        <v>4700</v>
      </c>
      <c r="R999" s="42">
        <v>1270</v>
      </c>
      <c r="T999" s="284">
        <v>3430</v>
      </c>
      <c r="U999" s="284"/>
    </row>
    <row r="1000" spans="2:21" x14ac:dyDescent="0.25">
      <c r="B1000" s="292">
        <v>36</v>
      </c>
      <c r="C1000" s="292"/>
      <c r="D1000" s="292"/>
      <c r="F1000" s="283" t="s">
        <v>123</v>
      </c>
      <c r="G1000" s="283"/>
      <c r="J1000" s="293">
        <v>6</v>
      </c>
      <c r="K1000" s="293"/>
      <c r="L1000" s="293"/>
      <c r="M1000" s="293"/>
      <c r="N1000" s="293"/>
      <c r="P1000" s="42">
        <v>4680</v>
      </c>
      <c r="R1000" s="42">
        <v>920</v>
      </c>
      <c r="T1000" s="284">
        <v>3760</v>
      </c>
      <c r="U1000" s="284"/>
    </row>
    <row r="1001" spans="2:21" x14ac:dyDescent="0.25">
      <c r="B1001" s="292">
        <v>37</v>
      </c>
      <c r="C1001" s="292"/>
      <c r="D1001" s="292"/>
      <c r="F1001" s="283" t="s">
        <v>182</v>
      </c>
      <c r="G1001" s="283"/>
      <c r="J1001" s="293">
        <v>1</v>
      </c>
      <c r="K1001" s="293"/>
      <c r="L1001" s="293"/>
      <c r="M1001" s="293"/>
      <c r="N1001" s="293"/>
      <c r="P1001" s="42">
        <v>790</v>
      </c>
      <c r="R1001" s="42">
        <v>237</v>
      </c>
      <c r="T1001" s="284">
        <v>553</v>
      </c>
      <c r="U1001" s="284"/>
    </row>
    <row r="1002" spans="2:21" x14ac:dyDescent="0.25">
      <c r="B1002" s="292">
        <v>38</v>
      </c>
      <c r="C1002" s="292"/>
      <c r="D1002" s="292"/>
      <c r="F1002" s="283" t="s">
        <v>119</v>
      </c>
      <c r="G1002" s="283"/>
      <c r="J1002" s="293">
        <v>9</v>
      </c>
      <c r="K1002" s="293"/>
      <c r="L1002" s="293"/>
      <c r="M1002" s="293"/>
      <c r="N1002" s="293"/>
      <c r="P1002" s="42">
        <v>8010</v>
      </c>
      <c r="R1002" s="42">
        <v>2610</v>
      </c>
      <c r="T1002" s="284">
        <v>5400</v>
      </c>
      <c r="U1002" s="284"/>
    </row>
    <row r="1003" spans="2:21" x14ac:dyDescent="0.25">
      <c r="B1003" s="292">
        <v>39</v>
      </c>
      <c r="C1003" s="292"/>
      <c r="D1003" s="292"/>
      <c r="F1003" s="283" t="s">
        <v>118</v>
      </c>
      <c r="G1003" s="283"/>
      <c r="J1003" s="293">
        <v>45</v>
      </c>
      <c r="K1003" s="293"/>
      <c r="L1003" s="293"/>
      <c r="M1003" s="293"/>
      <c r="N1003" s="293"/>
      <c r="P1003" s="42">
        <v>44550</v>
      </c>
      <c r="R1003" s="42">
        <v>14308</v>
      </c>
      <c r="T1003" s="284">
        <v>30242</v>
      </c>
      <c r="U1003" s="284"/>
    </row>
    <row r="1004" spans="2:21" x14ac:dyDescent="0.25">
      <c r="B1004" s="292">
        <v>40</v>
      </c>
      <c r="C1004" s="292"/>
      <c r="D1004" s="292"/>
      <c r="F1004" s="283" t="s">
        <v>115</v>
      </c>
      <c r="G1004" s="283"/>
      <c r="J1004" s="293">
        <v>18</v>
      </c>
      <c r="K1004" s="293"/>
      <c r="L1004" s="293"/>
      <c r="M1004" s="293"/>
      <c r="N1004" s="293"/>
      <c r="P1004" s="42">
        <v>5220</v>
      </c>
      <c r="R1004" s="42">
        <v>1504</v>
      </c>
      <c r="T1004" s="284">
        <v>3716</v>
      </c>
      <c r="U1004" s="284"/>
    </row>
    <row r="1005" spans="2:21" x14ac:dyDescent="0.25">
      <c r="B1005" s="292">
        <v>41</v>
      </c>
      <c r="C1005" s="292"/>
      <c r="D1005" s="292"/>
      <c r="F1005" s="283" t="s">
        <v>181</v>
      </c>
      <c r="G1005" s="283"/>
      <c r="J1005" s="293">
        <v>2</v>
      </c>
      <c r="K1005" s="293"/>
      <c r="L1005" s="293"/>
      <c r="M1005" s="293"/>
      <c r="N1005" s="293"/>
      <c r="P1005" s="42">
        <v>1580</v>
      </c>
      <c r="R1005" s="42">
        <v>357</v>
      </c>
      <c r="T1005" s="284">
        <v>1223</v>
      </c>
      <c r="U1005" s="284"/>
    </row>
    <row r="1006" spans="2:21" x14ac:dyDescent="0.25">
      <c r="B1006" s="292">
        <v>42</v>
      </c>
      <c r="C1006" s="292"/>
      <c r="D1006" s="292"/>
      <c r="F1006" s="283" t="s">
        <v>109</v>
      </c>
      <c r="G1006" s="283"/>
      <c r="J1006" s="293">
        <v>1</v>
      </c>
      <c r="K1006" s="293"/>
      <c r="L1006" s="293"/>
      <c r="M1006" s="293"/>
      <c r="N1006" s="293"/>
      <c r="P1006" s="42">
        <v>780</v>
      </c>
      <c r="R1006" s="42">
        <v>230</v>
      </c>
      <c r="T1006" s="284">
        <v>550</v>
      </c>
      <c r="U1006" s="284"/>
    </row>
    <row r="1007" spans="2:21" x14ac:dyDescent="0.25">
      <c r="B1007" s="292">
        <v>43</v>
      </c>
      <c r="C1007" s="292"/>
      <c r="D1007" s="292"/>
      <c r="F1007" s="283" t="s">
        <v>108</v>
      </c>
      <c r="G1007" s="283"/>
      <c r="J1007" s="293">
        <v>42</v>
      </c>
      <c r="K1007" s="293"/>
      <c r="L1007" s="293"/>
      <c r="M1007" s="293"/>
      <c r="N1007" s="293"/>
      <c r="P1007" s="42">
        <v>4200</v>
      </c>
      <c r="R1007" s="42">
        <v>540</v>
      </c>
      <c r="T1007" s="284">
        <v>3660</v>
      </c>
      <c r="U1007" s="284"/>
    </row>
    <row r="1008" spans="2:21" x14ac:dyDescent="0.25">
      <c r="B1008" s="292">
        <v>44</v>
      </c>
      <c r="C1008" s="292"/>
      <c r="D1008" s="292"/>
      <c r="F1008" s="283" t="s">
        <v>107</v>
      </c>
      <c r="G1008" s="283"/>
      <c r="J1008" s="293">
        <v>15</v>
      </c>
      <c r="K1008" s="293"/>
      <c r="L1008" s="293"/>
      <c r="M1008" s="293"/>
      <c r="N1008" s="293"/>
      <c r="P1008" s="42">
        <v>2550</v>
      </c>
      <c r="R1008" s="42">
        <v>918</v>
      </c>
      <c r="T1008" s="284">
        <v>1632</v>
      </c>
      <c r="U1008" s="284"/>
    </row>
    <row r="1009" spans="2:21" x14ac:dyDescent="0.25">
      <c r="B1009" s="292">
        <v>45</v>
      </c>
      <c r="C1009" s="292"/>
      <c r="D1009" s="292"/>
      <c r="F1009" s="283" t="s">
        <v>106</v>
      </c>
      <c r="G1009" s="283"/>
      <c r="J1009" s="293">
        <v>89</v>
      </c>
      <c r="K1009" s="293"/>
      <c r="L1009" s="293"/>
      <c r="M1009" s="293"/>
      <c r="N1009" s="293"/>
      <c r="P1009" s="42">
        <v>8900</v>
      </c>
      <c r="R1009" s="42">
        <v>600</v>
      </c>
      <c r="T1009" s="284">
        <v>8300</v>
      </c>
      <c r="U1009" s="284"/>
    </row>
    <row r="1010" spans="2:21" x14ac:dyDescent="0.25">
      <c r="B1010" s="292">
        <v>46</v>
      </c>
      <c r="C1010" s="292"/>
      <c r="D1010" s="292"/>
      <c r="F1010" s="283" t="s">
        <v>255</v>
      </c>
      <c r="G1010" s="283"/>
      <c r="J1010" s="293">
        <v>1</v>
      </c>
      <c r="K1010" s="293"/>
      <c r="L1010" s="293"/>
      <c r="M1010" s="293"/>
      <c r="N1010" s="293"/>
      <c r="P1010" s="42">
        <v>950</v>
      </c>
      <c r="R1010" s="42">
        <v>140</v>
      </c>
      <c r="T1010" s="284">
        <v>810</v>
      </c>
      <c r="U1010" s="284"/>
    </row>
    <row r="1011" spans="2:21" x14ac:dyDescent="0.25">
      <c r="B1011" s="292">
        <v>47</v>
      </c>
      <c r="C1011" s="292"/>
      <c r="D1011" s="292"/>
      <c r="F1011" s="283" t="s">
        <v>216</v>
      </c>
      <c r="G1011" s="283"/>
      <c r="J1011" s="293">
        <v>1</v>
      </c>
      <c r="K1011" s="293"/>
      <c r="L1011" s="293"/>
      <c r="M1011" s="293"/>
      <c r="N1011" s="293"/>
      <c r="P1011" s="42">
        <v>1080</v>
      </c>
      <c r="R1011" s="42">
        <v>165</v>
      </c>
      <c r="T1011" s="284">
        <v>915</v>
      </c>
      <c r="U1011" s="284"/>
    </row>
    <row r="1012" spans="2:21" x14ac:dyDescent="0.25">
      <c r="B1012" s="292">
        <v>48</v>
      </c>
      <c r="C1012" s="292"/>
      <c r="D1012" s="292"/>
      <c r="F1012" s="283" t="s">
        <v>103</v>
      </c>
      <c r="G1012" s="283"/>
      <c r="J1012" s="293">
        <v>4</v>
      </c>
      <c r="K1012" s="293"/>
      <c r="L1012" s="293"/>
      <c r="M1012" s="293"/>
      <c r="N1012" s="293"/>
      <c r="P1012" s="42">
        <v>1320</v>
      </c>
      <c r="R1012" s="42">
        <v>480</v>
      </c>
      <c r="T1012" s="284">
        <v>840</v>
      </c>
      <c r="U1012" s="284"/>
    </row>
    <row r="1013" spans="2:21" x14ac:dyDescent="0.25">
      <c r="B1013" s="292">
        <v>49</v>
      </c>
      <c r="C1013" s="292"/>
      <c r="D1013" s="292"/>
      <c r="F1013" s="283" t="s">
        <v>408</v>
      </c>
      <c r="G1013" s="283"/>
      <c r="J1013" s="293">
        <v>32</v>
      </c>
      <c r="K1013" s="293"/>
      <c r="L1013" s="293"/>
      <c r="M1013" s="293"/>
      <c r="N1013" s="293"/>
      <c r="P1013" s="42">
        <v>16000</v>
      </c>
      <c r="R1013" s="42">
        <v>4800</v>
      </c>
      <c r="T1013" s="284">
        <v>11200</v>
      </c>
      <c r="U1013" s="284"/>
    </row>
    <row r="1014" spans="2:21" x14ac:dyDescent="0.25">
      <c r="B1014" s="292">
        <v>50</v>
      </c>
      <c r="C1014" s="292"/>
      <c r="D1014" s="292"/>
      <c r="F1014" s="283" t="s">
        <v>102</v>
      </c>
      <c r="G1014" s="283"/>
      <c r="J1014" s="293">
        <v>1</v>
      </c>
      <c r="K1014" s="293"/>
      <c r="L1014" s="293"/>
      <c r="M1014" s="293"/>
      <c r="N1014" s="293"/>
      <c r="P1014" s="42">
        <v>880</v>
      </c>
      <c r="R1014" s="42">
        <v>130</v>
      </c>
      <c r="T1014" s="284">
        <v>750</v>
      </c>
      <c r="U1014" s="284"/>
    </row>
    <row r="1015" spans="2:21" x14ac:dyDescent="0.25">
      <c r="B1015" s="292">
        <v>51</v>
      </c>
      <c r="C1015" s="292"/>
      <c r="D1015" s="292"/>
      <c r="F1015" s="283" t="s">
        <v>99</v>
      </c>
      <c r="G1015" s="283"/>
      <c r="J1015" s="293">
        <v>1</v>
      </c>
      <c r="K1015" s="293"/>
      <c r="L1015" s="293"/>
      <c r="M1015" s="293"/>
      <c r="N1015" s="293"/>
      <c r="P1015" s="42">
        <v>590</v>
      </c>
      <c r="R1015" s="42">
        <v>90</v>
      </c>
      <c r="T1015" s="284">
        <v>500</v>
      </c>
      <c r="U1015" s="284"/>
    </row>
    <row r="1016" spans="2:21" x14ac:dyDescent="0.25">
      <c r="B1016" s="292">
        <v>52</v>
      </c>
      <c r="C1016" s="292"/>
      <c r="D1016" s="292"/>
      <c r="F1016" s="283" t="s">
        <v>98</v>
      </c>
      <c r="G1016" s="283"/>
      <c r="J1016" s="293">
        <v>1</v>
      </c>
      <c r="K1016" s="293"/>
      <c r="L1016" s="293"/>
      <c r="M1016" s="293"/>
      <c r="N1016" s="293"/>
      <c r="P1016" s="42">
        <v>570</v>
      </c>
      <c r="R1016" s="42">
        <v>80</v>
      </c>
      <c r="T1016" s="284">
        <v>490</v>
      </c>
      <c r="U1016" s="284"/>
    </row>
    <row r="1017" spans="2:21" x14ac:dyDescent="0.25">
      <c r="B1017" s="292">
        <v>53</v>
      </c>
      <c r="C1017" s="292"/>
      <c r="D1017" s="292"/>
      <c r="F1017" s="283" t="s">
        <v>97</v>
      </c>
      <c r="G1017" s="283"/>
      <c r="J1017" s="293">
        <v>1</v>
      </c>
      <c r="K1017" s="293"/>
      <c r="L1017" s="293"/>
      <c r="M1017" s="293"/>
      <c r="N1017" s="293"/>
      <c r="P1017" s="42">
        <v>1590</v>
      </c>
      <c r="R1017" s="42">
        <v>240</v>
      </c>
      <c r="T1017" s="284">
        <v>1350</v>
      </c>
      <c r="U1017" s="284"/>
    </row>
    <row r="1018" spans="2:21" x14ac:dyDescent="0.25">
      <c r="B1018" s="292">
        <v>54</v>
      </c>
      <c r="C1018" s="292"/>
      <c r="D1018" s="292"/>
      <c r="F1018" s="283" t="s">
        <v>96</v>
      </c>
      <c r="G1018" s="283"/>
      <c r="J1018" s="293">
        <v>1</v>
      </c>
      <c r="K1018" s="293"/>
      <c r="L1018" s="293"/>
      <c r="M1018" s="293"/>
      <c r="N1018" s="293"/>
      <c r="P1018" s="42">
        <v>440</v>
      </c>
      <c r="R1018" s="42">
        <v>130</v>
      </c>
      <c r="T1018" s="284">
        <v>310</v>
      </c>
      <c r="U1018" s="284"/>
    </row>
    <row r="1019" spans="2:21" x14ac:dyDescent="0.25">
      <c r="B1019" s="292">
        <v>55</v>
      </c>
      <c r="C1019" s="292"/>
      <c r="D1019" s="292"/>
      <c r="F1019" s="283" t="s">
        <v>93</v>
      </c>
      <c r="G1019" s="283"/>
      <c r="J1019" s="293">
        <v>5</v>
      </c>
      <c r="K1019" s="293"/>
      <c r="L1019" s="293"/>
      <c r="M1019" s="293"/>
      <c r="N1019" s="293"/>
      <c r="P1019" s="42">
        <v>2950</v>
      </c>
      <c r="R1019" s="42">
        <v>447</v>
      </c>
      <c r="T1019" s="284">
        <v>2503</v>
      </c>
      <c r="U1019" s="284"/>
    </row>
    <row r="1020" spans="2:21" x14ac:dyDescent="0.25">
      <c r="B1020" s="292">
        <v>56</v>
      </c>
      <c r="C1020" s="292"/>
      <c r="D1020" s="292"/>
      <c r="F1020" s="283" t="s">
        <v>92</v>
      </c>
      <c r="G1020" s="283"/>
      <c r="J1020" s="293">
        <v>15</v>
      </c>
      <c r="K1020" s="293"/>
      <c r="L1020" s="293"/>
      <c r="M1020" s="293"/>
      <c r="N1020" s="293"/>
      <c r="P1020" s="42">
        <v>11440</v>
      </c>
      <c r="R1020" s="42">
        <v>3160</v>
      </c>
      <c r="T1020" s="284">
        <v>8280</v>
      </c>
      <c r="U1020" s="284"/>
    </row>
    <row r="1021" spans="2:21" x14ac:dyDescent="0.25">
      <c r="B1021" s="292">
        <v>57</v>
      </c>
      <c r="C1021" s="292"/>
      <c r="D1021" s="292"/>
      <c r="F1021" s="283" t="s">
        <v>175</v>
      </c>
      <c r="G1021" s="283"/>
      <c r="J1021" s="293">
        <v>5</v>
      </c>
      <c r="K1021" s="293"/>
      <c r="L1021" s="293"/>
      <c r="M1021" s="293"/>
      <c r="N1021" s="293"/>
      <c r="P1021" s="42">
        <v>3000</v>
      </c>
      <c r="R1021" s="42">
        <v>720</v>
      </c>
      <c r="T1021" s="284">
        <v>2280</v>
      </c>
      <c r="U1021" s="284"/>
    </row>
    <row r="1022" spans="2:21" x14ac:dyDescent="0.25">
      <c r="B1022" s="292">
        <v>58</v>
      </c>
      <c r="C1022" s="292"/>
      <c r="D1022" s="292"/>
      <c r="F1022" s="283" t="s">
        <v>174</v>
      </c>
      <c r="G1022" s="283"/>
      <c r="J1022" s="293">
        <v>3</v>
      </c>
      <c r="K1022" s="293"/>
      <c r="L1022" s="293"/>
      <c r="M1022" s="293"/>
      <c r="N1022" s="293"/>
      <c r="P1022" s="42">
        <v>1200</v>
      </c>
      <c r="R1022" s="42">
        <v>360</v>
      </c>
      <c r="T1022" s="284">
        <v>840</v>
      </c>
      <c r="U1022" s="284"/>
    </row>
    <row r="1023" spans="2:21" x14ac:dyDescent="0.25">
      <c r="B1023" s="292">
        <v>59</v>
      </c>
      <c r="C1023" s="292"/>
      <c r="D1023" s="292"/>
      <c r="F1023" s="283" t="s">
        <v>355</v>
      </c>
      <c r="G1023" s="283"/>
      <c r="J1023" s="293">
        <v>1</v>
      </c>
      <c r="K1023" s="293"/>
      <c r="L1023" s="293"/>
      <c r="M1023" s="293"/>
      <c r="N1023" s="293"/>
      <c r="P1023" s="42">
        <v>600</v>
      </c>
      <c r="R1023" s="42">
        <v>180</v>
      </c>
      <c r="T1023" s="284">
        <v>420</v>
      </c>
      <c r="U1023" s="284"/>
    </row>
    <row r="1024" spans="2:21" x14ac:dyDescent="0.25">
      <c r="B1024" s="292">
        <v>60</v>
      </c>
      <c r="C1024" s="292"/>
      <c r="D1024" s="292"/>
      <c r="F1024" s="283" t="s">
        <v>173</v>
      </c>
      <c r="G1024" s="283"/>
      <c r="J1024" s="293">
        <v>9</v>
      </c>
      <c r="K1024" s="293"/>
      <c r="L1024" s="293"/>
      <c r="M1024" s="293"/>
      <c r="N1024" s="293"/>
      <c r="P1024" s="42">
        <v>9000</v>
      </c>
      <c r="R1024" s="42">
        <v>2400</v>
      </c>
      <c r="T1024" s="284">
        <v>6600</v>
      </c>
      <c r="U1024" s="284"/>
    </row>
    <row r="1025" spans="1:21" x14ac:dyDescent="0.25">
      <c r="B1025" s="292">
        <v>61</v>
      </c>
      <c r="C1025" s="292"/>
      <c r="D1025" s="292"/>
      <c r="F1025" s="283" t="s">
        <v>91</v>
      </c>
      <c r="G1025" s="283"/>
      <c r="J1025" s="293">
        <v>12</v>
      </c>
      <c r="K1025" s="293"/>
      <c r="L1025" s="293"/>
      <c r="M1025" s="293"/>
      <c r="N1025" s="293"/>
      <c r="P1025" s="42">
        <v>3000</v>
      </c>
      <c r="R1025" s="42">
        <v>770</v>
      </c>
      <c r="T1025" s="284">
        <v>2230</v>
      </c>
      <c r="U1025" s="284"/>
    </row>
    <row r="1026" spans="1:21" x14ac:dyDescent="0.25">
      <c r="B1026" s="292">
        <v>62</v>
      </c>
      <c r="C1026" s="292"/>
      <c r="D1026" s="292"/>
      <c r="F1026" s="283" t="s">
        <v>90</v>
      </c>
      <c r="G1026" s="283"/>
      <c r="J1026" s="293">
        <v>9</v>
      </c>
      <c r="K1026" s="293"/>
      <c r="L1026" s="293"/>
      <c r="M1026" s="293"/>
      <c r="N1026" s="293"/>
      <c r="P1026" s="42">
        <v>2610</v>
      </c>
      <c r="R1026" s="42">
        <v>720</v>
      </c>
      <c r="T1026" s="284">
        <v>1890</v>
      </c>
      <c r="U1026" s="284"/>
    </row>
    <row r="1027" spans="1:21" x14ac:dyDescent="0.25">
      <c r="B1027" s="292">
        <v>63</v>
      </c>
      <c r="C1027" s="292"/>
      <c r="D1027" s="292"/>
      <c r="F1027" s="283" t="s">
        <v>88</v>
      </c>
      <c r="G1027" s="283"/>
      <c r="J1027" s="293">
        <v>19</v>
      </c>
      <c r="K1027" s="293"/>
      <c r="L1027" s="293"/>
      <c r="M1027" s="293"/>
      <c r="N1027" s="293"/>
      <c r="P1027" s="42">
        <v>3420</v>
      </c>
      <c r="R1027" s="42">
        <v>1145</v>
      </c>
      <c r="T1027" s="284">
        <v>2275</v>
      </c>
      <c r="U1027" s="284"/>
    </row>
    <row r="1028" spans="1:21" x14ac:dyDescent="0.25">
      <c r="B1028" s="292">
        <v>64</v>
      </c>
      <c r="C1028" s="292"/>
      <c r="D1028" s="292"/>
      <c r="F1028" s="283" t="s">
        <v>85</v>
      </c>
      <c r="G1028" s="283"/>
      <c r="J1028" s="293">
        <v>1</v>
      </c>
      <c r="K1028" s="293"/>
      <c r="L1028" s="293"/>
      <c r="M1028" s="293"/>
      <c r="N1028" s="293"/>
      <c r="P1028" s="42">
        <v>2080</v>
      </c>
      <c r="R1028" s="42">
        <v>310</v>
      </c>
      <c r="T1028" s="284">
        <v>1770</v>
      </c>
      <c r="U1028" s="284"/>
    </row>
    <row r="1029" spans="1:21" x14ac:dyDescent="0.25">
      <c r="B1029" s="292">
        <v>65</v>
      </c>
      <c r="C1029" s="292"/>
      <c r="D1029" s="292"/>
      <c r="F1029" s="283" t="s">
        <v>84</v>
      </c>
      <c r="G1029" s="283"/>
      <c r="J1029" s="293">
        <v>13</v>
      </c>
      <c r="K1029" s="293"/>
      <c r="L1029" s="293"/>
      <c r="M1029" s="293"/>
      <c r="N1029" s="293"/>
      <c r="P1029" s="42">
        <v>7670</v>
      </c>
      <c r="R1029" s="42">
        <v>2340</v>
      </c>
      <c r="T1029" s="284">
        <v>5330</v>
      </c>
      <c r="U1029" s="284"/>
    </row>
    <row r="1030" spans="1:21" x14ac:dyDescent="0.25">
      <c r="B1030" s="292">
        <v>66</v>
      </c>
      <c r="C1030" s="292"/>
      <c r="D1030" s="292"/>
      <c r="F1030" s="283" t="s">
        <v>205</v>
      </c>
      <c r="G1030" s="283"/>
      <c r="J1030" s="293">
        <v>1</v>
      </c>
      <c r="K1030" s="293"/>
      <c r="L1030" s="293"/>
      <c r="M1030" s="293"/>
      <c r="N1030" s="293"/>
      <c r="P1030" s="42">
        <v>500</v>
      </c>
      <c r="R1030" s="42">
        <v>150</v>
      </c>
      <c r="T1030" s="284">
        <v>350</v>
      </c>
      <c r="U1030" s="284"/>
    </row>
    <row r="1031" spans="1:21" x14ac:dyDescent="0.25">
      <c r="B1031" s="292">
        <v>67</v>
      </c>
      <c r="C1031" s="292"/>
      <c r="D1031" s="292"/>
      <c r="F1031" s="283" t="s">
        <v>81</v>
      </c>
      <c r="G1031" s="283"/>
      <c r="J1031" s="293">
        <v>7</v>
      </c>
      <c r="K1031" s="293"/>
      <c r="L1031" s="293"/>
      <c r="M1031" s="293"/>
      <c r="N1031" s="293"/>
      <c r="P1031" s="42">
        <v>2030</v>
      </c>
      <c r="R1031" s="42">
        <v>480</v>
      </c>
      <c r="T1031" s="284">
        <v>1550</v>
      </c>
      <c r="U1031" s="284"/>
    </row>
    <row r="1032" spans="1:21" s="40" customFormat="1" x14ac:dyDescent="0.25">
      <c r="A1032" s="290" t="s">
        <v>443</v>
      </c>
      <c r="B1032" s="290"/>
      <c r="C1032" s="290"/>
      <c r="D1032" s="290"/>
      <c r="E1032" s="290"/>
      <c r="F1032" s="290"/>
      <c r="G1032" s="290"/>
      <c r="H1032" s="290"/>
      <c r="I1032" s="290"/>
      <c r="J1032" s="290"/>
      <c r="K1032" s="291">
        <v>4196</v>
      </c>
      <c r="L1032" s="291"/>
      <c r="M1032" s="291"/>
      <c r="N1032" s="291"/>
      <c r="O1032" s="291"/>
      <c r="P1032" s="41">
        <v>4316500</v>
      </c>
      <c r="R1032" s="41">
        <v>3702225</v>
      </c>
      <c r="T1032" s="287">
        <v>614275</v>
      </c>
      <c r="U1032" s="287"/>
    </row>
    <row r="1033" spans="1:21" x14ac:dyDescent="0.25">
      <c r="B1033" s="292">
        <v>1</v>
      </c>
      <c r="C1033" s="292"/>
      <c r="D1033" s="292"/>
      <c r="F1033" s="283" t="s">
        <v>442</v>
      </c>
      <c r="G1033" s="283"/>
      <c r="J1033" s="293">
        <v>1</v>
      </c>
      <c r="K1033" s="293"/>
      <c r="L1033" s="293"/>
      <c r="M1033" s="293"/>
      <c r="N1033" s="293"/>
      <c r="P1033" s="42">
        <v>290</v>
      </c>
      <c r="R1033" s="42">
        <v>0</v>
      </c>
      <c r="T1033" s="284">
        <v>290</v>
      </c>
      <c r="U1033" s="284"/>
    </row>
    <row r="1034" spans="1:21" x14ac:dyDescent="0.25">
      <c r="B1034" s="292">
        <v>2</v>
      </c>
      <c r="C1034" s="292"/>
      <c r="D1034" s="292"/>
      <c r="F1034" s="283" t="s">
        <v>78</v>
      </c>
      <c r="G1034" s="283"/>
      <c r="J1034" s="293">
        <v>175</v>
      </c>
      <c r="K1034" s="293"/>
      <c r="L1034" s="293"/>
      <c r="M1034" s="293"/>
      <c r="N1034" s="293"/>
      <c r="P1034" s="42">
        <v>50750</v>
      </c>
      <c r="R1034" s="42">
        <v>50750</v>
      </c>
      <c r="T1034" s="284">
        <v>0</v>
      </c>
      <c r="U1034" s="284"/>
    </row>
    <row r="1035" spans="1:21" x14ac:dyDescent="0.25">
      <c r="B1035" s="292">
        <v>3</v>
      </c>
      <c r="C1035" s="292"/>
      <c r="D1035" s="292"/>
      <c r="F1035" s="283" t="s">
        <v>268</v>
      </c>
      <c r="G1035" s="283"/>
      <c r="J1035" s="293">
        <v>1</v>
      </c>
      <c r="K1035" s="293"/>
      <c r="L1035" s="293"/>
      <c r="M1035" s="293"/>
      <c r="N1035" s="293"/>
      <c r="P1035" s="42">
        <v>250</v>
      </c>
      <c r="R1035" s="42">
        <v>70</v>
      </c>
      <c r="T1035" s="284">
        <v>180</v>
      </c>
      <c r="U1035" s="284"/>
    </row>
    <row r="1036" spans="1:21" x14ac:dyDescent="0.25">
      <c r="B1036" s="292">
        <v>4</v>
      </c>
      <c r="C1036" s="292"/>
      <c r="D1036" s="292"/>
      <c r="F1036" s="283" t="s">
        <v>294</v>
      </c>
      <c r="G1036" s="283"/>
      <c r="J1036" s="293">
        <v>1</v>
      </c>
      <c r="K1036" s="293"/>
      <c r="L1036" s="293"/>
      <c r="M1036" s="293"/>
      <c r="N1036" s="293"/>
      <c r="P1036" s="42">
        <v>500</v>
      </c>
      <c r="R1036" s="42">
        <v>150</v>
      </c>
      <c r="T1036" s="284">
        <v>350</v>
      </c>
      <c r="U1036" s="284"/>
    </row>
    <row r="1037" spans="1:21" x14ac:dyDescent="0.25">
      <c r="B1037" s="292">
        <v>5</v>
      </c>
      <c r="C1037" s="292"/>
      <c r="D1037" s="292"/>
      <c r="F1037" s="283" t="s">
        <v>164</v>
      </c>
      <c r="G1037" s="283"/>
      <c r="J1037" s="293">
        <v>1</v>
      </c>
      <c r="K1037" s="293"/>
      <c r="L1037" s="293"/>
      <c r="M1037" s="293"/>
      <c r="N1037" s="293"/>
      <c r="P1037" s="42">
        <v>590</v>
      </c>
      <c r="R1037" s="42">
        <v>180</v>
      </c>
      <c r="T1037" s="284">
        <v>410</v>
      </c>
      <c r="U1037" s="284"/>
    </row>
    <row r="1038" spans="1:21" x14ac:dyDescent="0.25">
      <c r="B1038" s="292">
        <v>6</v>
      </c>
      <c r="C1038" s="292"/>
      <c r="D1038" s="292"/>
      <c r="F1038" s="283" t="s">
        <v>163</v>
      </c>
      <c r="G1038" s="283"/>
      <c r="J1038" s="293">
        <v>8</v>
      </c>
      <c r="K1038" s="293"/>
      <c r="L1038" s="293"/>
      <c r="M1038" s="293"/>
      <c r="N1038" s="293"/>
      <c r="P1038" s="42">
        <v>9520</v>
      </c>
      <c r="R1038" s="42">
        <v>1440</v>
      </c>
      <c r="T1038" s="284">
        <v>8080</v>
      </c>
      <c r="U1038" s="284"/>
    </row>
    <row r="1039" spans="1:21" x14ac:dyDescent="0.25">
      <c r="B1039" s="292">
        <v>7</v>
      </c>
      <c r="C1039" s="292"/>
      <c r="D1039" s="292"/>
      <c r="F1039" s="283" t="s">
        <v>162</v>
      </c>
      <c r="G1039" s="283"/>
      <c r="J1039" s="293">
        <v>8</v>
      </c>
      <c r="K1039" s="293"/>
      <c r="L1039" s="293"/>
      <c r="M1039" s="293"/>
      <c r="N1039" s="293"/>
      <c r="P1039" s="42">
        <v>3440</v>
      </c>
      <c r="R1039" s="42">
        <v>1529</v>
      </c>
      <c r="T1039" s="284">
        <v>1911</v>
      </c>
      <c r="U1039" s="284"/>
    </row>
    <row r="1040" spans="1:21" x14ac:dyDescent="0.25">
      <c r="B1040" s="292">
        <v>8</v>
      </c>
      <c r="C1040" s="292"/>
      <c r="D1040" s="292"/>
      <c r="F1040" s="283" t="s">
        <v>198</v>
      </c>
      <c r="G1040" s="283"/>
      <c r="J1040" s="293">
        <v>2</v>
      </c>
      <c r="K1040" s="293"/>
      <c r="L1040" s="293"/>
      <c r="M1040" s="293"/>
      <c r="N1040" s="293"/>
      <c r="P1040" s="42">
        <v>580</v>
      </c>
      <c r="R1040" s="42">
        <v>160</v>
      </c>
      <c r="T1040" s="284">
        <v>420</v>
      </c>
      <c r="U1040" s="284"/>
    </row>
    <row r="1041" spans="2:21" x14ac:dyDescent="0.25">
      <c r="B1041" s="292">
        <v>9</v>
      </c>
      <c r="C1041" s="292"/>
      <c r="D1041" s="292"/>
      <c r="F1041" s="283" t="s">
        <v>160</v>
      </c>
      <c r="G1041" s="283"/>
      <c r="J1041" s="293">
        <v>30</v>
      </c>
      <c r="K1041" s="293"/>
      <c r="L1041" s="293"/>
      <c r="M1041" s="293"/>
      <c r="N1041" s="293"/>
      <c r="P1041" s="42">
        <v>8700</v>
      </c>
      <c r="R1041" s="42">
        <v>2400</v>
      </c>
      <c r="T1041" s="284">
        <v>6300</v>
      </c>
      <c r="U1041" s="284"/>
    </row>
    <row r="1042" spans="2:21" x14ac:dyDescent="0.25">
      <c r="B1042" s="292">
        <v>10</v>
      </c>
      <c r="C1042" s="292"/>
      <c r="D1042" s="292"/>
      <c r="F1042" s="283" t="s">
        <v>159</v>
      </c>
      <c r="G1042" s="283"/>
      <c r="J1042" s="293">
        <v>3</v>
      </c>
      <c r="K1042" s="293"/>
      <c r="L1042" s="293"/>
      <c r="M1042" s="293"/>
      <c r="N1042" s="293"/>
      <c r="P1042" s="42">
        <v>0</v>
      </c>
      <c r="R1042" s="42">
        <v>0</v>
      </c>
      <c r="T1042" s="284">
        <v>0</v>
      </c>
      <c r="U1042" s="284"/>
    </row>
    <row r="1043" spans="2:21" x14ac:dyDescent="0.25">
      <c r="B1043" s="292">
        <v>11</v>
      </c>
      <c r="C1043" s="292"/>
      <c r="D1043" s="292"/>
      <c r="F1043" s="283" t="s">
        <v>158</v>
      </c>
      <c r="G1043" s="283"/>
      <c r="J1043" s="293">
        <v>663</v>
      </c>
      <c r="K1043" s="293"/>
      <c r="L1043" s="293"/>
      <c r="M1043" s="293"/>
      <c r="N1043" s="293"/>
      <c r="P1043" s="42">
        <v>364650</v>
      </c>
      <c r="R1043" s="42">
        <v>108980</v>
      </c>
      <c r="T1043" s="284">
        <v>255670</v>
      </c>
      <c r="U1043" s="284"/>
    </row>
    <row r="1044" spans="2:21" x14ac:dyDescent="0.25">
      <c r="B1044" s="292">
        <v>12</v>
      </c>
      <c r="C1044" s="292"/>
      <c r="D1044" s="292"/>
      <c r="F1044" s="283" t="s">
        <v>157</v>
      </c>
      <c r="G1044" s="283"/>
      <c r="J1044" s="293">
        <v>58</v>
      </c>
      <c r="K1044" s="293"/>
      <c r="L1044" s="293"/>
      <c r="M1044" s="293"/>
      <c r="N1044" s="293"/>
      <c r="P1044" s="42">
        <v>28420</v>
      </c>
      <c r="R1044" s="42">
        <v>11961</v>
      </c>
      <c r="T1044" s="284">
        <v>16459</v>
      </c>
      <c r="U1044" s="284"/>
    </row>
    <row r="1045" spans="2:21" x14ac:dyDescent="0.25">
      <c r="B1045" s="292">
        <v>13</v>
      </c>
      <c r="C1045" s="292"/>
      <c r="D1045" s="292"/>
      <c r="F1045" s="283" t="s">
        <v>77</v>
      </c>
      <c r="G1045" s="283"/>
      <c r="J1045" s="293">
        <v>1020</v>
      </c>
      <c r="K1045" s="293"/>
      <c r="L1045" s="293"/>
      <c r="M1045" s="293"/>
      <c r="N1045" s="293"/>
      <c r="P1045" s="42">
        <v>417400</v>
      </c>
      <c r="R1045" s="42">
        <v>417400</v>
      </c>
      <c r="T1045" s="284">
        <v>0</v>
      </c>
      <c r="U1045" s="284"/>
    </row>
    <row r="1046" spans="2:21" x14ac:dyDescent="0.25">
      <c r="B1046" s="292">
        <v>14</v>
      </c>
      <c r="C1046" s="292"/>
      <c r="D1046" s="292"/>
      <c r="F1046" s="283" t="s">
        <v>242</v>
      </c>
      <c r="G1046" s="283"/>
      <c r="J1046" s="293">
        <v>4</v>
      </c>
      <c r="K1046" s="293"/>
      <c r="L1046" s="293"/>
      <c r="M1046" s="293"/>
      <c r="N1046" s="293"/>
      <c r="P1046" s="42">
        <v>2000</v>
      </c>
      <c r="R1046" s="42">
        <v>2000</v>
      </c>
      <c r="T1046" s="284">
        <v>0</v>
      </c>
      <c r="U1046" s="284"/>
    </row>
    <row r="1047" spans="2:21" x14ac:dyDescent="0.25">
      <c r="B1047" s="292">
        <v>15</v>
      </c>
      <c r="C1047" s="292"/>
      <c r="D1047" s="292"/>
      <c r="F1047" s="283" t="s">
        <v>76</v>
      </c>
      <c r="G1047" s="283"/>
      <c r="J1047" s="293">
        <v>3</v>
      </c>
      <c r="K1047" s="293"/>
      <c r="L1047" s="293"/>
      <c r="M1047" s="293"/>
      <c r="N1047" s="293"/>
      <c r="P1047" s="42">
        <v>1800</v>
      </c>
      <c r="R1047" s="42">
        <v>1800</v>
      </c>
      <c r="T1047" s="284">
        <v>0</v>
      </c>
      <c r="U1047" s="284"/>
    </row>
    <row r="1048" spans="2:21" x14ac:dyDescent="0.25">
      <c r="B1048" s="292">
        <v>16</v>
      </c>
      <c r="C1048" s="292"/>
      <c r="D1048" s="292"/>
      <c r="F1048" s="283" t="s">
        <v>156</v>
      </c>
      <c r="G1048" s="283"/>
      <c r="J1048" s="293">
        <v>4</v>
      </c>
      <c r="K1048" s="293"/>
      <c r="L1048" s="293"/>
      <c r="M1048" s="293"/>
      <c r="N1048" s="293"/>
      <c r="P1048" s="42">
        <v>760</v>
      </c>
      <c r="R1048" s="42">
        <v>260</v>
      </c>
      <c r="T1048" s="284">
        <v>500</v>
      </c>
      <c r="U1048" s="284"/>
    </row>
    <row r="1049" spans="2:21" x14ac:dyDescent="0.25">
      <c r="B1049" s="292">
        <v>17</v>
      </c>
      <c r="C1049" s="292"/>
      <c r="D1049" s="292"/>
      <c r="F1049" s="283" t="s">
        <v>155</v>
      </c>
      <c r="G1049" s="283"/>
      <c r="J1049" s="293">
        <v>34</v>
      </c>
      <c r="K1049" s="293"/>
      <c r="L1049" s="293"/>
      <c r="M1049" s="293"/>
      <c r="N1049" s="293"/>
      <c r="P1049" s="42">
        <v>8500</v>
      </c>
      <c r="R1049" s="42">
        <v>2670</v>
      </c>
      <c r="T1049" s="284">
        <v>5830</v>
      </c>
      <c r="U1049" s="284"/>
    </row>
    <row r="1050" spans="2:21" x14ac:dyDescent="0.25">
      <c r="B1050" s="292">
        <v>18</v>
      </c>
      <c r="C1050" s="292"/>
      <c r="D1050" s="292"/>
      <c r="F1050" s="283" t="s">
        <v>154</v>
      </c>
      <c r="G1050" s="283"/>
      <c r="J1050" s="293">
        <v>3</v>
      </c>
      <c r="K1050" s="293"/>
      <c r="L1050" s="293"/>
      <c r="M1050" s="293"/>
      <c r="N1050" s="293"/>
      <c r="P1050" s="42">
        <v>2670</v>
      </c>
      <c r="R1050" s="42">
        <v>390</v>
      </c>
      <c r="T1050" s="284">
        <v>2280</v>
      </c>
      <c r="U1050" s="284"/>
    </row>
    <row r="1051" spans="2:21" x14ac:dyDescent="0.25">
      <c r="B1051" s="292">
        <v>19</v>
      </c>
      <c r="C1051" s="292"/>
      <c r="D1051" s="292"/>
      <c r="F1051" s="283" t="s">
        <v>153</v>
      </c>
      <c r="G1051" s="283"/>
      <c r="J1051" s="293">
        <v>1</v>
      </c>
      <c r="K1051" s="293"/>
      <c r="L1051" s="293"/>
      <c r="M1051" s="293"/>
      <c r="N1051" s="293"/>
      <c r="P1051" s="42">
        <v>1180</v>
      </c>
      <c r="R1051" s="42">
        <v>180</v>
      </c>
      <c r="T1051" s="284">
        <v>1000</v>
      </c>
      <c r="U1051" s="284"/>
    </row>
    <row r="1052" spans="2:21" x14ac:dyDescent="0.25">
      <c r="B1052" s="292">
        <v>20</v>
      </c>
      <c r="C1052" s="292"/>
      <c r="D1052" s="292"/>
      <c r="F1052" s="283" t="s">
        <v>338</v>
      </c>
      <c r="G1052" s="283"/>
      <c r="J1052" s="293">
        <v>1</v>
      </c>
      <c r="K1052" s="293"/>
      <c r="L1052" s="293"/>
      <c r="M1052" s="293"/>
      <c r="N1052" s="293"/>
      <c r="P1052" s="42">
        <v>290</v>
      </c>
      <c r="R1052" s="42">
        <v>80</v>
      </c>
      <c r="T1052" s="284">
        <v>210</v>
      </c>
      <c r="U1052" s="284"/>
    </row>
    <row r="1053" spans="2:21" x14ac:dyDescent="0.25">
      <c r="B1053" s="292">
        <v>21</v>
      </c>
      <c r="C1053" s="292"/>
      <c r="D1053" s="292"/>
      <c r="F1053" s="283" t="s">
        <v>265</v>
      </c>
      <c r="G1053" s="283"/>
      <c r="J1053" s="293">
        <v>1</v>
      </c>
      <c r="K1053" s="293"/>
      <c r="L1053" s="293"/>
      <c r="M1053" s="293"/>
      <c r="N1053" s="293"/>
      <c r="P1053" s="42">
        <v>300</v>
      </c>
      <c r="R1053" s="42">
        <v>0</v>
      </c>
      <c r="T1053" s="284">
        <v>300</v>
      </c>
      <c r="U1053" s="284"/>
    </row>
    <row r="1054" spans="2:21" x14ac:dyDescent="0.25">
      <c r="B1054" s="292">
        <v>22</v>
      </c>
      <c r="C1054" s="292"/>
      <c r="D1054" s="292"/>
      <c r="F1054" s="283" t="s">
        <v>320</v>
      </c>
      <c r="G1054" s="283"/>
      <c r="J1054" s="293">
        <v>1</v>
      </c>
      <c r="K1054" s="293"/>
      <c r="L1054" s="293"/>
      <c r="M1054" s="293"/>
      <c r="N1054" s="293"/>
      <c r="P1054" s="42">
        <v>500</v>
      </c>
      <c r="R1054" s="42">
        <v>150</v>
      </c>
      <c r="T1054" s="284">
        <v>350</v>
      </c>
      <c r="U1054" s="284"/>
    </row>
    <row r="1055" spans="2:21" x14ac:dyDescent="0.25">
      <c r="B1055" s="292">
        <v>23</v>
      </c>
      <c r="C1055" s="292"/>
      <c r="D1055" s="292"/>
      <c r="F1055" s="283" t="s">
        <v>152</v>
      </c>
      <c r="G1055" s="283"/>
      <c r="J1055" s="293">
        <v>11</v>
      </c>
      <c r="K1055" s="293"/>
      <c r="L1055" s="293"/>
      <c r="M1055" s="293"/>
      <c r="N1055" s="293"/>
      <c r="P1055" s="42">
        <v>6490</v>
      </c>
      <c r="R1055" s="42">
        <v>1800</v>
      </c>
      <c r="T1055" s="284">
        <v>4690</v>
      </c>
      <c r="U1055" s="284"/>
    </row>
    <row r="1056" spans="2:21" x14ac:dyDescent="0.25">
      <c r="B1056" s="292">
        <v>24</v>
      </c>
      <c r="C1056" s="292"/>
      <c r="D1056" s="292"/>
      <c r="F1056" s="283" t="s">
        <v>151</v>
      </c>
      <c r="G1056" s="283"/>
      <c r="J1056" s="293">
        <v>17</v>
      </c>
      <c r="K1056" s="293"/>
      <c r="L1056" s="293"/>
      <c r="M1056" s="293"/>
      <c r="N1056" s="293"/>
      <c r="P1056" s="42">
        <v>3910</v>
      </c>
      <c r="R1056" s="42">
        <v>1280</v>
      </c>
      <c r="T1056" s="284">
        <v>2630</v>
      </c>
      <c r="U1056" s="284"/>
    </row>
    <row r="1057" spans="2:21" x14ac:dyDescent="0.25">
      <c r="B1057" s="292">
        <v>25</v>
      </c>
      <c r="C1057" s="292"/>
      <c r="D1057" s="292"/>
      <c r="F1057" s="283" t="s">
        <v>150</v>
      </c>
      <c r="G1057" s="283"/>
      <c r="J1057" s="293">
        <v>21</v>
      </c>
      <c r="K1057" s="293"/>
      <c r="L1057" s="293"/>
      <c r="M1057" s="293"/>
      <c r="N1057" s="293"/>
      <c r="P1057" s="42">
        <v>3570</v>
      </c>
      <c r="R1057" s="42">
        <v>900</v>
      </c>
      <c r="T1057" s="284">
        <v>2670</v>
      </c>
      <c r="U1057" s="284"/>
    </row>
    <row r="1058" spans="2:21" x14ac:dyDescent="0.25">
      <c r="B1058" s="292">
        <v>26</v>
      </c>
      <c r="C1058" s="292"/>
      <c r="D1058" s="292"/>
      <c r="F1058" s="283" t="s">
        <v>148</v>
      </c>
      <c r="G1058" s="283"/>
      <c r="J1058" s="293">
        <v>5</v>
      </c>
      <c r="K1058" s="293"/>
      <c r="L1058" s="293"/>
      <c r="M1058" s="293"/>
      <c r="N1058" s="293"/>
      <c r="P1058" s="42">
        <v>4900</v>
      </c>
      <c r="R1058" s="42">
        <v>750</v>
      </c>
      <c r="T1058" s="284">
        <v>4150</v>
      </c>
      <c r="U1058" s="284"/>
    </row>
    <row r="1059" spans="2:21" x14ac:dyDescent="0.25">
      <c r="B1059" s="292">
        <v>27</v>
      </c>
      <c r="C1059" s="292"/>
      <c r="D1059" s="292"/>
      <c r="F1059" s="283" t="s">
        <v>441</v>
      </c>
      <c r="G1059" s="283"/>
      <c r="J1059" s="293">
        <v>1</v>
      </c>
      <c r="K1059" s="293"/>
      <c r="L1059" s="293"/>
      <c r="M1059" s="293"/>
      <c r="N1059" s="293"/>
      <c r="P1059" s="42">
        <v>990</v>
      </c>
      <c r="R1059" s="42">
        <v>300</v>
      </c>
      <c r="T1059" s="284">
        <v>690</v>
      </c>
      <c r="U1059" s="284"/>
    </row>
    <row r="1060" spans="2:21" x14ac:dyDescent="0.25">
      <c r="B1060" s="292">
        <v>28</v>
      </c>
      <c r="C1060" s="292"/>
      <c r="D1060" s="292"/>
      <c r="F1060" s="283" t="s">
        <v>233</v>
      </c>
      <c r="G1060" s="283"/>
      <c r="J1060" s="293">
        <v>1</v>
      </c>
      <c r="K1060" s="293"/>
      <c r="L1060" s="293"/>
      <c r="M1060" s="293"/>
      <c r="N1060" s="293"/>
      <c r="P1060" s="42">
        <v>980</v>
      </c>
      <c r="R1060" s="42">
        <v>150</v>
      </c>
      <c r="T1060" s="284">
        <v>830</v>
      </c>
      <c r="U1060" s="284"/>
    </row>
    <row r="1061" spans="2:21" x14ac:dyDescent="0.25">
      <c r="B1061" s="292">
        <v>29</v>
      </c>
      <c r="C1061" s="292"/>
      <c r="D1061" s="292"/>
      <c r="F1061" s="283" t="s">
        <v>232</v>
      </c>
      <c r="G1061" s="283"/>
      <c r="J1061" s="293">
        <v>1</v>
      </c>
      <c r="K1061" s="293"/>
      <c r="L1061" s="293"/>
      <c r="M1061" s="293"/>
      <c r="N1061" s="293"/>
      <c r="P1061" s="42">
        <v>980</v>
      </c>
      <c r="R1061" s="42">
        <v>150</v>
      </c>
      <c r="T1061" s="284">
        <v>830</v>
      </c>
      <c r="U1061" s="284"/>
    </row>
    <row r="1062" spans="2:21" x14ac:dyDescent="0.25">
      <c r="B1062" s="292">
        <v>30</v>
      </c>
      <c r="C1062" s="292"/>
      <c r="D1062" s="292"/>
      <c r="F1062" s="283" t="s">
        <v>193</v>
      </c>
      <c r="G1062" s="283"/>
      <c r="J1062" s="293">
        <v>4</v>
      </c>
      <c r="K1062" s="293"/>
      <c r="L1062" s="293"/>
      <c r="M1062" s="293"/>
      <c r="N1062" s="293"/>
      <c r="P1062" s="42">
        <v>3560</v>
      </c>
      <c r="R1062" s="42">
        <v>520</v>
      </c>
      <c r="T1062" s="284">
        <v>3040</v>
      </c>
      <c r="U1062" s="284"/>
    </row>
    <row r="1063" spans="2:21" x14ac:dyDescent="0.25">
      <c r="B1063" s="292">
        <v>31</v>
      </c>
      <c r="C1063" s="292"/>
      <c r="D1063" s="292"/>
      <c r="F1063" s="283" t="s">
        <v>75</v>
      </c>
      <c r="G1063" s="283"/>
      <c r="J1063" s="293">
        <v>1187</v>
      </c>
      <c r="K1063" s="293"/>
      <c r="L1063" s="293"/>
      <c r="M1063" s="293"/>
      <c r="N1063" s="293"/>
      <c r="P1063" s="42">
        <v>2967500</v>
      </c>
      <c r="R1063" s="42">
        <v>2967500</v>
      </c>
      <c r="T1063" s="284">
        <v>0</v>
      </c>
      <c r="U1063" s="284"/>
    </row>
    <row r="1064" spans="2:21" x14ac:dyDescent="0.25">
      <c r="B1064" s="292">
        <v>32</v>
      </c>
      <c r="C1064" s="292"/>
      <c r="D1064" s="292"/>
      <c r="F1064" s="283" t="s">
        <v>139</v>
      </c>
      <c r="G1064" s="283"/>
      <c r="J1064" s="293">
        <v>1</v>
      </c>
      <c r="K1064" s="293"/>
      <c r="L1064" s="293"/>
      <c r="M1064" s="293"/>
      <c r="N1064" s="293"/>
      <c r="P1064" s="42">
        <v>270</v>
      </c>
      <c r="R1064" s="42">
        <v>80</v>
      </c>
      <c r="T1064" s="284">
        <v>190</v>
      </c>
      <c r="U1064" s="284"/>
    </row>
    <row r="1065" spans="2:21" x14ac:dyDescent="0.25">
      <c r="B1065" s="292">
        <v>33</v>
      </c>
      <c r="C1065" s="292"/>
      <c r="D1065" s="292"/>
      <c r="F1065" s="283" t="s">
        <v>192</v>
      </c>
      <c r="G1065" s="283"/>
      <c r="J1065" s="293">
        <v>4</v>
      </c>
      <c r="K1065" s="293"/>
      <c r="L1065" s="293"/>
      <c r="M1065" s="293"/>
      <c r="N1065" s="293"/>
      <c r="P1065" s="42">
        <v>6200</v>
      </c>
      <c r="R1065" s="42">
        <v>0</v>
      </c>
      <c r="T1065" s="284">
        <v>6200</v>
      </c>
      <c r="U1065" s="284"/>
    </row>
    <row r="1066" spans="2:21" x14ac:dyDescent="0.25">
      <c r="B1066" s="292">
        <v>34</v>
      </c>
      <c r="C1066" s="292"/>
      <c r="D1066" s="292"/>
      <c r="F1066" s="283" t="s">
        <v>136</v>
      </c>
      <c r="G1066" s="283"/>
      <c r="J1066" s="293">
        <v>27</v>
      </c>
      <c r="K1066" s="293"/>
      <c r="L1066" s="293"/>
      <c r="M1066" s="293"/>
      <c r="N1066" s="293"/>
      <c r="P1066" s="42">
        <v>22950</v>
      </c>
      <c r="R1066" s="42">
        <v>5200</v>
      </c>
      <c r="T1066" s="284">
        <v>17750</v>
      </c>
      <c r="U1066" s="284"/>
    </row>
    <row r="1067" spans="2:21" x14ac:dyDescent="0.25">
      <c r="B1067" s="292">
        <v>35</v>
      </c>
      <c r="C1067" s="292"/>
      <c r="D1067" s="292"/>
      <c r="F1067" s="283" t="s">
        <v>74</v>
      </c>
      <c r="G1067" s="283"/>
      <c r="J1067" s="293">
        <v>32</v>
      </c>
      <c r="K1067" s="293"/>
      <c r="L1067" s="293"/>
      <c r="M1067" s="293"/>
      <c r="N1067" s="293"/>
      <c r="P1067" s="42">
        <v>27200</v>
      </c>
      <c r="R1067" s="42">
        <v>27200</v>
      </c>
      <c r="T1067" s="284">
        <v>0</v>
      </c>
      <c r="U1067" s="284"/>
    </row>
    <row r="1068" spans="2:21" x14ac:dyDescent="0.25">
      <c r="B1068" s="292">
        <v>36</v>
      </c>
      <c r="C1068" s="292"/>
      <c r="D1068" s="292"/>
      <c r="F1068" s="283" t="s">
        <v>190</v>
      </c>
      <c r="G1068" s="283"/>
      <c r="J1068" s="293">
        <v>18</v>
      </c>
      <c r="K1068" s="293"/>
      <c r="L1068" s="293"/>
      <c r="M1068" s="293"/>
      <c r="N1068" s="293"/>
      <c r="P1068" s="42">
        <v>28260</v>
      </c>
      <c r="R1068" s="42">
        <v>4320</v>
      </c>
      <c r="T1068" s="284">
        <v>23940</v>
      </c>
      <c r="U1068" s="284"/>
    </row>
    <row r="1069" spans="2:21" x14ac:dyDescent="0.25">
      <c r="B1069" s="292">
        <v>37</v>
      </c>
      <c r="C1069" s="292"/>
      <c r="D1069" s="292"/>
      <c r="F1069" s="283" t="s">
        <v>135</v>
      </c>
      <c r="G1069" s="283"/>
      <c r="J1069" s="293">
        <v>3</v>
      </c>
      <c r="K1069" s="293"/>
      <c r="L1069" s="293"/>
      <c r="M1069" s="293"/>
      <c r="N1069" s="293"/>
      <c r="P1069" s="42">
        <v>2850</v>
      </c>
      <c r="R1069" s="42">
        <v>840</v>
      </c>
      <c r="T1069" s="284">
        <v>2010</v>
      </c>
      <c r="U1069" s="284"/>
    </row>
    <row r="1070" spans="2:21" x14ac:dyDescent="0.25">
      <c r="B1070" s="292">
        <v>38</v>
      </c>
      <c r="C1070" s="292"/>
      <c r="D1070" s="292"/>
      <c r="F1070" s="283" t="s">
        <v>132</v>
      </c>
      <c r="G1070" s="283"/>
      <c r="J1070" s="293">
        <v>4</v>
      </c>
      <c r="K1070" s="293"/>
      <c r="L1070" s="293"/>
      <c r="M1070" s="293"/>
      <c r="N1070" s="293"/>
      <c r="P1070" s="42">
        <v>4960</v>
      </c>
      <c r="R1070" s="42">
        <v>1480</v>
      </c>
      <c r="T1070" s="284">
        <v>3480</v>
      </c>
      <c r="U1070" s="284"/>
    </row>
    <row r="1071" spans="2:21" x14ac:dyDescent="0.25">
      <c r="B1071" s="292">
        <v>39</v>
      </c>
      <c r="C1071" s="292"/>
      <c r="D1071" s="292"/>
      <c r="F1071" s="283" t="s">
        <v>131</v>
      </c>
      <c r="G1071" s="283"/>
      <c r="J1071" s="293">
        <v>4</v>
      </c>
      <c r="K1071" s="293"/>
      <c r="L1071" s="293"/>
      <c r="M1071" s="293"/>
      <c r="N1071" s="293"/>
      <c r="P1071" s="42">
        <v>14800</v>
      </c>
      <c r="R1071" s="42">
        <v>3200</v>
      </c>
      <c r="T1071" s="284">
        <v>11600</v>
      </c>
      <c r="U1071" s="284"/>
    </row>
    <row r="1072" spans="2:21" x14ac:dyDescent="0.25">
      <c r="B1072" s="292">
        <v>40</v>
      </c>
      <c r="C1072" s="292"/>
      <c r="D1072" s="292"/>
      <c r="F1072" s="283" t="s">
        <v>130</v>
      </c>
      <c r="G1072" s="283"/>
      <c r="J1072" s="293">
        <v>5</v>
      </c>
      <c r="K1072" s="293"/>
      <c r="L1072" s="293"/>
      <c r="M1072" s="293"/>
      <c r="N1072" s="293"/>
      <c r="P1072" s="42">
        <v>40000</v>
      </c>
      <c r="R1072" s="42">
        <v>20500</v>
      </c>
      <c r="T1072" s="284">
        <v>19500</v>
      </c>
      <c r="U1072" s="284"/>
    </row>
    <row r="1073" spans="2:21" x14ac:dyDescent="0.25">
      <c r="B1073" s="292">
        <v>41</v>
      </c>
      <c r="C1073" s="292"/>
      <c r="D1073" s="292"/>
      <c r="F1073" s="283" t="s">
        <v>228</v>
      </c>
      <c r="G1073" s="283"/>
      <c r="J1073" s="293">
        <v>2</v>
      </c>
      <c r="K1073" s="293"/>
      <c r="L1073" s="293"/>
      <c r="M1073" s="293"/>
      <c r="N1073" s="293"/>
      <c r="P1073" s="42">
        <v>1760</v>
      </c>
      <c r="R1073" s="42">
        <v>130</v>
      </c>
      <c r="T1073" s="284">
        <v>1630</v>
      </c>
      <c r="U1073" s="284"/>
    </row>
    <row r="1074" spans="2:21" x14ac:dyDescent="0.25">
      <c r="B1074" s="292">
        <v>42</v>
      </c>
      <c r="C1074" s="292"/>
      <c r="D1074" s="292"/>
      <c r="F1074" s="283" t="s">
        <v>127</v>
      </c>
      <c r="G1074" s="283"/>
      <c r="J1074" s="293">
        <v>15</v>
      </c>
      <c r="K1074" s="293"/>
      <c r="L1074" s="293"/>
      <c r="M1074" s="293"/>
      <c r="N1074" s="293"/>
      <c r="P1074" s="42">
        <v>4500</v>
      </c>
      <c r="R1074" s="42">
        <v>1547</v>
      </c>
      <c r="T1074" s="284">
        <v>2953</v>
      </c>
      <c r="U1074" s="284"/>
    </row>
    <row r="1075" spans="2:21" x14ac:dyDescent="0.25">
      <c r="B1075" s="292">
        <v>43</v>
      </c>
      <c r="C1075" s="292"/>
      <c r="D1075" s="292"/>
      <c r="F1075" s="283" t="s">
        <v>126</v>
      </c>
      <c r="G1075" s="283"/>
      <c r="J1075" s="293">
        <v>16</v>
      </c>
      <c r="K1075" s="293"/>
      <c r="L1075" s="293"/>
      <c r="M1075" s="293"/>
      <c r="N1075" s="293"/>
      <c r="P1075" s="42">
        <v>3200</v>
      </c>
      <c r="R1075" s="42">
        <v>1089</v>
      </c>
      <c r="T1075" s="284">
        <v>2111</v>
      </c>
      <c r="U1075" s="284"/>
    </row>
    <row r="1076" spans="2:21" x14ac:dyDescent="0.25">
      <c r="B1076" s="292">
        <v>44</v>
      </c>
      <c r="C1076" s="292"/>
      <c r="D1076" s="292"/>
      <c r="F1076" s="283" t="s">
        <v>125</v>
      </c>
      <c r="G1076" s="283"/>
      <c r="J1076" s="293">
        <v>10</v>
      </c>
      <c r="K1076" s="293"/>
      <c r="L1076" s="293"/>
      <c r="M1076" s="293"/>
      <c r="N1076" s="293"/>
      <c r="P1076" s="42">
        <v>4000</v>
      </c>
      <c r="R1076" s="42">
        <v>1080</v>
      </c>
      <c r="T1076" s="284">
        <v>2920</v>
      </c>
      <c r="U1076" s="284"/>
    </row>
    <row r="1077" spans="2:21" x14ac:dyDescent="0.25">
      <c r="B1077" s="292">
        <v>45</v>
      </c>
      <c r="C1077" s="292"/>
      <c r="D1077" s="292"/>
      <c r="F1077" s="283" t="s">
        <v>124</v>
      </c>
      <c r="G1077" s="283"/>
      <c r="J1077" s="293">
        <v>8</v>
      </c>
      <c r="K1077" s="293"/>
      <c r="L1077" s="293"/>
      <c r="M1077" s="293"/>
      <c r="N1077" s="293"/>
      <c r="P1077" s="42">
        <v>3580</v>
      </c>
      <c r="R1077" s="42">
        <v>1070</v>
      </c>
      <c r="T1077" s="284">
        <v>2510</v>
      </c>
      <c r="U1077" s="284"/>
    </row>
    <row r="1078" spans="2:21" x14ac:dyDescent="0.25">
      <c r="B1078" s="292">
        <v>46</v>
      </c>
      <c r="C1078" s="292"/>
      <c r="D1078" s="292"/>
      <c r="F1078" s="283" t="s">
        <v>184</v>
      </c>
      <c r="G1078" s="283"/>
      <c r="J1078" s="293">
        <v>1</v>
      </c>
      <c r="K1078" s="293"/>
      <c r="L1078" s="293"/>
      <c r="M1078" s="293"/>
      <c r="N1078" s="293"/>
      <c r="P1078" s="42">
        <v>1080</v>
      </c>
      <c r="R1078" s="42">
        <v>160</v>
      </c>
      <c r="T1078" s="284">
        <v>920</v>
      </c>
      <c r="U1078" s="284"/>
    </row>
    <row r="1079" spans="2:21" x14ac:dyDescent="0.25">
      <c r="B1079" s="292">
        <v>47</v>
      </c>
      <c r="C1079" s="292"/>
      <c r="D1079" s="292"/>
      <c r="F1079" s="283" t="s">
        <v>183</v>
      </c>
      <c r="G1079" s="283"/>
      <c r="J1079" s="293">
        <v>5</v>
      </c>
      <c r="K1079" s="293"/>
      <c r="L1079" s="293"/>
      <c r="M1079" s="293"/>
      <c r="N1079" s="293"/>
      <c r="P1079" s="42">
        <v>2200</v>
      </c>
      <c r="R1079" s="42">
        <v>650</v>
      </c>
      <c r="T1079" s="284">
        <v>1550</v>
      </c>
      <c r="U1079" s="284"/>
    </row>
    <row r="1080" spans="2:21" x14ac:dyDescent="0.25">
      <c r="B1080" s="292">
        <v>48</v>
      </c>
      <c r="C1080" s="292"/>
      <c r="D1080" s="292"/>
      <c r="F1080" s="283" t="s">
        <v>122</v>
      </c>
      <c r="G1080" s="283"/>
      <c r="J1080" s="293">
        <v>2</v>
      </c>
      <c r="K1080" s="293"/>
      <c r="L1080" s="293"/>
      <c r="M1080" s="293"/>
      <c r="N1080" s="293"/>
      <c r="P1080" s="42">
        <v>1400</v>
      </c>
      <c r="R1080" s="42">
        <v>420</v>
      </c>
      <c r="T1080" s="284">
        <v>980</v>
      </c>
      <c r="U1080" s="284"/>
    </row>
    <row r="1081" spans="2:21" x14ac:dyDescent="0.25">
      <c r="B1081" s="292">
        <v>49</v>
      </c>
      <c r="C1081" s="292"/>
      <c r="D1081" s="292"/>
      <c r="F1081" s="283" t="s">
        <v>182</v>
      </c>
      <c r="G1081" s="283"/>
      <c r="J1081" s="293">
        <v>4</v>
      </c>
      <c r="K1081" s="293"/>
      <c r="L1081" s="293"/>
      <c r="M1081" s="293"/>
      <c r="N1081" s="293"/>
      <c r="P1081" s="42">
        <v>3160</v>
      </c>
      <c r="R1081" s="42">
        <v>480</v>
      </c>
      <c r="T1081" s="284">
        <v>2680</v>
      </c>
      <c r="U1081" s="284"/>
    </row>
    <row r="1082" spans="2:21" x14ac:dyDescent="0.25">
      <c r="B1082" s="292">
        <v>50</v>
      </c>
      <c r="C1082" s="292"/>
      <c r="D1082" s="292"/>
      <c r="F1082" s="283" t="s">
        <v>119</v>
      </c>
      <c r="G1082" s="283"/>
      <c r="J1082" s="293">
        <v>32</v>
      </c>
      <c r="K1082" s="293"/>
      <c r="L1082" s="293"/>
      <c r="M1082" s="293"/>
      <c r="N1082" s="293"/>
      <c r="P1082" s="42">
        <v>28480</v>
      </c>
      <c r="R1082" s="42">
        <v>9120</v>
      </c>
      <c r="T1082" s="284">
        <v>19360</v>
      </c>
      <c r="U1082" s="284"/>
    </row>
    <row r="1083" spans="2:21" x14ac:dyDescent="0.25">
      <c r="B1083" s="292">
        <v>51</v>
      </c>
      <c r="C1083" s="292"/>
      <c r="D1083" s="292"/>
      <c r="F1083" s="283" t="s">
        <v>118</v>
      </c>
      <c r="G1083" s="283"/>
      <c r="J1083" s="293">
        <v>47</v>
      </c>
      <c r="K1083" s="293"/>
      <c r="L1083" s="293"/>
      <c r="M1083" s="293"/>
      <c r="N1083" s="293"/>
      <c r="P1083" s="42">
        <v>46530</v>
      </c>
      <c r="R1083" s="42">
        <v>14920</v>
      </c>
      <c r="T1083" s="284">
        <v>31610</v>
      </c>
      <c r="U1083" s="284"/>
    </row>
    <row r="1084" spans="2:21" x14ac:dyDescent="0.25">
      <c r="B1084" s="292">
        <v>52</v>
      </c>
      <c r="C1084" s="292"/>
      <c r="D1084" s="292"/>
      <c r="F1084" s="283" t="s">
        <v>115</v>
      </c>
      <c r="G1084" s="283"/>
      <c r="J1084" s="293">
        <v>12</v>
      </c>
      <c r="K1084" s="293"/>
      <c r="L1084" s="293"/>
      <c r="M1084" s="293"/>
      <c r="N1084" s="293"/>
      <c r="P1084" s="42">
        <v>3480</v>
      </c>
      <c r="R1084" s="42">
        <v>970</v>
      </c>
      <c r="T1084" s="284">
        <v>2510</v>
      </c>
      <c r="U1084" s="284"/>
    </row>
    <row r="1085" spans="2:21" x14ac:dyDescent="0.25">
      <c r="B1085" s="292">
        <v>53</v>
      </c>
      <c r="C1085" s="292"/>
      <c r="D1085" s="292"/>
      <c r="F1085" s="283" t="s">
        <v>440</v>
      </c>
      <c r="G1085" s="283"/>
      <c r="J1085" s="293">
        <v>6</v>
      </c>
      <c r="K1085" s="293"/>
      <c r="L1085" s="293"/>
      <c r="M1085" s="293"/>
      <c r="N1085" s="293"/>
      <c r="P1085" s="42">
        <v>540</v>
      </c>
      <c r="R1085" s="42">
        <v>0</v>
      </c>
      <c r="T1085" s="284">
        <v>540</v>
      </c>
      <c r="U1085" s="284"/>
    </row>
    <row r="1086" spans="2:21" x14ac:dyDescent="0.25">
      <c r="B1086" s="292">
        <v>54</v>
      </c>
      <c r="C1086" s="292"/>
      <c r="D1086" s="292"/>
      <c r="F1086" s="283" t="s">
        <v>439</v>
      </c>
      <c r="G1086" s="283"/>
      <c r="J1086" s="293">
        <v>2</v>
      </c>
      <c r="K1086" s="293"/>
      <c r="L1086" s="293"/>
      <c r="M1086" s="293"/>
      <c r="N1086" s="293"/>
      <c r="P1086" s="42">
        <v>180</v>
      </c>
      <c r="R1086" s="42">
        <v>0</v>
      </c>
      <c r="T1086" s="284">
        <v>180</v>
      </c>
      <c r="U1086" s="284"/>
    </row>
    <row r="1087" spans="2:21" x14ac:dyDescent="0.25">
      <c r="B1087" s="292">
        <v>55</v>
      </c>
      <c r="C1087" s="292"/>
      <c r="D1087" s="292"/>
      <c r="F1087" s="283" t="s">
        <v>278</v>
      </c>
      <c r="G1087" s="283"/>
      <c r="J1087" s="293">
        <v>1</v>
      </c>
      <c r="K1087" s="293"/>
      <c r="L1087" s="293"/>
      <c r="M1087" s="293"/>
      <c r="N1087" s="293"/>
      <c r="P1087" s="42">
        <v>330</v>
      </c>
      <c r="R1087" s="42">
        <v>100</v>
      </c>
      <c r="T1087" s="284">
        <v>230</v>
      </c>
      <c r="U1087" s="284"/>
    </row>
    <row r="1088" spans="2:21" x14ac:dyDescent="0.25">
      <c r="B1088" s="292">
        <v>56</v>
      </c>
      <c r="C1088" s="292"/>
      <c r="D1088" s="292"/>
      <c r="F1088" s="283" t="s">
        <v>300</v>
      </c>
      <c r="G1088" s="283"/>
      <c r="J1088" s="293">
        <v>1</v>
      </c>
      <c r="K1088" s="293"/>
      <c r="L1088" s="293"/>
      <c r="M1088" s="293"/>
      <c r="N1088" s="293"/>
      <c r="P1088" s="42">
        <v>330</v>
      </c>
      <c r="R1088" s="42">
        <v>140</v>
      </c>
      <c r="T1088" s="284">
        <v>190</v>
      </c>
      <c r="U1088" s="284"/>
    </row>
    <row r="1089" spans="2:21" x14ac:dyDescent="0.25">
      <c r="B1089" s="292">
        <v>57</v>
      </c>
      <c r="C1089" s="292"/>
      <c r="D1089" s="292"/>
      <c r="F1089" s="283" t="s">
        <v>181</v>
      </c>
      <c r="G1089" s="283"/>
      <c r="J1089" s="293">
        <v>4</v>
      </c>
      <c r="K1089" s="293"/>
      <c r="L1089" s="293"/>
      <c r="M1089" s="293"/>
      <c r="N1089" s="293"/>
      <c r="P1089" s="42">
        <v>3160</v>
      </c>
      <c r="R1089" s="42">
        <v>480</v>
      </c>
      <c r="T1089" s="284">
        <v>2680</v>
      </c>
      <c r="U1089" s="284"/>
    </row>
    <row r="1090" spans="2:21" x14ac:dyDescent="0.25">
      <c r="B1090" s="292">
        <v>58</v>
      </c>
      <c r="C1090" s="292"/>
      <c r="D1090" s="292"/>
      <c r="F1090" s="283" t="s">
        <v>171</v>
      </c>
      <c r="G1090" s="283"/>
      <c r="J1090" s="293">
        <v>1</v>
      </c>
      <c r="K1090" s="293"/>
      <c r="L1090" s="293"/>
      <c r="M1090" s="293"/>
      <c r="N1090" s="293"/>
      <c r="P1090" s="42">
        <v>530</v>
      </c>
      <c r="R1090" s="42">
        <v>160</v>
      </c>
      <c r="T1090" s="284">
        <v>370</v>
      </c>
      <c r="U1090" s="284"/>
    </row>
    <row r="1091" spans="2:21" x14ac:dyDescent="0.25">
      <c r="B1091" s="292">
        <v>59</v>
      </c>
      <c r="C1091" s="292"/>
      <c r="D1091" s="292"/>
      <c r="F1091" s="283" t="s">
        <v>111</v>
      </c>
      <c r="G1091" s="283"/>
      <c r="J1091" s="293">
        <v>1</v>
      </c>
      <c r="K1091" s="293"/>
      <c r="L1091" s="293"/>
      <c r="M1091" s="293"/>
      <c r="N1091" s="293"/>
      <c r="P1091" s="42">
        <v>430</v>
      </c>
      <c r="R1091" s="42">
        <v>130</v>
      </c>
      <c r="T1091" s="284">
        <v>300</v>
      </c>
      <c r="U1091" s="284"/>
    </row>
    <row r="1092" spans="2:21" x14ac:dyDescent="0.25">
      <c r="B1092" s="292">
        <v>60</v>
      </c>
      <c r="C1092" s="292"/>
      <c r="D1092" s="292"/>
      <c r="F1092" s="283" t="s">
        <v>109</v>
      </c>
      <c r="G1092" s="283"/>
      <c r="J1092" s="293">
        <v>4</v>
      </c>
      <c r="K1092" s="293"/>
      <c r="L1092" s="293"/>
      <c r="M1092" s="293"/>
      <c r="N1092" s="293"/>
      <c r="P1092" s="42">
        <v>3120</v>
      </c>
      <c r="R1092" s="42">
        <v>920</v>
      </c>
      <c r="T1092" s="284">
        <v>2200</v>
      </c>
      <c r="U1092" s="284"/>
    </row>
    <row r="1093" spans="2:21" x14ac:dyDescent="0.25">
      <c r="B1093" s="292">
        <v>61</v>
      </c>
      <c r="C1093" s="292"/>
      <c r="D1093" s="292"/>
      <c r="F1093" s="283" t="s">
        <v>108</v>
      </c>
      <c r="G1093" s="283"/>
      <c r="J1093" s="293">
        <v>255</v>
      </c>
      <c r="K1093" s="293"/>
      <c r="L1093" s="293"/>
      <c r="M1093" s="293"/>
      <c r="N1093" s="293"/>
      <c r="P1093" s="42">
        <v>25500</v>
      </c>
      <c r="R1093" s="42">
        <v>450</v>
      </c>
      <c r="T1093" s="284">
        <v>25050</v>
      </c>
      <c r="U1093" s="284"/>
    </row>
    <row r="1094" spans="2:21" x14ac:dyDescent="0.25">
      <c r="B1094" s="292">
        <v>62</v>
      </c>
      <c r="C1094" s="292"/>
      <c r="D1094" s="292"/>
      <c r="F1094" s="283" t="s">
        <v>107</v>
      </c>
      <c r="G1094" s="283"/>
      <c r="J1094" s="293">
        <v>25</v>
      </c>
      <c r="K1094" s="293"/>
      <c r="L1094" s="293"/>
      <c r="M1094" s="293"/>
      <c r="N1094" s="293"/>
      <c r="P1094" s="42">
        <v>4250</v>
      </c>
      <c r="R1094" s="42">
        <v>1318</v>
      </c>
      <c r="T1094" s="284">
        <v>2932</v>
      </c>
      <c r="U1094" s="284"/>
    </row>
    <row r="1095" spans="2:21" x14ac:dyDescent="0.25">
      <c r="B1095" s="292">
        <v>63</v>
      </c>
      <c r="C1095" s="292"/>
      <c r="D1095" s="292"/>
      <c r="F1095" s="283" t="s">
        <v>106</v>
      </c>
      <c r="G1095" s="283"/>
      <c r="J1095" s="293">
        <v>134</v>
      </c>
      <c r="K1095" s="293"/>
      <c r="L1095" s="293"/>
      <c r="M1095" s="293"/>
      <c r="N1095" s="293"/>
      <c r="P1095" s="42">
        <v>13400</v>
      </c>
      <c r="R1095" s="42">
        <v>3000</v>
      </c>
      <c r="T1095" s="284">
        <v>10400</v>
      </c>
      <c r="U1095" s="284"/>
    </row>
    <row r="1096" spans="2:21" x14ac:dyDescent="0.25">
      <c r="B1096" s="292">
        <v>64</v>
      </c>
      <c r="C1096" s="292"/>
      <c r="D1096" s="292"/>
      <c r="F1096" s="283" t="s">
        <v>216</v>
      </c>
      <c r="G1096" s="283"/>
      <c r="J1096" s="293">
        <v>2</v>
      </c>
      <c r="K1096" s="293"/>
      <c r="L1096" s="293"/>
      <c r="M1096" s="293"/>
      <c r="N1096" s="293"/>
      <c r="P1096" s="42">
        <v>2160</v>
      </c>
      <c r="R1096" s="42">
        <v>165</v>
      </c>
      <c r="T1096" s="284">
        <v>1995</v>
      </c>
      <c r="U1096" s="284"/>
    </row>
    <row r="1097" spans="2:21" x14ac:dyDescent="0.25">
      <c r="B1097" s="292">
        <v>65</v>
      </c>
      <c r="C1097" s="292"/>
      <c r="D1097" s="292"/>
      <c r="F1097" s="283" t="s">
        <v>105</v>
      </c>
      <c r="G1097" s="283"/>
      <c r="J1097" s="293">
        <v>8</v>
      </c>
      <c r="K1097" s="293"/>
      <c r="L1097" s="293"/>
      <c r="M1097" s="293"/>
      <c r="N1097" s="293"/>
      <c r="P1097" s="42">
        <v>9200</v>
      </c>
      <c r="R1097" s="42">
        <v>0</v>
      </c>
      <c r="T1097" s="284">
        <v>9200</v>
      </c>
      <c r="U1097" s="284"/>
    </row>
    <row r="1098" spans="2:21" x14ac:dyDescent="0.25">
      <c r="B1098" s="292">
        <v>66</v>
      </c>
      <c r="C1098" s="292"/>
      <c r="D1098" s="292"/>
      <c r="F1098" s="283" t="s">
        <v>103</v>
      </c>
      <c r="G1098" s="283"/>
      <c r="J1098" s="293">
        <v>3</v>
      </c>
      <c r="K1098" s="293"/>
      <c r="L1098" s="293"/>
      <c r="M1098" s="293"/>
      <c r="N1098" s="293"/>
      <c r="P1098" s="42">
        <v>990</v>
      </c>
      <c r="R1098" s="42">
        <v>340</v>
      </c>
      <c r="T1098" s="284">
        <v>650</v>
      </c>
      <c r="U1098" s="284"/>
    </row>
    <row r="1099" spans="2:21" x14ac:dyDescent="0.25">
      <c r="B1099" s="292">
        <v>67</v>
      </c>
      <c r="C1099" s="292"/>
      <c r="D1099" s="292"/>
      <c r="F1099" s="283" t="s">
        <v>102</v>
      </c>
      <c r="G1099" s="283"/>
      <c r="J1099" s="293">
        <v>8</v>
      </c>
      <c r="K1099" s="293"/>
      <c r="L1099" s="293"/>
      <c r="M1099" s="293"/>
      <c r="N1099" s="293"/>
      <c r="P1099" s="42">
        <v>7040</v>
      </c>
      <c r="R1099" s="42">
        <v>1040</v>
      </c>
      <c r="T1099" s="284">
        <v>6000</v>
      </c>
      <c r="U1099" s="284"/>
    </row>
    <row r="1100" spans="2:21" x14ac:dyDescent="0.25">
      <c r="B1100" s="292">
        <v>68</v>
      </c>
      <c r="C1100" s="292"/>
      <c r="D1100" s="292"/>
      <c r="F1100" s="283" t="s">
        <v>101</v>
      </c>
      <c r="G1100" s="283"/>
      <c r="J1100" s="293">
        <v>2</v>
      </c>
      <c r="K1100" s="293"/>
      <c r="L1100" s="293"/>
      <c r="M1100" s="293"/>
      <c r="N1100" s="293"/>
      <c r="P1100" s="42">
        <v>920</v>
      </c>
      <c r="R1100" s="42">
        <v>280</v>
      </c>
      <c r="T1100" s="284">
        <v>640</v>
      </c>
      <c r="U1100" s="284"/>
    </row>
    <row r="1101" spans="2:21" x14ac:dyDescent="0.25">
      <c r="B1101" s="292">
        <v>69</v>
      </c>
      <c r="C1101" s="292"/>
      <c r="D1101" s="292"/>
      <c r="F1101" s="283" t="s">
        <v>100</v>
      </c>
      <c r="G1101" s="283"/>
      <c r="J1101" s="293">
        <v>3</v>
      </c>
      <c r="K1101" s="293"/>
      <c r="L1101" s="293"/>
      <c r="M1101" s="293"/>
      <c r="N1101" s="293"/>
      <c r="P1101" s="42">
        <v>540</v>
      </c>
      <c r="R1101" s="42">
        <v>150</v>
      </c>
      <c r="T1101" s="284">
        <v>390</v>
      </c>
      <c r="U1101" s="284"/>
    </row>
    <row r="1102" spans="2:21" x14ac:dyDescent="0.25">
      <c r="B1102" s="292">
        <v>70</v>
      </c>
      <c r="C1102" s="292"/>
      <c r="D1102" s="292"/>
      <c r="F1102" s="283" t="s">
        <v>97</v>
      </c>
      <c r="G1102" s="283"/>
      <c r="J1102" s="293">
        <v>6</v>
      </c>
      <c r="K1102" s="293"/>
      <c r="L1102" s="293"/>
      <c r="M1102" s="293"/>
      <c r="N1102" s="293"/>
      <c r="P1102" s="42">
        <v>9540</v>
      </c>
      <c r="R1102" s="42">
        <v>1440</v>
      </c>
      <c r="T1102" s="284">
        <v>8100</v>
      </c>
      <c r="U1102" s="284"/>
    </row>
    <row r="1103" spans="2:21" x14ac:dyDescent="0.25">
      <c r="B1103" s="292">
        <v>71</v>
      </c>
      <c r="C1103" s="292"/>
      <c r="D1103" s="292"/>
      <c r="F1103" s="283" t="s">
        <v>96</v>
      </c>
      <c r="G1103" s="283"/>
      <c r="J1103" s="293">
        <v>5</v>
      </c>
      <c r="K1103" s="293"/>
      <c r="L1103" s="293"/>
      <c r="M1103" s="293"/>
      <c r="N1103" s="293"/>
      <c r="P1103" s="42">
        <v>2200</v>
      </c>
      <c r="R1103" s="42">
        <v>650</v>
      </c>
      <c r="T1103" s="284">
        <v>1550</v>
      </c>
      <c r="U1103" s="284"/>
    </row>
    <row r="1104" spans="2:21" x14ac:dyDescent="0.25">
      <c r="B1104" s="292">
        <v>72</v>
      </c>
      <c r="C1104" s="292"/>
      <c r="D1104" s="292"/>
      <c r="F1104" s="283" t="s">
        <v>253</v>
      </c>
      <c r="G1104" s="283"/>
      <c r="J1104" s="293">
        <v>1</v>
      </c>
      <c r="K1104" s="293"/>
      <c r="L1104" s="293"/>
      <c r="M1104" s="293"/>
      <c r="N1104" s="293"/>
      <c r="P1104" s="42">
        <v>290</v>
      </c>
      <c r="R1104" s="42">
        <v>130</v>
      </c>
      <c r="T1104" s="284">
        <v>160</v>
      </c>
      <c r="U1104" s="284"/>
    </row>
    <row r="1105" spans="2:21" x14ac:dyDescent="0.25">
      <c r="B1105" s="292">
        <v>73</v>
      </c>
      <c r="C1105" s="292"/>
      <c r="D1105" s="292"/>
      <c r="F1105" s="283" t="s">
        <v>93</v>
      </c>
      <c r="G1105" s="283"/>
      <c r="J1105" s="293">
        <v>3</v>
      </c>
      <c r="K1105" s="293"/>
      <c r="L1105" s="293"/>
      <c r="M1105" s="293"/>
      <c r="N1105" s="293"/>
      <c r="P1105" s="42">
        <v>1770</v>
      </c>
      <c r="R1105" s="42">
        <v>270</v>
      </c>
      <c r="T1105" s="284">
        <v>1500</v>
      </c>
      <c r="U1105" s="284"/>
    </row>
    <row r="1106" spans="2:21" x14ac:dyDescent="0.25">
      <c r="B1106" s="292">
        <v>74</v>
      </c>
      <c r="C1106" s="292"/>
      <c r="D1106" s="292"/>
      <c r="F1106" s="283" t="s">
        <v>92</v>
      </c>
      <c r="G1106" s="283"/>
      <c r="J1106" s="293">
        <v>34</v>
      </c>
      <c r="K1106" s="293"/>
      <c r="L1106" s="293"/>
      <c r="M1106" s="293"/>
      <c r="N1106" s="293"/>
      <c r="P1106" s="42">
        <v>19720</v>
      </c>
      <c r="R1106" s="42">
        <v>5880</v>
      </c>
      <c r="T1106" s="284">
        <v>13840</v>
      </c>
      <c r="U1106" s="284"/>
    </row>
    <row r="1107" spans="2:21" x14ac:dyDescent="0.25">
      <c r="B1107" s="292">
        <v>75</v>
      </c>
      <c r="C1107" s="292"/>
      <c r="D1107" s="292"/>
      <c r="F1107" s="283" t="s">
        <v>175</v>
      </c>
      <c r="G1107" s="283"/>
      <c r="J1107" s="293">
        <v>5</v>
      </c>
      <c r="K1107" s="293"/>
      <c r="L1107" s="293"/>
      <c r="M1107" s="293"/>
      <c r="N1107" s="293"/>
      <c r="P1107" s="42">
        <v>3000</v>
      </c>
      <c r="R1107" s="42">
        <v>180</v>
      </c>
      <c r="T1107" s="284">
        <v>2820</v>
      </c>
      <c r="U1107" s="284"/>
    </row>
    <row r="1108" spans="2:21" x14ac:dyDescent="0.25">
      <c r="B1108" s="292">
        <v>76</v>
      </c>
      <c r="C1108" s="292"/>
      <c r="D1108" s="292"/>
      <c r="F1108" s="283" t="s">
        <v>174</v>
      </c>
      <c r="G1108" s="283"/>
      <c r="J1108" s="293">
        <v>2</v>
      </c>
      <c r="K1108" s="293"/>
      <c r="L1108" s="293"/>
      <c r="M1108" s="293"/>
      <c r="N1108" s="293"/>
      <c r="P1108" s="42">
        <v>800</v>
      </c>
      <c r="R1108" s="42">
        <v>120</v>
      </c>
      <c r="T1108" s="284">
        <v>680</v>
      </c>
      <c r="U1108" s="284"/>
    </row>
    <row r="1109" spans="2:21" x14ac:dyDescent="0.25">
      <c r="B1109" s="292">
        <v>77</v>
      </c>
      <c r="C1109" s="292"/>
      <c r="D1109" s="292"/>
      <c r="F1109" s="283" t="s">
        <v>438</v>
      </c>
      <c r="G1109" s="283"/>
      <c r="J1109" s="293">
        <v>1</v>
      </c>
      <c r="K1109" s="293"/>
      <c r="L1109" s="293"/>
      <c r="M1109" s="293"/>
      <c r="N1109" s="293"/>
      <c r="P1109" s="42">
        <v>1000</v>
      </c>
      <c r="R1109" s="42">
        <v>0</v>
      </c>
      <c r="T1109" s="284">
        <v>1000</v>
      </c>
      <c r="U1109" s="284"/>
    </row>
    <row r="1110" spans="2:21" x14ac:dyDescent="0.25">
      <c r="B1110" s="292">
        <v>78</v>
      </c>
      <c r="C1110" s="292"/>
      <c r="D1110" s="292"/>
      <c r="F1110" s="283" t="s">
        <v>355</v>
      </c>
      <c r="G1110" s="283"/>
      <c r="J1110" s="293">
        <v>1</v>
      </c>
      <c r="K1110" s="293"/>
      <c r="L1110" s="293"/>
      <c r="M1110" s="293"/>
      <c r="N1110" s="293"/>
      <c r="P1110" s="42">
        <v>600</v>
      </c>
      <c r="R1110" s="42">
        <v>180</v>
      </c>
      <c r="T1110" s="284">
        <v>420</v>
      </c>
      <c r="U1110" s="284"/>
    </row>
    <row r="1111" spans="2:21" x14ac:dyDescent="0.25">
      <c r="B1111" s="292">
        <v>79</v>
      </c>
      <c r="C1111" s="292"/>
      <c r="D1111" s="292"/>
      <c r="F1111" s="283" t="s">
        <v>173</v>
      </c>
      <c r="G1111" s="283"/>
      <c r="J1111" s="293">
        <v>4</v>
      </c>
      <c r="K1111" s="293"/>
      <c r="L1111" s="293"/>
      <c r="M1111" s="293"/>
      <c r="N1111" s="293"/>
      <c r="P1111" s="42">
        <v>4000</v>
      </c>
      <c r="R1111" s="42">
        <v>0</v>
      </c>
      <c r="T1111" s="284">
        <v>4000</v>
      </c>
      <c r="U1111" s="284"/>
    </row>
    <row r="1112" spans="2:21" x14ac:dyDescent="0.25">
      <c r="B1112" s="292">
        <v>80</v>
      </c>
      <c r="C1112" s="292"/>
      <c r="D1112" s="292"/>
      <c r="F1112" s="283" t="s">
        <v>91</v>
      </c>
      <c r="G1112" s="283"/>
      <c r="J1112" s="293">
        <v>31</v>
      </c>
      <c r="K1112" s="293"/>
      <c r="L1112" s="293"/>
      <c r="M1112" s="293"/>
      <c r="N1112" s="293"/>
      <c r="P1112" s="42">
        <v>7750</v>
      </c>
      <c r="R1112" s="42">
        <v>2100</v>
      </c>
      <c r="T1112" s="284">
        <v>5650</v>
      </c>
      <c r="U1112" s="284"/>
    </row>
    <row r="1113" spans="2:21" x14ac:dyDescent="0.25">
      <c r="B1113" s="292">
        <v>81</v>
      </c>
      <c r="C1113" s="292"/>
      <c r="D1113" s="292"/>
      <c r="F1113" s="283" t="s">
        <v>90</v>
      </c>
      <c r="G1113" s="283"/>
      <c r="J1113" s="293">
        <v>33</v>
      </c>
      <c r="K1113" s="293"/>
      <c r="L1113" s="293"/>
      <c r="M1113" s="293"/>
      <c r="N1113" s="293"/>
      <c r="P1113" s="42">
        <v>9570</v>
      </c>
      <c r="R1113" s="42">
        <v>2480</v>
      </c>
      <c r="T1113" s="284">
        <v>7090</v>
      </c>
      <c r="U1113" s="284"/>
    </row>
    <row r="1114" spans="2:21" x14ac:dyDescent="0.25">
      <c r="B1114" s="292">
        <v>82</v>
      </c>
      <c r="C1114" s="292"/>
      <c r="D1114" s="292"/>
      <c r="F1114" s="283" t="s">
        <v>89</v>
      </c>
      <c r="G1114" s="283"/>
      <c r="J1114" s="293">
        <v>1</v>
      </c>
      <c r="K1114" s="293"/>
      <c r="L1114" s="293"/>
      <c r="M1114" s="293"/>
      <c r="N1114" s="293"/>
      <c r="P1114" s="42">
        <v>880</v>
      </c>
      <c r="R1114" s="42">
        <v>130</v>
      </c>
      <c r="T1114" s="284">
        <v>750</v>
      </c>
      <c r="U1114" s="284"/>
    </row>
    <row r="1115" spans="2:21" x14ac:dyDescent="0.25">
      <c r="B1115" s="292">
        <v>83</v>
      </c>
      <c r="C1115" s="292"/>
      <c r="D1115" s="292"/>
      <c r="F1115" s="283" t="s">
        <v>88</v>
      </c>
      <c r="G1115" s="283"/>
      <c r="J1115" s="293">
        <v>35</v>
      </c>
      <c r="K1115" s="293"/>
      <c r="L1115" s="293"/>
      <c r="M1115" s="293"/>
      <c r="N1115" s="293"/>
      <c r="P1115" s="42">
        <v>6300</v>
      </c>
      <c r="R1115" s="42">
        <v>1966</v>
      </c>
      <c r="T1115" s="284">
        <v>4334</v>
      </c>
      <c r="U1115" s="284"/>
    </row>
    <row r="1116" spans="2:21" x14ac:dyDescent="0.25">
      <c r="B1116" s="292">
        <v>84</v>
      </c>
      <c r="C1116" s="292"/>
      <c r="D1116" s="292"/>
      <c r="F1116" s="283" t="s">
        <v>87</v>
      </c>
      <c r="G1116" s="283"/>
      <c r="J1116" s="293">
        <v>1</v>
      </c>
      <c r="K1116" s="293"/>
      <c r="L1116" s="293"/>
      <c r="M1116" s="293"/>
      <c r="N1116" s="293"/>
      <c r="P1116" s="42">
        <v>290</v>
      </c>
      <c r="R1116" s="42">
        <v>80</v>
      </c>
      <c r="T1116" s="284">
        <v>210</v>
      </c>
      <c r="U1116" s="284"/>
    </row>
    <row r="1117" spans="2:21" x14ac:dyDescent="0.25">
      <c r="B1117" s="292">
        <v>85</v>
      </c>
      <c r="C1117" s="292"/>
      <c r="D1117" s="292"/>
      <c r="F1117" s="283" t="s">
        <v>85</v>
      </c>
      <c r="G1117" s="283"/>
      <c r="J1117" s="293">
        <v>7</v>
      </c>
      <c r="K1117" s="293"/>
      <c r="L1117" s="293"/>
      <c r="M1117" s="293"/>
      <c r="N1117" s="293"/>
      <c r="P1117" s="42">
        <v>14560</v>
      </c>
      <c r="R1117" s="42">
        <v>2170</v>
      </c>
      <c r="T1117" s="284">
        <v>12390</v>
      </c>
      <c r="U1117" s="284"/>
    </row>
    <row r="1118" spans="2:21" x14ac:dyDescent="0.25">
      <c r="B1118" s="292">
        <v>86</v>
      </c>
      <c r="C1118" s="292"/>
      <c r="D1118" s="292"/>
      <c r="F1118" s="283" t="s">
        <v>84</v>
      </c>
      <c r="G1118" s="283"/>
      <c r="J1118" s="293">
        <v>7</v>
      </c>
      <c r="K1118" s="293"/>
      <c r="L1118" s="293"/>
      <c r="M1118" s="293"/>
      <c r="N1118" s="293"/>
      <c r="P1118" s="42">
        <v>4130</v>
      </c>
      <c r="R1118" s="42">
        <v>1080</v>
      </c>
      <c r="T1118" s="284">
        <v>3050</v>
      </c>
      <c r="U1118" s="284"/>
    </row>
    <row r="1119" spans="2:21" x14ac:dyDescent="0.25">
      <c r="B1119" s="292">
        <v>87</v>
      </c>
      <c r="C1119" s="292"/>
      <c r="D1119" s="292"/>
      <c r="F1119" s="283" t="s">
        <v>83</v>
      </c>
      <c r="G1119" s="283"/>
      <c r="J1119" s="293">
        <v>1</v>
      </c>
      <c r="K1119" s="293"/>
      <c r="L1119" s="293"/>
      <c r="M1119" s="293"/>
      <c r="N1119" s="293"/>
      <c r="P1119" s="42">
        <v>500</v>
      </c>
      <c r="R1119" s="42">
        <v>150</v>
      </c>
      <c r="T1119" s="284">
        <v>350</v>
      </c>
      <c r="U1119" s="284"/>
    </row>
    <row r="1120" spans="2:21" x14ac:dyDescent="0.25">
      <c r="B1120" s="292">
        <v>88</v>
      </c>
      <c r="C1120" s="292"/>
      <c r="D1120" s="292"/>
      <c r="F1120" s="283" t="s">
        <v>82</v>
      </c>
      <c r="G1120" s="283"/>
      <c r="J1120" s="293">
        <v>7</v>
      </c>
      <c r="K1120" s="293"/>
      <c r="L1120" s="293"/>
      <c r="M1120" s="293"/>
      <c r="N1120" s="293"/>
      <c r="P1120" s="42">
        <v>2030</v>
      </c>
      <c r="R1120" s="42">
        <v>2030</v>
      </c>
      <c r="T1120" s="284">
        <v>0</v>
      </c>
      <c r="U1120" s="284"/>
    </row>
    <row r="1121" spans="1:21" x14ac:dyDescent="0.25">
      <c r="B1121" s="292">
        <v>89</v>
      </c>
      <c r="C1121" s="292"/>
      <c r="D1121" s="292"/>
      <c r="F1121" s="283" t="s">
        <v>81</v>
      </c>
      <c r="G1121" s="283"/>
      <c r="J1121" s="293">
        <v>28</v>
      </c>
      <c r="K1121" s="293"/>
      <c r="L1121" s="293"/>
      <c r="M1121" s="293"/>
      <c r="N1121" s="293"/>
      <c r="P1121" s="42">
        <v>8120</v>
      </c>
      <c r="R1121" s="42">
        <v>2160</v>
      </c>
      <c r="T1121" s="284">
        <v>5960</v>
      </c>
      <c r="U1121" s="284"/>
    </row>
    <row r="1122" spans="1:21" s="40" customFormat="1" x14ac:dyDescent="0.25">
      <c r="A1122" s="290" t="s">
        <v>437</v>
      </c>
      <c r="B1122" s="290"/>
      <c r="C1122" s="290"/>
      <c r="D1122" s="290"/>
      <c r="E1122" s="290"/>
      <c r="F1122" s="290"/>
      <c r="G1122" s="290"/>
      <c r="H1122" s="290"/>
      <c r="I1122" s="290"/>
      <c r="J1122" s="290"/>
      <c r="K1122" s="291">
        <v>3983</v>
      </c>
      <c r="L1122" s="291"/>
      <c r="M1122" s="291"/>
      <c r="N1122" s="291"/>
      <c r="O1122" s="291"/>
      <c r="P1122" s="41">
        <v>4519810</v>
      </c>
      <c r="R1122" s="41">
        <v>3549920</v>
      </c>
      <c r="T1122" s="287">
        <v>969890</v>
      </c>
      <c r="U1122" s="287"/>
    </row>
    <row r="1123" spans="1:21" x14ac:dyDescent="0.25">
      <c r="B1123" s="292">
        <v>1</v>
      </c>
      <c r="C1123" s="292"/>
      <c r="D1123" s="292"/>
      <c r="F1123" s="283" t="s">
        <v>316</v>
      </c>
      <c r="G1123" s="283"/>
      <c r="J1123" s="293">
        <v>1</v>
      </c>
      <c r="K1123" s="293"/>
      <c r="L1123" s="293"/>
      <c r="M1123" s="293"/>
      <c r="N1123" s="293"/>
      <c r="P1123" s="42">
        <v>390</v>
      </c>
      <c r="R1123" s="42">
        <v>120</v>
      </c>
      <c r="T1123" s="284">
        <v>270</v>
      </c>
      <c r="U1123" s="284"/>
    </row>
    <row r="1124" spans="1:21" x14ac:dyDescent="0.25">
      <c r="B1124" s="292">
        <v>2</v>
      </c>
      <c r="C1124" s="292"/>
      <c r="D1124" s="292"/>
      <c r="F1124" s="283" t="s">
        <v>78</v>
      </c>
      <c r="G1124" s="283"/>
      <c r="J1124" s="293">
        <v>136</v>
      </c>
      <c r="K1124" s="293"/>
      <c r="L1124" s="293"/>
      <c r="M1124" s="293"/>
      <c r="N1124" s="293"/>
      <c r="P1124" s="42">
        <v>39440</v>
      </c>
      <c r="R1124" s="42">
        <v>39230</v>
      </c>
      <c r="T1124" s="284">
        <v>210</v>
      </c>
      <c r="U1124" s="284"/>
    </row>
    <row r="1125" spans="1:21" x14ac:dyDescent="0.25">
      <c r="B1125" s="292">
        <v>3</v>
      </c>
      <c r="C1125" s="292"/>
      <c r="D1125" s="292"/>
      <c r="F1125" s="283" t="s">
        <v>268</v>
      </c>
      <c r="G1125" s="283"/>
      <c r="J1125" s="293">
        <v>1</v>
      </c>
      <c r="K1125" s="293"/>
      <c r="L1125" s="293"/>
      <c r="M1125" s="293"/>
      <c r="N1125" s="293"/>
      <c r="P1125" s="42">
        <v>250</v>
      </c>
      <c r="R1125" s="42">
        <v>70</v>
      </c>
      <c r="T1125" s="284">
        <v>180</v>
      </c>
      <c r="U1125" s="284"/>
    </row>
    <row r="1126" spans="1:21" x14ac:dyDescent="0.25">
      <c r="B1126" s="292">
        <v>4</v>
      </c>
      <c r="C1126" s="292"/>
      <c r="D1126" s="292"/>
      <c r="F1126" s="283" t="s">
        <v>199</v>
      </c>
      <c r="G1126" s="283"/>
      <c r="J1126" s="293">
        <v>1</v>
      </c>
      <c r="K1126" s="293"/>
      <c r="L1126" s="293"/>
      <c r="M1126" s="293"/>
      <c r="N1126" s="293"/>
      <c r="P1126" s="42">
        <v>290</v>
      </c>
      <c r="R1126" s="42">
        <v>80</v>
      </c>
      <c r="T1126" s="284">
        <v>210</v>
      </c>
      <c r="U1126" s="284"/>
    </row>
    <row r="1127" spans="1:21" x14ac:dyDescent="0.25">
      <c r="B1127" s="292">
        <v>5</v>
      </c>
      <c r="C1127" s="292"/>
      <c r="D1127" s="292"/>
      <c r="F1127" s="283" t="s">
        <v>165</v>
      </c>
      <c r="G1127" s="283"/>
      <c r="J1127" s="293">
        <v>2</v>
      </c>
      <c r="K1127" s="293"/>
      <c r="L1127" s="293"/>
      <c r="M1127" s="293"/>
      <c r="N1127" s="293"/>
      <c r="P1127" s="42">
        <v>1180</v>
      </c>
      <c r="R1127" s="42">
        <v>360</v>
      </c>
      <c r="T1127" s="284">
        <v>820</v>
      </c>
      <c r="U1127" s="284"/>
    </row>
    <row r="1128" spans="1:21" x14ac:dyDescent="0.25">
      <c r="B1128" s="292">
        <v>6</v>
      </c>
      <c r="C1128" s="292"/>
      <c r="D1128" s="292"/>
      <c r="F1128" s="283" t="s">
        <v>164</v>
      </c>
      <c r="G1128" s="283"/>
      <c r="J1128" s="293">
        <v>1</v>
      </c>
      <c r="K1128" s="293"/>
      <c r="L1128" s="293"/>
      <c r="M1128" s="293"/>
      <c r="N1128" s="293"/>
      <c r="P1128" s="42">
        <v>590</v>
      </c>
      <c r="R1128" s="42">
        <v>180</v>
      </c>
      <c r="T1128" s="284">
        <v>410</v>
      </c>
      <c r="U1128" s="284"/>
    </row>
    <row r="1129" spans="1:21" x14ac:dyDescent="0.25">
      <c r="B1129" s="292">
        <v>7</v>
      </c>
      <c r="C1129" s="292"/>
      <c r="D1129" s="292"/>
      <c r="F1129" s="283" t="s">
        <v>163</v>
      </c>
      <c r="G1129" s="283"/>
      <c r="J1129" s="293">
        <v>3</v>
      </c>
      <c r="K1129" s="293"/>
      <c r="L1129" s="293"/>
      <c r="M1129" s="293"/>
      <c r="N1129" s="293"/>
      <c r="P1129" s="42">
        <v>3570</v>
      </c>
      <c r="R1129" s="42">
        <v>540</v>
      </c>
      <c r="T1129" s="284">
        <v>3030</v>
      </c>
      <c r="U1129" s="284"/>
    </row>
    <row r="1130" spans="1:21" x14ac:dyDescent="0.25">
      <c r="B1130" s="292">
        <v>8</v>
      </c>
      <c r="C1130" s="292"/>
      <c r="D1130" s="292"/>
      <c r="F1130" s="283" t="s">
        <v>162</v>
      </c>
      <c r="G1130" s="283"/>
      <c r="J1130" s="293">
        <v>16</v>
      </c>
      <c r="K1130" s="293"/>
      <c r="L1130" s="293"/>
      <c r="M1130" s="293"/>
      <c r="N1130" s="293"/>
      <c r="P1130" s="42">
        <v>6880</v>
      </c>
      <c r="R1130" s="42">
        <v>3241</v>
      </c>
      <c r="T1130" s="284">
        <v>3639</v>
      </c>
      <c r="U1130" s="284"/>
    </row>
    <row r="1131" spans="1:21" x14ac:dyDescent="0.25">
      <c r="B1131" s="292">
        <v>9</v>
      </c>
      <c r="C1131" s="292"/>
      <c r="D1131" s="292"/>
      <c r="F1131" s="283" t="s">
        <v>160</v>
      </c>
      <c r="G1131" s="283"/>
      <c r="J1131" s="293">
        <v>19</v>
      </c>
      <c r="K1131" s="293"/>
      <c r="L1131" s="293"/>
      <c r="M1131" s="293"/>
      <c r="N1131" s="293"/>
      <c r="P1131" s="42">
        <v>5510</v>
      </c>
      <c r="R1131" s="42">
        <v>1498</v>
      </c>
      <c r="T1131" s="284">
        <v>4012</v>
      </c>
      <c r="U1131" s="284"/>
    </row>
    <row r="1132" spans="1:21" x14ac:dyDescent="0.25">
      <c r="B1132" s="292">
        <v>10</v>
      </c>
      <c r="C1132" s="292"/>
      <c r="D1132" s="292"/>
      <c r="F1132" s="283" t="s">
        <v>158</v>
      </c>
      <c r="G1132" s="283"/>
      <c r="J1132" s="293">
        <v>423</v>
      </c>
      <c r="K1132" s="293"/>
      <c r="L1132" s="293"/>
      <c r="M1132" s="293"/>
      <c r="N1132" s="293"/>
      <c r="P1132" s="42">
        <v>232650</v>
      </c>
      <c r="R1132" s="42">
        <v>71690</v>
      </c>
      <c r="T1132" s="284">
        <v>160960</v>
      </c>
      <c r="U1132" s="284"/>
    </row>
    <row r="1133" spans="1:21" x14ac:dyDescent="0.25">
      <c r="B1133" s="292">
        <v>11</v>
      </c>
      <c r="C1133" s="292"/>
      <c r="D1133" s="292"/>
      <c r="F1133" s="283" t="s">
        <v>157</v>
      </c>
      <c r="G1133" s="283"/>
      <c r="J1133" s="293">
        <v>293</v>
      </c>
      <c r="K1133" s="293"/>
      <c r="L1133" s="293"/>
      <c r="M1133" s="293"/>
      <c r="N1133" s="293"/>
      <c r="P1133" s="42">
        <v>143570</v>
      </c>
      <c r="R1133" s="42">
        <v>62742</v>
      </c>
      <c r="T1133" s="284">
        <v>80828</v>
      </c>
      <c r="U1133" s="284"/>
    </row>
    <row r="1134" spans="1:21" x14ac:dyDescent="0.25">
      <c r="B1134" s="292">
        <v>12</v>
      </c>
      <c r="C1134" s="292"/>
      <c r="D1134" s="292"/>
      <c r="F1134" s="283" t="s">
        <v>77</v>
      </c>
      <c r="G1134" s="283"/>
      <c r="J1134" s="293">
        <v>376</v>
      </c>
      <c r="K1134" s="293"/>
      <c r="L1134" s="293"/>
      <c r="M1134" s="293"/>
      <c r="N1134" s="293"/>
      <c r="P1134" s="42">
        <v>158000</v>
      </c>
      <c r="R1134" s="42">
        <v>158000</v>
      </c>
      <c r="T1134" s="284">
        <v>0</v>
      </c>
      <c r="U1134" s="284"/>
    </row>
    <row r="1135" spans="1:21" x14ac:dyDescent="0.25">
      <c r="B1135" s="292">
        <v>13</v>
      </c>
      <c r="C1135" s="292"/>
      <c r="D1135" s="292"/>
      <c r="F1135" s="283" t="s">
        <v>76</v>
      </c>
      <c r="G1135" s="283"/>
      <c r="J1135" s="293">
        <v>1</v>
      </c>
      <c r="K1135" s="293"/>
      <c r="L1135" s="293"/>
      <c r="M1135" s="293"/>
      <c r="N1135" s="293"/>
      <c r="P1135" s="42">
        <v>600</v>
      </c>
      <c r="R1135" s="42">
        <v>600</v>
      </c>
      <c r="T1135" s="284">
        <v>0</v>
      </c>
      <c r="U1135" s="284"/>
    </row>
    <row r="1136" spans="1:21" x14ac:dyDescent="0.25">
      <c r="B1136" s="292">
        <v>14</v>
      </c>
      <c r="C1136" s="292"/>
      <c r="D1136" s="292"/>
      <c r="F1136" s="283" t="s">
        <v>156</v>
      </c>
      <c r="G1136" s="283"/>
      <c r="J1136" s="293">
        <v>15</v>
      </c>
      <c r="K1136" s="293"/>
      <c r="L1136" s="293"/>
      <c r="M1136" s="293"/>
      <c r="N1136" s="293"/>
      <c r="P1136" s="42">
        <v>2850</v>
      </c>
      <c r="R1136" s="42">
        <v>970</v>
      </c>
      <c r="T1136" s="284">
        <v>1880</v>
      </c>
      <c r="U1136" s="284"/>
    </row>
    <row r="1137" spans="2:21" x14ac:dyDescent="0.25">
      <c r="B1137" s="292">
        <v>15</v>
      </c>
      <c r="C1137" s="292"/>
      <c r="D1137" s="292"/>
      <c r="F1137" s="283" t="s">
        <v>155</v>
      </c>
      <c r="G1137" s="283"/>
      <c r="J1137" s="293">
        <v>74</v>
      </c>
      <c r="K1137" s="293"/>
      <c r="L1137" s="293"/>
      <c r="M1137" s="293"/>
      <c r="N1137" s="293"/>
      <c r="P1137" s="42">
        <v>18500</v>
      </c>
      <c r="R1137" s="42">
        <v>6130</v>
      </c>
      <c r="T1137" s="284">
        <v>12370</v>
      </c>
      <c r="U1137" s="284"/>
    </row>
    <row r="1138" spans="2:21" x14ac:dyDescent="0.25">
      <c r="B1138" s="292">
        <v>16</v>
      </c>
      <c r="C1138" s="292"/>
      <c r="D1138" s="292"/>
      <c r="F1138" s="283" t="s">
        <v>154</v>
      </c>
      <c r="G1138" s="283"/>
      <c r="J1138" s="293">
        <v>2</v>
      </c>
      <c r="K1138" s="293"/>
      <c r="L1138" s="293"/>
      <c r="M1138" s="293"/>
      <c r="N1138" s="293"/>
      <c r="P1138" s="42">
        <v>1780</v>
      </c>
      <c r="R1138" s="42">
        <v>260</v>
      </c>
      <c r="T1138" s="284">
        <v>1520</v>
      </c>
      <c r="U1138" s="284"/>
    </row>
    <row r="1139" spans="2:21" x14ac:dyDescent="0.25">
      <c r="B1139" s="292">
        <v>17</v>
      </c>
      <c r="C1139" s="292"/>
      <c r="D1139" s="292"/>
      <c r="F1139" s="283" t="s">
        <v>322</v>
      </c>
      <c r="G1139" s="283"/>
      <c r="J1139" s="293">
        <v>1</v>
      </c>
      <c r="K1139" s="293"/>
      <c r="L1139" s="293"/>
      <c r="M1139" s="293"/>
      <c r="N1139" s="293"/>
      <c r="P1139" s="42">
        <v>1180</v>
      </c>
      <c r="R1139" s="42">
        <v>180</v>
      </c>
      <c r="T1139" s="284">
        <v>1000</v>
      </c>
      <c r="U1139" s="284"/>
    </row>
    <row r="1140" spans="2:21" x14ac:dyDescent="0.25">
      <c r="B1140" s="292">
        <v>18</v>
      </c>
      <c r="C1140" s="292"/>
      <c r="D1140" s="292"/>
      <c r="F1140" s="283" t="s">
        <v>152</v>
      </c>
      <c r="G1140" s="283"/>
      <c r="J1140" s="293">
        <v>15</v>
      </c>
      <c r="K1140" s="293"/>
      <c r="L1140" s="293"/>
      <c r="M1140" s="293"/>
      <c r="N1140" s="293"/>
      <c r="P1140" s="42">
        <v>8850</v>
      </c>
      <c r="R1140" s="42">
        <v>2700</v>
      </c>
      <c r="T1140" s="284">
        <v>6150</v>
      </c>
      <c r="U1140" s="284"/>
    </row>
    <row r="1141" spans="2:21" x14ac:dyDescent="0.25">
      <c r="B1141" s="292">
        <v>19</v>
      </c>
      <c r="C1141" s="292"/>
      <c r="D1141" s="292"/>
      <c r="F1141" s="283" t="s">
        <v>151</v>
      </c>
      <c r="G1141" s="283"/>
      <c r="J1141" s="293">
        <v>47</v>
      </c>
      <c r="K1141" s="293"/>
      <c r="L1141" s="293"/>
      <c r="M1141" s="293"/>
      <c r="N1141" s="293"/>
      <c r="P1141" s="42">
        <v>10810</v>
      </c>
      <c r="R1141" s="42">
        <v>3400</v>
      </c>
      <c r="T1141" s="284">
        <v>7410</v>
      </c>
      <c r="U1141" s="284"/>
    </row>
    <row r="1142" spans="2:21" x14ac:dyDescent="0.25">
      <c r="B1142" s="292">
        <v>20</v>
      </c>
      <c r="C1142" s="292"/>
      <c r="D1142" s="292"/>
      <c r="F1142" s="283" t="s">
        <v>150</v>
      </c>
      <c r="G1142" s="283"/>
      <c r="J1142" s="293">
        <v>32</v>
      </c>
      <c r="K1142" s="293"/>
      <c r="L1142" s="293"/>
      <c r="M1142" s="293"/>
      <c r="N1142" s="293"/>
      <c r="P1142" s="42">
        <v>5440</v>
      </c>
      <c r="R1142" s="42">
        <v>1600</v>
      </c>
      <c r="T1142" s="284">
        <v>3840</v>
      </c>
      <c r="U1142" s="284"/>
    </row>
    <row r="1143" spans="2:21" x14ac:dyDescent="0.25">
      <c r="B1143" s="292">
        <v>21</v>
      </c>
      <c r="C1143" s="292"/>
      <c r="D1143" s="292"/>
      <c r="F1143" s="283" t="s">
        <v>288</v>
      </c>
      <c r="G1143" s="283"/>
      <c r="J1143" s="293">
        <v>1</v>
      </c>
      <c r="K1143" s="293"/>
      <c r="L1143" s="293"/>
      <c r="M1143" s="293"/>
      <c r="N1143" s="293"/>
      <c r="P1143" s="42">
        <v>800</v>
      </c>
      <c r="R1143" s="42">
        <v>450</v>
      </c>
      <c r="T1143" s="284">
        <v>350</v>
      </c>
      <c r="U1143" s="284"/>
    </row>
    <row r="1144" spans="2:21" x14ac:dyDescent="0.25">
      <c r="B1144" s="292">
        <v>22</v>
      </c>
      <c r="C1144" s="292"/>
      <c r="D1144" s="292"/>
      <c r="F1144" s="283" t="s">
        <v>234</v>
      </c>
      <c r="G1144" s="283"/>
      <c r="J1144" s="293">
        <v>1</v>
      </c>
      <c r="K1144" s="293"/>
      <c r="L1144" s="293"/>
      <c r="M1144" s="293"/>
      <c r="N1144" s="293"/>
      <c r="P1144" s="42">
        <v>800</v>
      </c>
      <c r="R1144" s="42">
        <v>450</v>
      </c>
      <c r="T1144" s="284">
        <v>350</v>
      </c>
      <c r="U1144" s="284"/>
    </row>
    <row r="1145" spans="2:21" x14ac:dyDescent="0.25">
      <c r="B1145" s="292">
        <v>23</v>
      </c>
      <c r="C1145" s="292"/>
      <c r="D1145" s="292"/>
      <c r="F1145" s="283" t="s">
        <v>232</v>
      </c>
      <c r="G1145" s="283"/>
      <c r="J1145" s="293">
        <v>1</v>
      </c>
      <c r="K1145" s="293"/>
      <c r="L1145" s="293"/>
      <c r="M1145" s="293"/>
      <c r="N1145" s="293"/>
      <c r="P1145" s="42">
        <v>980</v>
      </c>
      <c r="R1145" s="42">
        <v>150</v>
      </c>
      <c r="T1145" s="284">
        <v>830</v>
      </c>
      <c r="U1145" s="284"/>
    </row>
    <row r="1146" spans="2:21" x14ac:dyDescent="0.25">
      <c r="B1146" s="292">
        <v>24</v>
      </c>
      <c r="C1146" s="292"/>
      <c r="D1146" s="292"/>
      <c r="F1146" s="283" t="s">
        <v>193</v>
      </c>
      <c r="G1146" s="283"/>
      <c r="J1146" s="293">
        <v>1</v>
      </c>
      <c r="K1146" s="293"/>
      <c r="L1146" s="293"/>
      <c r="M1146" s="293"/>
      <c r="N1146" s="293"/>
      <c r="P1146" s="42">
        <v>890</v>
      </c>
      <c r="R1146" s="42">
        <v>130</v>
      </c>
      <c r="T1146" s="284">
        <v>760</v>
      </c>
      <c r="U1146" s="284"/>
    </row>
    <row r="1147" spans="2:21" x14ac:dyDescent="0.25">
      <c r="B1147" s="292">
        <v>25</v>
      </c>
      <c r="C1147" s="292"/>
      <c r="D1147" s="292"/>
      <c r="F1147" s="283" t="s">
        <v>75</v>
      </c>
      <c r="G1147" s="283"/>
      <c r="J1147" s="293">
        <v>1139</v>
      </c>
      <c r="K1147" s="293"/>
      <c r="L1147" s="293"/>
      <c r="M1147" s="293"/>
      <c r="N1147" s="293"/>
      <c r="P1147" s="42">
        <v>2847500</v>
      </c>
      <c r="R1147" s="42">
        <v>2847500</v>
      </c>
      <c r="T1147" s="284">
        <v>0</v>
      </c>
      <c r="U1147" s="284"/>
    </row>
    <row r="1148" spans="2:21" x14ac:dyDescent="0.25">
      <c r="B1148" s="292">
        <v>26</v>
      </c>
      <c r="C1148" s="292"/>
      <c r="D1148" s="292"/>
      <c r="F1148" s="283" t="s">
        <v>139</v>
      </c>
      <c r="G1148" s="283"/>
      <c r="J1148" s="293">
        <v>3</v>
      </c>
      <c r="K1148" s="293"/>
      <c r="L1148" s="293"/>
      <c r="M1148" s="293"/>
      <c r="N1148" s="293"/>
      <c r="P1148" s="42">
        <v>810</v>
      </c>
      <c r="R1148" s="42">
        <v>240</v>
      </c>
      <c r="T1148" s="284">
        <v>570</v>
      </c>
      <c r="U1148" s="284"/>
    </row>
    <row r="1149" spans="2:21" x14ac:dyDescent="0.25">
      <c r="B1149" s="292">
        <v>27</v>
      </c>
      <c r="C1149" s="292"/>
      <c r="D1149" s="292"/>
      <c r="F1149" s="283" t="s">
        <v>192</v>
      </c>
      <c r="G1149" s="283"/>
      <c r="J1149" s="293">
        <v>2</v>
      </c>
      <c r="K1149" s="293"/>
      <c r="L1149" s="293"/>
      <c r="M1149" s="293"/>
      <c r="N1149" s="293"/>
      <c r="P1149" s="42">
        <v>3100</v>
      </c>
      <c r="R1149" s="42">
        <v>465</v>
      </c>
      <c r="T1149" s="284">
        <v>2635</v>
      </c>
      <c r="U1149" s="284"/>
    </row>
    <row r="1150" spans="2:21" x14ac:dyDescent="0.25">
      <c r="B1150" s="292">
        <v>28</v>
      </c>
      <c r="C1150" s="292"/>
      <c r="D1150" s="292"/>
      <c r="F1150" s="283" t="s">
        <v>136</v>
      </c>
      <c r="G1150" s="283"/>
      <c r="J1150" s="293">
        <v>67</v>
      </c>
      <c r="K1150" s="293"/>
      <c r="L1150" s="293"/>
      <c r="M1150" s="293"/>
      <c r="N1150" s="293"/>
      <c r="P1150" s="42">
        <v>56950</v>
      </c>
      <c r="R1150" s="42">
        <v>13130</v>
      </c>
      <c r="T1150" s="284">
        <v>43820</v>
      </c>
      <c r="U1150" s="284"/>
    </row>
    <row r="1151" spans="2:21" x14ac:dyDescent="0.25">
      <c r="B1151" s="292">
        <v>29</v>
      </c>
      <c r="C1151" s="292"/>
      <c r="D1151" s="292"/>
      <c r="F1151" s="283" t="s">
        <v>74</v>
      </c>
      <c r="G1151" s="283"/>
      <c r="J1151" s="293">
        <v>86</v>
      </c>
      <c r="K1151" s="293"/>
      <c r="L1151" s="293"/>
      <c r="M1151" s="293"/>
      <c r="N1151" s="293"/>
      <c r="P1151" s="42">
        <v>73100</v>
      </c>
      <c r="R1151" s="42">
        <v>73100</v>
      </c>
      <c r="T1151" s="284">
        <v>0</v>
      </c>
      <c r="U1151" s="284"/>
    </row>
    <row r="1152" spans="2:21" x14ac:dyDescent="0.25">
      <c r="B1152" s="292">
        <v>30</v>
      </c>
      <c r="C1152" s="292"/>
      <c r="D1152" s="292"/>
      <c r="F1152" s="283" t="s">
        <v>191</v>
      </c>
      <c r="G1152" s="283"/>
      <c r="J1152" s="293">
        <v>1</v>
      </c>
      <c r="K1152" s="293"/>
      <c r="L1152" s="293"/>
      <c r="M1152" s="293"/>
      <c r="N1152" s="293"/>
      <c r="P1152" s="42">
        <v>350</v>
      </c>
      <c r="R1152" s="42">
        <v>130</v>
      </c>
      <c r="T1152" s="284">
        <v>220</v>
      </c>
      <c r="U1152" s="284"/>
    </row>
    <row r="1153" spans="2:21" x14ac:dyDescent="0.25">
      <c r="B1153" s="292">
        <v>31</v>
      </c>
      <c r="C1153" s="292"/>
      <c r="D1153" s="292"/>
      <c r="F1153" s="283" t="s">
        <v>190</v>
      </c>
      <c r="G1153" s="283"/>
      <c r="J1153" s="293">
        <v>15</v>
      </c>
      <c r="K1153" s="293"/>
      <c r="L1153" s="293"/>
      <c r="M1153" s="293"/>
      <c r="N1153" s="293"/>
      <c r="P1153" s="42">
        <v>23550</v>
      </c>
      <c r="R1153" s="42">
        <v>3600</v>
      </c>
      <c r="T1153" s="284">
        <v>19950</v>
      </c>
      <c r="U1153" s="284"/>
    </row>
    <row r="1154" spans="2:21" x14ac:dyDescent="0.25">
      <c r="B1154" s="292">
        <v>32</v>
      </c>
      <c r="C1154" s="292"/>
      <c r="D1154" s="292"/>
      <c r="F1154" s="283" t="s">
        <v>264</v>
      </c>
      <c r="G1154" s="283"/>
      <c r="J1154" s="293">
        <v>1</v>
      </c>
      <c r="K1154" s="293"/>
      <c r="L1154" s="293"/>
      <c r="M1154" s="293"/>
      <c r="N1154" s="293"/>
      <c r="P1154" s="42">
        <v>1290</v>
      </c>
      <c r="R1154" s="42">
        <v>0</v>
      </c>
      <c r="T1154" s="284">
        <v>1290</v>
      </c>
      <c r="U1154" s="284"/>
    </row>
    <row r="1155" spans="2:21" x14ac:dyDescent="0.25">
      <c r="B1155" s="292">
        <v>33</v>
      </c>
      <c r="C1155" s="292"/>
      <c r="D1155" s="292"/>
      <c r="F1155" s="283" t="s">
        <v>189</v>
      </c>
      <c r="G1155" s="283"/>
      <c r="J1155" s="293">
        <v>1</v>
      </c>
      <c r="K1155" s="293"/>
      <c r="L1155" s="293"/>
      <c r="M1155" s="293"/>
      <c r="N1155" s="293"/>
      <c r="P1155" s="42">
        <v>1140</v>
      </c>
      <c r="R1155" s="42">
        <v>0</v>
      </c>
      <c r="T1155" s="284">
        <v>1140</v>
      </c>
      <c r="U1155" s="284"/>
    </row>
    <row r="1156" spans="2:21" x14ac:dyDescent="0.25">
      <c r="B1156" s="292">
        <v>34</v>
      </c>
      <c r="C1156" s="292"/>
      <c r="D1156" s="292"/>
      <c r="F1156" s="283" t="s">
        <v>230</v>
      </c>
      <c r="G1156" s="283"/>
      <c r="J1156" s="293">
        <v>1</v>
      </c>
      <c r="K1156" s="293"/>
      <c r="L1156" s="293"/>
      <c r="M1156" s="293"/>
      <c r="N1156" s="293"/>
      <c r="P1156" s="42">
        <v>950</v>
      </c>
      <c r="R1156" s="42">
        <v>140</v>
      </c>
      <c r="T1156" s="284">
        <v>810</v>
      </c>
      <c r="U1156" s="284"/>
    </row>
    <row r="1157" spans="2:21" x14ac:dyDescent="0.25">
      <c r="B1157" s="292">
        <v>35</v>
      </c>
      <c r="C1157" s="292"/>
      <c r="D1157" s="292"/>
      <c r="F1157" s="283" t="s">
        <v>135</v>
      </c>
      <c r="G1157" s="283"/>
      <c r="J1157" s="293">
        <v>38</v>
      </c>
      <c r="K1157" s="293"/>
      <c r="L1157" s="293"/>
      <c r="M1157" s="293"/>
      <c r="N1157" s="293"/>
      <c r="P1157" s="42">
        <v>36100</v>
      </c>
      <c r="R1157" s="42">
        <v>10640</v>
      </c>
      <c r="T1157" s="284">
        <v>25460</v>
      </c>
      <c r="U1157" s="284"/>
    </row>
    <row r="1158" spans="2:21" x14ac:dyDescent="0.25">
      <c r="B1158" s="292">
        <v>36</v>
      </c>
      <c r="C1158" s="292"/>
      <c r="D1158" s="292"/>
      <c r="F1158" s="283" t="s">
        <v>134</v>
      </c>
      <c r="G1158" s="283"/>
      <c r="J1158" s="293">
        <v>3</v>
      </c>
      <c r="K1158" s="293"/>
      <c r="L1158" s="293"/>
      <c r="M1158" s="293"/>
      <c r="N1158" s="293"/>
      <c r="P1158" s="42">
        <v>11100</v>
      </c>
      <c r="R1158" s="42">
        <v>1600</v>
      </c>
      <c r="T1158" s="284">
        <v>9500</v>
      </c>
      <c r="U1158" s="284"/>
    </row>
    <row r="1159" spans="2:21" x14ac:dyDescent="0.25">
      <c r="B1159" s="292">
        <v>37</v>
      </c>
      <c r="C1159" s="292"/>
      <c r="D1159" s="292"/>
      <c r="F1159" s="283" t="s">
        <v>229</v>
      </c>
      <c r="G1159" s="283"/>
      <c r="J1159" s="293">
        <v>3</v>
      </c>
      <c r="K1159" s="293"/>
      <c r="L1159" s="293"/>
      <c r="M1159" s="293"/>
      <c r="N1159" s="293"/>
      <c r="P1159" s="42">
        <v>21000</v>
      </c>
      <c r="R1159" s="42">
        <v>6200</v>
      </c>
      <c r="T1159" s="284">
        <v>14800</v>
      </c>
      <c r="U1159" s="284"/>
    </row>
    <row r="1160" spans="2:21" x14ac:dyDescent="0.25">
      <c r="B1160" s="292">
        <v>38</v>
      </c>
      <c r="C1160" s="292"/>
      <c r="D1160" s="292"/>
      <c r="F1160" s="283" t="s">
        <v>133</v>
      </c>
      <c r="G1160" s="283"/>
      <c r="J1160" s="293">
        <v>1</v>
      </c>
      <c r="K1160" s="293"/>
      <c r="L1160" s="293"/>
      <c r="M1160" s="293"/>
      <c r="N1160" s="293"/>
      <c r="P1160" s="42">
        <v>1090</v>
      </c>
      <c r="R1160" s="42">
        <v>0</v>
      </c>
      <c r="T1160" s="284">
        <v>1090</v>
      </c>
      <c r="U1160" s="284"/>
    </row>
    <row r="1161" spans="2:21" x14ac:dyDescent="0.25">
      <c r="B1161" s="292">
        <v>39</v>
      </c>
      <c r="C1161" s="292"/>
      <c r="D1161" s="292"/>
      <c r="F1161" s="283" t="s">
        <v>132</v>
      </c>
      <c r="G1161" s="283"/>
      <c r="J1161" s="293">
        <v>51</v>
      </c>
      <c r="K1161" s="293"/>
      <c r="L1161" s="293"/>
      <c r="M1161" s="293"/>
      <c r="N1161" s="293"/>
      <c r="P1161" s="42">
        <v>63240</v>
      </c>
      <c r="R1161" s="42">
        <v>18748</v>
      </c>
      <c r="T1161" s="284">
        <v>44492</v>
      </c>
      <c r="U1161" s="284"/>
    </row>
    <row r="1162" spans="2:21" x14ac:dyDescent="0.25">
      <c r="B1162" s="292">
        <v>40</v>
      </c>
      <c r="C1162" s="292"/>
      <c r="D1162" s="292"/>
      <c r="F1162" s="283" t="s">
        <v>392</v>
      </c>
      <c r="G1162" s="283"/>
      <c r="J1162" s="293">
        <v>2</v>
      </c>
      <c r="K1162" s="293"/>
      <c r="L1162" s="293"/>
      <c r="M1162" s="293"/>
      <c r="N1162" s="293"/>
      <c r="P1162" s="42">
        <v>18000</v>
      </c>
      <c r="R1162" s="42">
        <v>1800</v>
      </c>
      <c r="T1162" s="284">
        <v>16200</v>
      </c>
      <c r="U1162" s="284"/>
    </row>
    <row r="1163" spans="2:21" x14ac:dyDescent="0.25">
      <c r="B1163" s="292">
        <v>41</v>
      </c>
      <c r="C1163" s="292"/>
      <c r="D1163" s="292"/>
      <c r="F1163" s="283" t="s">
        <v>131</v>
      </c>
      <c r="G1163" s="283"/>
      <c r="J1163" s="293">
        <v>29</v>
      </c>
      <c r="K1163" s="293"/>
      <c r="L1163" s="293"/>
      <c r="M1163" s="293"/>
      <c r="N1163" s="293"/>
      <c r="P1163" s="42">
        <v>107300</v>
      </c>
      <c r="R1163" s="42">
        <v>17212</v>
      </c>
      <c r="T1163" s="284">
        <v>90088</v>
      </c>
      <c r="U1163" s="284"/>
    </row>
    <row r="1164" spans="2:21" x14ac:dyDescent="0.25">
      <c r="B1164" s="292">
        <v>42</v>
      </c>
      <c r="C1164" s="292"/>
      <c r="D1164" s="292"/>
      <c r="F1164" s="283" t="s">
        <v>130</v>
      </c>
      <c r="G1164" s="283"/>
      <c r="J1164" s="293">
        <v>7</v>
      </c>
      <c r="K1164" s="293"/>
      <c r="L1164" s="293"/>
      <c r="M1164" s="293"/>
      <c r="N1164" s="293"/>
      <c r="P1164" s="42">
        <v>56000</v>
      </c>
      <c r="R1164" s="42">
        <v>28700</v>
      </c>
      <c r="T1164" s="284">
        <v>27300</v>
      </c>
      <c r="U1164" s="284"/>
    </row>
    <row r="1165" spans="2:21" x14ac:dyDescent="0.25">
      <c r="B1165" s="292">
        <v>43</v>
      </c>
      <c r="C1165" s="292"/>
      <c r="D1165" s="292"/>
      <c r="F1165" s="283" t="s">
        <v>128</v>
      </c>
      <c r="G1165" s="283"/>
      <c r="J1165" s="293">
        <v>2</v>
      </c>
      <c r="K1165" s="293"/>
      <c r="L1165" s="293"/>
      <c r="M1165" s="293"/>
      <c r="N1165" s="293"/>
      <c r="P1165" s="42">
        <v>2300</v>
      </c>
      <c r="R1165" s="42">
        <v>340</v>
      </c>
      <c r="T1165" s="284">
        <v>1960</v>
      </c>
      <c r="U1165" s="284"/>
    </row>
    <row r="1166" spans="2:21" x14ac:dyDescent="0.25">
      <c r="B1166" s="292">
        <v>44</v>
      </c>
      <c r="C1166" s="292"/>
      <c r="D1166" s="292"/>
      <c r="F1166" s="283" t="s">
        <v>127</v>
      </c>
      <c r="G1166" s="283"/>
      <c r="J1166" s="293">
        <v>50</v>
      </c>
      <c r="K1166" s="293"/>
      <c r="L1166" s="293"/>
      <c r="M1166" s="293"/>
      <c r="N1166" s="293"/>
      <c r="P1166" s="42">
        <v>15000</v>
      </c>
      <c r="R1166" s="42">
        <v>4623</v>
      </c>
      <c r="T1166" s="284">
        <v>10377</v>
      </c>
      <c r="U1166" s="284"/>
    </row>
    <row r="1167" spans="2:21" x14ac:dyDescent="0.25">
      <c r="B1167" s="292">
        <v>45</v>
      </c>
      <c r="C1167" s="292"/>
      <c r="D1167" s="292"/>
      <c r="F1167" s="283" t="s">
        <v>126</v>
      </c>
      <c r="G1167" s="283"/>
      <c r="J1167" s="293">
        <v>36</v>
      </c>
      <c r="K1167" s="293"/>
      <c r="L1167" s="293"/>
      <c r="M1167" s="293"/>
      <c r="N1167" s="293"/>
      <c r="P1167" s="42">
        <v>7200</v>
      </c>
      <c r="R1167" s="42">
        <v>2241</v>
      </c>
      <c r="T1167" s="284">
        <v>4959</v>
      </c>
      <c r="U1167" s="284"/>
    </row>
    <row r="1168" spans="2:21" x14ac:dyDescent="0.25">
      <c r="B1168" s="292">
        <v>46</v>
      </c>
      <c r="C1168" s="292"/>
      <c r="D1168" s="292"/>
      <c r="F1168" s="283" t="s">
        <v>125</v>
      </c>
      <c r="G1168" s="283"/>
      <c r="J1168" s="293">
        <v>7</v>
      </c>
      <c r="K1168" s="293"/>
      <c r="L1168" s="293"/>
      <c r="M1168" s="293"/>
      <c r="N1168" s="293"/>
      <c r="P1168" s="42">
        <v>2800</v>
      </c>
      <c r="R1168" s="42">
        <v>840</v>
      </c>
      <c r="T1168" s="284">
        <v>1960</v>
      </c>
      <c r="U1168" s="284"/>
    </row>
    <row r="1169" spans="2:21" x14ac:dyDescent="0.25">
      <c r="B1169" s="292">
        <v>47</v>
      </c>
      <c r="C1169" s="292"/>
      <c r="D1169" s="292"/>
      <c r="F1169" s="283" t="s">
        <v>124</v>
      </c>
      <c r="G1169" s="283"/>
      <c r="J1169" s="293">
        <v>11</v>
      </c>
      <c r="K1169" s="293"/>
      <c r="L1169" s="293"/>
      <c r="M1169" s="293"/>
      <c r="N1169" s="293"/>
      <c r="P1169" s="42">
        <v>7440</v>
      </c>
      <c r="R1169" s="42">
        <v>2200</v>
      </c>
      <c r="T1169" s="284">
        <v>5240</v>
      </c>
      <c r="U1169" s="284"/>
    </row>
    <row r="1170" spans="2:21" x14ac:dyDescent="0.25">
      <c r="B1170" s="292">
        <v>48</v>
      </c>
      <c r="C1170" s="292"/>
      <c r="D1170" s="292"/>
      <c r="F1170" s="283" t="s">
        <v>184</v>
      </c>
      <c r="G1170" s="283"/>
      <c r="J1170" s="293">
        <v>1</v>
      </c>
      <c r="K1170" s="293"/>
      <c r="L1170" s="293"/>
      <c r="M1170" s="293"/>
      <c r="N1170" s="293"/>
      <c r="P1170" s="42">
        <v>1080</v>
      </c>
      <c r="R1170" s="42">
        <v>160</v>
      </c>
      <c r="T1170" s="284">
        <v>920</v>
      </c>
      <c r="U1170" s="284"/>
    </row>
    <row r="1171" spans="2:21" x14ac:dyDescent="0.25">
      <c r="B1171" s="292">
        <v>49</v>
      </c>
      <c r="C1171" s="292"/>
      <c r="D1171" s="292"/>
      <c r="F1171" s="283" t="s">
        <v>121</v>
      </c>
      <c r="G1171" s="283"/>
      <c r="J1171" s="293">
        <v>2</v>
      </c>
      <c r="K1171" s="293"/>
      <c r="L1171" s="293"/>
      <c r="M1171" s="293"/>
      <c r="N1171" s="293"/>
      <c r="P1171" s="42">
        <v>1000</v>
      </c>
      <c r="R1171" s="42">
        <v>300</v>
      </c>
      <c r="T1171" s="284">
        <v>700</v>
      </c>
      <c r="U1171" s="284"/>
    </row>
    <row r="1172" spans="2:21" x14ac:dyDescent="0.25">
      <c r="B1172" s="292">
        <v>50</v>
      </c>
      <c r="C1172" s="292"/>
      <c r="D1172" s="292"/>
      <c r="F1172" s="283" t="s">
        <v>120</v>
      </c>
      <c r="G1172" s="283"/>
      <c r="J1172" s="293">
        <v>1</v>
      </c>
      <c r="K1172" s="293"/>
      <c r="L1172" s="293"/>
      <c r="M1172" s="293"/>
      <c r="N1172" s="293"/>
      <c r="P1172" s="42">
        <v>350</v>
      </c>
      <c r="R1172" s="42">
        <v>60</v>
      </c>
      <c r="T1172" s="284">
        <v>290</v>
      </c>
      <c r="U1172" s="284"/>
    </row>
    <row r="1173" spans="2:21" x14ac:dyDescent="0.25">
      <c r="B1173" s="292">
        <v>51</v>
      </c>
      <c r="C1173" s="292"/>
      <c r="D1173" s="292"/>
      <c r="F1173" s="283" t="s">
        <v>119</v>
      </c>
      <c r="G1173" s="283"/>
      <c r="J1173" s="293">
        <v>36</v>
      </c>
      <c r="K1173" s="293"/>
      <c r="L1173" s="293"/>
      <c r="M1173" s="293"/>
      <c r="N1173" s="293"/>
      <c r="P1173" s="42">
        <v>32040</v>
      </c>
      <c r="R1173" s="42">
        <v>9986</v>
      </c>
      <c r="T1173" s="284">
        <v>22054</v>
      </c>
      <c r="U1173" s="284"/>
    </row>
    <row r="1174" spans="2:21" x14ac:dyDescent="0.25">
      <c r="B1174" s="292">
        <v>52</v>
      </c>
      <c r="C1174" s="292"/>
      <c r="D1174" s="292"/>
      <c r="F1174" s="283" t="s">
        <v>118</v>
      </c>
      <c r="G1174" s="283"/>
      <c r="J1174" s="293">
        <v>242</v>
      </c>
      <c r="K1174" s="293"/>
      <c r="L1174" s="293"/>
      <c r="M1174" s="293"/>
      <c r="N1174" s="293"/>
      <c r="P1174" s="42">
        <v>239580</v>
      </c>
      <c r="R1174" s="42">
        <v>81424</v>
      </c>
      <c r="T1174" s="284">
        <v>158156</v>
      </c>
      <c r="U1174" s="284"/>
    </row>
    <row r="1175" spans="2:21" x14ac:dyDescent="0.25">
      <c r="B1175" s="292">
        <v>53</v>
      </c>
      <c r="C1175" s="292"/>
      <c r="D1175" s="292"/>
      <c r="F1175" s="283" t="s">
        <v>115</v>
      </c>
      <c r="G1175" s="283"/>
      <c r="J1175" s="293">
        <v>41</v>
      </c>
      <c r="K1175" s="293"/>
      <c r="L1175" s="293"/>
      <c r="M1175" s="293"/>
      <c r="N1175" s="293"/>
      <c r="P1175" s="42">
        <v>11890</v>
      </c>
      <c r="R1175" s="42">
        <v>3866</v>
      </c>
      <c r="T1175" s="284">
        <v>8024</v>
      </c>
      <c r="U1175" s="284"/>
    </row>
    <row r="1176" spans="2:21" x14ac:dyDescent="0.25">
      <c r="B1176" s="292">
        <v>54</v>
      </c>
      <c r="C1176" s="292"/>
      <c r="D1176" s="292"/>
      <c r="F1176" s="283" t="s">
        <v>171</v>
      </c>
      <c r="G1176" s="283"/>
      <c r="J1176" s="293">
        <v>1</v>
      </c>
      <c r="K1176" s="293"/>
      <c r="L1176" s="293"/>
      <c r="M1176" s="293"/>
      <c r="N1176" s="293"/>
      <c r="P1176" s="42">
        <v>530</v>
      </c>
      <c r="R1176" s="42">
        <v>160</v>
      </c>
      <c r="T1176" s="284">
        <v>370</v>
      </c>
      <c r="U1176" s="284"/>
    </row>
    <row r="1177" spans="2:21" x14ac:dyDescent="0.25">
      <c r="B1177" s="292">
        <v>55</v>
      </c>
      <c r="C1177" s="292"/>
      <c r="D1177" s="292"/>
      <c r="F1177" s="283" t="s">
        <v>111</v>
      </c>
      <c r="G1177" s="283"/>
      <c r="J1177" s="293">
        <v>4</v>
      </c>
      <c r="K1177" s="293"/>
      <c r="L1177" s="293"/>
      <c r="M1177" s="293"/>
      <c r="N1177" s="293"/>
      <c r="P1177" s="42">
        <v>1720</v>
      </c>
      <c r="R1177" s="42">
        <v>520</v>
      </c>
      <c r="T1177" s="284">
        <v>1200</v>
      </c>
      <c r="U1177" s="284"/>
    </row>
    <row r="1178" spans="2:21" x14ac:dyDescent="0.25">
      <c r="B1178" s="292">
        <v>56</v>
      </c>
      <c r="C1178" s="292"/>
      <c r="D1178" s="292"/>
      <c r="F1178" s="283" t="s">
        <v>257</v>
      </c>
      <c r="G1178" s="283"/>
      <c r="J1178" s="293">
        <v>1</v>
      </c>
      <c r="K1178" s="293"/>
      <c r="L1178" s="293"/>
      <c r="M1178" s="293"/>
      <c r="N1178" s="293"/>
      <c r="P1178" s="42">
        <v>990</v>
      </c>
      <c r="R1178" s="42">
        <v>150</v>
      </c>
      <c r="T1178" s="284">
        <v>840</v>
      </c>
      <c r="U1178" s="284"/>
    </row>
    <row r="1179" spans="2:21" x14ac:dyDescent="0.25">
      <c r="B1179" s="292">
        <v>57</v>
      </c>
      <c r="C1179" s="292"/>
      <c r="D1179" s="292"/>
      <c r="F1179" s="283" t="s">
        <v>109</v>
      </c>
      <c r="G1179" s="283"/>
      <c r="J1179" s="293">
        <v>3</v>
      </c>
      <c r="K1179" s="293"/>
      <c r="L1179" s="293"/>
      <c r="M1179" s="293"/>
      <c r="N1179" s="293"/>
      <c r="P1179" s="42">
        <v>2340</v>
      </c>
      <c r="R1179" s="42">
        <v>690</v>
      </c>
      <c r="T1179" s="284">
        <v>1650</v>
      </c>
      <c r="U1179" s="284"/>
    </row>
    <row r="1180" spans="2:21" x14ac:dyDescent="0.25">
      <c r="B1180" s="292">
        <v>58</v>
      </c>
      <c r="C1180" s="292"/>
      <c r="D1180" s="292"/>
      <c r="F1180" s="283" t="s">
        <v>108</v>
      </c>
      <c r="G1180" s="283"/>
      <c r="J1180" s="293">
        <v>36</v>
      </c>
      <c r="K1180" s="293"/>
      <c r="L1180" s="293"/>
      <c r="M1180" s="293"/>
      <c r="N1180" s="293"/>
      <c r="P1180" s="42">
        <v>3600</v>
      </c>
      <c r="R1180" s="42">
        <v>180</v>
      </c>
      <c r="T1180" s="284">
        <v>3420</v>
      </c>
      <c r="U1180" s="284"/>
    </row>
    <row r="1181" spans="2:21" x14ac:dyDescent="0.25">
      <c r="B1181" s="292">
        <v>59</v>
      </c>
      <c r="C1181" s="292"/>
      <c r="D1181" s="292"/>
      <c r="F1181" s="283" t="s">
        <v>107</v>
      </c>
      <c r="G1181" s="283"/>
      <c r="J1181" s="293">
        <v>69</v>
      </c>
      <c r="K1181" s="293"/>
      <c r="L1181" s="293"/>
      <c r="M1181" s="293"/>
      <c r="N1181" s="293"/>
      <c r="P1181" s="42">
        <v>11730</v>
      </c>
      <c r="R1181" s="42">
        <v>3522</v>
      </c>
      <c r="T1181" s="284">
        <v>8208</v>
      </c>
      <c r="U1181" s="284"/>
    </row>
    <row r="1182" spans="2:21" x14ac:dyDescent="0.25">
      <c r="B1182" s="292">
        <v>60</v>
      </c>
      <c r="C1182" s="292"/>
      <c r="D1182" s="292"/>
      <c r="F1182" s="283" t="s">
        <v>106</v>
      </c>
      <c r="G1182" s="283"/>
      <c r="J1182" s="293">
        <v>139</v>
      </c>
      <c r="K1182" s="293"/>
      <c r="L1182" s="293"/>
      <c r="M1182" s="293"/>
      <c r="N1182" s="293"/>
      <c r="P1182" s="42">
        <v>13900</v>
      </c>
      <c r="R1182" s="42">
        <v>4140</v>
      </c>
      <c r="T1182" s="284">
        <v>9760</v>
      </c>
      <c r="U1182" s="284"/>
    </row>
    <row r="1183" spans="2:21" x14ac:dyDescent="0.25">
      <c r="B1183" s="292">
        <v>61</v>
      </c>
      <c r="C1183" s="292"/>
      <c r="D1183" s="292"/>
      <c r="F1183" s="283" t="s">
        <v>105</v>
      </c>
      <c r="G1183" s="283"/>
      <c r="J1183" s="293">
        <v>2</v>
      </c>
      <c r="K1183" s="293"/>
      <c r="L1183" s="293"/>
      <c r="M1183" s="293"/>
      <c r="N1183" s="293"/>
      <c r="P1183" s="42">
        <v>2300</v>
      </c>
      <c r="R1183" s="42">
        <v>0</v>
      </c>
      <c r="T1183" s="284">
        <v>2300</v>
      </c>
      <c r="U1183" s="284"/>
    </row>
    <row r="1184" spans="2:21" x14ac:dyDescent="0.25">
      <c r="B1184" s="292">
        <v>62</v>
      </c>
      <c r="C1184" s="292"/>
      <c r="D1184" s="292"/>
      <c r="F1184" s="283" t="s">
        <v>103</v>
      </c>
      <c r="G1184" s="283"/>
      <c r="J1184" s="293">
        <v>36</v>
      </c>
      <c r="K1184" s="293"/>
      <c r="L1184" s="293"/>
      <c r="M1184" s="293"/>
      <c r="N1184" s="293"/>
      <c r="P1184" s="42">
        <v>11880</v>
      </c>
      <c r="R1184" s="42">
        <v>4480</v>
      </c>
      <c r="T1184" s="284">
        <v>7400</v>
      </c>
      <c r="U1184" s="284"/>
    </row>
    <row r="1185" spans="2:21" x14ac:dyDescent="0.25">
      <c r="B1185" s="292">
        <v>63</v>
      </c>
      <c r="C1185" s="292"/>
      <c r="D1185" s="292"/>
      <c r="F1185" s="283" t="s">
        <v>275</v>
      </c>
      <c r="G1185" s="283"/>
      <c r="J1185" s="293">
        <v>1</v>
      </c>
      <c r="K1185" s="293"/>
      <c r="L1185" s="293"/>
      <c r="M1185" s="293"/>
      <c r="N1185" s="293"/>
      <c r="P1185" s="42">
        <v>700</v>
      </c>
      <c r="R1185" s="42">
        <v>350</v>
      </c>
      <c r="T1185" s="284">
        <v>350</v>
      </c>
      <c r="U1185" s="284"/>
    </row>
    <row r="1186" spans="2:21" x14ac:dyDescent="0.25">
      <c r="B1186" s="292">
        <v>64</v>
      </c>
      <c r="C1186" s="292"/>
      <c r="D1186" s="292"/>
      <c r="F1186" s="283" t="s">
        <v>102</v>
      </c>
      <c r="G1186" s="283"/>
      <c r="J1186" s="293">
        <v>1</v>
      </c>
      <c r="K1186" s="293"/>
      <c r="L1186" s="293"/>
      <c r="M1186" s="293"/>
      <c r="N1186" s="293"/>
      <c r="P1186" s="42">
        <v>880</v>
      </c>
      <c r="R1186" s="42">
        <v>130</v>
      </c>
      <c r="T1186" s="284">
        <v>750</v>
      </c>
      <c r="U1186" s="284"/>
    </row>
    <row r="1187" spans="2:21" x14ac:dyDescent="0.25">
      <c r="B1187" s="292">
        <v>65</v>
      </c>
      <c r="C1187" s="292"/>
      <c r="D1187" s="292"/>
      <c r="F1187" s="283" t="s">
        <v>179</v>
      </c>
      <c r="G1187" s="283"/>
      <c r="J1187" s="293">
        <v>2</v>
      </c>
      <c r="K1187" s="293"/>
      <c r="L1187" s="293"/>
      <c r="M1187" s="293"/>
      <c r="N1187" s="293"/>
      <c r="P1187" s="42">
        <v>1760</v>
      </c>
      <c r="R1187" s="42">
        <v>260</v>
      </c>
      <c r="T1187" s="284">
        <v>1500</v>
      </c>
      <c r="U1187" s="284"/>
    </row>
    <row r="1188" spans="2:21" x14ac:dyDescent="0.25">
      <c r="B1188" s="292">
        <v>66</v>
      </c>
      <c r="C1188" s="292"/>
      <c r="D1188" s="292"/>
      <c r="F1188" s="283" t="s">
        <v>100</v>
      </c>
      <c r="G1188" s="283"/>
      <c r="J1188" s="293">
        <v>3</v>
      </c>
      <c r="K1188" s="293"/>
      <c r="L1188" s="293"/>
      <c r="M1188" s="293"/>
      <c r="N1188" s="293"/>
      <c r="P1188" s="42">
        <v>540</v>
      </c>
      <c r="R1188" s="42">
        <v>150</v>
      </c>
      <c r="T1188" s="284">
        <v>390</v>
      </c>
      <c r="U1188" s="284"/>
    </row>
    <row r="1189" spans="2:21" x14ac:dyDescent="0.25">
      <c r="B1189" s="292">
        <v>67</v>
      </c>
      <c r="C1189" s="292"/>
      <c r="D1189" s="292"/>
      <c r="F1189" s="283" t="s">
        <v>178</v>
      </c>
      <c r="G1189" s="283"/>
      <c r="J1189" s="293">
        <v>3</v>
      </c>
      <c r="K1189" s="293"/>
      <c r="L1189" s="293"/>
      <c r="M1189" s="293"/>
      <c r="N1189" s="293"/>
      <c r="P1189" s="42">
        <v>4950</v>
      </c>
      <c r="R1189" s="42">
        <v>0</v>
      </c>
      <c r="T1189" s="284">
        <v>4950</v>
      </c>
      <c r="U1189" s="284"/>
    </row>
    <row r="1190" spans="2:21" x14ac:dyDescent="0.25">
      <c r="B1190" s="292">
        <v>68</v>
      </c>
      <c r="C1190" s="292"/>
      <c r="D1190" s="292"/>
      <c r="F1190" s="283" t="s">
        <v>99</v>
      </c>
      <c r="G1190" s="283"/>
      <c r="J1190" s="293">
        <v>3</v>
      </c>
      <c r="K1190" s="293"/>
      <c r="L1190" s="293"/>
      <c r="M1190" s="293"/>
      <c r="N1190" s="293"/>
      <c r="P1190" s="42">
        <v>1770</v>
      </c>
      <c r="R1190" s="42">
        <v>270</v>
      </c>
      <c r="T1190" s="284">
        <v>1500</v>
      </c>
      <c r="U1190" s="284"/>
    </row>
    <row r="1191" spans="2:21" x14ac:dyDescent="0.25">
      <c r="B1191" s="292">
        <v>69</v>
      </c>
      <c r="C1191" s="292"/>
      <c r="D1191" s="292"/>
      <c r="F1191" s="283" t="s">
        <v>98</v>
      </c>
      <c r="G1191" s="283"/>
      <c r="J1191" s="293">
        <v>3</v>
      </c>
      <c r="K1191" s="293"/>
      <c r="L1191" s="293"/>
      <c r="M1191" s="293"/>
      <c r="N1191" s="293"/>
      <c r="P1191" s="42">
        <v>1710</v>
      </c>
      <c r="R1191" s="42">
        <v>240</v>
      </c>
      <c r="T1191" s="284">
        <v>1470</v>
      </c>
      <c r="U1191" s="284"/>
    </row>
    <row r="1192" spans="2:21" x14ac:dyDescent="0.25">
      <c r="B1192" s="292">
        <v>70</v>
      </c>
      <c r="C1192" s="292"/>
      <c r="D1192" s="292"/>
      <c r="F1192" s="283" t="s">
        <v>97</v>
      </c>
      <c r="G1192" s="283"/>
      <c r="J1192" s="293">
        <v>7</v>
      </c>
      <c r="K1192" s="293"/>
      <c r="L1192" s="293"/>
      <c r="M1192" s="293"/>
      <c r="N1192" s="293"/>
      <c r="P1192" s="42">
        <v>11130</v>
      </c>
      <c r="R1192" s="42">
        <v>1758</v>
      </c>
      <c r="T1192" s="284">
        <v>9372</v>
      </c>
      <c r="U1192" s="284"/>
    </row>
    <row r="1193" spans="2:21" x14ac:dyDescent="0.25">
      <c r="B1193" s="292">
        <v>71</v>
      </c>
      <c r="C1193" s="292"/>
      <c r="D1193" s="292"/>
      <c r="F1193" s="283" t="s">
        <v>253</v>
      </c>
      <c r="G1193" s="283"/>
      <c r="J1193" s="293">
        <v>1</v>
      </c>
      <c r="K1193" s="293"/>
      <c r="L1193" s="293"/>
      <c r="M1193" s="293"/>
      <c r="N1193" s="293"/>
      <c r="P1193" s="42">
        <v>290</v>
      </c>
      <c r="R1193" s="42">
        <v>130</v>
      </c>
      <c r="T1193" s="284">
        <v>160</v>
      </c>
      <c r="U1193" s="284"/>
    </row>
    <row r="1194" spans="2:21" x14ac:dyDescent="0.25">
      <c r="B1194" s="292">
        <v>72</v>
      </c>
      <c r="C1194" s="292"/>
      <c r="D1194" s="292"/>
      <c r="F1194" s="283" t="s">
        <v>93</v>
      </c>
      <c r="G1194" s="283"/>
      <c r="J1194" s="293">
        <v>11</v>
      </c>
      <c r="K1194" s="293"/>
      <c r="L1194" s="293"/>
      <c r="M1194" s="293"/>
      <c r="N1194" s="293"/>
      <c r="P1194" s="42">
        <v>6490</v>
      </c>
      <c r="R1194" s="42">
        <v>990</v>
      </c>
      <c r="T1194" s="284">
        <v>5500</v>
      </c>
      <c r="U1194" s="284"/>
    </row>
    <row r="1195" spans="2:21" x14ac:dyDescent="0.25">
      <c r="B1195" s="292">
        <v>73</v>
      </c>
      <c r="C1195" s="292"/>
      <c r="D1195" s="292"/>
      <c r="F1195" s="283" t="s">
        <v>92</v>
      </c>
      <c r="G1195" s="283"/>
      <c r="J1195" s="293">
        <v>87</v>
      </c>
      <c r="K1195" s="293"/>
      <c r="L1195" s="293"/>
      <c r="M1195" s="293"/>
      <c r="N1195" s="293"/>
      <c r="P1195" s="42">
        <v>70840</v>
      </c>
      <c r="R1195" s="42">
        <v>20832</v>
      </c>
      <c r="T1195" s="284">
        <v>50008</v>
      </c>
      <c r="U1195" s="284"/>
    </row>
    <row r="1196" spans="2:21" x14ac:dyDescent="0.25">
      <c r="B1196" s="292">
        <v>74</v>
      </c>
      <c r="C1196" s="292"/>
      <c r="D1196" s="292"/>
      <c r="F1196" s="283" t="s">
        <v>91</v>
      </c>
      <c r="G1196" s="283"/>
      <c r="J1196" s="293">
        <v>44</v>
      </c>
      <c r="K1196" s="293"/>
      <c r="L1196" s="293"/>
      <c r="M1196" s="293"/>
      <c r="N1196" s="293"/>
      <c r="P1196" s="42">
        <v>11000</v>
      </c>
      <c r="R1196" s="42">
        <v>3080</v>
      </c>
      <c r="T1196" s="284">
        <v>7920</v>
      </c>
      <c r="U1196" s="284"/>
    </row>
    <row r="1197" spans="2:21" x14ac:dyDescent="0.25">
      <c r="B1197" s="292">
        <v>75</v>
      </c>
      <c r="C1197" s="292"/>
      <c r="D1197" s="292"/>
      <c r="F1197" s="283" t="s">
        <v>90</v>
      </c>
      <c r="G1197" s="283"/>
      <c r="J1197" s="293">
        <v>22</v>
      </c>
      <c r="K1197" s="293"/>
      <c r="L1197" s="293"/>
      <c r="M1197" s="293"/>
      <c r="N1197" s="293"/>
      <c r="P1197" s="42">
        <v>6380</v>
      </c>
      <c r="R1197" s="42">
        <v>1760</v>
      </c>
      <c r="T1197" s="284">
        <v>4620</v>
      </c>
      <c r="U1197" s="284"/>
    </row>
    <row r="1198" spans="2:21" x14ac:dyDescent="0.25">
      <c r="B1198" s="292">
        <v>76</v>
      </c>
      <c r="C1198" s="292"/>
      <c r="D1198" s="292"/>
      <c r="F1198" s="283" t="s">
        <v>89</v>
      </c>
      <c r="G1198" s="283"/>
      <c r="J1198" s="293">
        <v>5</v>
      </c>
      <c r="K1198" s="293"/>
      <c r="L1198" s="293"/>
      <c r="M1198" s="293"/>
      <c r="N1198" s="293"/>
      <c r="P1198" s="42">
        <v>4400</v>
      </c>
      <c r="R1198" s="42">
        <v>650</v>
      </c>
      <c r="T1198" s="284">
        <v>3750</v>
      </c>
      <c r="U1198" s="284"/>
    </row>
    <row r="1199" spans="2:21" x14ac:dyDescent="0.25">
      <c r="B1199" s="292">
        <v>77</v>
      </c>
      <c r="C1199" s="292"/>
      <c r="D1199" s="292"/>
      <c r="F1199" s="283" t="s">
        <v>88</v>
      </c>
      <c r="G1199" s="283"/>
      <c r="J1199" s="293">
        <v>61</v>
      </c>
      <c r="K1199" s="293"/>
      <c r="L1199" s="293"/>
      <c r="M1199" s="293"/>
      <c r="N1199" s="293"/>
      <c r="P1199" s="42">
        <v>10980</v>
      </c>
      <c r="R1199" s="42">
        <v>3464</v>
      </c>
      <c r="T1199" s="284">
        <v>7516</v>
      </c>
      <c r="U1199" s="284"/>
    </row>
    <row r="1200" spans="2:21" x14ac:dyDescent="0.25">
      <c r="B1200" s="292">
        <v>78</v>
      </c>
      <c r="C1200" s="292"/>
      <c r="D1200" s="292"/>
      <c r="F1200" s="283" t="s">
        <v>87</v>
      </c>
      <c r="G1200" s="283"/>
      <c r="J1200" s="293">
        <v>1</v>
      </c>
      <c r="K1200" s="293"/>
      <c r="L1200" s="293"/>
      <c r="M1200" s="293"/>
      <c r="N1200" s="293"/>
      <c r="P1200" s="42">
        <v>290</v>
      </c>
      <c r="R1200" s="42">
        <v>80</v>
      </c>
      <c r="T1200" s="284">
        <v>210</v>
      </c>
      <c r="U1200" s="284"/>
    </row>
    <row r="1201" spans="1:21" x14ac:dyDescent="0.25">
      <c r="B1201" s="292">
        <v>79</v>
      </c>
      <c r="C1201" s="292"/>
      <c r="D1201" s="292"/>
      <c r="F1201" s="283" t="s">
        <v>86</v>
      </c>
      <c r="G1201" s="283"/>
      <c r="J1201" s="293">
        <v>3</v>
      </c>
      <c r="K1201" s="293"/>
      <c r="L1201" s="293"/>
      <c r="M1201" s="293"/>
      <c r="N1201" s="293"/>
      <c r="P1201" s="42">
        <v>3420</v>
      </c>
      <c r="R1201" s="42">
        <v>510</v>
      </c>
      <c r="T1201" s="284">
        <v>2910</v>
      </c>
      <c r="U1201" s="284"/>
    </row>
    <row r="1202" spans="1:21" x14ac:dyDescent="0.25">
      <c r="B1202" s="292">
        <v>80</v>
      </c>
      <c r="C1202" s="292"/>
      <c r="D1202" s="292"/>
      <c r="F1202" s="283" t="s">
        <v>85</v>
      </c>
      <c r="G1202" s="283"/>
      <c r="J1202" s="293">
        <v>5</v>
      </c>
      <c r="K1202" s="293"/>
      <c r="L1202" s="293"/>
      <c r="M1202" s="293"/>
      <c r="N1202" s="293"/>
      <c r="P1202" s="42">
        <v>10400</v>
      </c>
      <c r="R1202" s="42">
        <v>1550</v>
      </c>
      <c r="T1202" s="284">
        <v>8850</v>
      </c>
      <c r="U1202" s="284"/>
    </row>
    <row r="1203" spans="1:21" x14ac:dyDescent="0.25">
      <c r="B1203" s="292">
        <v>81</v>
      </c>
      <c r="C1203" s="292"/>
      <c r="D1203" s="292"/>
      <c r="F1203" s="283" t="s">
        <v>84</v>
      </c>
      <c r="G1203" s="283"/>
      <c r="J1203" s="293">
        <v>28</v>
      </c>
      <c r="K1203" s="293"/>
      <c r="L1203" s="293"/>
      <c r="M1203" s="293"/>
      <c r="N1203" s="293"/>
      <c r="P1203" s="42">
        <v>16520</v>
      </c>
      <c r="R1203" s="42">
        <v>4978</v>
      </c>
      <c r="T1203" s="284">
        <v>11542</v>
      </c>
      <c r="U1203" s="284"/>
    </row>
    <row r="1204" spans="1:21" x14ac:dyDescent="0.25">
      <c r="B1204" s="292">
        <v>82</v>
      </c>
      <c r="C1204" s="292"/>
      <c r="D1204" s="292"/>
      <c r="F1204" s="283" t="s">
        <v>83</v>
      </c>
      <c r="G1204" s="283"/>
      <c r="J1204" s="293">
        <v>1</v>
      </c>
      <c r="K1204" s="293"/>
      <c r="L1204" s="293"/>
      <c r="M1204" s="293"/>
      <c r="N1204" s="293"/>
      <c r="P1204" s="42">
        <v>500</v>
      </c>
      <c r="R1204" s="42">
        <v>150</v>
      </c>
      <c r="T1204" s="284">
        <v>350</v>
      </c>
      <c r="U1204" s="284"/>
    </row>
    <row r="1205" spans="1:21" x14ac:dyDescent="0.25">
      <c r="B1205" s="292">
        <v>83</v>
      </c>
      <c r="C1205" s="292"/>
      <c r="D1205" s="292"/>
      <c r="F1205" s="283" t="s">
        <v>82</v>
      </c>
      <c r="G1205" s="283"/>
      <c r="J1205" s="293">
        <v>29</v>
      </c>
      <c r="K1205" s="293"/>
      <c r="L1205" s="293"/>
      <c r="M1205" s="293"/>
      <c r="N1205" s="293"/>
      <c r="P1205" s="42">
        <v>8410</v>
      </c>
      <c r="R1205" s="42">
        <v>8410</v>
      </c>
      <c r="T1205" s="284">
        <v>0</v>
      </c>
      <c r="U1205" s="284"/>
    </row>
    <row r="1206" spans="1:21" x14ac:dyDescent="0.25">
      <c r="B1206" s="292">
        <v>84</v>
      </c>
      <c r="C1206" s="292"/>
      <c r="D1206" s="292"/>
      <c r="F1206" s="283" t="s">
        <v>81</v>
      </c>
      <c r="G1206" s="283"/>
      <c r="J1206" s="293">
        <v>29</v>
      </c>
      <c r="K1206" s="293"/>
      <c r="L1206" s="293"/>
      <c r="M1206" s="293"/>
      <c r="N1206" s="293"/>
      <c r="P1206" s="42">
        <v>8410</v>
      </c>
      <c r="R1206" s="42">
        <v>2320</v>
      </c>
      <c r="T1206" s="284">
        <v>6090</v>
      </c>
      <c r="U1206" s="284"/>
    </row>
    <row r="1207" spans="1:21" s="40" customFormat="1" x14ac:dyDescent="0.25">
      <c r="A1207" s="290" t="s">
        <v>436</v>
      </c>
      <c r="B1207" s="290"/>
      <c r="C1207" s="290"/>
      <c r="D1207" s="290"/>
      <c r="E1207" s="290"/>
      <c r="F1207" s="290"/>
      <c r="G1207" s="290"/>
      <c r="H1207" s="290"/>
      <c r="I1207" s="290"/>
      <c r="J1207" s="290"/>
      <c r="K1207" s="291">
        <v>1009</v>
      </c>
      <c r="L1207" s="291"/>
      <c r="M1207" s="291"/>
      <c r="N1207" s="291"/>
      <c r="O1207" s="291"/>
      <c r="P1207" s="41">
        <v>1862070</v>
      </c>
      <c r="R1207" s="41">
        <v>1861120</v>
      </c>
      <c r="T1207" s="287">
        <v>950</v>
      </c>
      <c r="U1207" s="287"/>
    </row>
    <row r="1208" spans="1:21" x14ac:dyDescent="0.25">
      <c r="B1208" s="292">
        <v>1</v>
      </c>
      <c r="C1208" s="292"/>
      <c r="D1208" s="292"/>
      <c r="F1208" s="283" t="s">
        <v>78</v>
      </c>
      <c r="G1208" s="283"/>
      <c r="J1208" s="293">
        <v>68</v>
      </c>
      <c r="K1208" s="293"/>
      <c r="L1208" s="293"/>
      <c r="M1208" s="293"/>
      <c r="N1208" s="293"/>
      <c r="P1208" s="42">
        <v>19720</v>
      </c>
      <c r="R1208" s="42">
        <v>19720</v>
      </c>
      <c r="T1208" s="284">
        <v>0</v>
      </c>
      <c r="U1208" s="284"/>
    </row>
    <row r="1209" spans="1:21" x14ac:dyDescent="0.25">
      <c r="B1209" s="292">
        <v>2</v>
      </c>
      <c r="C1209" s="292"/>
      <c r="D1209" s="292"/>
      <c r="F1209" s="283" t="s">
        <v>196</v>
      </c>
      <c r="G1209" s="283"/>
      <c r="J1209" s="293">
        <v>1</v>
      </c>
      <c r="K1209" s="293"/>
      <c r="L1209" s="293"/>
      <c r="M1209" s="293"/>
      <c r="N1209" s="293"/>
      <c r="P1209" s="42">
        <v>700</v>
      </c>
      <c r="R1209" s="42">
        <v>350</v>
      </c>
      <c r="T1209" s="284">
        <v>350</v>
      </c>
      <c r="U1209" s="284"/>
    </row>
    <row r="1210" spans="1:21" x14ac:dyDescent="0.25">
      <c r="B1210" s="292">
        <v>3</v>
      </c>
      <c r="C1210" s="292"/>
      <c r="D1210" s="292"/>
      <c r="F1210" s="283" t="s">
        <v>77</v>
      </c>
      <c r="G1210" s="283"/>
      <c r="J1210" s="293">
        <v>242</v>
      </c>
      <c r="K1210" s="293"/>
      <c r="L1210" s="293"/>
      <c r="M1210" s="293"/>
      <c r="N1210" s="293"/>
      <c r="P1210" s="42">
        <v>100000</v>
      </c>
      <c r="R1210" s="42">
        <v>100000</v>
      </c>
      <c r="T1210" s="284">
        <v>0</v>
      </c>
      <c r="U1210" s="284"/>
    </row>
    <row r="1211" spans="1:21" x14ac:dyDescent="0.25">
      <c r="B1211" s="292">
        <v>4</v>
      </c>
      <c r="C1211" s="292"/>
      <c r="D1211" s="292"/>
      <c r="F1211" s="283" t="s">
        <v>75</v>
      </c>
      <c r="G1211" s="283"/>
      <c r="J1211" s="293">
        <v>696</v>
      </c>
      <c r="K1211" s="293"/>
      <c r="L1211" s="293"/>
      <c r="M1211" s="293"/>
      <c r="N1211" s="293"/>
      <c r="P1211" s="42">
        <v>1740000</v>
      </c>
      <c r="R1211" s="42">
        <v>1740000</v>
      </c>
      <c r="T1211" s="284">
        <v>0</v>
      </c>
      <c r="U1211" s="284"/>
    </row>
    <row r="1212" spans="1:21" x14ac:dyDescent="0.25">
      <c r="B1212" s="292">
        <v>5</v>
      </c>
      <c r="C1212" s="292"/>
      <c r="D1212" s="292"/>
      <c r="F1212" s="283" t="s">
        <v>74</v>
      </c>
      <c r="G1212" s="283"/>
      <c r="J1212" s="293">
        <v>1</v>
      </c>
      <c r="K1212" s="293"/>
      <c r="L1212" s="293"/>
      <c r="M1212" s="293"/>
      <c r="N1212" s="293"/>
      <c r="P1212" s="42">
        <v>850</v>
      </c>
      <c r="R1212" s="42">
        <v>850</v>
      </c>
      <c r="T1212" s="284">
        <v>0</v>
      </c>
      <c r="U1212" s="284"/>
    </row>
    <row r="1213" spans="1:21" x14ac:dyDescent="0.25">
      <c r="B1213" s="292">
        <v>6</v>
      </c>
      <c r="C1213" s="292"/>
      <c r="D1213" s="292"/>
      <c r="F1213" s="285" t="s">
        <v>116</v>
      </c>
      <c r="G1213" s="285"/>
      <c r="J1213" s="293">
        <v>1</v>
      </c>
      <c r="K1213" s="293"/>
      <c r="L1213" s="293"/>
      <c r="M1213" s="293"/>
      <c r="N1213" s="293"/>
      <c r="P1213" s="42">
        <v>800</v>
      </c>
      <c r="R1213" s="42">
        <v>200</v>
      </c>
      <c r="T1213" s="284">
        <v>600</v>
      </c>
      <c r="U1213" s="284"/>
    </row>
    <row r="1214" spans="1:21" x14ac:dyDescent="0.25">
      <c r="F1214" s="285"/>
      <c r="G1214" s="285"/>
    </row>
    <row r="1215" spans="1:21" s="40" customFormat="1" x14ac:dyDescent="0.25">
      <c r="A1215" s="290" t="s">
        <v>435</v>
      </c>
      <c r="B1215" s="290"/>
      <c r="C1215" s="290"/>
      <c r="D1215" s="290"/>
      <c r="E1215" s="290"/>
      <c r="F1215" s="290"/>
      <c r="G1215" s="290"/>
      <c r="H1215" s="290"/>
      <c r="I1215" s="290"/>
      <c r="J1215" s="290"/>
      <c r="K1215" s="291">
        <v>7084</v>
      </c>
      <c r="L1215" s="291"/>
      <c r="M1215" s="291"/>
      <c r="N1215" s="291"/>
      <c r="O1215" s="291"/>
      <c r="P1215" s="41">
        <v>6153250</v>
      </c>
      <c r="R1215" s="41">
        <v>5367649</v>
      </c>
      <c r="T1215" s="287">
        <v>785601</v>
      </c>
      <c r="U1215" s="287"/>
    </row>
    <row r="1216" spans="1:21" x14ac:dyDescent="0.25">
      <c r="B1216" s="292">
        <v>1</v>
      </c>
      <c r="C1216" s="292"/>
      <c r="D1216" s="292"/>
      <c r="F1216" s="283" t="s">
        <v>168</v>
      </c>
      <c r="G1216" s="283"/>
      <c r="J1216" s="293">
        <v>1</v>
      </c>
      <c r="K1216" s="293"/>
      <c r="L1216" s="293"/>
      <c r="M1216" s="293"/>
      <c r="N1216" s="293"/>
      <c r="P1216" s="42">
        <v>2200</v>
      </c>
      <c r="R1216" s="42">
        <v>330</v>
      </c>
      <c r="T1216" s="284">
        <v>1870</v>
      </c>
      <c r="U1216" s="284"/>
    </row>
    <row r="1217" spans="2:21" x14ac:dyDescent="0.25">
      <c r="B1217" s="292">
        <v>2</v>
      </c>
      <c r="C1217" s="292"/>
      <c r="D1217" s="292"/>
      <c r="F1217" s="283" t="s">
        <v>78</v>
      </c>
      <c r="G1217" s="283"/>
      <c r="J1217" s="293">
        <v>227</v>
      </c>
      <c r="K1217" s="293"/>
      <c r="L1217" s="293"/>
      <c r="M1217" s="293"/>
      <c r="N1217" s="293"/>
      <c r="P1217" s="42">
        <v>65830</v>
      </c>
      <c r="R1217" s="42">
        <v>65830</v>
      </c>
      <c r="T1217" s="284">
        <v>0</v>
      </c>
      <c r="U1217" s="284"/>
    </row>
    <row r="1218" spans="2:21" x14ac:dyDescent="0.25">
      <c r="B1218" s="292">
        <v>3</v>
      </c>
      <c r="C1218" s="292"/>
      <c r="D1218" s="292"/>
      <c r="F1218" s="283" t="s">
        <v>268</v>
      </c>
      <c r="G1218" s="283"/>
      <c r="J1218" s="293">
        <v>2</v>
      </c>
      <c r="K1218" s="293"/>
      <c r="L1218" s="293"/>
      <c r="M1218" s="293"/>
      <c r="N1218" s="293"/>
      <c r="P1218" s="42">
        <v>500</v>
      </c>
      <c r="R1218" s="42">
        <v>140</v>
      </c>
      <c r="T1218" s="284">
        <v>360</v>
      </c>
      <c r="U1218" s="284"/>
    </row>
    <row r="1219" spans="2:21" x14ac:dyDescent="0.25">
      <c r="B1219" s="292">
        <v>4</v>
      </c>
      <c r="C1219" s="292"/>
      <c r="D1219" s="292"/>
      <c r="F1219" s="283" t="s">
        <v>199</v>
      </c>
      <c r="G1219" s="283"/>
      <c r="J1219" s="293">
        <v>1</v>
      </c>
      <c r="K1219" s="293"/>
      <c r="L1219" s="293"/>
      <c r="M1219" s="293"/>
      <c r="N1219" s="293"/>
      <c r="P1219" s="42">
        <v>290</v>
      </c>
      <c r="R1219" s="42">
        <v>100</v>
      </c>
      <c r="T1219" s="284">
        <v>190</v>
      </c>
      <c r="U1219" s="284"/>
    </row>
    <row r="1220" spans="2:21" x14ac:dyDescent="0.25">
      <c r="B1220" s="292">
        <v>5</v>
      </c>
      <c r="C1220" s="292"/>
      <c r="D1220" s="292"/>
      <c r="F1220" s="283" t="s">
        <v>329</v>
      </c>
      <c r="G1220" s="283"/>
      <c r="J1220" s="293">
        <v>1</v>
      </c>
      <c r="K1220" s="293"/>
      <c r="L1220" s="293"/>
      <c r="M1220" s="293"/>
      <c r="N1220" s="293"/>
      <c r="P1220" s="42">
        <v>1200</v>
      </c>
      <c r="R1220" s="42">
        <v>180</v>
      </c>
      <c r="T1220" s="284">
        <v>1020</v>
      </c>
      <c r="U1220" s="284"/>
    </row>
    <row r="1221" spans="2:21" x14ac:dyDescent="0.25">
      <c r="B1221" s="292">
        <v>6</v>
      </c>
      <c r="C1221" s="292"/>
      <c r="D1221" s="292"/>
      <c r="F1221" s="283" t="s">
        <v>248</v>
      </c>
      <c r="G1221" s="283"/>
      <c r="J1221" s="293">
        <v>1</v>
      </c>
      <c r="K1221" s="293"/>
      <c r="L1221" s="293"/>
      <c r="M1221" s="293"/>
      <c r="N1221" s="293"/>
      <c r="P1221" s="42">
        <v>1200</v>
      </c>
      <c r="R1221" s="42">
        <v>180</v>
      </c>
      <c r="T1221" s="284">
        <v>1020</v>
      </c>
      <c r="U1221" s="284"/>
    </row>
    <row r="1222" spans="2:21" x14ac:dyDescent="0.25">
      <c r="B1222" s="292">
        <v>7</v>
      </c>
      <c r="C1222" s="292"/>
      <c r="D1222" s="292"/>
      <c r="F1222" s="283" t="s">
        <v>165</v>
      </c>
      <c r="G1222" s="283"/>
      <c r="J1222" s="293">
        <v>1</v>
      </c>
      <c r="K1222" s="293"/>
      <c r="L1222" s="293"/>
      <c r="M1222" s="293"/>
      <c r="N1222" s="293"/>
      <c r="P1222" s="42">
        <v>590</v>
      </c>
      <c r="R1222" s="42">
        <v>180</v>
      </c>
      <c r="T1222" s="284">
        <v>410</v>
      </c>
      <c r="U1222" s="284"/>
    </row>
    <row r="1223" spans="2:21" x14ac:dyDescent="0.25">
      <c r="B1223" s="292">
        <v>8</v>
      </c>
      <c r="C1223" s="292"/>
      <c r="D1223" s="292"/>
      <c r="F1223" s="283" t="s">
        <v>162</v>
      </c>
      <c r="G1223" s="283"/>
      <c r="J1223" s="293">
        <v>6</v>
      </c>
      <c r="K1223" s="293"/>
      <c r="L1223" s="293"/>
      <c r="M1223" s="293"/>
      <c r="N1223" s="293"/>
      <c r="P1223" s="42">
        <v>2580</v>
      </c>
      <c r="R1223" s="42">
        <v>1287</v>
      </c>
      <c r="T1223" s="284">
        <v>1293</v>
      </c>
      <c r="U1223" s="284"/>
    </row>
    <row r="1224" spans="2:21" x14ac:dyDescent="0.25">
      <c r="B1224" s="292">
        <v>9</v>
      </c>
      <c r="C1224" s="292"/>
      <c r="D1224" s="292"/>
      <c r="F1224" s="283" t="s">
        <v>198</v>
      </c>
      <c r="G1224" s="283"/>
      <c r="J1224" s="293">
        <v>2</v>
      </c>
      <c r="K1224" s="293"/>
      <c r="L1224" s="293"/>
      <c r="M1224" s="293"/>
      <c r="N1224" s="293"/>
      <c r="P1224" s="42">
        <v>580</v>
      </c>
      <c r="R1224" s="42">
        <v>160</v>
      </c>
      <c r="T1224" s="284">
        <v>420</v>
      </c>
      <c r="U1224" s="284"/>
    </row>
    <row r="1225" spans="2:21" x14ac:dyDescent="0.25">
      <c r="B1225" s="292">
        <v>10</v>
      </c>
      <c r="C1225" s="292"/>
      <c r="D1225" s="292"/>
      <c r="F1225" s="283" t="s">
        <v>160</v>
      </c>
      <c r="G1225" s="283"/>
      <c r="J1225" s="293">
        <v>5</v>
      </c>
      <c r="K1225" s="293"/>
      <c r="L1225" s="293"/>
      <c r="M1225" s="293"/>
      <c r="N1225" s="293"/>
      <c r="P1225" s="42">
        <v>1450</v>
      </c>
      <c r="R1225" s="42">
        <v>320</v>
      </c>
      <c r="T1225" s="284">
        <v>1130</v>
      </c>
      <c r="U1225" s="284"/>
    </row>
    <row r="1226" spans="2:21" x14ac:dyDescent="0.25">
      <c r="B1226" s="292">
        <v>11</v>
      </c>
      <c r="C1226" s="292"/>
      <c r="D1226" s="292"/>
      <c r="F1226" s="283" t="s">
        <v>158</v>
      </c>
      <c r="G1226" s="283"/>
      <c r="J1226" s="293">
        <v>253</v>
      </c>
      <c r="K1226" s="293"/>
      <c r="L1226" s="293"/>
      <c r="M1226" s="293"/>
      <c r="N1226" s="293"/>
      <c r="P1226" s="42">
        <v>139150</v>
      </c>
      <c r="R1226" s="42">
        <v>62186</v>
      </c>
      <c r="T1226" s="284">
        <v>76964</v>
      </c>
      <c r="U1226" s="284"/>
    </row>
    <row r="1227" spans="2:21" x14ac:dyDescent="0.25">
      <c r="B1227" s="292">
        <v>12</v>
      </c>
      <c r="C1227" s="292"/>
      <c r="D1227" s="292"/>
      <c r="F1227" s="283" t="s">
        <v>157</v>
      </c>
      <c r="G1227" s="283"/>
      <c r="J1227" s="293">
        <v>437</v>
      </c>
      <c r="K1227" s="293"/>
      <c r="L1227" s="293"/>
      <c r="M1227" s="293"/>
      <c r="N1227" s="293"/>
      <c r="P1227" s="42">
        <v>214130</v>
      </c>
      <c r="R1227" s="42">
        <v>91738</v>
      </c>
      <c r="T1227" s="284">
        <v>122392</v>
      </c>
      <c r="U1227" s="284"/>
    </row>
    <row r="1228" spans="2:21" x14ac:dyDescent="0.25">
      <c r="B1228" s="292">
        <v>13</v>
      </c>
      <c r="C1228" s="292"/>
      <c r="D1228" s="292"/>
      <c r="F1228" s="283" t="s">
        <v>293</v>
      </c>
      <c r="G1228" s="283"/>
      <c r="J1228" s="293">
        <v>1</v>
      </c>
      <c r="K1228" s="293"/>
      <c r="L1228" s="293"/>
      <c r="M1228" s="293"/>
      <c r="N1228" s="293"/>
      <c r="P1228" s="42">
        <v>700</v>
      </c>
      <c r="R1228" s="42">
        <v>180</v>
      </c>
      <c r="T1228" s="284">
        <v>520</v>
      </c>
      <c r="U1228" s="284"/>
    </row>
    <row r="1229" spans="2:21" x14ac:dyDescent="0.25">
      <c r="B1229" s="292">
        <v>14</v>
      </c>
      <c r="C1229" s="292"/>
      <c r="D1229" s="292"/>
      <c r="F1229" s="283" t="s">
        <v>196</v>
      </c>
      <c r="G1229" s="283"/>
      <c r="J1229" s="293">
        <v>1</v>
      </c>
      <c r="K1229" s="293"/>
      <c r="L1229" s="293"/>
      <c r="M1229" s="293"/>
      <c r="N1229" s="293"/>
      <c r="P1229" s="42">
        <v>700</v>
      </c>
      <c r="R1229" s="42">
        <v>0</v>
      </c>
      <c r="T1229" s="284">
        <v>700</v>
      </c>
      <c r="U1229" s="284"/>
    </row>
    <row r="1230" spans="2:21" x14ac:dyDescent="0.25">
      <c r="B1230" s="292">
        <v>15</v>
      </c>
      <c r="C1230" s="292"/>
      <c r="D1230" s="292"/>
      <c r="F1230" s="283" t="s">
        <v>244</v>
      </c>
      <c r="G1230" s="283"/>
      <c r="J1230" s="293">
        <v>1</v>
      </c>
      <c r="K1230" s="293"/>
      <c r="L1230" s="293"/>
      <c r="M1230" s="293"/>
      <c r="N1230" s="293"/>
      <c r="P1230" s="42">
        <v>300</v>
      </c>
      <c r="R1230" s="42">
        <v>80</v>
      </c>
      <c r="T1230" s="284">
        <v>220</v>
      </c>
      <c r="U1230" s="284"/>
    </row>
    <row r="1231" spans="2:21" x14ac:dyDescent="0.25">
      <c r="B1231" s="292">
        <v>16</v>
      </c>
      <c r="C1231" s="292"/>
      <c r="D1231" s="292"/>
      <c r="F1231" s="283" t="s">
        <v>77</v>
      </c>
      <c r="G1231" s="283"/>
      <c r="J1231" s="293">
        <v>2791</v>
      </c>
      <c r="K1231" s="293"/>
      <c r="L1231" s="293"/>
      <c r="M1231" s="293"/>
      <c r="N1231" s="293"/>
      <c r="P1231" s="42">
        <v>1131600</v>
      </c>
      <c r="R1231" s="42">
        <v>1131600</v>
      </c>
      <c r="T1231" s="284">
        <v>0</v>
      </c>
      <c r="U1231" s="284"/>
    </row>
    <row r="1232" spans="2:21" x14ac:dyDescent="0.25">
      <c r="B1232" s="292">
        <v>17</v>
      </c>
      <c r="C1232" s="292"/>
      <c r="D1232" s="292"/>
      <c r="F1232" s="283" t="s">
        <v>343</v>
      </c>
      <c r="G1232" s="283"/>
      <c r="J1232" s="293">
        <v>3</v>
      </c>
      <c r="K1232" s="293"/>
      <c r="L1232" s="293"/>
      <c r="M1232" s="293"/>
      <c r="N1232" s="293"/>
      <c r="P1232" s="42">
        <v>630</v>
      </c>
      <c r="R1232" s="42">
        <v>189</v>
      </c>
      <c r="T1232" s="284">
        <v>441</v>
      </c>
      <c r="U1232" s="284"/>
    </row>
    <row r="1233" spans="2:21" x14ac:dyDescent="0.25">
      <c r="B1233" s="292">
        <v>18</v>
      </c>
      <c r="C1233" s="292"/>
      <c r="D1233" s="292"/>
      <c r="F1233" s="283" t="s">
        <v>242</v>
      </c>
      <c r="G1233" s="283"/>
      <c r="J1233" s="293">
        <v>2</v>
      </c>
      <c r="K1233" s="293"/>
      <c r="L1233" s="293"/>
      <c r="M1233" s="293"/>
      <c r="N1233" s="293"/>
      <c r="P1233" s="42">
        <v>1000</v>
      </c>
      <c r="R1233" s="42">
        <v>1000</v>
      </c>
      <c r="T1233" s="284">
        <v>0</v>
      </c>
      <c r="U1233" s="284"/>
    </row>
    <row r="1234" spans="2:21" x14ac:dyDescent="0.25">
      <c r="B1234" s="292">
        <v>19</v>
      </c>
      <c r="C1234" s="292"/>
      <c r="D1234" s="292"/>
      <c r="F1234" s="283" t="s">
        <v>76</v>
      </c>
      <c r="G1234" s="283"/>
      <c r="J1234" s="293">
        <v>8</v>
      </c>
      <c r="K1234" s="293"/>
      <c r="L1234" s="293"/>
      <c r="M1234" s="293"/>
      <c r="N1234" s="293"/>
      <c r="P1234" s="42">
        <v>4800</v>
      </c>
      <c r="R1234" s="42">
        <v>4800</v>
      </c>
      <c r="T1234" s="284">
        <v>0</v>
      </c>
      <c r="U1234" s="284"/>
    </row>
    <row r="1235" spans="2:21" x14ac:dyDescent="0.25">
      <c r="B1235" s="292">
        <v>20</v>
      </c>
      <c r="C1235" s="292"/>
      <c r="D1235" s="292"/>
      <c r="F1235" s="283" t="s">
        <v>156</v>
      </c>
      <c r="G1235" s="283"/>
      <c r="J1235" s="293">
        <v>14</v>
      </c>
      <c r="K1235" s="293"/>
      <c r="L1235" s="293"/>
      <c r="M1235" s="293"/>
      <c r="N1235" s="293"/>
      <c r="P1235" s="42">
        <v>2660</v>
      </c>
      <c r="R1235" s="42">
        <v>990</v>
      </c>
      <c r="T1235" s="284">
        <v>1670</v>
      </c>
      <c r="U1235" s="284"/>
    </row>
    <row r="1236" spans="2:21" x14ac:dyDescent="0.25">
      <c r="B1236" s="292">
        <v>21</v>
      </c>
      <c r="C1236" s="292"/>
      <c r="D1236" s="292"/>
      <c r="F1236" s="283" t="s">
        <v>155</v>
      </c>
      <c r="G1236" s="283"/>
      <c r="J1236" s="293">
        <v>335</v>
      </c>
      <c r="K1236" s="293"/>
      <c r="L1236" s="293"/>
      <c r="M1236" s="293"/>
      <c r="N1236" s="293"/>
      <c r="P1236" s="42">
        <v>83750</v>
      </c>
      <c r="R1236" s="42">
        <v>35582</v>
      </c>
      <c r="T1236" s="284">
        <v>48168</v>
      </c>
      <c r="U1236" s="284"/>
    </row>
    <row r="1237" spans="2:21" x14ac:dyDescent="0.25">
      <c r="B1237" s="292">
        <v>22</v>
      </c>
      <c r="C1237" s="292"/>
      <c r="D1237" s="292"/>
      <c r="F1237" s="283" t="s">
        <v>154</v>
      </c>
      <c r="G1237" s="283"/>
      <c r="J1237" s="293">
        <v>57</v>
      </c>
      <c r="K1237" s="293"/>
      <c r="L1237" s="293"/>
      <c r="M1237" s="293"/>
      <c r="N1237" s="293"/>
      <c r="P1237" s="42">
        <v>50730</v>
      </c>
      <c r="R1237" s="42">
        <v>7280</v>
      </c>
      <c r="T1237" s="284">
        <v>43450</v>
      </c>
      <c r="U1237" s="284"/>
    </row>
    <row r="1238" spans="2:21" x14ac:dyDescent="0.25">
      <c r="B1238" s="292">
        <v>23</v>
      </c>
      <c r="C1238" s="292"/>
      <c r="D1238" s="292"/>
      <c r="F1238" s="283" t="s">
        <v>153</v>
      </c>
      <c r="G1238" s="283"/>
      <c r="J1238" s="293">
        <v>1</v>
      </c>
      <c r="K1238" s="293"/>
      <c r="L1238" s="293"/>
      <c r="M1238" s="293"/>
      <c r="N1238" s="293"/>
      <c r="P1238" s="42">
        <v>1180</v>
      </c>
      <c r="R1238" s="42">
        <v>180</v>
      </c>
      <c r="T1238" s="284">
        <v>1000</v>
      </c>
      <c r="U1238" s="284"/>
    </row>
    <row r="1239" spans="2:21" x14ac:dyDescent="0.25">
      <c r="B1239" s="292">
        <v>24</v>
      </c>
      <c r="C1239" s="292"/>
      <c r="D1239" s="292"/>
      <c r="F1239" s="283" t="s">
        <v>320</v>
      </c>
      <c r="G1239" s="283"/>
      <c r="J1239" s="293">
        <v>2</v>
      </c>
      <c r="K1239" s="293"/>
      <c r="L1239" s="293"/>
      <c r="M1239" s="293"/>
      <c r="N1239" s="293"/>
      <c r="P1239" s="42">
        <v>1000</v>
      </c>
      <c r="R1239" s="42">
        <v>300</v>
      </c>
      <c r="T1239" s="284">
        <v>700</v>
      </c>
      <c r="U1239" s="284"/>
    </row>
    <row r="1240" spans="2:21" x14ac:dyDescent="0.25">
      <c r="B1240" s="292">
        <v>25</v>
      </c>
      <c r="C1240" s="292"/>
      <c r="D1240" s="292"/>
      <c r="F1240" s="283" t="s">
        <v>152</v>
      </c>
      <c r="G1240" s="283"/>
      <c r="J1240" s="293">
        <v>8</v>
      </c>
      <c r="K1240" s="293"/>
      <c r="L1240" s="293"/>
      <c r="M1240" s="293"/>
      <c r="N1240" s="293"/>
      <c r="P1240" s="42">
        <v>4720</v>
      </c>
      <c r="R1240" s="42">
        <v>1530</v>
      </c>
      <c r="T1240" s="284">
        <v>3190</v>
      </c>
      <c r="U1240" s="284"/>
    </row>
    <row r="1241" spans="2:21" x14ac:dyDescent="0.25">
      <c r="B1241" s="292">
        <v>26</v>
      </c>
      <c r="C1241" s="292"/>
      <c r="D1241" s="292"/>
      <c r="F1241" s="283" t="s">
        <v>150</v>
      </c>
      <c r="G1241" s="283"/>
      <c r="J1241" s="293">
        <v>9</v>
      </c>
      <c r="K1241" s="293"/>
      <c r="L1241" s="293"/>
      <c r="M1241" s="293"/>
      <c r="N1241" s="293"/>
      <c r="P1241" s="42">
        <v>1530</v>
      </c>
      <c r="R1241" s="42">
        <v>300</v>
      </c>
      <c r="T1241" s="284">
        <v>1230</v>
      </c>
      <c r="U1241" s="284"/>
    </row>
    <row r="1242" spans="2:21" x14ac:dyDescent="0.25">
      <c r="B1242" s="292">
        <v>27</v>
      </c>
      <c r="C1242" s="292"/>
      <c r="D1242" s="292"/>
      <c r="F1242" s="283" t="s">
        <v>149</v>
      </c>
      <c r="G1242" s="283"/>
      <c r="J1242" s="293">
        <v>27</v>
      </c>
      <c r="K1242" s="293"/>
      <c r="L1242" s="293"/>
      <c r="M1242" s="293"/>
      <c r="N1242" s="293"/>
      <c r="P1242" s="42">
        <v>1350</v>
      </c>
      <c r="R1242" s="42">
        <v>230</v>
      </c>
      <c r="T1242" s="284">
        <v>1120</v>
      </c>
      <c r="U1242" s="284"/>
    </row>
    <row r="1243" spans="2:21" x14ac:dyDescent="0.25">
      <c r="B1243" s="292">
        <v>28</v>
      </c>
      <c r="C1243" s="292"/>
      <c r="D1243" s="292"/>
      <c r="F1243" s="283" t="s">
        <v>236</v>
      </c>
      <c r="G1243" s="283"/>
      <c r="J1243" s="293">
        <v>1</v>
      </c>
      <c r="K1243" s="293"/>
      <c r="L1243" s="293"/>
      <c r="M1243" s="293"/>
      <c r="N1243" s="293"/>
      <c r="P1243" s="42">
        <v>800</v>
      </c>
      <c r="R1243" s="42">
        <v>200</v>
      </c>
      <c r="T1243" s="284">
        <v>600</v>
      </c>
      <c r="U1243" s="284"/>
    </row>
    <row r="1244" spans="2:21" x14ac:dyDescent="0.25">
      <c r="B1244" s="292">
        <v>29</v>
      </c>
      <c r="C1244" s="292"/>
      <c r="D1244" s="292"/>
      <c r="F1244" s="283" t="s">
        <v>286</v>
      </c>
      <c r="G1244" s="283"/>
      <c r="J1244" s="293">
        <v>3</v>
      </c>
      <c r="K1244" s="293"/>
      <c r="L1244" s="293"/>
      <c r="M1244" s="293"/>
      <c r="N1244" s="293"/>
      <c r="P1244" s="42">
        <v>2400</v>
      </c>
      <c r="R1244" s="42">
        <v>1350</v>
      </c>
      <c r="T1244" s="284">
        <v>1050</v>
      </c>
      <c r="U1244" s="284"/>
    </row>
    <row r="1245" spans="2:21" x14ac:dyDescent="0.25">
      <c r="B1245" s="292">
        <v>30</v>
      </c>
      <c r="C1245" s="292"/>
      <c r="D1245" s="292"/>
      <c r="F1245" s="283" t="s">
        <v>193</v>
      </c>
      <c r="G1245" s="283"/>
      <c r="J1245" s="293">
        <v>2</v>
      </c>
      <c r="K1245" s="293"/>
      <c r="L1245" s="293"/>
      <c r="M1245" s="293"/>
      <c r="N1245" s="293"/>
      <c r="P1245" s="42">
        <v>1780</v>
      </c>
      <c r="R1245" s="42">
        <v>260</v>
      </c>
      <c r="T1245" s="284">
        <v>1520</v>
      </c>
      <c r="U1245" s="284"/>
    </row>
    <row r="1246" spans="2:21" x14ac:dyDescent="0.25">
      <c r="B1246" s="292">
        <v>31</v>
      </c>
      <c r="C1246" s="292"/>
      <c r="D1246" s="292"/>
      <c r="F1246" s="283" t="s">
        <v>142</v>
      </c>
      <c r="G1246" s="283"/>
      <c r="J1246" s="293">
        <v>5</v>
      </c>
      <c r="K1246" s="293"/>
      <c r="L1246" s="293"/>
      <c r="M1246" s="293"/>
      <c r="N1246" s="293"/>
      <c r="P1246" s="42">
        <v>1750</v>
      </c>
      <c r="R1246" s="42">
        <v>750</v>
      </c>
      <c r="T1246" s="284">
        <v>1000</v>
      </c>
      <c r="U1246" s="284"/>
    </row>
    <row r="1247" spans="2:21" x14ac:dyDescent="0.25">
      <c r="B1247" s="292">
        <v>32</v>
      </c>
      <c r="C1247" s="292"/>
      <c r="D1247" s="292"/>
      <c r="F1247" s="283" t="s">
        <v>75</v>
      </c>
      <c r="G1247" s="283"/>
      <c r="J1247" s="293">
        <v>1463</v>
      </c>
      <c r="K1247" s="293"/>
      <c r="L1247" s="293"/>
      <c r="M1247" s="293"/>
      <c r="N1247" s="293"/>
      <c r="P1247" s="42">
        <v>3657500</v>
      </c>
      <c r="R1247" s="42">
        <v>3657500</v>
      </c>
      <c r="T1247" s="284">
        <v>0</v>
      </c>
      <c r="U1247" s="284"/>
    </row>
    <row r="1248" spans="2:21" x14ac:dyDescent="0.25">
      <c r="B1248" s="292">
        <v>33</v>
      </c>
      <c r="C1248" s="292"/>
      <c r="D1248" s="292"/>
      <c r="F1248" s="283" t="s">
        <v>231</v>
      </c>
      <c r="G1248" s="283"/>
      <c r="J1248" s="293">
        <v>1</v>
      </c>
      <c r="K1248" s="293"/>
      <c r="L1248" s="293"/>
      <c r="M1248" s="293"/>
      <c r="N1248" s="293"/>
      <c r="P1248" s="42">
        <v>500</v>
      </c>
      <c r="R1248" s="42">
        <v>150</v>
      </c>
      <c r="T1248" s="284">
        <v>350</v>
      </c>
      <c r="U1248" s="284"/>
    </row>
    <row r="1249" spans="2:21" x14ac:dyDescent="0.25">
      <c r="B1249" s="292">
        <v>34</v>
      </c>
      <c r="C1249" s="292"/>
      <c r="D1249" s="292"/>
      <c r="F1249" s="283" t="s">
        <v>313</v>
      </c>
      <c r="G1249" s="283"/>
      <c r="J1249" s="293">
        <v>1</v>
      </c>
      <c r="K1249" s="293"/>
      <c r="L1249" s="293"/>
      <c r="M1249" s="293"/>
      <c r="N1249" s="293"/>
      <c r="P1249" s="42">
        <v>800</v>
      </c>
      <c r="R1249" s="42">
        <v>450</v>
      </c>
      <c r="T1249" s="284">
        <v>350</v>
      </c>
      <c r="U1249" s="284"/>
    </row>
    <row r="1250" spans="2:21" x14ac:dyDescent="0.25">
      <c r="B1250" s="292">
        <v>35</v>
      </c>
      <c r="C1250" s="292"/>
      <c r="D1250" s="292"/>
      <c r="F1250" s="283" t="s">
        <v>136</v>
      </c>
      <c r="G1250" s="283"/>
      <c r="J1250" s="293">
        <v>16</v>
      </c>
      <c r="K1250" s="293"/>
      <c r="L1250" s="293"/>
      <c r="M1250" s="293"/>
      <c r="N1250" s="293"/>
      <c r="P1250" s="42">
        <v>13600</v>
      </c>
      <c r="R1250" s="42">
        <v>2470</v>
      </c>
      <c r="T1250" s="284">
        <v>11130</v>
      </c>
      <c r="U1250" s="284"/>
    </row>
    <row r="1251" spans="2:21" x14ac:dyDescent="0.25">
      <c r="B1251" s="292">
        <v>36</v>
      </c>
      <c r="C1251" s="292"/>
      <c r="D1251" s="292"/>
      <c r="F1251" s="283" t="s">
        <v>74</v>
      </c>
      <c r="G1251" s="283"/>
      <c r="J1251" s="293">
        <v>21</v>
      </c>
      <c r="K1251" s="293"/>
      <c r="L1251" s="293"/>
      <c r="M1251" s="293"/>
      <c r="N1251" s="293"/>
      <c r="P1251" s="42">
        <v>17850</v>
      </c>
      <c r="R1251" s="42">
        <v>17850</v>
      </c>
      <c r="T1251" s="284">
        <v>0</v>
      </c>
      <c r="U1251" s="284"/>
    </row>
    <row r="1252" spans="2:21" x14ac:dyDescent="0.25">
      <c r="B1252" s="292">
        <v>37</v>
      </c>
      <c r="C1252" s="292"/>
      <c r="D1252" s="292"/>
      <c r="F1252" s="283" t="s">
        <v>135</v>
      </c>
      <c r="G1252" s="283"/>
      <c r="J1252" s="293">
        <v>5</v>
      </c>
      <c r="K1252" s="293"/>
      <c r="L1252" s="293"/>
      <c r="M1252" s="293"/>
      <c r="N1252" s="293"/>
      <c r="P1252" s="42">
        <v>4750</v>
      </c>
      <c r="R1252" s="42">
        <v>1400</v>
      </c>
      <c r="T1252" s="284">
        <v>3350</v>
      </c>
      <c r="U1252" s="284"/>
    </row>
    <row r="1253" spans="2:21" x14ac:dyDescent="0.25">
      <c r="B1253" s="292">
        <v>38</v>
      </c>
      <c r="C1253" s="292"/>
      <c r="D1253" s="292"/>
      <c r="F1253" s="283" t="s">
        <v>285</v>
      </c>
      <c r="G1253" s="283"/>
      <c r="J1253" s="293">
        <v>2</v>
      </c>
      <c r="K1253" s="293"/>
      <c r="L1253" s="293"/>
      <c r="M1253" s="293"/>
      <c r="N1253" s="293"/>
      <c r="P1253" s="42">
        <v>7400</v>
      </c>
      <c r="R1253" s="42">
        <v>3700</v>
      </c>
      <c r="T1253" s="284">
        <v>3700</v>
      </c>
      <c r="U1253" s="284"/>
    </row>
    <row r="1254" spans="2:21" x14ac:dyDescent="0.25">
      <c r="B1254" s="292">
        <v>39</v>
      </c>
      <c r="C1254" s="292"/>
      <c r="D1254" s="292"/>
      <c r="F1254" s="283" t="s">
        <v>132</v>
      </c>
      <c r="G1254" s="283"/>
      <c r="J1254" s="293">
        <v>6</v>
      </c>
      <c r="K1254" s="293"/>
      <c r="L1254" s="293"/>
      <c r="M1254" s="293"/>
      <c r="N1254" s="293"/>
      <c r="P1254" s="42">
        <v>7440</v>
      </c>
      <c r="R1254" s="42">
        <v>2220</v>
      </c>
      <c r="T1254" s="284">
        <v>5220</v>
      </c>
      <c r="U1254" s="284"/>
    </row>
    <row r="1255" spans="2:21" x14ac:dyDescent="0.25">
      <c r="B1255" s="292">
        <v>40</v>
      </c>
      <c r="C1255" s="292"/>
      <c r="D1255" s="292"/>
      <c r="F1255" s="283" t="s">
        <v>131</v>
      </c>
      <c r="G1255" s="283"/>
      <c r="J1255" s="293">
        <v>1</v>
      </c>
      <c r="K1255" s="293"/>
      <c r="L1255" s="293"/>
      <c r="M1255" s="293"/>
      <c r="N1255" s="293"/>
      <c r="P1255" s="42">
        <v>3700</v>
      </c>
      <c r="R1255" s="42">
        <v>0</v>
      </c>
      <c r="T1255" s="284">
        <v>3700</v>
      </c>
      <c r="U1255" s="284"/>
    </row>
    <row r="1256" spans="2:21" x14ac:dyDescent="0.25">
      <c r="B1256" s="292">
        <v>41</v>
      </c>
      <c r="C1256" s="292"/>
      <c r="D1256" s="292"/>
      <c r="F1256" s="285" t="s">
        <v>284</v>
      </c>
      <c r="G1256" s="285"/>
      <c r="J1256" s="293">
        <v>8</v>
      </c>
      <c r="K1256" s="293"/>
      <c r="L1256" s="293"/>
      <c r="M1256" s="293"/>
      <c r="N1256" s="293"/>
      <c r="P1256" s="42">
        <v>29600</v>
      </c>
      <c r="R1256" s="42">
        <v>14800</v>
      </c>
      <c r="T1256" s="284">
        <v>14800</v>
      </c>
      <c r="U1256" s="284"/>
    </row>
    <row r="1257" spans="2:21" x14ac:dyDescent="0.25">
      <c r="F1257" s="285"/>
      <c r="G1257" s="285"/>
    </row>
    <row r="1258" spans="2:21" x14ac:dyDescent="0.25">
      <c r="B1258" s="292">
        <v>42</v>
      </c>
      <c r="C1258" s="292"/>
      <c r="D1258" s="292"/>
      <c r="F1258" s="283" t="s">
        <v>130</v>
      </c>
      <c r="G1258" s="283"/>
      <c r="J1258" s="293">
        <v>4</v>
      </c>
      <c r="K1258" s="293"/>
      <c r="L1258" s="293"/>
      <c r="M1258" s="293"/>
      <c r="N1258" s="293"/>
      <c r="P1258" s="42">
        <v>32000</v>
      </c>
      <c r="R1258" s="42">
        <v>16400</v>
      </c>
      <c r="T1258" s="284">
        <v>15600</v>
      </c>
      <c r="U1258" s="284"/>
    </row>
    <row r="1259" spans="2:21" x14ac:dyDescent="0.25">
      <c r="B1259" s="292">
        <v>43</v>
      </c>
      <c r="C1259" s="292"/>
      <c r="D1259" s="292"/>
      <c r="F1259" s="285" t="s">
        <v>188</v>
      </c>
      <c r="G1259" s="285"/>
      <c r="J1259" s="293">
        <v>1</v>
      </c>
      <c r="K1259" s="293"/>
      <c r="L1259" s="293"/>
      <c r="M1259" s="293"/>
      <c r="N1259" s="293"/>
      <c r="P1259" s="42">
        <v>8000</v>
      </c>
      <c r="R1259" s="42">
        <v>4000</v>
      </c>
      <c r="T1259" s="284">
        <v>4000</v>
      </c>
      <c r="U1259" s="284"/>
    </row>
    <row r="1260" spans="2:21" x14ac:dyDescent="0.25">
      <c r="F1260" s="285"/>
      <c r="G1260" s="285"/>
    </row>
    <row r="1261" spans="2:21" x14ac:dyDescent="0.25">
      <c r="B1261" s="292">
        <v>44</v>
      </c>
      <c r="C1261" s="292"/>
      <c r="D1261" s="292"/>
      <c r="F1261" s="283" t="s">
        <v>283</v>
      </c>
      <c r="G1261" s="283"/>
      <c r="J1261" s="293">
        <v>1</v>
      </c>
      <c r="K1261" s="293"/>
      <c r="L1261" s="293"/>
      <c r="M1261" s="293"/>
      <c r="N1261" s="293"/>
      <c r="P1261" s="42">
        <v>800</v>
      </c>
      <c r="R1261" s="42">
        <v>450</v>
      </c>
      <c r="T1261" s="284">
        <v>350</v>
      </c>
      <c r="U1261" s="284"/>
    </row>
    <row r="1262" spans="2:21" x14ac:dyDescent="0.25">
      <c r="B1262" s="292">
        <v>45</v>
      </c>
      <c r="C1262" s="292"/>
      <c r="D1262" s="292"/>
      <c r="F1262" s="283" t="s">
        <v>128</v>
      </c>
      <c r="G1262" s="283"/>
      <c r="J1262" s="293">
        <v>3</v>
      </c>
      <c r="K1262" s="293"/>
      <c r="L1262" s="293"/>
      <c r="M1262" s="293"/>
      <c r="N1262" s="293"/>
      <c r="P1262" s="42">
        <v>3450</v>
      </c>
      <c r="R1262" s="42">
        <v>510</v>
      </c>
      <c r="T1262" s="284">
        <v>2940</v>
      </c>
      <c r="U1262" s="284"/>
    </row>
    <row r="1263" spans="2:21" x14ac:dyDescent="0.25">
      <c r="B1263" s="292">
        <v>46</v>
      </c>
      <c r="C1263" s="292"/>
      <c r="D1263" s="292"/>
      <c r="F1263" s="283" t="s">
        <v>127</v>
      </c>
      <c r="G1263" s="283"/>
      <c r="J1263" s="293">
        <v>150</v>
      </c>
      <c r="K1263" s="293"/>
      <c r="L1263" s="293"/>
      <c r="M1263" s="293"/>
      <c r="N1263" s="293"/>
      <c r="P1263" s="42">
        <v>45000</v>
      </c>
      <c r="R1263" s="42">
        <v>12911</v>
      </c>
      <c r="T1263" s="284">
        <v>32089</v>
      </c>
      <c r="U1263" s="284"/>
    </row>
    <row r="1264" spans="2:21" x14ac:dyDescent="0.25">
      <c r="B1264" s="292">
        <v>47</v>
      </c>
      <c r="C1264" s="292"/>
      <c r="D1264" s="292"/>
      <c r="F1264" s="283" t="s">
        <v>126</v>
      </c>
      <c r="G1264" s="283"/>
      <c r="J1264" s="293">
        <v>165</v>
      </c>
      <c r="K1264" s="293"/>
      <c r="L1264" s="293"/>
      <c r="M1264" s="293"/>
      <c r="N1264" s="293"/>
      <c r="P1264" s="42">
        <v>33000</v>
      </c>
      <c r="R1264" s="42">
        <v>9567</v>
      </c>
      <c r="T1264" s="284">
        <v>23433</v>
      </c>
      <c r="U1264" s="284"/>
    </row>
    <row r="1265" spans="2:21" x14ac:dyDescent="0.25">
      <c r="B1265" s="292">
        <v>48</v>
      </c>
      <c r="C1265" s="292"/>
      <c r="D1265" s="292"/>
      <c r="F1265" s="283" t="s">
        <v>123</v>
      </c>
      <c r="G1265" s="283"/>
      <c r="J1265" s="293">
        <v>17</v>
      </c>
      <c r="K1265" s="293"/>
      <c r="L1265" s="293"/>
      <c r="M1265" s="293"/>
      <c r="N1265" s="293"/>
      <c r="P1265" s="42">
        <v>13260</v>
      </c>
      <c r="R1265" s="42">
        <v>3910</v>
      </c>
      <c r="T1265" s="284">
        <v>9350</v>
      </c>
      <c r="U1265" s="284"/>
    </row>
    <row r="1266" spans="2:21" x14ac:dyDescent="0.25">
      <c r="B1266" s="292">
        <v>49</v>
      </c>
      <c r="C1266" s="292"/>
      <c r="D1266" s="292"/>
      <c r="F1266" s="283" t="s">
        <v>227</v>
      </c>
      <c r="G1266" s="283"/>
      <c r="J1266" s="293">
        <v>1</v>
      </c>
      <c r="K1266" s="293"/>
      <c r="L1266" s="293"/>
      <c r="M1266" s="293"/>
      <c r="N1266" s="293"/>
      <c r="P1266" s="42">
        <v>500</v>
      </c>
      <c r="R1266" s="42">
        <v>0</v>
      </c>
      <c r="T1266" s="284">
        <v>500</v>
      </c>
      <c r="U1266" s="284"/>
    </row>
    <row r="1267" spans="2:21" x14ac:dyDescent="0.25">
      <c r="B1267" s="292">
        <v>50</v>
      </c>
      <c r="C1267" s="292"/>
      <c r="D1267" s="292"/>
      <c r="F1267" s="283" t="s">
        <v>282</v>
      </c>
      <c r="G1267" s="283"/>
      <c r="J1267" s="293">
        <v>1</v>
      </c>
      <c r="K1267" s="293"/>
      <c r="L1267" s="293"/>
      <c r="M1267" s="293"/>
      <c r="N1267" s="293"/>
      <c r="P1267" s="42">
        <v>500</v>
      </c>
      <c r="R1267" s="42">
        <v>150</v>
      </c>
      <c r="T1267" s="284">
        <v>350</v>
      </c>
      <c r="U1267" s="284"/>
    </row>
    <row r="1268" spans="2:21" x14ac:dyDescent="0.25">
      <c r="B1268" s="292">
        <v>51</v>
      </c>
      <c r="C1268" s="292"/>
      <c r="D1268" s="292"/>
      <c r="F1268" s="283" t="s">
        <v>182</v>
      </c>
      <c r="G1268" s="283"/>
      <c r="J1268" s="293">
        <v>2</v>
      </c>
      <c r="K1268" s="293"/>
      <c r="L1268" s="293"/>
      <c r="M1268" s="293"/>
      <c r="N1268" s="293"/>
      <c r="P1268" s="42">
        <v>1580</v>
      </c>
      <c r="R1268" s="42">
        <v>240</v>
      </c>
      <c r="T1268" s="284">
        <v>1340</v>
      </c>
      <c r="U1268" s="284"/>
    </row>
    <row r="1269" spans="2:21" x14ac:dyDescent="0.25">
      <c r="B1269" s="292">
        <v>52</v>
      </c>
      <c r="C1269" s="292"/>
      <c r="D1269" s="292"/>
      <c r="F1269" s="283" t="s">
        <v>119</v>
      </c>
      <c r="G1269" s="283"/>
      <c r="J1269" s="293">
        <v>20</v>
      </c>
      <c r="K1269" s="293"/>
      <c r="L1269" s="293"/>
      <c r="M1269" s="293"/>
      <c r="N1269" s="293"/>
      <c r="P1269" s="42">
        <v>17800</v>
      </c>
      <c r="R1269" s="42">
        <v>4290</v>
      </c>
      <c r="T1269" s="284">
        <v>13510</v>
      </c>
      <c r="U1269" s="284"/>
    </row>
    <row r="1270" spans="2:21" x14ac:dyDescent="0.25">
      <c r="B1270" s="292">
        <v>53</v>
      </c>
      <c r="C1270" s="292"/>
      <c r="D1270" s="292"/>
      <c r="F1270" s="283" t="s">
        <v>118</v>
      </c>
      <c r="G1270" s="283"/>
      <c r="J1270" s="293">
        <v>332</v>
      </c>
      <c r="K1270" s="293"/>
      <c r="L1270" s="293"/>
      <c r="M1270" s="293"/>
      <c r="N1270" s="293"/>
      <c r="P1270" s="42">
        <v>328680</v>
      </c>
      <c r="R1270" s="42">
        <v>141170</v>
      </c>
      <c r="T1270" s="284">
        <v>187510</v>
      </c>
      <c r="U1270" s="284"/>
    </row>
    <row r="1271" spans="2:21" x14ac:dyDescent="0.25">
      <c r="B1271" s="292">
        <v>54</v>
      </c>
      <c r="C1271" s="292"/>
      <c r="D1271" s="292"/>
      <c r="F1271" s="283" t="s">
        <v>117</v>
      </c>
      <c r="G1271" s="283"/>
      <c r="J1271" s="293">
        <v>1</v>
      </c>
      <c r="K1271" s="293"/>
      <c r="L1271" s="293"/>
      <c r="M1271" s="293"/>
      <c r="N1271" s="293"/>
      <c r="P1271" s="42">
        <v>800</v>
      </c>
      <c r="R1271" s="42">
        <v>200</v>
      </c>
      <c r="T1271" s="284">
        <v>600</v>
      </c>
      <c r="U1271" s="284"/>
    </row>
    <row r="1272" spans="2:21" x14ac:dyDescent="0.25">
      <c r="B1272" s="292">
        <v>55</v>
      </c>
      <c r="C1272" s="292"/>
      <c r="D1272" s="292"/>
      <c r="F1272" s="285" t="s">
        <v>116</v>
      </c>
      <c r="G1272" s="285"/>
      <c r="J1272" s="293">
        <v>1</v>
      </c>
      <c r="K1272" s="293"/>
      <c r="L1272" s="293"/>
      <c r="M1272" s="293"/>
      <c r="N1272" s="293"/>
      <c r="P1272" s="42">
        <v>800</v>
      </c>
      <c r="R1272" s="42">
        <v>200</v>
      </c>
      <c r="T1272" s="284">
        <v>600</v>
      </c>
      <c r="U1272" s="284"/>
    </row>
    <row r="1273" spans="2:21" x14ac:dyDescent="0.25">
      <c r="F1273" s="285"/>
      <c r="G1273" s="285"/>
    </row>
    <row r="1274" spans="2:21" x14ac:dyDescent="0.25">
      <c r="B1274" s="292">
        <v>56</v>
      </c>
      <c r="C1274" s="292"/>
      <c r="D1274" s="292"/>
      <c r="F1274" s="283" t="s">
        <v>115</v>
      </c>
      <c r="G1274" s="283"/>
      <c r="J1274" s="293">
        <v>5</v>
      </c>
      <c r="K1274" s="293"/>
      <c r="L1274" s="293"/>
      <c r="M1274" s="293"/>
      <c r="N1274" s="293"/>
      <c r="P1274" s="42">
        <v>1450</v>
      </c>
      <c r="R1274" s="42">
        <v>350</v>
      </c>
      <c r="T1274" s="284">
        <v>1100</v>
      </c>
      <c r="U1274" s="284"/>
    </row>
    <row r="1275" spans="2:21" x14ac:dyDescent="0.25">
      <c r="B1275" s="292">
        <v>57</v>
      </c>
      <c r="C1275" s="292"/>
      <c r="D1275" s="292"/>
      <c r="F1275" s="283" t="s">
        <v>280</v>
      </c>
      <c r="G1275" s="283"/>
      <c r="J1275" s="293">
        <v>1</v>
      </c>
      <c r="K1275" s="293"/>
      <c r="L1275" s="293"/>
      <c r="M1275" s="293"/>
      <c r="N1275" s="293"/>
      <c r="P1275" s="42">
        <v>700</v>
      </c>
      <c r="R1275" s="42">
        <v>350</v>
      </c>
      <c r="T1275" s="284">
        <v>350</v>
      </c>
      <c r="U1275" s="284"/>
    </row>
    <row r="1276" spans="2:21" x14ac:dyDescent="0.25">
      <c r="B1276" s="292">
        <v>58</v>
      </c>
      <c r="C1276" s="292"/>
      <c r="D1276" s="292"/>
      <c r="F1276" s="283" t="s">
        <v>300</v>
      </c>
      <c r="G1276" s="283"/>
      <c r="J1276" s="293">
        <v>1</v>
      </c>
      <c r="K1276" s="293"/>
      <c r="L1276" s="293"/>
      <c r="M1276" s="293"/>
      <c r="N1276" s="293"/>
      <c r="P1276" s="42">
        <v>330</v>
      </c>
      <c r="R1276" s="42">
        <v>140</v>
      </c>
      <c r="T1276" s="284">
        <v>190</v>
      </c>
      <c r="U1276" s="284"/>
    </row>
    <row r="1277" spans="2:21" x14ac:dyDescent="0.25">
      <c r="B1277" s="292">
        <v>59</v>
      </c>
      <c r="C1277" s="292"/>
      <c r="D1277" s="292"/>
      <c r="F1277" s="283" t="s">
        <v>221</v>
      </c>
      <c r="G1277" s="283"/>
      <c r="J1277" s="293">
        <v>1</v>
      </c>
      <c r="K1277" s="293"/>
      <c r="L1277" s="293"/>
      <c r="M1277" s="293"/>
      <c r="N1277" s="293"/>
      <c r="P1277" s="42">
        <v>990</v>
      </c>
      <c r="R1277" s="42">
        <v>300</v>
      </c>
      <c r="T1277" s="284">
        <v>690</v>
      </c>
      <c r="U1277" s="284"/>
    </row>
    <row r="1278" spans="2:21" x14ac:dyDescent="0.25">
      <c r="B1278" s="292">
        <v>60</v>
      </c>
      <c r="C1278" s="292"/>
      <c r="D1278" s="292"/>
      <c r="F1278" s="283" t="s">
        <v>181</v>
      </c>
      <c r="G1278" s="283"/>
      <c r="J1278" s="293">
        <v>3</v>
      </c>
      <c r="K1278" s="293"/>
      <c r="L1278" s="293"/>
      <c r="M1278" s="293"/>
      <c r="N1278" s="293"/>
      <c r="P1278" s="42">
        <v>2370</v>
      </c>
      <c r="R1278" s="42">
        <v>360</v>
      </c>
      <c r="T1278" s="284">
        <v>2010</v>
      </c>
      <c r="U1278" s="284"/>
    </row>
    <row r="1279" spans="2:21" x14ac:dyDescent="0.25">
      <c r="B1279" s="292">
        <v>61</v>
      </c>
      <c r="C1279" s="292"/>
      <c r="D1279" s="292"/>
      <c r="F1279" s="283" t="s">
        <v>171</v>
      </c>
      <c r="G1279" s="283"/>
      <c r="J1279" s="293">
        <v>2</v>
      </c>
      <c r="K1279" s="293"/>
      <c r="L1279" s="293"/>
      <c r="M1279" s="293"/>
      <c r="N1279" s="293"/>
      <c r="P1279" s="42">
        <v>1060</v>
      </c>
      <c r="R1279" s="42">
        <v>160</v>
      </c>
      <c r="T1279" s="284">
        <v>900</v>
      </c>
      <c r="U1279" s="284"/>
    </row>
    <row r="1280" spans="2:21" x14ac:dyDescent="0.25">
      <c r="B1280" s="292">
        <v>62</v>
      </c>
      <c r="C1280" s="292"/>
      <c r="D1280" s="292"/>
      <c r="F1280" s="283" t="s">
        <v>111</v>
      </c>
      <c r="G1280" s="283"/>
      <c r="J1280" s="293">
        <v>4</v>
      </c>
      <c r="K1280" s="293"/>
      <c r="L1280" s="293"/>
      <c r="M1280" s="293"/>
      <c r="N1280" s="293"/>
      <c r="P1280" s="42">
        <v>1720</v>
      </c>
      <c r="R1280" s="42">
        <v>390</v>
      </c>
      <c r="T1280" s="284">
        <v>1330</v>
      </c>
      <c r="U1280" s="284"/>
    </row>
    <row r="1281" spans="2:21" x14ac:dyDescent="0.25">
      <c r="B1281" s="292">
        <v>63</v>
      </c>
      <c r="C1281" s="292"/>
      <c r="D1281" s="292"/>
      <c r="F1281" s="283" t="s">
        <v>257</v>
      </c>
      <c r="G1281" s="283"/>
      <c r="J1281" s="293">
        <v>2</v>
      </c>
      <c r="K1281" s="293"/>
      <c r="L1281" s="293"/>
      <c r="M1281" s="293"/>
      <c r="N1281" s="293"/>
      <c r="P1281" s="42">
        <v>1980</v>
      </c>
      <c r="R1281" s="42">
        <v>150</v>
      </c>
      <c r="T1281" s="284">
        <v>1830</v>
      </c>
      <c r="U1281" s="284"/>
    </row>
    <row r="1282" spans="2:21" x14ac:dyDescent="0.25">
      <c r="B1282" s="292">
        <v>64</v>
      </c>
      <c r="C1282" s="292"/>
      <c r="D1282" s="292"/>
      <c r="F1282" s="283" t="s">
        <v>109</v>
      </c>
      <c r="G1282" s="283"/>
      <c r="J1282" s="293">
        <v>3</v>
      </c>
      <c r="K1282" s="293"/>
      <c r="L1282" s="293"/>
      <c r="M1282" s="293"/>
      <c r="N1282" s="293"/>
      <c r="P1282" s="42">
        <v>2340</v>
      </c>
      <c r="R1282" s="42">
        <v>460</v>
      </c>
      <c r="T1282" s="284">
        <v>1880</v>
      </c>
      <c r="U1282" s="284"/>
    </row>
    <row r="1283" spans="2:21" x14ac:dyDescent="0.25">
      <c r="B1283" s="292">
        <v>65</v>
      </c>
      <c r="C1283" s="292"/>
      <c r="D1283" s="292"/>
      <c r="F1283" s="283" t="s">
        <v>108</v>
      </c>
      <c r="G1283" s="283"/>
      <c r="J1283" s="293">
        <v>3</v>
      </c>
      <c r="K1283" s="293"/>
      <c r="L1283" s="293"/>
      <c r="M1283" s="293"/>
      <c r="N1283" s="293"/>
      <c r="P1283" s="42">
        <v>300</v>
      </c>
      <c r="R1283" s="42">
        <v>0</v>
      </c>
      <c r="T1283" s="284">
        <v>300</v>
      </c>
      <c r="U1283" s="284"/>
    </row>
    <row r="1284" spans="2:21" x14ac:dyDescent="0.25">
      <c r="B1284" s="292">
        <v>66</v>
      </c>
      <c r="C1284" s="292"/>
      <c r="D1284" s="292"/>
      <c r="F1284" s="283" t="s">
        <v>107</v>
      </c>
      <c r="G1284" s="283"/>
      <c r="J1284" s="293">
        <v>68</v>
      </c>
      <c r="K1284" s="293"/>
      <c r="L1284" s="293"/>
      <c r="M1284" s="293"/>
      <c r="N1284" s="293"/>
      <c r="P1284" s="42">
        <v>11560</v>
      </c>
      <c r="R1284" s="42">
        <v>3024</v>
      </c>
      <c r="T1284" s="284">
        <v>8536</v>
      </c>
      <c r="U1284" s="284"/>
    </row>
    <row r="1285" spans="2:21" x14ac:dyDescent="0.25">
      <c r="B1285" s="292">
        <v>67</v>
      </c>
      <c r="C1285" s="292"/>
      <c r="D1285" s="292"/>
      <c r="F1285" s="283" t="s">
        <v>105</v>
      </c>
      <c r="G1285" s="283"/>
      <c r="J1285" s="293">
        <v>2</v>
      </c>
      <c r="K1285" s="293"/>
      <c r="L1285" s="293"/>
      <c r="M1285" s="293"/>
      <c r="N1285" s="293"/>
      <c r="P1285" s="42">
        <v>2300</v>
      </c>
      <c r="R1285" s="42">
        <v>0</v>
      </c>
      <c r="T1285" s="284">
        <v>2300</v>
      </c>
      <c r="U1285" s="284"/>
    </row>
    <row r="1286" spans="2:21" x14ac:dyDescent="0.25">
      <c r="B1286" s="292">
        <v>68</v>
      </c>
      <c r="C1286" s="292"/>
      <c r="D1286" s="292"/>
      <c r="F1286" s="283" t="s">
        <v>103</v>
      </c>
      <c r="G1286" s="283"/>
      <c r="J1286" s="293">
        <v>31</v>
      </c>
      <c r="K1286" s="293"/>
      <c r="L1286" s="293"/>
      <c r="M1286" s="293"/>
      <c r="N1286" s="293"/>
      <c r="P1286" s="42">
        <v>10230</v>
      </c>
      <c r="R1286" s="42">
        <v>3200</v>
      </c>
      <c r="T1286" s="284">
        <v>7030</v>
      </c>
      <c r="U1286" s="284"/>
    </row>
    <row r="1287" spans="2:21" x14ac:dyDescent="0.25">
      <c r="B1287" s="292">
        <v>69</v>
      </c>
      <c r="C1287" s="292"/>
      <c r="D1287" s="292"/>
      <c r="F1287" s="283" t="s">
        <v>212</v>
      </c>
      <c r="G1287" s="283"/>
      <c r="J1287" s="293">
        <v>10</v>
      </c>
      <c r="K1287" s="293"/>
      <c r="L1287" s="293"/>
      <c r="M1287" s="293"/>
      <c r="N1287" s="293"/>
      <c r="P1287" s="42">
        <v>5000</v>
      </c>
      <c r="R1287" s="42">
        <v>1500</v>
      </c>
      <c r="T1287" s="284">
        <v>3500</v>
      </c>
      <c r="U1287" s="284"/>
    </row>
    <row r="1288" spans="2:21" x14ac:dyDescent="0.25">
      <c r="B1288" s="292">
        <v>70</v>
      </c>
      <c r="C1288" s="292"/>
      <c r="D1288" s="292"/>
      <c r="F1288" s="283" t="s">
        <v>211</v>
      </c>
      <c r="G1288" s="283"/>
      <c r="J1288" s="293">
        <v>1</v>
      </c>
      <c r="K1288" s="293"/>
      <c r="L1288" s="293"/>
      <c r="M1288" s="293"/>
      <c r="N1288" s="293"/>
      <c r="P1288" s="42">
        <v>500</v>
      </c>
      <c r="R1288" s="42">
        <v>150</v>
      </c>
      <c r="T1288" s="284">
        <v>350</v>
      </c>
      <c r="U1288" s="284"/>
    </row>
    <row r="1289" spans="2:21" x14ac:dyDescent="0.25">
      <c r="B1289" s="292">
        <v>71</v>
      </c>
      <c r="C1289" s="292"/>
      <c r="D1289" s="292"/>
      <c r="F1289" s="283" t="s">
        <v>276</v>
      </c>
      <c r="G1289" s="283"/>
      <c r="J1289" s="293">
        <v>1</v>
      </c>
      <c r="K1289" s="293"/>
      <c r="L1289" s="293"/>
      <c r="M1289" s="293"/>
      <c r="N1289" s="293"/>
      <c r="P1289" s="42">
        <v>500</v>
      </c>
      <c r="R1289" s="42">
        <v>150</v>
      </c>
      <c r="T1289" s="284">
        <v>350</v>
      </c>
      <c r="U1289" s="284"/>
    </row>
    <row r="1290" spans="2:21" x14ac:dyDescent="0.25">
      <c r="B1290" s="292">
        <v>72</v>
      </c>
      <c r="C1290" s="292"/>
      <c r="D1290" s="292"/>
      <c r="F1290" s="283" t="s">
        <v>102</v>
      </c>
      <c r="G1290" s="283"/>
      <c r="J1290" s="293">
        <v>1</v>
      </c>
      <c r="K1290" s="293"/>
      <c r="L1290" s="293"/>
      <c r="M1290" s="293"/>
      <c r="N1290" s="293"/>
      <c r="P1290" s="42">
        <v>880</v>
      </c>
      <c r="R1290" s="42">
        <v>130</v>
      </c>
      <c r="T1290" s="284">
        <v>750</v>
      </c>
      <c r="U1290" s="284"/>
    </row>
    <row r="1291" spans="2:21" x14ac:dyDescent="0.25">
      <c r="B1291" s="292">
        <v>73</v>
      </c>
      <c r="C1291" s="292"/>
      <c r="D1291" s="292"/>
      <c r="F1291" s="283" t="s">
        <v>99</v>
      </c>
      <c r="G1291" s="283"/>
      <c r="J1291" s="293">
        <v>1</v>
      </c>
      <c r="K1291" s="293"/>
      <c r="L1291" s="293"/>
      <c r="M1291" s="293"/>
      <c r="N1291" s="293"/>
      <c r="P1291" s="42">
        <v>590</v>
      </c>
      <c r="R1291" s="42">
        <v>90</v>
      </c>
      <c r="T1291" s="284">
        <v>500</v>
      </c>
      <c r="U1291" s="284"/>
    </row>
    <row r="1292" spans="2:21" x14ac:dyDescent="0.25">
      <c r="B1292" s="292">
        <v>74</v>
      </c>
      <c r="C1292" s="292"/>
      <c r="D1292" s="292"/>
      <c r="F1292" s="283" t="s">
        <v>97</v>
      </c>
      <c r="G1292" s="283"/>
      <c r="J1292" s="293">
        <v>3</v>
      </c>
      <c r="K1292" s="293"/>
      <c r="L1292" s="293"/>
      <c r="M1292" s="293"/>
      <c r="N1292" s="293"/>
      <c r="P1292" s="42">
        <v>4770</v>
      </c>
      <c r="R1292" s="42">
        <v>720</v>
      </c>
      <c r="T1292" s="284">
        <v>4050</v>
      </c>
      <c r="U1292" s="284"/>
    </row>
    <row r="1293" spans="2:21" x14ac:dyDescent="0.25">
      <c r="B1293" s="292">
        <v>75</v>
      </c>
      <c r="C1293" s="292"/>
      <c r="D1293" s="292"/>
      <c r="F1293" s="283" t="s">
        <v>93</v>
      </c>
      <c r="G1293" s="283"/>
      <c r="J1293" s="293">
        <v>7</v>
      </c>
      <c r="K1293" s="293"/>
      <c r="L1293" s="293"/>
      <c r="M1293" s="293"/>
      <c r="N1293" s="293"/>
      <c r="P1293" s="42">
        <v>4130</v>
      </c>
      <c r="R1293" s="42">
        <v>630</v>
      </c>
      <c r="T1293" s="284">
        <v>3500</v>
      </c>
      <c r="U1293" s="284"/>
    </row>
    <row r="1294" spans="2:21" x14ac:dyDescent="0.25">
      <c r="B1294" s="292">
        <v>76</v>
      </c>
      <c r="C1294" s="292"/>
      <c r="D1294" s="292"/>
      <c r="F1294" s="283" t="s">
        <v>92</v>
      </c>
      <c r="G1294" s="283"/>
      <c r="J1294" s="293">
        <v>21</v>
      </c>
      <c r="K1294" s="293"/>
      <c r="L1294" s="293"/>
      <c r="M1294" s="293"/>
      <c r="N1294" s="293"/>
      <c r="P1294" s="42">
        <v>11800</v>
      </c>
      <c r="R1294" s="42">
        <v>3520</v>
      </c>
      <c r="T1294" s="284">
        <v>8280</v>
      </c>
      <c r="U1294" s="284"/>
    </row>
    <row r="1295" spans="2:21" x14ac:dyDescent="0.25">
      <c r="B1295" s="292">
        <v>77</v>
      </c>
      <c r="C1295" s="292"/>
      <c r="D1295" s="292"/>
      <c r="F1295" s="283" t="s">
        <v>306</v>
      </c>
      <c r="G1295" s="283"/>
      <c r="J1295" s="293">
        <v>4</v>
      </c>
      <c r="K1295" s="293"/>
      <c r="L1295" s="293"/>
      <c r="M1295" s="293"/>
      <c r="N1295" s="293"/>
      <c r="P1295" s="42">
        <v>4320</v>
      </c>
      <c r="R1295" s="42">
        <v>1280</v>
      </c>
      <c r="T1295" s="284">
        <v>3040</v>
      </c>
      <c r="U1295" s="284"/>
    </row>
    <row r="1296" spans="2:21" x14ac:dyDescent="0.25">
      <c r="B1296" s="292">
        <v>78</v>
      </c>
      <c r="C1296" s="292"/>
      <c r="D1296" s="292"/>
      <c r="F1296" s="283" t="s">
        <v>91</v>
      </c>
      <c r="G1296" s="283"/>
      <c r="J1296" s="293">
        <v>335</v>
      </c>
      <c r="K1296" s="293"/>
      <c r="L1296" s="293"/>
      <c r="M1296" s="293"/>
      <c r="N1296" s="293"/>
      <c r="P1296" s="42">
        <v>83750</v>
      </c>
      <c r="R1296" s="42">
        <v>35057</v>
      </c>
      <c r="T1296" s="284">
        <v>48693</v>
      </c>
      <c r="U1296" s="284"/>
    </row>
    <row r="1297" spans="1:21" x14ac:dyDescent="0.25">
      <c r="B1297" s="292">
        <v>79</v>
      </c>
      <c r="C1297" s="292"/>
      <c r="D1297" s="292"/>
      <c r="F1297" s="283" t="s">
        <v>90</v>
      </c>
      <c r="G1297" s="283"/>
      <c r="J1297" s="293">
        <v>33</v>
      </c>
      <c r="K1297" s="293"/>
      <c r="L1297" s="293"/>
      <c r="M1297" s="293"/>
      <c r="N1297" s="293"/>
      <c r="P1297" s="42">
        <v>9570</v>
      </c>
      <c r="R1297" s="42">
        <v>2480</v>
      </c>
      <c r="T1297" s="284">
        <v>7090</v>
      </c>
      <c r="U1297" s="284"/>
    </row>
    <row r="1298" spans="1:21" x14ac:dyDescent="0.25">
      <c r="B1298" s="292">
        <v>80</v>
      </c>
      <c r="C1298" s="292"/>
      <c r="D1298" s="292"/>
      <c r="F1298" s="283" t="s">
        <v>88</v>
      </c>
      <c r="G1298" s="283"/>
      <c r="J1298" s="293">
        <v>65</v>
      </c>
      <c r="K1298" s="293"/>
      <c r="L1298" s="293"/>
      <c r="M1298" s="293"/>
      <c r="N1298" s="293"/>
      <c r="P1298" s="42">
        <v>11700</v>
      </c>
      <c r="R1298" s="42">
        <v>2623</v>
      </c>
      <c r="T1298" s="284">
        <v>9077</v>
      </c>
      <c r="U1298" s="284"/>
    </row>
    <row r="1299" spans="1:21" x14ac:dyDescent="0.25">
      <c r="B1299" s="292">
        <v>81</v>
      </c>
      <c r="C1299" s="292"/>
      <c r="D1299" s="292"/>
      <c r="F1299" s="283" t="s">
        <v>85</v>
      </c>
      <c r="G1299" s="283"/>
      <c r="J1299" s="293">
        <v>2</v>
      </c>
      <c r="K1299" s="293"/>
      <c r="L1299" s="293"/>
      <c r="M1299" s="293"/>
      <c r="N1299" s="293"/>
      <c r="P1299" s="42">
        <v>4160</v>
      </c>
      <c r="R1299" s="42">
        <v>310</v>
      </c>
      <c r="T1299" s="284">
        <v>3850</v>
      </c>
      <c r="U1299" s="284"/>
    </row>
    <row r="1300" spans="1:21" x14ac:dyDescent="0.25">
      <c r="B1300" s="292">
        <v>82</v>
      </c>
      <c r="C1300" s="292"/>
      <c r="D1300" s="292"/>
      <c r="F1300" s="283" t="s">
        <v>84</v>
      </c>
      <c r="G1300" s="283"/>
      <c r="J1300" s="293">
        <v>4</v>
      </c>
      <c r="K1300" s="293"/>
      <c r="L1300" s="293"/>
      <c r="M1300" s="293"/>
      <c r="N1300" s="293"/>
      <c r="P1300" s="42">
        <v>2360</v>
      </c>
      <c r="R1300" s="42">
        <v>540</v>
      </c>
      <c r="T1300" s="284">
        <v>1820</v>
      </c>
      <c r="U1300" s="284"/>
    </row>
    <row r="1301" spans="1:21" x14ac:dyDescent="0.25">
      <c r="B1301" s="292">
        <v>83</v>
      </c>
      <c r="C1301" s="292"/>
      <c r="D1301" s="292"/>
      <c r="F1301" s="283" t="s">
        <v>206</v>
      </c>
      <c r="G1301" s="283"/>
      <c r="J1301" s="293">
        <v>3</v>
      </c>
      <c r="K1301" s="293"/>
      <c r="L1301" s="293"/>
      <c r="M1301" s="293"/>
      <c r="N1301" s="293"/>
      <c r="P1301" s="42">
        <v>1500</v>
      </c>
      <c r="R1301" s="42">
        <v>300</v>
      </c>
      <c r="T1301" s="284">
        <v>1200</v>
      </c>
      <c r="U1301" s="284"/>
    </row>
    <row r="1302" spans="1:21" x14ac:dyDescent="0.25">
      <c r="B1302" s="292">
        <v>84</v>
      </c>
      <c r="C1302" s="292"/>
      <c r="D1302" s="292"/>
      <c r="F1302" s="283" t="s">
        <v>272</v>
      </c>
      <c r="G1302" s="283"/>
      <c r="J1302" s="293">
        <v>5</v>
      </c>
      <c r="K1302" s="293"/>
      <c r="L1302" s="293"/>
      <c r="M1302" s="293"/>
      <c r="N1302" s="293"/>
      <c r="P1302" s="42">
        <v>2500</v>
      </c>
      <c r="R1302" s="42">
        <v>750</v>
      </c>
      <c r="T1302" s="284">
        <v>1750</v>
      </c>
      <c r="U1302" s="284"/>
    </row>
    <row r="1303" spans="1:21" x14ac:dyDescent="0.25">
      <c r="B1303" s="292">
        <v>85</v>
      </c>
      <c r="C1303" s="292"/>
      <c r="D1303" s="292"/>
      <c r="F1303" s="283" t="s">
        <v>205</v>
      </c>
      <c r="G1303" s="283"/>
      <c r="J1303" s="293">
        <v>1</v>
      </c>
      <c r="K1303" s="293"/>
      <c r="L1303" s="293"/>
      <c r="M1303" s="293"/>
      <c r="N1303" s="293"/>
      <c r="P1303" s="42">
        <v>500</v>
      </c>
      <c r="R1303" s="42">
        <v>150</v>
      </c>
      <c r="T1303" s="284">
        <v>350</v>
      </c>
      <c r="U1303" s="284"/>
    </row>
    <row r="1304" spans="1:21" x14ac:dyDescent="0.25">
      <c r="B1304" s="292">
        <v>86</v>
      </c>
      <c r="C1304" s="292"/>
      <c r="D1304" s="292"/>
      <c r="F1304" s="283" t="s">
        <v>204</v>
      </c>
      <c r="G1304" s="283"/>
      <c r="J1304" s="293">
        <v>8</v>
      </c>
      <c r="K1304" s="293"/>
      <c r="L1304" s="293"/>
      <c r="M1304" s="293"/>
      <c r="N1304" s="293"/>
      <c r="P1304" s="42">
        <v>4000</v>
      </c>
      <c r="R1304" s="42">
        <v>1200</v>
      </c>
      <c r="T1304" s="284">
        <v>2800</v>
      </c>
      <c r="U1304" s="284"/>
    </row>
    <row r="1305" spans="1:21" x14ac:dyDescent="0.25">
      <c r="B1305" s="292">
        <v>87</v>
      </c>
      <c r="C1305" s="292"/>
      <c r="D1305" s="292"/>
      <c r="F1305" s="283" t="s">
        <v>83</v>
      </c>
      <c r="G1305" s="283"/>
      <c r="J1305" s="293">
        <v>17</v>
      </c>
      <c r="K1305" s="293"/>
      <c r="L1305" s="293"/>
      <c r="M1305" s="293"/>
      <c r="N1305" s="293"/>
      <c r="P1305" s="42">
        <v>8500</v>
      </c>
      <c r="R1305" s="42">
        <v>2550</v>
      </c>
      <c r="T1305" s="284">
        <v>5950</v>
      </c>
      <c r="U1305" s="284"/>
    </row>
    <row r="1306" spans="1:21" x14ac:dyDescent="0.25">
      <c r="B1306" s="292">
        <v>88</v>
      </c>
      <c r="C1306" s="292"/>
      <c r="D1306" s="292"/>
      <c r="F1306" s="283" t="s">
        <v>271</v>
      </c>
      <c r="G1306" s="283"/>
      <c r="J1306" s="293">
        <v>1</v>
      </c>
      <c r="K1306" s="293"/>
      <c r="L1306" s="293"/>
      <c r="M1306" s="293"/>
      <c r="N1306" s="293"/>
      <c r="P1306" s="42">
        <v>500</v>
      </c>
      <c r="R1306" s="42">
        <v>150</v>
      </c>
      <c r="T1306" s="284">
        <v>350</v>
      </c>
      <c r="U1306" s="284"/>
    </row>
    <row r="1307" spans="1:21" x14ac:dyDescent="0.25">
      <c r="B1307" s="292">
        <v>89</v>
      </c>
      <c r="C1307" s="292"/>
      <c r="D1307" s="292"/>
      <c r="F1307" s="283" t="s">
        <v>202</v>
      </c>
      <c r="G1307" s="283"/>
      <c r="J1307" s="293">
        <v>4</v>
      </c>
      <c r="K1307" s="293"/>
      <c r="L1307" s="293"/>
      <c r="M1307" s="293"/>
      <c r="N1307" s="293"/>
      <c r="P1307" s="42">
        <v>2000</v>
      </c>
      <c r="R1307" s="42">
        <v>515</v>
      </c>
      <c r="T1307" s="284">
        <v>1485</v>
      </c>
      <c r="U1307" s="284"/>
    </row>
    <row r="1308" spans="1:21" s="40" customFormat="1" x14ac:dyDescent="0.25">
      <c r="A1308" s="290" t="s">
        <v>434</v>
      </c>
      <c r="B1308" s="290"/>
      <c r="C1308" s="290"/>
      <c r="D1308" s="290"/>
      <c r="E1308" s="290"/>
      <c r="F1308" s="290"/>
      <c r="G1308" s="290"/>
      <c r="H1308" s="290"/>
      <c r="I1308" s="290"/>
      <c r="J1308" s="290"/>
      <c r="K1308" s="291">
        <v>7335</v>
      </c>
      <c r="L1308" s="291"/>
      <c r="M1308" s="291"/>
      <c r="N1308" s="291"/>
      <c r="O1308" s="291"/>
      <c r="P1308" s="41">
        <v>7246495</v>
      </c>
      <c r="R1308" s="41">
        <v>6400854</v>
      </c>
      <c r="T1308" s="287">
        <v>845641</v>
      </c>
      <c r="U1308" s="287"/>
    </row>
    <row r="1309" spans="1:21" x14ac:dyDescent="0.25">
      <c r="B1309" s="292">
        <v>1</v>
      </c>
      <c r="C1309" s="292"/>
      <c r="D1309" s="292"/>
      <c r="F1309" s="283" t="s">
        <v>371</v>
      </c>
      <c r="G1309" s="283"/>
      <c r="J1309" s="293">
        <v>1</v>
      </c>
      <c r="K1309" s="293"/>
      <c r="L1309" s="293"/>
      <c r="M1309" s="293"/>
      <c r="N1309" s="293"/>
      <c r="P1309" s="42">
        <v>390</v>
      </c>
      <c r="R1309" s="42">
        <v>120</v>
      </c>
      <c r="T1309" s="284">
        <v>270</v>
      </c>
      <c r="U1309" s="284"/>
    </row>
    <row r="1310" spans="1:21" x14ac:dyDescent="0.25">
      <c r="B1310" s="292">
        <v>2</v>
      </c>
      <c r="C1310" s="292"/>
      <c r="D1310" s="292"/>
      <c r="F1310" s="283" t="s">
        <v>78</v>
      </c>
      <c r="G1310" s="283"/>
      <c r="J1310" s="293">
        <v>323</v>
      </c>
      <c r="K1310" s="293"/>
      <c r="L1310" s="293"/>
      <c r="M1310" s="293"/>
      <c r="N1310" s="293"/>
      <c r="P1310" s="42">
        <v>93670</v>
      </c>
      <c r="R1310" s="42">
        <v>93670</v>
      </c>
      <c r="T1310" s="284">
        <v>0</v>
      </c>
      <c r="U1310" s="284"/>
    </row>
    <row r="1311" spans="1:21" x14ac:dyDescent="0.25">
      <c r="B1311" s="292">
        <v>3</v>
      </c>
      <c r="C1311" s="292"/>
      <c r="D1311" s="292"/>
      <c r="F1311" s="283" t="s">
        <v>268</v>
      </c>
      <c r="G1311" s="283"/>
      <c r="J1311" s="293">
        <v>1</v>
      </c>
      <c r="K1311" s="293"/>
      <c r="L1311" s="293"/>
      <c r="M1311" s="293"/>
      <c r="N1311" s="293"/>
      <c r="P1311" s="42">
        <v>250</v>
      </c>
      <c r="R1311" s="42">
        <v>70</v>
      </c>
      <c r="T1311" s="284">
        <v>180</v>
      </c>
      <c r="U1311" s="284"/>
    </row>
    <row r="1312" spans="1:21" x14ac:dyDescent="0.25">
      <c r="B1312" s="292">
        <v>4</v>
      </c>
      <c r="C1312" s="292"/>
      <c r="D1312" s="292"/>
      <c r="F1312" s="283" t="s">
        <v>164</v>
      </c>
      <c r="G1312" s="283"/>
      <c r="J1312" s="293">
        <v>2</v>
      </c>
      <c r="K1312" s="293"/>
      <c r="L1312" s="293"/>
      <c r="M1312" s="293"/>
      <c r="N1312" s="293"/>
      <c r="P1312" s="42">
        <v>1180</v>
      </c>
      <c r="R1312" s="42">
        <v>360</v>
      </c>
      <c r="T1312" s="284">
        <v>820</v>
      </c>
      <c r="U1312" s="284"/>
    </row>
    <row r="1313" spans="2:21" x14ac:dyDescent="0.25">
      <c r="B1313" s="292">
        <v>5</v>
      </c>
      <c r="C1313" s="292"/>
      <c r="D1313" s="292"/>
      <c r="F1313" s="283" t="s">
        <v>163</v>
      </c>
      <c r="G1313" s="283"/>
      <c r="J1313" s="293">
        <v>7</v>
      </c>
      <c r="K1313" s="293"/>
      <c r="L1313" s="293"/>
      <c r="M1313" s="293"/>
      <c r="N1313" s="293"/>
      <c r="P1313" s="42">
        <v>8330</v>
      </c>
      <c r="R1313" s="42">
        <v>1260</v>
      </c>
      <c r="T1313" s="284">
        <v>7070</v>
      </c>
      <c r="U1313" s="284"/>
    </row>
    <row r="1314" spans="2:21" x14ac:dyDescent="0.25">
      <c r="B1314" s="292">
        <v>6</v>
      </c>
      <c r="C1314" s="292"/>
      <c r="D1314" s="292"/>
      <c r="F1314" s="283" t="s">
        <v>162</v>
      </c>
      <c r="G1314" s="283"/>
      <c r="J1314" s="293">
        <v>58</v>
      </c>
      <c r="K1314" s="293"/>
      <c r="L1314" s="293"/>
      <c r="M1314" s="293"/>
      <c r="N1314" s="293"/>
      <c r="P1314" s="42">
        <v>24940</v>
      </c>
      <c r="R1314" s="42">
        <v>11188</v>
      </c>
      <c r="T1314" s="284">
        <v>13752</v>
      </c>
      <c r="U1314" s="284"/>
    </row>
    <row r="1315" spans="2:21" x14ac:dyDescent="0.25">
      <c r="B1315" s="292">
        <v>7</v>
      </c>
      <c r="C1315" s="292"/>
      <c r="D1315" s="292"/>
      <c r="F1315" s="283" t="s">
        <v>198</v>
      </c>
      <c r="G1315" s="283"/>
      <c r="J1315" s="293">
        <v>1</v>
      </c>
      <c r="K1315" s="293"/>
      <c r="L1315" s="293"/>
      <c r="M1315" s="293"/>
      <c r="N1315" s="293"/>
      <c r="P1315" s="42">
        <v>290</v>
      </c>
      <c r="R1315" s="42">
        <v>80</v>
      </c>
      <c r="T1315" s="284">
        <v>210</v>
      </c>
      <c r="U1315" s="284"/>
    </row>
    <row r="1316" spans="2:21" x14ac:dyDescent="0.25">
      <c r="B1316" s="292">
        <v>8</v>
      </c>
      <c r="C1316" s="292"/>
      <c r="D1316" s="292"/>
      <c r="F1316" s="283" t="s">
        <v>161</v>
      </c>
      <c r="G1316" s="283"/>
      <c r="J1316" s="293">
        <v>1</v>
      </c>
      <c r="K1316" s="293"/>
      <c r="L1316" s="293"/>
      <c r="M1316" s="293"/>
      <c r="N1316" s="293"/>
      <c r="P1316" s="42">
        <v>25</v>
      </c>
      <c r="R1316" s="42">
        <v>5</v>
      </c>
      <c r="T1316" s="284">
        <v>20</v>
      </c>
      <c r="U1316" s="284"/>
    </row>
    <row r="1317" spans="2:21" x14ac:dyDescent="0.25">
      <c r="B1317" s="292">
        <v>9</v>
      </c>
      <c r="C1317" s="292"/>
      <c r="D1317" s="292"/>
      <c r="F1317" s="283" t="s">
        <v>160</v>
      </c>
      <c r="G1317" s="283"/>
      <c r="J1317" s="293">
        <v>26</v>
      </c>
      <c r="K1317" s="293"/>
      <c r="L1317" s="293"/>
      <c r="M1317" s="293"/>
      <c r="N1317" s="293"/>
      <c r="P1317" s="42">
        <v>7540</v>
      </c>
      <c r="R1317" s="42">
        <v>2080</v>
      </c>
      <c r="T1317" s="284">
        <v>5460</v>
      </c>
      <c r="U1317" s="284"/>
    </row>
    <row r="1318" spans="2:21" x14ac:dyDescent="0.25">
      <c r="B1318" s="292">
        <v>10</v>
      </c>
      <c r="C1318" s="292"/>
      <c r="D1318" s="292"/>
      <c r="F1318" s="283" t="s">
        <v>159</v>
      </c>
      <c r="G1318" s="283"/>
      <c r="J1318" s="293">
        <v>250</v>
      </c>
      <c r="K1318" s="293"/>
      <c r="L1318" s="293"/>
      <c r="M1318" s="293"/>
      <c r="N1318" s="293"/>
      <c r="P1318" s="42">
        <v>0</v>
      </c>
      <c r="R1318" s="42">
        <v>0</v>
      </c>
      <c r="T1318" s="284">
        <v>0</v>
      </c>
      <c r="U1318" s="284"/>
    </row>
    <row r="1319" spans="2:21" x14ac:dyDescent="0.25">
      <c r="B1319" s="292">
        <v>11</v>
      </c>
      <c r="C1319" s="292"/>
      <c r="D1319" s="292"/>
      <c r="F1319" s="283" t="s">
        <v>158</v>
      </c>
      <c r="G1319" s="283"/>
      <c r="J1319" s="293">
        <v>928</v>
      </c>
      <c r="K1319" s="293"/>
      <c r="L1319" s="293"/>
      <c r="M1319" s="293"/>
      <c r="N1319" s="293"/>
      <c r="P1319" s="42">
        <v>510400</v>
      </c>
      <c r="R1319" s="42">
        <v>155204</v>
      </c>
      <c r="T1319" s="284">
        <v>355196</v>
      </c>
      <c r="U1319" s="284"/>
    </row>
    <row r="1320" spans="2:21" x14ac:dyDescent="0.25">
      <c r="B1320" s="292">
        <v>12</v>
      </c>
      <c r="C1320" s="292"/>
      <c r="D1320" s="292"/>
      <c r="F1320" s="283" t="s">
        <v>157</v>
      </c>
      <c r="G1320" s="283"/>
      <c r="J1320" s="293">
        <v>105</v>
      </c>
      <c r="K1320" s="293"/>
      <c r="L1320" s="293"/>
      <c r="M1320" s="293"/>
      <c r="N1320" s="293"/>
      <c r="P1320" s="42">
        <v>51450</v>
      </c>
      <c r="R1320" s="42">
        <v>22442</v>
      </c>
      <c r="T1320" s="284">
        <v>29008</v>
      </c>
      <c r="U1320" s="284"/>
    </row>
    <row r="1321" spans="2:21" x14ac:dyDescent="0.25">
      <c r="B1321" s="292">
        <v>13</v>
      </c>
      <c r="C1321" s="292"/>
      <c r="D1321" s="292"/>
      <c r="F1321" s="283" t="s">
        <v>196</v>
      </c>
      <c r="G1321" s="283"/>
      <c r="J1321" s="293">
        <v>2</v>
      </c>
      <c r="K1321" s="293"/>
      <c r="L1321" s="293"/>
      <c r="M1321" s="293"/>
      <c r="N1321" s="293"/>
      <c r="P1321" s="42">
        <v>1400</v>
      </c>
      <c r="R1321" s="42">
        <v>700</v>
      </c>
      <c r="T1321" s="284">
        <v>700</v>
      </c>
      <c r="U1321" s="284"/>
    </row>
    <row r="1322" spans="2:21" x14ac:dyDescent="0.25">
      <c r="B1322" s="292">
        <v>14</v>
      </c>
      <c r="C1322" s="292"/>
      <c r="D1322" s="292"/>
      <c r="F1322" s="283" t="s">
        <v>309</v>
      </c>
      <c r="G1322" s="283"/>
      <c r="J1322" s="293">
        <v>5</v>
      </c>
      <c r="K1322" s="293"/>
      <c r="L1322" s="293"/>
      <c r="M1322" s="293"/>
      <c r="N1322" s="293"/>
      <c r="P1322" s="42">
        <v>2500</v>
      </c>
      <c r="R1322" s="42">
        <v>750</v>
      </c>
      <c r="T1322" s="284">
        <v>1750</v>
      </c>
      <c r="U1322" s="284"/>
    </row>
    <row r="1323" spans="2:21" x14ac:dyDescent="0.25">
      <c r="B1323" s="292">
        <v>15</v>
      </c>
      <c r="C1323" s="292"/>
      <c r="D1323" s="292"/>
      <c r="F1323" s="283" t="s">
        <v>292</v>
      </c>
      <c r="G1323" s="283"/>
      <c r="J1323" s="293">
        <v>1</v>
      </c>
      <c r="K1323" s="293"/>
      <c r="L1323" s="293"/>
      <c r="M1323" s="293"/>
      <c r="N1323" s="293"/>
      <c r="P1323" s="42">
        <v>700</v>
      </c>
      <c r="R1323" s="42">
        <v>700</v>
      </c>
      <c r="T1323" s="284">
        <v>0</v>
      </c>
      <c r="U1323" s="284"/>
    </row>
    <row r="1324" spans="2:21" x14ac:dyDescent="0.25">
      <c r="B1324" s="292">
        <v>16</v>
      </c>
      <c r="C1324" s="292"/>
      <c r="D1324" s="292"/>
      <c r="F1324" s="283" t="s">
        <v>77</v>
      </c>
      <c r="G1324" s="283"/>
      <c r="J1324" s="293">
        <v>1707</v>
      </c>
      <c r="K1324" s="293"/>
      <c r="L1324" s="293"/>
      <c r="M1324" s="293"/>
      <c r="N1324" s="293"/>
      <c r="P1324" s="42">
        <v>684000</v>
      </c>
      <c r="R1324" s="42">
        <v>684000</v>
      </c>
      <c r="T1324" s="284">
        <v>0</v>
      </c>
      <c r="U1324" s="284"/>
    </row>
    <row r="1325" spans="2:21" x14ac:dyDescent="0.25">
      <c r="B1325" s="292">
        <v>17</v>
      </c>
      <c r="C1325" s="292"/>
      <c r="D1325" s="292"/>
      <c r="F1325" s="283" t="s">
        <v>242</v>
      </c>
      <c r="G1325" s="283"/>
      <c r="J1325" s="293">
        <v>2</v>
      </c>
      <c r="K1325" s="293"/>
      <c r="L1325" s="293"/>
      <c r="M1325" s="293"/>
      <c r="N1325" s="293"/>
      <c r="P1325" s="42">
        <v>1000</v>
      </c>
      <c r="R1325" s="42">
        <v>1000</v>
      </c>
      <c r="T1325" s="284">
        <v>0</v>
      </c>
      <c r="U1325" s="284"/>
    </row>
    <row r="1326" spans="2:21" x14ac:dyDescent="0.25">
      <c r="B1326" s="292">
        <v>18</v>
      </c>
      <c r="C1326" s="292"/>
      <c r="D1326" s="292"/>
      <c r="F1326" s="283" t="s">
        <v>76</v>
      </c>
      <c r="G1326" s="283"/>
      <c r="J1326" s="293">
        <v>5</v>
      </c>
      <c r="K1326" s="293"/>
      <c r="L1326" s="293"/>
      <c r="M1326" s="293"/>
      <c r="N1326" s="293"/>
      <c r="P1326" s="42">
        <v>3000</v>
      </c>
      <c r="R1326" s="42">
        <v>3000</v>
      </c>
      <c r="T1326" s="284">
        <v>0</v>
      </c>
      <c r="U1326" s="284"/>
    </row>
    <row r="1327" spans="2:21" x14ac:dyDescent="0.25">
      <c r="B1327" s="292">
        <v>19</v>
      </c>
      <c r="C1327" s="292"/>
      <c r="D1327" s="292"/>
      <c r="F1327" s="283" t="s">
        <v>156</v>
      </c>
      <c r="G1327" s="283"/>
      <c r="J1327" s="293">
        <v>10</v>
      </c>
      <c r="K1327" s="293"/>
      <c r="L1327" s="293"/>
      <c r="M1327" s="293"/>
      <c r="N1327" s="293"/>
      <c r="P1327" s="42">
        <v>1900</v>
      </c>
      <c r="R1327" s="42">
        <v>560</v>
      </c>
      <c r="T1327" s="284">
        <v>1340</v>
      </c>
      <c r="U1327" s="284"/>
    </row>
    <row r="1328" spans="2:21" x14ac:dyDescent="0.25">
      <c r="B1328" s="292">
        <v>20</v>
      </c>
      <c r="C1328" s="292"/>
      <c r="D1328" s="292"/>
      <c r="F1328" s="283" t="s">
        <v>155</v>
      </c>
      <c r="G1328" s="283"/>
      <c r="J1328" s="293">
        <v>37</v>
      </c>
      <c r="K1328" s="293"/>
      <c r="L1328" s="293"/>
      <c r="M1328" s="293"/>
      <c r="N1328" s="293"/>
      <c r="P1328" s="42">
        <v>9250</v>
      </c>
      <c r="R1328" s="42">
        <v>3130</v>
      </c>
      <c r="T1328" s="284">
        <v>6120</v>
      </c>
      <c r="U1328" s="284"/>
    </row>
    <row r="1329" spans="2:21" x14ac:dyDescent="0.25">
      <c r="B1329" s="292">
        <v>21</v>
      </c>
      <c r="C1329" s="292"/>
      <c r="D1329" s="292"/>
      <c r="F1329" s="283" t="s">
        <v>154</v>
      </c>
      <c r="G1329" s="283"/>
      <c r="J1329" s="293">
        <v>3</v>
      </c>
      <c r="K1329" s="293"/>
      <c r="L1329" s="293"/>
      <c r="M1329" s="293"/>
      <c r="N1329" s="293"/>
      <c r="P1329" s="42">
        <v>2670</v>
      </c>
      <c r="R1329" s="42">
        <v>390</v>
      </c>
      <c r="T1329" s="284">
        <v>2280</v>
      </c>
      <c r="U1329" s="284"/>
    </row>
    <row r="1330" spans="2:21" x14ac:dyDescent="0.25">
      <c r="B1330" s="292">
        <v>22</v>
      </c>
      <c r="C1330" s="292"/>
      <c r="D1330" s="292"/>
      <c r="F1330" s="283" t="s">
        <v>153</v>
      </c>
      <c r="G1330" s="283"/>
      <c r="J1330" s="293">
        <v>2</v>
      </c>
      <c r="K1330" s="293"/>
      <c r="L1330" s="293"/>
      <c r="M1330" s="293"/>
      <c r="N1330" s="293"/>
      <c r="P1330" s="42">
        <v>2360</v>
      </c>
      <c r="R1330" s="42">
        <v>360</v>
      </c>
      <c r="T1330" s="284">
        <v>2000</v>
      </c>
      <c r="U1330" s="284"/>
    </row>
    <row r="1331" spans="2:21" x14ac:dyDescent="0.25">
      <c r="B1331" s="292">
        <v>23</v>
      </c>
      <c r="C1331" s="292"/>
      <c r="D1331" s="292"/>
      <c r="F1331" s="283" t="s">
        <v>289</v>
      </c>
      <c r="G1331" s="283"/>
      <c r="J1331" s="293">
        <v>1</v>
      </c>
      <c r="K1331" s="293"/>
      <c r="L1331" s="293"/>
      <c r="M1331" s="293"/>
      <c r="N1331" s="293"/>
      <c r="P1331" s="42">
        <v>500</v>
      </c>
      <c r="R1331" s="42">
        <v>150</v>
      </c>
      <c r="T1331" s="284">
        <v>350</v>
      </c>
      <c r="U1331" s="284"/>
    </row>
    <row r="1332" spans="2:21" x14ac:dyDescent="0.25">
      <c r="B1332" s="292">
        <v>24</v>
      </c>
      <c r="C1332" s="292"/>
      <c r="D1332" s="292"/>
      <c r="F1332" s="283" t="s">
        <v>152</v>
      </c>
      <c r="G1332" s="283"/>
      <c r="J1332" s="293">
        <v>13</v>
      </c>
      <c r="K1332" s="293"/>
      <c r="L1332" s="293"/>
      <c r="M1332" s="293"/>
      <c r="N1332" s="293"/>
      <c r="P1332" s="42">
        <v>7670</v>
      </c>
      <c r="R1332" s="42">
        <v>2340</v>
      </c>
      <c r="T1332" s="284">
        <v>5330</v>
      </c>
      <c r="U1332" s="284"/>
    </row>
    <row r="1333" spans="2:21" x14ac:dyDescent="0.25">
      <c r="B1333" s="292">
        <v>25</v>
      </c>
      <c r="C1333" s="292"/>
      <c r="D1333" s="292"/>
      <c r="F1333" s="283" t="s">
        <v>151</v>
      </c>
      <c r="G1333" s="283"/>
      <c r="J1333" s="293">
        <v>13</v>
      </c>
      <c r="K1333" s="293"/>
      <c r="L1333" s="293"/>
      <c r="M1333" s="293"/>
      <c r="N1333" s="293"/>
      <c r="P1333" s="42">
        <v>2990</v>
      </c>
      <c r="R1333" s="42">
        <v>1000</v>
      </c>
      <c r="T1333" s="284">
        <v>1990</v>
      </c>
      <c r="U1333" s="284"/>
    </row>
    <row r="1334" spans="2:21" x14ac:dyDescent="0.25">
      <c r="B1334" s="292">
        <v>26</v>
      </c>
      <c r="C1334" s="292"/>
      <c r="D1334" s="292"/>
      <c r="F1334" s="283" t="s">
        <v>150</v>
      </c>
      <c r="G1334" s="283"/>
      <c r="J1334" s="293">
        <v>44</v>
      </c>
      <c r="K1334" s="293"/>
      <c r="L1334" s="293"/>
      <c r="M1334" s="293"/>
      <c r="N1334" s="293"/>
      <c r="P1334" s="42">
        <v>7480</v>
      </c>
      <c r="R1334" s="42">
        <v>2150</v>
      </c>
      <c r="T1334" s="284">
        <v>5330</v>
      </c>
      <c r="U1334" s="284"/>
    </row>
    <row r="1335" spans="2:21" x14ac:dyDescent="0.25">
      <c r="B1335" s="292">
        <v>27</v>
      </c>
      <c r="C1335" s="292"/>
      <c r="D1335" s="292"/>
      <c r="F1335" s="283" t="s">
        <v>149</v>
      </c>
      <c r="G1335" s="283"/>
      <c r="J1335" s="293">
        <v>1</v>
      </c>
      <c r="K1335" s="293"/>
      <c r="L1335" s="293"/>
      <c r="M1335" s="293"/>
      <c r="N1335" s="293"/>
      <c r="P1335" s="42">
        <v>50</v>
      </c>
      <c r="R1335" s="42">
        <v>10</v>
      </c>
      <c r="T1335" s="284">
        <v>40</v>
      </c>
      <c r="U1335" s="284"/>
    </row>
    <row r="1336" spans="2:21" x14ac:dyDescent="0.25">
      <c r="B1336" s="292">
        <v>28</v>
      </c>
      <c r="C1336" s="292"/>
      <c r="D1336" s="292"/>
      <c r="F1336" s="283" t="s">
        <v>148</v>
      </c>
      <c r="G1336" s="283"/>
      <c r="J1336" s="293">
        <v>3</v>
      </c>
      <c r="K1336" s="293"/>
      <c r="L1336" s="293"/>
      <c r="M1336" s="293"/>
      <c r="N1336" s="293"/>
      <c r="P1336" s="42">
        <v>2940</v>
      </c>
      <c r="R1336" s="42">
        <v>450</v>
      </c>
      <c r="T1336" s="284">
        <v>2490</v>
      </c>
      <c r="U1336" s="284"/>
    </row>
    <row r="1337" spans="2:21" x14ac:dyDescent="0.25">
      <c r="B1337" s="292">
        <v>29</v>
      </c>
      <c r="C1337" s="292"/>
      <c r="D1337" s="292"/>
      <c r="F1337" s="283" t="s">
        <v>288</v>
      </c>
      <c r="G1337" s="283"/>
      <c r="J1337" s="293">
        <v>2</v>
      </c>
      <c r="K1337" s="293"/>
      <c r="L1337" s="293"/>
      <c r="M1337" s="293"/>
      <c r="N1337" s="293"/>
      <c r="P1337" s="42">
        <v>1600</v>
      </c>
      <c r="R1337" s="42">
        <v>900</v>
      </c>
      <c r="T1337" s="284">
        <v>700</v>
      </c>
      <c r="U1337" s="284"/>
    </row>
    <row r="1338" spans="2:21" x14ac:dyDescent="0.25">
      <c r="B1338" s="292">
        <v>30</v>
      </c>
      <c r="C1338" s="292"/>
      <c r="D1338" s="292"/>
      <c r="F1338" s="283" t="s">
        <v>234</v>
      </c>
      <c r="G1338" s="283"/>
      <c r="J1338" s="293">
        <v>4</v>
      </c>
      <c r="K1338" s="293"/>
      <c r="L1338" s="293"/>
      <c r="M1338" s="293"/>
      <c r="N1338" s="293"/>
      <c r="P1338" s="42">
        <v>3300</v>
      </c>
      <c r="R1338" s="42">
        <v>1620</v>
      </c>
      <c r="T1338" s="284">
        <v>1680</v>
      </c>
      <c r="U1338" s="284"/>
    </row>
    <row r="1339" spans="2:21" x14ac:dyDescent="0.25">
      <c r="B1339" s="292">
        <v>31</v>
      </c>
      <c r="C1339" s="292"/>
      <c r="D1339" s="292"/>
      <c r="F1339" s="283" t="s">
        <v>193</v>
      </c>
      <c r="G1339" s="283"/>
      <c r="J1339" s="293">
        <v>1</v>
      </c>
      <c r="K1339" s="293"/>
      <c r="L1339" s="293"/>
      <c r="M1339" s="293"/>
      <c r="N1339" s="293"/>
      <c r="P1339" s="42">
        <v>890</v>
      </c>
      <c r="R1339" s="42">
        <v>130</v>
      </c>
      <c r="T1339" s="284">
        <v>760</v>
      </c>
      <c r="U1339" s="284"/>
    </row>
    <row r="1340" spans="2:21" x14ac:dyDescent="0.25">
      <c r="B1340" s="292">
        <v>32</v>
      </c>
      <c r="C1340" s="292"/>
      <c r="D1340" s="292"/>
      <c r="F1340" s="283" t="s">
        <v>75</v>
      </c>
      <c r="G1340" s="283"/>
      <c r="J1340" s="293">
        <v>2062</v>
      </c>
      <c r="K1340" s="293"/>
      <c r="L1340" s="293"/>
      <c r="M1340" s="293"/>
      <c r="N1340" s="293"/>
      <c r="P1340" s="42">
        <v>5155000</v>
      </c>
      <c r="R1340" s="42">
        <v>5155000</v>
      </c>
      <c r="T1340" s="284">
        <v>0</v>
      </c>
      <c r="U1340" s="284"/>
    </row>
    <row r="1341" spans="2:21" x14ac:dyDescent="0.25">
      <c r="B1341" s="292">
        <v>33</v>
      </c>
      <c r="C1341" s="292"/>
      <c r="D1341" s="292"/>
      <c r="F1341" s="283" t="s">
        <v>139</v>
      </c>
      <c r="G1341" s="283"/>
      <c r="J1341" s="293">
        <v>7</v>
      </c>
      <c r="K1341" s="293"/>
      <c r="L1341" s="293"/>
      <c r="M1341" s="293"/>
      <c r="N1341" s="293"/>
      <c r="P1341" s="42">
        <v>1890</v>
      </c>
      <c r="R1341" s="42">
        <v>560</v>
      </c>
      <c r="T1341" s="284">
        <v>1330</v>
      </c>
      <c r="U1341" s="284"/>
    </row>
    <row r="1342" spans="2:21" x14ac:dyDescent="0.25">
      <c r="B1342" s="292">
        <v>34</v>
      </c>
      <c r="C1342" s="292"/>
      <c r="D1342" s="292"/>
      <c r="F1342" s="283" t="s">
        <v>302</v>
      </c>
      <c r="G1342" s="283"/>
      <c r="J1342" s="293">
        <v>1</v>
      </c>
      <c r="K1342" s="293"/>
      <c r="L1342" s="293"/>
      <c r="M1342" s="293"/>
      <c r="N1342" s="293"/>
      <c r="P1342" s="42">
        <v>800</v>
      </c>
      <c r="R1342" s="42">
        <v>450</v>
      </c>
      <c r="T1342" s="284">
        <v>350</v>
      </c>
      <c r="U1342" s="284"/>
    </row>
    <row r="1343" spans="2:21" x14ac:dyDescent="0.25">
      <c r="B1343" s="292">
        <v>35</v>
      </c>
      <c r="C1343" s="292"/>
      <c r="D1343" s="292"/>
      <c r="F1343" s="283" t="s">
        <v>138</v>
      </c>
      <c r="G1343" s="283"/>
      <c r="J1343" s="293">
        <v>1</v>
      </c>
      <c r="K1343" s="293"/>
      <c r="L1343" s="293"/>
      <c r="M1343" s="293"/>
      <c r="N1343" s="293"/>
      <c r="P1343" s="42">
        <v>800</v>
      </c>
      <c r="R1343" s="42">
        <v>450</v>
      </c>
      <c r="T1343" s="284">
        <v>350</v>
      </c>
      <c r="U1343" s="284"/>
    </row>
    <row r="1344" spans="2:21" x14ac:dyDescent="0.25">
      <c r="B1344" s="292">
        <v>36</v>
      </c>
      <c r="C1344" s="292"/>
      <c r="D1344" s="292"/>
      <c r="F1344" s="283" t="s">
        <v>136</v>
      </c>
      <c r="G1344" s="283"/>
      <c r="J1344" s="293">
        <v>22</v>
      </c>
      <c r="K1344" s="293"/>
      <c r="L1344" s="293"/>
      <c r="M1344" s="293"/>
      <c r="N1344" s="293"/>
      <c r="P1344" s="42">
        <v>18700</v>
      </c>
      <c r="R1344" s="42">
        <v>4550</v>
      </c>
      <c r="T1344" s="284">
        <v>14150</v>
      </c>
      <c r="U1344" s="284"/>
    </row>
    <row r="1345" spans="2:21" x14ac:dyDescent="0.25">
      <c r="B1345" s="292">
        <v>37</v>
      </c>
      <c r="C1345" s="292"/>
      <c r="D1345" s="292"/>
      <c r="F1345" s="283" t="s">
        <v>74</v>
      </c>
      <c r="G1345" s="283"/>
      <c r="J1345" s="293">
        <v>74</v>
      </c>
      <c r="K1345" s="293"/>
      <c r="L1345" s="293"/>
      <c r="M1345" s="293"/>
      <c r="N1345" s="293"/>
      <c r="P1345" s="42">
        <v>62900</v>
      </c>
      <c r="R1345" s="42">
        <v>62900</v>
      </c>
      <c r="T1345" s="284">
        <v>0</v>
      </c>
      <c r="U1345" s="284"/>
    </row>
    <row r="1346" spans="2:21" x14ac:dyDescent="0.25">
      <c r="B1346" s="292">
        <v>38</v>
      </c>
      <c r="C1346" s="292"/>
      <c r="D1346" s="292"/>
      <c r="F1346" s="283" t="s">
        <v>190</v>
      </c>
      <c r="G1346" s="283"/>
      <c r="J1346" s="293">
        <v>8</v>
      </c>
      <c r="K1346" s="293"/>
      <c r="L1346" s="293"/>
      <c r="M1346" s="293"/>
      <c r="N1346" s="293"/>
      <c r="P1346" s="42">
        <v>12560</v>
      </c>
      <c r="R1346" s="42">
        <v>1920</v>
      </c>
      <c r="T1346" s="284">
        <v>10640</v>
      </c>
      <c r="U1346" s="284"/>
    </row>
    <row r="1347" spans="2:21" x14ac:dyDescent="0.25">
      <c r="B1347" s="292">
        <v>39</v>
      </c>
      <c r="C1347" s="292"/>
      <c r="D1347" s="292"/>
      <c r="F1347" s="283" t="s">
        <v>135</v>
      </c>
      <c r="G1347" s="283"/>
      <c r="J1347" s="293">
        <v>2</v>
      </c>
      <c r="K1347" s="293"/>
      <c r="L1347" s="293"/>
      <c r="M1347" s="293"/>
      <c r="N1347" s="293"/>
      <c r="P1347" s="42">
        <v>1900</v>
      </c>
      <c r="R1347" s="42">
        <v>560</v>
      </c>
      <c r="T1347" s="284">
        <v>1340</v>
      </c>
      <c r="U1347" s="284"/>
    </row>
    <row r="1348" spans="2:21" x14ac:dyDescent="0.25">
      <c r="B1348" s="292">
        <v>40</v>
      </c>
      <c r="C1348" s="292"/>
      <c r="D1348" s="292"/>
      <c r="F1348" s="283" t="s">
        <v>229</v>
      </c>
      <c r="G1348" s="283"/>
      <c r="J1348" s="293">
        <v>1</v>
      </c>
      <c r="K1348" s="293"/>
      <c r="L1348" s="293"/>
      <c r="M1348" s="293"/>
      <c r="N1348" s="293"/>
      <c r="P1348" s="42">
        <v>7000</v>
      </c>
      <c r="R1348" s="42">
        <v>3100</v>
      </c>
      <c r="T1348" s="284">
        <v>3900</v>
      </c>
      <c r="U1348" s="284"/>
    </row>
    <row r="1349" spans="2:21" x14ac:dyDescent="0.25">
      <c r="B1349" s="292">
        <v>41</v>
      </c>
      <c r="C1349" s="292"/>
      <c r="D1349" s="292"/>
      <c r="F1349" s="283" t="s">
        <v>132</v>
      </c>
      <c r="G1349" s="283"/>
      <c r="J1349" s="293">
        <v>2</v>
      </c>
      <c r="K1349" s="293"/>
      <c r="L1349" s="293"/>
      <c r="M1349" s="293"/>
      <c r="N1349" s="293"/>
      <c r="P1349" s="42">
        <v>2480</v>
      </c>
      <c r="R1349" s="42">
        <v>740</v>
      </c>
      <c r="T1349" s="284">
        <v>1740</v>
      </c>
      <c r="U1349" s="284"/>
    </row>
    <row r="1350" spans="2:21" x14ac:dyDescent="0.25">
      <c r="B1350" s="292">
        <v>42</v>
      </c>
      <c r="C1350" s="292"/>
      <c r="D1350" s="292"/>
      <c r="F1350" s="283" t="s">
        <v>130</v>
      </c>
      <c r="G1350" s="283"/>
      <c r="J1350" s="293">
        <v>1</v>
      </c>
      <c r="K1350" s="293"/>
      <c r="L1350" s="293"/>
      <c r="M1350" s="293"/>
      <c r="N1350" s="293"/>
      <c r="P1350" s="42">
        <v>8000</v>
      </c>
      <c r="R1350" s="42">
        <v>4100</v>
      </c>
      <c r="T1350" s="284">
        <v>3900</v>
      </c>
      <c r="U1350" s="284"/>
    </row>
    <row r="1351" spans="2:21" x14ac:dyDescent="0.25">
      <c r="B1351" s="292">
        <v>43</v>
      </c>
      <c r="C1351" s="292"/>
      <c r="D1351" s="292"/>
      <c r="F1351" s="283" t="s">
        <v>127</v>
      </c>
      <c r="G1351" s="283"/>
      <c r="J1351" s="293">
        <v>86</v>
      </c>
      <c r="K1351" s="293"/>
      <c r="L1351" s="293"/>
      <c r="M1351" s="293"/>
      <c r="N1351" s="293"/>
      <c r="P1351" s="42">
        <v>25800</v>
      </c>
      <c r="R1351" s="42">
        <v>9134</v>
      </c>
      <c r="T1351" s="284">
        <v>16666</v>
      </c>
      <c r="U1351" s="284"/>
    </row>
    <row r="1352" spans="2:21" x14ac:dyDescent="0.25">
      <c r="B1352" s="292">
        <v>44</v>
      </c>
      <c r="C1352" s="292"/>
      <c r="D1352" s="292"/>
      <c r="F1352" s="283" t="s">
        <v>126</v>
      </c>
      <c r="G1352" s="283"/>
      <c r="J1352" s="293">
        <v>87</v>
      </c>
      <c r="K1352" s="293"/>
      <c r="L1352" s="293"/>
      <c r="M1352" s="293"/>
      <c r="N1352" s="293"/>
      <c r="P1352" s="42">
        <v>17400</v>
      </c>
      <c r="R1352" s="42">
        <v>6138</v>
      </c>
      <c r="T1352" s="284">
        <v>11262</v>
      </c>
      <c r="U1352" s="284"/>
    </row>
    <row r="1353" spans="2:21" x14ac:dyDescent="0.25">
      <c r="B1353" s="292">
        <v>45</v>
      </c>
      <c r="C1353" s="292"/>
      <c r="D1353" s="292"/>
      <c r="F1353" s="283" t="s">
        <v>124</v>
      </c>
      <c r="G1353" s="283"/>
      <c r="J1353" s="293">
        <v>7</v>
      </c>
      <c r="K1353" s="293"/>
      <c r="L1353" s="293"/>
      <c r="M1353" s="293"/>
      <c r="N1353" s="293"/>
      <c r="P1353" s="42">
        <v>3560</v>
      </c>
      <c r="R1353" s="42">
        <v>1060</v>
      </c>
      <c r="T1353" s="284">
        <v>2500</v>
      </c>
      <c r="U1353" s="284"/>
    </row>
    <row r="1354" spans="2:21" x14ac:dyDescent="0.25">
      <c r="B1354" s="292">
        <v>46</v>
      </c>
      <c r="C1354" s="292"/>
      <c r="D1354" s="292"/>
      <c r="F1354" s="283" t="s">
        <v>123</v>
      </c>
      <c r="G1354" s="283"/>
      <c r="J1354" s="293">
        <v>40</v>
      </c>
      <c r="K1354" s="293"/>
      <c r="L1354" s="293"/>
      <c r="M1354" s="293"/>
      <c r="N1354" s="293"/>
      <c r="P1354" s="42">
        <v>31200</v>
      </c>
      <c r="R1354" s="42">
        <v>9200</v>
      </c>
      <c r="T1354" s="284">
        <v>22000</v>
      </c>
      <c r="U1354" s="284"/>
    </row>
    <row r="1355" spans="2:21" x14ac:dyDescent="0.25">
      <c r="B1355" s="292">
        <v>47</v>
      </c>
      <c r="C1355" s="292"/>
      <c r="D1355" s="292"/>
      <c r="F1355" s="283" t="s">
        <v>183</v>
      </c>
      <c r="G1355" s="283"/>
      <c r="J1355" s="293">
        <v>4</v>
      </c>
      <c r="K1355" s="293"/>
      <c r="L1355" s="293"/>
      <c r="M1355" s="293"/>
      <c r="N1355" s="293"/>
      <c r="P1355" s="42">
        <v>1760</v>
      </c>
      <c r="R1355" s="42">
        <v>520</v>
      </c>
      <c r="T1355" s="284">
        <v>1240</v>
      </c>
      <c r="U1355" s="284"/>
    </row>
    <row r="1356" spans="2:21" x14ac:dyDescent="0.25">
      <c r="B1356" s="292">
        <v>48</v>
      </c>
      <c r="C1356" s="292"/>
      <c r="D1356" s="292"/>
      <c r="F1356" s="283" t="s">
        <v>227</v>
      </c>
      <c r="G1356" s="283"/>
      <c r="J1356" s="293">
        <v>3</v>
      </c>
      <c r="K1356" s="293"/>
      <c r="L1356" s="293"/>
      <c r="M1356" s="293"/>
      <c r="N1356" s="293"/>
      <c r="P1356" s="42">
        <v>1500</v>
      </c>
      <c r="R1356" s="42">
        <v>450</v>
      </c>
      <c r="T1356" s="284">
        <v>1050</v>
      </c>
      <c r="U1356" s="284"/>
    </row>
    <row r="1357" spans="2:21" x14ac:dyDescent="0.25">
      <c r="B1357" s="292">
        <v>49</v>
      </c>
      <c r="C1357" s="292"/>
      <c r="D1357" s="292"/>
      <c r="F1357" s="283" t="s">
        <v>122</v>
      </c>
      <c r="G1357" s="283"/>
      <c r="J1357" s="293">
        <v>7</v>
      </c>
      <c r="K1357" s="293"/>
      <c r="L1357" s="293"/>
      <c r="M1357" s="293"/>
      <c r="N1357" s="293"/>
      <c r="P1357" s="42">
        <v>3500</v>
      </c>
      <c r="R1357" s="42">
        <v>1050</v>
      </c>
      <c r="T1357" s="284">
        <v>2450</v>
      </c>
      <c r="U1357" s="284"/>
    </row>
    <row r="1358" spans="2:21" x14ac:dyDescent="0.25">
      <c r="B1358" s="292">
        <v>50</v>
      </c>
      <c r="C1358" s="292"/>
      <c r="D1358" s="292"/>
      <c r="F1358" s="283" t="s">
        <v>121</v>
      </c>
      <c r="G1358" s="283"/>
      <c r="J1358" s="293">
        <v>5</v>
      </c>
      <c r="K1358" s="293"/>
      <c r="L1358" s="293"/>
      <c r="M1358" s="293"/>
      <c r="N1358" s="293"/>
      <c r="P1358" s="42">
        <v>2500</v>
      </c>
      <c r="R1358" s="42">
        <v>750</v>
      </c>
      <c r="T1358" s="284">
        <v>1750</v>
      </c>
      <c r="U1358" s="284"/>
    </row>
    <row r="1359" spans="2:21" x14ac:dyDescent="0.25">
      <c r="B1359" s="292">
        <v>51</v>
      </c>
      <c r="C1359" s="292"/>
      <c r="D1359" s="292"/>
      <c r="F1359" s="283" t="s">
        <v>282</v>
      </c>
      <c r="G1359" s="283"/>
      <c r="J1359" s="293">
        <v>2</v>
      </c>
      <c r="K1359" s="293"/>
      <c r="L1359" s="293"/>
      <c r="M1359" s="293"/>
      <c r="N1359" s="293"/>
      <c r="P1359" s="42">
        <v>1000</v>
      </c>
      <c r="R1359" s="42">
        <v>300</v>
      </c>
      <c r="T1359" s="284">
        <v>700</v>
      </c>
      <c r="U1359" s="284"/>
    </row>
    <row r="1360" spans="2:21" x14ac:dyDescent="0.25">
      <c r="B1360" s="292">
        <v>52</v>
      </c>
      <c r="C1360" s="292"/>
      <c r="D1360" s="292"/>
      <c r="F1360" s="283" t="s">
        <v>182</v>
      </c>
      <c r="G1360" s="283"/>
      <c r="J1360" s="293">
        <v>1</v>
      </c>
      <c r="K1360" s="293"/>
      <c r="L1360" s="293"/>
      <c r="M1360" s="293"/>
      <c r="N1360" s="293"/>
      <c r="P1360" s="42">
        <v>790</v>
      </c>
      <c r="R1360" s="42">
        <v>120</v>
      </c>
      <c r="T1360" s="284">
        <v>670</v>
      </c>
      <c r="U1360" s="284"/>
    </row>
    <row r="1361" spans="2:21" x14ac:dyDescent="0.25">
      <c r="B1361" s="292">
        <v>53</v>
      </c>
      <c r="C1361" s="292"/>
      <c r="D1361" s="292"/>
      <c r="F1361" s="283" t="s">
        <v>119</v>
      </c>
      <c r="G1361" s="283"/>
      <c r="J1361" s="293">
        <v>22</v>
      </c>
      <c r="K1361" s="293"/>
      <c r="L1361" s="293"/>
      <c r="M1361" s="293"/>
      <c r="N1361" s="293"/>
      <c r="P1361" s="42">
        <v>19580</v>
      </c>
      <c r="R1361" s="42">
        <v>6360</v>
      </c>
      <c r="T1361" s="284">
        <v>13220</v>
      </c>
      <c r="U1361" s="284"/>
    </row>
    <row r="1362" spans="2:21" x14ac:dyDescent="0.25">
      <c r="B1362" s="292">
        <v>54</v>
      </c>
      <c r="C1362" s="292"/>
      <c r="D1362" s="292"/>
      <c r="F1362" s="283" t="s">
        <v>118</v>
      </c>
      <c r="G1362" s="283"/>
      <c r="J1362" s="293">
        <v>153</v>
      </c>
      <c r="K1362" s="293"/>
      <c r="L1362" s="293"/>
      <c r="M1362" s="293"/>
      <c r="N1362" s="293"/>
      <c r="P1362" s="42">
        <v>151470</v>
      </c>
      <c r="R1362" s="42">
        <v>52340</v>
      </c>
      <c r="T1362" s="284">
        <v>99130</v>
      </c>
      <c r="U1362" s="284"/>
    </row>
    <row r="1363" spans="2:21" x14ac:dyDescent="0.25">
      <c r="B1363" s="292">
        <v>55</v>
      </c>
      <c r="C1363" s="292"/>
      <c r="D1363" s="292"/>
      <c r="F1363" s="283" t="s">
        <v>117</v>
      </c>
      <c r="G1363" s="283"/>
      <c r="J1363" s="293">
        <v>3</v>
      </c>
      <c r="K1363" s="293"/>
      <c r="L1363" s="293"/>
      <c r="M1363" s="293"/>
      <c r="N1363" s="293"/>
      <c r="P1363" s="42">
        <v>2400</v>
      </c>
      <c r="R1363" s="42">
        <v>600</v>
      </c>
      <c r="T1363" s="284">
        <v>1800</v>
      </c>
      <c r="U1363" s="284"/>
    </row>
    <row r="1364" spans="2:21" x14ac:dyDescent="0.25">
      <c r="B1364" s="292">
        <v>56</v>
      </c>
      <c r="C1364" s="292"/>
      <c r="D1364" s="292"/>
      <c r="F1364" s="285" t="s">
        <v>116</v>
      </c>
      <c r="G1364" s="285"/>
      <c r="J1364" s="293">
        <v>1</v>
      </c>
      <c r="K1364" s="293"/>
      <c r="L1364" s="293"/>
      <c r="M1364" s="293"/>
      <c r="N1364" s="293"/>
      <c r="P1364" s="42">
        <v>900</v>
      </c>
      <c r="R1364" s="42">
        <v>270</v>
      </c>
      <c r="T1364" s="284">
        <v>630</v>
      </c>
      <c r="U1364" s="284"/>
    </row>
    <row r="1365" spans="2:21" x14ac:dyDescent="0.25">
      <c r="F1365" s="285"/>
      <c r="G1365" s="285"/>
    </row>
    <row r="1366" spans="2:21" x14ac:dyDescent="0.25">
      <c r="B1366" s="292">
        <v>57</v>
      </c>
      <c r="C1366" s="292"/>
      <c r="D1366" s="292"/>
      <c r="F1366" s="283" t="s">
        <v>115</v>
      </c>
      <c r="G1366" s="283"/>
      <c r="J1366" s="293">
        <v>19</v>
      </c>
      <c r="K1366" s="293"/>
      <c r="L1366" s="293"/>
      <c r="M1366" s="293"/>
      <c r="N1366" s="293"/>
      <c r="P1366" s="42">
        <v>5510</v>
      </c>
      <c r="R1366" s="42">
        <v>1880</v>
      </c>
      <c r="T1366" s="284">
        <v>3630</v>
      </c>
      <c r="U1366" s="284"/>
    </row>
    <row r="1367" spans="2:21" x14ac:dyDescent="0.25">
      <c r="B1367" s="292">
        <v>58</v>
      </c>
      <c r="C1367" s="292"/>
      <c r="D1367" s="292"/>
      <c r="F1367" s="283" t="s">
        <v>225</v>
      </c>
      <c r="G1367" s="283"/>
      <c r="J1367" s="293">
        <v>2</v>
      </c>
      <c r="K1367" s="293"/>
      <c r="L1367" s="293"/>
      <c r="M1367" s="293"/>
      <c r="N1367" s="293"/>
      <c r="P1367" s="42">
        <v>10000</v>
      </c>
      <c r="R1367" s="42">
        <v>9900</v>
      </c>
      <c r="T1367" s="284">
        <v>100</v>
      </c>
      <c r="U1367" s="284"/>
    </row>
    <row r="1368" spans="2:21" x14ac:dyDescent="0.25">
      <c r="B1368" s="292">
        <v>59</v>
      </c>
      <c r="C1368" s="292"/>
      <c r="D1368" s="292"/>
      <c r="F1368" s="283" t="s">
        <v>219</v>
      </c>
      <c r="G1368" s="283"/>
      <c r="J1368" s="293">
        <v>1</v>
      </c>
      <c r="K1368" s="293"/>
      <c r="L1368" s="293"/>
      <c r="M1368" s="293"/>
      <c r="N1368" s="293"/>
      <c r="P1368" s="42">
        <v>500</v>
      </c>
      <c r="R1368" s="42">
        <v>150</v>
      </c>
      <c r="T1368" s="284">
        <v>350</v>
      </c>
      <c r="U1368" s="284"/>
    </row>
    <row r="1369" spans="2:21" x14ac:dyDescent="0.25">
      <c r="B1369" s="292">
        <v>60</v>
      </c>
      <c r="C1369" s="292"/>
      <c r="D1369" s="292"/>
      <c r="F1369" s="283" t="s">
        <v>181</v>
      </c>
      <c r="G1369" s="283"/>
      <c r="J1369" s="293">
        <v>1</v>
      </c>
      <c r="K1369" s="293"/>
      <c r="L1369" s="293"/>
      <c r="M1369" s="293"/>
      <c r="N1369" s="293"/>
      <c r="P1369" s="42">
        <v>790</v>
      </c>
      <c r="R1369" s="42">
        <v>120</v>
      </c>
      <c r="T1369" s="284">
        <v>670</v>
      </c>
      <c r="U1369" s="284"/>
    </row>
    <row r="1370" spans="2:21" x14ac:dyDescent="0.25">
      <c r="B1370" s="292">
        <v>61</v>
      </c>
      <c r="C1370" s="292"/>
      <c r="D1370" s="292"/>
      <c r="F1370" s="283" t="s">
        <v>109</v>
      </c>
      <c r="G1370" s="283"/>
      <c r="J1370" s="293">
        <v>5</v>
      </c>
      <c r="K1370" s="293"/>
      <c r="L1370" s="293"/>
      <c r="M1370" s="293"/>
      <c r="N1370" s="293"/>
      <c r="P1370" s="42">
        <v>3900</v>
      </c>
      <c r="R1370" s="42">
        <v>1150</v>
      </c>
      <c r="T1370" s="284">
        <v>2750</v>
      </c>
      <c r="U1370" s="284"/>
    </row>
    <row r="1371" spans="2:21" x14ac:dyDescent="0.25">
      <c r="B1371" s="292">
        <v>62</v>
      </c>
      <c r="C1371" s="292"/>
      <c r="D1371" s="292"/>
      <c r="F1371" s="283" t="s">
        <v>108</v>
      </c>
      <c r="G1371" s="283"/>
      <c r="J1371" s="293">
        <v>524</v>
      </c>
      <c r="K1371" s="293"/>
      <c r="L1371" s="293"/>
      <c r="M1371" s="293"/>
      <c r="N1371" s="293"/>
      <c r="P1371" s="42">
        <v>52400</v>
      </c>
      <c r="R1371" s="42">
        <v>15720</v>
      </c>
      <c r="T1371" s="284">
        <v>36680</v>
      </c>
      <c r="U1371" s="284"/>
    </row>
    <row r="1372" spans="2:21" x14ac:dyDescent="0.25">
      <c r="B1372" s="292">
        <v>63</v>
      </c>
      <c r="C1372" s="292"/>
      <c r="D1372" s="292"/>
      <c r="F1372" s="283" t="s">
        <v>107</v>
      </c>
      <c r="G1372" s="283"/>
      <c r="J1372" s="293">
        <v>100</v>
      </c>
      <c r="K1372" s="293"/>
      <c r="L1372" s="293"/>
      <c r="M1372" s="293"/>
      <c r="N1372" s="293"/>
      <c r="P1372" s="42">
        <v>17000</v>
      </c>
      <c r="R1372" s="42">
        <v>5766</v>
      </c>
      <c r="T1372" s="284">
        <v>11234</v>
      </c>
      <c r="U1372" s="284"/>
    </row>
    <row r="1373" spans="2:21" x14ac:dyDescent="0.25">
      <c r="B1373" s="292">
        <v>64</v>
      </c>
      <c r="C1373" s="292"/>
      <c r="D1373" s="292"/>
      <c r="F1373" s="283" t="s">
        <v>106</v>
      </c>
      <c r="G1373" s="283"/>
      <c r="J1373" s="293">
        <v>17</v>
      </c>
      <c r="K1373" s="293"/>
      <c r="L1373" s="293"/>
      <c r="M1373" s="293"/>
      <c r="N1373" s="293"/>
      <c r="P1373" s="42">
        <v>1700</v>
      </c>
      <c r="R1373" s="42">
        <v>510</v>
      </c>
      <c r="T1373" s="284">
        <v>1190</v>
      </c>
      <c r="U1373" s="284"/>
    </row>
    <row r="1374" spans="2:21" x14ac:dyDescent="0.25">
      <c r="B1374" s="292">
        <v>65</v>
      </c>
      <c r="C1374" s="292"/>
      <c r="D1374" s="292"/>
      <c r="F1374" s="283" t="s">
        <v>216</v>
      </c>
      <c r="G1374" s="283"/>
      <c r="J1374" s="293">
        <v>1</v>
      </c>
      <c r="K1374" s="293"/>
      <c r="L1374" s="293"/>
      <c r="M1374" s="293"/>
      <c r="N1374" s="293"/>
      <c r="P1374" s="42">
        <v>1080</v>
      </c>
      <c r="R1374" s="42">
        <v>165</v>
      </c>
      <c r="T1374" s="284">
        <v>915</v>
      </c>
      <c r="U1374" s="284"/>
    </row>
    <row r="1375" spans="2:21" x14ac:dyDescent="0.25">
      <c r="B1375" s="292">
        <v>66</v>
      </c>
      <c r="C1375" s="292"/>
      <c r="D1375" s="292"/>
      <c r="F1375" s="283" t="s">
        <v>105</v>
      </c>
      <c r="G1375" s="283"/>
      <c r="J1375" s="293">
        <v>1</v>
      </c>
      <c r="K1375" s="293"/>
      <c r="L1375" s="293"/>
      <c r="M1375" s="293"/>
      <c r="N1375" s="293"/>
      <c r="P1375" s="42">
        <v>1150</v>
      </c>
      <c r="R1375" s="42">
        <v>0</v>
      </c>
      <c r="T1375" s="284">
        <v>1150</v>
      </c>
      <c r="U1375" s="284"/>
    </row>
    <row r="1376" spans="2:21" x14ac:dyDescent="0.25">
      <c r="B1376" s="292">
        <v>67</v>
      </c>
      <c r="C1376" s="292"/>
      <c r="D1376" s="292"/>
      <c r="F1376" s="283" t="s">
        <v>103</v>
      </c>
      <c r="G1376" s="283"/>
      <c r="J1376" s="293">
        <v>7</v>
      </c>
      <c r="K1376" s="293"/>
      <c r="L1376" s="293"/>
      <c r="M1376" s="293"/>
      <c r="N1376" s="293"/>
      <c r="P1376" s="42">
        <v>2310</v>
      </c>
      <c r="R1376" s="42">
        <v>820</v>
      </c>
      <c r="T1376" s="284">
        <v>1490</v>
      </c>
      <c r="U1376" s="284"/>
    </row>
    <row r="1377" spans="2:21" x14ac:dyDescent="0.25">
      <c r="B1377" s="292">
        <v>68</v>
      </c>
      <c r="C1377" s="292"/>
      <c r="D1377" s="292"/>
      <c r="F1377" s="283" t="s">
        <v>211</v>
      </c>
      <c r="G1377" s="283"/>
      <c r="J1377" s="293">
        <v>1</v>
      </c>
      <c r="K1377" s="293"/>
      <c r="L1377" s="293"/>
      <c r="M1377" s="293"/>
      <c r="N1377" s="293"/>
      <c r="P1377" s="42">
        <v>500</v>
      </c>
      <c r="R1377" s="42">
        <v>150</v>
      </c>
      <c r="T1377" s="284">
        <v>350</v>
      </c>
      <c r="U1377" s="284"/>
    </row>
    <row r="1378" spans="2:21" x14ac:dyDescent="0.25">
      <c r="B1378" s="292">
        <v>69</v>
      </c>
      <c r="C1378" s="292"/>
      <c r="D1378" s="292"/>
      <c r="F1378" s="283" t="s">
        <v>276</v>
      </c>
      <c r="G1378" s="283"/>
      <c r="J1378" s="293">
        <v>1</v>
      </c>
      <c r="K1378" s="293"/>
      <c r="L1378" s="293"/>
      <c r="M1378" s="293"/>
      <c r="N1378" s="293"/>
      <c r="P1378" s="42">
        <v>500</v>
      </c>
      <c r="R1378" s="42">
        <v>150</v>
      </c>
      <c r="T1378" s="284">
        <v>350</v>
      </c>
      <c r="U1378" s="284"/>
    </row>
    <row r="1379" spans="2:21" x14ac:dyDescent="0.25">
      <c r="B1379" s="292">
        <v>70</v>
      </c>
      <c r="C1379" s="292"/>
      <c r="D1379" s="292"/>
      <c r="F1379" s="283" t="s">
        <v>275</v>
      </c>
      <c r="G1379" s="283"/>
      <c r="J1379" s="293">
        <v>1</v>
      </c>
      <c r="K1379" s="293"/>
      <c r="L1379" s="293"/>
      <c r="M1379" s="293"/>
      <c r="N1379" s="293"/>
      <c r="P1379" s="42">
        <v>700</v>
      </c>
      <c r="R1379" s="42">
        <v>350</v>
      </c>
      <c r="T1379" s="284">
        <v>350</v>
      </c>
      <c r="U1379" s="284"/>
    </row>
    <row r="1380" spans="2:21" x14ac:dyDescent="0.25">
      <c r="B1380" s="292">
        <v>71</v>
      </c>
      <c r="C1380" s="292"/>
      <c r="D1380" s="292"/>
      <c r="F1380" s="283" t="s">
        <v>102</v>
      </c>
      <c r="G1380" s="283"/>
      <c r="J1380" s="293">
        <v>2</v>
      </c>
      <c r="K1380" s="293"/>
      <c r="L1380" s="293"/>
      <c r="M1380" s="293"/>
      <c r="N1380" s="293"/>
      <c r="P1380" s="42">
        <v>1760</v>
      </c>
      <c r="R1380" s="42">
        <v>260</v>
      </c>
      <c r="T1380" s="284">
        <v>1500</v>
      </c>
      <c r="U1380" s="284"/>
    </row>
    <row r="1381" spans="2:21" x14ac:dyDescent="0.25">
      <c r="B1381" s="292">
        <v>72</v>
      </c>
      <c r="C1381" s="292"/>
      <c r="D1381" s="292"/>
      <c r="F1381" s="283" t="s">
        <v>101</v>
      </c>
      <c r="G1381" s="283"/>
      <c r="J1381" s="293">
        <v>1</v>
      </c>
      <c r="K1381" s="293"/>
      <c r="L1381" s="293"/>
      <c r="M1381" s="293"/>
      <c r="N1381" s="293"/>
      <c r="P1381" s="42">
        <v>460</v>
      </c>
      <c r="R1381" s="42">
        <v>140</v>
      </c>
      <c r="T1381" s="284">
        <v>320</v>
      </c>
      <c r="U1381" s="284"/>
    </row>
    <row r="1382" spans="2:21" x14ac:dyDescent="0.25">
      <c r="B1382" s="292">
        <v>73</v>
      </c>
      <c r="C1382" s="292"/>
      <c r="D1382" s="292"/>
      <c r="F1382" s="283" t="s">
        <v>100</v>
      </c>
      <c r="G1382" s="283"/>
      <c r="J1382" s="293">
        <v>1</v>
      </c>
      <c r="K1382" s="293"/>
      <c r="L1382" s="293"/>
      <c r="M1382" s="293"/>
      <c r="N1382" s="293"/>
      <c r="P1382" s="42">
        <v>180</v>
      </c>
      <c r="R1382" s="42">
        <v>50</v>
      </c>
      <c r="T1382" s="284">
        <v>130</v>
      </c>
      <c r="U1382" s="284"/>
    </row>
    <row r="1383" spans="2:21" x14ac:dyDescent="0.25">
      <c r="B1383" s="292">
        <v>74</v>
      </c>
      <c r="C1383" s="292"/>
      <c r="D1383" s="292"/>
      <c r="F1383" s="283" t="s">
        <v>178</v>
      </c>
      <c r="G1383" s="283"/>
      <c r="J1383" s="293">
        <v>1</v>
      </c>
      <c r="K1383" s="293"/>
      <c r="L1383" s="293"/>
      <c r="M1383" s="293"/>
      <c r="N1383" s="293"/>
      <c r="P1383" s="42">
        <v>1650</v>
      </c>
      <c r="R1383" s="42">
        <v>0</v>
      </c>
      <c r="T1383" s="284">
        <v>1650</v>
      </c>
      <c r="U1383" s="284"/>
    </row>
    <row r="1384" spans="2:21" x14ac:dyDescent="0.25">
      <c r="B1384" s="292">
        <v>75</v>
      </c>
      <c r="C1384" s="292"/>
      <c r="D1384" s="292"/>
      <c r="F1384" s="283" t="s">
        <v>99</v>
      </c>
      <c r="G1384" s="283"/>
      <c r="J1384" s="293">
        <v>1</v>
      </c>
      <c r="K1384" s="293"/>
      <c r="L1384" s="293"/>
      <c r="M1384" s="293"/>
      <c r="N1384" s="293"/>
      <c r="P1384" s="42">
        <v>590</v>
      </c>
      <c r="R1384" s="42">
        <v>90</v>
      </c>
      <c r="T1384" s="284">
        <v>500</v>
      </c>
      <c r="U1384" s="284"/>
    </row>
    <row r="1385" spans="2:21" x14ac:dyDescent="0.25">
      <c r="B1385" s="292">
        <v>76</v>
      </c>
      <c r="C1385" s="292"/>
      <c r="D1385" s="292"/>
      <c r="F1385" s="283" t="s">
        <v>98</v>
      </c>
      <c r="G1385" s="283"/>
      <c r="J1385" s="293">
        <v>1</v>
      </c>
      <c r="K1385" s="293"/>
      <c r="L1385" s="293"/>
      <c r="M1385" s="293"/>
      <c r="N1385" s="293"/>
      <c r="P1385" s="42">
        <v>570</v>
      </c>
      <c r="R1385" s="42">
        <v>80</v>
      </c>
      <c r="T1385" s="284">
        <v>490</v>
      </c>
      <c r="U1385" s="284"/>
    </row>
    <row r="1386" spans="2:21" x14ac:dyDescent="0.25">
      <c r="B1386" s="292">
        <v>77</v>
      </c>
      <c r="C1386" s="292"/>
      <c r="D1386" s="292"/>
      <c r="F1386" s="283" t="s">
        <v>97</v>
      </c>
      <c r="G1386" s="283"/>
      <c r="J1386" s="293">
        <v>2</v>
      </c>
      <c r="K1386" s="293"/>
      <c r="L1386" s="293"/>
      <c r="M1386" s="293"/>
      <c r="N1386" s="293"/>
      <c r="P1386" s="42">
        <v>3180</v>
      </c>
      <c r="R1386" s="42">
        <v>480</v>
      </c>
      <c r="T1386" s="284">
        <v>2700</v>
      </c>
      <c r="U1386" s="284"/>
    </row>
    <row r="1387" spans="2:21" x14ac:dyDescent="0.25">
      <c r="B1387" s="292">
        <v>78</v>
      </c>
      <c r="C1387" s="292"/>
      <c r="D1387" s="292"/>
      <c r="F1387" s="283" t="s">
        <v>96</v>
      </c>
      <c r="G1387" s="283"/>
      <c r="J1387" s="293">
        <v>3</v>
      </c>
      <c r="K1387" s="293"/>
      <c r="L1387" s="293"/>
      <c r="M1387" s="293"/>
      <c r="N1387" s="293"/>
      <c r="P1387" s="42">
        <v>1320</v>
      </c>
      <c r="R1387" s="42">
        <v>390</v>
      </c>
      <c r="T1387" s="284">
        <v>930</v>
      </c>
      <c r="U1387" s="284"/>
    </row>
    <row r="1388" spans="2:21" x14ac:dyDescent="0.25">
      <c r="B1388" s="292">
        <v>79</v>
      </c>
      <c r="C1388" s="292"/>
      <c r="D1388" s="292"/>
      <c r="F1388" s="283" t="s">
        <v>324</v>
      </c>
      <c r="G1388" s="283"/>
      <c r="J1388" s="293">
        <v>1</v>
      </c>
      <c r="K1388" s="293"/>
      <c r="L1388" s="293"/>
      <c r="M1388" s="293"/>
      <c r="N1388" s="293"/>
      <c r="P1388" s="42">
        <v>350</v>
      </c>
      <c r="R1388" s="42">
        <v>100</v>
      </c>
      <c r="T1388" s="284">
        <v>250</v>
      </c>
      <c r="U1388" s="284"/>
    </row>
    <row r="1389" spans="2:21" x14ac:dyDescent="0.25">
      <c r="B1389" s="292">
        <v>80</v>
      </c>
      <c r="C1389" s="292"/>
      <c r="D1389" s="292"/>
      <c r="F1389" s="283" t="s">
        <v>95</v>
      </c>
      <c r="G1389" s="283"/>
      <c r="J1389" s="293">
        <v>36</v>
      </c>
      <c r="K1389" s="293"/>
      <c r="L1389" s="293"/>
      <c r="M1389" s="293"/>
      <c r="N1389" s="293"/>
      <c r="P1389" s="42">
        <v>10440</v>
      </c>
      <c r="R1389" s="42">
        <v>2880</v>
      </c>
      <c r="T1389" s="284">
        <v>7560</v>
      </c>
      <c r="U1389" s="284"/>
    </row>
    <row r="1390" spans="2:21" x14ac:dyDescent="0.25">
      <c r="B1390" s="292">
        <v>81</v>
      </c>
      <c r="C1390" s="292"/>
      <c r="D1390" s="292"/>
      <c r="F1390" s="283" t="s">
        <v>253</v>
      </c>
      <c r="G1390" s="283"/>
      <c r="J1390" s="293">
        <v>1</v>
      </c>
      <c r="K1390" s="293"/>
      <c r="L1390" s="293"/>
      <c r="M1390" s="293"/>
      <c r="N1390" s="293"/>
      <c r="P1390" s="42">
        <v>290</v>
      </c>
      <c r="R1390" s="42">
        <v>130</v>
      </c>
      <c r="T1390" s="284">
        <v>160</v>
      </c>
      <c r="U1390" s="284"/>
    </row>
    <row r="1391" spans="2:21" x14ac:dyDescent="0.25">
      <c r="B1391" s="292">
        <v>82</v>
      </c>
      <c r="C1391" s="292"/>
      <c r="D1391" s="292"/>
      <c r="F1391" s="283" t="s">
        <v>93</v>
      </c>
      <c r="G1391" s="283"/>
      <c r="J1391" s="293">
        <v>15</v>
      </c>
      <c r="K1391" s="293"/>
      <c r="L1391" s="293"/>
      <c r="M1391" s="293"/>
      <c r="N1391" s="293"/>
      <c r="P1391" s="42">
        <v>8850</v>
      </c>
      <c r="R1391" s="42">
        <v>1350</v>
      </c>
      <c r="T1391" s="284">
        <v>7500</v>
      </c>
      <c r="U1391" s="284"/>
    </row>
    <row r="1392" spans="2:21" x14ac:dyDescent="0.25">
      <c r="B1392" s="292">
        <v>83</v>
      </c>
      <c r="C1392" s="292"/>
      <c r="D1392" s="292"/>
      <c r="F1392" s="283" t="s">
        <v>92</v>
      </c>
      <c r="G1392" s="283"/>
      <c r="J1392" s="293">
        <v>39</v>
      </c>
      <c r="K1392" s="293"/>
      <c r="L1392" s="293"/>
      <c r="M1392" s="293"/>
      <c r="N1392" s="293"/>
      <c r="P1392" s="42">
        <v>29880</v>
      </c>
      <c r="R1392" s="42">
        <v>8880</v>
      </c>
      <c r="T1392" s="284">
        <v>21000</v>
      </c>
      <c r="U1392" s="284"/>
    </row>
    <row r="1393" spans="1:21" x14ac:dyDescent="0.25">
      <c r="B1393" s="292">
        <v>84</v>
      </c>
      <c r="C1393" s="292"/>
      <c r="D1393" s="292"/>
      <c r="F1393" s="283" t="s">
        <v>91</v>
      </c>
      <c r="G1393" s="283"/>
      <c r="J1393" s="293">
        <v>29</v>
      </c>
      <c r="K1393" s="293"/>
      <c r="L1393" s="293"/>
      <c r="M1393" s="293"/>
      <c r="N1393" s="293"/>
      <c r="P1393" s="42">
        <v>7250</v>
      </c>
      <c r="R1393" s="42">
        <v>2030</v>
      </c>
      <c r="T1393" s="284">
        <v>5220</v>
      </c>
      <c r="U1393" s="284"/>
    </row>
    <row r="1394" spans="1:21" x14ac:dyDescent="0.25">
      <c r="B1394" s="292">
        <v>85</v>
      </c>
      <c r="C1394" s="292"/>
      <c r="D1394" s="292"/>
      <c r="F1394" s="283" t="s">
        <v>90</v>
      </c>
      <c r="G1394" s="283"/>
      <c r="J1394" s="293">
        <v>32</v>
      </c>
      <c r="K1394" s="293"/>
      <c r="L1394" s="293"/>
      <c r="M1394" s="293"/>
      <c r="N1394" s="293"/>
      <c r="P1394" s="42">
        <v>9280</v>
      </c>
      <c r="R1394" s="42">
        <v>2560</v>
      </c>
      <c r="T1394" s="284">
        <v>6720</v>
      </c>
      <c r="U1394" s="284"/>
    </row>
    <row r="1395" spans="1:21" x14ac:dyDescent="0.25">
      <c r="B1395" s="292">
        <v>86</v>
      </c>
      <c r="C1395" s="292"/>
      <c r="D1395" s="292"/>
      <c r="F1395" s="283" t="s">
        <v>89</v>
      </c>
      <c r="G1395" s="283"/>
      <c r="J1395" s="293">
        <v>2</v>
      </c>
      <c r="K1395" s="293"/>
      <c r="L1395" s="293"/>
      <c r="M1395" s="293"/>
      <c r="N1395" s="293"/>
      <c r="P1395" s="42">
        <v>1760</v>
      </c>
      <c r="R1395" s="42">
        <v>260</v>
      </c>
      <c r="T1395" s="284">
        <v>1500</v>
      </c>
      <c r="U1395" s="284"/>
    </row>
    <row r="1396" spans="1:21" x14ac:dyDescent="0.25">
      <c r="B1396" s="292">
        <v>87</v>
      </c>
      <c r="C1396" s="292"/>
      <c r="D1396" s="292"/>
      <c r="F1396" s="283" t="s">
        <v>88</v>
      </c>
      <c r="G1396" s="283"/>
      <c r="J1396" s="293">
        <v>106</v>
      </c>
      <c r="K1396" s="293"/>
      <c r="L1396" s="293"/>
      <c r="M1396" s="293"/>
      <c r="N1396" s="293"/>
      <c r="P1396" s="42">
        <v>19080</v>
      </c>
      <c r="R1396" s="42">
        <v>6752</v>
      </c>
      <c r="T1396" s="284">
        <v>12328</v>
      </c>
      <c r="U1396" s="284"/>
    </row>
    <row r="1397" spans="1:21" x14ac:dyDescent="0.25">
      <c r="B1397" s="292">
        <v>88</v>
      </c>
      <c r="C1397" s="292"/>
      <c r="D1397" s="292"/>
      <c r="F1397" s="283" t="s">
        <v>86</v>
      </c>
      <c r="G1397" s="283"/>
      <c r="J1397" s="293">
        <v>2</v>
      </c>
      <c r="K1397" s="293"/>
      <c r="L1397" s="293"/>
      <c r="M1397" s="293"/>
      <c r="N1397" s="293"/>
      <c r="P1397" s="42">
        <v>2280</v>
      </c>
      <c r="R1397" s="42">
        <v>340</v>
      </c>
      <c r="T1397" s="284">
        <v>1940</v>
      </c>
      <c r="U1397" s="284"/>
    </row>
    <row r="1398" spans="1:21" x14ac:dyDescent="0.25">
      <c r="B1398" s="292">
        <v>89</v>
      </c>
      <c r="C1398" s="292"/>
      <c r="D1398" s="292"/>
      <c r="F1398" s="283" t="s">
        <v>85</v>
      </c>
      <c r="G1398" s="283"/>
      <c r="J1398" s="293">
        <v>7</v>
      </c>
      <c r="K1398" s="293"/>
      <c r="L1398" s="293"/>
      <c r="M1398" s="293"/>
      <c r="N1398" s="293"/>
      <c r="P1398" s="42">
        <v>14560</v>
      </c>
      <c r="R1398" s="42">
        <v>2170</v>
      </c>
      <c r="T1398" s="284">
        <v>12390</v>
      </c>
      <c r="U1398" s="284"/>
    </row>
    <row r="1399" spans="1:21" x14ac:dyDescent="0.25">
      <c r="B1399" s="292">
        <v>90</v>
      </c>
      <c r="C1399" s="292"/>
      <c r="D1399" s="292"/>
      <c r="F1399" s="283" t="s">
        <v>84</v>
      </c>
      <c r="G1399" s="283"/>
      <c r="J1399" s="293">
        <v>6</v>
      </c>
      <c r="K1399" s="293"/>
      <c r="L1399" s="293"/>
      <c r="M1399" s="293"/>
      <c r="N1399" s="293"/>
      <c r="P1399" s="42">
        <v>3540</v>
      </c>
      <c r="R1399" s="42">
        <v>1080</v>
      </c>
      <c r="T1399" s="284">
        <v>2460</v>
      </c>
      <c r="U1399" s="284"/>
    </row>
    <row r="1400" spans="1:21" x14ac:dyDescent="0.25">
      <c r="B1400" s="292">
        <v>91</v>
      </c>
      <c r="C1400" s="292"/>
      <c r="D1400" s="292"/>
      <c r="F1400" s="283" t="s">
        <v>208</v>
      </c>
      <c r="G1400" s="283"/>
      <c r="J1400" s="293">
        <v>1</v>
      </c>
      <c r="K1400" s="293"/>
      <c r="L1400" s="293"/>
      <c r="M1400" s="293"/>
      <c r="N1400" s="293"/>
      <c r="P1400" s="42">
        <v>500</v>
      </c>
      <c r="R1400" s="42">
        <v>150</v>
      </c>
      <c r="T1400" s="284">
        <v>350</v>
      </c>
      <c r="U1400" s="284"/>
    </row>
    <row r="1401" spans="1:21" x14ac:dyDescent="0.25">
      <c r="B1401" s="292">
        <v>92</v>
      </c>
      <c r="C1401" s="292"/>
      <c r="D1401" s="292"/>
      <c r="F1401" s="283" t="s">
        <v>272</v>
      </c>
      <c r="G1401" s="283"/>
      <c r="J1401" s="293">
        <v>1</v>
      </c>
      <c r="K1401" s="293"/>
      <c r="L1401" s="293"/>
      <c r="M1401" s="293"/>
      <c r="N1401" s="293"/>
      <c r="P1401" s="42">
        <v>500</v>
      </c>
      <c r="R1401" s="42">
        <v>150</v>
      </c>
      <c r="T1401" s="284">
        <v>350</v>
      </c>
      <c r="U1401" s="284"/>
    </row>
    <row r="1402" spans="1:21" x14ac:dyDescent="0.25">
      <c r="B1402" s="292">
        <v>93</v>
      </c>
      <c r="C1402" s="292"/>
      <c r="D1402" s="292"/>
      <c r="F1402" s="283" t="s">
        <v>205</v>
      </c>
      <c r="G1402" s="283"/>
      <c r="J1402" s="293">
        <v>2</v>
      </c>
      <c r="K1402" s="293"/>
      <c r="L1402" s="293"/>
      <c r="M1402" s="293"/>
      <c r="N1402" s="293"/>
      <c r="P1402" s="42">
        <v>1000</v>
      </c>
      <c r="R1402" s="42">
        <v>280</v>
      </c>
      <c r="T1402" s="284">
        <v>720</v>
      </c>
      <c r="U1402" s="284"/>
    </row>
    <row r="1403" spans="1:21" x14ac:dyDescent="0.25">
      <c r="B1403" s="292">
        <v>94</v>
      </c>
      <c r="C1403" s="292"/>
      <c r="D1403" s="292"/>
      <c r="F1403" s="283" t="s">
        <v>83</v>
      </c>
      <c r="G1403" s="283"/>
      <c r="J1403" s="293">
        <v>4</v>
      </c>
      <c r="K1403" s="293"/>
      <c r="L1403" s="293"/>
      <c r="M1403" s="293"/>
      <c r="N1403" s="293"/>
      <c r="P1403" s="42">
        <v>2000</v>
      </c>
      <c r="R1403" s="42">
        <v>600</v>
      </c>
      <c r="T1403" s="284">
        <v>1400</v>
      </c>
      <c r="U1403" s="284"/>
    </row>
    <row r="1404" spans="1:21" x14ac:dyDescent="0.25">
      <c r="B1404" s="292">
        <v>95</v>
      </c>
      <c r="C1404" s="292"/>
      <c r="D1404" s="292"/>
      <c r="F1404" s="283" t="s">
        <v>82</v>
      </c>
      <c r="G1404" s="283"/>
      <c r="J1404" s="293">
        <v>9</v>
      </c>
      <c r="K1404" s="293"/>
      <c r="L1404" s="293"/>
      <c r="M1404" s="293"/>
      <c r="N1404" s="293"/>
      <c r="P1404" s="42">
        <v>2610</v>
      </c>
      <c r="R1404" s="42">
        <v>2610</v>
      </c>
      <c r="T1404" s="284">
        <v>0</v>
      </c>
      <c r="U1404" s="284"/>
    </row>
    <row r="1405" spans="1:21" x14ac:dyDescent="0.25">
      <c r="B1405" s="292">
        <v>96</v>
      </c>
      <c r="C1405" s="292"/>
      <c r="D1405" s="292"/>
      <c r="F1405" s="283" t="s">
        <v>81</v>
      </c>
      <c r="G1405" s="283"/>
      <c r="J1405" s="293">
        <v>188</v>
      </c>
      <c r="K1405" s="293"/>
      <c r="L1405" s="293"/>
      <c r="M1405" s="293"/>
      <c r="N1405" s="293"/>
      <c r="P1405" s="42">
        <v>54520</v>
      </c>
      <c r="R1405" s="42">
        <v>17770</v>
      </c>
      <c r="T1405" s="284">
        <v>36750</v>
      </c>
      <c r="U1405" s="284"/>
    </row>
    <row r="1406" spans="1:21" s="40" customFormat="1" x14ac:dyDescent="0.25">
      <c r="A1406" s="290" t="s">
        <v>433</v>
      </c>
      <c r="B1406" s="290"/>
      <c r="C1406" s="290"/>
      <c r="D1406" s="290"/>
      <c r="E1406" s="290"/>
      <c r="F1406" s="290"/>
      <c r="G1406" s="290"/>
      <c r="H1406" s="290"/>
      <c r="I1406" s="290"/>
      <c r="J1406" s="290"/>
      <c r="K1406" s="291">
        <v>2876</v>
      </c>
      <c r="L1406" s="291"/>
      <c r="M1406" s="291"/>
      <c r="N1406" s="291"/>
      <c r="O1406" s="291"/>
      <c r="P1406" s="41">
        <v>1421420</v>
      </c>
      <c r="R1406" s="41">
        <v>1058770</v>
      </c>
      <c r="T1406" s="287">
        <v>362650</v>
      </c>
      <c r="U1406" s="287"/>
    </row>
    <row r="1407" spans="1:21" x14ac:dyDescent="0.25">
      <c r="B1407" s="292">
        <v>1</v>
      </c>
      <c r="C1407" s="292"/>
      <c r="D1407" s="292"/>
      <c r="F1407" s="283" t="s">
        <v>78</v>
      </c>
      <c r="G1407" s="283"/>
      <c r="J1407" s="293">
        <v>524</v>
      </c>
      <c r="K1407" s="293"/>
      <c r="L1407" s="293"/>
      <c r="M1407" s="293"/>
      <c r="N1407" s="293"/>
      <c r="P1407" s="42">
        <v>151960</v>
      </c>
      <c r="R1407" s="42">
        <v>151960</v>
      </c>
      <c r="T1407" s="284">
        <v>0</v>
      </c>
      <c r="U1407" s="284"/>
    </row>
    <row r="1408" spans="1:21" x14ac:dyDescent="0.25">
      <c r="B1408" s="292">
        <v>2</v>
      </c>
      <c r="C1408" s="292"/>
      <c r="D1408" s="292"/>
      <c r="F1408" s="283" t="s">
        <v>199</v>
      </c>
      <c r="G1408" s="283"/>
      <c r="J1408" s="293">
        <v>1</v>
      </c>
      <c r="K1408" s="293"/>
      <c r="L1408" s="293"/>
      <c r="M1408" s="293"/>
      <c r="N1408" s="293"/>
      <c r="P1408" s="42">
        <v>290</v>
      </c>
      <c r="R1408" s="42">
        <v>80</v>
      </c>
      <c r="T1408" s="284">
        <v>210</v>
      </c>
      <c r="U1408" s="284"/>
    </row>
    <row r="1409" spans="2:21" x14ac:dyDescent="0.25">
      <c r="B1409" s="292">
        <v>3</v>
      </c>
      <c r="C1409" s="292"/>
      <c r="D1409" s="292"/>
      <c r="F1409" s="283" t="s">
        <v>165</v>
      </c>
      <c r="G1409" s="283"/>
      <c r="J1409" s="293">
        <v>1</v>
      </c>
      <c r="K1409" s="293"/>
      <c r="L1409" s="293"/>
      <c r="M1409" s="293"/>
      <c r="N1409" s="293"/>
      <c r="P1409" s="42">
        <v>590</v>
      </c>
      <c r="R1409" s="42">
        <v>180</v>
      </c>
      <c r="T1409" s="284">
        <v>410</v>
      </c>
      <c r="U1409" s="284"/>
    </row>
    <row r="1410" spans="2:21" x14ac:dyDescent="0.25">
      <c r="B1410" s="292">
        <v>4</v>
      </c>
      <c r="C1410" s="292"/>
      <c r="D1410" s="292"/>
      <c r="F1410" s="283" t="s">
        <v>162</v>
      </c>
      <c r="G1410" s="283"/>
      <c r="J1410" s="293">
        <v>6</v>
      </c>
      <c r="K1410" s="293"/>
      <c r="L1410" s="293"/>
      <c r="M1410" s="293"/>
      <c r="N1410" s="293"/>
      <c r="P1410" s="42">
        <v>2580</v>
      </c>
      <c r="R1410" s="42">
        <v>1107</v>
      </c>
      <c r="T1410" s="284">
        <v>1473</v>
      </c>
      <c r="U1410" s="284"/>
    </row>
    <row r="1411" spans="2:21" x14ac:dyDescent="0.25">
      <c r="B1411" s="292">
        <v>5</v>
      </c>
      <c r="C1411" s="292"/>
      <c r="D1411" s="292"/>
      <c r="F1411" s="283" t="s">
        <v>160</v>
      </c>
      <c r="G1411" s="283"/>
      <c r="J1411" s="293">
        <v>7</v>
      </c>
      <c r="K1411" s="293"/>
      <c r="L1411" s="293"/>
      <c r="M1411" s="293"/>
      <c r="N1411" s="293"/>
      <c r="P1411" s="42">
        <v>2030</v>
      </c>
      <c r="R1411" s="42">
        <v>400</v>
      </c>
      <c r="T1411" s="284">
        <v>1630</v>
      </c>
      <c r="U1411" s="284"/>
    </row>
    <row r="1412" spans="2:21" x14ac:dyDescent="0.25">
      <c r="B1412" s="292">
        <v>6</v>
      </c>
      <c r="C1412" s="292"/>
      <c r="D1412" s="292"/>
      <c r="F1412" s="283" t="s">
        <v>158</v>
      </c>
      <c r="G1412" s="283"/>
      <c r="J1412" s="293">
        <v>313</v>
      </c>
      <c r="K1412" s="293"/>
      <c r="L1412" s="293"/>
      <c r="M1412" s="293"/>
      <c r="N1412" s="293"/>
      <c r="P1412" s="42">
        <v>172150</v>
      </c>
      <c r="R1412" s="42">
        <v>63349</v>
      </c>
      <c r="T1412" s="284">
        <v>108801</v>
      </c>
      <c r="U1412" s="284"/>
    </row>
    <row r="1413" spans="2:21" x14ac:dyDescent="0.25">
      <c r="B1413" s="292">
        <v>7</v>
      </c>
      <c r="C1413" s="292"/>
      <c r="D1413" s="292"/>
      <c r="F1413" s="283" t="s">
        <v>157</v>
      </c>
      <c r="G1413" s="283"/>
      <c r="J1413" s="293">
        <v>36</v>
      </c>
      <c r="K1413" s="293"/>
      <c r="L1413" s="293"/>
      <c r="M1413" s="293"/>
      <c r="N1413" s="293"/>
      <c r="P1413" s="42">
        <v>17640</v>
      </c>
      <c r="R1413" s="42">
        <v>7738</v>
      </c>
      <c r="T1413" s="284">
        <v>9902</v>
      </c>
      <c r="U1413" s="284"/>
    </row>
    <row r="1414" spans="2:21" x14ac:dyDescent="0.25">
      <c r="B1414" s="292">
        <v>8</v>
      </c>
      <c r="C1414" s="292"/>
      <c r="D1414" s="292"/>
      <c r="F1414" s="283" t="s">
        <v>77</v>
      </c>
      <c r="G1414" s="283"/>
      <c r="J1414" s="293">
        <v>1162</v>
      </c>
      <c r="K1414" s="293"/>
      <c r="L1414" s="293"/>
      <c r="M1414" s="293"/>
      <c r="N1414" s="293"/>
      <c r="P1414" s="42">
        <v>472000</v>
      </c>
      <c r="R1414" s="42">
        <v>472000</v>
      </c>
      <c r="T1414" s="284">
        <v>0</v>
      </c>
      <c r="U1414" s="284"/>
    </row>
    <row r="1415" spans="2:21" x14ac:dyDescent="0.25">
      <c r="B1415" s="292">
        <v>9</v>
      </c>
      <c r="C1415" s="292"/>
      <c r="D1415" s="292"/>
      <c r="F1415" s="283" t="s">
        <v>291</v>
      </c>
      <c r="G1415" s="283"/>
      <c r="J1415" s="293">
        <v>1</v>
      </c>
      <c r="K1415" s="293"/>
      <c r="L1415" s="293"/>
      <c r="M1415" s="293"/>
      <c r="N1415" s="293"/>
      <c r="P1415" s="42">
        <v>200</v>
      </c>
      <c r="R1415" s="42">
        <v>50</v>
      </c>
      <c r="T1415" s="284">
        <v>150</v>
      </c>
      <c r="U1415" s="284"/>
    </row>
    <row r="1416" spans="2:21" x14ac:dyDescent="0.25">
      <c r="B1416" s="292">
        <v>10</v>
      </c>
      <c r="C1416" s="292"/>
      <c r="D1416" s="292"/>
      <c r="F1416" s="283" t="s">
        <v>156</v>
      </c>
      <c r="G1416" s="283"/>
      <c r="J1416" s="293">
        <v>18</v>
      </c>
      <c r="K1416" s="293"/>
      <c r="L1416" s="293"/>
      <c r="M1416" s="293"/>
      <c r="N1416" s="293"/>
      <c r="P1416" s="42">
        <v>3420</v>
      </c>
      <c r="R1416" s="42">
        <v>1170</v>
      </c>
      <c r="T1416" s="284">
        <v>2250</v>
      </c>
      <c r="U1416" s="284"/>
    </row>
    <row r="1417" spans="2:21" x14ac:dyDescent="0.25">
      <c r="B1417" s="292">
        <v>11</v>
      </c>
      <c r="C1417" s="292"/>
      <c r="D1417" s="292"/>
      <c r="F1417" s="283" t="s">
        <v>155</v>
      </c>
      <c r="G1417" s="283"/>
      <c r="J1417" s="293">
        <v>127</v>
      </c>
      <c r="K1417" s="293"/>
      <c r="L1417" s="293"/>
      <c r="M1417" s="293"/>
      <c r="N1417" s="293"/>
      <c r="P1417" s="42">
        <v>31750</v>
      </c>
      <c r="R1417" s="42">
        <v>15833</v>
      </c>
      <c r="T1417" s="284">
        <v>15917</v>
      </c>
      <c r="U1417" s="284"/>
    </row>
    <row r="1418" spans="2:21" x14ac:dyDescent="0.25">
      <c r="B1418" s="292">
        <v>12</v>
      </c>
      <c r="C1418" s="292"/>
      <c r="D1418" s="292"/>
      <c r="F1418" s="283" t="s">
        <v>152</v>
      </c>
      <c r="G1418" s="283"/>
      <c r="J1418" s="293">
        <v>2</v>
      </c>
      <c r="K1418" s="293"/>
      <c r="L1418" s="293"/>
      <c r="M1418" s="293"/>
      <c r="N1418" s="293"/>
      <c r="P1418" s="42">
        <v>1180</v>
      </c>
      <c r="R1418" s="42">
        <v>420</v>
      </c>
      <c r="T1418" s="284">
        <v>760</v>
      </c>
      <c r="U1418" s="284"/>
    </row>
    <row r="1419" spans="2:21" x14ac:dyDescent="0.25">
      <c r="B1419" s="292">
        <v>13</v>
      </c>
      <c r="C1419" s="292"/>
      <c r="D1419" s="292"/>
      <c r="F1419" s="283" t="s">
        <v>151</v>
      </c>
      <c r="G1419" s="283"/>
      <c r="J1419" s="293">
        <v>13</v>
      </c>
      <c r="K1419" s="293"/>
      <c r="L1419" s="293"/>
      <c r="M1419" s="293"/>
      <c r="N1419" s="293"/>
      <c r="P1419" s="42">
        <v>2990</v>
      </c>
      <c r="R1419" s="42">
        <v>1010</v>
      </c>
      <c r="T1419" s="284">
        <v>1980</v>
      </c>
      <c r="U1419" s="284"/>
    </row>
    <row r="1420" spans="2:21" x14ac:dyDescent="0.25">
      <c r="B1420" s="292">
        <v>14</v>
      </c>
      <c r="C1420" s="292"/>
      <c r="D1420" s="292"/>
      <c r="F1420" s="283" t="s">
        <v>193</v>
      </c>
      <c r="G1420" s="283"/>
      <c r="J1420" s="293">
        <v>1</v>
      </c>
      <c r="K1420" s="293"/>
      <c r="L1420" s="293"/>
      <c r="M1420" s="293"/>
      <c r="N1420" s="293"/>
      <c r="P1420" s="42">
        <v>890</v>
      </c>
      <c r="R1420" s="42">
        <v>130</v>
      </c>
      <c r="T1420" s="284">
        <v>760</v>
      </c>
      <c r="U1420" s="284"/>
    </row>
    <row r="1421" spans="2:21" x14ac:dyDescent="0.25">
      <c r="B1421" s="292">
        <v>15</v>
      </c>
      <c r="C1421" s="292"/>
      <c r="D1421" s="292"/>
      <c r="F1421" s="283" t="s">
        <v>142</v>
      </c>
      <c r="G1421" s="283"/>
      <c r="J1421" s="293">
        <v>2</v>
      </c>
      <c r="K1421" s="293"/>
      <c r="L1421" s="293"/>
      <c r="M1421" s="293"/>
      <c r="N1421" s="293"/>
      <c r="P1421" s="42">
        <v>700</v>
      </c>
      <c r="R1421" s="42">
        <v>300</v>
      </c>
      <c r="T1421" s="284">
        <v>400</v>
      </c>
      <c r="U1421" s="284"/>
    </row>
    <row r="1422" spans="2:21" x14ac:dyDescent="0.25">
      <c r="B1422" s="292">
        <v>16</v>
      </c>
      <c r="C1422" s="292"/>
      <c r="D1422" s="292"/>
      <c r="F1422" s="283" t="s">
        <v>75</v>
      </c>
      <c r="G1422" s="283"/>
      <c r="J1422" s="293">
        <v>79</v>
      </c>
      <c r="K1422" s="293"/>
      <c r="L1422" s="293"/>
      <c r="M1422" s="293"/>
      <c r="N1422" s="293"/>
      <c r="P1422" s="42">
        <v>197500</v>
      </c>
      <c r="R1422" s="42">
        <v>197500</v>
      </c>
      <c r="T1422" s="284">
        <v>0</v>
      </c>
      <c r="U1422" s="284"/>
    </row>
    <row r="1423" spans="2:21" x14ac:dyDescent="0.25">
      <c r="B1423" s="292">
        <v>17</v>
      </c>
      <c r="C1423" s="292"/>
      <c r="D1423" s="292"/>
      <c r="F1423" s="283" t="s">
        <v>139</v>
      </c>
      <c r="G1423" s="283"/>
      <c r="J1423" s="293">
        <v>36</v>
      </c>
      <c r="K1423" s="293"/>
      <c r="L1423" s="293"/>
      <c r="M1423" s="293"/>
      <c r="N1423" s="293"/>
      <c r="P1423" s="42">
        <v>9720</v>
      </c>
      <c r="R1423" s="42">
        <v>2800</v>
      </c>
      <c r="T1423" s="284">
        <v>6920</v>
      </c>
      <c r="U1423" s="284"/>
    </row>
    <row r="1424" spans="2:21" x14ac:dyDescent="0.25">
      <c r="B1424" s="292">
        <v>18</v>
      </c>
      <c r="C1424" s="292"/>
      <c r="D1424" s="292"/>
      <c r="F1424" s="283" t="s">
        <v>192</v>
      </c>
      <c r="G1424" s="283"/>
      <c r="J1424" s="293">
        <v>1</v>
      </c>
      <c r="K1424" s="293"/>
      <c r="L1424" s="293"/>
      <c r="M1424" s="293"/>
      <c r="N1424" s="293"/>
      <c r="P1424" s="42">
        <v>1550</v>
      </c>
      <c r="R1424" s="42">
        <v>0</v>
      </c>
      <c r="T1424" s="284">
        <v>1550</v>
      </c>
      <c r="U1424" s="284"/>
    </row>
    <row r="1425" spans="2:21" x14ac:dyDescent="0.25">
      <c r="B1425" s="292">
        <v>19</v>
      </c>
      <c r="C1425" s="292"/>
      <c r="D1425" s="292"/>
      <c r="F1425" s="283" t="s">
        <v>136</v>
      </c>
      <c r="G1425" s="283"/>
      <c r="J1425" s="293">
        <v>18</v>
      </c>
      <c r="K1425" s="293"/>
      <c r="L1425" s="293"/>
      <c r="M1425" s="293"/>
      <c r="N1425" s="293"/>
      <c r="P1425" s="42">
        <v>15300</v>
      </c>
      <c r="R1425" s="42">
        <v>4160</v>
      </c>
      <c r="T1425" s="284">
        <v>11140</v>
      </c>
      <c r="U1425" s="284"/>
    </row>
    <row r="1426" spans="2:21" x14ac:dyDescent="0.25">
      <c r="B1426" s="292">
        <v>20</v>
      </c>
      <c r="C1426" s="292"/>
      <c r="D1426" s="292"/>
      <c r="F1426" s="283" t="s">
        <v>74</v>
      </c>
      <c r="G1426" s="283"/>
      <c r="J1426" s="293">
        <v>1</v>
      </c>
      <c r="K1426" s="293"/>
      <c r="L1426" s="293"/>
      <c r="M1426" s="293"/>
      <c r="N1426" s="293"/>
      <c r="P1426" s="42">
        <v>850</v>
      </c>
      <c r="R1426" s="42">
        <v>850</v>
      </c>
      <c r="T1426" s="284">
        <v>0</v>
      </c>
      <c r="U1426" s="284"/>
    </row>
    <row r="1427" spans="2:21" x14ac:dyDescent="0.25">
      <c r="B1427" s="292">
        <v>21</v>
      </c>
      <c r="C1427" s="292"/>
      <c r="D1427" s="292"/>
      <c r="F1427" s="283" t="s">
        <v>135</v>
      </c>
      <c r="G1427" s="283"/>
      <c r="J1427" s="293">
        <v>7</v>
      </c>
      <c r="K1427" s="293"/>
      <c r="L1427" s="293"/>
      <c r="M1427" s="293"/>
      <c r="N1427" s="293"/>
      <c r="P1427" s="42">
        <v>6650</v>
      </c>
      <c r="R1427" s="42">
        <v>1960</v>
      </c>
      <c r="T1427" s="284">
        <v>4690</v>
      </c>
      <c r="U1427" s="284"/>
    </row>
    <row r="1428" spans="2:21" x14ac:dyDescent="0.25">
      <c r="B1428" s="292">
        <v>22</v>
      </c>
      <c r="C1428" s="292"/>
      <c r="D1428" s="292"/>
      <c r="F1428" s="283" t="s">
        <v>229</v>
      </c>
      <c r="G1428" s="283"/>
      <c r="J1428" s="293">
        <v>1</v>
      </c>
      <c r="K1428" s="293"/>
      <c r="L1428" s="293"/>
      <c r="M1428" s="293"/>
      <c r="N1428" s="293"/>
      <c r="P1428" s="42">
        <v>7000</v>
      </c>
      <c r="R1428" s="42">
        <v>3100</v>
      </c>
      <c r="T1428" s="284">
        <v>3900</v>
      </c>
      <c r="U1428" s="284"/>
    </row>
    <row r="1429" spans="2:21" x14ac:dyDescent="0.25">
      <c r="B1429" s="292">
        <v>23</v>
      </c>
      <c r="C1429" s="292"/>
      <c r="D1429" s="292"/>
      <c r="F1429" s="283" t="s">
        <v>132</v>
      </c>
      <c r="G1429" s="283"/>
      <c r="J1429" s="293">
        <v>8</v>
      </c>
      <c r="K1429" s="293"/>
      <c r="L1429" s="293"/>
      <c r="M1429" s="293"/>
      <c r="N1429" s="293"/>
      <c r="P1429" s="42">
        <v>9920</v>
      </c>
      <c r="R1429" s="42">
        <v>2960</v>
      </c>
      <c r="T1429" s="284">
        <v>6960</v>
      </c>
      <c r="U1429" s="284"/>
    </row>
    <row r="1430" spans="2:21" x14ac:dyDescent="0.25">
      <c r="B1430" s="292">
        <v>24</v>
      </c>
      <c r="C1430" s="292"/>
      <c r="D1430" s="292"/>
      <c r="F1430" s="283" t="s">
        <v>130</v>
      </c>
      <c r="G1430" s="283"/>
      <c r="J1430" s="293">
        <v>6</v>
      </c>
      <c r="K1430" s="293"/>
      <c r="L1430" s="293"/>
      <c r="M1430" s="293"/>
      <c r="N1430" s="293"/>
      <c r="P1430" s="42">
        <v>48000</v>
      </c>
      <c r="R1430" s="42">
        <v>24600</v>
      </c>
      <c r="T1430" s="284">
        <v>23400</v>
      </c>
      <c r="U1430" s="284"/>
    </row>
    <row r="1431" spans="2:21" x14ac:dyDescent="0.25">
      <c r="B1431" s="292">
        <v>25</v>
      </c>
      <c r="C1431" s="292"/>
      <c r="D1431" s="292"/>
      <c r="F1431" s="283" t="s">
        <v>128</v>
      </c>
      <c r="G1431" s="283"/>
      <c r="J1431" s="293">
        <v>1</v>
      </c>
      <c r="K1431" s="293"/>
      <c r="L1431" s="293"/>
      <c r="M1431" s="293"/>
      <c r="N1431" s="293"/>
      <c r="P1431" s="42">
        <v>1150</v>
      </c>
      <c r="R1431" s="42">
        <v>170</v>
      </c>
      <c r="T1431" s="284">
        <v>980</v>
      </c>
      <c r="U1431" s="284"/>
    </row>
    <row r="1432" spans="2:21" x14ac:dyDescent="0.25">
      <c r="B1432" s="292">
        <v>26</v>
      </c>
      <c r="C1432" s="292"/>
      <c r="D1432" s="292"/>
      <c r="F1432" s="283" t="s">
        <v>127</v>
      </c>
      <c r="G1432" s="283"/>
      <c r="J1432" s="293">
        <v>3</v>
      </c>
      <c r="K1432" s="293"/>
      <c r="L1432" s="293"/>
      <c r="M1432" s="293"/>
      <c r="N1432" s="293"/>
      <c r="P1432" s="42">
        <v>900</v>
      </c>
      <c r="R1432" s="42">
        <v>311</v>
      </c>
      <c r="T1432" s="284">
        <v>589</v>
      </c>
      <c r="U1432" s="284"/>
    </row>
    <row r="1433" spans="2:21" x14ac:dyDescent="0.25">
      <c r="B1433" s="292">
        <v>27</v>
      </c>
      <c r="C1433" s="292"/>
      <c r="D1433" s="292"/>
      <c r="F1433" s="283" t="s">
        <v>126</v>
      </c>
      <c r="G1433" s="283"/>
      <c r="J1433" s="293">
        <v>14</v>
      </c>
      <c r="K1433" s="293"/>
      <c r="L1433" s="293"/>
      <c r="M1433" s="293"/>
      <c r="N1433" s="293"/>
      <c r="P1433" s="42">
        <v>2800</v>
      </c>
      <c r="R1433" s="42">
        <v>867</v>
      </c>
      <c r="T1433" s="284">
        <v>1933</v>
      </c>
      <c r="U1433" s="284"/>
    </row>
    <row r="1434" spans="2:21" x14ac:dyDescent="0.25">
      <c r="B1434" s="292">
        <v>28</v>
      </c>
      <c r="C1434" s="292"/>
      <c r="D1434" s="292"/>
      <c r="F1434" s="283" t="s">
        <v>125</v>
      </c>
      <c r="G1434" s="283"/>
      <c r="J1434" s="293">
        <v>9</v>
      </c>
      <c r="K1434" s="293"/>
      <c r="L1434" s="293"/>
      <c r="M1434" s="293"/>
      <c r="N1434" s="293"/>
      <c r="P1434" s="42">
        <v>3600</v>
      </c>
      <c r="R1434" s="42">
        <v>1080</v>
      </c>
      <c r="T1434" s="284">
        <v>2520</v>
      </c>
      <c r="U1434" s="284"/>
    </row>
    <row r="1435" spans="2:21" x14ac:dyDescent="0.25">
      <c r="B1435" s="292">
        <v>29</v>
      </c>
      <c r="C1435" s="292"/>
      <c r="D1435" s="292"/>
      <c r="F1435" s="283" t="s">
        <v>123</v>
      </c>
      <c r="G1435" s="283"/>
      <c r="J1435" s="293">
        <v>4</v>
      </c>
      <c r="K1435" s="293"/>
      <c r="L1435" s="293"/>
      <c r="M1435" s="293"/>
      <c r="N1435" s="293"/>
      <c r="P1435" s="42">
        <v>3120</v>
      </c>
      <c r="R1435" s="42">
        <v>920</v>
      </c>
      <c r="T1435" s="284">
        <v>2200</v>
      </c>
      <c r="U1435" s="284"/>
    </row>
    <row r="1436" spans="2:21" x14ac:dyDescent="0.25">
      <c r="B1436" s="292">
        <v>30</v>
      </c>
      <c r="C1436" s="292"/>
      <c r="D1436" s="292"/>
      <c r="F1436" s="283" t="s">
        <v>183</v>
      </c>
      <c r="G1436" s="283"/>
      <c r="J1436" s="293">
        <v>1</v>
      </c>
      <c r="K1436" s="293"/>
      <c r="L1436" s="293"/>
      <c r="M1436" s="293"/>
      <c r="N1436" s="293"/>
      <c r="P1436" s="42">
        <v>440</v>
      </c>
      <c r="R1436" s="42">
        <v>130</v>
      </c>
      <c r="T1436" s="284">
        <v>310</v>
      </c>
      <c r="U1436" s="284"/>
    </row>
    <row r="1437" spans="2:21" x14ac:dyDescent="0.25">
      <c r="B1437" s="292">
        <v>31</v>
      </c>
      <c r="C1437" s="292"/>
      <c r="D1437" s="292"/>
      <c r="F1437" s="283" t="s">
        <v>282</v>
      </c>
      <c r="G1437" s="283"/>
      <c r="J1437" s="293">
        <v>1</v>
      </c>
      <c r="K1437" s="293"/>
      <c r="L1437" s="293"/>
      <c r="M1437" s="293"/>
      <c r="N1437" s="293"/>
      <c r="P1437" s="42">
        <v>900</v>
      </c>
      <c r="R1437" s="42">
        <v>270</v>
      </c>
      <c r="T1437" s="284">
        <v>630</v>
      </c>
      <c r="U1437" s="284"/>
    </row>
    <row r="1438" spans="2:21" x14ac:dyDescent="0.25">
      <c r="B1438" s="292">
        <v>32</v>
      </c>
      <c r="C1438" s="292"/>
      <c r="D1438" s="292"/>
      <c r="F1438" s="283" t="s">
        <v>182</v>
      </c>
      <c r="G1438" s="283"/>
      <c r="J1438" s="293">
        <v>1</v>
      </c>
      <c r="K1438" s="293"/>
      <c r="L1438" s="293"/>
      <c r="M1438" s="293"/>
      <c r="N1438" s="293"/>
      <c r="P1438" s="42">
        <v>790</v>
      </c>
      <c r="R1438" s="42">
        <v>120</v>
      </c>
      <c r="T1438" s="284">
        <v>670</v>
      </c>
      <c r="U1438" s="284"/>
    </row>
    <row r="1439" spans="2:21" x14ac:dyDescent="0.25">
      <c r="B1439" s="292">
        <v>33</v>
      </c>
      <c r="C1439" s="292"/>
      <c r="D1439" s="292"/>
      <c r="F1439" s="283" t="s">
        <v>119</v>
      </c>
      <c r="G1439" s="283"/>
      <c r="J1439" s="293">
        <v>6</v>
      </c>
      <c r="K1439" s="293"/>
      <c r="L1439" s="293"/>
      <c r="M1439" s="293"/>
      <c r="N1439" s="293"/>
      <c r="P1439" s="42">
        <v>5340</v>
      </c>
      <c r="R1439" s="42">
        <v>1380</v>
      </c>
      <c r="T1439" s="284">
        <v>3960</v>
      </c>
      <c r="U1439" s="284"/>
    </row>
    <row r="1440" spans="2:21" x14ac:dyDescent="0.25">
      <c r="B1440" s="292">
        <v>34</v>
      </c>
      <c r="C1440" s="292"/>
      <c r="D1440" s="292"/>
      <c r="F1440" s="283" t="s">
        <v>118</v>
      </c>
      <c r="G1440" s="283"/>
      <c r="J1440" s="293">
        <v>146</v>
      </c>
      <c r="K1440" s="293"/>
      <c r="L1440" s="293"/>
      <c r="M1440" s="293"/>
      <c r="N1440" s="293"/>
      <c r="P1440" s="42">
        <v>144540</v>
      </c>
      <c r="R1440" s="42">
        <v>68085</v>
      </c>
      <c r="T1440" s="284">
        <v>76455</v>
      </c>
      <c r="U1440" s="284"/>
    </row>
    <row r="1441" spans="2:21" x14ac:dyDescent="0.25">
      <c r="B1441" s="292">
        <v>35</v>
      </c>
      <c r="C1441" s="292"/>
      <c r="D1441" s="292"/>
      <c r="F1441" s="283" t="s">
        <v>115</v>
      </c>
      <c r="G1441" s="283"/>
      <c r="J1441" s="293">
        <v>1</v>
      </c>
      <c r="K1441" s="293"/>
      <c r="L1441" s="293"/>
      <c r="M1441" s="293"/>
      <c r="N1441" s="293"/>
      <c r="P1441" s="42">
        <v>290</v>
      </c>
      <c r="R1441" s="42">
        <v>110</v>
      </c>
      <c r="T1441" s="284">
        <v>180</v>
      </c>
      <c r="U1441" s="284"/>
    </row>
    <row r="1442" spans="2:21" x14ac:dyDescent="0.25">
      <c r="B1442" s="292">
        <v>36</v>
      </c>
      <c r="C1442" s="292"/>
      <c r="D1442" s="292"/>
      <c r="F1442" s="283" t="s">
        <v>432</v>
      </c>
      <c r="G1442" s="283"/>
      <c r="J1442" s="293">
        <v>2</v>
      </c>
      <c r="K1442" s="293"/>
      <c r="L1442" s="293"/>
      <c r="M1442" s="293"/>
      <c r="N1442" s="293"/>
      <c r="P1442" s="42">
        <v>120</v>
      </c>
      <c r="R1442" s="42">
        <v>0</v>
      </c>
      <c r="T1442" s="284">
        <v>120</v>
      </c>
      <c r="U1442" s="284"/>
    </row>
    <row r="1443" spans="2:21" x14ac:dyDescent="0.25">
      <c r="B1443" s="292">
        <v>37</v>
      </c>
      <c r="C1443" s="292"/>
      <c r="D1443" s="292"/>
      <c r="F1443" s="283" t="s">
        <v>300</v>
      </c>
      <c r="G1443" s="283"/>
      <c r="J1443" s="293">
        <v>1</v>
      </c>
      <c r="K1443" s="293"/>
      <c r="L1443" s="293"/>
      <c r="M1443" s="293"/>
      <c r="N1443" s="293"/>
      <c r="P1443" s="42">
        <v>330</v>
      </c>
      <c r="R1443" s="42">
        <v>100</v>
      </c>
      <c r="T1443" s="284">
        <v>230</v>
      </c>
      <c r="U1443" s="284"/>
    </row>
    <row r="1444" spans="2:21" x14ac:dyDescent="0.25">
      <c r="B1444" s="292">
        <v>38</v>
      </c>
      <c r="C1444" s="292"/>
      <c r="D1444" s="292"/>
      <c r="F1444" s="283" t="s">
        <v>334</v>
      </c>
      <c r="G1444" s="283"/>
      <c r="J1444" s="293">
        <v>1</v>
      </c>
      <c r="K1444" s="293"/>
      <c r="L1444" s="293"/>
      <c r="M1444" s="293"/>
      <c r="N1444" s="293"/>
      <c r="P1444" s="42">
        <v>790</v>
      </c>
      <c r="R1444" s="42">
        <v>120</v>
      </c>
      <c r="T1444" s="284">
        <v>670</v>
      </c>
      <c r="U1444" s="284"/>
    </row>
    <row r="1445" spans="2:21" x14ac:dyDescent="0.25">
      <c r="B1445" s="292">
        <v>39</v>
      </c>
      <c r="C1445" s="292"/>
      <c r="D1445" s="292"/>
      <c r="F1445" s="283" t="s">
        <v>110</v>
      </c>
      <c r="G1445" s="283"/>
      <c r="J1445" s="293">
        <v>1</v>
      </c>
      <c r="K1445" s="293"/>
      <c r="L1445" s="293"/>
      <c r="M1445" s="293"/>
      <c r="N1445" s="293"/>
      <c r="P1445" s="42">
        <v>1080</v>
      </c>
      <c r="R1445" s="42">
        <v>160</v>
      </c>
      <c r="T1445" s="284">
        <v>920</v>
      </c>
      <c r="U1445" s="284"/>
    </row>
    <row r="1446" spans="2:21" x14ac:dyDescent="0.25">
      <c r="B1446" s="292">
        <v>40</v>
      </c>
      <c r="C1446" s="292"/>
      <c r="D1446" s="292"/>
      <c r="F1446" s="283" t="s">
        <v>108</v>
      </c>
      <c r="G1446" s="283"/>
      <c r="J1446" s="293">
        <v>3</v>
      </c>
      <c r="K1446" s="293"/>
      <c r="L1446" s="293"/>
      <c r="M1446" s="293"/>
      <c r="N1446" s="293"/>
      <c r="P1446" s="42">
        <v>300</v>
      </c>
      <c r="R1446" s="42">
        <v>90</v>
      </c>
      <c r="T1446" s="284">
        <v>210</v>
      </c>
      <c r="U1446" s="284"/>
    </row>
    <row r="1447" spans="2:21" x14ac:dyDescent="0.25">
      <c r="B1447" s="292">
        <v>41</v>
      </c>
      <c r="C1447" s="292"/>
      <c r="D1447" s="292"/>
      <c r="F1447" s="283" t="s">
        <v>107</v>
      </c>
      <c r="G1447" s="283"/>
      <c r="J1447" s="293">
        <v>45</v>
      </c>
      <c r="K1447" s="293"/>
      <c r="L1447" s="293"/>
      <c r="M1447" s="293"/>
      <c r="N1447" s="293"/>
      <c r="P1447" s="42">
        <v>7650</v>
      </c>
      <c r="R1447" s="42">
        <v>2014</v>
      </c>
      <c r="T1447" s="284">
        <v>5636</v>
      </c>
      <c r="U1447" s="284"/>
    </row>
    <row r="1448" spans="2:21" x14ac:dyDescent="0.25">
      <c r="B1448" s="292">
        <v>42</v>
      </c>
      <c r="C1448" s="292"/>
      <c r="D1448" s="292"/>
      <c r="F1448" s="283" t="s">
        <v>218</v>
      </c>
      <c r="G1448" s="283"/>
      <c r="J1448" s="293">
        <v>1</v>
      </c>
      <c r="K1448" s="293"/>
      <c r="L1448" s="293"/>
      <c r="M1448" s="293"/>
      <c r="N1448" s="293"/>
      <c r="P1448" s="42">
        <v>290</v>
      </c>
      <c r="R1448" s="42">
        <v>80</v>
      </c>
      <c r="T1448" s="284">
        <v>210</v>
      </c>
      <c r="U1448" s="284"/>
    </row>
    <row r="1449" spans="2:21" x14ac:dyDescent="0.25">
      <c r="B1449" s="292">
        <v>43</v>
      </c>
      <c r="C1449" s="292"/>
      <c r="D1449" s="292"/>
      <c r="F1449" s="283" t="s">
        <v>217</v>
      </c>
      <c r="G1449" s="283"/>
      <c r="J1449" s="293">
        <v>2</v>
      </c>
      <c r="K1449" s="293"/>
      <c r="L1449" s="293"/>
      <c r="M1449" s="293"/>
      <c r="N1449" s="293"/>
      <c r="P1449" s="42">
        <v>700</v>
      </c>
      <c r="R1449" s="42">
        <v>200</v>
      </c>
      <c r="T1449" s="284">
        <v>500</v>
      </c>
      <c r="U1449" s="284"/>
    </row>
    <row r="1450" spans="2:21" x14ac:dyDescent="0.25">
      <c r="B1450" s="292">
        <v>44</v>
      </c>
      <c r="C1450" s="292"/>
      <c r="D1450" s="292"/>
      <c r="F1450" s="283" t="s">
        <v>216</v>
      </c>
      <c r="G1450" s="283"/>
      <c r="J1450" s="293">
        <v>1</v>
      </c>
      <c r="K1450" s="293"/>
      <c r="L1450" s="293"/>
      <c r="M1450" s="293"/>
      <c r="N1450" s="293"/>
      <c r="P1450" s="42">
        <v>1080</v>
      </c>
      <c r="R1450" s="42">
        <v>165</v>
      </c>
      <c r="T1450" s="284">
        <v>915</v>
      </c>
      <c r="U1450" s="284"/>
    </row>
    <row r="1451" spans="2:21" x14ac:dyDescent="0.25">
      <c r="B1451" s="292">
        <v>45</v>
      </c>
      <c r="C1451" s="292"/>
      <c r="D1451" s="292"/>
      <c r="F1451" s="283" t="s">
        <v>103</v>
      </c>
      <c r="G1451" s="283"/>
      <c r="J1451" s="293">
        <v>6</v>
      </c>
      <c r="K1451" s="293"/>
      <c r="L1451" s="293"/>
      <c r="M1451" s="293"/>
      <c r="N1451" s="293"/>
      <c r="P1451" s="42">
        <v>1980</v>
      </c>
      <c r="R1451" s="42">
        <v>760</v>
      </c>
      <c r="T1451" s="284">
        <v>1220</v>
      </c>
      <c r="U1451" s="284"/>
    </row>
    <row r="1452" spans="2:21" x14ac:dyDescent="0.25">
      <c r="B1452" s="292">
        <v>46</v>
      </c>
      <c r="C1452" s="292"/>
      <c r="D1452" s="292"/>
      <c r="F1452" s="283" t="s">
        <v>100</v>
      </c>
      <c r="G1452" s="283"/>
      <c r="J1452" s="293">
        <v>1</v>
      </c>
      <c r="K1452" s="293"/>
      <c r="L1452" s="293"/>
      <c r="M1452" s="293"/>
      <c r="N1452" s="293"/>
      <c r="P1452" s="42">
        <v>180</v>
      </c>
      <c r="R1452" s="42">
        <v>50</v>
      </c>
      <c r="T1452" s="284">
        <v>130</v>
      </c>
      <c r="U1452" s="284"/>
    </row>
    <row r="1453" spans="2:21" x14ac:dyDescent="0.25">
      <c r="B1453" s="292">
        <v>47</v>
      </c>
      <c r="C1453" s="292"/>
      <c r="D1453" s="292"/>
      <c r="F1453" s="283" t="s">
        <v>178</v>
      </c>
      <c r="G1453" s="283"/>
      <c r="J1453" s="293">
        <v>1</v>
      </c>
      <c r="K1453" s="293"/>
      <c r="L1453" s="293"/>
      <c r="M1453" s="293"/>
      <c r="N1453" s="293"/>
      <c r="P1453" s="42">
        <v>1650</v>
      </c>
      <c r="R1453" s="42">
        <v>0</v>
      </c>
      <c r="T1453" s="284">
        <v>1650</v>
      </c>
      <c r="U1453" s="284"/>
    </row>
    <row r="1454" spans="2:21" x14ac:dyDescent="0.25">
      <c r="B1454" s="292">
        <v>48</v>
      </c>
      <c r="C1454" s="292"/>
      <c r="D1454" s="292"/>
      <c r="F1454" s="283" t="s">
        <v>99</v>
      </c>
      <c r="G1454" s="283"/>
      <c r="J1454" s="293">
        <v>3</v>
      </c>
      <c r="K1454" s="293"/>
      <c r="L1454" s="293"/>
      <c r="M1454" s="293"/>
      <c r="N1454" s="293"/>
      <c r="P1454" s="42">
        <v>1770</v>
      </c>
      <c r="R1454" s="42">
        <v>270</v>
      </c>
      <c r="T1454" s="284">
        <v>1500</v>
      </c>
      <c r="U1454" s="284"/>
    </row>
    <row r="1455" spans="2:21" x14ac:dyDescent="0.25">
      <c r="B1455" s="292">
        <v>49</v>
      </c>
      <c r="C1455" s="292"/>
      <c r="D1455" s="292"/>
      <c r="F1455" s="283" t="s">
        <v>98</v>
      </c>
      <c r="G1455" s="283"/>
      <c r="J1455" s="293">
        <v>3</v>
      </c>
      <c r="K1455" s="293"/>
      <c r="L1455" s="293"/>
      <c r="M1455" s="293"/>
      <c r="N1455" s="293"/>
      <c r="P1455" s="42">
        <v>1710</v>
      </c>
      <c r="R1455" s="42">
        <v>240</v>
      </c>
      <c r="T1455" s="284">
        <v>1470</v>
      </c>
      <c r="U1455" s="284"/>
    </row>
    <row r="1456" spans="2:21" x14ac:dyDescent="0.25">
      <c r="B1456" s="292">
        <v>50</v>
      </c>
      <c r="C1456" s="292"/>
      <c r="D1456" s="292"/>
      <c r="F1456" s="283" t="s">
        <v>176</v>
      </c>
      <c r="G1456" s="283"/>
      <c r="J1456" s="293">
        <v>1</v>
      </c>
      <c r="K1456" s="293"/>
      <c r="L1456" s="293"/>
      <c r="M1456" s="293"/>
      <c r="N1456" s="293"/>
      <c r="P1456" s="42">
        <v>1060</v>
      </c>
      <c r="R1456" s="42">
        <v>160</v>
      </c>
      <c r="T1456" s="284">
        <v>900</v>
      </c>
      <c r="U1456" s="284"/>
    </row>
    <row r="1457" spans="1:21" x14ac:dyDescent="0.25">
      <c r="B1457" s="292">
        <v>51</v>
      </c>
      <c r="C1457" s="292"/>
      <c r="D1457" s="292"/>
      <c r="F1457" s="283" t="s">
        <v>93</v>
      </c>
      <c r="G1457" s="283"/>
      <c r="J1457" s="293">
        <v>2</v>
      </c>
      <c r="K1457" s="293"/>
      <c r="L1457" s="293"/>
      <c r="M1457" s="293"/>
      <c r="N1457" s="293"/>
      <c r="P1457" s="42">
        <v>1180</v>
      </c>
      <c r="R1457" s="42">
        <v>180</v>
      </c>
      <c r="T1457" s="284">
        <v>1000</v>
      </c>
      <c r="U1457" s="284"/>
    </row>
    <row r="1458" spans="1:21" x14ac:dyDescent="0.25">
      <c r="B1458" s="292">
        <v>52</v>
      </c>
      <c r="C1458" s="292"/>
      <c r="D1458" s="292"/>
      <c r="F1458" s="283" t="s">
        <v>92</v>
      </c>
      <c r="G1458" s="283"/>
      <c r="J1458" s="293">
        <v>6</v>
      </c>
      <c r="K1458" s="293"/>
      <c r="L1458" s="293"/>
      <c r="M1458" s="293"/>
      <c r="N1458" s="293"/>
      <c r="P1458" s="42">
        <v>5120</v>
      </c>
      <c r="R1458" s="42">
        <v>1200</v>
      </c>
      <c r="T1458" s="284">
        <v>3920</v>
      </c>
      <c r="U1458" s="284"/>
    </row>
    <row r="1459" spans="1:21" x14ac:dyDescent="0.25">
      <c r="B1459" s="292">
        <v>53</v>
      </c>
      <c r="C1459" s="292"/>
      <c r="D1459" s="292"/>
      <c r="F1459" s="283" t="s">
        <v>174</v>
      </c>
      <c r="G1459" s="283"/>
      <c r="J1459" s="293">
        <v>4</v>
      </c>
      <c r="K1459" s="293"/>
      <c r="L1459" s="293"/>
      <c r="M1459" s="293"/>
      <c r="N1459" s="293"/>
      <c r="P1459" s="42">
        <v>1600</v>
      </c>
      <c r="R1459" s="42">
        <v>120</v>
      </c>
      <c r="T1459" s="284">
        <v>1480</v>
      </c>
      <c r="U1459" s="284"/>
    </row>
    <row r="1460" spans="1:21" x14ac:dyDescent="0.25">
      <c r="B1460" s="292">
        <v>54</v>
      </c>
      <c r="C1460" s="292"/>
      <c r="D1460" s="292"/>
      <c r="F1460" s="283" t="s">
        <v>91</v>
      </c>
      <c r="G1460" s="283"/>
      <c r="J1460" s="293">
        <v>127</v>
      </c>
      <c r="K1460" s="293"/>
      <c r="L1460" s="293"/>
      <c r="M1460" s="293"/>
      <c r="N1460" s="293"/>
      <c r="P1460" s="42">
        <v>31750</v>
      </c>
      <c r="R1460" s="42">
        <v>15703</v>
      </c>
      <c r="T1460" s="284">
        <v>16047</v>
      </c>
      <c r="U1460" s="284"/>
    </row>
    <row r="1461" spans="1:21" x14ac:dyDescent="0.25">
      <c r="B1461" s="292">
        <v>55</v>
      </c>
      <c r="C1461" s="292"/>
      <c r="D1461" s="292"/>
      <c r="F1461" s="283" t="s">
        <v>90</v>
      </c>
      <c r="G1461" s="283"/>
      <c r="J1461" s="293">
        <v>76</v>
      </c>
      <c r="K1461" s="293"/>
      <c r="L1461" s="293"/>
      <c r="M1461" s="293"/>
      <c r="N1461" s="293"/>
      <c r="P1461" s="42">
        <v>22040</v>
      </c>
      <c r="R1461" s="42">
        <v>5600</v>
      </c>
      <c r="T1461" s="284">
        <v>16440</v>
      </c>
      <c r="U1461" s="284"/>
    </row>
    <row r="1462" spans="1:21" x14ac:dyDescent="0.25">
      <c r="B1462" s="292">
        <v>56</v>
      </c>
      <c r="C1462" s="292"/>
      <c r="D1462" s="292"/>
      <c r="F1462" s="283" t="s">
        <v>88</v>
      </c>
      <c r="G1462" s="283"/>
      <c r="J1462" s="293">
        <v>7</v>
      </c>
      <c r="K1462" s="293"/>
      <c r="L1462" s="293"/>
      <c r="M1462" s="293"/>
      <c r="N1462" s="293"/>
      <c r="P1462" s="42">
        <v>1260</v>
      </c>
      <c r="R1462" s="42">
        <v>468</v>
      </c>
      <c r="T1462" s="284">
        <v>792</v>
      </c>
      <c r="U1462" s="284"/>
    </row>
    <row r="1463" spans="1:21" x14ac:dyDescent="0.25">
      <c r="B1463" s="292">
        <v>57</v>
      </c>
      <c r="C1463" s="292"/>
      <c r="D1463" s="292"/>
      <c r="F1463" s="283" t="s">
        <v>85</v>
      </c>
      <c r="G1463" s="283"/>
      <c r="J1463" s="293">
        <v>2</v>
      </c>
      <c r="K1463" s="293"/>
      <c r="L1463" s="293"/>
      <c r="M1463" s="293"/>
      <c r="N1463" s="293"/>
      <c r="P1463" s="42">
        <v>4160</v>
      </c>
      <c r="R1463" s="42">
        <v>620</v>
      </c>
      <c r="T1463" s="284">
        <v>3540</v>
      </c>
      <c r="U1463" s="284"/>
    </row>
    <row r="1464" spans="1:21" x14ac:dyDescent="0.25">
      <c r="B1464" s="292">
        <v>58</v>
      </c>
      <c r="C1464" s="292"/>
      <c r="D1464" s="292"/>
      <c r="F1464" s="283" t="s">
        <v>84</v>
      </c>
      <c r="G1464" s="283"/>
      <c r="J1464" s="293">
        <v>21</v>
      </c>
      <c r="K1464" s="293"/>
      <c r="L1464" s="293"/>
      <c r="M1464" s="293"/>
      <c r="N1464" s="293"/>
      <c r="P1464" s="42">
        <v>12390</v>
      </c>
      <c r="R1464" s="42">
        <v>3240</v>
      </c>
      <c r="T1464" s="284">
        <v>9150</v>
      </c>
      <c r="U1464" s="284"/>
    </row>
    <row r="1465" spans="1:21" x14ac:dyDescent="0.25">
      <c r="B1465" s="292">
        <v>59</v>
      </c>
      <c r="C1465" s="292"/>
      <c r="D1465" s="292"/>
      <c r="F1465" s="283" t="s">
        <v>202</v>
      </c>
      <c r="G1465" s="283"/>
      <c r="J1465" s="293">
        <v>1</v>
      </c>
      <c r="K1465" s="293"/>
      <c r="L1465" s="293"/>
      <c r="M1465" s="293"/>
      <c r="N1465" s="293"/>
      <c r="P1465" s="42">
        <v>500</v>
      </c>
      <c r="R1465" s="42">
        <v>130</v>
      </c>
      <c r="T1465" s="284">
        <v>370</v>
      </c>
      <c r="U1465" s="284"/>
    </row>
    <row r="1466" spans="1:21" s="40" customFormat="1" x14ac:dyDescent="0.25">
      <c r="A1466" s="290" t="s">
        <v>431</v>
      </c>
      <c r="B1466" s="290"/>
      <c r="C1466" s="290"/>
      <c r="D1466" s="290"/>
      <c r="E1466" s="290"/>
      <c r="F1466" s="290"/>
      <c r="G1466" s="290"/>
      <c r="H1466" s="290"/>
      <c r="I1466" s="290"/>
      <c r="J1466" s="290"/>
      <c r="K1466" s="291">
        <v>1058</v>
      </c>
      <c r="L1466" s="291"/>
      <c r="M1466" s="291"/>
      <c r="N1466" s="291"/>
      <c r="O1466" s="291"/>
      <c r="P1466" s="41">
        <v>1894770</v>
      </c>
      <c r="R1466" s="41">
        <v>1852100</v>
      </c>
      <c r="T1466" s="287">
        <v>42670</v>
      </c>
      <c r="U1466" s="287"/>
    </row>
    <row r="1467" spans="1:21" x14ac:dyDescent="0.25">
      <c r="B1467" s="292">
        <v>1</v>
      </c>
      <c r="C1467" s="292"/>
      <c r="D1467" s="292"/>
      <c r="F1467" s="283" t="s">
        <v>200</v>
      </c>
      <c r="G1467" s="283"/>
      <c r="J1467" s="293">
        <v>1</v>
      </c>
      <c r="K1467" s="293"/>
      <c r="L1467" s="293"/>
      <c r="M1467" s="293"/>
      <c r="N1467" s="293"/>
      <c r="P1467" s="42">
        <v>500</v>
      </c>
      <c r="R1467" s="42">
        <v>150</v>
      </c>
      <c r="T1467" s="284">
        <v>350</v>
      </c>
      <c r="U1467" s="284"/>
    </row>
    <row r="1468" spans="1:21" x14ac:dyDescent="0.25">
      <c r="B1468" s="292">
        <v>2</v>
      </c>
      <c r="C1468" s="292"/>
      <c r="D1468" s="292"/>
      <c r="F1468" s="283" t="s">
        <v>250</v>
      </c>
      <c r="G1468" s="283"/>
      <c r="J1468" s="293">
        <v>2</v>
      </c>
      <c r="K1468" s="293"/>
      <c r="L1468" s="293"/>
      <c r="M1468" s="293"/>
      <c r="N1468" s="293"/>
      <c r="P1468" s="42">
        <v>1000</v>
      </c>
      <c r="R1468" s="42">
        <v>300</v>
      </c>
      <c r="T1468" s="284">
        <v>700</v>
      </c>
      <c r="U1468" s="284"/>
    </row>
    <row r="1469" spans="1:21" x14ac:dyDescent="0.25">
      <c r="B1469" s="292">
        <v>3</v>
      </c>
      <c r="C1469" s="292"/>
      <c r="D1469" s="292"/>
      <c r="F1469" s="283" t="s">
        <v>78</v>
      </c>
      <c r="G1469" s="283"/>
      <c r="J1469" s="293">
        <v>3</v>
      </c>
      <c r="K1469" s="293"/>
      <c r="L1469" s="293"/>
      <c r="M1469" s="293"/>
      <c r="N1469" s="293"/>
      <c r="P1469" s="42">
        <v>870</v>
      </c>
      <c r="R1469" s="42">
        <v>870</v>
      </c>
      <c r="T1469" s="284">
        <v>0</v>
      </c>
      <c r="U1469" s="284"/>
    </row>
    <row r="1470" spans="1:21" x14ac:dyDescent="0.25">
      <c r="B1470" s="292">
        <v>4</v>
      </c>
      <c r="C1470" s="292"/>
      <c r="D1470" s="292"/>
      <c r="F1470" s="283" t="s">
        <v>197</v>
      </c>
      <c r="G1470" s="283"/>
      <c r="J1470" s="293">
        <v>6</v>
      </c>
      <c r="K1470" s="293"/>
      <c r="L1470" s="293"/>
      <c r="M1470" s="293"/>
      <c r="N1470" s="293"/>
      <c r="P1470" s="42">
        <v>3000</v>
      </c>
      <c r="R1470" s="42">
        <v>900</v>
      </c>
      <c r="T1470" s="284">
        <v>2100</v>
      </c>
      <c r="U1470" s="284"/>
    </row>
    <row r="1471" spans="1:21" x14ac:dyDescent="0.25">
      <c r="B1471" s="292">
        <v>5</v>
      </c>
      <c r="C1471" s="292"/>
      <c r="D1471" s="292"/>
      <c r="F1471" s="283" t="s">
        <v>293</v>
      </c>
      <c r="G1471" s="283"/>
      <c r="J1471" s="293">
        <v>1</v>
      </c>
      <c r="K1471" s="293"/>
      <c r="L1471" s="293"/>
      <c r="M1471" s="293"/>
      <c r="N1471" s="293"/>
      <c r="P1471" s="42">
        <v>700</v>
      </c>
      <c r="R1471" s="42">
        <v>180</v>
      </c>
      <c r="T1471" s="284">
        <v>520</v>
      </c>
      <c r="U1471" s="284"/>
    </row>
    <row r="1472" spans="1:21" x14ac:dyDescent="0.25">
      <c r="B1472" s="292">
        <v>6</v>
      </c>
      <c r="C1472" s="292"/>
      <c r="D1472" s="292"/>
      <c r="F1472" s="283" t="s">
        <v>196</v>
      </c>
      <c r="G1472" s="283"/>
      <c r="J1472" s="293">
        <v>5</v>
      </c>
      <c r="K1472" s="293"/>
      <c r="L1472" s="293"/>
      <c r="M1472" s="293"/>
      <c r="N1472" s="293"/>
      <c r="P1472" s="42">
        <v>3500</v>
      </c>
      <c r="R1472" s="42">
        <v>1750</v>
      </c>
      <c r="T1472" s="284">
        <v>1750</v>
      </c>
      <c r="U1472" s="284"/>
    </row>
    <row r="1473" spans="2:21" x14ac:dyDescent="0.25">
      <c r="B1473" s="292">
        <v>7</v>
      </c>
      <c r="C1473" s="292"/>
      <c r="D1473" s="292"/>
      <c r="F1473" s="283" t="s">
        <v>77</v>
      </c>
      <c r="G1473" s="283"/>
      <c r="J1473" s="293">
        <v>239</v>
      </c>
      <c r="K1473" s="293"/>
      <c r="L1473" s="293"/>
      <c r="M1473" s="293"/>
      <c r="N1473" s="293"/>
      <c r="P1473" s="42">
        <v>98100</v>
      </c>
      <c r="R1473" s="42">
        <v>98100</v>
      </c>
      <c r="T1473" s="284">
        <v>0</v>
      </c>
      <c r="U1473" s="284"/>
    </row>
    <row r="1474" spans="2:21" x14ac:dyDescent="0.25">
      <c r="B1474" s="292">
        <v>8</v>
      </c>
      <c r="C1474" s="292"/>
      <c r="D1474" s="292"/>
      <c r="F1474" s="283" t="s">
        <v>76</v>
      </c>
      <c r="G1474" s="283"/>
      <c r="J1474" s="293">
        <v>6</v>
      </c>
      <c r="K1474" s="293"/>
      <c r="L1474" s="293"/>
      <c r="M1474" s="293"/>
      <c r="N1474" s="293"/>
      <c r="P1474" s="42">
        <v>3400</v>
      </c>
      <c r="R1474" s="42">
        <v>3400</v>
      </c>
      <c r="T1474" s="284">
        <v>0</v>
      </c>
      <c r="U1474" s="284"/>
    </row>
    <row r="1475" spans="2:21" x14ac:dyDescent="0.25">
      <c r="B1475" s="292">
        <v>9</v>
      </c>
      <c r="C1475" s="292"/>
      <c r="D1475" s="292"/>
      <c r="F1475" s="283" t="s">
        <v>289</v>
      </c>
      <c r="G1475" s="283"/>
      <c r="J1475" s="293">
        <v>4</v>
      </c>
      <c r="K1475" s="293"/>
      <c r="L1475" s="293"/>
      <c r="M1475" s="293"/>
      <c r="N1475" s="293"/>
      <c r="P1475" s="42">
        <v>2000</v>
      </c>
      <c r="R1475" s="42">
        <v>600</v>
      </c>
      <c r="T1475" s="284">
        <v>1400</v>
      </c>
      <c r="U1475" s="284"/>
    </row>
    <row r="1476" spans="2:21" x14ac:dyDescent="0.25">
      <c r="B1476" s="292">
        <v>10</v>
      </c>
      <c r="C1476" s="292"/>
      <c r="D1476" s="292"/>
      <c r="F1476" s="283" t="s">
        <v>288</v>
      </c>
      <c r="G1476" s="283"/>
      <c r="J1476" s="293">
        <v>1</v>
      </c>
      <c r="K1476" s="293"/>
      <c r="L1476" s="293"/>
      <c r="M1476" s="293"/>
      <c r="N1476" s="293"/>
      <c r="P1476" s="42">
        <v>800</v>
      </c>
      <c r="R1476" s="42">
        <v>450</v>
      </c>
      <c r="T1476" s="284">
        <v>350</v>
      </c>
      <c r="U1476" s="284"/>
    </row>
    <row r="1477" spans="2:21" x14ac:dyDescent="0.25">
      <c r="B1477" s="292">
        <v>11</v>
      </c>
      <c r="C1477" s="292"/>
      <c r="D1477" s="292"/>
      <c r="F1477" s="283" t="s">
        <v>234</v>
      </c>
      <c r="G1477" s="283"/>
      <c r="J1477" s="293">
        <v>1</v>
      </c>
      <c r="K1477" s="293"/>
      <c r="L1477" s="293"/>
      <c r="M1477" s="293"/>
      <c r="N1477" s="293"/>
      <c r="P1477" s="42">
        <v>800</v>
      </c>
      <c r="R1477" s="42">
        <v>450</v>
      </c>
      <c r="T1477" s="284">
        <v>350</v>
      </c>
      <c r="U1477" s="284"/>
    </row>
    <row r="1478" spans="2:21" x14ac:dyDescent="0.25">
      <c r="B1478" s="292">
        <v>12</v>
      </c>
      <c r="C1478" s="292"/>
      <c r="D1478" s="292"/>
      <c r="F1478" s="283" t="s">
        <v>287</v>
      </c>
      <c r="G1478" s="283"/>
      <c r="J1478" s="293">
        <v>6</v>
      </c>
      <c r="K1478" s="293"/>
      <c r="L1478" s="293"/>
      <c r="M1478" s="293"/>
      <c r="N1478" s="293"/>
      <c r="P1478" s="42">
        <v>4800</v>
      </c>
      <c r="R1478" s="42">
        <v>2700</v>
      </c>
      <c r="T1478" s="284">
        <v>2100</v>
      </c>
      <c r="U1478" s="284"/>
    </row>
    <row r="1479" spans="2:21" x14ac:dyDescent="0.25">
      <c r="B1479" s="292">
        <v>13</v>
      </c>
      <c r="C1479" s="292"/>
      <c r="D1479" s="292"/>
      <c r="F1479" s="283" t="s">
        <v>75</v>
      </c>
      <c r="G1479" s="283"/>
      <c r="J1479" s="293">
        <v>688</v>
      </c>
      <c r="K1479" s="293"/>
      <c r="L1479" s="293"/>
      <c r="M1479" s="293"/>
      <c r="N1479" s="293"/>
      <c r="P1479" s="42">
        <v>1720000</v>
      </c>
      <c r="R1479" s="42">
        <v>1720000</v>
      </c>
      <c r="T1479" s="284">
        <v>0</v>
      </c>
      <c r="U1479" s="284"/>
    </row>
    <row r="1480" spans="2:21" x14ac:dyDescent="0.25">
      <c r="B1480" s="292">
        <v>14</v>
      </c>
      <c r="C1480" s="292"/>
      <c r="D1480" s="292"/>
      <c r="F1480" s="283" t="s">
        <v>231</v>
      </c>
      <c r="G1480" s="283"/>
      <c r="J1480" s="293">
        <v>4</v>
      </c>
      <c r="K1480" s="293"/>
      <c r="L1480" s="293"/>
      <c r="M1480" s="293"/>
      <c r="N1480" s="293"/>
      <c r="P1480" s="42">
        <v>2000</v>
      </c>
      <c r="R1480" s="42">
        <v>600</v>
      </c>
      <c r="T1480" s="284">
        <v>1400</v>
      </c>
      <c r="U1480" s="284"/>
    </row>
    <row r="1481" spans="2:21" x14ac:dyDescent="0.25">
      <c r="B1481" s="292">
        <v>15</v>
      </c>
      <c r="C1481" s="292"/>
      <c r="D1481" s="292"/>
      <c r="F1481" s="283" t="s">
        <v>302</v>
      </c>
      <c r="G1481" s="283"/>
      <c r="J1481" s="293">
        <v>8</v>
      </c>
      <c r="K1481" s="293"/>
      <c r="L1481" s="293"/>
      <c r="M1481" s="293"/>
      <c r="N1481" s="293"/>
      <c r="P1481" s="42">
        <v>6400</v>
      </c>
      <c r="R1481" s="42">
        <v>3600</v>
      </c>
      <c r="T1481" s="284">
        <v>2800</v>
      </c>
      <c r="U1481" s="284"/>
    </row>
    <row r="1482" spans="2:21" x14ac:dyDescent="0.25">
      <c r="B1482" s="292">
        <v>16</v>
      </c>
      <c r="C1482" s="292"/>
      <c r="D1482" s="292"/>
      <c r="F1482" s="283" t="s">
        <v>138</v>
      </c>
      <c r="G1482" s="283"/>
      <c r="J1482" s="293">
        <v>2</v>
      </c>
      <c r="K1482" s="293"/>
      <c r="L1482" s="293"/>
      <c r="M1482" s="293"/>
      <c r="N1482" s="293"/>
      <c r="P1482" s="42">
        <v>1600</v>
      </c>
      <c r="R1482" s="42">
        <v>900</v>
      </c>
      <c r="T1482" s="284">
        <v>700</v>
      </c>
      <c r="U1482" s="284"/>
    </row>
    <row r="1483" spans="2:21" x14ac:dyDescent="0.25">
      <c r="B1483" s="292">
        <v>17</v>
      </c>
      <c r="C1483" s="292"/>
      <c r="D1483" s="292"/>
      <c r="F1483" s="283" t="s">
        <v>74</v>
      </c>
      <c r="G1483" s="283"/>
      <c r="J1483" s="293">
        <v>2</v>
      </c>
      <c r="K1483" s="293"/>
      <c r="L1483" s="293"/>
      <c r="M1483" s="293"/>
      <c r="N1483" s="293"/>
      <c r="P1483" s="42">
        <v>1700</v>
      </c>
      <c r="R1483" s="42">
        <v>1700</v>
      </c>
      <c r="T1483" s="284">
        <v>0</v>
      </c>
      <c r="U1483" s="284"/>
    </row>
    <row r="1484" spans="2:21" x14ac:dyDescent="0.25">
      <c r="B1484" s="292">
        <v>18</v>
      </c>
      <c r="C1484" s="292"/>
      <c r="D1484" s="292"/>
      <c r="F1484" s="283" t="s">
        <v>185</v>
      </c>
      <c r="G1484" s="283"/>
      <c r="J1484" s="293">
        <v>6</v>
      </c>
      <c r="K1484" s="293"/>
      <c r="L1484" s="293"/>
      <c r="M1484" s="293"/>
      <c r="N1484" s="293"/>
      <c r="P1484" s="42">
        <v>4800</v>
      </c>
      <c r="R1484" s="42">
        <v>2700</v>
      </c>
      <c r="T1484" s="284">
        <v>2100</v>
      </c>
      <c r="U1484" s="284"/>
    </row>
    <row r="1485" spans="2:21" x14ac:dyDescent="0.25">
      <c r="B1485" s="292">
        <v>19</v>
      </c>
      <c r="C1485" s="292"/>
      <c r="D1485" s="292"/>
      <c r="F1485" s="283" t="s">
        <v>283</v>
      </c>
      <c r="G1485" s="283"/>
      <c r="J1485" s="293">
        <v>1</v>
      </c>
      <c r="K1485" s="293"/>
      <c r="L1485" s="293"/>
      <c r="M1485" s="293"/>
      <c r="N1485" s="293"/>
      <c r="P1485" s="42">
        <v>800</v>
      </c>
      <c r="R1485" s="42">
        <v>450</v>
      </c>
      <c r="T1485" s="284">
        <v>350</v>
      </c>
      <c r="U1485" s="284"/>
    </row>
    <row r="1486" spans="2:21" x14ac:dyDescent="0.25">
      <c r="B1486" s="292">
        <v>20</v>
      </c>
      <c r="C1486" s="292"/>
      <c r="D1486" s="292"/>
      <c r="F1486" s="283" t="s">
        <v>366</v>
      </c>
      <c r="G1486" s="283"/>
      <c r="J1486" s="293">
        <v>4</v>
      </c>
      <c r="K1486" s="293"/>
      <c r="L1486" s="293"/>
      <c r="M1486" s="293"/>
      <c r="N1486" s="293"/>
      <c r="P1486" s="42">
        <v>3200</v>
      </c>
      <c r="R1486" s="42">
        <v>1800</v>
      </c>
      <c r="T1486" s="284">
        <v>1400</v>
      </c>
      <c r="U1486" s="284"/>
    </row>
    <row r="1487" spans="2:21" x14ac:dyDescent="0.25">
      <c r="B1487" s="292">
        <v>21</v>
      </c>
      <c r="C1487" s="292"/>
      <c r="D1487" s="292"/>
      <c r="F1487" s="283" t="s">
        <v>122</v>
      </c>
      <c r="G1487" s="283"/>
      <c r="J1487" s="293">
        <v>15</v>
      </c>
      <c r="K1487" s="293"/>
      <c r="L1487" s="293"/>
      <c r="M1487" s="293"/>
      <c r="N1487" s="293"/>
      <c r="P1487" s="42">
        <v>7500</v>
      </c>
      <c r="R1487" s="42">
        <v>2250</v>
      </c>
      <c r="T1487" s="284">
        <v>5250</v>
      </c>
      <c r="U1487" s="284"/>
    </row>
    <row r="1488" spans="2:21" x14ac:dyDescent="0.25">
      <c r="B1488" s="292">
        <v>22</v>
      </c>
      <c r="C1488" s="292"/>
      <c r="D1488" s="292"/>
      <c r="F1488" s="283" t="s">
        <v>121</v>
      </c>
      <c r="G1488" s="283"/>
      <c r="J1488" s="293">
        <v>2</v>
      </c>
      <c r="K1488" s="293"/>
      <c r="L1488" s="293"/>
      <c r="M1488" s="293"/>
      <c r="N1488" s="293"/>
      <c r="P1488" s="42">
        <v>1000</v>
      </c>
      <c r="R1488" s="42">
        <v>300</v>
      </c>
      <c r="T1488" s="284">
        <v>700</v>
      </c>
      <c r="U1488" s="284"/>
    </row>
    <row r="1489" spans="2:21" x14ac:dyDescent="0.25">
      <c r="B1489" s="292">
        <v>23</v>
      </c>
      <c r="C1489" s="292"/>
      <c r="D1489" s="292"/>
      <c r="F1489" s="283" t="s">
        <v>349</v>
      </c>
      <c r="G1489" s="283"/>
      <c r="J1489" s="293">
        <v>4</v>
      </c>
      <c r="K1489" s="293"/>
      <c r="L1489" s="293"/>
      <c r="M1489" s="293"/>
      <c r="N1489" s="293"/>
      <c r="P1489" s="42">
        <v>2000</v>
      </c>
      <c r="R1489" s="42">
        <v>600</v>
      </c>
      <c r="T1489" s="284">
        <v>1400</v>
      </c>
      <c r="U1489" s="284"/>
    </row>
    <row r="1490" spans="2:21" x14ac:dyDescent="0.25">
      <c r="B1490" s="292">
        <v>24</v>
      </c>
      <c r="C1490" s="292"/>
      <c r="D1490" s="292"/>
      <c r="F1490" s="283" t="s">
        <v>282</v>
      </c>
      <c r="G1490" s="283"/>
      <c r="J1490" s="293">
        <v>13</v>
      </c>
      <c r="K1490" s="293"/>
      <c r="L1490" s="293"/>
      <c r="M1490" s="293"/>
      <c r="N1490" s="293"/>
      <c r="P1490" s="42">
        <v>6500</v>
      </c>
      <c r="R1490" s="42">
        <v>1950</v>
      </c>
      <c r="T1490" s="284">
        <v>4550</v>
      </c>
      <c r="U1490" s="284"/>
    </row>
    <row r="1491" spans="2:21" x14ac:dyDescent="0.25">
      <c r="B1491" s="292">
        <v>25</v>
      </c>
      <c r="C1491" s="292"/>
      <c r="D1491" s="292"/>
      <c r="F1491" s="283" t="s">
        <v>117</v>
      </c>
      <c r="G1491" s="283"/>
      <c r="J1491" s="293">
        <v>1</v>
      </c>
      <c r="K1491" s="293"/>
      <c r="L1491" s="293"/>
      <c r="M1491" s="293"/>
      <c r="N1491" s="293"/>
      <c r="P1491" s="42">
        <v>800</v>
      </c>
      <c r="R1491" s="42">
        <v>200</v>
      </c>
      <c r="T1491" s="284">
        <v>600</v>
      </c>
      <c r="U1491" s="284"/>
    </row>
    <row r="1492" spans="2:21" x14ac:dyDescent="0.25">
      <c r="B1492" s="292">
        <v>26</v>
      </c>
      <c r="C1492" s="292"/>
      <c r="D1492" s="292"/>
      <c r="F1492" s="285" t="s">
        <v>116</v>
      </c>
      <c r="G1492" s="285"/>
      <c r="J1492" s="293">
        <v>1</v>
      </c>
      <c r="K1492" s="293"/>
      <c r="L1492" s="293"/>
      <c r="M1492" s="293"/>
      <c r="N1492" s="293"/>
      <c r="P1492" s="42">
        <v>800</v>
      </c>
      <c r="R1492" s="42">
        <v>200</v>
      </c>
      <c r="T1492" s="284">
        <v>600</v>
      </c>
      <c r="U1492" s="284"/>
    </row>
    <row r="1493" spans="2:21" x14ac:dyDescent="0.25">
      <c r="F1493" s="285"/>
      <c r="G1493" s="285"/>
    </row>
    <row r="1494" spans="2:21" x14ac:dyDescent="0.25">
      <c r="B1494" s="292">
        <v>27</v>
      </c>
      <c r="C1494" s="292"/>
      <c r="D1494" s="292"/>
      <c r="F1494" s="283" t="s">
        <v>335</v>
      </c>
      <c r="G1494" s="283"/>
      <c r="J1494" s="293">
        <v>2</v>
      </c>
      <c r="K1494" s="293"/>
      <c r="L1494" s="293"/>
      <c r="M1494" s="293"/>
      <c r="N1494" s="293"/>
      <c r="P1494" s="42">
        <v>1000</v>
      </c>
      <c r="R1494" s="42">
        <v>300</v>
      </c>
      <c r="T1494" s="284">
        <v>700</v>
      </c>
      <c r="U1494" s="284"/>
    </row>
    <row r="1495" spans="2:21" x14ac:dyDescent="0.25">
      <c r="B1495" s="292">
        <v>28</v>
      </c>
      <c r="C1495" s="292"/>
      <c r="D1495" s="292"/>
      <c r="F1495" s="283" t="s">
        <v>279</v>
      </c>
      <c r="G1495" s="283"/>
      <c r="J1495" s="293">
        <v>1</v>
      </c>
      <c r="K1495" s="293"/>
      <c r="L1495" s="293"/>
      <c r="M1495" s="293"/>
      <c r="N1495" s="293"/>
      <c r="P1495" s="42">
        <v>500</v>
      </c>
      <c r="R1495" s="42">
        <v>150</v>
      </c>
      <c r="T1495" s="284">
        <v>350</v>
      </c>
      <c r="U1495" s="284"/>
    </row>
    <row r="1496" spans="2:21" x14ac:dyDescent="0.25">
      <c r="B1496" s="292">
        <v>29</v>
      </c>
      <c r="C1496" s="292"/>
      <c r="D1496" s="292"/>
      <c r="F1496" s="283" t="s">
        <v>222</v>
      </c>
      <c r="G1496" s="283"/>
      <c r="J1496" s="293">
        <v>4</v>
      </c>
      <c r="K1496" s="293"/>
      <c r="L1496" s="293"/>
      <c r="M1496" s="293"/>
      <c r="N1496" s="293"/>
      <c r="P1496" s="42">
        <v>2000</v>
      </c>
      <c r="R1496" s="42">
        <v>600</v>
      </c>
      <c r="T1496" s="284">
        <v>1400</v>
      </c>
      <c r="U1496" s="284"/>
    </row>
    <row r="1497" spans="2:21" x14ac:dyDescent="0.25">
      <c r="B1497" s="292">
        <v>30</v>
      </c>
      <c r="C1497" s="292"/>
      <c r="D1497" s="292"/>
      <c r="F1497" s="283" t="s">
        <v>219</v>
      </c>
      <c r="G1497" s="283"/>
      <c r="J1497" s="293">
        <v>4</v>
      </c>
      <c r="K1497" s="293"/>
      <c r="L1497" s="293"/>
      <c r="M1497" s="293"/>
      <c r="N1497" s="293"/>
      <c r="P1497" s="42">
        <v>2000</v>
      </c>
      <c r="R1497" s="42">
        <v>600</v>
      </c>
      <c r="T1497" s="284">
        <v>1400</v>
      </c>
      <c r="U1497" s="284"/>
    </row>
    <row r="1498" spans="2:21" x14ac:dyDescent="0.25">
      <c r="B1498" s="292">
        <v>31</v>
      </c>
      <c r="C1498" s="292"/>
      <c r="D1498" s="292"/>
      <c r="F1498" s="283" t="s">
        <v>212</v>
      </c>
      <c r="G1498" s="283"/>
      <c r="J1498" s="293">
        <v>5</v>
      </c>
      <c r="K1498" s="293"/>
      <c r="L1498" s="293"/>
      <c r="M1498" s="293"/>
      <c r="N1498" s="293"/>
      <c r="P1498" s="42">
        <v>2500</v>
      </c>
      <c r="R1498" s="42">
        <v>750</v>
      </c>
      <c r="T1498" s="284">
        <v>1750</v>
      </c>
      <c r="U1498" s="284"/>
    </row>
    <row r="1499" spans="2:21" x14ac:dyDescent="0.25">
      <c r="B1499" s="292">
        <v>32</v>
      </c>
      <c r="C1499" s="292"/>
      <c r="D1499" s="292"/>
      <c r="F1499" s="283" t="s">
        <v>211</v>
      </c>
      <c r="G1499" s="283"/>
      <c r="J1499" s="293">
        <v>3</v>
      </c>
      <c r="K1499" s="293"/>
      <c r="L1499" s="293"/>
      <c r="M1499" s="293"/>
      <c r="N1499" s="293"/>
      <c r="P1499" s="42">
        <v>1500</v>
      </c>
      <c r="R1499" s="42">
        <v>450</v>
      </c>
      <c r="T1499" s="284">
        <v>1050</v>
      </c>
      <c r="U1499" s="284"/>
    </row>
    <row r="1500" spans="2:21" x14ac:dyDescent="0.25">
      <c r="B1500" s="292">
        <v>33</v>
      </c>
      <c r="C1500" s="292"/>
      <c r="D1500" s="292"/>
      <c r="F1500" s="283" t="s">
        <v>276</v>
      </c>
      <c r="G1500" s="283"/>
      <c r="J1500" s="293">
        <v>1</v>
      </c>
      <c r="K1500" s="293"/>
      <c r="L1500" s="293"/>
      <c r="M1500" s="293"/>
      <c r="N1500" s="293"/>
      <c r="P1500" s="42">
        <v>500</v>
      </c>
      <c r="R1500" s="42">
        <v>150</v>
      </c>
      <c r="T1500" s="284">
        <v>350</v>
      </c>
      <c r="U1500" s="284"/>
    </row>
    <row r="1501" spans="2:21" x14ac:dyDescent="0.25">
      <c r="B1501" s="292">
        <v>34</v>
      </c>
      <c r="C1501" s="292"/>
      <c r="D1501" s="292"/>
      <c r="F1501" s="283" t="s">
        <v>307</v>
      </c>
      <c r="G1501" s="283"/>
      <c r="J1501" s="293">
        <v>1</v>
      </c>
      <c r="K1501" s="293"/>
      <c r="L1501" s="293"/>
      <c r="M1501" s="293"/>
      <c r="N1501" s="293"/>
      <c r="P1501" s="42">
        <v>700</v>
      </c>
      <c r="R1501" s="42">
        <v>350</v>
      </c>
      <c r="T1501" s="284">
        <v>350</v>
      </c>
      <c r="U1501" s="284"/>
    </row>
    <row r="1502" spans="2:21" x14ac:dyDescent="0.25">
      <c r="B1502" s="292">
        <v>35</v>
      </c>
      <c r="C1502" s="292"/>
      <c r="D1502" s="292"/>
      <c r="F1502" s="283" t="s">
        <v>331</v>
      </c>
      <c r="G1502" s="283"/>
      <c r="J1502" s="293">
        <v>2</v>
      </c>
      <c r="K1502" s="293"/>
      <c r="L1502" s="293"/>
      <c r="M1502" s="293"/>
      <c r="N1502" s="293"/>
      <c r="P1502" s="42">
        <v>1000</v>
      </c>
      <c r="R1502" s="42">
        <v>300</v>
      </c>
      <c r="T1502" s="284">
        <v>700</v>
      </c>
      <c r="U1502" s="284"/>
    </row>
    <row r="1503" spans="2:21" x14ac:dyDescent="0.25">
      <c r="B1503" s="292">
        <v>36</v>
      </c>
      <c r="C1503" s="292"/>
      <c r="D1503" s="292"/>
      <c r="F1503" s="283" t="s">
        <v>206</v>
      </c>
      <c r="G1503" s="283"/>
      <c r="J1503" s="293">
        <v>3</v>
      </c>
      <c r="K1503" s="293"/>
      <c r="L1503" s="293"/>
      <c r="M1503" s="293"/>
      <c r="N1503" s="293"/>
      <c r="P1503" s="42">
        <v>1500</v>
      </c>
      <c r="R1503" s="42">
        <v>450</v>
      </c>
      <c r="T1503" s="284">
        <v>1050</v>
      </c>
      <c r="U1503" s="284"/>
    </row>
    <row r="1504" spans="2:21" x14ac:dyDescent="0.25">
      <c r="B1504" s="292">
        <v>37</v>
      </c>
      <c r="C1504" s="292"/>
      <c r="D1504" s="292"/>
      <c r="F1504" s="283" t="s">
        <v>204</v>
      </c>
      <c r="G1504" s="283"/>
      <c r="J1504" s="293">
        <v>1</v>
      </c>
      <c r="K1504" s="293"/>
      <c r="L1504" s="293"/>
      <c r="M1504" s="293"/>
      <c r="N1504" s="293"/>
      <c r="P1504" s="42">
        <v>500</v>
      </c>
      <c r="R1504" s="42">
        <v>150</v>
      </c>
      <c r="T1504" s="284">
        <v>350</v>
      </c>
      <c r="U1504" s="284"/>
    </row>
    <row r="1505" spans="1:21" x14ac:dyDescent="0.25">
      <c r="B1505" s="292">
        <v>38</v>
      </c>
      <c r="C1505" s="292"/>
      <c r="D1505" s="292"/>
      <c r="F1505" s="283" t="s">
        <v>83</v>
      </c>
      <c r="G1505" s="283"/>
      <c r="J1505" s="293">
        <v>2</v>
      </c>
      <c r="K1505" s="293"/>
      <c r="L1505" s="293"/>
      <c r="M1505" s="293"/>
      <c r="N1505" s="293"/>
      <c r="P1505" s="42">
        <v>1000</v>
      </c>
      <c r="R1505" s="42">
        <v>300</v>
      </c>
      <c r="T1505" s="284">
        <v>700</v>
      </c>
      <c r="U1505" s="284"/>
    </row>
    <row r="1506" spans="1:21" x14ac:dyDescent="0.25">
      <c r="B1506" s="292">
        <v>39</v>
      </c>
      <c r="C1506" s="292"/>
      <c r="D1506" s="292"/>
      <c r="F1506" s="283" t="s">
        <v>271</v>
      </c>
      <c r="G1506" s="283"/>
      <c r="J1506" s="293">
        <v>2</v>
      </c>
      <c r="K1506" s="293"/>
      <c r="L1506" s="293"/>
      <c r="M1506" s="293"/>
      <c r="N1506" s="293"/>
      <c r="P1506" s="42">
        <v>1000</v>
      </c>
      <c r="R1506" s="42">
        <v>300</v>
      </c>
      <c r="T1506" s="284">
        <v>700</v>
      </c>
      <c r="U1506" s="284"/>
    </row>
    <row r="1507" spans="1:21" x14ac:dyDescent="0.25">
      <c r="B1507" s="292">
        <v>40</v>
      </c>
      <c r="C1507" s="292"/>
      <c r="D1507" s="292"/>
      <c r="F1507" s="283" t="s">
        <v>363</v>
      </c>
      <c r="G1507" s="283"/>
      <c r="J1507" s="293">
        <v>1</v>
      </c>
      <c r="K1507" s="293"/>
      <c r="L1507" s="293"/>
      <c r="M1507" s="293"/>
      <c r="N1507" s="293"/>
      <c r="P1507" s="42">
        <v>500</v>
      </c>
      <c r="R1507" s="42">
        <v>150</v>
      </c>
      <c r="T1507" s="284">
        <v>350</v>
      </c>
      <c r="U1507" s="284"/>
    </row>
    <row r="1508" spans="1:21" s="40" customFormat="1" x14ac:dyDescent="0.25">
      <c r="A1508" s="290" t="s">
        <v>430</v>
      </c>
      <c r="B1508" s="290"/>
      <c r="C1508" s="290"/>
      <c r="D1508" s="290"/>
      <c r="E1508" s="290"/>
      <c r="F1508" s="290"/>
      <c r="G1508" s="290"/>
      <c r="H1508" s="290"/>
      <c r="I1508" s="290"/>
      <c r="J1508" s="290"/>
      <c r="K1508" s="291">
        <v>3276</v>
      </c>
      <c r="L1508" s="291"/>
      <c r="M1508" s="291"/>
      <c r="N1508" s="291"/>
      <c r="O1508" s="291"/>
      <c r="P1508" s="41">
        <v>3599840</v>
      </c>
      <c r="R1508" s="41">
        <v>3186556</v>
      </c>
      <c r="T1508" s="287">
        <v>413284</v>
      </c>
      <c r="U1508" s="287"/>
    </row>
    <row r="1509" spans="1:21" x14ac:dyDescent="0.25">
      <c r="B1509" s="292">
        <v>1</v>
      </c>
      <c r="C1509" s="292"/>
      <c r="D1509" s="292"/>
      <c r="F1509" s="283" t="s">
        <v>78</v>
      </c>
      <c r="G1509" s="283"/>
      <c r="J1509" s="293">
        <v>139</v>
      </c>
      <c r="K1509" s="293"/>
      <c r="L1509" s="293"/>
      <c r="M1509" s="293"/>
      <c r="N1509" s="293"/>
      <c r="P1509" s="42">
        <v>40310</v>
      </c>
      <c r="R1509" s="42">
        <v>40310</v>
      </c>
      <c r="T1509" s="284">
        <v>0</v>
      </c>
      <c r="U1509" s="284"/>
    </row>
    <row r="1510" spans="1:21" x14ac:dyDescent="0.25">
      <c r="B1510" s="292">
        <v>2</v>
      </c>
      <c r="C1510" s="292"/>
      <c r="D1510" s="292"/>
      <c r="F1510" s="283" t="s">
        <v>199</v>
      </c>
      <c r="G1510" s="283"/>
      <c r="J1510" s="293">
        <v>1</v>
      </c>
      <c r="K1510" s="293"/>
      <c r="L1510" s="293"/>
      <c r="M1510" s="293"/>
      <c r="N1510" s="293"/>
      <c r="P1510" s="42">
        <v>290</v>
      </c>
      <c r="R1510" s="42">
        <v>58</v>
      </c>
      <c r="T1510" s="284">
        <v>232</v>
      </c>
      <c r="U1510" s="284"/>
    </row>
    <row r="1511" spans="1:21" x14ac:dyDescent="0.25">
      <c r="B1511" s="292">
        <v>3</v>
      </c>
      <c r="C1511" s="292"/>
      <c r="D1511" s="292"/>
      <c r="F1511" s="283" t="s">
        <v>165</v>
      </c>
      <c r="G1511" s="283"/>
      <c r="J1511" s="293">
        <v>1</v>
      </c>
      <c r="K1511" s="293"/>
      <c r="L1511" s="293"/>
      <c r="M1511" s="293"/>
      <c r="N1511" s="293"/>
      <c r="P1511" s="42">
        <v>590</v>
      </c>
      <c r="R1511" s="42">
        <v>180</v>
      </c>
      <c r="T1511" s="284">
        <v>410</v>
      </c>
      <c r="U1511" s="284"/>
    </row>
    <row r="1512" spans="1:21" x14ac:dyDescent="0.25">
      <c r="B1512" s="292">
        <v>4</v>
      </c>
      <c r="C1512" s="292"/>
      <c r="D1512" s="292"/>
      <c r="F1512" s="283" t="s">
        <v>162</v>
      </c>
      <c r="G1512" s="283"/>
      <c r="J1512" s="293">
        <v>1</v>
      </c>
      <c r="K1512" s="293"/>
      <c r="L1512" s="293"/>
      <c r="M1512" s="293"/>
      <c r="N1512" s="293"/>
      <c r="P1512" s="42">
        <v>430</v>
      </c>
      <c r="R1512" s="42">
        <v>148</v>
      </c>
      <c r="T1512" s="284">
        <v>282</v>
      </c>
      <c r="U1512" s="284"/>
    </row>
    <row r="1513" spans="1:21" x14ac:dyDescent="0.25">
      <c r="B1513" s="292">
        <v>5</v>
      </c>
      <c r="C1513" s="292"/>
      <c r="D1513" s="292"/>
      <c r="F1513" s="283" t="s">
        <v>266</v>
      </c>
      <c r="G1513" s="283"/>
      <c r="J1513" s="293">
        <v>1</v>
      </c>
      <c r="K1513" s="293"/>
      <c r="L1513" s="293"/>
      <c r="M1513" s="293"/>
      <c r="N1513" s="293"/>
      <c r="P1513" s="42">
        <v>1350</v>
      </c>
      <c r="R1513" s="42">
        <v>400</v>
      </c>
      <c r="T1513" s="284">
        <v>950</v>
      </c>
      <c r="U1513" s="284"/>
    </row>
    <row r="1514" spans="1:21" x14ac:dyDescent="0.25">
      <c r="B1514" s="292">
        <v>6</v>
      </c>
      <c r="C1514" s="292"/>
      <c r="D1514" s="292"/>
      <c r="F1514" s="283" t="s">
        <v>158</v>
      </c>
      <c r="G1514" s="283"/>
      <c r="J1514" s="293">
        <v>499</v>
      </c>
      <c r="K1514" s="293"/>
      <c r="L1514" s="293"/>
      <c r="M1514" s="293"/>
      <c r="N1514" s="293"/>
      <c r="P1514" s="42">
        <v>274450</v>
      </c>
      <c r="R1514" s="42">
        <v>108951</v>
      </c>
      <c r="T1514" s="284">
        <v>165499</v>
      </c>
      <c r="U1514" s="284"/>
    </row>
    <row r="1515" spans="1:21" x14ac:dyDescent="0.25">
      <c r="B1515" s="292">
        <v>7</v>
      </c>
      <c r="C1515" s="292"/>
      <c r="D1515" s="292"/>
      <c r="F1515" s="283" t="s">
        <v>157</v>
      </c>
      <c r="G1515" s="283"/>
      <c r="J1515" s="293">
        <v>52</v>
      </c>
      <c r="K1515" s="293"/>
      <c r="L1515" s="293"/>
      <c r="M1515" s="293"/>
      <c r="N1515" s="293"/>
      <c r="P1515" s="42">
        <v>25480</v>
      </c>
      <c r="R1515" s="42">
        <v>9130</v>
      </c>
      <c r="T1515" s="284">
        <v>16350</v>
      </c>
      <c r="U1515" s="284"/>
    </row>
    <row r="1516" spans="1:21" x14ac:dyDescent="0.25">
      <c r="B1516" s="292">
        <v>8</v>
      </c>
      <c r="C1516" s="292"/>
      <c r="D1516" s="292"/>
      <c r="F1516" s="283" t="s">
        <v>77</v>
      </c>
      <c r="G1516" s="283"/>
      <c r="J1516" s="293">
        <v>661</v>
      </c>
      <c r="K1516" s="293"/>
      <c r="L1516" s="293"/>
      <c r="M1516" s="293"/>
      <c r="N1516" s="293"/>
      <c r="P1516" s="42">
        <v>268000</v>
      </c>
      <c r="R1516" s="42">
        <v>268000</v>
      </c>
      <c r="T1516" s="284">
        <v>0</v>
      </c>
      <c r="U1516" s="284"/>
    </row>
    <row r="1517" spans="1:21" x14ac:dyDescent="0.25">
      <c r="B1517" s="292">
        <v>9</v>
      </c>
      <c r="C1517" s="292"/>
      <c r="D1517" s="292"/>
      <c r="F1517" s="283" t="s">
        <v>76</v>
      </c>
      <c r="G1517" s="283"/>
      <c r="J1517" s="293">
        <v>4</v>
      </c>
      <c r="K1517" s="293"/>
      <c r="L1517" s="293"/>
      <c r="M1517" s="293"/>
      <c r="N1517" s="293"/>
      <c r="P1517" s="42">
        <v>2400</v>
      </c>
      <c r="R1517" s="42">
        <v>2400</v>
      </c>
      <c r="T1517" s="284">
        <v>0</v>
      </c>
      <c r="U1517" s="284"/>
    </row>
    <row r="1518" spans="1:21" x14ac:dyDescent="0.25">
      <c r="B1518" s="292">
        <v>10</v>
      </c>
      <c r="C1518" s="292"/>
      <c r="D1518" s="292"/>
      <c r="F1518" s="283" t="s">
        <v>156</v>
      </c>
      <c r="G1518" s="283"/>
      <c r="J1518" s="293">
        <v>6</v>
      </c>
      <c r="K1518" s="293"/>
      <c r="L1518" s="293"/>
      <c r="M1518" s="293"/>
      <c r="N1518" s="293"/>
      <c r="P1518" s="42">
        <v>1140</v>
      </c>
      <c r="R1518" s="42">
        <v>380</v>
      </c>
      <c r="T1518" s="284">
        <v>760</v>
      </c>
      <c r="U1518" s="284"/>
    </row>
    <row r="1519" spans="1:21" x14ac:dyDescent="0.25">
      <c r="B1519" s="292">
        <v>11</v>
      </c>
      <c r="C1519" s="292"/>
      <c r="D1519" s="292"/>
      <c r="F1519" s="283" t="s">
        <v>155</v>
      </c>
      <c r="G1519" s="283"/>
      <c r="J1519" s="293">
        <v>229</v>
      </c>
      <c r="K1519" s="293"/>
      <c r="L1519" s="293"/>
      <c r="M1519" s="293"/>
      <c r="N1519" s="293"/>
      <c r="P1519" s="42">
        <v>57250</v>
      </c>
      <c r="R1519" s="42">
        <v>28744</v>
      </c>
      <c r="T1519" s="284">
        <v>28506</v>
      </c>
      <c r="U1519" s="284"/>
    </row>
    <row r="1520" spans="1:21" x14ac:dyDescent="0.25">
      <c r="B1520" s="292">
        <v>12</v>
      </c>
      <c r="C1520" s="292"/>
      <c r="D1520" s="292"/>
      <c r="F1520" s="283" t="s">
        <v>154</v>
      </c>
      <c r="G1520" s="283"/>
      <c r="J1520" s="293">
        <v>2</v>
      </c>
      <c r="K1520" s="293"/>
      <c r="L1520" s="293"/>
      <c r="M1520" s="293"/>
      <c r="N1520" s="293"/>
      <c r="P1520" s="42">
        <v>1780</v>
      </c>
      <c r="R1520" s="42">
        <v>260</v>
      </c>
      <c r="T1520" s="284">
        <v>1520</v>
      </c>
      <c r="U1520" s="284"/>
    </row>
    <row r="1521" spans="2:21" x14ac:dyDescent="0.25">
      <c r="B1521" s="292">
        <v>13</v>
      </c>
      <c r="C1521" s="292"/>
      <c r="D1521" s="292"/>
      <c r="F1521" s="283" t="s">
        <v>153</v>
      </c>
      <c r="G1521" s="283"/>
      <c r="J1521" s="293">
        <v>1</v>
      </c>
      <c r="K1521" s="293"/>
      <c r="L1521" s="293"/>
      <c r="M1521" s="293"/>
      <c r="N1521" s="293"/>
      <c r="P1521" s="42">
        <v>1180</v>
      </c>
      <c r="R1521" s="42">
        <v>180</v>
      </c>
      <c r="T1521" s="284">
        <v>1000</v>
      </c>
      <c r="U1521" s="284"/>
    </row>
    <row r="1522" spans="2:21" x14ac:dyDescent="0.25">
      <c r="B1522" s="292">
        <v>14</v>
      </c>
      <c r="C1522" s="292"/>
      <c r="D1522" s="292"/>
      <c r="F1522" s="283" t="s">
        <v>152</v>
      </c>
      <c r="G1522" s="283"/>
      <c r="J1522" s="293">
        <v>1</v>
      </c>
      <c r="K1522" s="293"/>
      <c r="L1522" s="293"/>
      <c r="M1522" s="293"/>
      <c r="N1522" s="293"/>
      <c r="P1522" s="42">
        <v>590</v>
      </c>
      <c r="R1522" s="42">
        <v>180</v>
      </c>
      <c r="T1522" s="284">
        <v>410</v>
      </c>
      <c r="U1522" s="284"/>
    </row>
    <row r="1523" spans="2:21" x14ac:dyDescent="0.25">
      <c r="B1523" s="292">
        <v>15</v>
      </c>
      <c r="C1523" s="292"/>
      <c r="D1523" s="292"/>
      <c r="F1523" s="283" t="s">
        <v>151</v>
      </c>
      <c r="G1523" s="283"/>
      <c r="J1523" s="293">
        <v>8</v>
      </c>
      <c r="K1523" s="293"/>
      <c r="L1523" s="293"/>
      <c r="M1523" s="293"/>
      <c r="N1523" s="293"/>
      <c r="P1523" s="42">
        <v>1840</v>
      </c>
      <c r="R1523" s="42">
        <v>370</v>
      </c>
      <c r="T1523" s="284">
        <v>1470</v>
      </c>
      <c r="U1523" s="284"/>
    </row>
    <row r="1524" spans="2:21" x14ac:dyDescent="0.25">
      <c r="B1524" s="292">
        <v>16</v>
      </c>
      <c r="C1524" s="292"/>
      <c r="D1524" s="292"/>
      <c r="F1524" s="283" t="s">
        <v>150</v>
      </c>
      <c r="G1524" s="283"/>
      <c r="J1524" s="293">
        <v>2</v>
      </c>
      <c r="K1524" s="293"/>
      <c r="L1524" s="293"/>
      <c r="M1524" s="293"/>
      <c r="N1524" s="293"/>
      <c r="P1524" s="42">
        <v>340</v>
      </c>
      <c r="R1524" s="42">
        <v>100</v>
      </c>
      <c r="T1524" s="284">
        <v>240</v>
      </c>
      <c r="U1524" s="284"/>
    </row>
    <row r="1525" spans="2:21" x14ac:dyDescent="0.25">
      <c r="B1525" s="292">
        <v>17</v>
      </c>
      <c r="C1525" s="292"/>
      <c r="D1525" s="292"/>
      <c r="F1525" s="283" t="s">
        <v>75</v>
      </c>
      <c r="G1525" s="283"/>
      <c r="J1525" s="293">
        <v>1021</v>
      </c>
      <c r="K1525" s="293"/>
      <c r="L1525" s="293"/>
      <c r="M1525" s="293"/>
      <c r="N1525" s="293"/>
      <c r="P1525" s="42">
        <v>2552500</v>
      </c>
      <c r="R1525" s="42">
        <v>2552500</v>
      </c>
      <c r="T1525" s="284">
        <v>0</v>
      </c>
      <c r="U1525" s="284"/>
    </row>
    <row r="1526" spans="2:21" x14ac:dyDescent="0.25">
      <c r="B1526" s="292">
        <v>18</v>
      </c>
      <c r="C1526" s="292"/>
      <c r="D1526" s="292"/>
      <c r="F1526" s="283" t="s">
        <v>139</v>
      </c>
      <c r="G1526" s="283"/>
      <c r="J1526" s="293">
        <v>1</v>
      </c>
      <c r="K1526" s="293"/>
      <c r="L1526" s="293"/>
      <c r="M1526" s="293"/>
      <c r="N1526" s="293"/>
      <c r="P1526" s="42">
        <v>270</v>
      </c>
      <c r="R1526" s="42">
        <v>80</v>
      </c>
      <c r="T1526" s="284">
        <v>190</v>
      </c>
      <c r="U1526" s="284"/>
    </row>
    <row r="1527" spans="2:21" x14ac:dyDescent="0.25">
      <c r="B1527" s="292">
        <v>19</v>
      </c>
      <c r="C1527" s="292"/>
      <c r="D1527" s="292"/>
      <c r="F1527" s="283" t="s">
        <v>136</v>
      </c>
      <c r="G1527" s="283"/>
      <c r="J1527" s="293">
        <v>8</v>
      </c>
      <c r="K1527" s="293"/>
      <c r="L1527" s="293"/>
      <c r="M1527" s="293"/>
      <c r="N1527" s="293"/>
      <c r="P1527" s="42">
        <v>6800</v>
      </c>
      <c r="R1527" s="42">
        <v>1560</v>
      </c>
      <c r="T1527" s="284">
        <v>5240</v>
      </c>
      <c r="U1527" s="284"/>
    </row>
    <row r="1528" spans="2:21" x14ac:dyDescent="0.25">
      <c r="B1528" s="292">
        <v>20</v>
      </c>
      <c r="C1528" s="292"/>
      <c r="D1528" s="292"/>
      <c r="F1528" s="283" t="s">
        <v>191</v>
      </c>
      <c r="G1528" s="283"/>
      <c r="J1528" s="293">
        <v>4</v>
      </c>
      <c r="K1528" s="293"/>
      <c r="L1528" s="293"/>
      <c r="M1528" s="293"/>
      <c r="N1528" s="293"/>
      <c r="P1528" s="42">
        <v>1400</v>
      </c>
      <c r="R1528" s="42">
        <v>460</v>
      </c>
      <c r="T1528" s="284">
        <v>940</v>
      </c>
      <c r="U1528" s="284"/>
    </row>
    <row r="1529" spans="2:21" x14ac:dyDescent="0.25">
      <c r="B1529" s="292">
        <v>21</v>
      </c>
      <c r="C1529" s="292"/>
      <c r="D1529" s="292"/>
      <c r="F1529" s="283" t="s">
        <v>132</v>
      </c>
      <c r="G1529" s="283"/>
      <c r="J1529" s="293">
        <v>1</v>
      </c>
      <c r="K1529" s="293"/>
      <c r="L1529" s="293"/>
      <c r="M1529" s="293"/>
      <c r="N1529" s="293"/>
      <c r="P1529" s="42">
        <v>1240</v>
      </c>
      <c r="R1529" s="42">
        <v>370</v>
      </c>
      <c r="T1529" s="284">
        <v>870</v>
      </c>
      <c r="U1529" s="284"/>
    </row>
    <row r="1530" spans="2:21" x14ac:dyDescent="0.25">
      <c r="B1530" s="292">
        <v>22</v>
      </c>
      <c r="C1530" s="292"/>
      <c r="D1530" s="292"/>
      <c r="F1530" s="285" t="s">
        <v>186</v>
      </c>
      <c r="G1530" s="285"/>
      <c r="J1530" s="293">
        <v>1</v>
      </c>
      <c r="K1530" s="293"/>
      <c r="L1530" s="293"/>
      <c r="M1530" s="293"/>
      <c r="N1530" s="293"/>
      <c r="P1530" s="42">
        <v>60</v>
      </c>
      <c r="R1530" s="42">
        <v>0</v>
      </c>
      <c r="T1530" s="284">
        <v>60</v>
      </c>
      <c r="U1530" s="284"/>
    </row>
    <row r="1531" spans="2:21" x14ac:dyDescent="0.25">
      <c r="F1531" s="285"/>
      <c r="G1531" s="285"/>
    </row>
    <row r="1532" spans="2:21" x14ac:dyDescent="0.25">
      <c r="B1532" s="292">
        <v>23</v>
      </c>
      <c r="C1532" s="292"/>
      <c r="D1532" s="292"/>
      <c r="F1532" s="283" t="s">
        <v>127</v>
      </c>
      <c r="G1532" s="283"/>
      <c r="J1532" s="293">
        <v>6</v>
      </c>
      <c r="K1532" s="293"/>
      <c r="L1532" s="293"/>
      <c r="M1532" s="293"/>
      <c r="N1532" s="293"/>
      <c r="P1532" s="42">
        <v>1800</v>
      </c>
      <c r="R1532" s="42">
        <v>553</v>
      </c>
      <c r="T1532" s="284">
        <v>1247</v>
      </c>
      <c r="U1532" s="284"/>
    </row>
    <row r="1533" spans="2:21" x14ac:dyDescent="0.25">
      <c r="B1533" s="292">
        <v>24</v>
      </c>
      <c r="C1533" s="292"/>
      <c r="D1533" s="292"/>
      <c r="F1533" s="283" t="s">
        <v>126</v>
      </c>
      <c r="G1533" s="283"/>
      <c r="J1533" s="293">
        <v>24</v>
      </c>
      <c r="K1533" s="293"/>
      <c r="L1533" s="293"/>
      <c r="M1533" s="293"/>
      <c r="N1533" s="293"/>
      <c r="P1533" s="42">
        <v>4800</v>
      </c>
      <c r="R1533" s="42">
        <v>1449</v>
      </c>
      <c r="T1533" s="284">
        <v>3351</v>
      </c>
      <c r="U1533" s="284"/>
    </row>
    <row r="1534" spans="2:21" x14ac:dyDescent="0.25">
      <c r="B1534" s="292">
        <v>25</v>
      </c>
      <c r="C1534" s="292"/>
      <c r="D1534" s="292"/>
      <c r="F1534" s="283" t="s">
        <v>125</v>
      </c>
      <c r="G1534" s="283"/>
      <c r="J1534" s="293">
        <v>1</v>
      </c>
      <c r="K1534" s="293"/>
      <c r="L1534" s="293"/>
      <c r="M1534" s="293"/>
      <c r="N1534" s="293"/>
      <c r="P1534" s="42">
        <v>400</v>
      </c>
      <c r="R1534" s="42">
        <v>120</v>
      </c>
      <c r="T1534" s="284">
        <v>280</v>
      </c>
      <c r="U1534" s="284"/>
    </row>
    <row r="1535" spans="2:21" x14ac:dyDescent="0.25">
      <c r="B1535" s="292">
        <v>26</v>
      </c>
      <c r="C1535" s="292"/>
      <c r="D1535" s="292"/>
      <c r="F1535" s="283" t="s">
        <v>123</v>
      </c>
      <c r="G1535" s="283"/>
      <c r="J1535" s="293">
        <v>1</v>
      </c>
      <c r="K1535" s="293"/>
      <c r="L1535" s="293"/>
      <c r="M1535" s="293"/>
      <c r="N1535" s="293"/>
      <c r="P1535" s="42">
        <v>780</v>
      </c>
      <c r="R1535" s="42">
        <v>230</v>
      </c>
      <c r="T1535" s="284">
        <v>550</v>
      </c>
      <c r="U1535" s="284"/>
    </row>
    <row r="1536" spans="2:21" x14ac:dyDescent="0.25">
      <c r="B1536" s="292">
        <v>27</v>
      </c>
      <c r="C1536" s="292"/>
      <c r="D1536" s="292"/>
      <c r="F1536" s="283" t="s">
        <v>120</v>
      </c>
      <c r="G1536" s="283"/>
      <c r="J1536" s="293">
        <v>4</v>
      </c>
      <c r="K1536" s="293"/>
      <c r="L1536" s="293"/>
      <c r="M1536" s="293"/>
      <c r="N1536" s="293"/>
      <c r="P1536" s="42">
        <v>1400</v>
      </c>
      <c r="R1536" s="42">
        <v>320</v>
      </c>
      <c r="T1536" s="284">
        <v>1080</v>
      </c>
      <c r="U1536" s="284"/>
    </row>
    <row r="1537" spans="2:21" x14ac:dyDescent="0.25">
      <c r="B1537" s="292">
        <v>28</v>
      </c>
      <c r="C1537" s="292"/>
      <c r="D1537" s="292"/>
      <c r="F1537" s="283" t="s">
        <v>119</v>
      </c>
      <c r="G1537" s="283"/>
      <c r="J1537" s="293">
        <v>7</v>
      </c>
      <c r="K1537" s="293"/>
      <c r="L1537" s="293"/>
      <c r="M1537" s="293"/>
      <c r="N1537" s="293"/>
      <c r="P1537" s="42">
        <v>6230</v>
      </c>
      <c r="R1537" s="42">
        <v>1888</v>
      </c>
      <c r="T1537" s="284">
        <v>4342</v>
      </c>
      <c r="U1537" s="284"/>
    </row>
    <row r="1538" spans="2:21" x14ac:dyDescent="0.25">
      <c r="B1538" s="292">
        <v>29</v>
      </c>
      <c r="C1538" s="292"/>
      <c r="D1538" s="292"/>
      <c r="F1538" s="283" t="s">
        <v>118</v>
      </c>
      <c r="G1538" s="283"/>
      <c r="J1538" s="293">
        <v>250</v>
      </c>
      <c r="K1538" s="293"/>
      <c r="L1538" s="293"/>
      <c r="M1538" s="293"/>
      <c r="N1538" s="293"/>
      <c r="P1538" s="42">
        <v>247500</v>
      </c>
      <c r="R1538" s="42">
        <v>120898</v>
      </c>
      <c r="T1538" s="284">
        <v>126602</v>
      </c>
      <c r="U1538" s="284"/>
    </row>
    <row r="1539" spans="2:21" x14ac:dyDescent="0.25">
      <c r="B1539" s="292">
        <v>30</v>
      </c>
      <c r="C1539" s="292"/>
      <c r="D1539" s="292"/>
      <c r="F1539" s="283" t="s">
        <v>117</v>
      </c>
      <c r="G1539" s="283"/>
      <c r="J1539" s="293">
        <v>1</v>
      </c>
      <c r="K1539" s="293"/>
      <c r="L1539" s="293"/>
      <c r="M1539" s="293"/>
      <c r="N1539" s="293"/>
      <c r="P1539" s="42">
        <v>900</v>
      </c>
      <c r="R1539" s="42">
        <v>270</v>
      </c>
      <c r="T1539" s="284">
        <v>630</v>
      </c>
      <c r="U1539" s="284"/>
    </row>
    <row r="1540" spans="2:21" x14ac:dyDescent="0.25">
      <c r="B1540" s="292">
        <v>31</v>
      </c>
      <c r="C1540" s="292"/>
      <c r="D1540" s="292"/>
      <c r="F1540" s="283" t="s">
        <v>115</v>
      </c>
      <c r="G1540" s="283"/>
      <c r="J1540" s="293">
        <v>2</v>
      </c>
      <c r="K1540" s="293"/>
      <c r="L1540" s="293"/>
      <c r="M1540" s="293"/>
      <c r="N1540" s="293"/>
      <c r="P1540" s="42">
        <v>580</v>
      </c>
      <c r="R1540" s="42">
        <v>190</v>
      </c>
      <c r="T1540" s="284">
        <v>390</v>
      </c>
      <c r="U1540" s="284"/>
    </row>
    <row r="1541" spans="2:21" x14ac:dyDescent="0.25">
      <c r="B1541" s="292">
        <v>32</v>
      </c>
      <c r="C1541" s="292"/>
      <c r="D1541" s="292"/>
      <c r="F1541" s="283" t="s">
        <v>225</v>
      </c>
      <c r="G1541" s="283"/>
      <c r="J1541" s="293">
        <v>2</v>
      </c>
      <c r="K1541" s="293"/>
      <c r="L1541" s="293"/>
      <c r="M1541" s="293"/>
      <c r="N1541" s="293"/>
      <c r="P1541" s="42">
        <v>10000</v>
      </c>
      <c r="R1541" s="42">
        <v>9900</v>
      </c>
      <c r="T1541" s="284">
        <v>100</v>
      </c>
      <c r="U1541" s="284"/>
    </row>
    <row r="1542" spans="2:21" x14ac:dyDescent="0.25">
      <c r="B1542" s="292">
        <v>33</v>
      </c>
      <c r="C1542" s="292"/>
      <c r="D1542" s="292"/>
      <c r="F1542" s="283" t="s">
        <v>171</v>
      </c>
      <c r="G1542" s="283"/>
      <c r="J1542" s="293">
        <v>1</v>
      </c>
      <c r="K1542" s="293"/>
      <c r="L1542" s="293"/>
      <c r="M1542" s="293"/>
      <c r="N1542" s="293"/>
      <c r="P1542" s="42">
        <v>530</v>
      </c>
      <c r="R1542" s="42">
        <v>106</v>
      </c>
      <c r="T1542" s="284">
        <v>424</v>
      </c>
      <c r="U1542" s="284"/>
    </row>
    <row r="1543" spans="2:21" x14ac:dyDescent="0.25">
      <c r="B1543" s="292">
        <v>34</v>
      </c>
      <c r="C1543" s="292"/>
      <c r="D1543" s="292"/>
      <c r="F1543" s="283" t="s">
        <v>109</v>
      </c>
      <c r="G1543" s="283"/>
      <c r="J1543" s="293">
        <v>2</v>
      </c>
      <c r="K1543" s="293"/>
      <c r="L1543" s="293"/>
      <c r="M1543" s="293"/>
      <c r="N1543" s="293"/>
      <c r="P1543" s="42">
        <v>1560</v>
      </c>
      <c r="R1543" s="42">
        <v>460</v>
      </c>
      <c r="T1543" s="284">
        <v>1100</v>
      </c>
      <c r="U1543" s="284"/>
    </row>
    <row r="1544" spans="2:21" x14ac:dyDescent="0.25">
      <c r="B1544" s="292">
        <v>35</v>
      </c>
      <c r="C1544" s="292"/>
      <c r="D1544" s="292"/>
      <c r="F1544" s="283" t="s">
        <v>108</v>
      </c>
      <c r="G1544" s="283"/>
      <c r="J1544" s="293">
        <v>42</v>
      </c>
      <c r="K1544" s="293"/>
      <c r="L1544" s="293"/>
      <c r="M1544" s="293"/>
      <c r="N1544" s="293"/>
      <c r="P1544" s="42">
        <v>4200</v>
      </c>
      <c r="R1544" s="42">
        <v>960</v>
      </c>
      <c r="T1544" s="284">
        <v>3240</v>
      </c>
      <c r="U1544" s="284"/>
    </row>
    <row r="1545" spans="2:21" x14ac:dyDescent="0.25">
      <c r="B1545" s="292">
        <v>36</v>
      </c>
      <c r="C1545" s="292"/>
      <c r="D1545" s="292"/>
      <c r="F1545" s="283" t="s">
        <v>107</v>
      </c>
      <c r="G1545" s="283"/>
      <c r="J1545" s="293">
        <v>16</v>
      </c>
      <c r="K1545" s="293"/>
      <c r="L1545" s="293"/>
      <c r="M1545" s="293"/>
      <c r="N1545" s="293"/>
      <c r="P1545" s="42">
        <v>2720</v>
      </c>
      <c r="R1545" s="42">
        <v>809</v>
      </c>
      <c r="T1545" s="284">
        <v>1911</v>
      </c>
      <c r="U1545" s="284"/>
    </row>
    <row r="1546" spans="2:21" x14ac:dyDescent="0.25">
      <c r="B1546" s="292">
        <v>37</v>
      </c>
      <c r="C1546" s="292"/>
      <c r="D1546" s="292"/>
      <c r="F1546" s="283" t="s">
        <v>106</v>
      </c>
      <c r="G1546" s="283"/>
      <c r="J1546" s="293">
        <v>3</v>
      </c>
      <c r="K1546" s="293"/>
      <c r="L1546" s="293"/>
      <c r="M1546" s="293"/>
      <c r="N1546" s="293"/>
      <c r="P1546" s="42">
        <v>300</v>
      </c>
      <c r="R1546" s="42">
        <v>90</v>
      </c>
      <c r="T1546" s="284">
        <v>210</v>
      </c>
      <c r="U1546" s="284"/>
    </row>
    <row r="1547" spans="2:21" x14ac:dyDescent="0.25">
      <c r="B1547" s="292">
        <v>38</v>
      </c>
      <c r="C1547" s="292"/>
      <c r="D1547" s="292"/>
      <c r="F1547" s="283" t="s">
        <v>103</v>
      </c>
      <c r="G1547" s="283"/>
      <c r="J1547" s="293">
        <v>1</v>
      </c>
      <c r="K1547" s="293"/>
      <c r="L1547" s="293"/>
      <c r="M1547" s="293"/>
      <c r="N1547" s="293"/>
      <c r="P1547" s="42">
        <v>330</v>
      </c>
      <c r="R1547" s="42">
        <v>66</v>
      </c>
      <c r="T1547" s="284">
        <v>264</v>
      </c>
      <c r="U1547" s="284"/>
    </row>
    <row r="1548" spans="2:21" x14ac:dyDescent="0.25">
      <c r="B1548" s="292">
        <v>39</v>
      </c>
      <c r="C1548" s="292"/>
      <c r="D1548" s="292"/>
      <c r="F1548" s="283" t="s">
        <v>99</v>
      </c>
      <c r="G1548" s="283"/>
      <c r="J1548" s="293">
        <v>1</v>
      </c>
      <c r="K1548" s="293"/>
      <c r="L1548" s="293"/>
      <c r="M1548" s="293"/>
      <c r="N1548" s="293"/>
      <c r="P1548" s="42">
        <v>590</v>
      </c>
      <c r="R1548" s="42">
        <v>90</v>
      </c>
      <c r="T1548" s="284">
        <v>500</v>
      </c>
      <c r="U1548" s="284"/>
    </row>
    <row r="1549" spans="2:21" x14ac:dyDescent="0.25">
      <c r="B1549" s="292">
        <v>40</v>
      </c>
      <c r="C1549" s="292"/>
      <c r="D1549" s="292"/>
      <c r="F1549" s="283" t="s">
        <v>98</v>
      </c>
      <c r="G1549" s="283"/>
      <c r="J1549" s="293">
        <v>1</v>
      </c>
      <c r="K1549" s="293"/>
      <c r="L1549" s="293"/>
      <c r="M1549" s="293"/>
      <c r="N1549" s="293"/>
      <c r="P1549" s="42">
        <v>570</v>
      </c>
      <c r="R1549" s="42">
        <v>80</v>
      </c>
      <c r="T1549" s="284">
        <v>490</v>
      </c>
      <c r="U1549" s="284"/>
    </row>
    <row r="1550" spans="2:21" x14ac:dyDescent="0.25">
      <c r="B1550" s="292">
        <v>41</v>
      </c>
      <c r="C1550" s="292"/>
      <c r="D1550" s="292"/>
      <c r="F1550" s="283" t="s">
        <v>97</v>
      </c>
      <c r="G1550" s="283"/>
      <c r="J1550" s="293">
        <v>2</v>
      </c>
      <c r="K1550" s="293"/>
      <c r="L1550" s="293"/>
      <c r="M1550" s="293"/>
      <c r="N1550" s="293"/>
      <c r="P1550" s="42">
        <v>3180</v>
      </c>
      <c r="R1550" s="42">
        <v>480</v>
      </c>
      <c r="T1550" s="284">
        <v>2700</v>
      </c>
      <c r="U1550" s="284"/>
    </row>
    <row r="1551" spans="2:21" x14ac:dyDescent="0.25">
      <c r="B1551" s="292">
        <v>42</v>
      </c>
      <c r="C1551" s="292"/>
      <c r="D1551" s="292"/>
      <c r="F1551" s="283" t="s">
        <v>93</v>
      </c>
      <c r="G1551" s="283"/>
      <c r="J1551" s="293">
        <v>1</v>
      </c>
      <c r="K1551" s="293"/>
      <c r="L1551" s="293"/>
      <c r="M1551" s="293"/>
      <c r="N1551" s="293"/>
      <c r="P1551" s="42">
        <v>590</v>
      </c>
      <c r="R1551" s="42">
        <v>90</v>
      </c>
      <c r="T1551" s="284">
        <v>500</v>
      </c>
      <c r="U1551" s="284"/>
    </row>
    <row r="1552" spans="2:21" x14ac:dyDescent="0.25">
      <c r="B1552" s="292">
        <v>43</v>
      </c>
      <c r="C1552" s="292"/>
      <c r="D1552" s="292"/>
      <c r="F1552" s="283" t="s">
        <v>92</v>
      </c>
      <c r="G1552" s="283"/>
      <c r="J1552" s="293">
        <v>12</v>
      </c>
      <c r="K1552" s="293"/>
      <c r="L1552" s="293"/>
      <c r="M1552" s="293"/>
      <c r="N1552" s="293"/>
      <c r="P1552" s="42">
        <v>7520</v>
      </c>
      <c r="R1552" s="42">
        <v>2240</v>
      </c>
      <c r="T1552" s="284">
        <v>5280</v>
      </c>
      <c r="U1552" s="284"/>
    </row>
    <row r="1553" spans="1:21" x14ac:dyDescent="0.25">
      <c r="B1553" s="292">
        <v>44</v>
      </c>
      <c r="C1553" s="292"/>
      <c r="D1553" s="292"/>
      <c r="F1553" s="283" t="s">
        <v>91</v>
      </c>
      <c r="G1553" s="283"/>
      <c r="J1553" s="293">
        <v>229</v>
      </c>
      <c r="K1553" s="293"/>
      <c r="L1553" s="293"/>
      <c r="M1553" s="293"/>
      <c r="N1553" s="293"/>
      <c r="P1553" s="42">
        <v>57250</v>
      </c>
      <c r="R1553" s="42">
        <v>28684</v>
      </c>
      <c r="T1553" s="284">
        <v>28566</v>
      </c>
      <c r="U1553" s="284"/>
    </row>
    <row r="1554" spans="1:21" x14ac:dyDescent="0.25">
      <c r="B1554" s="292">
        <v>45</v>
      </c>
      <c r="C1554" s="292"/>
      <c r="D1554" s="292"/>
      <c r="F1554" s="283" t="s">
        <v>90</v>
      </c>
      <c r="G1554" s="283"/>
      <c r="J1554" s="293">
        <v>17</v>
      </c>
      <c r="K1554" s="293"/>
      <c r="L1554" s="293"/>
      <c r="M1554" s="293"/>
      <c r="N1554" s="293"/>
      <c r="P1554" s="42">
        <v>4930</v>
      </c>
      <c r="R1554" s="42">
        <v>1360</v>
      </c>
      <c r="T1554" s="284">
        <v>3570</v>
      </c>
      <c r="U1554" s="284"/>
    </row>
    <row r="1555" spans="1:21" x14ac:dyDescent="0.25">
      <c r="B1555" s="292">
        <v>46</v>
      </c>
      <c r="C1555" s="292"/>
      <c r="D1555" s="292"/>
      <c r="F1555" s="283" t="s">
        <v>88</v>
      </c>
      <c r="G1555" s="283"/>
      <c r="J1555" s="293">
        <v>5</v>
      </c>
      <c r="K1555" s="293"/>
      <c r="L1555" s="293"/>
      <c r="M1555" s="293"/>
      <c r="N1555" s="293"/>
      <c r="P1555" s="42">
        <v>900</v>
      </c>
      <c r="R1555" s="42">
        <v>282</v>
      </c>
      <c r="T1555" s="284">
        <v>618</v>
      </c>
      <c r="U1555" s="284"/>
    </row>
    <row r="1556" spans="1:21" x14ac:dyDescent="0.25">
      <c r="B1556" s="292">
        <v>47</v>
      </c>
      <c r="C1556" s="292"/>
      <c r="D1556" s="292"/>
      <c r="F1556" s="283" t="s">
        <v>84</v>
      </c>
      <c r="G1556" s="283"/>
      <c r="J1556" s="293">
        <v>1</v>
      </c>
      <c r="K1556" s="293"/>
      <c r="L1556" s="293"/>
      <c r="M1556" s="293"/>
      <c r="N1556" s="293"/>
      <c r="P1556" s="42">
        <v>590</v>
      </c>
      <c r="R1556" s="42">
        <v>180</v>
      </c>
      <c r="T1556" s="284">
        <v>410</v>
      </c>
      <c r="U1556" s="284"/>
    </row>
    <row r="1557" spans="1:21" s="40" customFormat="1" x14ac:dyDescent="0.25">
      <c r="A1557" s="290" t="s">
        <v>429</v>
      </c>
      <c r="B1557" s="290"/>
      <c r="C1557" s="290"/>
      <c r="D1557" s="290"/>
      <c r="E1557" s="290"/>
      <c r="F1557" s="290"/>
      <c r="G1557" s="290"/>
      <c r="H1557" s="290"/>
      <c r="I1557" s="290"/>
      <c r="J1557" s="290"/>
      <c r="K1557" s="291">
        <v>6982</v>
      </c>
      <c r="L1557" s="291"/>
      <c r="M1557" s="291"/>
      <c r="N1557" s="291"/>
      <c r="O1557" s="291"/>
      <c r="P1557" s="41">
        <v>5564790</v>
      </c>
      <c r="R1557" s="41">
        <v>4469034</v>
      </c>
      <c r="T1557" s="287">
        <v>1095756</v>
      </c>
      <c r="U1557" s="287"/>
    </row>
    <row r="1558" spans="1:21" x14ac:dyDescent="0.25">
      <c r="B1558" s="292">
        <v>1</v>
      </c>
      <c r="C1558" s="292"/>
      <c r="D1558" s="292"/>
      <c r="F1558" s="283" t="s">
        <v>200</v>
      </c>
      <c r="G1558" s="283"/>
      <c r="J1558" s="293">
        <v>2</v>
      </c>
      <c r="K1558" s="293"/>
      <c r="L1558" s="293"/>
      <c r="M1558" s="293"/>
      <c r="N1558" s="293"/>
      <c r="P1558" s="42">
        <v>1000</v>
      </c>
      <c r="R1558" s="42">
        <v>300</v>
      </c>
      <c r="T1558" s="284">
        <v>700</v>
      </c>
      <c r="U1558" s="284"/>
    </row>
    <row r="1559" spans="1:21" x14ac:dyDescent="0.25">
      <c r="B1559" s="292">
        <v>2</v>
      </c>
      <c r="C1559" s="292"/>
      <c r="D1559" s="292"/>
      <c r="F1559" s="283" t="s">
        <v>311</v>
      </c>
      <c r="G1559" s="283"/>
      <c r="J1559" s="293">
        <v>1</v>
      </c>
      <c r="K1559" s="293"/>
      <c r="L1559" s="293"/>
      <c r="M1559" s="293"/>
      <c r="N1559" s="293"/>
      <c r="P1559" s="42">
        <v>690</v>
      </c>
      <c r="R1559" s="42">
        <v>210</v>
      </c>
      <c r="T1559" s="284">
        <v>480</v>
      </c>
      <c r="U1559" s="284"/>
    </row>
    <row r="1560" spans="1:21" x14ac:dyDescent="0.25">
      <c r="B1560" s="292">
        <v>3</v>
      </c>
      <c r="C1560" s="292"/>
      <c r="D1560" s="292"/>
      <c r="F1560" s="283" t="s">
        <v>169</v>
      </c>
      <c r="G1560" s="283"/>
      <c r="J1560" s="293">
        <v>1</v>
      </c>
      <c r="K1560" s="293"/>
      <c r="L1560" s="293"/>
      <c r="M1560" s="293"/>
      <c r="N1560" s="293"/>
      <c r="P1560" s="42">
        <v>1030</v>
      </c>
      <c r="R1560" s="42">
        <v>150</v>
      </c>
      <c r="T1560" s="284">
        <v>880</v>
      </c>
      <c r="U1560" s="284"/>
    </row>
    <row r="1561" spans="1:21" x14ac:dyDescent="0.25">
      <c r="B1561" s="292">
        <v>4</v>
      </c>
      <c r="C1561" s="292"/>
      <c r="D1561" s="292"/>
      <c r="F1561" s="283" t="s">
        <v>78</v>
      </c>
      <c r="G1561" s="283"/>
      <c r="J1561" s="293">
        <v>371</v>
      </c>
      <c r="K1561" s="293"/>
      <c r="L1561" s="293"/>
      <c r="M1561" s="293"/>
      <c r="N1561" s="293"/>
      <c r="P1561" s="42">
        <v>107590</v>
      </c>
      <c r="R1561" s="42">
        <v>107590</v>
      </c>
      <c r="T1561" s="284">
        <v>0</v>
      </c>
      <c r="U1561" s="284"/>
    </row>
    <row r="1562" spans="1:21" x14ac:dyDescent="0.25">
      <c r="B1562" s="292">
        <v>5</v>
      </c>
      <c r="C1562" s="292"/>
      <c r="D1562" s="292"/>
      <c r="F1562" s="283" t="s">
        <v>199</v>
      </c>
      <c r="G1562" s="283"/>
      <c r="J1562" s="293">
        <v>1</v>
      </c>
      <c r="K1562" s="293"/>
      <c r="L1562" s="293"/>
      <c r="M1562" s="293"/>
      <c r="N1562" s="293"/>
      <c r="P1562" s="42">
        <v>290</v>
      </c>
      <c r="R1562" s="42">
        <v>80</v>
      </c>
      <c r="T1562" s="284">
        <v>210</v>
      </c>
      <c r="U1562" s="284"/>
    </row>
    <row r="1563" spans="1:21" x14ac:dyDescent="0.25">
      <c r="B1563" s="292">
        <v>6</v>
      </c>
      <c r="C1563" s="292"/>
      <c r="D1563" s="292"/>
      <c r="F1563" s="283" t="s">
        <v>167</v>
      </c>
      <c r="G1563" s="283"/>
      <c r="J1563" s="293">
        <v>2</v>
      </c>
      <c r="K1563" s="293"/>
      <c r="L1563" s="293"/>
      <c r="M1563" s="293"/>
      <c r="N1563" s="293"/>
      <c r="P1563" s="42">
        <v>1140</v>
      </c>
      <c r="R1563" s="42">
        <v>340</v>
      </c>
      <c r="T1563" s="284">
        <v>800</v>
      </c>
      <c r="U1563" s="284"/>
    </row>
    <row r="1564" spans="1:21" x14ac:dyDescent="0.25">
      <c r="B1564" s="292">
        <v>7</v>
      </c>
      <c r="C1564" s="292"/>
      <c r="D1564" s="292"/>
      <c r="F1564" s="283" t="s">
        <v>249</v>
      </c>
      <c r="G1564" s="283"/>
      <c r="J1564" s="293">
        <v>5</v>
      </c>
      <c r="K1564" s="293"/>
      <c r="L1564" s="293"/>
      <c r="M1564" s="293"/>
      <c r="N1564" s="293"/>
      <c r="P1564" s="42">
        <v>6500</v>
      </c>
      <c r="R1564" s="42">
        <v>1000</v>
      </c>
      <c r="T1564" s="284">
        <v>5500</v>
      </c>
      <c r="U1564" s="284"/>
    </row>
    <row r="1565" spans="1:21" x14ac:dyDescent="0.25">
      <c r="B1565" s="292">
        <v>8</v>
      </c>
      <c r="C1565" s="292"/>
      <c r="D1565" s="292"/>
      <c r="F1565" s="283" t="s">
        <v>294</v>
      </c>
      <c r="G1565" s="283"/>
      <c r="J1565" s="293">
        <v>1</v>
      </c>
      <c r="K1565" s="293"/>
      <c r="L1565" s="293"/>
      <c r="M1565" s="293"/>
      <c r="N1565" s="293"/>
      <c r="P1565" s="42">
        <v>900</v>
      </c>
      <c r="R1565" s="42">
        <v>270</v>
      </c>
      <c r="T1565" s="284">
        <v>630</v>
      </c>
      <c r="U1565" s="284"/>
    </row>
    <row r="1566" spans="1:21" x14ac:dyDescent="0.25">
      <c r="B1566" s="292">
        <v>9</v>
      </c>
      <c r="C1566" s="292"/>
      <c r="D1566" s="292"/>
      <c r="F1566" s="283" t="s">
        <v>345</v>
      </c>
      <c r="G1566" s="283"/>
      <c r="J1566" s="293">
        <v>1</v>
      </c>
      <c r="K1566" s="293"/>
      <c r="L1566" s="293"/>
      <c r="M1566" s="293"/>
      <c r="N1566" s="293"/>
      <c r="P1566" s="42">
        <v>1880</v>
      </c>
      <c r="R1566" s="42">
        <v>280</v>
      </c>
      <c r="T1566" s="284">
        <v>1600</v>
      </c>
      <c r="U1566" s="284"/>
    </row>
    <row r="1567" spans="1:21" x14ac:dyDescent="0.25">
      <c r="B1567" s="292">
        <v>10</v>
      </c>
      <c r="C1567" s="292"/>
      <c r="D1567" s="292"/>
      <c r="F1567" s="283" t="s">
        <v>165</v>
      </c>
      <c r="G1567" s="283"/>
      <c r="J1567" s="293">
        <v>4</v>
      </c>
      <c r="K1567" s="293"/>
      <c r="L1567" s="293"/>
      <c r="M1567" s="293"/>
      <c r="N1567" s="293"/>
      <c r="P1567" s="42">
        <v>2360</v>
      </c>
      <c r="R1567" s="42">
        <v>720</v>
      </c>
      <c r="T1567" s="284">
        <v>1640</v>
      </c>
      <c r="U1567" s="284"/>
    </row>
    <row r="1568" spans="1:21" x14ac:dyDescent="0.25">
      <c r="B1568" s="292">
        <v>11</v>
      </c>
      <c r="C1568" s="292"/>
      <c r="D1568" s="292"/>
      <c r="F1568" s="283" t="s">
        <v>164</v>
      </c>
      <c r="G1568" s="283"/>
      <c r="J1568" s="293">
        <v>1</v>
      </c>
      <c r="K1568" s="293"/>
      <c r="L1568" s="293"/>
      <c r="M1568" s="293"/>
      <c r="N1568" s="293"/>
      <c r="P1568" s="42">
        <v>590</v>
      </c>
      <c r="R1568" s="42">
        <v>180</v>
      </c>
      <c r="T1568" s="284">
        <v>410</v>
      </c>
      <c r="U1568" s="284"/>
    </row>
    <row r="1569" spans="2:21" x14ac:dyDescent="0.25">
      <c r="B1569" s="292">
        <v>12</v>
      </c>
      <c r="C1569" s="292"/>
      <c r="D1569" s="292"/>
      <c r="F1569" s="283" t="s">
        <v>162</v>
      </c>
      <c r="G1569" s="283"/>
      <c r="J1569" s="293">
        <v>10</v>
      </c>
      <c r="K1569" s="293"/>
      <c r="L1569" s="293"/>
      <c r="M1569" s="293"/>
      <c r="N1569" s="293"/>
      <c r="P1569" s="42">
        <v>4300</v>
      </c>
      <c r="R1569" s="42">
        <v>2101</v>
      </c>
      <c r="T1569" s="284">
        <v>2199</v>
      </c>
      <c r="U1569" s="284"/>
    </row>
    <row r="1570" spans="2:21" x14ac:dyDescent="0.25">
      <c r="B1570" s="292">
        <v>13</v>
      </c>
      <c r="C1570" s="292"/>
      <c r="D1570" s="292"/>
      <c r="F1570" s="283" t="s">
        <v>160</v>
      </c>
      <c r="G1570" s="283"/>
      <c r="J1570" s="293">
        <v>2</v>
      </c>
      <c r="K1570" s="293"/>
      <c r="L1570" s="293"/>
      <c r="M1570" s="293"/>
      <c r="N1570" s="293"/>
      <c r="P1570" s="42">
        <v>580</v>
      </c>
      <c r="R1570" s="42">
        <v>160</v>
      </c>
      <c r="T1570" s="284">
        <v>420</v>
      </c>
      <c r="U1570" s="284"/>
    </row>
    <row r="1571" spans="2:21" x14ac:dyDescent="0.25">
      <c r="B1571" s="292">
        <v>14</v>
      </c>
      <c r="C1571" s="292"/>
      <c r="D1571" s="292"/>
      <c r="F1571" s="283" t="s">
        <v>158</v>
      </c>
      <c r="G1571" s="283"/>
      <c r="J1571" s="293">
        <v>1144</v>
      </c>
      <c r="K1571" s="293"/>
      <c r="L1571" s="293"/>
      <c r="M1571" s="293"/>
      <c r="N1571" s="293"/>
      <c r="P1571" s="42">
        <v>629200</v>
      </c>
      <c r="R1571" s="42">
        <v>253201</v>
      </c>
      <c r="T1571" s="284">
        <v>375999</v>
      </c>
      <c r="U1571" s="284"/>
    </row>
    <row r="1572" spans="2:21" x14ac:dyDescent="0.25">
      <c r="B1572" s="292">
        <v>15</v>
      </c>
      <c r="C1572" s="292"/>
      <c r="D1572" s="292"/>
      <c r="F1572" s="283" t="s">
        <v>157</v>
      </c>
      <c r="G1572" s="283"/>
      <c r="J1572" s="293">
        <v>17</v>
      </c>
      <c r="K1572" s="293"/>
      <c r="L1572" s="293"/>
      <c r="M1572" s="293"/>
      <c r="N1572" s="293"/>
      <c r="P1572" s="42">
        <v>8330</v>
      </c>
      <c r="R1572" s="42">
        <v>3519</v>
      </c>
      <c r="T1572" s="284">
        <v>4811</v>
      </c>
      <c r="U1572" s="284"/>
    </row>
    <row r="1573" spans="2:21" x14ac:dyDescent="0.25">
      <c r="B1573" s="292">
        <v>16</v>
      </c>
      <c r="C1573" s="292"/>
      <c r="D1573" s="292"/>
      <c r="F1573" s="283" t="s">
        <v>196</v>
      </c>
      <c r="G1573" s="283"/>
      <c r="J1573" s="293">
        <v>1</v>
      </c>
      <c r="K1573" s="293"/>
      <c r="L1573" s="293"/>
      <c r="M1573" s="293"/>
      <c r="N1573" s="293"/>
      <c r="P1573" s="42">
        <v>700</v>
      </c>
      <c r="R1573" s="42">
        <v>350</v>
      </c>
      <c r="T1573" s="284">
        <v>350</v>
      </c>
      <c r="U1573" s="284"/>
    </row>
    <row r="1574" spans="2:21" x14ac:dyDescent="0.25">
      <c r="B1574" s="292">
        <v>17</v>
      </c>
      <c r="C1574" s="292"/>
      <c r="D1574" s="292"/>
      <c r="F1574" s="283" t="s">
        <v>309</v>
      </c>
      <c r="G1574" s="283"/>
      <c r="J1574" s="293">
        <v>3</v>
      </c>
      <c r="K1574" s="293"/>
      <c r="L1574" s="293"/>
      <c r="M1574" s="293"/>
      <c r="N1574" s="293"/>
      <c r="P1574" s="42">
        <v>1500</v>
      </c>
      <c r="R1574" s="42">
        <v>450</v>
      </c>
      <c r="T1574" s="284">
        <v>1050</v>
      </c>
      <c r="U1574" s="284"/>
    </row>
    <row r="1575" spans="2:21" x14ac:dyDescent="0.25">
      <c r="B1575" s="292">
        <v>18</v>
      </c>
      <c r="C1575" s="292"/>
      <c r="D1575" s="292"/>
      <c r="F1575" s="283" t="s">
        <v>328</v>
      </c>
      <c r="G1575" s="283"/>
      <c r="J1575" s="293">
        <v>1</v>
      </c>
      <c r="K1575" s="293"/>
      <c r="L1575" s="293"/>
      <c r="M1575" s="293"/>
      <c r="N1575" s="293"/>
      <c r="P1575" s="42">
        <v>700</v>
      </c>
      <c r="R1575" s="42">
        <v>350</v>
      </c>
      <c r="T1575" s="284">
        <v>350</v>
      </c>
      <c r="U1575" s="284"/>
    </row>
    <row r="1576" spans="2:21" x14ac:dyDescent="0.25">
      <c r="B1576" s="292">
        <v>19</v>
      </c>
      <c r="C1576" s="292"/>
      <c r="D1576" s="292"/>
      <c r="F1576" s="283" t="s">
        <v>244</v>
      </c>
      <c r="G1576" s="283"/>
      <c r="J1576" s="293">
        <v>1</v>
      </c>
      <c r="K1576" s="293"/>
      <c r="L1576" s="293"/>
      <c r="M1576" s="293"/>
      <c r="N1576" s="293"/>
      <c r="P1576" s="42">
        <v>300</v>
      </c>
      <c r="R1576" s="42">
        <v>80</v>
      </c>
      <c r="T1576" s="284">
        <v>220</v>
      </c>
      <c r="U1576" s="284"/>
    </row>
    <row r="1577" spans="2:21" x14ac:dyDescent="0.25">
      <c r="B1577" s="292">
        <v>20</v>
      </c>
      <c r="C1577" s="292"/>
      <c r="D1577" s="292"/>
      <c r="F1577" s="283" t="s">
        <v>77</v>
      </c>
      <c r="G1577" s="283"/>
      <c r="J1577" s="293">
        <v>1879</v>
      </c>
      <c r="K1577" s="293"/>
      <c r="L1577" s="293"/>
      <c r="M1577" s="293"/>
      <c r="N1577" s="293"/>
      <c r="P1577" s="42">
        <v>762900</v>
      </c>
      <c r="R1577" s="42">
        <v>762900</v>
      </c>
      <c r="T1577" s="284">
        <v>0</v>
      </c>
      <c r="U1577" s="284"/>
    </row>
    <row r="1578" spans="2:21" x14ac:dyDescent="0.25">
      <c r="B1578" s="292">
        <v>21</v>
      </c>
      <c r="C1578" s="292"/>
      <c r="D1578" s="292"/>
      <c r="F1578" s="283" t="s">
        <v>156</v>
      </c>
      <c r="G1578" s="283"/>
      <c r="J1578" s="293">
        <v>10</v>
      </c>
      <c r="K1578" s="293"/>
      <c r="L1578" s="293"/>
      <c r="M1578" s="293"/>
      <c r="N1578" s="293"/>
      <c r="P1578" s="42">
        <v>1900</v>
      </c>
      <c r="R1578" s="42">
        <v>720</v>
      </c>
      <c r="T1578" s="284">
        <v>1180</v>
      </c>
      <c r="U1578" s="284"/>
    </row>
    <row r="1579" spans="2:21" x14ac:dyDescent="0.25">
      <c r="B1579" s="292">
        <v>22</v>
      </c>
      <c r="C1579" s="292"/>
      <c r="D1579" s="292"/>
      <c r="F1579" s="283" t="s">
        <v>155</v>
      </c>
      <c r="G1579" s="283"/>
      <c r="J1579" s="293">
        <v>554</v>
      </c>
      <c r="K1579" s="293"/>
      <c r="L1579" s="293"/>
      <c r="M1579" s="293"/>
      <c r="N1579" s="293"/>
      <c r="P1579" s="42">
        <v>138500</v>
      </c>
      <c r="R1579" s="42">
        <v>69743</v>
      </c>
      <c r="T1579" s="284">
        <v>68757</v>
      </c>
      <c r="U1579" s="284"/>
    </row>
    <row r="1580" spans="2:21" x14ac:dyDescent="0.25">
      <c r="B1580" s="292">
        <v>23</v>
      </c>
      <c r="C1580" s="292"/>
      <c r="D1580" s="292"/>
      <c r="F1580" s="283" t="s">
        <v>154</v>
      </c>
      <c r="G1580" s="283"/>
      <c r="J1580" s="293">
        <v>1</v>
      </c>
      <c r="K1580" s="293"/>
      <c r="L1580" s="293"/>
      <c r="M1580" s="293"/>
      <c r="N1580" s="293"/>
      <c r="P1580" s="42">
        <v>890</v>
      </c>
      <c r="R1580" s="42">
        <v>130</v>
      </c>
      <c r="T1580" s="284">
        <v>760</v>
      </c>
      <c r="U1580" s="284"/>
    </row>
    <row r="1581" spans="2:21" x14ac:dyDescent="0.25">
      <c r="B1581" s="292">
        <v>24</v>
      </c>
      <c r="C1581" s="292"/>
      <c r="D1581" s="292"/>
      <c r="F1581" s="283" t="s">
        <v>289</v>
      </c>
      <c r="G1581" s="283"/>
      <c r="J1581" s="293">
        <v>1</v>
      </c>
      <c r="K1581" s="293"/>
      <c r="L1581" s="293"/>
      <c r="M1581" s="293"/>
      <c r="N1581" s="293"/>
      <c r="P1581" s="42">
        <v>500</v>
      </c>
      <c r="R1581" s="42">
        <v>150</v>
      </c>
      <c r="T1581" s="284">
        <v>350</v>
      </c>
      <c r="U1581" s="284"/>
    </row>
    <row r="1582" spans="2:21" x14ac:dyDescent="0.25">
      <c r="B1582" s="292">
        <v>25</v>
      </c>
      <c r="C1582" s="292"/>
      <c r="D1582" s="292"/>
      <c r="F1582" s="283" t="s">
        <v>320</v>
      </c>
      <c r="G1582" s="283"/>
      <c r="J1582" s="293">
        <v>1</v>
      </c>
      <c r="K1582" s="293"/>
      <c r="L1582" s="293"/>
      <c r="M1582" s="293"/>
      <c r="N1582" s="293"/>
      <c r="P1582" s="42">
        <v>500</v>
      </c>
      <c r="R1582" s="42">
        <v>150</v>
      </c>
      <c r="T1582" s="284">
        <v>350</v>
      </c>
      <c r="U1582" s="284"/>
    </row>
    <row r="1583" spans="2:21" x14ac:dyDescent="0.25">
      <c r="B1583" s="292">
        <v>26</v>
      </c>
      <c r="C1583" s="292"/>
      <c r="D1583" s="292"/>
      <c r="F1583" s="283" t="s">
        <v>152</v>
      </c>
      <c r="G1583" s="283"/>
      <c r="J1583" s="293">
        <v>11</v>
      </c>
      <c r="K1583" s="293"/>
      <c r="L1583" s="293"/>
      <c r="M1583" s="293"/>
      <c r="N1583" s="293"/>
      <c r="P1583" s="42">
        <v>6490</v>
      </c>
      <c r="R1583" s="42">
        <v>2160</v>
      </c>
      <c r="T1583" s="284">
        <v>4330</v>
      </c>
      <c r="U1583" s="284"/>
    </row>
    <row r="1584" spans="2:21" x14ac:dyDescent="0.25">
      <c r="B1584" s="292">
        <v>27</v>
      </c>
      <c r="C1584" s="292"/>
      <c r="D1584" s="292"/>
      <c r="F1584" s="283" t="s">
        <v>151</v>
      </c>
      <c r="G1584" s="283"/>
      <c r="J1584" s="293">
        <v>2</v>
      </c>
      <c r="K1584" s="293"/>
      <c r="L1584" s="293"/>
      <c r="M1584" s="293"/>
      <c r="N1584" s="293"/>
      <c r="P1584" s="42">
        <v>460</v>
      </c>
      <c r="R1584" s="42">
        <v>140</v>
      </c>
      <c r="T1584" s="284">
        <v>320</v>
      </c>
      <c r="U1584" s="284"/>
    </row>
    <row r="1585" spans="2:21" x14ac:dyDescent="0.25">
      <c r="B1585" s="292">
        <v>28</v>
      </c>
      <c r="C1585" s="292"/>
      <c r="D1585" s="292"/>
      <c r="F1585" s="283" t="s">
        <v>150</v>
      </c>
      <c r="G1585" s="283"/>
      <c r="J1585" s="293">
        <v>5</v>
      </c>
      <c r="K1585" s="293"/>
      <c r="L1585" s="293"/>
      <c r="M1585" s="293"/>
      <c r="N1585" s="293"/>
      <c r="P1585" s="42">
        <v>850</v>
      </c>
      <c r="R1585" s="42">
        <v>260</v>
      </c>
      <c r="T1585" s="284">
        <v>590</v>
      </c>
      <c r="U1585" s="284"/>
    </row>
    <row r="1586" spans="2:21" x14ac:dyDescent="0.25">
      <c r="B1586" s="292">
        <v>29</v>
      </c>
      <c r="C1586" s="292"/>
      <c r="D1586" s="292"/>
      <c r="F1586" s="283" t="s">
        <v>415</v>
      </c>
      <c r="G1586" s="283"/>
      <c r="J1586" s="293">
        <v>1</v>
      </c>
      <c r="K1586" s="293"/>
      <c r="L1586" s="293"/>
      <c r="M1586" s="293"/>
      <c r="N1586" s="293"/>
      <c r="P1586" s="42">
        <v>800</v>
      </c>
      <c r="R1586" s="42">
        <v>200</v>
      </c>
      <c r="T1586" s="284">
        <v>600</v>
      </c>
      <c r="U1586" s="284"/>
    </row>
    <row r="1587" spans="2:21" x14ac:dyDescent="0.25">
      <c r="B1587" s="292">
        <v>30</v>
      </c>
      <c r="C1587" s="292"/>
      <c r="D1587" s="292"/>
      <c r="F1587" s="283" t="s">
        <v>288</v>
      </c>
      <c r="G1587" s="283"/>
      <c r="J1587" s="293">
        <v>1</v>
      </c>
      <c r="K1587" s="293"/>
      <c r="L1587" s="293"/>
      <c r="M1587" s="293"/>
      <c r="N1587" s="293"/>
      <c r="P1587" s="42">
        <v>900</v>
      </c>
      <c r="R1587" s="42">
        <v>270</v>
      </c>
      <c r="T1587" s="284">
        <v>630</v>
      </c>
      <c r="U1587" s="284"/>
    </row>
    <row r="1588" spans="2:21" x14ac:dyDescent="0.25">
      <c r="B1588" s="292">
        <v>31</v>
      </c>
      <c r="C1588" s="292"/>
      <c r="D1588" s="292"/>
      <c r="F1588" s="283" t="s">
        <v>234</v>
      </c>
      <c r="G1588" s="283"/>
      <c r="J1588" s="293">
        <v>4</v>
      </c>
      <c r="K1588" s="293"/>
      <c r="L1588" s="293"/>
      <c r="M1588" s="293"/>
      <c r="N1588" s="293"/>
      <c r="P1588" s="42">
        <v>3200</v>
      </c>
      <c r="R1588" s="42">
        <v>1800</v>
      </c>
      <c r="T1588" s="284">
        <v>1400</v>
      </c>
      <c r="U1588" s="284"/>
    </row>
    <row r="1589" spans="2:21" x14ac:dyDescent="0.25">
      <c r="B1589" s="292">
        <v>32</v>
      </c>
      <c r="C1589" s="292"/>
      <c r="D1589" s="292"/>
      <c r="F1589" s="283" t="s">
        <v>287</v>
      </c>
      <c r="G1589" s="283"/>
      <c r="J1589" s="293">
        <v>1</v>
      </c>
      <c r="K1589" s="293"/>
      <c r="L1589" s="293"/>
      <c r="M1589" s="293"/>
      <c r="N1589" s="293"/>
      <c r="P1589" s="42">
        <v>800</v>
      </c>
      <c r="R1589" s="42">
        <v>450</v>
      </c>
      <c r="T1589" s="284">
        <v>350</v>
      </c>
      <c r="U1589" s="284"/>
    </row>
    <row r="1590" spans="2:21" x14ac:dyDescent="0.25">
      <c r="B1590" s="292">
        <v>33</v>
      </c>
      <c r="C1590" s="292"/>
      <c r="D1590" s="292"/>
      <c r="F1590" s="283" t="s">
        <v>286</v>
      </c>
      <c r="G1590" s="283"/>
      <c r="J1590" s="293">
        <v>1</v>
      </c>
      <c r="K1590" s="293"/>
      <c r="L1590" s="293"/>
      <c r="M1590" s="293"/>
      <c r="N1590" s="293"/>
      <c r="P1590" s="42">
        <v>800</v>
      </c>
      <c r="R1590" s="42">
        <v>450</v>
      </c>
      <c r="T1590" s="284">
        <v>350</v>
      </c>
      <c r="U1590" s="284"/>
    </row>
    <row r="1591" spans="2:21" x14ac:dyDescent="0.25">
      <c r="B1591" s="292">
        <v>34</v>
      </c>
      <c r="C1591" s="292"/>
      <c r="D1591" s="292"/>
      <c r="F1591" s="283" t="s">
        <v>233</v>
      </c>
      <c r="G1591" s="283"/>
      <c r="J1591" s="293">
        <v>5</v>
      </c>
      <c r="K1591" s="293"/>
      <c r="L1591" s="293"/>
      <c r="M1591" s="293"/>
      <c r="N1591" s="293"/>
      <c r="P1591" s="42">
        <v>4900</v>
      </c>
      <c r="R1591" s="42">
        <v>750</v>
      </c>
      <c r="T1591" s="284">
        <v>4150</v>
      </c>
      <c r="U1591" s="284"/>
    </row>
    <row r="1592" spans="2:21" x14ac:dyDescent="0.25">
      <c r="B1592" s="292">
        <v>35</v>
      </c>
      <c r="C1592" s="292"/>
      <c r="D1592" s="292"/>
      <c r="F1592" s="283" t="s">
        <v>232</v>
      </c>
      <c r="G1592" s="283"/>
      <c r="J1592" s="293">
        <v>5</v>
      </c>
      <c r="K1592" s="293"/>
      <c r="L1592" s="293"/>
      <c r="M1592" s="293"/>
      <c r="N1592" s="293"/>
      <c r="P1592" s="42">
        <v>4900</v>
      </c>
      <c r="R1592" s="42">
        <v>750</v>
      </c>
      <c r="T1592" s="284">
        <v>4150</v>
      </c>
      <c r="U1592" s="284"/>
    </row>
    <row r="1593" spans="2:21" x14ac:dyDescent="0.25">
      <c r="B1593" s="292">
        <v>36</v>
      </c>
      <c r="C1593" s="292"/>
      <c r="D1593" s="292"/>
      <c r="F1593" s="283" t="s">
        <v>142</v>
      </c>
      <c r="G1593" s="283"/>
      <c r="J1593" s="293">
        <v>6</v>
      </c>
      <c r="K1593" s="293"/>
      <c r="L1593" s="293"/>
      <c r="M1593" s="293"/>
      <c r="N1593" s="293"/>
      <c r="P1593" s="42">
        <v>2100</v>
      </c>
      <c r="R1593" s="42">
        <v>900</v>
      </c>
      <c r="T1593" s="284">
        <v>1200</v>
      </c>
      <c r="U1593" s="284"/>
    </row>
    <row r="1594" spans="2:21" x14ac:dyDescent="0.25">
      <c r="B1594" s="292">
        <v>37</v>
      </c>
      <c r="C1594" s="292"/>
      <c r="D1594" s="292"/>
      <c r="F1594" s="283" t="s">
        <v>75</v>
      </c>
      <c r="G1594" s="283"/>
      <c r="J1594" s="293">
        <v>1119</v>
      </c>
      <c r="K1594" s="293"/>
      <c r="L1594" s="293"/>
      <c r="M1594" s="293"/>
      <c r="N1594" s="293"/>
      <c r="P1594" s="42">
        <v>2797500</v>
      </c>
      <c r="R1594" s="42">
        <v>2797500</v>
      </c>
      <c r="T1594" s="284">
        <v>0</v>
      </c>
      <c r="U1594" s="284"/>
    </row>
    <row r="1595" spans="2:21" x14ac:dyDescent="0.25">
      <c r="B1595" s="292">
        <v>38</v>
      </c>
      <c r="C1595" s="292"/>
      <c r="D1595" s="292"/>
      <c r="F1595" s="283" t="s">
        <v>302</v>
      </c>
      <c r="G1595" s="283"/>
      <c r="J1595" s="293">
        <v>1</v>
      </c>
      <c r="K1595" s="293"/>
      <c r="L1595" s="293"/>
      <c r="M1595" s="293"/>
      <c r="N1595" s="293"/>
      <c r="P1595" s="42">
        <v>800</v>
      </c>
      <c r="R1595" s="42">
        <v>450</v>
      </c>
      <c r="T1595" s="284">
        <v>350</v>
      </c>
      <c r="U1595" s="284"/>
    </row>
    <row r="1596" spans="2:21" x14ac:dyDescent="0.25">
      <c r="B1596" s="292">
        <v>39</v>
      </c>
      <c r="C1596" s="292"/>
      <c r="D1596" s="292"/>
      <c r="F1596" s="283" t="s">
        <v>192</v>
      </c>
      <c r="G1596" s="283"/>
      <c r="J1596" s="293">
        <v>2</v>
      </c>
      <c r="K1596" s="293"/>
      <c r="L1596" s="293"/>
      <c r="M1596" s="293"/>
      <c r="N1596" s="293"/>
      <c r="P1596" s="42">
        <v>3100</v>
      </c>
      <c r="R1596" s="42">
        <v>0</v>
      </c>
      <c r="T1596" s="284">
        <v>3100</v>
      </c>
      <c r="U1596" s="284"/>
    </row>
    <row r="1597" spans="2:21" x14ac:dyDescent="0.25">
      <c r="B1597" s="292">
        <v>40</v>
      </c>
      <c r="C1597" s="292"/>
      <c r="D1597" s="292"/>
      <c r="F1597" s="283" t="s">
        <v>136</v>
      </c>
      <c r="G1597" s="283"/>
      <c r="J1597" s="293">
        <v>47</v>
      </c>
      <c r="K1597" s="293"/>
      <c r="L1597" s="293"/>
      <c r="M1597" s="293"/>
      <c r="N1597" s="293"/>
      <c r="P1597" s="42">
        <v>39950</v>
      </c>
      <c r="R1597" s="42">
        <v>9918</v>
      </c>
      <c r="T1597" s="284">
        <v>30032</v>
      </c>
      <c r="U1597" s="284"/>
    </row>
    <row r="1598" spans="2:21" x14ac:dyDescent="0.25">
      <c r="B1598" s="292">
        <v>41</v>
      </c>
      <c r="C1598" s="292"/>
      <c r="D1598" s="292"/>
      <c r="F1598" s="283" t="s">
        <v>74</v>
      </c>
      <c r="G1598" s="283"/>
      <c r="J1598" s="293">
        <v>11</v>
      </c>
      <c r="K1598" s="293"/>
      <c r="L1598" s="293"/>
      <c r="M1598" s="293"/>
      <c r="N1598" s="293"/>
      <c r="P1598" s="42">
        <v>9350</v>
      </c>
      <c r="R1598" s="42">
        <v>9350</v>
      </c>
      <c r="T1598" s="284">
        <v>0</v>
      </c>
      <c r="U1598" s="284"/>
    </row>
    <row r="1599" spans="2:21" x14ac:dyDescent="0.25">
      <c r="B1599" s="292">
        <v>42</v>
      </c>
      <c r="C1599" s="292"/>
      <c r="D1599" s="292"/>
      <c r="F1599" s="283" t="s">
        <v>190</v>
      </c>
      <c r="G1599" s="283"/>
      <c r="J1599" s="293">
        <v>18</v>
      </c>
      <c r="K1599" s="293"/>
      <c r="L1599" s="293"/>
      <c r="M1599" s="293"/>
      <c r="N1599" s="293"/>
      <c r="P1599" s="42">
        <v>28260</v>
      </c>
      <c r="R1599" s="42">
        <v>4320</v>
      </c>
      <c r="T1599" s="284">
        <v>23940</v>
      </c>
      <c r="U1599" s="284"/>
    </row>
    <row r="1600" spans="2:21" x14ac:dyDescent="0.25">
      <c r="B1600" s="292">
        <v>43</v>
      </c>
      <c r="C1600" s="292"/>
      <c r="D1600" s="292"/>
      <c r="F1600" s="283" t="s">
        <v>264</v>
      </c>
      <c r="G1600" s="283"/>
      <c r="J1600" s="293">
        <v>2</v>
      </c>
      <c r="K1600" s="293"/>
      <c r="L1600" s="293"/>
      <c r="M1600" s="293"/>
      <c r="N1600" s="293"/>
      <c r="P1600" s="42">
        <v>2580</v>
      </c>
      <c r="R1600" s="42">
        <v>0</v>
      </c>
      <c r="T1600" s="284">
        <v>2580</v>
      </c>
      <c r="U1600" s="284"/>
    </row>
    <row r="1601" spans="2:21" x14ac:dyDescent="0.25">
      <c r="B1601" s="292">
        <v>44</v>
      </c>
      <c r="C1601" s="292"/>
      <c r="D1601" s="292"/>
      <c r="F1601" s="283" t="s">
        <v>135</v>
      </c>
      <c r="G1601" s="283"/>
      <c r="J1601" s="293">
        <v>24</v>
      </c>
      <c r="K1601" s="293"/>
      <c r="L1601" s="293"/>
      <c r="M1601" s="293"/>
      <c r="N1601" s="293"/>
      <c r="P1601" s="42">
        <v>22800</v>
      </c>
      <c r="R1601" s="42">
        <v>6720</v>
      </c>
      <c r="T1601" s="284">
        <v>16080</v>
      </c>
      <c r="U1601" s="284"/>
    </row>
    <row r="1602" spans="2:21" x14ac:dyDescent="0.25">
      <c r="B1602" s="292">
        <v>45</v>
      </c>
      <c r="C1602" s="292"/>
      <c r="D1602" s="292"/>
      <c r="F1602" s="283" t="s">
        <v>132</v>
      </c>
      <c r="G1602" s="283"/>
      <c r="J1602" s="293">
        <v>27</v>
      </c>
      <c r="K1602" s="293"/>
      <c r="L1602" s="293"/>
      <c r="M1602" s="293"/>
      <c r="N1602" s="293"/>
      <c r="P1602" s="42">
        <v>33480</v>
      </c>
      <c r="R1602" s="42">
        <v>9990</v>
      </c>
      <c r="T1602" s="284">
        <v>23490</v>
      </c>
      <c r="U1602" s="284"/>
    </row>
    <row r="1603" spans="2:21" x14ac:dyDescent="0.25">
      <c r="B1603" s="292">
        <v>46</v>
      </c>
      <c r="C1603" s="292"/>
      <c r="D1603" s="292"/>
      <c r="F1603" s="285" t="s">
        <v>188</v>
      </c>
      <c r="G1603" s="285"/>
      <c r="J1603" s="293">
        <v>1</v>
      </c>
      <c r="K1603" s="293"/>
      <c r="L1603" s="293"/>
      <c r="M1603" s="293"/>
      <c r="N1603" s="293"/>
      <c r="P1603" s="42">
        <v>8000</v>
      </c>
      <c r="R1603" s="42">
        <v>4000</v>
      </c>
      <c r="T1603" s="284">
        <v>4000</v>
      </c>
      <c r="U1603" s="284"/>
    </row>
    <row r="1604" spans="2:21" x14ac:dyDescent="0.25">
      <c r="F1604" s="285"/>
      <c r="G1604" s="285"/>
    </row>
    <row r="1605" spans="2:21" x14ac:dyDescent="0.25">
      <c r="B1605" s="292">
        <v>47</v>
      </c>
      <c r="C1605" s="292"/>
      <c r="D1605" s="292"/>
      <c r="F1605" s="283" t="s">
        <v>185</v>
      </c>
      <c r="G1605" s="283"/>
      <c r="J1605" s="293">
        <v>1</v>
      </c>
      <c r="K1605" s="293"/>
      <c r="L1605" s="293"/>
      <c r="M1605" s="293"/>
      <c r="N1605" s="293"/>
      <c r="P1605" s="42">
        <v>800</v>
      </c>
      <c r="R1605" s="42">
        <v>450</v>
      </c>
      <c r="T1605" s="284">
        <v>350</v>
      </c>
      <c r="U1605" s="284"/>
    </row>
    <row r="1606" spans="2:21" x14ac:dyDescent="0.25">
      <c r="B1606" s="292">
        <v>48</v>
      </c>
      <c r="C1606" s="292"/>
      <c r="D1606" s="292"/>
      <c r="F1606" s="283" t="s">
        <v>283</v>
      </c>
      <c r="G1606" s="283"/>
      <c r="J1606" s="293">
        <v>1</v>
      </c>
      <c r="K1606" s="293"/>
      <c r="L1606" s="293"/>
      <c r="M1606" s="293"/>
      <c r="N1606" s="293"/>
      <c r="P1606" s="42">
        <v>800</v>
      </c>
      <c r="R1606" s="42">
        <v>450</v>
      </c>
      <c r="T1606" s="284">
        <v>350</v>
      </c>
      <c r="U1606" s="284"/>
    </row>
    <row r="1607" spans="2:21" x14ac:dyDescent="0.25">
      <c r="B1607" s="292">
        <v>49</v>
      </c>
      <c r="C1607" s="292"/>
      <c r="D1607" s="292"/>
      <c r="F1607" s="283" t="s">
        <v>128</v>
      </c>
      <c r="G1607" s="283"/>
      <c r="J1607" s="293">
        <v>2</v>
      </c>
      <c r="K1607" s="293"/>
      <c r="L1607" s="293"/>
      <c r="M1607" s="293"/>
      <c r="N1607" s="293"/>
      <c r="P1607" s="42">
        <v>2300</v>
      </c>
      <c r="R1607" s="42">
        <v>340</v>
      </c>
      <c r="T1607" s="284">
        <v>1960</v>
      </c>
      <c r="U1607" s="284"/>
    </row>
    <row r="1608" spans="2:21" x14ac:dyDescent="0.25">
      <c r="B1608" s="292">
        <v>50</v>
      </c>
      <c r="C1608" s="292"/>
      <c r="D1608" s="292"/>
      <c r="F1608" s="283" t="s">
        <v>366</v>
      </c>
      <c r="G1608" s="283"/>
      <c r="J1608" s="293">
        <v>1</v>
      </c>
      <c r="K1608" s="293"/>
      <c r="L1608" s="293"/>
      <c r="M1608" s="293"/>
      <c r="N1608" s="293"/>
      <c r="P1608" s="42">
        <v>800</v>
      </c>
      <c r="R1608" s="42">
        <v>450</v>
      </c>
      <c r="T1608" s="284">
        <v>350</v>
      </c>
      <c r="U1608" s="284"/>
    </row>
    <row r="1609" spans="2:21" x14ac:dyDescent="0.25">
      <c r="B1609" s="292">
        <v>51</v>
      </c>
      <c r="C1609" s="292"/>
      <c r="D1609" s="292"/>
      <c r="F1609" s="283" t="s">
        <v>127</v>
      </c>
      <c r="G1609" s="283"/>
      <c r="J1609" s="293">
        <v>13</v>
      </c>
      <c r="K1609" s="293"/>
      <c r="L1609" s="293"/>
      <c r="M1609" s="293"/>
      <c r="N1609" s="293"/>
      <c r="P1609" s="42">
        <v>3900</v>
      </c>
      <c r="R1609" s="42">
        <v>1293</v>
      </c>
      <c r="T1609" s="284">
        <v>2607</v>
      </c>
      <c r="U1609" s="284"/>
    </row>
    <row r="1610" spans="2:21" x14ac:dyDescent="0.25">
      <c r="B1610" s="292">
        <v>52</v>
      </c>
      <c r="C1610" s="292"/>
      <c r="D1610" s="292"/>
      <c r="F1610" s="283" t="s">
        <v>126</v>
      </c>
      <c r="G1610" s="283"/>
      <c r="J1610" s="293">
        <v>27</v>
      </c>
      <c r="K1610" s="293"/>
      <c r="L1610" s="293"/>
      <c r="M1610" s="293"/>
      <c r="N1610" s="293"/>
      <c r="P1610" s="42">
        <v>5400</v>
      </c>
      <c r="R1610" s="42">
        <v>1641</v>
      </c>
      <c r="T1610" s="284">
        <v>3759</v>
      </c>
      <c r="U1610" s="284"/>
    </row>
    <row r="1611" spans="2:21" x14ac:dyDescent="0.25">
      <c r="B1611" s="292">
        <v>53</v>
      </c>
      <c r="C1611" s="292"/>
      <c r="D1611" s="292"/>
      <c r="F1611" s="283" t="s">
        <v>123</v>
      </c>
      <c r="G1611" s="283"/>
      <c r="J1611" s="293">
        <v>1</v>
      </c>
      <c r="K1611" s="293"/>
      <c r="L1611" s="293"/>
      <c r="M1611" s="293"/>
      <c r="N1611" s="293"/>
      <c r="P1611" s="42">
        <v>780</v>
      </c>
      <c r="R1611" s="42">
        <v>230</v>
      </c>
      <c r="T1611" s="284">
        <v>550</v>
      </c>
      <c r="U1611" s="284"/>
    </row>
    <row r="1612" spans="2:21" x14ac:dyDescent="0.25">
      <c r="B1612" s="292">
        <v>54</v>
      </c>
      <c r="C1612" s="292"/>
      <c r="D1612" s="292"/>
      <c r="F1612" s="283" t="s">
        <v>183</v>
      </c>
      <c r="G1612" s="283"/>
      <c r="J1612" s="293">
        <v>1</v>
      </c>
      <c r="K1612" s="293"/>
      <c r="L1612" s="293"/>
      <c r="M1612" s="293"/>
      <c r="N1612" s="293"/>
      <c r="P1612" s="42">
        <v>440</v>
      </c>
      <c r="R1612" s="42">
        <v>130</v>
      </c>
      <c r="T1612" s="284">
        <v>310</v>
      </c>
      <c r="U1612" s="284"/>
    </row>
    <row r="1613" spans="2:21" x14ac:dyDescent="0.25">
      <c r="B1613" s="292">
        <v>55</v>
      </c>
      <c r="C1613" s="292"/>
      <c r="D1613" s="292"/>
      <c r="F1613" s="283" t="s">
        <v>122</v>
      </c>
      <c r="G1613" s="283"/>
      <c r="J1613" s="293">
        <v>5</v>
      </c>
      <c r="K1613" s="293"/>
      <c r="L1613" s="293"/>
      <c r="M1613" s="293"/>
      <c r="N1613" s="293"/>
      <c r="P1613" s="42">
        <v>2500</v>
      </c>
      <c r="R1613" s="42">
        <v>750</v>
      </c>
      <c r="T1613" s="284">
        <v>1750</v>
      </c>
      <c r="U1613" s="284"/>
    </row>
    <row r="1614" spans="2:21" x14ac:dyDescent="0.25">
      <c r="B1614" s="292">
        <v>56</v>
      </c>
      <c r="C1614" s="292"/>
      <c r="D1614" s="292"/>
      <c r="F1614" s="283" t="s">
        <v>121</v>
      </c>
      <c r="G1614" s="283"/>
      <c r="J1614" s="293">
        <v>2</v>
      </c>
      <c r="K1614" s="293"/>
      <c r="L1614" s="293"/>
      <c r="M1614" s="293"/>
      <c r="N1614" s="293"/>
      <c r="P1614" s="42">
        <v>1000</v>
      </c>
      <c r="R1614" s="42">
        <v>300</v>
      </c>
      <c r="T1614" s="284">
        <v>700</v>
      </c>
      <c r="U1614" s="284"/>
    </row>
    <row r="1615" spans="2:21" x14ac:dyDescent="0.25">
      <c r="B1615" s="292">
        <v>57</v>
      </c>
      <c r="C1615" s="292"/>
      <c r="D1615" s="292"/>
      <c r="F1615" s="283" t="s">
        <v>282</v>
      </c>
      <c r="G1615" s="283"/>
      <c r="J1615" s="293">
        <v>1</v>
      </c>
      <c r="K1615" s="293"/>
      <c r="L1615" s="293"/>
      <c r="M1615" s="293"/>
      <c r="N1615" s="293"/>
      <c r="P1615" s="42">
        <v>500</v>
      </c>
      <c r="R1615" s="42">
        <v>150</v>
      </c>
      <c r="T1615" s="284">
        <v>350</v>
      </c>
      <c r="U1615" s="284"/>
    </row>
    <row r="1616" spans="2:21" x14ac:dyDescent="0.25">
      <c r="B1616" s="292">
        <v>58</v>
      </c>
      <c r="C1616" s="292"/>
      <c r="D1616" s="292"/>
      <c r="F1616" s="283" t="s">
        <v>119</v>
      </c>
      <c r="G1616" s="283"/>
      <c r="J1616" s="293">
        <v>33</v>
      </c>
      <c r="K1616" s="293"/>
      <c r="L1616" s="293"/>
      <c r="M1616" s="293"/>
      <c r="N1616" s="293"/>
      <c r="P1616" s="42">
        <v>29370</v>
      </c>
      <c r="R1616" s="42">
        <v>9612</v>
      </c>
      <c r="T1616" s="284">
        <v>19758</v>
      </c>
      <c r="U1616" s="284"/>
    </row>
    <row r="1617" spans="2:21" x14ac:dyDescent="0.25">
      <c r="B1617" s="292">
        <v>59</v>
      </c>
      <c r="C1617" s="292"/>
      <c r="D1617" s="292"/>
      <c r="F1617" s="283" t="s">
        <v>118</v>
      </c>
      <c r="G1617" s="283"/>
      <c r="J1617" s="293">
        <v>598</v>
      </c>
      <c r="K1617" s="293"/>
      <c r="L1617" s="293"/>
      <c r="M1617" s="293"/>
      <c r="N1617" s="293"/>
      <c r="P1617" s="42">
        <v>592020</v>
      </c>
      <c r="R1617" s="42">
        <v>290427</v>
      </c>
      <c r="T1617" s="284">
        <v>301593</v>
      </c>
      <c r="U1617" s="284"/>
    </row>
    <row r="1618" spans="2:21" x14ac:dyDescent="0.25">
      <c r="B1618" s="292">
        <v>60</v>
      </c>
      <c r="C1618" s="292"/>
      <c r="D1618" s="292"/>
      <c r="F1618" s="283" t="s">
        <v>117</v>
      </c>
      <c r="G1618" s="283"/>
      <c r="J1618" s="293">
        <v>6</v>
      </c>
      <c r="K1618" s="293"/>
      <c r="L1618" s="293"/>
      <c r="M1618" s="293"/>
      <c r="N1618" s="293"/>
      <c r="P1618" s="42">
        <v>4800</v>
      </c>
      <c r="R1618" s="42">
        <v>1200</v>
      </c>
      <c r="T1618" s="284">
        <v>3600</v>
      </c>
      <c r="U1618" s="284"/>
    </row>
    <row r="1619" spans="2:21" x14ac:dyDescent="0.25">
      <c r="B1619" s="292">
        <v>61</v>
      </c>
      <c r="C1619" s="292"/>
      <c r="D1619" s="292"/>
      <c r="F1619" s="283" t="s">
        <v>115</v>
      </c>
      <c r="G1619" s="283"/>
      <c r="J1619" s="293">
        <v>7</v>
      </c>
      <c r="K1619" s="293"/>
      <c r="L1619" s="293"/>
      <c r="M1619" s="293"/>
      <c r="N1619" s="293"/>
      <c r="P1619" s="42">
        <v>2030</v>
      </c>
      <c r="R1619" s="42">
        <v>710</v>
      </c>
      <c r="T1619" s="284">
        <v>1320</v>
      </c>
      <c r="U1619" s="284"/>
    </row>
    <row r="1620" spans="2:21" x14ac:dyDescent="0.25">
      <c r="B1620" s="292">
        <v>62</v>
      </c>
      <c r="C1620" s="292"/>
      <c r="D1620" s="292"/>
      <c r="F1620" s="283" t="s">
        <v>280</v>
      </c>
      <c r="G1620" s="283"/>
      <c r="J1620" s="293">
        <v>1</v>
      </c>
      <c r="K1620" s="293"/>
      <c r="L1620" s="293"/>
      <c r="M1620" s="293"/>
      <c r="N1620" s="293"/>
      <c r="P1620" s="42">
        <v>700</v>
      </c>
      <c r="R1620" s="42">
        <v>350</v>
      </c>
      <c r="T1620" s="284">
        <v>350</v>
      </c>
      <c r="U1620" s="284"/>
    </row>
    <row r="1621" spans="2:21" x14ac:dyDescent="0.25">
      <c r="B1621" s="292">
        <v>63</v>
      </c>
      <c r="C1621" s="292"/>
      <c r="D1621" s="292"/>
      <c r="F1621" s="283" t="s">
        <v>279</v>
      </c>
      <c r="G1621" s="283"/>
      <c r="J1621" s="293">
        <v>1</v>
      </c>
      <c r="K1621" s="293"/>
      <c r="L1621" s="293"/>
      <c r="M1621" s="293"/>
      <c r="N1621" s="293"/>
      <c r="P1621" s="42">
        <v>500</v>
      </c>
      <c r="R1621" s="42">
        <v>150</v>
      </c>
      <c r="T1621" s="284">
        <v>350</v>
      </c>
      <c r="U1621" s="284"/>
    </row>
    <row r="1622" spans="2:21" x14ac:dyDescent="0.25">
      <c r="B1622" s="292">
        <v>64</v>
      </c>
      <c r="C1622" s="292"/>
      <c r="D1622" s="292"/>
      <c r="F1622" s="283" t="s">
        <v>219</v>
      </c>
      <c r="G1622" s="283"/>
      <c r="J1622" s="293">
        <v>1</v>
      </c>
      <c r="K1622" s="293"/>
      <c r="L1622" s="293"/>
      <c r="M1622" s="293"/>
      <c r="N1622" s="293"/>
      <c r="P1622" s="42">
        <v>500</v>
      </c>
      <c r="R1622" s="42">
        <v>150</v>
      </c>
      <c r="T1622" s="284">
        <v>350</v>
      </c>
      <c r="U1622" s="284"/>
    </row>
    <row r="1623" spans="2:21" x14ac:dyDescent="0.25">
      <c r="B1623" s="292">
        <v>65</v>
      </c>
      <c r="C1623" s="292"/>
      <c r="D1623" s="292"/>
      <c r="F1623" s="283" t="s">
        <v>111</v>
      </c>
      <c r="G1623" s="283"/>
      <c r="J1623" s="293">
        <v>1</v>
      </c>
      <c r="K1623" s="293"/>
      <c r="L1623" s="293"/>
      <c r="M1623" s="293"/>
      <c r="N1623" s="293"/>
      <c r="P1623" s="42">
        <v>430</v>
      </c>
      <c r="R1623" s="42">
        <v>130</v>
      </c>
      <c r="T1623" s="284">
        <v>300</v>
      </c>
      <c r="U1623" s="284"/>
    </row>
    <row r="1624" spans="2:21" x14ac:dyDescent="0.25">
      <c r="B1624" s="292">
        <v>66</v>
      </c>
      <c r="C1624" s="292"/>
      <c r="D1624" s="292"/>
      <c r="F1624" s="283" t="s">
        <v>109</v>
      </c>
      <c r="G1624" s="283"/>
      <c r="J1624" s="293">
        <v>9</v>
      </c>
      <c r="K1624" s="293"/>
      <c r="L1624" s="293"/>
      <c r="M1624" s="293"/>
      <c r="N1624" s="293"/>
      <c r="P1624" s="42">
        <v>7020</v>
      </c>
      <c r="R1624" s="42">
        <v>2070</v>
      </c>
      <c r="T1624" s="284">
        <v>4950</v>
      </c>
      <c r="U1624" s="284"/>
    </row>
    <row r="1625" spans="2:21" x14ac:dyDescent="0.25">
      <c r="B1625" s="292">
        <v>67</v>
      </c>
      <c r="C1625" s="292"/>
      <c r="D1625" s="292"/>
      <c r="F1625" s="283" t="s">
        <v>108</v>
      </c>
      <c r="G1625" s="283"/>
      <c r="J1625" s="293">
        <v>158</v>
      </c>
      <c r="K1625" s="293"/>
      <c r="L1625" s="293"/>
      <c r="M1625" s="293"/>
      <c r="N1625" s="293"/>
      <c r="P1625" s="42">
        <v>15800</v>
      </c>
      <c r="R1625" s="42">
        <v>2940</v>
      </c>
      <c r="T1625" s="284">
        <v>12860</v>
      </c>
      <c r="U1625" s="284"/>
    </row>
    <row r="1626" spans="2:21" x14ac:dyDescent="0.25">
      <c r="B1626" s="292">
        <v>68</v>
      </c>
      <c r="C1626" s="292"/>
      <c r="D1626" s="292"/>
      <c r="F1626" s="283" t="s">
        <v>107</v>
      </c>
      <c r="G1626" s="283"/>
      <c r="J1626" s="293">
        <v>82</v>
      </c>
      <c r="K1626" s="293"/>
      <c r="L1626" s="293"/>
      <c r="M1626" s="293"/>
      <c r="N1626" s="293"/>
      <c r="P1626" s="42">
        <v>13940</v>
      </c>
      <c r="R1626" s="42">
        <v>4292</v>
      </c>
      <c r="T1626" s="284">
        <v>9648</v>
      </c>
      <c r="U1626" s="284"/>
    </row>
    <row r="1627" spans="2:21" x14ac:dyDescent="0.25">
      <c r="B1627" s="292">
        <v>69</v>
      </c>
      <c r="C1627" s="292"/>
      <c r="D1627" s="292"/>
      <c r="F1627" s="283" t="s">
        <v>214</v>
      </c>
      <c r="G1627" s="283"/>
      <c r="J1627" s="293">
        <v>1</v>
      </c>
      <c r="K1627" s="293"/>
      <c r="L1627" s="293"/>
      <c r="M1627" s="293"/>
      <c r="N1627" s="293"/>
      <c r="P1627" s="42">
        <v>990</v>
      </c>
      <c r="R1627" s="42">
        <v>150</v>
      </c>
      <c r="T1627" s="284">
        <v>840</v>
      </c>
      <c r="U1627" s="284"/>
    </row>
    <row r="1628" spans="2:21" x14ac:dyDescent="0.25">
      <c r="B1628" s="292">
        <v>70</v>
      </c>
      <c r="C1628" s="292"/>
      <c r="D1628" s="292"/>
      <c r="F1628" s="283" t="s">
        <v>103</v>
      </c>
      <c r="G1628" s="283"/>
      <c r="J1628" s="293">
        <v>6</v>
      </c>
      <c r="K1628" s="293"/>
      <c r="L1628" s="293"/>
      <c r="M1628" s="293"/>
      <c r="N1628" s="293"/>
      <c r="P1628" s="42">
        <v>1980</v>
      </c>
      <c r="R1628" s="42">
        <v>960</v>
      </c>
      <c r="T1628" s="284">
        <v>1020</v>
      </c>
      <c r="U1628" s="284"/>
    </row>
    <row r="1629" spans="2:21" x14ac:dyDescent="0.25">
      <c r="B1629" s="292">
        <v>71</v>
      </c>
      <c r="C1629" s="292"/>
      <c r="D1629" s="292"/>
      <c r="F1629" s="283" t="s">
        <v>276</v>
      </c>
      <c r="G1629" s="283"/>
      <c r="J1629" s="293">
        <v>3</v>
      </c>
      <c r="K1629" s="293"/>
      <c r="L1629" s="293"/>
      <c r="M1629" s="293"/>
      <c r="N1629" s="293"/>
      <c r="P1629" s="42">
        <v>1500</v>
      </c>
      <c r="R1629" s="42">
        <v>450</v>
      </c>
      <c r="T1629" s="284">
        <v>1050</v>
      </c>
      <c r="U1629" s="284"/>
    </row>
    <row r="1630" spans="2:21" x14ac:dyDescent="0.25">
      <c r="B1630" s="292">
        <v>72</v>
      </c>
      <c r="C1630" s="292"/>
      <c r="D1630" s="292"/>
      <c r="F1630" s="283" t="s">
        <v>179</v>
      </c>
      <c r="G1630" s="283"/>
      <c r="J1630" s="293">
        <v>1</v>
      </c>
      <c r="K1630" s="293"/>
      <c r="L1630" s="293"/>
      <c r="M1630" s="293"/>
      <c r="N1630" s="293"/>
      <c r="P1630" s="42">
        <v>880</v>
      </c>
      <c r="R1630" s="42">
        <v>130</v>
      </c>
      <c r="T1630" s="284">
        <v>750</v>
      </c>
      <c r="U1630" s="284"/>
    </row>
    <row r="1631" spans="2:21" x14ac:dyDescent="0.25">
      <c r="B1631" s="292">
        <v>73</v>
      </c>
      <c r="C1631" s="292"/>
      <c r="D1631" s="292"/>
      <c r="F1631" s="283" t="s">
        <v>428</v>
      </c>
      <c r="G1631" s="283"/>
      <c r="J1631" s="293">
        <v>2</v>
      </c>
      <c r="K1631" s="293"/>
      <c r="L1631" s="293"/>
      <c r="M1631" s="293"/>
      <c r="N1631" s="293"/>
      <c r="P1631" s="42">
        <v>1400</v>
      </c>
      <c r="R1631" s="42">
        <v>700</v>
      </c>
      <c r="T1631" s="284">
        <v>700</v>
      </c>
      <c r="U1631" s="284"/>
    </row>
    <row r="1632" spans="2:21" x14ac:dyDescent="0.25">
      <c r="B1632" s="292">
        <v>74</v>
      </c>
      <c r="C1632" s="292"/>
      <c r="D1632" s="292"/>
      <c r="F1632" s="283" t="s">
        <v>427</v>
      </c>
      <c r="G1632" s="283"/>
      <c r="J1632" s="293">
        <v>1</v>
      </c>
      <c r="K1632" s="293"/>
      <c r="L1632" s="293"/>
      <c r="M1632" s="293"/>
      <c r="N1632" s="293"/>
      <c r="P1632" s="42">
        <v>880</v>
      </c>
      <c r="R1632" s="42">
        <v>130</v>
      </c>
      <c r="T1632" s="284">
        <v>750</v>
      </c>
      <c r="U1632" s="284"/>
    </row>
    <row r="1633" spans="1:21" x14ac:dyDescent="0.25">
      <c r="B1633" s="292">
        <v>75</v>
      </c>
      <c r="C1633" s="292"/>
      <c r="D1633" s="292"/>
      <c r="F1633" s="283" t="s">
        <v>97</v>
      </c>
      <c r="G1633" s="283"/>
      <c r="J1633" s="293">
        <v>5</v>
      </c>
      <c r="K1633" s="293"/>
      <c r="L1633" s="293"/>
      <c r="M1633" s="293"/>
      <c r="N1633" s="293"/>
      <c r="P1633" s="42">
        <v>7950</v>
      </c>
      <c r="R1633" s="42">
        <v>1200</v>
      </c>
      <c r="T1633" s="284">
        <v>6750</v>
      </c>
      <c r="U1633" s="284"/>
    </row>
    <row r="1634" spans="1:21" x14ac:dyDescent="0.25">
      <c r="B1634" s="292">
        <v>76</v>
      </c>
      <c r="C1634" s="292"/>
      <c r="D1634" s="292"/>
      <c r="F1634" s="283" t="s">
        <v>96</v>
      </c>
      <c r="G1634" s="283"/>
      <c r="J1634" s="293">
        <v>1</v>
      </c>
      <c r="K1634" s="293"/>
      <c r="L1634" s="293"/>
      <c r="M1634" s="293"/>
      <c r="N1634" s="293"/>
      <c r="P1634" s="42">
        <v>440</v>
      </c>
      <c r="R1634" s="42">
        <v>130</v>
      </c>
      <c r="T1634" s="284">
        <v>310</v>
      </c>
      <c r="U1634" s="284"/>
    </row>
    <row r="1635" spans="1:21" x14ac:dyDescent="0.25">
      <c r="B1635" s="292">
        <v>77</v>
      </c>
      <c r="C1635" s="292"/>
      <c r="D1635" s="292"/>
      <c r="F1635" s="283" t="s">
        <v>95</v>
      </c>
      <c r="G1635" s="283"/>
      <c r="J1635" s="293">
        <v>7</v>
      </c>
      <c r="K1635" s="293"/>
      <c r="L1635" s="293"/>
      <c r="M1635" s="293"/>
      <c r="N1635" s="293"/>
      <c r="P1635" s="42">
        <v>2030</v>
      </c>
      <c r="R1635" s="42">
        <v>560</v>
      </c>
      <c r="T1635" s="284">
        <v>1470</v>
      </c>
      <c r="U1635" s="284"/>
    </row>
    <row r="1636" spans="1:21" x14ac:dyDescent="0.25">
      <c r="B1636" s="292">
        <v>78</v>
      </c>
      <c r="C1636" s="292"/>
      <c r="D1636" s="292"/>
      <c r="F1636" s="283" t="s">
        <v>93</v>
      </c>
      <c r="G1636" s="283"/>
      <c r="J1636" s="293">
        <v>6</v>
      </c>
      <c r="K1636" s="293"/>
      <c r="L1636" s="293"/>
      <c r="M1636" s="293"/>
      <c r="N1636" s="293"/>
      <c r="P1636" s="42">
        <v>3540</v>
      </c>
      <c r="R1636" s="42">
        <v>540</v>
      </c>
      <c r="T1636" s="284">
        <v>3000</v>
      </c>
      <c r="U1636" s="284"/>
    </row>
    <row r="1637" spans="1:21" x14ac:dyDescent="0.25">
      <c r="B1637" s="292">
        <v>79</v>
      </c>
      <c r="C1637" s="292"/>
      <c r="D1637" s="292"/>
      <c r="F1637" s="283" t="s">
        <v>92</v>
      </c>
      <c r="G1637" s="283"/>
      <c r="J1637" s="293">
        <v>50</v>
      </c>
      <c r="K1637" s="293"/>
      <c r="L1637" s="293"/>
      <c r="M1637" s="293"/>
      <c r="N1637" s="293"/>
      <c r="P1637" s="42">
        <v>45160</v>
      </c>
      <c r="R1637" s="42">
        <v>13400</v>
      </c>
      <c r="T1637" s="284">
        <v>31760</v>
      </c>
      <c r="U1637" s="284"/>
    </row>
    <row r="1638" spans="1:21" x14ac:dyDescent="0.25">
      <c r="B1638" s="292">
        <v>80</v>
      </c>
      <c r="C1638" s="292"/>
      <c r="D1638" s="292"/>
      <c r="F1638" s="283" t="s">
        <v>306</v>
      </c>
      <c r="G1638" s="283"/>
      <c r="J1638" s="293">
        <v>2</v>
      </c>
      <c r="K1638" s="293"/>
      <c r="L1638" s="293"/>
      <c r="M1638" s="293"/>
      <c r="N1638" s="293"/>
      <c r="P1638" s="42">
        <v>2160</v>
      </c>
      <c r="R1638" s="42">
        <v>640</v>
      </c>
      <c r="T1638" s="284">
        <v>1520</v>
      </c>
      <c r="U1638" s="284"/>
    </row>
    <row r="1639" spans="1:21" x14ac:dyDescent="0.25">
      <c r="B1639" s="292">
        <v>81</v>
      </c>
      <c r="C1639" s="292"/>
      <c r="D1639" s="292"/>
      <c r="F1639" s="283" t="s">
        <v>91</v>
      </c>
      <c r="G1639" s="283"/>
      <c r="J1639" s="293">
        <v>554</v>
      </c>
      <c r="K1639" s="293"/>
      <c r="L1639" s="293"/>
      <c r="M1639" s="293"/>
      <c r="N1639" s="293"/>
      <c r="P1639" s="42">
        <v>138500</v>
      </c>
      <c r="R1639" s="42">
        <v>69353</v>
      </c>
      <c r="T1639" s="284">
        <v>69147</v>
      </c>
      <c r="U1639" s="284"/>
    </row>
    <row r="1640" spans="1:21" x14ac:dyDescent="0.25">
      <c r="B1640" s="292">
        <v>82</v>
      </c>
      <c r="C1640" s="292"/>
      <c r="D1640" s="292"/>
      <c r="F1640" s="283" t="s">
        <v>90</v>
      </c>
      <c r="G1640" s="283"/>
      <c r="J1640" s="293">
        <v>45</v>
      </c>
      <c r="K1640" s="293"/>
      <c r="L1640" s="293"/>
      <c r="M1640" s="293"/>
      <c r="N1640" s="293"/>
      <c r="P1640" s="42">
        <v>13050</v>
      </c>
      <c r="R1640" s="42">
        <v>3600</v>
      </c>
      <c r="T1640" s="284">
        <v>9450</v>
      </c>
      <c r="U1640" s="284"/>
    </row>
    <row r="1641" spans="1:21" x14ac:dyDescent="0.25">
      <c r="B1641" s="292">
        <v>83</v>
      </c>
      <c r="C1641" s="292"/>
      <c r="D1641" s="292"/>
      <c r="F1641" s="283" t="s">
        <v>88</v>
      </c>
      <c r="G1641" s="283"/>
      <c r="J1641" s="293">
        <v>28</v>
      </c>
      <c r="K1641" s="293"/>
      <c r="L1641" s="293"/>
      <c r="M1641" s="293"/>
      <c r="N1641" s="293"/>
      <c r="P1641" s="42">
        <v>5040</v>
      </c>
      <c r="R1641" s="42">
        <v>1834</v>
      </c>
      <c r="T1641" s="284">
        <v>3206</v>
      </c>
      <c r="U1641" s="284"/>
    </row>
    <row r="1642" spans="1:21" x14ac:dyDescent="0.25">
      <c r="B1642" s="292">
        <v>84</v>
      </c>
      <c r="C1642" s="292"/>
      <c r="D1642" s="292"/>
      <c r="F1642" s="283" t="s">
        <v>85</v>
      </c>
      <c r="G1642" s="283"/>
      <c r="J1642" s="293">
        <v>1</v>
      </c>
      <c r="K1642" s="293"/>
      <c r="L1642" s="293"/>
      <c r="M1642" s="293"/>
      <c r="N1642" s="293"/>
      <c r="P1642" s="42">
        <v>2080</v>
      </c>
      <c r="R1642" s="42">
        <v>310</v>
      </c>
      <c r="T1642" s="284">
        <v>1770</v>
      </c>
      <c r="U1642" s="284"/>
    </row>
    <row r="1643" spans="1:21" x14ac:dyDescent="0.25">
      <c r="B1643" s="292">
        <v>85</v>
      </c>
      <c r="C1643" s="292"/>
      <c r="D1643" s="292"/>
      <c r="F1643" s="283" t="s">
        <v>84</v>
      </c>
      <c r="G1643" s="283"/>
      <c r="J1643" s="293">
        <v>1</v>
      </c>
      <c r="K1643" s="293"/>
      <c r="L1643" s="293"/>
      <c r="M1643" s="293"/>
      <c r="N1643" s="293"/>
      <c r="P1643" s="42">
        <v>590</v>
      </c>
      <c r="R1643" s="42">
        <v>180</v>
      </c>
      <c r="T1643" s="284">
        <v>410</v>
      </c>
      <c r="U1643" s="284"/>
    </row>
    <row r="1644" spans="1:21" x14ac:dyDescent="0.25">
      <c r="B1644" s="292">
        <v>86</v>
      </c>
      <c r="C1644" s="292"/>
      <c r="D1644" s="292"/>
      <c r="F1644" s="283" t="s">
        <v>208</v>
      </c>
      <c r="G1644" s="283"/>
      <c r="J1644" s="293">
        <v>1</v>
      </c>
      <c r="K1644" s="293"/>
      <c r="L1644" s="293"/>
      <c r="M1644" s="293"/>
      <c r="N1644" s="293"/>
      <c r="P1644" s="42">
        <v>500</v>
      </c>
      <c r="R1644" s="42">
        <v>150</v>
      </c>
      <c r="T1644" s="284">
        <v>350</v>
      </c>
      <c r="U1644" s="284"/>
    </row>
    <row r="1645" spans="1:21" x14ac:dyDescent="0.25">
      <c r="B1645" s="292">
        <v>87</v>
      </c>
      <c r="C1645" s="292"/>
      <c r="D1645" s="292"/>
      <c r="F1645" s="283" t="s">
        <v>273</v>
      </c>
      <c r="G1645" s="283"/>
      <c r="J1645" s="293">
        <v>5</v>
      </c>
      <c r="K1645" s="293"/>
      <c r="L1645" s="293"/>
      <c r="M1645" s="293"/>
      <c r="N1645" s="293"/>
      <c r="P1645" s="42">
        <v>2500</v>
      </c>
      <c r="R1645" s="42">
        <v>750</v>
      </c>
      <c r="T1645" s="284">
        <v>1750</v>
      </c>
      <c r="U1645" s="284"/>
    </row>
    <row r="1646" spans="1:21" x14ac:dyDescent="0.25">
      <c r="B1646" s="292">
        <v>88</v>
      </c>
      <c r="C1646" s="292"/>
      <c r="D1646" s="292"/>
      <c r="F1646" s="283" t="s">
        <v>207</v>
      </c>
      <c r="G1646" s="283"/>
      <c r="J1646" s="293">
        <v>1</v>
      </c>
      <c r="K1646" s="293"/>
      <c r="L1646" s="293"/>
      <c r="M1646" s="293"/>
      <c r="N1646" s="293"/>
      <c r="P1646" s="42">
        <v>500</v>
      </c>
      <c r="R1646" s="42">
        <v>150</v>
      </c>
      <c r="T1646" s="284">
        <v>350</v>
      </c>
      <c r="U1646" s="284"/>
    </row>
    <row r="1647" spans="1:21" s="40" customFormat="1" x14ac:dyDescent="0.25">
      <c r="A1647" s="290" t="s">
        <v>426</v>
      </c>
      <c r="B1647" s="290"/>
      <c r="C1647" s="290"/>
      <c r="D1647" s="290"/>
      <c r="E1647" s="290"/>
      <c r="F1647" s="290"/>
      <c r="G1647" s="290"/>
      <c r="H1647" s="290"/>
      <c r="I1647" s="290"/>
      <c r="J1647" s="290"/>
      <c r="K1647" s="291">
        <v>5436</v>
      </c>
      <c r="L1647" s="291"/>
      <c r="M1647" s="291"/>
      <c r="N1647" s="291"/>
      <c r="O1647" s="291"/>
      <c r="P1647" s="41">
        <v>5322310</v>
      </c>
      <c r="R1647" s="41">
        <v>4700918</v>
      </c>
      <c r="T1647" s="287">
        <v>621392</v>
      </c>
      <c r="U1647" s="287"/>
    </row>
    <row r="1648" spans="1:21" x14ac:dyDescent="0.25">
      <c r="B1648" s="292">
        <v>1</v>
      </c>
      <c r="C1648" s="292"/>
      <c r="D1648" s="292"/>
      <c r="F1648" s="283" t="s">
        <v>200</v>
      </c>
      <c r="G1648" s="283"/>
      <c r="J1648" s="293">
        <v>1</v>
      </c>
      <c r="K1648" s="293"/>
      <c r="L1648" s="293"/>
      <c r="M1648" s="293"/>
      <c r="N1648" s="293"/>
      <c r="P1648" s="42">
        <v>500</v>
      </c>
      <c r="R1648" s="42">
        <v>150</v>
      </c>
      <c r="T1648" s="284">
        <v>350</v>
      </c>
      <c r="U1648" s="284"/>
    </row>
    <row r="1649" spans="2:21" x14ac:dyDescent="0.25">
      <c r="B1649" s="292">
        <v>2</v>
      </c>
      <c r="C1649" s="292"/>
      <c r="D1649" s="292"/>
      <c r="F1649" s="283" t="s">
        <v>250</v>
      </c>
      <c r="G1649" s="283"/>
      <c r="J1649" s="293">
        <v>2</v>
      </c>
      <c r="K1649" s="293"/>
      <c r="L1649" s="293"/>
      <c r="M1649" s="293"/>
      <c r="N1649" s="293"/>
      <c r="P1649" s="42">
        <v>1000</v>
      </c>
      <c r="R1649" s="42">
        <v>250</v>
      </c>
      <c r="T1649" s="284">
        <v>750</v>
      </c>
      <c r="U1649" s="284"/>
    </row>
    <row r="1650" spans="2:21" x14ac:dyDescent="0.25">
      <c r="B1650" s="292">
        <v>3</v>
      </c>
      <c r="C1650" s="292"/>
      <c r="D1650" s="292"/>
      <c r="F1650" s="283" t="s">
        <v>168</v>
      </c>
      <c r="G1650" s="283"/>
      <c r="J1650" s="293">
        <v>2</v>
      </c>
      <c r="K1650" s="293"/>
      <c r="L1650" s="293"/>
      <c r="M1650" s="293"/>
      <c r="N1650" s="293"/>
      <c r="P1650" s="42">
        <v>4400</v>
      </c>
      <c r="R1650" s="42">
        <v>660</v>
      </c>
      <c r="T1650" s="284">
        <v>3740</v>
      </c>
      <c r="U1650" s="284"/>
    </row>
    <row r="1651" spans="2:21" x14ac:dyDescent="0.25">
      <c r="B1651" s="292">
        <v>4</v>
      </c>
      <c r="C1651" s="292"/>
      <c r="D1651" s="292"/>
      <c r="F1651" s="283" t="s">
        <v>78</v>
      </c>
      <c r="G1651" s="283"/>
      <c r="J1651" s="293">
        <v>246</v>
      </c>
      <c r="K1651" s="293"/>
      <c r="L1651" s="293"/>
      <c r="M1651" s="293"/>
      <c r="N1651" s="293"/>
      <c r="P1651" s="42">
        <v>71340</v>
      </c>
      <c r="R1651" s="42">
        <v>71340</v>
      </c>
      <c r="T1651" s="284">
        <v>0</v>
      </c>
      <c r="U1651" s="284"/>
    </row>
    <row r="1652" spans="2:21" x14ac:dyDescent="0.25">
      <c r="B1652" s="292">
        <v>5</v>
      </c>
      <c r="C1652" s="292"/>
      <c r="D1652" s="292"/>
      <c r="F1652" s="283" t="s">
        <v>294</v>
      </c>
      <c r="G1652" s="283"/>
      <c r="J1652" s="293">
        <v>1</v>
      </c>
      <c r="K1652" s="293"/>
      <c r="L1652" s="293"/>
      <c r="M1652" s="293"/>
      <c r="N1652" s="293"/>
      <c r="P1652" s="42">
        <v>500</v>
      </c>
      <c r="R1652" s="42">
        <v>150</v>
      </c>
      <c r="T1652" s="284">
        <v>350</v>
      </c>
      <c r="U1652" s="284"/>
    </row>
    <row r="1653" spans="2:21" x14ac:dyDescent="0.25">
      <c r="B1653" s="292">
        <v>6</v>
      </c>
      <c r="C1653" s="292"/>
      <c r="D1653" s="292"/>
      <c r="F1653" s="283" t="s">
        <v>165</v>
      </c>
      <c r="G1653" s="283"/>
      <c r="J1653" s="293">
        <v>1</v>
      </c>
      <c r="K1653" s="293"/>
      <c r="L1653" s="293"/>
      <c r="M1653" s="293"/>
      <c r="N1653" s="293"/>
      <c r="P1653" s="42">
        <v>590</v>
      </c>
      <c r="R1653" s="42">
        <v>180</v>
      </c>
      <c r="T1653" s="284">
        <v>410</v>
      </c>
      <c r="U1653" s="284"/>
    </row>
    <row r="1654" spans="2:21" x14ac:dyDescent="0.25">
      <c r="B1654" s="292">
        <v>7</v>
      </c>
      <c r="C1654" s="292"/>
      <c r="D1654" s="292"/>
      <c r="F1654" s="283" t="s">
        <v>163</v>
      </c>
      <c r="G1654" s="283"/>
      <c r="J1654" s="293">
        <v>2</v>
      </c>
      <c r="K1654" s="293"/>
      <c r="L1654" s="293"/>
      <c r="M1654" s="293"/>
      <c r="N1654" s="293"/>
      <c r="P1654" s="42">
        <v>2380</v>
      </c>
      <c r="R1654" s="42">
        <v>360</v>
      </c>
      <c r="T1654" s="284">
        <v>2020</v>
      </c>
      <c r="U1654" s="284"/>
    </row>
    <row r="1655" spans="2:21" x14ac:dyDescent="0.25">
      <c r="B1655" s="292">
        <v>8</v>
      </c>
      <c r="C1655" s="292"/>
      <c r="D1655" s="292"/>
      <c r="F1655" s="283" t="s">
        <v>162</v>
      </c>
      <c r="G1655" s="283"/>
      <c r="J1655" s="293">
        <v>13</v>
      </c>
      <c r="K1655" s="293"/>
      <c r="L1655" s="293"/>
      <c r="M1655" s="293"/>
      <c r="N1655" s="293"/>
      <c r="P1655" s="42">
        <v>5590</v>
      </c>
      <c r="R1655" s="42">
        <v>2302</v>
      </c>
      <c r="T1655" s="284">
        <v>3288</v>
      </c>
      <c r="U1655" s="284"/>
    </row>
    <row r="1656" spans="2:21" x14ac:dyDescent="0.25">
      <c r="B1656" s="292">
        <v>9</v>
      </c>
      <c r="C1656" s="292"/>
      <c r="D1656" s="292"/>
      <c r="F1656" s="283" t="s">
        <v>198</v>
      </c>
      <c r="G1656" s="283"/>
      <c r="J1656" s="293">
        <v>3</v>
      </c>
      <c r="K1656" s="293"/>
      <c r="L1656" s="293"/>
      <c r="M1656" s="293"/>
      <c r="N1656" s="293"/>
      <c r="P1656" s="42">
        <v>870</v>
      </c>
      <c r="R1656" s="42">
        <v>240</v>
      </c>
      <c r="T1656" s="284">
        <v>630</v>
      </c>
      <c r="U1656" s="284"/>
    </row>
    <row r="1657" spans="2:21" x14ac:dyDescent="0.25">
      <c r="B1657" s="292">
        <v>10</v>
      </c>
      <c r="C1657" s="292"/>
      <c r="D1657" s="292"/>
      <c r="F1657" s="283" t="s">
        <v>161</v>
      </c>
      <c r="G1657" s="283"/>
      <c r="J1657" s="293">
        <v>2</v>
      </c>
      <c r="K1657" s="293"/>
      <c r="L1657" s="293"/>
      <c r="M1657" s="293"/>
      <c r="N1657" s="293"/>
      <c r="P1657" s="42">
        <v>50</v>
      </c>
      <c r="R1657" s="42">
        <v>5</v>
      </c>
      <c r="T1657" s="284">
        <v>45</v>
      </c>
      <c r="U1657" s="284"/>
    </row>
    <row r="1658" spans="2:21" x14ac:dyDescent="0.25">
      <c r="B1658" s="292">
        <v>11</v>
      </c>
      <c r="C1658" s="292"/>
      <c r="D1658" s="292"/>
      <c r="F1658" s="283" t="s">
        <v>160</v>
      </c>
      <c r="G1658" s="283"/>
      <c r="J1658" s="293">
        <v>17</v>
      </c>
      <c r="K1658" s="293"/>
      <c r="L1658" s="293"/>
      <c r="M1658" s="293"/>
      <c r="N1658" s="293"/>
      <c r="P1658" s="42">
        <v>4930</v>
      </c>
      <c r="R1658" s="42">
        <v>1229</v>
      </c>
      <c r="T1658" s="284">
        <v>3701</v>
      </c>
      <c r="U1658" s="284"/>
    </row>
    <row r="1659" spans="2:21" x14ac:dyDescent="0.25">
      <c r="B1659" s="292">
        <v>12</v>
      </c>
      <c r="C1659" s="292"/>
      <c r="D1659" s="292"/>
      <c r="F1659" s="283" t="s">
        <v>159</v>
      </c>
      <c r="G1659" s="283"/>
      <c r="J1659" s="293">
        <v>138</v>
      </c>
      <c r="K1659" s="293"/>
      <c r="L1659" s="293"/>
      <c r="M1659" s="293"/>
      <c r="N1659" s="293"/>
      <c r="P1659" s="42">
        <v>0</v>
      </c>
      <c r="R1659" s="42">
        <v>0</v>
      </c>
      <c r="T1659" s="284">
        <v>0</v>
      </c>
      <c r="U1659" s="284"/>
    </row>
    <row r="1660" spans="2:21" x14ac:dyDescent="0.25">
      <c r="B1660" s="292">
        <v>13</v>
      </c>
      <c r="C1660" s="292"/>
      <c r="D1660" s="292"/>
      <c r="F1660" s="283" t="s">
        <v>158</v>
      </c>
      <c r="G1660" s="283"/>
      <c r="J1660" s="293">
        <v>485</v>
      </c>
      <c r="K1660" s="293"/>
      <c r="L1660" s="293"/>
      <c r="M1660" s="293"/>
      <c r="N1660" s="293"/>
      <c r="P1660" s="42">
        <v>266750</v>
      </c>
      <c r="R1660" s="42">
        <v>78694</v>
      </c>
      <c r="T1660" s="284">
        <v>188056</v>
      </c>
      <c r="U1660" s="284"/>
    </row>
    <row r="1661" spans="2:21" x14ac:dyDescent="0.25">
      <c r="B1661" s="292">
        <v>14</v>
      </c>
      <c r="C1661" s="292"/>
      <c r="D1661" s="292"/>
      <c r="F1661" s="283" t="s">
        <v>157</v>
      </c>
      <c r="G1661" s="283"/>
      <c r="J1661" s="293">
        <v>125</v>
      </c>
      <c r="K1661" s="293"/>
      <c r="L1661" s="293"/>
      <c r="M1661" s="293"/>
      <c r="N1661" s="293"/>
      <c r="P1661" s="42">
        <v>61250</v>
      </c>
      <c r="R1661" s="42">
        <v>25534</v>
      </c>
      <c r="T1661" s="284">
        <v>35716</v>
      </c>
      <c r="U1661" s="284"/>
    </row>
    <row r="1662" spans="2:21" x14ac:dyDescent="0.25">
      <c r="B1662" s="292">
        <v>15</v>
      </c>
      <c r="C1662" s="292"/>
      <c r="D1662" s="292"/>
      <c r="F1662" s="283" t="s">
        <v>197</v>
      </c>
      <c r="G1662" s="283"/>
      <c r="J1662" s="293">
        <v>1</v>
      </c>
      <c r="K1662" s="293"/>
      <c r="L1662" s="293"/>
      <c r="M1662" s="293"/>
      <c r="N1662" s="293"/>
      <c r="P1662" s="42">
        <v>500</v>
      </c>
      <c r="R1662" s="42">
        <v>90</v>
      </c>
      <c r="T1662" s="284">
        <v>410</v>
      </c>
      <c r="U1662" s="284"/>
    </row>
    <row r="1663" spans="2:21" x14ac:dyDescent="0.25">
      <c r="B1663" s="292">
        <v>16</v>
      </c>
      <c r="C1663" s="292"/>
      <c r="D1663" s="292"/>
      <c r="F1663" s="283" t="s">
        <v>196</v>
      </c>
      <c r="G1663" s="283"/>
      <c r="J1663" s="293">
        <v>5</v>
      </c>
      <c r="K1663" s="293"/>
      <c r="L1663" s="293"/>
      <c r="M1663" s="293"/>
      <c r="N1663" s="293"/>
      <c r="P1663" s="42">
        <v>3500</v>
      </c>
      <c r="R1663" s="42">
        <v>1419</v>
      </c>
      <c r="T1663" s="284">
        <v>2081</v>
      </c>
      <c r="U1663" s="284"/>
    </row>
    <row r="1664" spans="2:21" x14ac:dyDescent="0.25">
      <c r="B1664" s="292">
        <v>17</v>
      </c>
      <c r="C1664" s="292"/>
      <c r="D1664" s="292"/>
      <c r="F1664" s="283" t="s">
        <v>309</v>
      </c>
      <c r="G1664" s="283"/>
      <c r="J1664" s="293">
        <v>1</v>
      </c>
      <c r="K1664" s="293"/>
      <c r="L1664" s="293"/>
      <c r="M1664" s="293"/>
      <c r="N1664" s="293"/>
      <c r="P1664" s="42">
        <v>500</v>
      </c>
      <c r="R1664" s="42">
        <v>150</v>
      </c>
      <c r="T1664" s="284">
        <v>350</v>
      </c>
      <c r="U1664" s="284"/>
    </row>
    <row r="1665" spans="2:21" x14ac:dyDescent="0.25">
      <c r="B1665" s="292">
        <v>18</v>
      </c>
      <c r="C1665" s="292"/>
      <c r="D1665" s="292"/>
      <c r="F1665" s="283" t="s">
        <v>292</v>
      </c>
      <c r="G1665" s="283"/>
      <c r="J1665" s="293">
        <v>1</v>
      </c>
      <c r="K1665" s="293"/>
      <c r="L1665" s="293"/>
      <c r="M1665" s="293"/>
      <c r="N1665" s="293"/>
      <c r="P1665" s="42">
        <v>700</v>
      </c>
      <c r="R1665" s="42">
        <v>700</v>
      </c>
      <c r="T1665" s="284">
        <v>0</v>
      </c>
      <c r="U1665" s="284"/>
    </row>
    <row r="1666" spans="2:21" x14ac:dyDescent="0.25">
      <c r="B1666" s="292">
        <v>19</v>
      </c>
      <c r="C1666" s="292"/>
      <c r="D1666" s="292"/>
      <c r="F1666" s="283" t="s">
        <v>77</v>
      </c>
      <c r="G1666" s="283"/>
      <c r="J1666" s="293">
        <v>1737</v>
      </c>
      <c r="K1666" s="293"/>
      <c r="L1666" s="293"/>
      <c r="M1666" s="293"/>
      <c r="N1666" s="293"/>
      <c r="P1666" s="42">
        <v>700100</v>
      </c>
      <c r="R1666" s="42">
        <v>700100</v>
      </c>
      <c r="T1666" s="284">
        <v>0</v>
      </c>
      <c r="U1666" s="284"/>
    </row>
    <row r="1667" spans="2:21" x14ac:dyDescent="0.25">
      <c r="B1667" s="292">
        <v>20</v>
      </c>
      <c r="C1667" s="292"/>
      <c r="D1667" s="292"/>
      <c r="F1667" s="283" t="s">
        <v>242</v>
      </c>
      <c r="G1667" s="283"/>
      <c r="J1667" s="293">
        <v>1</v>
      </c>
      <c r="K1667" s="293"/>
      <c r="L1667" s="293"/>
      <c r="M1667" s="293"/>
      <c r="N1667" s="293"/>
      <c r="P1667" s="42">
        <v>500</v>
      </c>
      <c r="R1667" s="42">
        <v>500</v>
      </c>
      <c r="T1667" s="284">
        <v>0</v>
      </c>
      <c r="U1667" s="284"/>
    </row>
    <row r="1668" spans="2:21" x14ac:dyDescent="0.25">
      <c r="B1668" s="292">
        <v>21</v>
      </c>
      <c r="C1668" s="292"/>
      <c r="D1668" s="292"/>
      <c r="F1668" s="283" t="s">
        <v>241</v>
      </c>
      <c r="G1668" s="283"/>
      <c r="J1668" s="293">
        <v>1</v>
      </c>
      <c r="K1668" s="293"/>
      <c r="L1668" s="293"/>
      <c r="M1668" s="293"/>
      <c r="N1668" s="293"/>
      <c r="P1668" s="42">
        <v>350</v>
      </c>
      <c r="R1668" s="42">
        <v>350</v>
      </c>
      <c r="T1668" s="284">
        <v>0</v>
      </c>
      <c r="U1668" s="284"/>
    </row>
    <row r="1669" spans="2:21" x14ac:dyDescent="0.25">
      <c r="B1669" s="292">
        <v>22</v>
      </c>
      <c r="C1669" s="292"/>
      <c r="D1669" s="292"/>
      <c r="F1669" s="283" t="s">
        <v>76</v>
      </c>
      <c r="G1669" s="283"/>
      <c r="J1669" s="293">
        <v>4</v>
      </c>
      <c r="K1669" s="293"/>
      <c r="L1669" s="293"/>
      <c r="M1669" s="293"/>
      <c r="N1669" s="293"/>
      <c r="P1669" s="42">
        <v>2400</v>
      </c>
      <c r="R1669" s="42">
        <v>2400</v>
      </c>
      <c r="T1669" s="284">
        <v>0</v>
      </c>
      <c r="U1669" s="284"/>
    </row>
    <row r="1670" spans="2:21" x14ac:dyDescent="0.25">
      <c r="B1670" s="292">
        <v>23</v>
      </c>
      <c r="C1670" s="292"/>
      <c r="D1670" s="292"/>
      <c r="F1670" s="283" t="s">
        <v>156</v>
      </c>
      <c r="G1670" s="283"/>
      <c r="J1670" s="293">
        <v>7</v>
      </c>
      <c r="K1670" s="293"/>
      <c r="L1670" s="293"/>
      <c r="M1670" s="293"/>
      <c r="N1670" s="293"/>
      <c r="P1670" s="42">
        <v>1330</v>
      </c>
      <c r="R1670" s="42">
        <v>360</v>
      </c>
      <c r="T1670" s="284">
        <v>970</v>
      </c>
      <c r="U1670" s="284"/>
    </row>
    <row r="1671" spans="2:21" x14ac:dyDescent="0.25">
      <c r="B1671" s="292">
        <v>24</v>
      </c>
      <c r="C1671" s="292"/>
      <c r="D1671" s="292"/>
      <c r="F1671" s="283" t="s">
        <v>155</v>
      </c>
      <c r="G1671" s="283"/>
      <c r="J1671" s="293">
        <v>24</v>
      </c>
      <c r="K1671" s="293"/>
      <c r="L1671" s="293"/>
      <c r="M1671" s="293"/>
      <c r="N1671" s="293"/>
      <c r="P1671" s="42">
        <v>6000</v>
      </c>
      <c r="R1671" s="42">
        <v>1969</v>
      </c>
      <c r="T1671" s="284">
        <v>4031</v>
      </c>
      <c r="U1671" s="284"/>
    </row>
    <row r="1672" spans="2:21" x14ac:dyDescent="0.25">
      <c r="B1672" s="292">
        <v>25</v>
      </c>
      <c r="C1672" s="292"/>
      <c r="D1672" s="292"/>
      <c r="F1672" s="283" t="s">
        <v>154</v>
      </c>
      <c r="G1672" s="283"/>
      <c r="J1672" s="293">
        <v>2</v>
      </c>
      <c r="K1672" s="293"/>
      <c r="L1672" s="293"/>
      <c r="M1672" s="293"/>
      <c r="N1672" s="293"/>
      <c r="P1672" s="42">
        <v>1780</v>
      </c>
      <c r="R1672" s="42">
        <v>260</v>
      </c>
      <c r="T1672" s="284">
        <v>1520</v>
      </c>
      <c r="U1672" s="284"/>
    </row>
    <row r="1673" spans="2:21" x14ac:dyDescent="0.25">
      <c r="B1673" s="292">
        <v>26</v>
      </c>
      <c r="C1673" s="292"/>
      <c r="D1673" s="292"/>
      <c r="F1673" s="283" t="s">
        <v>322</v>
      </c>
      <c r="G1673" s="283"/>
      <c r="J1673" s="293">
        <v>1</v>
      </c>
      <c r="K1673" s="293"/>
      <c r="L1673" s="293"/>
      <c r="M1673" s="293"/>
      <c r="N1673" s="293"/>
      <c r="P1673" s="42">
        <v>1180</v>
      </c>
      <c r="R1673" s="42">
        <v>180</v>
      </c>
      <c r="T1673" s="284">
        <v>1000</v>
      </c>
      <c r="U1673" s="284"/>
    </row>
    <row r="1674" spans="2:21" x14ac:dyDescent="0.25">
      <c r="B1674" s="292">
        <v>27</v>
      </c>
      <c r="C1674" s="292"/>
      <c r="D1674" s="292"/>
      <c r="F1674" s="283" t="s">
        <v>194</v>
      </c>
      <c r="G1674" s="283"/>
      <c r="J1674" s="293">
        <v>1</v>
      </c>
      <c r="K1674" s="293"/>
      <c r="L1674" s="293"/>
      <c r="M1674" s="293"/>
      <c r="N1674" s="293"/>
      <c r="P1674" s="42">
        <v>700</v>
      </c>
      <c r="R1674" s="42">
        <v>180</v>
      </c>
      <c r="T1674" s="284">
        <v>520</v>
      </c>
      <c r="U1674" s="284"/>
    </row>
    <row r="1675" spans="2:21" x14ac:dyDescent="0.25">
      <c r="B1675" s="292">
        <v>28</v>
      </c>
      <c r="C1675" s="292"/>
      <c r="D1675" s="292"/>
      <c r="F1675" s="283" t="s">
        <v>265</v>
      </c>
      <c r="G1675" s="283"/>
      <c r="J1675" s="293">
        <v>1</v>
      </c>
      <c r="K1675" s="293"/>
      <c r="L1675" s="293"/>
      <c r="M1675" s="293"/>
      <c r="N1675" s="293"/>
      <c r="P1675" s="42">
        <v>300</v>
      </c>
      <c r="R1675" s="42">
        <v>0</v>
      </c>
      <c r="T1675" s="284">
        <v>300</v>
      </c>
      <c r="U1675" s="284"/>
    </row>
    <row r="1676" spans="2:21" x14ac:dyDescent="0.25">
      <c r="B1676" s="292">
        <v>29</v>
      </c>
      <c r="C1676" s="292"/>
      <c r="D1676" s="292"/>
      <c r="F1676" s="283" t="s">
        <v>289</v>
      </c>
      <c r="G1676" s="283"/>
      <c r="J1676" s="293">
        <v>1</v>
      </c>
      <c r="K1676" s="293"/>
      <c r="L1676" s="293"/>
      <c r="M1676" s="293"/>
      <c r="N1676" s="293"/>
      <c r="P1676" s="42">
        <v>500</v>
      </c>
      <c r="R1676" s="42">
        <v>150</v>
      </c>
      <c r="T1676" s="284">
        <v>350</v>
      </c>
      <c r="U1676" s="284"/>
    </row>
    <row r="1677" spans="2:21" x14ac:dyDescent="0.25">
      <c r="B1677" s="292">
        <v>30</v>
      </c>
      <c r="C1677" s="292"/>
      <c r="D1677" s="292"/>
      <c r="F1677" s="283" t="s">
        <v>152</v>
      </c>
      <c r="G1677" s="283"/>
      <c r="J1677" s="293">
        <v>23</v>
      </c>
      <c r="K1677" s="293"/>
      <c r="L1677" s="293"/>
      <c r="M1677" s="293"/>
      <c r="N1677" s="293"/>
      <c r="P1677" s="42">
        <v>13570</v>
      </c>
      <c r="R1677" s="42">
        <v>4236</v>
      </c>
      <c r="T1677" s="284">
        <v>9334</v>
      </c>
      <c r="U1677" s="284"/>
    </row>
    <row r="1678" spans="2:21" x14ac:dyDescent="0.25">
      <c r="B1678" s="292">
        <v>31</v>
      </c>
      <c r="C1678" s="292"/>
      <c r="D1678" s="292"/>
      <c r="F1678" s="283" t="s">
        <v>151</v>
      </c>
      <c r="G1678" s="283"/>
      <c r="J1678" s="293">
        <v>7</v>
      </c>
      <c r="K1678" s="293"/>
      <c r="L1678" s="293"/>
      <c r="M1678" s="293"/>
      <c r="N1678" s="293"/>
      <c r="P1678" s="42">
        <v>1610</v>
      </c>
      <c r="R1678" s="42">
        <v>496</v>
      </c>
      <c r="T1678" s="284">
        <v>1114</v>
      </c>
      <c r="U1678" s="284"/>
    </row>
    <row r="1679" spans="2:21" x14ac:dyDescent="0.25">
      <c r="B1679" s="292">
        <v>32</v>
      </c>
      <c r="C1679" s="292"/>
      <c r="D1679" s="292"/>
      <c r="F1679" s="283" t="s">
        <v>150</v>
      </c>
      <c r="G1679" s="283"/>
      <c r="J1679" s="293">
        <v>17</v>
      </c>
      <c r="K1679" s="293"/>
      <c r="L1679" s="293"/>
      <c r="M1679" s="293"/>
      <c r="N1679" s="293"/>
      <c r="P1679" s="42">
        <v>2890</v>
      </c>
      <c r="R1679" s="42">
        <v>770</v>
      </c>
      <c r="T1679" s="284">
        <v>2120</v>
      </c>
      <c r="U1679" s="284"/>
    </row>
    <row r="1680" spans="2:21" x14ac:dyDescent="0.25">
      <c r="B1680" s="292">
        <v>33</v>
      </c>
      <c r="C1680" s="292"/>
      <c r="D1680" s="292"/>
      <c r="F1680" s="283" t="s">
        <v>149</v>
      </c>
      <c r="G1680" s="283"/>
      <c r="J1680" s="293">
        <v>13</v>
      </c>
      <c r="K1680" s="293"/>
      <c r="L1680" s="293"/>
      <c r="M1680" s="293"/>
      <c r="N1680" s="293"/>
      <c r="P1680" s="42">
        <v>650</v>
      </c>
      <c r="R1680" s="42">
        <v>30</v>
      </c>
      <c r="T1680" s="284">
        <v>620</v>
      </c>
      <c r="U1680" s="284"/>
    </row>
    <row r="1681" spans="2:21" x14ac:dyDescent="0.25">
      <c r="B1681" s="292">
        <v>34</v>
      </c>
      <c r="C1681" s="292"/>
      <c r="D1681" s="292"/>
      <c r="F1681" s="283" t="s">
        <v>236</v>
      </c>
      <c r="G1681" s="283"/>
      <c r="J1681" s="293">
        <v>1</v>
      </c>
      <c r="K1681" s="293"/>
      <c r="L1681" s="293"/>
      <c r="M1681" s="293"/>
      <c r="N1681" s="293"/>
      <c r="P1681" s="42">
        <v>800</v>
      </c>
      <c r="R1681" s="42">
        <v>0</v>
      </c>
      <c r="T1681" s="284">
        <v>800</v>
      </c>
      <c r="U1681" s="284"/>
    </row>
    <row r="1682" spans="2:21" x14ac:dyDescent="0.25">
      <c r="B1682" s="292">
        <v>35</v>
      </c>
      <c r="C1682" s="292"/>
      <c r="D1682" s="292"/>
      <c r="F1682" s="283" t="s">
        <v>148</v>
      </c>
      <c r="G1682" s="283"/>
      <c r="J1682" s="293">
        <v>2</v>
      </c>
      <c r="K1682" s="293"/>
      <c r="L1682" s="293"/>
      <c r="M1682" s="293"/>
      <c r="N1682" s="293"/>
      <c r="P1682" s="42">
        <v>1960</v>
      </c>
      <c r="R1682" s="42">
        <v>300</v>
      </c>
      <c r="T1682" s="284">
        <v>1660</v>
      </c>
      <c r="U1682" s="284"/>
    </row>
    <row r="1683" spans="2:21" x14ac:dyDescent="0.25">
      <c r="B1683" s="292">
        <v>36</v>
      </c>
      <c r="C1683" s="292"/>
      <c r="D1683" s="292"/>
      <c r="F1683" s="283" t="s">
        <v>144</v>
      </c>
      <c r="G1683" s="283"/>
      <c r="J1683" s="293">
        <v>2</v>
      </c>
      <c r="K1683" s="293"/>
      <c r="L1683" s="293"/>
      <c r="M1683" s="293"/>
      <c r="N1683" s="293"/>
      <c r="P1683" s="42">
        <v>600</v>
      </c>
      <c r="R1683" s="42">
        <v>0</v>
      </c>
      <c r="T1683" s="284">
        <v>600</v>
      </c>
      <c r="U1683" s="284"/>
    </row>
    <row r="1684" spans="2:21" x14ac:dyDescent="0.25">
      <c r="B1684" s="292">
        <v>37</v>
      </c>
      <c r="C1684" s="292"/>
      <c r="D1684" s="292"/>
      <c r="F1684" s="283" t="s">
        <v>425</v>
      </c>
      <c r="G1684" s="283"/>
      <c r="J1684" s="293">
        <v>1</v>
      </c>
      <c r="K1684" s="293"/>
      <c r="L1684" s="293"/>
      <c r="M1684" s="293"/>
      <c r="N1684" s="293"/>
      <c r="P1684" s="42">
        <v>500</v>
      </c>
      <c r="R1684" s="42">
        <v>0</v>
      </c>
      <c r="T1684" s="284">
        <v>500</v>
      </c>
      <c r="U1684" s="284"/>
    </row>
    <row r="1685" spans="2:21" x14ac:dyDescent="0.25">
      <c r="B1685" s="292">
        <v>38</v>
      </c>
      <c r="C1685" s="292"/>
      <c r="D1685" s="292"/>
      <c r="F1685" s="283" t="s">
        <v>288</v>
      </c>
      <c r="G1685" s="283"/>
      <c r="J1685" s="293">
        <v>2</v>
      </c>
      <c r="K1685" s="293"/>
      <c r="L1685" s="293"/>
      <c r="M1685" s="293"/>
      <c r="N1685" s="293"/>
      <c r="P1685" s="42">
        <v>1600</v>
      </c>
      <c r="R1685" s="42">
        <v>900</v>
      </c>
      <c r="T1685" s="284">
        <v>700</v>
      </c>
      <c r="U1685" s="284"/>
    </row>
    <row r="1686" spans="2:21" x14ac:dyDescent="0.25">
      <c r="B1686" s="292">
        <v>39</v>
      </c>
      <c r="C1686" s="292"/>
      <c r="D1686" s="292"/>
      <c r="F1686" s="283" t="s">
        <v>234</v>
      </c>
      <c r="G1686" s="283"/>
      <c r="J1686" s="293">
        <v>1</v>
      </c>
      <c r="K1686" s="293"/>
      <c r="L1686" s="293"/>
      <c r="M1686" s="293"/>
      <c r="N1686" s="293"/>
      <c r="P1686" s="42">
        <v>800</v>
      </c>
      <c r="R1686" s="42">
        <v>450</v>
      </c>
      <c r="T1686" s="284">
        <v>350</v>
      </c>
      <c r="U1686" s="284"/>
    </row>
    <row r="1687" spans="2:21" x14ac:dyDescent="0.25">
      <c r="B1687" s="292">
        <v>40</v>
      </c>
      <c r="C1687" s="292"/>
      <c r="D1687" s="292"/>
      <c r="F1687" s="283" t="s">
        <v>142</v>
      </c>
      <c r="G1687" s="283"/>
      <c r="J1687" s="293">
        <v>3</v>
      </c>
      <c r="K1687" s="293"/>
      <c r="L1687" s="293"/>
      <c r="M1687" s="293"/>
      <c r="N1687" s="293"/>
      <c r="P1687" s="42">
        <v>1050</v>
      </c>
      <c r="R1687" s="42">
        <v>450</v>
      </c>
      <c r="T1687" s="284">
        <v>600</v>
      </c>
      <c r="U1687" s="284"/>
    </row>
    <row r="1688" spans="2:21" x14ac:dyDescent="0.25">
      <c r="B1688" s="292">
        <v>41</v>
      </c>
      <c r="C1688" s="292"/>
      <c r="D1688" s="292"/>
      <c r="F1688" s="283" t="s">
        <v>75</v>
      </c>
      <c r="G1688" s="283"/>
      <c r="J1688" s="293">
        <v>1410</v>
      </c>
      <c r="K1688" s="293"/>
      <c r="L1688" s="293"/>
      <c r="M1688" s="293"/>
      <c r="N1688" s="293"/>
      <c r="P1688" s="42">
        <v>3525000</v>
      </c>
      <c r="R1688" s="42">
        <v>3525000</v>
      </c>
      <c r="T1688" s="284">
        <v>0</v>
      </c>
      <c r="U1688" s="284"/>
    </row>
    <row r="1689" spans="2:21" x14ac:dyDescent="0.25">
      <c r="B1689" s="292">
        <v>42</v>
      </c>
      <c r="C1689" s="292"/>
      <c r="D1689" s="292"/>
      <c r="F1689" s="283" t="s">
        <v>139</v>
      </c>
      <c r="G1689" s="283"/>
      <c r="J1689" s="293">
        <v>1</v>
      </c>
      <c r="K1689" s="293"/>
      <c r="L1689" s="293"/>
      <c r="M1689" s="293"/>
      <c r="N1689" s="293"/>
      <c r="P1689" s="42">
        <v>270</v>
      </c>
      <c r="R1689" s="42">
        <v>80</v>
      </c>
      <c r="T1689" s="284">
        <v>190</v>
      </c>
      <c r="U1689" s="284"/>
    </row>
    <row r="1690" spans="2:21" x14ac:dyDescent="0.25">
      <c r="B1690" s="292">
        <v>43</v>
      </c>
      <c r="C1690" s="292"/>
      <c r="D1690" s="292"/>
      <c r="F1690" s="283" t="s">
        <v>302</v>
      </c>
      <c r="G1690" s="283"/>
      <c r="J1690" s="293">
        <v>1</v>
      </c>
      <c r="K1690" s="293"/>
      <c r="L1690" s="293"/>
      <c r="M1690" s="293"/>
      <c r="N1690" s="293"/>
      <c r="P1690" s="42">
        <v>800</v>
      </c>
      <c r="R1690" s="42">
        <v>450</v>
      </c>
      <c r="T1690" s="284">
        <v>350</v>
      </c>
      <c r="U1690" s="284"/>
    </row>
    <row r="1691" spans="2:21" x14ac:dyDescent="0.25">
      <c r="B1691" s="292">
        <v>44</v>
      </c>
      <c r="C1691" s="292"/>
      <c r="D1691" s="292"/>
      <c r="F1691" s="283" t="s">
        <v>138</v>
      </c>
      <c r="G1691" s="283"/>
      <c r="J1691" s="293">
        <v>1</v>
      </c>
      <c r="K1691" s="293"/>
      <c r="L1691" s="293"/>
      <c r="M1691" s="293"/>
      <c r="N1691" s="293"/>
      <c r="P1691" s="42">
        <v>800</v>
      </c>
      <c r="R1691" s="42">
        <v>450</v>
      </c>
      <c r="T1691" s="284">
        <v>350</v>
      </c>
      <c r="U1691" s="284"/>
    </row>
    <row r="1692" spans="2:21" x14ac:dyDescent="0.25">
      <c r="B1692" s="292">
        <v>45</v>
      </c>
      <c r="C1692" s="292"/>
      <c r="D1692" s="292"/>
      <c r="F1692" s="283" t="s">
        <v>192</v>
      </c>
      <c r="G1692" s="283"/>
      <c r="J1692" s="293">
        <v>1</v>
      </c>
      <c r="K1692" s="293"/>
      <c r="L1692" s="293"/>
      <c r="M1692" s="293"/>
      <c r="N1692" s="293"/>
      <c r="P1692" s="42">
        <v>1550</v>
      </c>
      <c r="R1692" s="42">
        <v>0</v>
      </c>
      <c r="T1692" s="284">
        <v>1550</v>
      </c>
      <c r="U1692" s="284"/>
    </row>
    <row r="1693" spans="2:21" x14ac:dyDescent="0.25">
      <c r="B1693" s="292">
        <v>46</v>
      </c>
      <c r="C1693" s="292"/>
      <c r="D1693" s="292"/>
      <c r="F1693" s="283" t="s">
        <v>136</v>
      </c>
      <c r="G1693" s="283"/>
      <c r="J1693" s="293">
        <v>15</v>
      </c>
      <c r="K1693" s="293"/>
      <c r="L1693" s="293"/>
      <c r="M1693" s="293"/>
      <c r="N1693" s="293"/>
      <c r="P1693" s="42">
        <v>12750</v>
      </c>
      <c r="R1693" s="42">
        <v>3324</v>
      </c>
      <c r="T1693" s="284">
        <v>9426</v>
      </c>
      <c r="U1693" s="284"/>
    </row>
    <row r="1694" spans="2:21" x14ac:dyDescent="0.25">
      <c r="B1694" s="292">
        <v>47</v>
      </c>
      <c r="C1694" s="292"/>
      <c r="D1694" s="292"/>
      <c r="F1694" s="283" t="s">
        <v>74</v>
      </c>
      <c r="G1694" s="283"/>
      <c r="J1694" s="293">
        <v>187</v>
      </c>
      <c r="K1694" s="293"/>
      <c r="L1694" s="293"/>
      <c r="M1694" s="293"/>
      <c r="N1694" s="293"/>
      <c r="P1694" s="42">
        <v>158950</v>
      </c>
      <c r="R1694" s="42">
        <v>158950</v>
      </c>
      <c r="T1694" s="284">
        <v>0</v>
      </c>
      <c r="U1694" s="284"/>
    </row>
    <row r="1695" spans="2:21" x14ac:dyDescent="0.25">
      <c r="B1695" s="292">
        <v>48</v>
      </c>
      <c r="C1695" s="292"/>
      <c r="D1695" s="292"/>
      <c r="F1695" s="283" t="s">
        <v>424</v>
      </c>
      <c r="G1695" s="283"/>
      <c r="J1695" s="293">
        <v>1</v>
      </c>
      <c r="K1695" s="293"/>
      <c r="L1695" s="293"/>
      <c r="M1695" s="293"/>
      <c r="N1695" s="293"/>
      <c r="P1695" s="42">
        <v>500</v>
      </c>
      <c r="R1695" s="42">
        <v>150</v>
      </c>
      <c r="T1695" s="284">
        <v>350</v>
      </c>
      <c r="U1695" s="284"/>
    </row>
    <row r="1696" spans="2:21" x14ac:dyDescent="0.25">
      <c r="B1696" s="292">
        <v>49</v>
      </c>
      <c r="C1696" s="292"/>
      <c r="D1696" s="292"/>
      <c r="F1696" s="283" t="s">
        <v>190</v>
      </c>
      <c r="G1696" s="283"/>
      <c r="J1696" s="293">
        <v>3</v>
      </c>
      <c r="K1696" s="293"/>
      <c r="L1696" s="293"/>
      <c r="M1696" s="293"/>
      <c r="N1696" s="293"/>
      <c r="P1696" s="42">
        <v>4710</v>
      </c>
      <c r="R1696" s="42">
        <v>720</v>
      </c>
      <c r="T1696" s="284">
        <v>3990</v>
      </c>
      <c r="U1696" s="284"/>
    </row>
    <row r="1697" spans="2:21" x14ac:dyDescent="0.25">
      <c r="B1697" s="292">
        <v>50</v>
      </c>
      <c r="C1697" s="292"/>
      <c r="D1697" s="292"/>
      <c r="F1697" s="283" t="s">
        <v>230</v>
      </c>
      <c r="G1697" s="283"/>
      <c r="J1697" s="293">
        <v>5</v>
      </c>
      <c r="K1697" s="293"/>
      <c r="L1697" s="293"/>
      <c r="M1697" s="293"/>
      <c r="N1697" s="293"/>
      <c r="P1697" s="42">
        <v>4750</v>
      </c>
      <c r="R1697" s="42">
        <v>700</v>
      </c>
      <c r="T1697" s="284">
        <v>4050</v>
      </c>
      <c r="U1697" s="284"/>
    </row>
    <row r="1698" spans="2:21" x14ac:dyDescent="0.25">
      <c r="B1698" s="292">
        <v>51</v>
      </c>
      <c r="C1698" s="292"/>
      <c r="D1698" s="292"/>
      <c r="F1698" s="283" t="s">
        <v>135</v>
      </c>
      <c r="G1698" s="283"/>
      <c r="J1698" s="293">
        <v>7</v>
      </c>
      <c r="K1698" s="293"/>
      <c r="L1698" s="293"/>
      <c r="M1698" s="293"/>
      <c r="N1698" s="293"/>
      <c r="P1698" s="42">
        <v>6650</v>
      </c>
      <c r="R1698" s="42">
        <v>1960</v>
      </c>
      <c r="T1698" s="284">
        <v>4690</v>
      </c>
      <c r="U1698" s="284"/>
    </row>
    <row r="1699" spans="2:21" x14ac:dyDescent="0.25">
      <c r="B1699" s="292">
        <v>52</v>
      </c>
      <c r="C1699" s="292"/>
      <c r="D1699" s="292"/>
      <c r="F1699" s="283" t="s">
        <v>134</v>
      </c>
      <c r="G1699" s="283"/>
      <c r="J1699" s="293">
        <v>1</v>
      </c>
      <c r="K1699" s="293"/>
      <c r="L1699" s="293"/>
      <c r="M1699" s="293"/>
      <c r="N1699" s="293"/>
      <c r="P1699" s="42">
        <v>3700</v>
      </c>
      <c r="R1699" s="42">
        <v>800</v>
      </c>
      <c r="T1699" s="284">
        <v>2900</v>
      </c>
      <c r="U1699" s="284"/>
    </row>
    <row r="1700" spans="2:21" x14ac:dyDescent="0.25">
      <c r="B1700" s="292">
        <v>53</v>
      </c>
      <c r="C1700" s="292"/>
      <c r="D1700" s="292"/>
      <c r="F1700" s="283" t="s">
        <v>132</v>
      </c>
      <c r="G1700" s="283"/>
      <c r="J1700" s="293">
        <v>12</v>
      </c>
      <c r="K1700" s="293"/>
      <c r="L1700" s="293"/>
      <c r="M1700" s="293"/>
      <c r="N1700" s="293"/>
      <c r="P1700" s="42">
        <v>14880</v>
      </c>
      <c r="R1700" s="42">
        <v>4440</v>
      </c>
      <c r="T1700" s="284">
        <v>10440</v>
      </c>
      <c r="U1700" s="284"/>
    </row>
    <row r="1701" spans="2:21" x14ac:dyDescent="0.25">
      <c r="B1701" s="292">
        <v>54</v>
      </c>
      <c r="C1701" s="292"/>
      <c r="D1701" s="292"/>
      <c r="F1701" s="283" t="s">
        <v>131</v>
      </c>
      <c r="G1701" s="283"/>
      <c r="J1701" s="293">
        <v>2</v>
      </c>
      <c r="K1701" s="293"/>
      <c r="L1701" s="293"/>
      <c r="M1701" s="293"/>
      <c r="N1701" s="293"/>
      <c r="P1701" s="42">
        <v>7400</v>
      </c>
      <c r="R1701" s="42">
        <v>1600</v>
      </c>
      <c r="T1701" s="284">
        <v>5800</v>
      </c>
      <c r="U1701" s="284"/>
    </row>
    <row r="1702" spans="2:21" x14ac:dyDescent="0.25">
      <c r="B1702" s="292">
        <v>55</v>
      </c>
      <c r="C1702" s="292"/>
      <c r="D1702" s="292"/>
      <c r="F1702" s="283" t="s">
        <v>130</v>
      </c>
      <c r="G1702" s="283"/>
      <c r="J1702" s="293">
        <v>2</v>
      </c>
      <c r="K1702" s="293"/>
      <c r="L1702" s="293"/>
      <c r="M1702" s="293"/>
      <c r="N1702" s="293"/>
      <c r="P1702" s="42">
        <v>16000</v>
      </c>
      <c r="R1702" s="42">
        <v>8200</v>
      </c>
      <c r="T1702" s="284">
        <v>7800</v>
      </c>
      <c r="U1702" s="284"/>
    </row>
    <row r="1703" spans="2:21" x14ac:dyDescent="0.25">
      <c r="B1703" s="292">
        <v>56</v>
      </c>
      <c r="C1703" s="292"/>
      <c r="D1703" s="292"/>
      <c r="F1703" s="283" t="s">
        <v>127</v>
      </c>
      <c r="G1703" s="283"/>
      <c r="J1703" s="293">
        <v>10</v>
      </c>
      <c r="K1703" s="293"/>
      <c r="L1703" s="293"/>
      <c r="M1703" s="293"/>
      <c r="N1703" s="293"/>
      <c r="P1703" s="42">
        <v>3000</v>
      </c>
      <c r="R1703" s="42">
        <v>1056</v>
      </c>
      <c r="T1703" s="284">
        <v>1944</v>
      </c>
      <c r="U1703" s="284"/>
    </row>
    <row r="1704" spans="2:21" x14ac:dyDescent="0.25">
      <c r="B1704" s="292">
        <v>57</v>
      </c>
      <c r="C1704" s="292"/>
      <c r="D1704" s="292"/>
      <c r="F1704" s="283" t="s">
        <v>126</v>
      </c>
      <c r="G1704" s="283"/>
      <c r="J1704" s="293">
        <v>10</v>
      </c>
      <c r="K1704" s="293"/>
      <c r="L1704" s="293"/>
      <c r="M1704" s="293"/>
      <c r="N1704" s="293"/>
      <c r="P1704" s="42">
        <v>2000</v>
      </c>
      <c r="R1704" s="42">
        <v>702</v>
      </c>
      <c r="T1704" s="284">
        <v>1298</v>
      </c>
      <c r="U1704" s="284"/>
    </row>
    <row r="1705" spans="2:21" x14ac:dyDescent="0.25">
      <c r="B1705" s="292">
        <v>58</v>
      </c>
      <c r="C1705" s="292"/>
      <c r="D1705" s="292"/>
      <c r="F1705" s="283" t="s">
        <v>125</v>
      </c>
      <c r="G1705" s="283"/>
      <c r="J1705" s="293">
        <v>2</v>
      </c>
      <c r="K1705" s="293"/>
      <c r="L1705" s="293"/>
      <c r="M1705" s="293"/>
      <c r="N1705" s="293"/>
      <c r="P1705" s="42">
        <v>800</v>
      </c>
      <c r="R1705" s="42">
        <v>240</v>
      </c>
      <c r="T1705" s="284">
        <v>560</v>
      </c>
      <c r="U1705" s="284"/>
    </row>
    <row r="1706" spans="2:21" x14ac:dyDescent="0.25">
      <c r="B1706" s="292">
        <v>59</v>
      </c>
      <c r="C1706" s="292"/>
      <c r="D1706" s="292"/>
      <c r="F1706" s="283" t="s">
        <v>124</v>
      </c>
      <c r="G1706" s="283"/>
      <c r="J1706" s="293">
        <v>6</v>
      </c>
      <c r="K1706" s="293"/>
      <c r="L1706" s="293"/>
      <c r="M1706" s="293"/>
      <c r="N1706" s="293"/>
      <c r="P1706" s="42">
        <v>3920</v>
      </c>
      <c r="R1706" s="42">
        <v>1160</v>
      </c>
      <c r="T1706" s="284">
        <v>2760</v>
      </c>
      <c r="U1706" s="284"/>
    </row>
    <row r="1707" spans="2:21" x14ac:dyDescent="0.25">
      <c r="B1707" s="292">
        <v>60</v>
      </c>
      <c r="C1707" s="292"/>
      <c r="D1707" s="292"/>
      <c r="F1707" s="283" t="s">
        <v>123</v>
      </c>
      <c r="G1707" s="283"/>
      <c r="J1707" s="293">
        <v>90</v>
      </c>
      <c r="K1707" s="293"/>
      <c r="L1707" s="293"/>
      <c r="M1707" s="293"/>
      <c r="N1707" s="293"/>
      <c r="P1707" s="42">
        <v>70200</v>
      </c>
      <c r="R1707" s="42">
        <v>19982</v>
      </c>
      <c r="T1707" s="284">
        <v>50218</v>
      </c>
      <c r="U1707" s="284"/>
    </row>
    <row r="1708" spans="2:21" x14ac:dyDescent="0.25">
      <c r="B1708" s="292">
        <v>61</v>
      </c>
      <c r="C1708" s="292"/>
      <c r="D1708" s="292"/>
      <c r="F1708" s="283" t="s">
        <v>183</v>
      </c>
      <c r="G1708" s="283"/>
      <c r="J1708" s="293">
        <v>1</v>
      </c>
      <c r="K1708" s="293"/>
      <c r="L1708" s="293"/>
      <c r="M1708" s="293"/>
      <c r="N1708" s="293"/>
      <c r="P1708" s="42">
        <v>440</v>
      </c>
      <c r="R1708" s="42">
        <v>0</v>
      </c>
      <c r="T1708" s="284">
        <v>440</v>
      </c>
      <c r="U1708" s="284"/>
    </row>
    <row r="1709" spans="2:21" x14ac:dyDescent="0.25">
      <c r="B1709" s="292">
        <v>62</v>
      </c>
      <c r="C1709" s="292"/>
      <c r="D1709" s="292"/>
      <c r="F1709" s="283" t="s">
        <v>336</v>
      </c>
      <c r="G1709" s="283"/>
      <c r="J1709" s="293">
        <v>2</v>
      </c>
      <c r="K1709" s="293"/>
      <c r="L1709" s="293"/>
      <c r="M1709" s="293"/>
      <c r="N1709" s="293"/>
      <c r="P1709" s="42">
        <v>1200</v>
      </c>
      <c r="R1709" s="42">
        <v>340</v>
      </c>
      <c r="T1709" s="284">
        <v>860</v>
      </c>
      <c r="U1709" s="284"/>
    </row>
    <row r="1710" spans="2:21" x14ac:dyDescent="0.25">
      <c r="B1710" s="292">
        <v>63</v>
      </c>
      <c r="C1710" s="292"/>
      <c r="D1710" s="292"/>
      <c r="F1710" s="283" t="s">
        <v>122</v>
      </c>
      <c r="G1710" s="283"/>
      <c r="J1710" s="293">
        <v>1</v>
      </c>
      <c r="K1710" s="293"/>
      <c r="L1710" s="293"/>
      <c r="M1710" s="293"/>
      <c r="N1710" s="293"/>
      <c r="P1710" s="42">
        <v>500</v>
      </c>
      <c r="R1710" s="42">
        <v>150</v>
      </c>
      <c r="T1710" s="284">
        <v>350</v>
      </c>
      <c r="U1710" s="284"/>
    </row>
    <row r="1711" spans="2:21" x14ac:dyDescent="0.25">
      <c r="B1711" s="292">
        <v>64</v>
      </c>
      <c r="C1711" s="292"/>
      <c r="D1711" s="292"/>
      <c r="F1711" s="283" t="s">
        <v>121</v>
      </c>
      <c r="G1711" s="283"/>
      <c r="J1711" s="293">
        <v>3</v>
      </c>
      <c r="K1711" s="293"/>
      <c r="L1711" s="293"/>
      <c r="M1711" s="293"/>
      <c r="N1711" s="293"/>
      <c r="P1711" s="42">
        <v>1500</v>
      </c>
      <c r="R1711" s="42">
        <v>300</v>
      </c>
      <c r="T1711" s="284">
        <v>1200</v>
      </c>
      <c r="U1711" s="284"/>
    </row>
    <row r="1712" spans="2:21" x14ac:dyDescent="0.25">
      <c r="B1712" s="292">
        <v>65</v>
      </c>
      <c r="C1712" s="292"/>
      <c r="D1712" s="292"/>
      <c r="F1712" s="283" t="s">
        <v>119</v>
      </c>
      <c r="G1712" s="283"/>
      <c r="J1712" s="293">
        <v>8</v>
      </c>
      <c r="K1712" s="293"/>
      <c r="L1712" s="293"/>
      <c r="M1712" s="293"/>
      <c r="N1712" s="293"/>
      <c r="P1712" s="42">
        <v>7120</v>
      </c>
      <c r="R1712" s="42">
        <v>2334</v>
      </c>
      <c r="T1712" s="284">
        <v>4786</v>
      </c>
      <c r="U1712" s="284"/>
    </row>
    <row r="1713" spans="2:21" x14ac:dyDescent="0.25">
      <c r="B1713" s="292">
        <v>66</v>
      </c>
      <c r="C1713" s="292"/>
      <c r="D1713" s="292"/>
      <c r="F1713" s="283" t="s">
        <v>118</v>
      </c>
      <c r="G1713" s="283"/>
      <c r="J1713" s="293">
        <v>63</v>
      </c>
      <c r="K1713" s="293"/>
      <c r="L1713" s="293"/>
      <c r="M1713" s="293"/>
      <c r="N1713" s="293"/>
      <c r="P1713" s="42">
        <v>62370</v>
      </c>
      <c r="R1713" s="42">
        <v>20902</v>
      </c>
      <c r="T1713" s="284">
        <v>41468</v>
      </c>
      <c r="U1713" s="284"/>
    </row>
    <row r="1714" spans="2:21" x14ac:dyDescent="0.25">
      <c r="B1714" s="292">
        <v>67</v>
      </c>
      <c r="C1714" s="292"/>
      <c r="D1714" s="292"/>
      <c r="F1714" s="283" t="s">
        <v>117</v>
      </c>
      <c r="G1714" s="283"/>
      <c r="J1714" s="293">
        <v>2</v>
      </c>
      <c r="K1714" s="293"/>
      <c r="L1714" s="293"/>
      <c r="M1714" s="293"/>
      <c r="N1714" s="293"/>
      <c r="P1714" s="42">
        <v>1600</v>
      </c>
      <c r="R1714" s="42">
        <v>400</v>
      </c>
      <c r="T1714" s="284">
        <v>1200</v>
      </c>
      <c r="U1714" s="284"/>
    </row>
    <row r="1715" spans="2:21" x14ac:dyDescent="0.25">
      <c r="B1715" s="292">
        <v>68</v>
      </c>
      <c r="C1715" s="292"/>
      <c r="D1715" s="292"/>
      <c r="F1715" s="285" t="s">
        <v>116</v>
      </c>
      <c r="G1715" s="285"/>
      <c r="J1715" s="293">
        <v>1</v>
      </c>
      <c r="K1715" s="293"/>
      <c r="L1715" s="293"/>
      <c r="M1715" s="293"/>
      <c r="N1715" s="293"/>
      <c r="P1715" s="42">
        <v>800</v>
      </c>
      <c r="R1715" s="42">
        <v>200</v>
      </c>
      <c r="T1715" s="284">
        <v>600</v>
      </c>
      <c r="U1715" s="284"/>
    </row>
    <row r="1716" spans="2:21" x14ac:dyDescent="0.25">
      <c r="F1716" s="285"/>
      <c r="G1716" s="285"/>
    </row>
    <row r="1717" spans="2:21" x14ac:dyDescent="0.25">
      <c r="B1717" s="292">
        <v>69</v>
      </c>
      <c r="C1717" s="292"/>
      <c r="D1717" s="292"/>
      <c r="F1717" s="283" t="s">
        <v>115</v>
      </c>
      <c r="G1717" s="283"/>
      <c r="J1717" s="293">
        <v>29</v>
      </c>
      <c r="K1717" s="293"/>
      <c r="L1717" s="293"/>
      <c r="M1717" s="293"/>
      <c r="N1717" s="293"/>
      <c r="P1717" s="42">
        <v>8410</v>
      </c>
      <c r="R1717" s="42">
        <v>2307</v>
      </c>
      <c r="T1717" s="284">
        <v>6103</v>
      </c>
      <c r="U1717" s="284"/>
    </row>
    <row r="1718" spans="2:21" x14ac:dyDescent="0.25">
      <c r="B1718" s="292">
        <v>70</v>
      </c>
      <c r="C1718" s="292"/>
      <c r="D1718" s="292"/>
      <c r="F1718" s="283" t="s">
        <v>417</v>
      </c>
      <c r="G1718" s="283"/>
      <c r="J1718" s="293">
        <v>1</v>
      </c>
      <c r="K1718" s="293"/>
      <c r="L1718" s="293"/>
      <c r="M1718" s="293"/>
      <c r="N1718" s="293"/>
      <c r="P1718" s="42">
        <v>600</v>
      </c>
      <c r="R1718" s="42">
        <v>0</v>
      </c>
      <c r="T1718" s="284">
        <v>600</v>
      </c>
      <c r="U1718" s="284"/>
    </row>
    <row r="1719" spans="2:21" x14ac:dyDescent="0.25">
      <c r="B1719" s="292">
        <v>71</v>
      </c>
      <c r="C1719" s="292"/>
      <c r="D1719" s="292"/>
      <c r="F1719" s="283" t="s">
        <v>423</v>
      </c>
      <c r="G1719" s="283"/>
      <c r="J1719" s="293">
        <v>1</v>
      </c>
      <c r="K1719" s="293"/>
      <c r="L1719" s="293"/>
      <c r="M1719" s="293"/>
      <c r="N1719" s="293"/>
      <c r="P1719" s="42">
        <v>120</v>
      </c>
      <c r="R1719" s="42">
        <v>0</v>
      </c>
      <c r="T1719" s="284">
        <v>120</v>
      </c>
      <c r="U1719" s="284"/>
    </row>
    <row r="1720" spans="2:21" x14ac:dyDescent="0.25">
      <c r="B1720" s="292">
        <v>72</v>
      </c>
      <c r="C1720" s="292"/>
      <c r="D1720" s="292"/>
      <c r="F1720" s="283" t="s">
        <v>219</v>
      </c>
      <c r="G1720" s="283"/>
      <c r="J1720" s="293">
        <v>2</v>
      </c>
      <c r="K1720" s="293"/>
      <c r="L1720" s="293"/>
      <c r="M1720" s="293"/>
      <c r="N1720" s="293"/>
      <c r="P1720" s="42">
        <v>1000</v>
      </c>
      <c r="R1720" s="42">
        <v>300</v>
      </c>
      <c r="T1720" s="284">
        <v>700</v>
      </c>
      <c r="U1720" s="284"/>
    </row>
    <row r="1721" spans="2:21" x14ac:dyDescent="0.25">
      <c r="B1721" s="292">
        <v>73</v>
      </c>
      <c r="C1721" s="292"/>
      <c r="D1721" s="292"/>
      <c r="F1721" s="283" t="s">
        <v>108</v>
      </c>
      <c r="G1721" s="283"/>
      <c r="J1721" s="293">
        <v>199</v>
      </c>
      <c r="K1721" s="293"/>
      <c r="L1721" s="293"/>
      <c r="M1721" s="293"/>
      <c r="N1721" s="293"/>
      <c r="P1721" s="42">
        <v>19900</v>
      </c>
      <c r="R1721" s="42">
        <v>2850</v>
      </c>
      <c r="T1721" s="284">
        <v>17050</v>
      </c>
      <c r="U1721" s="284"/>
    </row>
    <row r="1722" spans="2:21" x14ac:dyDescent="0.25">
      <c r="B1722" s="292">
        <v>74</v>
      </c>
      <c r="C1722" s="292"/>
      <c r="D1722" s="292"/>
      <c r="F1722" s="283" t="s">
        <v>107</v>
      </c>
      <c r="G1722" s="283"/>
      <c r="J1722" s="293">
        <v>36</v>
      </c>
      <c r="K1722" s="293"/>
      <c r="L1722" s="293"/>
      <c r="M1722" s="293"/>
      <c r="N1722" s="293"/>
      <c r="P1722" s="42">
        <v>6120</v>
      </c>
      <c r="R1722" s="42">
        <v>1814</v>
      </c>
      <c r="T1722" s="284">
        <v>4306</v>
      </c>
      <c r="U1722" s="284"/>
    </row>
    <row r="1723" spans="2:21" x14ac:dyDescent="0.25">
      <c r="B1723" s="292">
        <v>75</v>
      </c>
      <c r="C1723" s="292"/>
      <c r="D1723" s="292"/>
      <c r="F1723" s="283" t="s">
        <v>106</v>
      </c>
      <c r="G1723" s="283"/>
      <c r="J1723" s="293">
        <v>18</v>
      </c>
      <c r="K1723" s="293"/>
      <c r="L1723" s="293"/>
      <c r="M1723" s="293"/>
      <c r="N1723" s="293"/>
      <c r="P1723" s="42">
        <v>1800</v>
      </c>
      <c r="R1723" s="42">
        <v>540</v>
      </c>
      <c r="T1723" s="284">
        <v>1260</v>
      </c>
      <c r="U1723" s="284"/>
    </row>
    <row r="1724" spans="2:21" x14ac:dyDescent="0.25">
      <c r="B1724" s="292">
        <v>76</v>
      </c>
      <c r="C1724" s="292"/>
      <c r="D1724" s="292"/>
      <c r="F1724" s="283" t="s">
        <v>218</v>
      </c>
      <c r="G1724" s="283"/>
      <c r="J1724" s="293">
        <v>1</v>
      </c>
      <c r="K1724" s="293"/>
      <c r="L1724" s="293"/>
      <c r="M1724" s="293"/>
      <c r="N1724" s="293"/>
      <c r="P1724" s="42">
        <v>290</v>
      </c>
      <c r="R1724" s="42">
        <v>80</v>
      </c>
      <c r="T1724" s="284">
        <v>210</v>
      </c>
      <c r="U1724" s="284"/>
    </row>
    <row r="1725" spans="2:21" x14ac:dyDescent="0.25">
      <c r="B1725" s="292">
        <v>77</v>
      </c>
      <c r="C1725" s="292"/>
      <c r="D1725" s="292"/>
      <c r="F1725" s="283" t="s">
        <v>105</v>
      </c>
      <c r="G1725" s="283"/>
      <c r="J1725" s="293">
        <v>29</v>
      </c>
      <c r="K1725" s="293"/>
      <c r="L1725" s="293"/>
      <c r="M1725" s="293"/>
      <c r="N1725" s="293"/>
      <c r="P1725" s="42">
        <v>33350</v>
      </c>
      <c r="R1725" s="42">
        <v>0</v>
      </c>
      <c r="T1725" s="284">
        <v>33350</v>
      </c>
      <c r="U1725" s="284"/>
    </row>
    <row r="1726" spans="2:21" x14ac:dyDescent="0.25">
      <c r="B1726" s="292">
        <v>78</v>
      </c>
      <c r="C1726" s="292"/>
      <c r="D1726" s="292"/>
      <c r="F1726" s="283" t="s">
        <v>397</v>
      </c>
      <c r="G1726" s="283"/>
      <c r="J1726" s="293">
        <v>5</v>
      </c>
      <c r="K1726" s="293"/>
      <c r="L1726" s="293"/>
      <c r="M1726" s="293"/>
      <c r="N1726" s="293"/>
      <c r="P1726" s="42">
        <v>5750</v>
      </c>
      <c r="R1726" s="42">
        <v>0</v>
      </c>
      <c r="T1726" s="284">
        <v>5750</v>
      </c>
      <c r="U1726" s="284"/>
    </row>
    <row r="1727" spans="2:21" x14ac:dyDescent="0.25">
      <c r="B1727" s="292">
        <v>79</v>
      </c>
      <c r="C1727" s="292"/>
      <c r="D1727" s="292"/>
      <c r="F1727" s="283" t="s">
        <v>104</v>
      </c>
      <c r="G1727" s="283"/>
      <c r="J1727" s="293">
        <v>1</v>
      </c>
      <c r="K1727" s="293"/>
      <c r="L1727" s="293"/>
      <c r="M1727" s="293"/>
      <c r="N1727" s="293"/>
      <c r="P1727" s="42">
        <v>330</v>
      </c>
      <c r="R1727" s="42">
        <v>135</v>
      </c>
      <c r="T1727" s="284">
        <v>195</v>
      </c>
      <c r="U1727" s="284"/>
    </row>
    <row r="1728" spans="2:21" x14ac:dyDescent="0.25">
      <c r="B1728" s="292">
        <v>80</v>
      </c>
      <c r="C1728" s="292"/>
      <c r="D1728" s="292"/>
      <c r="F1728" s="283" t="s">
        <v>103</v>
      </c>
      <c r="G1728" s="283"/>
      <c r="J1728" s="293">
        <v>94</v>
      </c>
      <c r="K1728" s="293"/>
      <c r="L1728" s="293"/>
      <c r="M1728" s="293"/>
      <c r="N1728" s="293"/>
      <c r="P1728" s="42">
        <v>31020</v>
      </c>
      <c r="R1728" s="42">
        <v>11102</v>
      </c>
      <c r="T1728" s="284">
        <v>19918</v>
      </c>
      <c r="U1728" s="284"/>
    </row>
    <row r="1729" spans="2:21" x14ac:dyDescent="0.25">
      <c r="B1729" s="292">
        <v>81</v>
      </c>
      <c r="C1729" s="292"/>
      <c r="D1729" s="292"/>
      <c r="F1729" s="283" t="s">
        <v>213</v>
      </c>
      <c r="G1729" s="283"/>
      <c r="J1729" s="293">
        <v>1</v>
      </c>
      <c r="K1729" s="293"/>
      <c r="L1729" s="293"/>
      <c r="M1729" s="293"/>
      <c r="N1729" s="293"/>
      <c r="P1729" s="42">
        <v>700</v>
      </c>
      <c r="R1729" s="42">
        <v>0</v>
      </c>
      <c r="T1729" s="284">
        <v>700</v>
      </c>
      <c r="U1729" s="284"/>
    </row>
    <row r="1730" spans="2:21" x14ac:dyDescent="0.25">
      <c r="B1730" s="292">
        <v>82</v>
      </c>
      <c r="C1730" s="292"/>
      <c r="D1730" s="292"/>
      <c r="F1730" s="283" t="s">
        <v>211</v>
      </c>
      <c r="G1730" s="283"/>
      <c r="J1730" s="293">
        <v>2</v>
      </c>
      <c r="K1730" s="293"/>
      <c r="L1730" s="293"/>
      <c r="M1730" s="293"/>
      <c r="N1730" s="293"/>
      <c r="P1730" s="42">
        <v>1000</v>
      </c>
      <c r="R1730" s="42">
        <v>300</v>
      </c>
      <c r="T1730" s="284">
        <v>700</v>
      </c>
      <c r="U1730" s="284"/>
    </row>
    <row r="1731" spans="2:21" x14ac:dyDescent="0.25">
      <c r="B1731" s="292">
        <v>83</v>
      </c>
      <c r="C1731" s="292"/>
      <c r="D1731" s="292"/>
      <c r="F1731" s="283" t="s">
        <v>276</v>
      </c>
      <c r="G1731" s="283"/>
      <c r="J1731" s="293">
        <v>1</v>
      </c>
      <c r="K1731" s="293"/>
      <c r="L1731" s="293"/>
      <c r="M1731" s="293"/>
      <c r="N1731" s="293"/>
      <c r="P1731" s="42">
        <v>500</v>
      </c>
      <c r="R1731" s="42">
        <v>150</v>
      </c>
      <c r="T1731" s="284">
        <v>350</v>
      </c>
      <c r="U1731" s="284"/>
    </row>
    <row r="1732" spans="2:21" x14ac:dyDescent="0.25">
      <c r="B1732" s="292">
        <v>84</v>
      </c>
      <c r="C1732" s="292"/>
      <c r="D1732" s="292"/>
      <c r="F1732" s="283" t="s">
        <v>210</v>
      </c>
      <c r="G1732" s="283"/>
      <c r="J1732" s="293">
        <v>1</v>
      </c>
      <c r="K1732" s="293"/>
      <c r="L1732" s="293"/>
      <c r="M1732" s="293"/>
      <c r="N1732" s="293"/>
      <c r="P1732" s="42">
        <v>390</v>
      </c>
      <c r="R1732" s="42">
        <v>120</v>
      </c>
      <c r="T1732" s="284">
        <v>270</v>
      </c>
      <c r="U1732" s="284"/>
    </row>
    <row r="1733" spans="2:21" x14ac:dyDescent="0.25">
      <c r="B1733" s="292">
        <v>85</v>
      </c>
      <c r="C1733" s="292"/>
      <c r="D1733" s="292"/>
      <c r="F1733" s="283" t="s">
        <v>102</v>
      </c>
      <c r="G1733" s="283"/>
      <c r="J1733" s="293">
        <v>16</v>
      </c>
      <c r="K1733" s="293"/>
      <c r="L1733" s="293"/>
      <c r="M1733" s="293"/>
      <c r="N1733" s="293"/>
      <c r="P1733" s="42">
        <v>14080</v>
      </c>
      <c r="R1733" s="42">
        <v>1560</v>
      </c>
      <c r="T1733" s="284">
        <v>12520</v>
      </c>
      <c r="U1733" s="284"/>
    </row>
    <row r="1734" spans="2:21" x14ac:dyDescent="0.25">
      <c r="B1734" s="292">
        <v>86</v>
      </c>
      <c r="C1734" s="292"/>
      <c r="D1734" s="292"/>
      <c r="F1734" s="283" t="s">
        <v>101</v>
      </c>
      <c r="G1734" s="283"/>
      <c r="J1734" s="293">
        <v>1</v>
      </c>
      <c r="K1734" s="293"/>
      <c r="L1734" s="293"/>
      <c r="M1734" s="293"/>
      <c r="N1734" s="293"/>
      <c r="P1734" s="42">
        <v>460</v>
      </c>
      <c r="R1734" s="42">
        <v>0</v>
      </c>
      <c r="T1734" s="284">
        <v>460</v>
      </c>
      <c r="U1734" s="284"/>
    </row>
    <row r="1735" spans="2:21" x14ac:dyDescent="0.25">
      <c r="B1735" s="292">
        <v>87</v>
      </c>
      <c r="C1735" s="292"/>
      <c r="D1735" s="292"/>
      <c r="F1735" s="283" t="s">
        <v>100</v>
      </c>
      <c r="G1735" s="283"/>
      <c r="J1735" s="293">
        <v>2</v>
      </c>
      <c r="K1735" s="293"/>
      <c r="L1735" s="293"/>
      <c r="M1735" s="293"/>
      <c r="N1735" s="293"/>
      <c r="P1735" s="42">
        <v>360</v>
      </c>
      <c r="R1735" s="42">
        <v>100</v>
      </c>
      <c r="T1735" s="284">
        <v>260</v>
      </c>
      <c r="U1735" s="284"/>
    </row>
    <row r="1736" spans="2:21" x14ac:dyDescent="0.25">
      <c r="B1736" s="292">
        <v>88</v>
      </c>
      <c r="C1736" s="292"/>
      <c r="D1736" s="292"/>
      <c r="F1736" s="283" t="s">
        <v>178</v>
      </c>
      <c r="G1736" s="283"/>
      <c r="J1736" s="293">
        <v>1</v>
      </c>
      <c r="K1736" s="293"/>
      <c r="L1736" s="293"/>
      <c r="M1736" s="293"/>
      <c r="N1736" s="293"/>
      <c r="P1736" s="42">
        <v>1650</v>
      </c>
      <c r="R1736" s="42">
        <v>0</v>
      </c>
      <c r="T1736" s="284">
        <v>1650</v>
      </c>
      <c r="U1736" s="284"/>
    </row>
    <row r="1737" spans="2:21" x14ac:dyDescent="0.25">
      <c r="B1737" s="292">
        <v>89</v>
      </c>
      <c r="C1737" s="292"/>
      <c r="D1737" s="292"/>
      <c r="F1737" s="283" t="s">
        <v>99</v>
      </c>
      <c r="G1737" s="283"/>
      <c r="J1737" s="293">
        <v>2</v>
      </c>
      <c r="K1737" s="293"/>
      <c r="L1737" s="293"/>
      <c r="M1737" s="293"/>
      <c r="N1737" s="293"/>
      <c r="P1737" s="42">
        <v>1180</v>
      </c>
      <c r="R1737" s="42">
        <v>90</v>
      </c>
      <c r="T1737" s="284">
        <v>1090</v>
      </c>
      <c r="U1737" s="284"/>
    </row>
    <row r="1738" spans="2:21" x14ac:dyDescent="0.25">
      <c r="B1738" s="292">
        <v>90</v>
      </c>
      <c r="C1738" s="292"/>
      <c r="D1738" s="292"/>
      <c r="F1738" s="283" t="s">
        <v>98</v>
      </c>
      <c r="G1738" s="283"/>
      <c r="J1738" s="293">
        <v>2</v>
      </c>
      <c r="K1738" s="293"/>
      <c r="L1738" s="293"/>
      <c r="M1738" s="293"/>
      <c r="N1738" s="293"/>
      <c r="P1738" s="42">
        <v>1140</v>
      </c>
      <c r="R1738" s="42">
        <v>80</v>
      </c>
      <c r="T1738" s="284">
        <v>1060</v>
      </c>
      <c r="U1738" s="284"/>
    </row>
    <row r="1739" spans="2:21" x14ac:dyDescent="0.25">
      <c r="B1739" s="292">
        <v>91</v>
      </c>
      <c r="C1739" s="292"/>
      <c r="D1739" s="292"/>
      <c r="F1739" s="283" t="s">
        <v>97</v>
      </c>
      <c r="G1739" s="283"/>
      <c r="J1739" s="293">
        <v>4</v>
      </c>
      <c r="K1739" s="293"/>
      <c r="L1739" s="293"/>
      <c r="M1739" s="293"/>
      <c r="N1739" s="293"/>
      <c r="P1739" s="42">
        <v>6360</v>
      </c>
      <c r="R1739" s="42">
        <v>960</v>
      </c>
      <c r="T1739" s="284">
        <v>5400</v>
      </c>
      <c r="U1739" s="284"/>
    </row>
    <row r="1740" spans="2:21" x14ac:dyDescent="0.25">
      <c r="B1740" s="292">
        <v>92</v>
      </c>
      <c r="C1740" s="292"/>
      <c r="D1740" s="292"/>
      <c r="F1740" s="283" t="s">
        <v>96</v>
      </c>
      <c r="G1740" s="283"/>
      <c r="J1740" s="293">
        <v>1</v>
      </c>
      <c r="K1740" s="293"/>
      <c r="L1740" s="293"/>
      <c r="M1740" s="293"/>
      <c r="N1740" s="293"/>
      <c r="P1740" s="42">
        <v>440</v>
      </c>
      <c r="R1740" s="42">
        <v>130</v>
      </c>
      <c r="T1740" s="284">
        <v>310</v>
      </c>
      <c r="U1740" s="284"/>
    </row>
    <row r="1741" spans="2:21" x14ac:dyDescent="0.25">
      <c r="B1741" s="292">
        <v>93</v>
      </c>
      <c r="C1741" s="292"/>
      <c r="D1741" s="292"/>
      <c r="F1741" s="283" t="s">
        <v>93</v>
      </c>
      <c r="G1741" s="283"/>
      <c r="J1741" s="293">
        <v>9</v>
      </c>
      <c r="K1741" s="293"/>
      <c r="L1741" s="293"/>
      <c r="M1741" s="293"/>
      <c r="N1741" s="293"/>
      <c r="P1741" s="42">
        <v>5310</v>
      </c>
      <c r="R1741" s="42">
        <v>630</v>
      </c>
      <c r="T1741" s="284">
        <v>4680</v>
      </c>
      <c r="U1741" s="284"/>
    </row>
    <row r="1742" spans="2:21" x14ac:dyDescent="0.25">
      <c r="B1742" s="292">
        <v>94</v>
      </c>
      <c r="C1742" s="292"/>
      <c r="D1742" s="292"/>
      <c r="F1742" s="283" t="s">
        <v>92</v>
      </c>
      <c r="G1742" s="283"/>
      <c r="J1742" s="293">
        <v>28</v>
      </c>
      <c r="K1742" s="293"/>
      <c r="L1742" s="293"/>
      <c r="M1742" s="293"/>
      <c r="N1742" s="293"/>
      <c r="P1742" s="42">
        <v>22080</v>
      </c>
      <c r="R1742" s="42">
        <v>5716</v>
      </c>
      <c r="T1742" s="284">
        <v>16364</v>
      </c>
      <c r="U1742" s="284"/>
    </row>
    <row r="1743" spans="2:21" x14ac:dyDescent="0.25">
      <c r="B1743" s="292">
        <v>95</v>
      </c>
      <c r="C1743" s="292"/>
      <c r="D1743" s="292"/>
      <c r="F1743" s="283" t="s">
        <v>91</v>
      </c>
      <c r="G1743" s="283"/>
      <c r="J1743" s="293">
        <v>22</v>
      </c>
      <c r="K1743" s="293"/>
      <c r="L1743" s="293"/>
      <c r="M1743" s="293"/>
      <c r="N1743" s="293"/>
      <c r="P1743" s="42">
        <v>5500</v>
      </c>
      <c r="R1743" s="42">
        <v>1612</v>
      </c>
      <c r="T1743" s="284">
        <v>3888</v>
      </c>
      <c r="U1743" s="284"/>
    </row>
    <row r="1744" spans="2:21" x14ac:dyDescent="0.25">
      <c r="B1744" s="292">
        <v>96</v>
      </c>
      <c r="C1744" s="292"/>
      <c r="D1744" s="292"/>
      <c r="F1744" s="283" t="s">
        <v>90</v>
      </c>
      <c r="G1744" s="283"/>
      <c r="J1744" s="293">
        <v>12</v>
      </c>
      <c r="K1744" s="293"/>
      <c r="L1744" s="293"/>
      <c r="M1744" s="293"/>
      <c r="N1744" s="293"/>
      <c r="P1744" s="42">
        <v>3480</v>
      </c>
      <c r="R1744" s="42">
        <v>960</v>
      </c>
      <c r="T1744" s="284">
        <v>2520</v>
      </c>
      <c r="U1744" s="284"/>
    </row>
    <row r="1745" spans="1:21" x14ac:dyDescent="0.25">
      <c r="B1745" s="292">
        <v>97</v>
      </c>
      <c r="C1745" s="292"/>
      <c r="D1745" s="292"/>
      <c r="F1745" s="283" t="s">
        <v>89</v>
      </c>
      <c r="G1745" s="283"/>
      <c r="J1745" s="293">
        <v>2</v>
      </c>
      <c r="K1745" s="293"/>
      <c r="L1745" s="293"/>
      <c r="M1745" s="293"/>
      <c r="N1745" s="293"/>
      <c r="P1745" s="42">
        <v>1760</v>
      </c>
      <c r="R1745" s="42">
        <v>260</v>
      </c>
      <c r="T1745" s="284">
        <v>1500</v>
      </c>
      <c r="U1745" s="284"/>
    </row>
    <row r="1746" spans="1:21" x14ac:dyDescent="0.25">
      <c r="B1746" s="292">
        <v>98</v>
      </c>
      <c r="C1746" s="292"/>
      <c r="D1746" s="292"/>
      <c r="F1746" s="283" t="s">
        <v>88</v>
      </c>
      <c r="G1746" s="283"/>
      <c r="J1746" s="293">
        <v>53</v>
      </c>
      <c r="K1746" s="293"/>
      <c r="L1746" s="293"/>
      <c r="M1746" s="293"/>
      <c r="N1746" s="293"/>
      <c r="P1746" s="42">
        <v>9540</v>
      </c>
      <c r="R1746" s="42">
        <v>2664</v>
      </c>
      <c r="T1746" s="284">
        <v>6876</v>
      </c>
      <c r="U1746" s="284"/>
    </row>
    <row r="1747" spans="1:21" x14ac:dyDescent="0.25">
      <c r="B1747" s="292">
        <v>99</v>
      </c>
      <c r="C1747" s="292"/>
      <c r="D1747" s="292"/>
      <c r="F1747" s="283" t="s">
        <v>87</v>
      </c>
      <c r="G1747" s="283"/>
      <c r="J1747" s="293">
        <v>1</v>
      </c>
      <c r="K1747" s="293"/>
      <c r="L1747" s="293"/>
      <c r="M1747" s="293"/>
      <c r="N1747" s="293"/>
      <c r="P1747" s="42">
        <v>290</v>
      </c>
      <c r="R1747" s="42">
        <v>80</v>
      </c>
      <c r="T1747" s="284">
        <v>210</v>
      </c>
      <c r="U1747" s="284"/>
    </row>
    <row r="1748" spans="1:21" x14ac:dyDescent="0.25">
      <c r="B1748" s="292">
        <v>100</v>
      </c>
      <c r="C1748" s="292"/>
      <c r="D1748" s="292"/>
      <c r="F1748" s="283" t="s">
        <v>86</v>
      </c>
      <c r="G1748" s="283"/>
      <c r="J1748" s="293">
        <v>3</v>
      </c>
      <c r="K1748" s="293"/>
      <c r="L1748" s="293"/>
      <c r="M1748" s="293"/>
      <c r="N1748" s="293"/>
      <c r="P1748" s="42">
        <v>3420</v>
      </c>
      <c r="R1748" s="42">
        <v>510</v>
      </c>
      <c r="T1748" s="284">
        <v>2910</v>
      </c>
      <c r="U1748" s="284"/>
    </row>
    <row r="1749" spans="1:21" x14ac:dyDescent="0.25">
      <c r="B1749" s="292">
        <v>101</v>
      </c>
      <c r="C1749" s="292"/>
      <c r="D1749" s="292"/>
      <c r="F1749" s="283" t="s">
        <v>85</v>
      </c>
      <c r="G1749" s="283"/>
      <c r="J1749" s="293">
        <v>8</v>
      </c>
      <c r="K1749" s="293"/>
      <c r="L1749" s="293"/>
      <c r="M1749" s="293"/>
      <c r="N1749" s="293"/>
      <c r="P1749" s="42">
        <v>16640</v>
      </c>
      <c r="R1749" s="42">
        <v>2480</v>
      </c>
      <c r="T1749" s="284">
        <v>14160</v>
      </c>
      <c r="U1749" s="284"/>
    </row>
    <row r="1750" spans="1:21" x14ac:dyDescent="0.25">
      <c r="B1750" s="292">
        <v>102</v>
      </c>
      <c r="C1750" s="292"/>
      <c r="D1750" s="292"/>
      <c r="F1750" s="283" t="s">
        <v>84</v>
      </c>
      <c r="G1750" s="283"/>
      <c r="J1750" s="293">
        <v>18</v>
      </c>
      <c r="K1750" s="293"/>
      <c r="L1750" s="293"/>
      <c r="M1750" s="293"/>
      <c r="N1750" s="293"/>
      <c r="P1750" s="42">
        <v>10620</v>
      </c>
      <c r="R1750" s="42">
        <v>3240</v>
      </c>
      <c r="T1750" s="284">
        <v>7380</v>
      </c>
      <c r="U1750" s="284"/>
    </row>
    <row r="1751" spans="1:21" x14ac:dyDescent="0.25">
      <c r="B1751" s="292">
        <v>103</v>
      </c>
      <c r="C1751" s="292"/>
      <c r="D1751" s="292"/>
      <c r="F1751" s="283" t="s">
        <v>271</v>
      </c>
      <c r="G1751" s="283"/>
      <c r="J1751" s="293">
        <v>7</v>
      </c>
      <c r="K1751" s="293"/>
      <c r="L1751" s="293"/>
      <c r="M1751" s="293"/>
      <c r="N1751" s="293"/>
      <c r="P1751" s="42">
        <v>3500</v>
      </c>
      <c r="R1751" s="42">
        <v>990</v>
      </c>
      <c r="T1751" s="284">
        <v>2510</v>
      </c>
      <c r="U1751" s="284"/>
    </row>
    <row r="1752" spans="1:21" x14ac:dyDescent="0.25">
      <c r="B1752" s="292">
        <v>104</v>
      </c>
      <c r="C1752" s="292"/>
      <c r="D1752" s="292"/>
      <c r="F1752" s="283" t="s">
        <v>363</v>
      </c>
      <c r="G1752" s="283"/>
      <c r="J1752" s="293">
        <v>1</v>
      </c>
      <c r="K1752" s="293"/>
      <c r="L1752" s="293"/>
      <c r="M1752" s="293"/>
      <c r="N1752" s="293"/>
      <c r="P1752" s="42">
        <v>500</v>
      </c>
      <c r="R1752" s="42">
        <v>0</v>
      </c>
      <c r="T1752" s="284">
        <v>500</v>
      </c>
      <c r="U1752" s="284"/>
    </row>
    <row r="1753" spans="1:21" x14ac:dyDescent="0.25">
      <c r="B1753" s="292">
        <v>105</v>
      </c>
      <c r="C1753" s="292"/>
      <c r="D1753" s="292"/>
      <c r="F1753" s="283" t="s">
        <v>82</v>
      </c>
      <c r="G1753" s="283"/>
      <c r="J1753" s="293">
        <v>2</v>
      </c>
      <c r="K1753" s="293"/>
      <c r="L1753" s="293"/>
      <c r="M1753" s="293"/>
      <c r="N1753" s="293"/>
      <c r="P1753" s="42">
        <v>580</v>
      </c>
      <c r="R1753" s="42">
        <v>580</v>
      </c>
      <c r="T1753" s="284">
        <v>0</v>
      </c>
      <c r="U1753" s="284"/>
    </row>
    <row r="1754" spans="1:21" x14ac:dyDescent="0.25">
      <c r="B1754" s="292">
        <v>106</v>
      </c>
      <c r="C1754" s="292"/>
      <c r="D1754" s="292"/>
      <c r="F1754" s="283" t="s">
        <v>81</v>
      </c>
      <c r="G1754" s="283"/>
      <c r="J1754" s="293">
        <v>74</v>
      </c>
      <c r="K1754" s="293"/>
      <c r="L1754" s="293"/>
      <c r="M1754" s="293"/>
      <c r="N1754" s="293"/>
      <c r="P1754" s="42">
        <v>21460</v>
      </c>
      <c r="R1754" s="42">
        <v>6454</v>
      </c>
      <c r="T1754" s="284">
        <v>15006</v>
      </c>
      <c r="U1754" s="284"/>
    </row>
    <row r="1755" spans="1:21" s="40" customFormat="1" x14ac:dyDescent="0.25">
      <c r="A1755" s="290" t="s">
        <v>422</v>
      </c>
      <c r="B1755" s="290"/>
      <c r="C1755" s="290"/>
      <c r="D1755" s="290"/>
      <c r="E1755" s="290"/>
      <c r="F1755" s="290"/>
      <c r="G1755" s="290"/>
      <c r="H1755" s="290"/>
      <c r="I1755" s="290"/>
      <c r="J1755" s="290"/>
      <c r="K1755" s="291">
        <v>3707</v>
      </c>
      <c r="L1755" s="291"/>
      <c r="M1755" s="291"/>
      <c r="N1755" s="291"/>
      <c r="O1755" s="291"/>
      <c r="P1755" s="41">
        <v>4054050</v>
      </c>
      <c r="R1755" s="41">
        <v>3644035</v>
      </c>
      <c r="T1755" s="287">
        <v>410015</v>
      </c>
      <c r="U1755" s="287"/>
    </row>
    <row r="1756" spans="1:21" x14ac:dyDescent="0.25">
      <c r="B1756" s="292">
        <v>1</v>
      </c>
      <c r="C1756" s="292"/>
      <c r="D1756" s="292"/>
      <c r="F1756" s="283" t="s">
        <v>200</v>
      </c>
      <c r="G1756" s="283"/>
      <c r="J1756" s="293">
        <v>3</v>
      </c>
      <c r="K1756" s="293"/>
      <c r="L1756" s="293"/>
      <c r="M1756" s="293"/>
      <c r="N1756" s="293"/>
      <c r="P1756" s="42">
        <v>1500</v>
      </c>
      <c r="R1756" s="42">
        <v>450</v>
      </c>
      <c r="T1756" s="284">
        <v>1050</v>
      </c>
      <c r="U1756" s="284"/>
    </row>
    <row r="1757" spans="1:21" x14ac:dyDescent="0.25">
      <c r="B1757" s="292">
        <v>2</v>
      </c>
      <c r="C1757" s="292"/>
      <c r="D1757" s="292"/>
      <c r="F1757" s="283" t="s">
        <v>251</v>
      </c>
      <c r="G1757" s="283"/>
      <c r="J1757" s="293">
        <v>1</v>
      </c>
      <c r="K1757" s="293"/>
      <c r="L1757" s="293"/>
      <c r="M1757" s="293"/>
      <c r="N1757" s="293"/>
      <c r="P1757" s="42">
        <v>800</v>
      </c>
      <c r="R1757" s="42">
        <v>200</v>
      </c>
      <c r="T1757" s="284">
        <v>600</v>
      </c>
      <c r="U1757" s="284"/>
    </row>
    <row r="1758" spans="1:21" x14ac:dyDescent="0.25">
      <c r="B1758" s="292">
        <v>3</v>
      </c>
      <c r="C1758" s="292"/>
      <c r="D1758" s="292"/>
      <c r="F1758" s="283" t="s">
        <v>78</v>
      </c>
      <c r="G1758" s="283"/>
      <c r="J1758" s="293">
        <v>319</v>
      </c>
      <c r="K1758" s="293"/>
      <c r="L1758" s="293"/>
      <c r="M1758" s="293"/>
      <c r="N1758" s="293"/>
      <c r="P1758" s="42">
        <v>92510</v>
      </c>
      <c r="R1758" s="42">
        <v>92510</v>
      </c>
      <c r="T1758" s="284">
        <v>0</v>
      </c>
      <c r="U1758" s="284"/>
    </row>
    <row r="1759" spans="1:21" x14ac:dyDescent="0.25">
      <c r="B1759" s="292">
        <v>4</v>
      </c>
      <c r="C1759" s="292"/>
      <c r="D1759" s="292"/>
      <c r="F1759" s="283" t="s">
        <v>199</v>
      </c>
      <c r="G1759" s="283"/>
      <c r="J1759" s="293">
        <v>1</v>
      </c>
      <c r="K1759" s="293"/>
      <c r="L1759" s="293"/>
      <c r="M1759" s="293"/>
      <c r="N1759" s="293"/>
      <c r="P1759" s="42">
        <v>290</v>
      </c>
      <c r="R1759" s="42">
        <v>100</v>
      </c>
      <c r="T1759" s="284">
        <v>190</v>
      </c>
      <c r="U1759" s="284"/>
    </row>
    <row r="1760" spans="1:21" x14ac:dyDescent="0.25">
      <c r="B1760" s="292">
        <v>5</v>
      </c>
      <c r="C1760" s="292"/>
      <c r="D1760" s="292"/>
      <c r="F1760" s="283" t="s">
        <v>164</v>
      </c>
      <c r="G1760" s="283"/>
      <c r="J1760" s="293">
        <v>1</v>
      </c>
      <c r="K1760" s="293"/>
      <c r="L1760" s="293"/>
      <c r="M1760" s="293"/>
      <c r="N1760" s="293"/>
      <c r="P1760" s="42">
        <v>590</v>
      </c>
      <c r="R1760" s="42">
        <v>180</v>
      </c>
      <c r="T1760" s="284">
        <v>410</v>
      </c>
      <c r="U1760" s="284"/>
    </row>
    <row r="1761" spans="2:21" x14ac:dyDescent="0.25">
      <c r="B1761" s="292">
        <v>6</v>
      </c>
      <c r="C1761" s="292"/>
      <c r="D1761" s="292"/>
      <c r="F1761" s="283" t="s">
        <v>163</v>
      </c>
      <c r="G1761" s="283"/>
      <c r="J1761" s="293">
        <v>1</v>
      </c>
      <c r="K1761" s="293"/>
      <c r="L1761" s="293"/>
      <c r="M1761" s="293"/>
      <c r="N1761" s="293"/>
      <c r="P1761" s="42">
        <v>1190</v>
      </c>
      <c r="R1761" s="42">
        <v>180</v>
      </c>
      <c r="T1761" s="284">
        <v>1010</v>
      </c>
      <c r="U1761" s="284"/>
    </row>
    <row r="1762" spans="2:21" x14ac:dyDescent="0.25">
      <c r="B1762" s="292">
        <v>7</v>
      </c>
      <c r="C1762" s="292"/>
      <c r="D1762" s="292"/>
      <c r="F1762" s="283" t="s">
        <v>162</v>
      </c>
      <c r="G1762" s="283"/>
      <c r="J1762" s="293">
        <v>14</v>
      </c>
      <c r="K1762" s="293"/>
      <c r="L1762" s="293"/>
      <c r="M1762" s="293"/>
      <c r="N1762" s="293"/>
      <c r="P1762" s="42">
        <v>6020</v>
      </c>
      <c r="R1762" s="42">
        <v>2548</v>
      </c>
      <c r="T1762" s="284">
        <v>3472</v>
      </c>
      <c r="U1762" s="284"/>
    </row>
    <row r="1763" spans="2:21" x14ac:dyDescent="0.25">
      <c r="B1763" s="292">
        <v>8</v>
      </c>
      <c r="C1763" s="292"/>
      <c r="D1763" s="292"/>
      <c r="F1763" s="283" t="s">
        <v>160</v>
      </c>
      <c r="G1763" s="283"/>
      <c r="J1763" s="293">
        <v>10</v>
      </c>
      <c r="K1763" s="293"/>
      <c r="L1763" s="293"/>
      <c r="M1763" s="293"/>
      <c r="N1763" s="293"/>
      <c r="P1763" s="42">
        <v>2900</v>
      </c>
      <c r="R1763" s="42">
        <v>800</v>
      </c>
      <c r="T1763" s="284">
        <v>2100</v>
      </c>
      <c r="U1763" s="284"/>
    </row>
    <row r="1764" spans="2:21" x14ac:dyDescent="0.25">
      <c r="B1764" s="292">
        <v>9</v>
      </c>
      <c r="C1764" s="292"/>
      <c r="D1764" s="292"/>
      <c r="F1764" s="283" t="s">
        <v>266</v>
      </c>
      <c r="G1764" s="283"/>
      <c r="J1764" s="293">
        <v>1</v>
      </c>
      <c r="K1764" s="293"/>
      <c r="L1764" s="293"/>
      <c r="M1764" s="293"/>
      <c r="N1764" s="293"/>
      <c r="P1764" s="42">
        <v>1350</v>
      </c>
      <c r="R1764" s="42">
        <v>400</v>
      </c>
      <c r="T1764" s="284">
        <v>950</v>
      </c>
      <c r="U1764" s="284"/>
    </row>
    <row r="1765" spans="2:21" x14ac:dyDescent="0.25">
      <c r="B1765" s="292">
        <v>10</v>
      </c>
      <c r="C1765" s="292"/>
      <c r="D1765" s="292"/>
      <c r="F1765" s="283" t="s">
        <v>158</v>
      </c>
      <c r="G1765" s="283"/>
      <c r="J1765" s="293">
        <v>197</v>
      </c>
      <c r="K1765" s="293"/>
      <c r="L1765" s="293"/>
      <c r="M1765" s="293"/>
      <c r="N1765" s="293"/>
      <c r="P1765" s="42">
        <v>108350</v>
      </c>
      <c r="R1765" s="42">
        <v>32590</v>
      </c>
      <c r="T1765" s="284">
        <v>75760</v>
      </c>
      <c r="U1765" s="284"/>
    </row>
    <row r="1766" spans="2:21" x14ac:dyDescent="0.25">
      <c r="B1766" s="292">
        <v>11</v>
      </c>
      <c r="C1766" s="292"/>
      <c r="D1766" s="292"/>
      <c r="F1766" s="283" t="s">
        <v>157</v>
      </c>
      <c r="G1766" s="283"/>
      <c r="J1766" s="293">
        <v>84</v>
      </c>
      <c r="K1766" s="293"/>
      <c r="L1766" s="293"/>
      <c r="M1766" s="293"/>
      <c r="N1766" s="293"/>
      <c r="P1766" s="42">
        <v>41160</v>
      </c>
      <c r="R1766" s="42">
        <v>17837</v>
      </c>
      <c r="T1766" s="284">
        <v>23323</v>
      </c>
      <c r="U1766" s="284"/>
    </row>
    <row r="1767" spans="2:21" x14ac:dyDescent="0.25">
      <c r="B1767" s="292">
        <v>12</v>
      </c>
      <c r="C1767" s="292"/>
      <c r="D1767" s="292"/>
      <c r="F1767" s="283" t="s">
        <v>196</v>
      </c>
      <c r="G1767" s="283"/>
      <c r="J1767" s="293">
        <v>5</v>
      </c>
      <c r="K1767" s="293"/>
      <c r="L1767" s="293"/>
      <c r="M1767" s="293"/>
      <c r="N1767" s="293"/>
      <c r="P1767" s="42">
        <v>3500</v>
      </c>
      <c r="R1767" s="42">
        <v>1750</v>
      </c>
      <c r="T1767" s="284">
        <v>1750</v>
      </c>
      <c r="U1767" s="284"/>
    </row>
    <row r="1768" spans="2:21" x14ac:dyDescent="0.25">
      <c r="B1768" s="292">
        <v>13</v>
      </c>
      <c r="C1768" s="292"/>
      <c r="D1768" s="292"/>
      <c r="F1768" s="283" t="s">
        <v>77</v>
      </c>
      <c r="G1768" s="283"/>
      <c r="J1768" s="293">
        <v>514</v>
      </c>
      <c r="K1768" s="293"/>
      <c r="L1768" s="293"/>
      <c r="M1768" s="293"/>
      <c r="N1768" s="293"/>
      <c r="P1768" s="42">
        <v>208600</v>
      </c>
      <c r="R1768" s="42">
        <v>208600</v>
      </c>
      <c r="T1768" s="284">
        <v>0</v>
      </c>
      <c r="U1768" s="284"/>
    </row>
    <row r="1769" spans="2:21" x14ac:dyDescent="0.25">
      <c r="B1769" s="292">
        <v>14</v>
      </c>
      <c r="C1769" s="292"/>
      <c r="D1769" s="292"/>
      <c r="F1769" s="283" t="s">
        <v>156</v>
      </c>
      <c r="G1769" s="283"/>
      <c r="J1769" s="293">
        <v>10</v>
      </c>
      <c r="K1769" s="293"/>
      <c r="L1769" s="293"/>
      <c r="M1769" s="293"/>
      <c r="N1769" s="293"/>
      <c r="P1769" s="42">
        <v>1900</v>
      </c>
      <c r="R1769" s="42">
        <v>570</v>
      </c>
      <c r="T1769" s="284">
        <v>1330</v>
      </c>
      <c r="U1769" s="284"/>
    </row>
    <row r="1770" spans="2:21" x14ac:dyDescent="0.25">
      <c r="B1770" s="292">
        <v>15</v>
      </c>
      <c r="C1770" s="292"/>
      <c r="D1770" s="292"/>
      <c r="F1770" s="283" t="s">
        <v>342</v>
      </c>
      <c r="G1770" s="283"/>
      <c r="J1770" s="293">
        <v>1</v>
      </c>
      <c r="K1770" s="293"/>
      <c r="L1770" s="293"/>
      <c r="M1770" s="293"/>
      <c r="N1770" s="293"/>
      <c r="P1770" s="42">
        <v>500</v>
      </c>
      <c r="R1770" s="42">
        <v>150</v>
      </c>
      <c r="T1770" s="284">
        <v>350</v>
      </c>
      <c r="U1770" s="284"/>
    </row>
    <row r="1771" spans="2:21" x14ac:dyDescent="0.25">
      <c r="B1771" s="292">
        <v>16</v>
      </c>
      <c r="C1771" s="292"/>
      <c r="D1771" s="292"/>
      <c r="F1771" s="283" t="s">
        <v>155</v>
      </c>
      <c r="G1771" s="283"/>
      <c r="J1771" s="293">
        <v>32</v>
      </c>
      <c r="K1771" s="293"/>
      <c r="L1771" s="293"/>
      <c r="M1771" s="293"/>
      <c r="N1771" s="293"/>
      <c r="P1771" s="42">
        <v>8000</v>
      </c>
      <c r="R1771" s="42">
        <v>2660</v>
      </c>
      <c r="T1771" s="284">
        <v>5340</v>
      </c>
      <c r="U1771" s="284"/>
    </row>
    <row r="1772" spans="2:21" x14ac:dyDescent="0.25">
      <c r="B1772" s="292">
        <v>17</v>
      </c>
      <c r="C1772" s="292"/>
      <c r="D1772" s="292"/>
      <c r="F1772" s="283" t="s">
        <v>289</v>
      </c>
      <c r="G1772" s="283"/>
      <c r="J1772" s="293">
        <v>1</v>
      </c>
      <c r="K1772" s="293"/>
      <c r="L1772" s="293"/>
      <c r="M1772" s="293"/>
      <c r="N1772" s="293"/>
      <c r="P1772" s="42">
        <v>500</v>
      </c>
      <c r="R1772" s="42">
        <v>150</v>
      </c>
      <c r="T1772" s="284">
        <v>350</v>
      </c>
      <c r="U1772" s="284"/>
    </row>
    <row r="1773" spans="2:21" x14ac:dyDescent="0.25">
      <c r="B1773" s="292">
        <v>18</v>
      </c>
      <c r="C1773" s="292"/>
      <c r="D1773" s="292"/>
      <c r="F1773" s="283" t="s">
        <v>320</v>
      </c>
      <c r="G1773" s="283"/>
      <c r="J1773" s="293">
        <v>3</v>
      </c>
      <c r="K1773" s="293"/>
      <c r="L1773" s="293"/>
      <c r="M1773" s="293"/>
      <c r="N1773" s="293"/>
      <c r="P1773" s="42">
        <v>1500</v>
      </c>
      <c r="R1773" s="42">
        <v>450</v>
      </c>
      <c r="T1773" s="284">
        <v>1050</v>
      </c>
      <c r="U1773" s="284"/>
    </row>
    <row r="1774" spans="2:21" x14ac:dyDescent="0.25">
      <c r="B1774" s="292">
        <v>19</v>
      </c>
      <c r="C1774" s="292"/>
      <c r="D1774" s="292"/>
      <c r="F1774" s="283" t="s">
        <v>152</v>
      </c>
      <c r="G1774" s="283"/>
      <c r="J1774" s="293">
        <v>10</v>
      </c>
      <c r="K1774" s="293"/>
      <c r="L1774" s="293"/>
      <c r="M1774" s="293"/>
      <c r="N1774" s="293"/>
      <c r="P1774" s="42">
        <v>5900</v>
      </c>
      <c r="R1774" s="42">
        <v>1830</v>
      </c>
      <c r="T1774" s="284">
        <v>4070</v>
      </c>
      <c r="U1774" s="284"/>
    </row>
    <row r="1775" spans="2:21" x14ac:dyDescent="0.25">
      <c r="B1775" s="292">
        <v>20</v>
      </c>
      <c r="C1775" s="292"/>
      <c r="D1775" s="292"/>
      <c r="F1775" s="283" t="s">
        <v>151</v>
      </c>
      <c r="G1775" s="283"/>
      <c r="J1775" s="293">
        <v>55</v>
      </c>
      <c r="K1775" s="293"/>
      <c r="L1775" s="293"/>
      <c r="M1775" s="293"/>
      <c r="N1775" s="293"/>
      <c r="P1775" s="42">
        <v>12650</v>
      </c>
      <c r="R1775" s="42">
        <v>2070</v>
      </c>
      <c r="T1775" s="284">
        <v>10580</v>
      </c>
      <c r="U1775" s="284"/>
    </row>
    <row r="1776" spans="2:21" x14ac:dyDescent="0.25">
      <c r="B1776" s="292">
        <v>21</v>
      </c>
      <c r="C1776" s="292"/>
      <c r="D1776" s="292"/>
      <c r="F1776" s="283" t="s">
        <v>150</v>
      </c>
      <c r="G1776" s="283"/>
      <c r="J1776" s="293">
        <v>29</v>
      </c>
      <c r="K1776" s="293"/>
      <c r="L1776" s="293"/>
      <c r="M1776" s="293"/>
      <c r="N1776" s="293"/>
      <c r="P1776" s="42">
        <v>4930</v>
      </c>
      <c r="R1776" s="42">
        <v>1400</v>
      </c>
      <c r="T1776" s="284">
        <v>3530</v>
      </c>
      <c r="U1776" s="284"/>
    </row>
    <row r="1777" spans="2:21" x14ac:dyDescent="0.25">
      <c r="B1777" s="292">
        <v>22</v>
      </c>
      <c r="C1777" s="292"/>
      <c r="D1777" s="292"/>
      <c r="F1777" s="283" t="s">
        <v>288</v>
      </c>
      <c r="G1777" s="283"/>
      <c r="J1777" s="293">
        <v>2</v>
      </c>
      <c r="K1777" s="293"/>
      <c r="L1777" s="293"/>
      <c r="M1777" s="293"/>
      <c r="N1777" s="293"/>
      <c r="P1777" s="42">
        <v>1600</v>
      </c>
      <c r="R1777" s="42">
        <v>900</v>
      </c>
      <c r="T1777" s="284">
        <v>700</v>
      </c>
      <c r="U1777" s="284"/>
    </row>
    <row r="1778" spans="2:21" x14ac:dyDescent="0.25">
      <c r="B1778" s="292">
        <v>23</v>
      </c>
      <c r="C1778" s="292"/>
      <c r="D1778" s="292"/>
      <c r="F1778" s="283" t="s">
        <v>234</v>
      </c>
      <c r="G1778" s="283"/>
      <c r="J1778" s="293">
        <v>3</v>
      </c>
      <c r="K1778" s="293"/>
      <c r="L1778" s="293"/>
      <c r="M1778" s="293"/>
      <c r="N1778" s="293"/>
      <c r="P1778" s="42">
        <v>2400</v>
      </c>
      <c r="R1778" s="42">
        <v>1350</v>
      </c>
      <c r="T1778" s="284">
        <v>1050</v>
      </c>
      <c r="U1778" s="284"/>
    </row>
    <row r="1779" spans="2:21" x14ac:dyDescent="0.25">
      <c r="B1779" s="292">
        <v>24</v>
      </c>
      <c r="C1779" s="292"/>
      <c r="D1779" s="292"/>
      <c r="F1779" s="283" t="s">
        <v>287</v>
      </c>
      <c r="G1779" s="283"/>
      <c r="J1779" s="293">
        <v>1</v>
      </c>
      <c r="K1779" s="293"/>
      <c r="L1779" s="293"/>
      <c r="M1779" s="293"/>
      <c r="N1779" s="293"/>
      <c r="P1779" s="42">
        <v>800</v>
      </c>
      <c r="R1779" s="42">
        <v>450</v>
      </c>
      <c r="T1779" s="284">
        <v>350</v>
      </c>
      <c r="U1779" s="284"/>
    </row>
    <row r="1780" spans="2:21" x14ac:dyDescent="0.25">
      <c r="B1780" s="292">
        <v>25</v>
      </c>
      <c r="C1780" s="292"/>
      <c r="D1780" s="292"/>
      <c r="F1780" s="283" t="s">
        <v>193</v>
      </c>
      <c r="G1780" s="283"/>
      <c r="J1780" s="293">
        <v>1</v>
      </c>
      <c r="K1780" s="293"/>
      <c r="L1780" s="293"/>
      <c r="M1780" s="293"/>
      <c r="N1780" s="293"/>
      <c r="P1780" s="42">
        <v>890</v>
      </c>
      <c r="R1780" s="42">
        <v>130</v>
      </c>
      <c r="T1780" s="284">
        <v>760</v>
      </c>
      <c r="U1780" s="284"/>
    </row>
    <row r="1781" spans="2:21" x14ac:dyDescent="0.25">
      <c r="B1781" s="292">
        <v>26</v>
      </c>
      <c r="C1781" s="292"/>
      <c r="D1781" s="292"/>
      <c r="F1781" s="283" t="s">
        <v>142</v>
      </c>
      <c r="G1781" s="283"/>
      <c r="J1781" s="293">
        <v>1</v>
      </c>
      <c r="K1781" s="293"/>
      <c r="L1781" s="293"/>
      <c r="M1781" s="293"/>
      <c r="N1781" s="293"/>
      <c r="P1781" s="42">
        <v>350</v>
      </c>
      <c r="R1781" s="42">
        <v>150</v>
      </c>
      <c r="T1781" s="284">
        <v>200</v>
      </c>
      <c r="U1781" s="284"/>
    </row>
    <row r="1782" spans="2:21" x14ac:dyDescent="0.25">
      <c r="B1782" s="292">
        <v>27</v>
      </c>
      <c r="C1782" s="292"/>
      <c r="D1782" s="292"/>
      <c r="F1782" s="283" t="s">
        <v>75</v>
      </c>
      <c r="G1782" s="283"/>
      <c r="J1782" s="293">
        <v>1213</v>
      </c>
      <c r="K1782" s="293"/>
      <c r="L1782" s="293"/>
      <c r="M1782" s="293"/>
      <c r="N1782" s="293"/>
      <c r="P1782" s="42">
        <v>3032500</v>
      </c>
      <c r="R1782" s="42">
        <v>3032500</v>
      </c>
      <c r="T1782" s="284">
        <v>0</v>
      </c>
      <c r="U1782" s="284"/>
    </row>
    <row r="1783" spans="2:21" x14ac:dyDescent="0.25">
      <c r="B1783" s="292">
        <v>28</v>
      </c>
      <c r="C1783" s="292"/>
      <c r="D1783" s="292"/>
      <c r="F1783" s="283" t="s">
        <v>136</v>
      </c>
      <c r="G1783" s="283"/>
      <c r="J1783" s="293">
        <v>30</v>
      </c>
      <c r="K1783" s="293"/>
      <c r="L1783" s="293"/>
      <c r="M1783" s="293"/>
      <c r="N1783" s="293"/>
      <c r="P1783" s="42">
        <v>25500</v>
      </c>
      <c r="R1783" s="42">
        <v>5980</v>
      </c>
      <c r="T1783" s="284">
        <v>19520</v>
      </c>
      <c r="U1783" s="284"/>
    </row>
    <row r="1784" spans="2:21" x14ac:dyDescent="0.25">
      <c r="B1784" s="292">
        <v>29</v>
      </c>
      <c r="C1784" s="292"/>
      <c r="D1784" s="292"/>
      <c r="F1784" s="283" t="s">
        <v>74</v>
      </c>
      <c r="G1784" s="283"/>
      <c r="J1784" s="293">
        <v>195</v>
      </c>
      <c r="K1784" s="293"/>
      <c r="L1784" s="293"/>
      <c r="M1784" s="293"/>
      <c r="N1784" s="293"/>
      <c r="P1784" s="42">
        <v>165750</v>
      </c>
      <c r="R1784" s="42">
        <v>165750</v>
      </c>
      <c r="T1784" s="284">
        <v>0</v>
      </c>
      <c r="U1784" s="284"/>
    </row>
    <row r="1785" spans="2:21" x14ac:dyDescent="0.25">
      <c r="B1785" s="292">
        <v>30</v>
      </c>
      <c r="C1785" s="292"/>
      <c r="D1785" s="292"/>
      <c r="F1785" s="283" t="s">
        <v>352</v>
      </c>
      <c r="G1785" s="283"/>
      <c r="J1785" s="293">
        <v>1</v>
      </c>
      <c r="K1785" s="293"/>
      <c r="L1785" s="293"/>
      <c r="M1785" s="293"/>
      <c r="N1785" s="293"/>
      <c r="P1785" s="42">
        <v>800</v>
      </c>
      <c r="R1785" s="42">
        <v>450</v>
      </c>
      <c r="T1785" s="284">
        <v>350</v>
      </c>
      <c r="U1785" s="284"/>
    </row>
    <row r="1786" spans="2:21" x14ac:dyDescent="0.25">
      <c r="B1786" s="292">
        <v>31</v>
      </c>
      <c r="C1786" s="292"/>
      <c r="D1786" s="292"/>
      <c r="F1786" s="283" t="s">
        <v>351</v>
      </c>
      <c r="G1786" s="283"/>
      <c r="J1786" s="293">
        <v>1</v>
      </c>
      <c r="K1786" s="293"/>
      <c r="L1786" s="293"/>
      <c r="M1786" s="293"/>
      <c r="N1786" s="293"/>
      <c r="P1786" s="42">
        <v>800</v>
      </c>
      <c r="R1786" s="42">
        <v>450</v>
      </c>
      <c r="T1786" s="284">
        <v>350</v>
      </c>
      <c r="U1786" s="284"/>
    </row>
    <row r="1787" spans="2:21" x14ac:dyDescent="0.25">
      <c r="B1787" s="292">
        <v>32</v>
      </c>
      <c r="C1787" s="292"/>
      <c r="D1787" s="292"/>
      <c r="F1787" s="283" t="s">
        <v>135</v>
      </c>
      <c r="G1787" s="283"/>
      <c r="J1787" s="293">
        <v>7</v>
      </c>
      <c r="K1787" s="293"/>
      <c r="L1787" s="293"/>
      <c r="M1787" s="293"/>
      <c r="N1787" s="293"/>
      <c r="P1787" s="42">
        <v>6650</v>
      </c>
      <c r="R1787" s="42">
        <v>1680</v>
      </c>
      <c r="T1787" s="284">
        <v>4970</v>
      </c>
      <c r="U1787" s="284"/>
    </row>
    <row r="1788" spans="2:21" x14ac:dyDescent="0.25">
      <c r="B1788" s="292">
        <v>33</v>
      </c>
      <c r="C1788" s="292"/>
      <c r="D1788" s="292"/>
      <c r="F1788" s="283" t="s">
        <v>132</v>
      </c>
      <c r="G1788" s="283"/>
      <c r="J1788" s="293">
        <v>6</v>
      </c>
      <c r="K1788" s="293"/>
      <c r="L1788" s="293"/>
      <c r="M1788" s="293"/>
      <c r="N1788" s="293"/>
      <c r="P1788" s="42">
        <v>7440</v>
      </c>
      <c r="R1788" s="42">
        <v>2220</v>
      </c>
      <c r="T1788" s="284">
        <v>5220</v>
      </c>
      <c r="U1788" s="284"/>
    </row>
    <row r="1789" spans="2:21" x14ac:dyDescent="0.25">
      <c r="B1789" s="292">
        <v>34</v>
      </c>
      <c r="C1789" s="292"/>
      <c r="D1789" s="292"/>
      <c r="F1789" s="285" t="s">
        <v>186</v>
      </c>
      <c r="G1789" s="285"/>
      <c r="J1789" s="293">
        <v>41</v>
      </c>
      <c r="K1789" s="293"/>
      <c r="L1789" s="293"/>
      <c r="M1789" s="293"/>
      <c r="N1789" s="293"/>
      <c r="P1789" s="42">
        <v>2460</v>
      </c>
      <c r="R1789" s="42">
        <v>0</v>
      </c>
      <c r="T1789" s="284">
        <v>2460</v>
      </c>
      <c r="U1789" s="284"/>
    </row>
    <row r="1790" spans="2:21" x14ac:dyDescent="0.25">
      <c r="F1790" s="285"/>
      <c r="G1790" s="285"/>
    </row>
    <row r="1791" spans="2:21" x14ac:dyDescent="0.25">
      <c r="B1791" s="292">
        <v>35</v>
      </c>
      <c r="C1791" s="292"/>
      <c r="D1791" s="292"/>
      <c r="F1791" s="283" t="s">
        <v>127</v>
      </c>
      <c r="G1791" s="283"/>
      <c r="J1791" s="293">
        <v>4</v>
      </c>
      <c r="K1791" s="293"/>
      <c r="L1791" s="293"/>
      <c r="M1791" s="293"/>
      <c r="N1791" s="293"/>
      <c r="P1791" s="42">
        <v>1200</v>
      </c>
      <c r="R1791" s="42">
        <v>524</v>
      </c>
      <c r="T1791" s="284">
        <v>676</v>
      </c>
      <c r="U1791" s="284"/>
    </row>
    <row r="1792" spans="2:21" x14ac:dyDescent="0.25">
      <c r="B1792" s="292">
        <v>36</v>
      </c>
      <c r="C1792" s="292"/>
      <c r="D1792" s="292"/>
      <c r="F1792" s="283" t="s">
        <v>126</v>
      </c>
      <c r="G1792" s="283"/>
      <c r="J1792" s="293">
        <v>5</v>
      </c>
      <c r="K1792" s="293"/>
      <c r="L1792" s="293"/>
      <c r="M1792" s="293"/>
      <c r="N1792" s="293"/>
      <c r="P1792" s="42">
        <v>1000</v>
      </c>
      <c r="R1792" s="42">
        <v>408</v>
      </c>
      <c r="T1792" s="284">
        <v>592</v>
      </c>
      <c r="U1792" s="284"/>
    </row>
    <row r="1793" spans="2:21" x14ac:dyDescent="0.25">
      <c r="B1793" s="292">
        <v>37</v>
      </c>
      <c r="C1793" s="292"/>
      <c r="D1793" s="292"/>
      <c r="F1793" s="283" t="s">
        <v>125</v>
      </c>
      <c r="G1793" s="283"/>
      <c r="J1793" s="293">
        <v>2</v>
      </c>
      <c r="K1793" s="293"/>
      <c r="L1793" s="293"/>
      <c r="M1793" s="293"/>
      <c r="N1793" s="293"/>
      <c r="P1793" s="42">
        <v>800</v>
      </c>
      <c r="R1793" s="42">
        <v>240</v>
      </c>
      <c r="T1793" s="284">
        <v>560</v>
      </c>
      <c r="U1793" s="284"/>
    </row>
    <row r="1794" spans="2:21" x14ac:dyDescent="0.25">
      <c r="B1794" s="292">
        <v>38</v>
      </c>
      <c r="C1794" s="292"/>
      <c r="D1794" s="292"/>
      <c r="F1794" s="283" t="s">
        <v>124</v>
      </c>
      <c r="G1794" s="283"/>
      <c r="J1794" s="293">
        <v>1</v>
      </c>
      <c r="K1794" s="293"/>
      <c r="L1794" s="293"/>
      <c r="M1794" s="293"/>
      <c r="N1794" s="293"/>
      <c r="P1794" s="42">
        <v>400</v>
      </c>
      <c r="R1794" s="42">
        <v>120</v>
      </c>
      <c r="T1794" s="284">
        <v>280</v>
      </c>
      <c r="U1794" s="284"/>
    </row>
    <row r="1795" spans="2:21" x14ac:dyDescent="0.25">
      <c r="B1795" s="292">
        <v>39</v>
      </c>
      <c r="C1795" s="292"/>
      <c r="D1795" s="292"/>
      <c r="F1795" s="283" t="s">
        <v>123</v>
      </c>
      <c r="G1795" s="283"/>
      <c r="J1795" s="293">
        <v>13</v>
      </c>
      <c r="K1795" s="293"/>
      <c r="L1795" s="293"/>
      <c r="M1795" s="293"/>
      <c r="N1795" s="293"/>
      <c r="P1795" s="42">
        <v>10140</v>
      </c>
      <c r="R1795" s="42">
        <v>2990</v>
      </c>
      <c r="T1795" s="284">
        <v>7150</v>
      </c>
      <c r="U1795" s="284"/>
    </row>
    <row r="1796" spans="2:21" x14ac:dyDescent="0.25">
      <c r="B1796" s="292">
        <v>40</v>
      </c>
      <c r="C1796" s="292"/>
      <c r="D1796" s="292"/>
      <c r="F1796" s="283" t="s">
        <v>122</v>
      </c>
      <c r="G1796" s="283"/>
      <c r="J1796" s="293">
        <v>5</v>
      </c>
      <c r="K1796" s="293"/>
      <c r="L1796" s="293"/>
      <c r="M1796" s="293"/>
      <c r="N1796" s="293"/>
      <c r="P1796" s="42">
        <v>2500</v>
      </c>
      <c r="R1796" s="42">
        <v>750</v>
      </c>
      <c r="T1796" s="284">
        <v>1750</v>
      </c>
      <c r="U1796" s="284"/>
    </row>
    <row r="1797" spans="2:21" x14ac:dyDescent="0.25">
      <c r="B1797" s="292">
        <v>41</v>
      </c>
      <c r="C1797" s="292"/>
      <c r="D1797" s="292"/>
      <c r="F1797" s="283" t="s">
        <v>182</v>
      </c>
      <c r="G1797" s="283"/>
      <c r="J1797" s="293">
        <v>1</v>
      </c>
      <c r="K1797" s="293"/>
      <c r="L1797" s="293"/>
      <c r="M1797" s="293"/>
      <c r="N1797" s="293"/>
      <c r="P1797" s="42">
        <v>790</v>
      </c>
      <c r="R1797" s="42">
        <v>120</v>
      </c>
      <c r="T1797" s="284">
        <v>670</v>
      </c>
      <c r="U1797" s="284"/>
    </row>
    <row r="1798" spans="2:21" x14ac:dyDescent="0.25">
      <c r="B1798" s="292">
        <v>42</v>
      </c>
      <c r="C1798" s="292"/>
      <c r="D1798" s="292"/>
      <c r="F1798" s="283" t="s">
        <v>119</v>
      </c>
      <c r="G1798" s="283"/>
      <c r="J1798" s="293">
        <v>13</v>
      </c>
      <c r="K1798" s="293"/>
      <c r="L1798" s="293"/>
      <c r="M1798" s="293"/>
      <c r="N1798" s="293"/>
      <c r="P1798" s="42">
        <v>11570</v>
      </c>
      <c r="R1798" s="42">
        <v>3780</v>
      </c>
      <c r="T1798" s="284">
        <v>7790</v>
      </c>
      <c r="U1798" s="284"/>
    </row>
    <row r="1799" spans="2:21" x14ac:dyDescent="0.25">
      <c r="B1799" s="292">
        <v>43</v>
      </c>
      <c r="C1799" s="292"/>
      <c r="D1799" s="292"/>
      <c r="F1799" s="283" t="s">
        <v>118</v>
      </c>
      <c r="G1799" s="283"/>
      <c r="J1799" s="293">
        <v>50</v>
      </c>
      <c r="K1799" s="293"/>
      <c r="L1799" s="293"/>
      <c r="M1799" s="293"/>
      <c r="N1799" s="293"/>
      <c r="P1799" s="42">
        <v>49500</v>
      </c>
      <c r="R1799" s="42">
        <v>16480</v>
      </c>
      <c r="T1799" s="284">
        <v>33020</v>
      </c>
      <c r="U1799" s="284"/>
    </row>
    <row r="1800" spans="2:21" x14ac:dyDescent="0.25">
      <c r="B1800" s="292">
        <v>44</v>
      </c>
      <c r="C1800" s="292"/>
      <c r="D1800" s="292"/>
      <c r="F1800" s="283" t="s">
        <v>117</v>
      </c>
      <c r="G1800" s="283"/>
      <c r="J1800" s="293">
        <v>13</v>
      </c>
      <c r="K1800" s="293"/>
      <c r="L1800" s="293"/>
      <c r="M1800" s="293"/>
      <c r="N1800" s="293"/>
      <c r="P1800" s="42">
        <v>10400</v>
      </c>
      <c r="R1800" s="42">
        <v>2600</v>
      </c>
      <c r="T1800" s="284">
        <v>7800</v>
      </c>
      <c r="U1800" s="284"/>
    </row>
    <row r="1801" spans="2:21" x14ac:dyDescent="0.25">
      <c r="B1801" s="292">
        <v>45</v>
      </c>
      <c r="C1801" s="292"/>
      <c r="D1801" s="292"/>
      <c r="F1801" s="283" t="s">
        <v>115</v>
      </c>
      <c r="G1801" s="283"/>
      <c r="J1801" s="293">
        <v>19</v>
      </c>
      <c r="K1801" s="293"/>
      <c r="L1801" s="293"/>
      <c r="M1801" s="293"/>
      <c r="N1801" s="293"/>
      <c r="P1801" s="42">
        <v>5510</v>
      </c>
      <c r="R1801" s="42">
        <v>1270</v>
      </c>
      <c r="T1801" s="284">
        <v>4240</v>
      </c>
      <c r="U1801" s="284"/>
    </row>
    <row r="1802" spans="2:21" x14ac:dyDescent="0.25">
      <c r="B1802" s="292">
        <v>46</v>
      </c>
      <c r="C1802" s="292"/>
      <c r="D1802" s="292"/>
      <c r="F1802" s="285" t="s">
        <v>421</v>
      </c>
      <c r="G1802" s="285"/>
      <c r="J1802" s="293">
        <v>165</v>
      </c>
      <c r="K1802" s="293"/>
      <c r="L1802" s="293"/>
      <c r="M1802" s="293"/>
      <c r="N1802" s="293"/>
      <c r="P1802" s="42">
        <v>14850</v>
      </c>
      <c r="R1802" s="42">
        <v>0</v>
      </c>
      <c r="T1802" s="284">
        <v>14850</v>
      </c>
      <c r="U1802" s="284"/>
    </row>
    <row r="1803" spans="2:21" x14ac:dyDescent="0.25">
      <c r="F1803" s="285"/>
      <c r="G1803" s="285"/>
    </row>
    <row r="1804" spans="2:21" x14ac:dyDescent="0.25">
      <c r="B1804" s="292">
        <v>47</v>
      </c>
      <c r="C1804" s="292"/>
      <c r="D1804" s="292"/>
      <c r="F1804" s="283" t="s">
        <v>221</v>
      </c>
      <c r="G1804" s="283"/>
      <c r="J1804" s="293">
        <v>3</v>
      </c>
      <c r="K1804" s="293"/>
      <c r="L1804" s="293"/>
      <c r="M1804" s="293"/>
      <c r="N1804" s="293"/>
      <c r="P1804" s="42">
        <v>2970</v>
      </c>
      <c r="R1804" s="42">
        <v>900</v>
      </c>
      <c r="T1804" s="284">
        <v>2070</v>
      </c>
      <c r="U1804" s="284"/>
    </row>
    <row r="1805" spans="2:21" x14ac:dyDescent="0.25">
      <c r="B1805" s="292">
        <v>48</v>
      </c>
      <c r="C1805" s="292"/>
      <c r="D1805" s="292"/>
      <c r="F1805" s="283" t="s">
        <v>109</v>
      </c>
      <c r="G1805" s="283"/>
      <c r="J1805" s="293">
        <v>1</v>
      </c>
      <c r="K1805" s="293"/>
      <c r="L1805" s="293"/>
      <c r="M1805" s="293"/>
      <c r="N1805" s="293"/>
      <c r="P1805" s="42">
        <v>780</v>
      </c>
      <c r="R1805" s="42">
        <v>230</v>
      </c>
      <c r="T1805" s="284">
        <v>550</v>
      </c>
      <c r="U1805" s="284"/>
    </row>
    <row r="1806" spans="2:21" x14ac:dyDescent="0.25">
      <c r="B1806" s="292">
        <v>49</v>
      </c>
      <c r="C1806" s="292"/>
      <c r="D1806" s="292"/>
      <c r="F1806" s="283" t="s">
        <v>108</v>
      </c>
      <c r="G1806" s="283"/>
      <c r="J1806" s="293">
        <v>221</v>
      </c>
      <c r="K1806" s="293"/>
      <c r="L1806" s="293"/>
      <c r="M1806" s="293"/>
      <c r="N1806" s="293"/>
      <c r="P1806" s="42">
        <v>22100</v>
      </c>
      <c r="R1806" s="42">
        <v>0</v>
      </c>
      <c r="T1806" s="284">
        <v>22100</v>
      </c>
      <c r="U1806" s="284"/>
    </row>
    <row r="1807" spans="2:21" x14ac:dyDescent="0.25">
      <c r="B1807" s="292">
        <v>50</v>
      </c>
      <c r="C1807" s="292"/>
      <c r="D1807" s="292"/>
      <c r="F1807" s="283" t="s">
        <v>107</v>
      </c>
      <c r="G1807" s="283"/>
      <c r="J1807" s="293">
        <v>38</v>
      </c>
      <c r="K1807" s="293"/>
      <c r="L1807" s="293"/>
      <c r="M1807" s="293"/>
      <c r="N1807" s="293"/>
      <c r="P1807" s="42">
        <v>6460</v>
      </c>
      <c r="R1807" s="42">
        <v>1816</v>
      </c>
      <c r="T1807" s="284">
        <v>4644</v>
      </c>
      <c r="U1807" s="284"/>
    </row>
    <row r="1808" spans="2:21" x14ac:dyDescent="0.25">
      <c r="B1808" s="292">
        <v>51</v>
      </c>
      <c r="C1808" s="292"/>
      <c r="D1808" s="292"/>
      <c r="F1808" s="283" t="s">
        <v>369</v>
      </c>
      <c r="G1808" s="283"/>
      <c r="J1808" s="293">
        <v>1</v>
      </c>
      <c r="K1808" s="293"/>
      <c r="L1808" s="293"/>
      <c r="M1808" s="293"/>
      <c r="N1808" s="293"/>
      <c r="P1808" s="42">
        <v>1150</v>
      </c>
      <c r="R1808" s="42">
        <v>0</v>
      </c>
      <c r="T1808" s="284">
        <v>1150</v>
      </c>
      <c r="U1808" s="284"/>
    </row>
    <row r="1809" spans="2:21" x14ac:dyDescent="0.25">
      <c r="B1809" s="292">
        <v>52</v>
      </c>
      <c r="C1809" s="292"/>
      <c r="D1809" s="292"/>
      <c r="F1809" s="283" t="s">
        <v>397</v>
      </c>
      <c r="G1809" s="283"/>
      <c r="J1809" s="293">
        <v>1</v>
      </c>
      <c r="K1809" s="293"/>
      <c r="L1809" s="293"/>
      <c r="M1809" s="293"/>
      <c r="N1809" s="293"/>
      <c r="P1809" s="42">
        <v>1150</v>
      </c>
      <c r="R1809" s="42">
        <v>0</v>
      </c>
      <c r="T1809" s="284">
        <v>1150</v>
      </c>
      <c r="U1809" s="284"/>
    </row>
    <row r="1810" spans="2:21" x14ac:dyDescent="0.25">
      <c r="B1810" s="292">
        <v>53</v>
      </c>
      <c r="C1810" s="292"/>
      <c r="D1810" s="292"/>
      <c r="F1810" s="283" t="s">
        <v>103</v>
      </c>
      <c r="G1810" s="283"/>
      <c r="J1810" s="293">
        <v>24</v>
      </c>
      <c r="K1810" s="293"/>
      <c r="L1810" s="293"/>
      <c r="M1810" s="293"/>
      <c r="N1810" s="293"/>
      <c r="P1810" s="42">
        <v>7920</v>
      </c>
      <c r="R1810" s="42">
        <v>2920</v>
      </c>
      <c r="T1810" s="284">
        <v>5000</v>
      </c>
      <c r="U1810" s="284"/>
    </row>
    <row r="1811" spans="2:21" x14ac:dyDescent="0.25">
      <c r="B1811" s="292">
        <v>54</v>
      </c>
      <c r="C1811" s="292"/>
      <c r="D1811" s="292"/>
      <c r="F1811" s="283" t="s">
        <v>213</v>
      </c>
      <c r="G1811" s="283"/>
      <c r="J1811" s="293">
        <v>1</v>
      </c>
      <c r="K1811" s="293"/>
      <c r="L1811" s="293"/>
      <c r="M1811" s="293"/>
      <c r="N1811" s="293"/>
      <c r="P1811" s="42">
        <v>700</v>
      </c>
      <c r="R1811" s="42">
        <v>350</v>
      </c>
      <c r="T1811" s="284">
        <v>350</v>
      </c>
      <c r="U1811" s="284"/>
    </row>
    <row r="1812" spans="2:21" x14ac:dyDescent="0.25">
      <c r="B1812" s="292">
        <v>55</v>
      </c>
      <c r="C1812" s="292"/>
      <c r="D1812" s="292"/>
      <c r="F1812" s="283" t="s">
        <v>420</v>
      </c>
      <c r="G1812" s="283"/>
      <c r="J1812" s="293">
        <v>1</v>
      </c>
      <c r="K1812" s="293"/>
      <c r="L1812" s="293"/>
      <c r="M1812" s="293"/>
      <c r="N1812" s="293"/>
      <c r="P1812" s="42">
        <v>300</v>
      </c>
      <c r="R1812" s="42">
        <v>80</v>
      </c>
      <c r="T1812" s="284">
        <v>220</v>
      </c>
      <c r="U1812" s="284"/>
    </row>
    <row r="1813" spans="2:21" x14ac:dyDescent="0.25">
      <c r="B1813" s="292">
        <v>56</v>
      </c>
      <c r="C1813" s="292"/>
      <c r="D1813" s="292"/>
      <c r="F1813" s="283" t="s">
        <v>211</v>
      </c>
      <c r="G1813" s="283"/>
      <c r="J1813" s="293">
        <v>3</v>
      </c>
      <c r="K1813" s="293"/>
      <c r="L1813" s="293"/>
      <c r="M1813" s="293"/>
      <c r="N1813" s="293"/>
      <c r="P1813" s="42">
        <v>1500</v>
      </c>
      <c r="R1813" s="42">
        <v>450</v>
      </c>
      <c r="T1813" s="284">
        <v>1050</v>
      </c>
      <c r="U1813" s="284"/>
    </row>
    <row r="1814" spans="2:21" x14ac:dyDescent="0.25">
      <c r="B1814" s="292">
        <v>57</v>
      </c>
      <c r="C1814" s="292"/>
      <c r="D1814" s="292"/>
      <c r="F1814" s="283" t="s">
        <v>276</v>
      </c>
      <c r="G1814" s="283"/>
      <c r="J1814" s="293">
        <v>2</v>
      </c>
      <c r="K1814" s="293"/>
      <c r="L1814" s="293"/>
      <c r="M1814" s="293"/>
      <c r="N1814" s="293"/>
      <c r="P1814" s="42">
        <v>1000</v>
      </c>
      <c r="R1814" s="42">
        <v>300</v>
      </c>
      <c r="T1814" s="284">
        <v>700</v>
      </c>
      <c r="U1814" s="284"/>
    </row>
    <row r="1815" spans="2:21" x14ac:dyDescent="0.25">
      <c r="B1815" s="292">
        <v>58</v>
      </c>
      <c r="C1815" s="292"/>
      <c r="D1815" s="292"/>
      <c r="F1815" s="283" t="s">
        <v>275</v>
      </c>
      <c r="G1815" s="283"/>
      <c r="J1815" s="293">
        <v>1</v>
      </c>
      <c r="K1815" s="293"/>
      <c r="L1815" s="293"/>
      <c r="M1815" s="293"/>
      <c r="N1815" s="293"/>
      <c r="P1815" s="42">
        <v>700</v>
      </c>
      <c r="R1815" s="42">
        <v>350</v>
      </c>
      <c r="T1815" s="284">
        <v>350</v>
      </c>
      <c r="U1815" s="284"/>
    </row>
    <row r="1816" spans="2:21" x14ac:dyDescent="0.25">
      <c r="B1816" s="292">
        <v>59</v>
      </c>
      <c r="C1816" s="292"/>
      <c r="D1816" s="292"/>
      <c r="F1816" s="283" t="s">
        <v>307</v>
      </c>
      <c r="G1816" s="283"/>
      <c r="J1816" s="293">
        <v>1</v>
      </c>
      <c r="K1816" s="293"/>
      <c r="L1816" s="293"/>
      <c r="M1816" s="293"/>
      <c r="N1816" s="293"/>
      <c r="P1816" s="42">
        <v>700</v>
      </c>
      <c r="R1816" s="42">
        <v>350</v>
      </c>
      <c r="T1816" s="284">
        <v>350</v>
      </c>
      <c r="U1816" s="284"/>
    </row>
    <row r="1817" spans="2:21" x14ac:dyDescent="0.25">
      <c r="B1817" s="292">
        <v>60</v>
      </c>
      <c r="C1817" s="292"/>
      <c r="D1817" s="292"/>
      <c r="F1817" s="283" t="s">
        <v>358</v>
      </c>
      <c r="G1817" s="283"/>
      <c r="J1817" s="293">
        <v>2</v>
      </c>
      <c r="K1817" s="293"/>
      <c r="L1817" s="293"/>
      <c r="M1817" s="293"/>
      <c r="N1817" s="293"/>
      <c r="P1817" s="42">
        <v>780</v>
      </c>
      <c r="R1817" s="42">
        <v>240</v>
      </c>
      <c r="T1817" s="284">
        <v>540</v>
      </c>
      <c r="U1817" s="284"/>
    </row>
    <row r="1818" spans="2:21" x14ac:dyDescent="0.25">
      <c r="B1818" s="292">
        <v>61</v>
      </c>
      <c r="C1818" s="292"/>
      <c r="D1818" s="292"/>
      <c r="F1818" s="283" t="s">
        <v>102</v>
      </c>
      <c r="G1818" s="283"/>
      <c r="J1818" s="293">
        <v>8</v>
      </c>
      <c r="K1818" s="293"/>
      <c r="L1818" s="293"/>
      <c r="M1818" s="293"/>
      <c r="N1818" s="293"/>
      <c r="P1818" s="42">
        <v>7040</v>
      </c>
      <c r="R1818" s="42">
        <v>1040</v>
      </c>
      <c r="T1818" s="284">
        <v>6000</v>
      </c>
      <c r="U1818" s="284"/>
    </row>
    <row r="1819" spans="2:21" x14ac:dyDescent="0.25">
      <c r="B1819" s="292">
        <v>62</v>
      </c>
      <c r="C1819" s="292"/>
      <c r="D1819" s="292"/>
      <c r="F1819" s="283" t="s">
        <v>101</v>
      </c>
      <c r="G1819" s="283"/>
      <c r="J1819" s="293">
        <v>6</v>
      </c>
      <c r="K1819" s="293"/>
      <c r="L1819" s="293"/>
      <c r="M1819" s="293"/>
      <c r="N1819" s="293"/>
      <c r="P1819" s="42">
        <v>2760</v>
      </c>
      <c r="R1819" s="42">
        <v>840</v>
      </c>
      <c r="T1819" s="284">
        <v>1920</v>
      </c>
      <c r="U1819" s="284"/>
    </row>
    <row r="1820" spans="2:21" x14ac:dyDescent="0.25">
      <c r="B1820" s="292">
        <v>63</v>
      </c>
      <c r="C1820" s="292"/>
      <c r="D1820" s="292"/>
      <c r="F1820" s="283" t="s">
        <v>254</v>
      </c>
      <c r="G1820" s="283"/>
      <c r="J1820" s="293">
        <v>1</v>
      </c>
      <c r="K1820" s="293"/>
      <c r="L1820" s="293"/>
      <c r="M1820" s="293"/>
      <c r="N1820" s="293"/>
      <c r="P1820" s="42">
        <v>290</v>
      </c>
      <c r="R1820" s="42">
        <v>80</v>
      </c>
      <c r="T1820" s="284">
        <v>210</v>
      </c>
      <c r="U1820" s="284"/>
    </row>
    <row r="1821" spans="2:21" x14ac:dyDescent="0.25">
      <c r="B1821" s="292">
        <v>64</v>
      </c>
      <c r="C1821" s="292"/>
      <c r="D1821" s="292"/>
      <c r="F1821" s="283" t="s">
        <v>100</v>
      </c>
      <c r="G1821" s="283"/>
      <c r="J1821" s="293">
        <v>1</v>
      </c>
      <c r="K1821" s="293"/>
      <c r="L1821" s="293"/>
      <c r="M1821" s="293"/>
      <c r="N1821" s="293"/>
      <c r="P1821" s="42">
        <v>180</v>
      </c>
      <c r="R1821" s="42">
        <v>50</v>
      </c>
      <c r="T1821" s="284">
        <v>130</v>
      </c>
      <c r="U1821" s="284"/>
    </row>
    <row r="1822" spans="2:21" x14ac:dyDescent="0.25">
      <c r="B1822" s="292">
        <v>65</v>
      </c>
      <c r="C1822" s="292"/>
      <c r="D1822" s="292"/>
      <c r="F1822" s="283" t="s">
        <v>325</v>
      </c>
      <c r="G1822" s="283"/>
      <c r="J1822" s="293">
        <v>1</v>
      </c>
      <c r="K1822" s="293"/>
      <c r="L1822" s="293"/>
      <c r="M1822" s="293"/>
      <c r="N1822" s="293"/>
      <c r="P1822" s="42">
        <v>700</v>
      </c>
      <c r="R1822" s="42">
        <v>350</v>
      </c>
      <c r="T1822" s="284">
        <v>350</v>
      </c>
      <c r="U1822" s="284"/>
    </row>
    <row r="1823" spans="2:21" x14ac:dyDescent="0.25">
      <c r="B1823" s="292">
        <v>66</v>
      </c>
      <c r="C1823" s="292"/>
      <c r="D1823" s="292"/>
      <c r="F1823" s="283" t="s">
        <v>253</v>
      </c>
      <c r="G1823" s="283"/>
      <c r="J1823" s="293">
        <v>1</v>
      </c>
      <c r="K1823" s="293"/>
      <c r="L1823" s="293"/>
      <c r="M1823" s="293"/>
      <c r="N1823" s="293"/>
      <c r="P1823" s="42">
        <v>290</v>
      </c>
      <c r="R1823" s="42">
        <v>80</v>
      </c>
      <c r="T1823" s="284">
        <v>210</v>
      </c>
      <c r="U1823" s="284"/>
    </row>
    <row r="1824" spans="2:21" x14ac:dyDescent="0.25">
      <c r="B1824" s="292">
        <v>67</v>
      </c>
      <c r="C1824" s="292"/>
      <c r="D1824" s="292"/>
      <c r="F1824" s="283" t="s">
        <v>92</v>
      </c>
      <c r="G1824" s="283"/>
      <c r="J1824" s="293">
        <v>21</v>
      </c>
      <c r="K1824" s="293"/>
      <c r="L1824" s="293"/>
      <c r="M1824" s="293"/>
      <c r="N1824" s="293"/>
      <c r="P1824" s="42">
        <v>11800</v>
      </c>
      <c r="R1824" s="42">
        <v>3080</v>
      </c>
      <c r="T1824" s="284">
        <v>8720</v>
      </c>
      <c r="U1824" s="284"/>
    </row>
    <row r="1825" spans="2:21" x14ac:dyDescent="0.25">
      <c r="B1825" s="292">
        <v>68</v>
      </c>
      <c r="C1825" s="292"/>
      <c r="D1825" s="292"/>
      <c r="F1825" s="283" t="s">
        <v>297</v>
      </c>
      <c r="G1825" s="283"/>
      <c r="J1825" s="293">
        <v>3</v>
      </c>
      <c r="K1825" s="293"/>
      <c r="L1825" s="293"/>
      <c r="M1825" s="293"/>
      <c r="N1825" s="293"/>
      <c r="P1825" s="42">
        <v>1200</v>
      </c>
      <c r="R1825" s="42">
        <v>0</v>
      </c>
      <c r="T1825" s="284">
        <v>1200</v>
      </c>
      <c r="U1825" s="284"/>
    </row>
    <row r="1826" spans="2:21" x14ac:dyDescent="0.25">
      <c r="B1826" s="292">
        <v>69</v>
      </c>
      <c r="C1826" s="292"/>
      <c r="D1826" s="292"/>
      <c r="F1826" s="283" t="s">
        <v>175</v>
      </c>
      <c r="G1826" s="283"/>
      <c r="J1826" s="293">
        <v>3</v>
      </c>
      <c r="K1826" s="293"/>
      <c r="L1826" s="293"/>
      <c r="M1826" s="293"/>
      <c r="N1826" s="293"/>
      <c r="P1826" s="42">
        <v>1800</v>
      </c>
      <c r="R1826" s="42">
        <v>360</v>
      </c>
      <c r="T1826" s="284">
        <v>1440</v>
      </c>
      <c r="U1826" s="284"/>
    </row>
    <row r="1827" spans="2:21" x14ac:dyDescent="0.25">
      <c r="B1827" s="292">
        <v>70</v>
      </c>
      <c r="C1827" s="292"/>
      <c r="D1827" s="292"/>
      <c r="F1827" s="283" t="s">
        <v>357</v>
      </c>
      <c r="G1827" s="283"/>
      <c r="J1827" s="293">
        <v>2</v>
      </c>
      <c r="K1827" s="293"/>
      <c r="L1827" s="293"/>
      <c r="M1827" s="293"/>
      <c r="N1827" s="293"/>
      <c r="P1827" s="42">
        <v>1000</v>
      </c>
      <c r="R1827" s="42">
        <v>0</v>
      </c>
      <c r="T1827" s="284">
        <v>1000</v>
      </c>
      <c r="U1827" s="284"/>
    </row>
    <row r="1828" spans="2:21" x14ac:dyDescent="0.25">
      <c r="B1828" s="292">
        <v>71</v>
      </c>
      <c r="C1828" s="292"/>
      <c r="D1828" s="292"/>
      <c r="F1828" s="283" t="s">
        <v>174</v>
      </c>
      <c r="G1828" s="283"/>
      <c r="J1828" s="293">
        <v>2</v>
      </c>
      <c r="K1828" s="293"/>
      <c r="L1828" s="293"/>
      <c r="M1828" s="293"/>
      <c r="N1828" s="293"/>
      <c r="P1828" s="42">
        <v>800</v>
      </c>
      <c r="R1828" s="42">
        <v>240</v>
      </c>
      <c r="T1828" s="284">
        <v>560</v>
      </c>
      <c r="U1828" s="284"/>
    </row>
    <row r="1829" spans="2:21" x14ac:dyDescent="0.25">
      <c r="B1829" s="292">
        <v>72</v>
      </c>
      <c r="C1829" s="292"/>
      <c r="D1829" s="292"/>
      <c r="F1829" s="283" t="s">
        <v>356</v>
      </c>
      <c r="G1829" s="283"/>
      <c r="J1829" s="293">
        <v>1</v>
      </c>
      <c r="K1829" s="293"/>
      <c r="L1829" s="293"/>
      <c r="M1829" s="293"/>
      <c r="N1829" s="293"/>
      <c r="P1829" s="42">
        <v>800</v>
      </c>
      <c r="R1829" s="42">
        <v>0</v>
      </c>
      <c r="T1829" s="284">
        <v>800</v>
      </c>
      <c r="U1829" s="284"/>
    </row>
    <row r="1830" spans="2:21" x14ac:dyDescent="0.25">
      <c r="B1830" s="292">
        <v>73</v>
      </c>
      <c r="C1830" s="292"/>
      <c r="D1830" s="292"/>
      <c r="F1830" s="283" t="s">
        <v>355</v>
      </c>
      <c r="G1830" s="283"/>
      <c r="J1830" s="293">
        <v>1</v>
      </c>
      <c r="K1830" s="293"/>
      <c r="L1830" s="293"/>
      <c r="M1830" s="293"/>
      <c r="N1830" s="293"/>
      <c r="P1830" s="42">
        <v>600</v>
      </c>
      <c r="R1830" s="42">
        <v>0</v>
      </c>
      <c r="T1830" s="284">
        <v>600</v>
      </c>
      <c r="U1830" s="284"/>
    </row>
    <row r="1831" spans="2:21" x14ac:dyDescent="0.25">
      <c r="B1831" s="292">
        <v>74</v>
      </c>
      <c r="C1831" s="292"/>
      <c r="D1831" s="292"/>
      <c r="F1831" s="283" t="s">
        <v>173</v>
      </c>
      <c r="G1831" s="283"/>
      <c r="J1831" s="293">
        <v>7</v>
      </c>
      <c r="K1831" s="293"/>
      <c r="L1831" s="293"/>
      <c r="M1831" s="293"/>
      <c r="N1831" s="293"/>
      <c r="P1831" s="42">
        <v>7000</v>
      </c>
      <c r="R1831" s="42">
        <v>600</v>
      </c>
      <c r="T1831" s="284">
        <v>6400</v>
      </c>
      <c r="U1831" s="284"/>
    </row>
    <row r="1832" spans="2:21" x14ac:dyDescent="0.25">
      <c r="B1832" s="292">
        <v>75</v>
      </c>
      <c r="C1832" s="292"/>
      <c r="D1832" s="292"/>
      <c r="F1832" s="283" t="s">
        <v>91</v>
      </c>
      <c r="G1832" s="283"/>
      <c r="J1832" s="293">
        <v>32</v>
      </c>
      <c r="K1832" s="293"/>
      <c r="L1832" s="293"/>
      <c r="M1832" s="293"/>
      <c r="N1832" s="293"/>
      <c r="P1832" s="42">
        <v>8000</v>
      </c>
      <c r="R1832" s="42">
        <v>2115</v>
      </c>
      <c r="T1832" s="284">
        <v>5885</v>
      </c>
      <c r="U1832" s="284"/>
    </row>
    <row r="1833" spans="2:21" x14ac:dyDescent="0.25">
      <c r="B1833" s="292">
        <v>76</v>
      </c>
      <c r="C1833" s="292"/>
      <c r="D1833" s="292"/>
      <c r="F1833" s="283" t="s">
        <v>90</v>
      </c>
      <c r="G1833" s="283"/>
      <c r="J1833" s="293">
        <v>21</v>
      </c>
      <c r="K1833" s="293"/>
      <c r="L1833" s="293"/>
      <c r="M1833" s="293"/>
      <c r="N1833" s="293"/>
      <c r="P1833" s="42">
        <v>6090</v>
      </c>
      <c r="R1833" s="42">
        <v>1680</v>
      </c>
      <c r="T1833" s="284">
        <v>4410</v>
      </c>
      <c r="U1833" s="284"/>
    </row>
    <row r="1834" spans="2:21" x14ac:dyDescent="0.25">
      <c r="B1834" s="292">
        <v>77</v>
      </c>
      <c r="C1834" s="292"/>
      <c r="D1834" s="292"/>
      <c r="F1834" s="283" t="s">
        <v>89</v>
      </c>
      <c r="G1834" s="283"/>
      <c r="J1834" s="293">
        <v>1</v>
      </c>
      <c r="K1834" s="293"/>
      <c r="L1834" s="293"/>
      <c r="M1834" s="293"/>
      <c r="N1834" s="293"/>
      <c r="P1834" s="42">
        <v>880</v>
      </c>
      <c r="R1834" s="42">
        <v>130</v>
      </c>
      <c r="T1834" s="284">
        <v>750</v>
      </c>
      <c r="U1834" s="284"/>
    </row>
    <row r="1835" spans="2:21" x14ac:dyDescent="0.25">
      <c r="B1835" s="292">
        <v>78</v>
      </c>
      <c r="C1835" s="292"/>
      <c r="D1835" s="292"/>
      <c r="F1835" s="283" t="s">
        <v>88</v>
      </c>
      <c r="G1835" s="283"/>
      <c r="J1835" s="293">
        <v>30</v>
      </c>
      <c r="K1835" s="293"/>
      <c r="L1835" s="293"/>
      <c r="M1835" s="293"/>
      <c r="N1835" s="293"/>
      <c r="P1835" s="42">
        <v>5400</v>
      </c>
      <c r="R1835" s="42">
        <v>1647</v>
      </c>
      <c r="T1835" s="284">
        <v>3753</v>
      </c>
      <c r="U1835" s="284"/>
    </row>
    <row r="1836" spans="2:21" x14ac:dyDescent="0.25">
      <c r="B1836" s="292">
        <v>79</v>
      </c>
      <c r="C1836" s="292"/>
      <c r="D1836" s="292"/>
      <c r="F1836" s="283" t="s">
        <v>86</v>
      </c>
      <c r="G1836" s="283"/>
      <c r="J1836" s="293">
        <v>1</v>
      </c>
      <c r="K1836" s="293"/>
      <c r="L1836" s="293"/>
      <c r="M1836" s="293"/>
      <c r="N1836" s="293"/>
      <c r="P1836" s="42">
        <v>1140</v>
      </c>
      <c r="R1836" s="42">
        <v>170</v>
      </c>
      <c r="T1836" s="284">
        <v>970</v>
      </c>
      <c r="U1836" s="284"/>
    </row>
    <row r="1837" spans="2:21" x14ac:dyDescent="0.25">
      <c r="B1837" s="292">
        <v>80</v>
      </c>
      <c r="C1837" s="292"/>
      <c r="D1837" s="292"/>
      <c r="F1837" s="283" t="s">
        <v>85</v>
      </c>
      <c r="G1837" s="283"/>
      <c r="J1837" s="293">
        <v>18</v>
      </c>
      <c r="K1837" s="293"/>
      <c r="L1837" s="293"/>
      <c r="M1837" s="293"/>
      <c r="N1837" s="293"/>
      <c r="P1837" s="42">
        <v>37440</v>
      </c>
      <c r="R1837" s="42">
        <v>5580</v>
      </c>
      <c r="T1837" s="284">
        <v>31860</v>
      </c>
      <c r="U1837" s="284"/>
    </row>
    <row r="1838" spans="2:21" x14ac:dyDescent="0.25">
      <c r="B1838" s="292">
        <v>81</v>
      </c>
      <c r="C1838" s="292"/>
      <c r="D1838" s="292"/>
      <c r="F1838" s="283" t="s">
        <v>84</v>
      </c>
      <c r="G1838" s="283"/>
      <c r="J1838" s="293">
        <v>2</v>
      </c>
      <c r="K1838" s="293"/>
      <c r="L1838" s="293"/>
      <c r="M1838" s="293"/>
      <c r="N1838" s="293"/>
      <c r="P1838" s="42">
        <v>1180</v>
      </c>
      <c r="R1838" s="42">
        <v>180</v>
      </c>
      <c r="T1838" s="284">
        <v>1000</v>
      </c>
      <c r="U1838" s="284"/>
    </row>
    <row r="1839" spans="2:21" x14ac:dyDescent="0.25">
      <c r="B1839" s="292">
        <v>82</v>
      </c>
      <c r="C1839" s="292"/>
      <c r="D1839" s="292"/>
      <c r="F1839" s="283" t="s">
        <v>208</v>
      </c>
      <c r="G1839" s="283"/>
      <c r="J1839" s="293">
        <v>2</v>
      </c>
      <c r="K1839" s="293"/>
      <c r="L1839" s="293"/>
      <c r="M1839" s="293"/>
      <c r="N1839" s="293"/>
      <c r="P1839" s="42">
        <v>1000</v>
      </c>
      <c r="R1839" s="42">
        <v>300</v>
      </c>
      <c r="T1839" s="284">
        <v>700</v>
      </c>
      <c r="U1839" s="284"/>
    </row>
    <row r="1840" spans="2:21" x14ac:dyDescent="0.25">
      <c r="B1840" s="292">
        <v>83</v>
      </c>
      <c r="C1840" s="292"/>
      <c r="D1840" s="292"/>
      <c r="F1840" s="283" t="s">
        <v>273</v>
      </c>
      <c r="G1840" s="283"/>
      <c r="J1840" s="293">
        <v>1</v>
      </c>
      <c r="K1840" s="293"/>
      <c r="L1840" s="293"/>
      <c r="M1840" s="293"/>
      <c r="N1840" s="293"/>
      <c r="P1840" s="42">
        <v>500</v>
      </c>
      <c r="R1840" s="42">
        <v>150</v>
      </c>
      <c r="T1840" s="284">
        <v>350</v>
      </c>
      <c r="U1840" s="284"/>
    </row>
    <row r="1841" spans="1:21" x14ac:dyDescent="0.25">
      <c r="B1841" s="292">
        <v>84</v>
      </c>
      <c r="C1841" s="292"/>
      <c r="D1841" s="292"/>
      <c r="F1841" s="283" t="s">
        <v>205</v>
      </c>
      <c r="G1841" s="283"/>
      <c r="J1841" s="293">
        <v>3</v>
      </c>
      <c r="K1841" s="293"/>
      <c r="L1841" s="293"/>
      <c r="M1841" s="293"/>
      <c r="N1841" s="293"/>
      <c r="P1841" s="42">
        <v>1500</v>
      </c>
      <c r="R1841" s="42">
        <v>300</v>
      </c>
      <c r="T1841" s="284">
        <v>1200</v>
      </c>
      <c r="U1841" s="284"/>
    </row>
    <row r="1842" spans="1:21" x14ac:dyDescent="0.25">
      <c r="B1842" s="292">
        <v>85</v>
      </c>
      <c r="C1842" s="292"/>
      <c r="D1842" s="292"/>
      <c r="F1842" s="283" t="s">
        <v>271</v>
      </c>
      <c r="G1842" s="283"/>
      <c r="J1842" s="293">
        <v>4</v>
      </c>
      <c r="K1842" s="293"/>
      <c r="L1842" s="293"/>
      <c r="M1842" s="293"/>
      <c r="N1842" s="293"/>
      <c r="P1842" s="42">
        <v>2000</v>
      </c>
      <c r="R1842" s="42">
        <v>600</v>
      </c>
      <c r="T1842" s="284">
        <v>1400</v>
      </c>
      <c r="U1842" s="284"/>
    </row>
    <row r="1843" spans="1:21" x14ac:dyDescent="0.25">
      <c r="B1843" s="292">
        <v>86</v>
      </c>
      <c r="C1843" s="292"/>
      <c r="D1843" s="292"/>
      <c r="F1843" s="283" t="s">
        <v>81</v>
      </c>
      <c r="G1843" s="283"/>
      <c r="J1843" s="293">
        <v>149</v>
      </c>
      <c r="K1843" s="293"/>
      <c r="L1843" s="293"/>
      <c r="M1843" s="293"/>
      <c r="N1843" s="293"/>
      <c r="P1843" s="42">
        <v>43210</v>
      </c>
      <c r="R1843" s="42">
        <v>7760</v>
      </c>
      <c r="T1843" s="284">
        <v>35450</v>
      </c>
      <c r="U1843" s="284"/>
    </row>
    <row r="1844" spans="1:21" s="40" customFormat="1" x14ac:dyDescent="0.25">
      <c r="A1844" s="290" t="s">
        <v>419</v>
      </c>
      <c r="B1844" s="290"/>
      <c r="C1844" s="290"/>
      <c r="D1844" s="290"/>
      <c r="E1844" s="290"/>
      <c r="F1844" s="290"/>
      <c r="G1844" s="290"/>
      <c r="H1844" s="290"/>
      <c r="I1844" s="290"/>
      <c r="J1844" s="290"/>
      <c r="K1844" s="291">
        <v>4290</v>
      </c>
      <c r="L1844" s="291"/>
      <c r="M1844" s="291"/>
      <c r="N1844" s="291"/>
      <c r="O1844" s="291"/>
      <c r="P1844" s="41">
        <v>3636170</v>
      </c>
      <c r="R1844" s="41">
        <v>3046912</v>
      </c>
      <c r="T1844" s="287">
        <v>589258</v>
      </c>
      <c r="U1844" s="287"/>
    </row>
    <row r="1845" spans="1:21" x14ac:dyDescent="0.25">
      <c r="B1845" s="292">
        <v>1</v>
      </c>
      <c r="C1845" s="292"/>
      <c r="D1845" s="292"/>
      <c r="F1845" s="283" t="s">
        <v>78</v>
      </c>
      <c r="G1845" s="283"/>
      <c r="J1845" s="293">
        <v>247</v>
      </c>
      <c r="K1845" s="293"/>
      <c r="L1845" s="293"/>
      <c r="M1845" s="293"/>
      <c r="N1845" s="293"/>
      <c r="P1845" s="42">
        <v>71630</v>
      </c>
      <c r="R1845" s="42">
        <v>71630</v>
      </c>
      <c r="T1845" s="284">
        <v>0</v>
      </c>
      <c r="U1845" s="284"/>
    </row>
    <row r="1846" spans="1:21" x14ac:dyDescent="0.25">
      <c r="B1846" s="292">
        <v>2</v>
      </c>
      <c r="C1846" s="292"/>
      <c r="D1846" s="292"/>
      <c r="F1846" s="283" t="s">
        <v>162</v>
      </c>
      <c r="G1846" s="283"/>
      <c r="J1846" s="293">
        <v>2</v>
      </c>
      <c r="K1846" s="293"/>
      <c r="L1846" s="293"/>
      <c r="M1846" s="293"/>
      <c r="N1846" s="293"/>
      <c r="P1846" s="42">
        <v>860</v>
      </c>
      <c r="R1846" s="42">
        <v>407</v>
      </c>
      <c r="T1846" s="284">
        <v>453</v>
      </c>
      <c r="U1846" s="284"/>
    </row>
    <row r="1847" spans="1:21" x14ac:dyDescent="0.25">
      <c r="B1847" s="292">
        <v>3</v>
      </c>
      <c r="C1847" s="292"/>
      <c r="D1847" s="292"/>
      <c r="F1847" s="283" t="s">
        <v>160</v>
      </c>
      <c r="G1847" s="283"/>
      <c r="J1847" s="293">
        <v>2</v>
      </c>
      <c r="K1847" s="293"/>
      <c r="L1847" s="293"/>
      <c r="M1847" s="293"/>
      <c r="N1847" s="293"/>
      <c r="P1847" s="42">
        <v>580</v>
      </c>
      <c r="R1847" s="42">
        <v>160</v>
      </c>
      <c r="T1847" s="284">
        <v>420</v>
      </c>
      <c r="U1847" s="284"/>
    </row>
    <row r="1848" spans="1:21" x14ac:dyDescent="0.25">
      <c r="B1848" s="292">
        <v>4</v>
      </c>
      <c r="C1848" s="292"/>
      <c r="D1848" s="292"/>
      <c r="F1848" s="283" t="s">
        <v>158</v>
      </c>
      <c r="G1848" s="283"/>
      <c r="J1848" s="293">
        <v>683</v>
      </c>
      <c r="K1848" s="293"/>
      <c r="L1848" s="293"/>
      <c r="M1848" s="293"/>
      <c r="N1848" s="293"/>
      <c r="P1848" s="42">
        <v>375650</v>
      </c>
      <c r="R1848" s="42">
        <v>148094</v>
      </c>
      <c r="T1848" s="284">
        <v>227556</v>
      </c>
      <c r="U1848" s="284"/>
    </row>
    <row r="1849" spans="1:21" x14ac:dyDescent="0.25">
      <c r="B1849" s="292">
        <v>5</v>
      </c>
      <c r="C1849" s="292"/>
      <c r="D1849" s="292"/>
      <c r="F1849" s="283" t="s">
        <v>157</v>
      </c>
      <c r="G1849" s="283"/>
      <c r="J1849" s="293">
        <v>10</v>
      </c>
      <c r="K1849" s="293"/>
      <c r="L1849" s="293"/>
      <c r="M1849" s="293"/>
      <c r="N1849" s="293"/>
      <c r="P1849" s="42">
        <v>4900</v>
      </c>
      <c r="R1849" s="42">
        <v>2148</v>
      </c>
      <c r="T1849" s="284">
        <v>2752</v>
      </c>
      <c r="U1849" s="284"/>
    </row>
    <row r="1850" spans="1:21" x14ac:dyDescent="0.25">
      <c r="B1850" s="292">
        <v>6</v>
      </c>
      <c r="C1850" s="292"/>
      <c r="D1850" s="292"/>
      <c r="F1850" s="283" t="s">
        <v>196</v>
      </c>
      <c r="G1850" s="283"/>
      <c r="J1850" s="293">
        <v>1</v>
      </c>
      <c r="K1850" s="293"/>
      <c r="L1850" s="293"/>
      <c r="M1850" s="293"/>
      <c r="N1850" s="293"/>
      <c r="P1850" s="42">
        <v>700</v>
      </c>
      <c r="R1850" s="42">
        <v>350</v>
      </c>
      <c r="T1850" s="284">
        <v>350</v>
      </c>
      <c r="U1850" s="284"/>
    </row>
    <row r="1851" spans="1:21" x14ac:dyDescent="0.25">
      <c r="B1851" s="292">
        <v>7</v>
      </c>
      <c r="C1851" s="292"/>
      <c r="D1851" s="292"/>
      <c r="F1851" s="283" t="s">
        <v>309</v>
      </c>
      <c r="G1851" s="283"/>
      <c r="J1851" s="293">
        <v>1</v>
      </c>
      <c r="K1851" s="293"/>
      <c r="L1851" s="293"/>
      <c r="M1851" s="293"/>
      <c r="N1851" s="293"/>
      <c r="P1851" s="42">
        <v>500</v>
      </c>
      <c r="R1851" s="42">
        <v>150</v>
      </c>
      <c r="T1851" s="284">
        <v>350</v>
      </c>
      <c r="U1851" s="284"/>
    </row>
    <row r="1852" spans="1:21" x14ac:dyDescent="0.25">
      <c r="B1852" s="292">
        <v>8</v>
      </c>
      <c r="C1852" s="292"/>
      <c r="D1852" s="292"/>
      <c r="F1852" s="283" t="s">
        <v>77</v>
      </c>
      <c r="G1852" s="283"/>
      <c r="J1852" s="293">
        <v>1132</v>
      </c>
      <c r="K1852" s="293"/>
      <c r="L1852" s="293"/>
      <c r="M1852" s="293"/>
      <c r="N1852" s="293"/>
      <c r="P1852" s="42">
        <v>455700</v>
      </c>
      <c r="R1852" s="42">
        <v>455700</v>
      </c>
      <c r="T1852" s="284">
        <v>0</v>
      </c>
      <c r="U1852" s="284"/>
    </row>
    <row r="1853" spans="1:21" x14ac:dyDescent="0.25">
      <c r="B1853" s="292">
        <v>9</v>
      </c>
      <c r="C1853" s="292"/>
      <c r="D1853" s="292"/>
      <c r="F1853" s="283" t="s">
        <v>76</v>
      </c>
      <c r="G1853" s="283"/>
      <c r="J1853" s="293">
        <v>1</v>
      </c>
      <c r="K1853" s="293"/>
      <c r="L1853" s="293"/>
      <c r="M1853" s="293"/>
      <c r="N1853" s="293"/>
      <c r="P1853" s="42">
        <v>600</v>
      </c>
      <c r="R1853" s="42">
        <v>600</v>
      </c>
      <c r="T1853" s="284">
        <v>0</v>
      </c>
      <c r="U1853" s="284"/>
    </row>
    <row r="1854" spans="1:21" x14ac:dyDescent="0.25">
      <c r="B1854" s="292">
        <v>10</v>
      </c>
      <c r="C1854" s="292"/>
      <c r="D1854" s="292"/>
      <c r="F1854" s="283" t="s">
        <v>156</v>
      </c>
      <c r="G1854" s="283"/>
      <c r="J1854" s="293">
        <v>10</v>
      </c>
      <c r="K1854" s="293"/>
      <c r="L1854" s="293"/>
      <c r="M1854" s="293"/>
      <c r="N1854" s="293"/>
      <c r="P1854" s="42">
        <v>1900</v>
      </c>
      <c r="R1854" s="42">
        <v>520</v>
      </c>
      <c r="T1854" s="284">
        <v>1380</v>
      </c>
      <c r="U1854" s="284"/>
    </row>
    <row r="1855" spans="1:21" x14ac:dyDescent="0.25">
      <c r="B1855" s="292">
        <v>11</v>
      </c>
      <c r="C1855" s="292"/>
      <c r="D1855" s="292"/>
      <c r="F1855" s="283" t="s">
        <v>155</v>
      </c>
      <c r="G1855" s="283"/>
      <c r="J1855" s="293">
        <v>319</v>
      </c>
      <c r="K1855" s="293"/>
      <c r="L1855" s="293"/>
      <c r="M1855" s="293"/>
      <c r="N1855" s="293"/>
      <c r="P1855" s="42">
        <v>79750</v>
      </c>
      <c r="R1855" s="42">
        <v>39298</v>
      </c>
      <c r="T1855" s="284">
        <v>40452</v>
      </c>
      <c r="U1855" s="284"/>
    </row>
    <row r="1856" spans="1:21" x14ac:dyDescent="0.25">
      <c r="B1856" s="292">
        <v>12</v>
      </c>
      <c r="C1856" s="292"/>
      <c r="D1856" s="292"/>
      <c r="F1856" s="283" t="s">
        <v>154</v>
      </c>
      <c r="G1856" s="283"/>
      <c r="J1856" s="293">
        <v>2</v>
      </c>
      <c r="K1856" s="293"/>
      <c r="L1856" s="293"/>
      <c r="M1856" s="293"/>
      <c r="N1856" s="293"/>
      <c r="P1856" s="42">
        <v>1780</v>
      </c>
      <c r="R1856" s="42">
        <v>260</v>
      </c>
      <c r="T1856" s="284">
        <v>1520</v>
      </c>
      <c r="U1856" s="284"/>
    </row>
    <row r="1857" spans="2:21" x14ac:dyDescent="0.25">
      <c r="B1857" s="292">
        <v>13</v>
      </c>
      <c r="C1857" s="292"/>
      <c r="D1857" s="292"/>
      <c r="F1857" s="283" t="s">
        <v>151</v>
      </c>
      <c r="G1857" s="283"/>
      <c r="J1857" s="293">
        <v>28</v>
      </c>
      <c r="K1857" s="293"/>
      <c r="L1857" s="293"/>
      <c r="M1857" s="293"/>
      <c r="N1857" s="293"/>
      <c r="P1857" s="42">
        <v>6440</v>
      </c>
      <c r="R1857" s="42">
        <v>2030</v>
      </c>
      <c r="T1857" s="284">
        <v>4410</v>
      </c>
      <c r="U1857" s="284"/>
    </row>
    <row r="1858" spans="2:21" x14ac:dyDescent="0.25">
      <c r="B1858" s="292">
        <v>14</v>
      </c>
      <c r="C1858" s="292"/>
      <c r="D1858" s="292"/>
      <c r="F1858" s="283" t="s">
        <v>150</v>
      </c>
      <c r="G1858" s="283"/>
      <c r="J1858" s="293">
        <v>4</v>
      </c>
      <c r="K1858" s="293"/>
      <c r="L1858" s="293"/>
      <c r="M1858" s="293"/>
      <c r="N1858" s="293"/>
      <c r="P1858" s="42">
        <v>680</v>
      </c>
      <c r="R1858" s="42">
        <v>200</v>
      </c>
      <c r="T1858" s="284">
        <v>480</v>
      </c>
      <c r="U1858" s="284"/>
    </row>
    <row r="1859" spans="2:21" x14ac:dyDescent="0.25">
      <c r="B1859" s="292">
        <v>15</v>
      </c>
      <c r="C1859" s="292"/>
      <c r="D1859" s="292"/>
      <c r="F1859" s="283" t="s">
        <v>193</v>
      </c>
      <c r="G1859" s="283"/>
      <c r="J1859" s="293">
        <v>1</v>
      </c>
      <c r="K1859" s="293"/>
      <c r="L1859" s="293"/>
      <c r="M1859" s="293"/>
      <c r="N1859" s="293"/>
      <c r="P1859" s="42">
        <v>890</v>
      </c>
      <c r="R1859" s="42">
        <v>130</v>
      </c>
      <c r="T1859" s="284">
        <v>760</v>
      </c>
      <c r="U1859" s="284"/>
    </row>
    <row r="1860" spans="2:21" x14ac:dyDescent="0.25">
      <c r="B1860" s="292">
        <v>16</v>
      </c>
      <c r="C1860" s="292"/>
      <c r="D1860" s="292"/>
      <c r="F1860" s="283" t="s">
        <v>75</v>
      </c>
      <c r="G1860" s="283"/>
      <c r="J1860" s="293">
        <v>806</v>
      </c>
      <c r="K1860" s="293"/>
      <c r="L1860" s="293"/>
      <c r="M1860" s="293"/>
      <c r="N1860" s="293"/>
      <c r="P1860" s="42">
        <v>2015000</v>
      </c>
      <c r="R1860" s="42">
        <v>2015000</v>
      </c>
      <c r="T1860" s="284">
        <v>0</v>
      </c>
      <c r="U1860" s="284"/>
    </row>
    <row r="1861" spans="2:21" x14ac:dyDescent="0.25">
      <c r="B1861" s="292">
        <v>17</v>
      </c>
      <c r="C1861" s="292"/>
      <c r="D1861" s="292"/>
      <c r="F1861" s="283" t="s">
        <v>136</v>
      </c>
      <c r="G1861" s="283"/>
      <c r="J1861" s="293">
        <v>29</v>
      </c>
      <c r="K1861" s="293"/>
      <c r="L1861" s="293"/>
      <c r="M1861" s="293"/>
      <c r="N1861" s="293"/>
      <c r="P1861" s="42">
        <v>24650</v>
      </c>
      <c r="R1861" s="42">
        <v>5980</v>
      </c>
      <c r="T1861" s="284">
        <v>18670</v>
      </c>
      <c r="U1861" s="284"/>
    </row>
    <row r="1862" spans="2:21" x14ac:dyDescent="0.25">
      <c r="B1862" s="292">
        <v>18</v>
      </c>
      <c r="C1862" s="292"/>
      <c r="D1862" s="292"/>
      <c r="F1862" s="283" t="s">
        <v>74</v>
      </c>
      <c r="G1862" s="283"/>
      <c r="J1862" s="293">
        <v>3</v>
      </c>
      <c r="K1862" s="293"/>
      <c r="L1862" s="293"/>
      <c r="M1862" s="293"/>
      <c r="N1862" s="293"/>
      <c r="P1862" s="42">
        <v>2550</v>
      </c>
      <c r="R1862" s="42">
        <v>2550</v>
      </c>
      <c r="T1862" s="284">
        <v>0</v>
      </c>
      <c r="U1862" s="284"/>
    </row>
    <row r="1863" spans="2:21" x14ac:dyDescent="0.25">
      <c r="B1863" s="292">
        <v>19</v>
      </c>
      <c r="C1863" s="292"/>
      <c r="D1863" s="292"/>
      <c r="F1863" s="283" t="s">
        <v>190</v>
      </c>
      <c r="G1863" s="283"/>
      <c r="J1863" s="293">
        <v>1</v>
      </c>
      <c r="K1863" s="293"/>
      <c r="L1863" s="293"/>
      <c r="M1863" s="293"/>
      <c r="N1863" s="293"/>
      <c r="P1863" s="42">
        <v>1570</v>
      </c>
      <c r="R1863" s="42">
        <v>240</v>
      </c>
      <c r="T1863" s="284">
        <v>1330</v>
      </c>
      <c r="U1863" s="284"/>
    </row>
    <row r="1864" spans="2:21" x14ac:dyDescent="0.25">
      <c r="B1864" s="292">
        <v>20</v>
      </c>
      <c r="C1864" s="292"/>
      <c r="D1864" s="292"/>
      <c r="F1864" s="283" t="s">
        <v>264</v>
      </c>
      <c r="G1864" s="283"/>
      <c r="J1864" s="293">
        <v>1</v>
      </c>
      <c r="K1864" s="293"/>
      <c r="L1864" s="293"/>
      <c r="M1864" s="293"/>
      <c r="N1864" s="293"/>
      <c r="P1864" s="42">
        <v>1290</v>
      </c>
      <c r="R1864" s="42">
        <v>0</v>
      </c>
      <c r="T1864" s="284">
        <v>1290</v>
      </c>
      <c r="U1864" s="284"/>
    </row>
    <row r="1865" spans="2:21" x14ac:dyDescent="0.25">
      <c r="B1865" s="292">
        <v>21</v>
      </c>
      <c r="C1865" s="292"/>
      <c r="D1865" s="292"/>
      <c r="F1865" s="283" t="s">
        <v>230</v>
      </c>
      <c r="G1865" s="283"/>
      <c r="J1865" s="293">
        <v>1</v>
      </c>
      <c r="K1865" s="293"/>
      <c r="L1865" s="293"/>
      <c r="M1865" s="293"/>
      <c r="N1865" s="293"/>
      <c r="P1865" s="42">
        <v>950</v>
      </c>
      <c r="R1865" s="42">
        <v>140</v>
      </c>
      <c r="T1865" s="284">
        <v>810</v>
      </c>
      <c r="U1865" s="284"/>
    </row>
    <row r="1866" spans="2:21" x14ac:dyDescent="0.25">
      <c r="B1866" s="292">
        <v>22</v>
      </c>
      <c r="C1866" s="292"/>
      <c r="D1866" s="292"/>
      <c r="F1866" s="283" t="s">
        <v>135</v>
      </c>
      <c r="G1866" s="283"/>
      <c r="J1866" s="293">
        <v>3</v>
      </c>
      <c r="K1866" s="293"/>
      <c r="L1866" s="293"/>
      <c r="M1866" s="293"/>
      <c r="N1866" s="293"/>
      <c r="P1866" s="42">
        <v>2850</v>
      </c>
      <c r="R1866" s="42">
        <v>840</v>
      </c>
      <c r="T1866" s="284">
        <v>2010</v>
      </c>
      <c r="U1866" s="284"/>
    </row>
    <row r="1867" spans="2:21" x14ac:dyDescent="0.25">
      <c r="B1867" s="292">
        <v>23</v>
      </c>
      <c r="C1867" s="292"/>
      <c r="D1867" s="292"/>
      <c r="F1867" s="283" t="s">
        <v>132</v>
      </c>
      <c r="G1867" s="283"/>
      <c r="J1867" s="293">
        <v>11</v>
      </c>
      <c r="K1867" s="293"/>
      <c r="L1867" s="293"/>
      <c r="M1867" s="293"/>
      <c r="N1867" s="293"/>
      <c r="P1867" s="42">
        <v>13640</v>
      </c>
      <c r="R1867" s="42">
        <v>4070</v>
      </c>
      <c r="T1867" s="284">
        <v>9570</v>
      </c>
      <c r="U1867" s="284"/>
    </row>
    <row r="1868" spans="2:21" x14ac:dyDescent="0.25">
      <c r="B1868" s="292">
        <v>24</v>
      </c>
      <c r="C1868" s="292"/>
      <c r="D1868" s="292"/>
      <c r="F1868" s="283" t="s">
        <v>418</v>
      </c>
      <c r="G1868" s="283"/>
      <c r="J1868" s="293">
        <v>1</v>
      </c>
      <c r="K1868" s="293"/>
      <c r="L1868" s="293"/>
      <c r="M1868" s="293"/>
      <c r="N1868" s="293"/>
      <c r="P1868" s="42">
        <v>2480</v>
      </c>
      <c r="R1868" s="42">
        <v>0</v>
      </c>
      <c r="T1868" s="284">
        <v>2480</v>
      </c>
      <c r="U1868" s="284"/>
    </row>
    <row r="1869" spans="2:21" x14ac:dyDescent="0.25">
      <c r="B1869" s="292">
        <v>25</v>
      </c>
      <c r="C1869" s="292"/>
      <c r="D1869" s="292"/>
      <c r="F1869" s="283" t="s">
        <v>127</v>
      </c>
      <c r="G1869" s="283"/>
      <c r="J1869" s="293">
        <v>1</v>
      </c>
      <c r="K1869" s="293"/>
      <c r="L1869" s="293"/>
      <c r="M1869" s="293"/>
      <c r="N1869" s="293"/>
      <c r="P1869" s="42">
        <v>300</v>
      </c>
      <c r="R1869" s="42">
        <v>131</v>
      </c>
      <c r="T1869" s="284">
        <v>169</v>
      </c>
      <c r="U1869" s="284"/>
    </row>
    <row r="1870" spans="2:21" x14ac:dyDescent="0.25">
      <c r="B1870" s="292">
        <v>26</v>
      </c>
      <c r="C1870" s="292"/>
      <c r="D1870" s="292"/>
      <c r="F1870" s="283" t="s">
        <v>126</v>
      </c>
      <c r="G1870" s="283"/>
      <c r="J1870" s="293">
        <v>31</v>
      </c>
      <c r="K1870" s="293"/>
      <c r="L1870" s="293"/>
      <c r="M1870" s="293"/>
      <c r="N1870" s="293"/>
      <c r="P1870" s="42">
        <v>6200</v>
      </c>
      <c r="R1870" s="42">
        <v>1707</v>
      </c>
      <c r="T1870" s="284">
        <v>4493</v>
      </c>
      <c r="U1870" s="284"/>
    </row>
    <row r="1871" spans="2:21" x14ac:dyDescent="0.25">
      <c r="B1871" s="292">
        <v>27</v>
      </c>
      <c r="C1871" s="292"/>
      <c r="D1871" s="292"/>
      <c r="F1871" s="283" t="s">
        <v>125</v>
      </c>
      <c r="G1871" s="283"/>
      <c r="J1871" s="293">
        <v>1</v>
      </c>
      <c r="K1871" s="293"/>
      <c r="L1871" s="293"/>
      <c r="M1871" s="293"/>
      <c r="N1871" s="293"/>
      <c r="P1871" s="42">
        <v>400</v>
      </c>
      <c r="R1871" s="42">
        <v>120</v>
      </c>
      <c r="T1871" s="284">
        <v>280</v>
      </c>
      <c r="U1871" s="284"/>
    </row>
    <row r="1872" spans="2:21" x14ac:dyDescent="0.25">
      <c r="B1872" s="292">
        <v>28</v>
      </c>
      <c r="C1872" s="292"/>
      <c r="D1872" s="292"/>
      <c r="F1872" s="283" t="s">
        <v>183</v>
      </c>
      <c r="G1872" s="283"/>
      <c r="J1872" s="293">
        <v>1</v>
      </c>
      <c r="K1872" s="293"/>
      <c r="L1872" s="293"/>
      <c r="M1872" s="293"/>
      <c r="N1872" s="293"/>
      <c r="P1872" s="42">
        <v>440</v>
      </c>
      <c r="R1872" s="42">
        <v>130</v>
      </c>
      <c r="T1872" s="284">
        <v>310</v>
      </c>
      <c r="U1872" s="284"/>
    </row>
    <row r="1873" spans="2:21" x14ac:dyDescent="0.25">
      <c r="B1873" s="292">
        <v>29</v>
      </c>
      <c r="C1873" s="292"/>
      <c r="D1873" s="292"/>
      <c r="F1873" s="283" t="s">
        <v>182</v>
      </c>
      <c r="G1873" s="283"/>
      <c r="J1873" s="293">
        <v>1</v>
      </c>
      <c r="K1873" s="293"/>
      <c r="L1873" s="293"/>
      <c r="M1873" s="293"/>
      <c r="N1873" s="293"/>
      <c r="P1873" s="42">
        <v>790</v>
      </c>
      <c r="R1873" s="42">
        <v>120</v>
      </c>
      <c r="T1873" s="284">
        <v>670</v>
      </c>
      <c r="U1873" s="284"/>
    </row>
    <row r="1874" spans="2:21" x14ac:dyDescent="0.25">
      <c r="B1874" s="292">
        <v>30</v>
      </c>
      <c r="C1874" s="292"/>
      <c r="D1874" s="292"/>
      <c r="F1874" s="283" t="s">
        <v>119</v>
      </c>
      <c r="G1874" s="283"/>
      <c r="J1874" s="293">
        <v>25</v>
      </c>
      <c r="K1874" s="293"/>
      <c r="L1874" s="293"/>
      <c r="M1874" s="293"/>
      <c r="N1874" s="293"/>
      <c r="P1874" s="42">
        <v>22250</v>
      </c>
      <c r="R1874" s="42">
        <v>7170</v>
      </c>
      <c r="T1874" s="284">
        <v>15080</v>
      </c>
      <c r="U1874" s="284"/>
    </row>
    <row r="1875" spans="2:21" x14ac:dyDescent="0.25">
      <c r="B1875" s="292">
        <v>31</v>
      </c>
      <c r="C1875" s="292"/>
      <c r="D1875" s="292"/>
      <c r="F1875" s="283" t="s">
        <v>118</v>
      </c>
      <c r="G1875" s="283"/>
      <c r="J1875" s="293">
        <v>321</v>
      </c>
      <c r="K1875" s="293"/>
      <c r="L1875" s="293"/>
      <c r="M1875" s="293"/>
      <c r="N1875" s="293"/>
      <c r="P1875" s="42">
        <v>317790</v>
      </c>
      <c r="R1875" s="42">
        <v>157130</v>
      </c>
      <c r="T1875" s="284">
        <v>160660</v>
      </c>
      <c r="U1875" s="284"/>
    </row>
    <row r="1876" spans="2:21" x14ac:dyDescent="0.25">
      <c r="B1876" s="292">
        <v>32</v>
      </c>
      <c r="C1876" s="292"/>
      <c r="D1876" s="292"/>
      <c r="F1876" s="283" t="s">
        <v>117</v>
      </c>
      <c r="G1876" s="283"/>
      <c r="J1876" s="293">
        <v>2</v>
      </c>
      <c r="K1876" s="293"/>
      <c r="L1876" s="293"/>
      <c r="M1876" s="293"/>
      <c r="N1876" s="293"/>
      <c r="P1876" s="42">
        <v>1600</v>
      </c>
      <c r="R1876" s="42">
        <v>400</v>
      </c>
      <c r="T1876" s="284">
        <v>1200</v>
      </c>
      <c r="U1876" s="284"/>
    </row>
    <row r="1877" spans="2:21" x14ac:dyDescent="0.25">
      <c r="B1877" s="292">
        <v>33</v>
      </c>
      <c r="C1877" s="292"/>
      <c r="D1877" s="292"/>
      <c r="F1877" s="283" t="s">
        <v>115</v>
      </c>
      <c r="G1877" s="283"/>
      <c r="J1877" s="293">
        <v>2</v>
      </c>
      <c r="K1877" s="293"/>
      <c r="L1877" s="293"/>
      <c r="M1877" s="293"/>
      <c r="N1877" s="293"/>
      <c r="P1877" s="42">
        <v>580</v>
      </c>
      <c r="R1877" s="42">
        <v>220</v>
      </c>
      <c r="T1877" s="284">
        <v>360</v>
      </c>
      <c r="U1877" s="284"/>
    </row>
    <row r="1878" spans="2:21" x14ac:dyDescent="0.25">
      <c r="B1878" s="292">
        <v>34</v>
      </c>
      <c r="C1878" s="292"/>
      <c r="D1878" s="292"/>
      <c r="F1878" s="283" t="s">
        <v>417</v>
      </c>
      <c r="G1878" s="283"/>
      <c r="J1878" s="293">
        <v>1</v>
      </c>
      <c r="K1878" s="293"/>
      <c r="L1878" s="293"/>
      <c r="M1878" s="293"/>
      <c r="N1878" s="293"/>
      <c r="P1878" s="42">
        <v>5000</v>
      </c>
      <c r="R1878" s="42">
        <v>4900</v>
      </c>
      <c r="T1878" s="284">
        <v>100</v>
      </c>
      <c r="U1878" s="284"/>
    </row>
    <row r="1879" spans="2:21" x14ac:dyDescent="0.25">
      <c r="B1879" s="292">
        <v>35</v>
      </c>
      <c r="C1879" s="292"/>
      <c r="D1879" s="292"/>
      <c r="F1879" s="283" t="s">
        <v>225</v>
      </c>
      <c r="G1879" s="283"/>
      <c r="J1879" s="293">
        <v>14</v>
      </c>
      <c r="K1879" s="293"/>
      <c r="L1879" s="293"/>
      <c r="M1879" s="293"/>
      <c r="N1879" s="293"/>
      <c r="P1879" s="42">
        <v>70000</v>
      </c>
      <c r="R1879" s="42">
        <v>68600</v>
      </c>
      <c r="T1879" s="284">
        <v>1400</v>
      </c>
      <c r="U1879" s="284"/>
    </row>
    <row r="1880" spans="2:21" x14ac:dyDescent="0.25">
      <c r="B1880" s="292">
        <v>36</v>
      </c>
      <c r="C1880" s="292"/>
      <c r="D1880" s="292"/>
      <c r="F1880" s="283" t="s">
        <v>108</v>
      </c>
      <c r="G1880" s="283"/>
      <c r="J1880" s="293">
        <v>176</v>
      </c>
      <c r="K1880" s="293"/>
      <c r="L1880" s="293"/>
      <c r="M1880" s="293"/>
      <c r="N1880" s="293"/>
      <c r="P1880" s="42">
        <v>17600</v>
      </c>
      <c r="R1880" s="42">
        <v>4080</v>
      </c>
      <c r="T1880" s="284">
        <v>13520</v>
      </c>
      <c r="U1880" s="284"/>
    </row>
    <row r="1881" spans="2:21" x14ac:dyDescent="0.25">
      <c r="B1881" s="292">
        <v>37</v>
      </c>
      <c r="C1881" s="292"/>
      <c r="D1881" s="292"/>
      <c r="F1881" s="283" t="s">
        <v>107</v>
      </c>
      <c r="G1881" s="283"/>
      <c r="J1881" s="293">
        <v>15</v>
      </c>
      <c r="K1881" s="293"/>
      <c r="L1881" s="293"/>
      <c r="M1881" s="293"/>
      <c r="N1881" s="293"/>
      <c r="P1881" s="42">
        <v>2550</v>
      </c>
      <c r="R1881" s="42">
        <v>774</v>
      </c>
      <c r="T1881" s="284">
        <v>1776</v>
      </c>
      <c r="U1881" s="284"/>
    </row>
    <row r="1882" spans="2:21" x14ac:dyDescent="0.25">
      <c r="B1882" s="292">
        <v>38</v>
      </c>
      <c r="C1882" s="292"/>
      <c r="D1882" s="292"/>
      <c r="F1882" s="283" t="s">
        <v>97</v>
      </c>
      <c r="G1882" s="283"/>
      <c r="J1882" s="293">
        <v>3</v>
      </c>
      <c r="K1882" s="293"/>
      <c r="L1882" s="293"/>
      <c r="M1882" s="293"/>
      <c r="N1882" s="293"/>
      <c r="P1882" s="42">
        <v>4770</v>
      </c>
      <c r="R1882" s="42">
        <v>720</v>
      </c>
      <c r="T1882" s="284">
        <v>4050</v>
      </c>
      <c r="U1882" s="284"/>
    </row>
    <row r="1883" spans="2:21" x14ac:dyDescent="0.25">
      <c r="B1883" s="292">
        <v>39</v>
      </c>
      <c r="C1883" s="292"/>
      <c r="D1883" s="292"/>
      <c r="F1883" s="283" t="s">
        <v>93</v>
      </c>
      <c r="G1883" s="283"/>
      <c r="J1883" s="293">
        <v>1</v>
      </c>
      <c r="K1883" s="293"/>
      <c r="L1883" s="293"/>
      <c r="M1883" s="293"/>
      <c r="N1883" s="293"/>
      <c r="P1883" s="42">
        <v>590</v>
      </c>
      <c r="R1883" s="42">
        <v>90</v>
      </c>
      <c r="T1883" s="284">
        <v>500</v>
      </c>
      <c r="U1883" s="284"/>
    </row>
    <row r="1884" spans="2:21" x14ac:dyDescent="0.25">
      <c r="B1884" s="292">
        <v>40</v>
      </c>
      <c r="C1884" s="292"/>
      <c r="D1884" s="292"/>
      <c r="F1884" s="283" t="s">
        <v>92</v>
      </c>
      <c r="G1884" s="283"/>
      <c r="J1884" s="293">
        <v>38</v>
      </c>
      <c r="K1884" s="293"/>
      <c r="L1884" s="293"/>
      <c r="M1884" s="293"/>
      <c r="N1884" s="293"/>
      <c r="P1884" s="42">
        <v>26080</v>
      </c>
      <c r="R1884" s="42">
        <v>7760</v>
      </c>
      <c r="T1884" s="284">
        <v>18320</v>
      </c>
      <c r="U1884" s="284"/>
    </row>
    <row r="1885" spans="2:21" x14ac:dyDescent="0.25">
      <c r="B1885" s="292">
        <v>41</v>
      </c>
      <c r="C1885" s="292"/>
      <c r="D1885" s="292"/>
      <c r="F1885" s="283" t="s">
        <v>306</v>
      </c>
      <c r="G1885" s="283"/>
      <c r="J1885" s="293">
        <v>1</v>
      </c>
      <c r="K1885" s="293"/>
      <c r="L1885" s="293"/>
      <c r="M1885" s="293"/>
      <c r="N1885" s="293"/>
      <c r="P1885" s="42">
        <v>1080</v>
      </c>
      <c r="R1885" s="42">
        <v>320</v>
      </c>
      <c r="T1885" s="284">
        <v>760</v>
      </c>
      <c r="U1885" s="284"/>
    </row>
    <row r="1886" spans="2:21" x14ac:dyDescent="0.25">
      <c r="B1886" s="292">
        <v>42</v>
      </c>
      <c r="C1886" s="292"/>
      <c r="D1886" s="292"/>
      <c r="F1886" s="283" t="s">
        <v>91</v>
      </c>
      <c r="G1886" s="283"/>
      <c r="J1886" s="293">
        <v>318</v>
      </c>
      <c r="K1886" s="293"/>
      <c r="L1886" s="293"/>
      <c r="M1886" s="293"/>
      <c r="N1886" s="293"/>
      <c r="P1886" s="42">
        <v>79500</v>
      </c>
      <c r="R1886" s="42">
        <v>39018</v>
      </c>
      <c r="T1886" s="284">
        <v>40482</v>
      </c>
      <c r="U1886" s="284"/>
    </row>
    <row r="1887" spans="2:21" x14ac:dyDescent="0.25">
      <c r="B1887" s="292">
        <v>43</v>
      </c>
      <c r="C1887" s="292"/>
      <c r="D1887" s="292"/>
      <c r="F1887" s="283" t="s">
        <v>90</v>
      </c>
      <c r="G1887" s="283"/>
      <c r="J1887" s="293">
        <v>25</v>
      </c>
      <c r="K1887" s="293"/>
      <c r="L1887" s="293"/>
      <c r="M1887" s="293"/>
      <c r="N1887" s="293"/>
      <c r="P1887" s="42">
        <v>7250</v>
      </c>
      <c r="R1887" s="42">
        <v>2000</v>
      </c>
      <c r="T1887" s="284">
        <v>5250</v>
      </c>
      <c r="U1887" s="284"/>
    </row>
    <row r="1888" spans="2:21" x14ac:dyDescent="0.25">
      <c r="B1888" s="292">
        <v>44</v>
      </c>
      <c r="C1888" s="292"/>
      <c r="D1888" s="292"/>
      <c r="F1888" s="283" t="s">
        <v>89</v>
      </c>
      <c r="G1888" s="283"/>
      <c r="J1888" s="293">
        <v>1</v>
      </c>
      <c r="K1888" s="293"/>
      <c r="L1888" s="293"/>
      <c r="M1888" s="293"/>
      <c r="N1888" s="293"/>
      <c r="P1888" s="42">
        <v>880</v>
      </c>
      <c r="R1888" s="42">
        <v>130</v>
      </c>
      <c r="T1888" s="284">
        <v>750</v>
      </c>
      <c r="U1888" s="284"/>
    </row>
    <row r="1889" spans="1:21" x14ac:dyDescent="0.25">
      <c r="B1889" s="292">
        <v>45</v>
      </c>
      <c r="C1889" s="292"/>
      <c r="D1889" s="292"/>
      <c r="F1889" s="283" t="s">
        <v>88</v>
      </c>
      <c r="G1889" s="283"/>
      <c r="J1889" s="293">
        <v>11</v>
      </c>
      <c r="K1889" s="293"/>
      <c r="L1889" s="293"/>
      <c r="M1889" s="293"/>
      <c r="N1889" s="293"/>
      <c r="P1889" s="42">
        <v>1980</v>
      </c>
      <c r="R1889" s="42">
        <v>595</v>
      </c>
      <c r="T1889" s="284">
        <v>1385</v>
      </c>
      <c r="U1889" s="284"/>
    </row>
    <row r="1890" spans="1:21" x14ac:dyDescent="0.25">
      <c r="B1890" s="292">
        <v>46</v>
      </c>
      <c r="C1890" s="292"/>
      <c r="D1890" s="292"/>
      <c r="F1890" s="283" t="s">
        <v>205</v>
      </c>
      <c r="G1890" s="283"/>
      <c r="J1890" s="293">
        <v>1</v>
      </c>
      <c r="K1890" s="293"/>
      <c r="L1890" s="293"/>
      <c r="M1890" s="293"/>
      <c r="N1890" s="293"/>
      <c r="P1890" s="42">
        <v>500</v>
      </c>
      <c r="R1890" s="42">
        <v>150</v>
      </c>
      <c r="T1890" s="284">
        <v>350</v>
      </c>
      <c r="U1890" s="284"/>
    </row>
    <row r="1891" spans="1:21" x14ac:dyDescent="0.25">
      <c r="B1891" s="292">
        <v>47</v>
      </c>
      <c r="C1891" s="292"/>
      <c r="D1891" s="292"/>
      <c r="F1891" s="283" t="s">
        <v>271</v>
      </c>
      <c r="G1891" s="283"/>
      <c r="J1891" s="293">
        <v>1</v>
      </c>
      <c r="K1891" s="293"/>
      <c r="L1891" s="293"/>
      <c r="M1891" s="293"/>
      <c r="N1891" s="293"/>
      <c r="P1891" s="42">
        <v>500</v>
      </c>
      <c r="R1891" s="42">
        <v>150</v>
      </c>
      <c r="T1891" s="284">
        <v>350</v>
      </c>
      <c r="U1891" s="284"/>
    </row>
    <row r="1892" spans="1:21" s="40" customFormat="1" x14ac:dyDescent="0.25">
      <c r="A1892" s="290" t="s">
        <v>416</v>
      </c>
      <c r="B1892" s="290"/>
      <c r="C1892" s="290"/>
      <c r="D1892" s="290"/>
      <c r="E1892" s="290"/>
      <c r="F1892" s="290"/>
      <c r="G1892" s="290"/>
      <c r="H1892" s="290"/>
      <c r="I1892" s="290"/>
      <c r="J1892" s="290"/>
      <c r="K1892" s="291">
        <v>1815</v>
      </c>
      <c r="L1892" s="291"/>
      <c r="M1892" s="291"/>
      <c r="N1892" s="291"/>
      <c r="O1892" s="291"/>
      <c r="P1892" s="41">
        <v>1438695</v>
      </c>
      <c r="R1892" s="41">
        <v>1093884</v>
      </c>
      <c r="T1892" s="287">
        <v>344811</v>
      </c>
      <c r="U1892" s="287"/>
    </row>
    <row r="1893" spans="1:21" x14ac:dyDescent="0.25">
      <c r="B1893" s="292">
        <v>1</v>
      </c>
      <c r="C1893" s="292"/>
      <c r="D1893" s="292"/>
      <c r="F1893" s="283" t="s">
        <v>78</v>
      </c>
      <c r="G1893" s="283"/>
      <c r="J1893" s="293">
        <v>15</v>
      </c>
      <c r="K1893" s="293"/>
      <c r="L1893" s="293"/>
      <c r="M1893" s="293"/>
      <c r="N1893" s="293"/>
      <c r="P1893" s="42">
        <v>4350</v>
      </c>
      <c r="R1893" s="42">
        <v>4350</v>
      </c>
      <c r="T1893" s="284">
        <v>0</v>
      </c>
      <c r="U1893" s="284"/>
    </row>
    <row r="1894" spans="1:21" x14ac:dyDescent="0.25">
      <c r="B1894" s="292">
        <v>2</v>
      </c>
      <c r="C1894" s="292"/>
      <c r="D1894" s="292"/>
      <c r="F1894" s="283" t="s">
        <v>249</v>
      </c>
      <c r="G1894" s="283"/>
      <c r="J1894" s="293">
        <v>1</v>
      </c>
      <c r="K1894" s="293"/>
      <c r="L1894" s="293"/>
      <c r="M1894" s="293"/>
      <c r="N1894" s="293"/>
      <c r="P1894" s="42">
        <v>1300</v>
      </c>
      <c r="R1894" s="42">
        <v>200</v>
      </c>
      <c r="T1894" s="284">
        <v>1100</v>
      </c>
      <c r="U1894" s="284"/>
    </row>
    <row r="1895" spans="1:21" x14ac:dyDescent="0.25">
      <c r="B1895" s="292">
        <v>3</v>
      </c>
      <c r="C1895" s="292"/>
      <c r="D1895" s="292"/>
      <c r="F1895" s="283" t="s">
        <v>162</v>
      </c>
      <c r="G1895" s="283"/>
      <c r="J1895" s="293">
        <v>1</v>
      </c>
      <c r="K1895" s="293"/>
      <c r="L1895" s="293"/>
      <c r="M1895" s="293"/>
      <c r="N1895" s="293"/>
      <c r="P1895" s="42">
        <v>430</v>
      </c>
      <c r="R1895" s="42">
        <v>220</v>
      </c>
      <c r="T1895" s="284">
        <v>210</v>
      </c>
      <c r="U1895" s="284"/>
    </row>
    <row r="1896" spans="1:21" x14ac:dyDescent="0.25">
      <c r="B1896" s="292">
        <v>4</v>
      </c>
      <c r="C1896" s="292"/>
      <c r="D1896" s="292"/>
      <c r="F1896" s="283" t="s">
        <v>198</v>
      </c>
      <c r="G1896" s="283"/>
      <c r="J1896" s="293">
        <v>1</v>
      </c>
      <c r="K1896" s="293"/>
      <c r="L1896" s="293"/>
      <c r="M1896" s="293"/>
      <c r="N1896" s="293"/>
      <c r="P1896" s="42">
        <v>290</v>
      </c>
      <c r="R1896" s="42">
        <v>80</v>
      </c>
      <c r="T1896" s="284">
        <v>210</v>
      </c>
      <c r="U1896" s="284"/>
    </row>
    <row r="1897" spans="1:21" x14ac:dyDescent="0.25">
      <c r="B1897" s="292">
        <v>5</v>
      </c>
      <c r="C1897" s="292"/>
      <c r="D1897" s="292"/>
      <c r="F1897" s="283" t="s">
        <v>160</v>
      </c>
      <c r="G1897" s="283"/>
      <c r="J1897" s="293">
        <v>1</v>
      </c>
      <c r="K1897" s="293"/>
      <c r="L1897" s="293"/>
      <c r="M1897" s="293"/>
      <c r="N1897" s="293"/>
      <c r="P1897" s="42">
        <v>290</v>
      </c>
      <c r="R1897" s="42">
        <v>80</v>
      </c>
      <c r="T1897" s="284">
        <v>210</v>
      </c>
      <c r="U1897" s="284"/>
    </row>
    <row r="1898" spans="1:21" x14ac:dyDescent="0.25">
      <c r="B1898" s="292">
        <v>6</v>
      </c>
      <c r="C1898" s="292"/>
      <c r="D1898" s="292"/>
      <c r="F1898" s="283" t="s">
        <v>158</v>
      </c>
      <c r="G1898" s="283"/>
      <c r="J1898" s="293">
        <v>374</v>
      </c>
      <c r="K1898" s="293"/>
      <c r="L1898" s="293"/>
      <c r="M1898" s="293"/>
      <c r="N1898" s="293"/>
      <c r="P1898" s="42">
        <v>205700</v>
      </c>
      <c r="R1898" s="42">
        <v>77833</v>
      </c>
      <c r="T1898" s="284">
        <v>127867</v>
      </c>
      <c r="U1898" s="284"/>
    </row>
    <row r="1899" spans="1:21" x14ac:dyDescent="0.25">
      <c r="B1899" s="292">
        <v>7</v>
      </c>
      <c r="C1899" s="292"/>
      <c r="D1899" s="292"/>
      <c r="F1899" s="283" t="s">
        <v>157</v>
      </c>
      <c r="G1899" s="283"/>
      <c r="J1899" s="293">
        <v>9</v>
      </c>
      <c r="K1899" s="293"/>
      <c r="L1899" s="293"/>
      <c r="M1899" s="293"/>
      <c r="N1899" s="293"/>
      <c r="P1899" s="42">
        <v>4410</v>
      </c>
      <c r="R1899" s="42">
        <v>1745</v>
      </c>
      <c r="T1899" s="284">
        <v>2665</v>
      </c>
      <c r="U1899" s="284"/>
    </row>
    <row r="1900" spans="1:21" x14ac:dyDescent="0.25">
      <c r="B1900" s="292">
        <v>8</v>
      </c>
      <c r="C1900" s="292"/>
      <c r="D1900" s="292"/>
      <c r="F1900" s="283" t="s">
        <v>293</v>
      </c>
      <c r="G1900" s="283"/>
      <c r="J1900" s="293">
        <v>1</v>
      </c>
      <c r="K1900" s="293"/>
      <c r="L1900" s="293"/>
      <c r="M1900" s="293"/>
      <c r="N1900" s="293"/>
      <c r="P1900" s="42">
        <v>900</v>
      </c>
      <c r="R1900" s="42">
        <v>100</v>
      </c>
      <c r="T1900" s="284">
        <v>800</v>
      </c>
      <c r="U1900" s="284"/>
    </row>
    <row r="1901" spans="1:21" x14ac:dyDescent="0.25">
      <c r="B1901" s="292">
        <v>9</v>
      </c>
      <c r="C1901" s="292"/>
      <c r="D1901" s="292"/>
      <c r="F1901" s="283" t="s">
        <v>196</v>
      </c>
      <c r="G1901" s="283"/>
      <c r="J1901" s="293">
        <v>9</v>
      </c>
      <c r="K1901" s="293"/>
      <c r="L1901" s="293"/>
      <c r="M1901" s="293"/>
      <c r="N1901" s="293"/>
      <c r="P1901" s="42">
        <v>6500</v>
      </c>
      <c r="R1901" s="42">
        <v>1485</v>
      </c>
      <c r="T1901" s="284">
        <v>5015</v>
      </c>
      <c r="U1901" s="284"/>
    </row>
    <row r="1902" spans="1:21" x14ac:dyDescent="0.25">
      <c r="B1902" s="292">
        <v>10</v>
      </c>
      <c r="C1902" s="292"/>
      <c r="D1902" s="292"/>
      <c r="F1902" s="283" t="s">
        <v>77</v>
      </c>
      <c r="G1902" s="283"/>
      <c r="J1902" s="293">
        <v>362</v>
      </c>
      <c r="K1902" s="293"/>
      <c r="L1902" s="293"/>
      <c r="M1902" s="293"/>
      <c r="N1902" s="293"/>
      <c r="P1902" s="42">
        <v>150000</v>
      </c>
      <c r="R1902" s="42">
        <v>150000</v>
      </c>
      <c r="T1902" s="284">
        <v>0</v>
      </c>
      <c r="U1902" s="284"/>
    </row>
    <row r="1903" spans="1:21" x14ac:dyDescent="0.25">
      <c r="B1903" s="292">
        <v>11</v>
      </c>
      <c r="C1903" s="292"/>
      <c r="D1903" s="292"/>
      <c r="F1903" s="283" t="s">
        <v>156</v>
      </c>
      <c r="G1903" s="283"/>
      <c r="J1903" s="293">
        <v>8</v>
      </c>
      <c r="K1903" s="293"/>
      <c r="L1903" s="293"/>
      <c r="M1903" s="293"/>
      <c r="N1903" s="293"/>
      <c r="P1903" s="42">
        <v>1520</v>
      </c>
      <c r="R1903" s="42">
        <v>280</v>
      </c>
      <c r="T1903" s="284">
        <v>1240</v>
      </c>
      <c r="U1903" s="284"/>
    </row>
    <row r="1904" spans="1:21" x14ac:dyDescent="0.25">
      <c r="B1904" s="292">
        <v>12</v>
      </c>
      <c r="C1904" s="292"/>
      <c r="D1904" s="292"/>
      <c r="F1904" s="283" t="s">
        <v>155</v>
      </c>
      <c r="G1904" s="283"/>
      <c r="J1904" s="293">
        <v>156</v>
      </c>
      <c r="K1904" s="293"/>
      <c r="L1904" s="293"/>
      <c r="M1904" s="293"/>
      <c r="N1904" s="293"/>
      <c r="P1904" s="42">
        <v>39000</v>
      </c>
      <c r="R1904" s="42">
        <v>19461</v>
      </c>
      <c r="T1904" s="284">
        <v>19539</v>
      </c>
      <c r="U1904" s="284"/>
    </row>
    <row r="1905" spans="2:21" x14ac:dyDescent="0.25">
      <c r="B1905" s="292">
        <v>13</v>
      </c>
      <c r="C1905" s="292"/>
      <c r="D1905" s="292"/>
      <c r="F1905" s="283" t="s">
        <v>154</v>
      </c>
      <c r="G1905" s="283"/>
      <c r="J1905" s="293">
        <v>1</v>
      </c>
      <c r="K1905" s="293"/>
      <c r="L1905" s="293"/>
      <c r="M1905" s="293"/>
      <c r="N1905" s="293"/>
      <c r="P1905" s="42">
        <v>890</v>
      </c>
      <c r="R1905" s="42">
        <v>130</v>
      </c>
      <c r="T1905" s="284">
        <v>760</v>
      </c>
      <c r="U1905" s="284"/>
    </row>
    <row r="1906" spans="2:21" x14ac:dyDescent="0.25">
      <c r="B1906" s="292">
        <v>14</v>
      </c>
      <c r="C1906" s="292"/>
      <c r="D1906" s="292"/>
      <c r="F1906" s="283" t="s">
        <v>340</v>
      </c>
      <c r="G1906" s="283"/>
      <c r="J1906" s="293">
        <v>1</v>
      </c>
      <c r="K1906" s="293"/>
      <c r="L1906" s="293"/>
      <c r="M1906" s="293"/>
      <c r="N1906" s="293"/>
      <c r="P1906" s="42">
        <v>880</v>
      </c>
      <c r="R1906" s="42">
        <v>80</v>
      </c>
      <c r="T1906" s="284">
        <v>800</v>
      </c>
      <c r="U1906" s="284"/>
    </row>
    <row r="1907" spans="2:21" x14ac:dyDescent="0.25">
      <c r="B1907" s="292">
        <v>15</v>
      </c>
      <c r="C1907" s="292"/>
      <c r="D1907" s="292"/>
      <c r="F1907" s="283" t="s">
        <v>152</v>
      </c>
      <c r="G1907" s="283"/>
      <c r="J1907" s="293">
        <v>1</v>
      </c>
      <c r="K1907" s="293"/>
      <c r="L1907" s="293"/>
      <c r="M1907" s="293"/>
      <c r="N1907" s="293"/>
      <c r="P1907" s="42">
        <v>590</v>
      </c>
      <c r="R1907" s="42">
        <v>180</v>
      </c>
      <c r="T1907" s="284">
        <v>410</v>
      </c>
      <c r="U1907" s="284"/>
    </row>
    <row r="1908" spans="2:21" x14ac:dyDescent="0.25">
      <c r="B1908" s="292">
        <v>16</v>
      </c>
      <c r="C1908" s="292"/>
      <c r="D1908" s="292"/>
      <c r="F1908" s="283" t="s">
        <v>151</v>
      </c>
      <c r="G1908" s="283"/>
      <c r="J1908" s="293">
        <v>3</v>
      </c>
      <c r="K1908" s="293"/>
      <c r="L1908" s="293"/>
      <c r="M1908" s="293"/>
      <c r="N1908" s="293"/>
      <c r="P1908" s="42">
        <v>690</v>
      </c>
      <c r="R1908" s="42">
        <v>220</v>
      </c>
      <c r="T1908" s="284">
        <v>470</v>
      </c>
      <c r="U1908" s="284"/>
    </row>
    <row r="1909" spans="2:21" x14ac:dyDescent="0.25">
      <c r="B1909" s="292">
        <v>17</v>
      </c>
      <c r="C1909" s="292"/>
      <c r="D1909" s="292"/>
      <c r="F1909" s="283" t="s">
        <v>150</v>
      </c>
      <c r="G1909" s="283"/>
      <c r="J1909" s="293">
        <v>4</v>
      </c>
      <c r="K1909" s="293"/>
      <c r="L1909" s="293"/>
      <c r="M1909" s="293"/>
      <c r="N1909" s="293"/>
      <c r="P1909" s="42">
        <v>680</v>
      </c>
      <c r="R1909" s="42">
        <v>210</v>
      </c>
      <c r="T1909" s="284">
        <v>470</v>
      </c>
      <c r="U1909" s="284"/>
    </row>
    <row r="1910" spans="2:21" x14ac:dyDescent="0.25">
      <c r="B1910" s="292">
        <v>18</v>
      </c>
      <c r="C1910" s="292"/>
      <c r="D1910" s="292"/>
      <c r="F1910" s="283" t="s">
        <v>415</v>
      </c>
      <c r="G1910" s="283"/>
      <c r="J1910" s="293">
        <v>1</v>
      </c>
      <c r="K1910" s="293"/>
      <c r="L1910" s="293"/>
      <c r="M1910" s="293"/>
      <c r="N1910" s="293"/>
      <c r="P1910" s="42">
        <v>900</v>
      </c>
      <c r="R1910" s="42">
        <v>270</v>
      </c>
      <c r="T1910" s="284">
        <v>630</v>
      </c>
      <c r="U1910" s="284"/>
    </row>
    <row r="1911" spans="2:21" x14ac:dyDescent="0.25">
      <c r="B1911" s="292">
        <v>19</v>
      </c>
      <c r="C1911" s="292"/>
      <c r="D1911" s="292"/>
      <c r="F1911" s="283" t="s">
        <v>193</v>
      </c>
      <c r="G1911" s="283"/>
      <c r="J1911" s="293">
        <v>1</v>
      </c>
      <c r="K1911" s="293"/>
      <c r="L1911" s="293"/>
      <c r="M1911" s="293"/>
      <c r="N1911" s="293"/>
      <c r="P1911" s="42">
        <v>890</v>
      </c>
      <c r="R1911" s="42">
        <v>130</v>
      </c>
      <c r="T1911" s="284">
        <v>760</v>
      </c>
      <c r="U1911" s="284"/>
    </row>
    <row r="1912" spans="2:21" x14ac:dyDescent="0.25">
      <c r="B1912" s="292">
        <v>20</v>
      </c>
      <c r="C1912" s="292"/>
      <c r="D1912" s="292"/>
      <c r="F1912" s="283" t="s">
        <v>75</v>
      </c>
      <c r="G1912" s="283"/>
      <c r="J1912" s="293">
        <v>287</v>
      </c>
      <c r="K1912" s="293"/>
      <c r="L1912" s="293"/>
      <c r="M1912" s="293"/>
      <c r="N1912" s="293"/>
      <c r="P1912" s="42">
        <v>717500</v>
      </c>
      <c r="R1912" s="42">
        <v>717500</v>
      </c>
      <c r="T1912" s="284">
        <v>0</v>
      </c>
      <c r="U1912" s="284"/>
    </row>
    <row r="1913" spans="2:21" x14ac:dyDescent="0.25">
      <c r="B1913" s="292">
        <v>21</v>
      </c>
      <c r="C1913" s="292"/>
      <c r="D1913" s="292"/>
      <c r="F1913" s="283" t="s">
        <v>141</v>
      </c>
      <c r="G1913" s="283"/>
      <c r="J1913" s="293">
        <v>3</v>
      </c>
      <c r="K1913" s="293"/>
      <c r="L1913" s="293"/>
      <c r="M1913" s="293"/>
      <c r="N1913" s="293"/>
      <c r="P1913" s="42">
        <v>225</v>
      </c>
      <c r="R1913" s="42">
        <v>66</v>
      </c>
      <c r="T1913" s="284">
        <v>159</v>
      </c>
      <c r="U1913" s="284"/>
    </row>
    <row r="1914" spans="2:21" x14ac:dyDescent="0.25">
      <c r="B1914" s="292">
        <v>22</v>
      </c>
      <c r="C1914" s="292"/>
      <c r="D1914" s="292"/>
      <c r="F1914" s="283" t="s">
        <v>139</v>
      </c>
      <c r="G1914" s="283"/>
      <c r="J1914" s="293">
        <v>1</v>
      </c>
      <c r="K1914" s="293"/>
      <c r="L1914" s="293"/>
      <c r="M1914" s="293"/>
      <c r="N1914" s="293"/>
      <c r="P1914" s="42">
        <v>270</v>
      </c>
      <c r="R1914" s="42">
        <v>80</v>
      </c>
      <c r="T1914" s="284">
        <v>190</v>
      </c>
      <c r="U1914" s="284"/>
    </row>
    <row r="1915" spans="2:21" x14ac:dyDescent="0.25">
      <c r="B1915" s="292">
        <v>23</v>
      </c>
      <c r="C1915" s="292"/>
      <c r="D1915" s="292"/>
      <c r="F1915" s="283" t="s">
        <v>137</v>
      </c>
      <c r="G1915" s="283"/>
      <c r="J1915" s="293">
        <v>1</v>
      </c>
      <c r="K1915" s="293"/>
      <c r="L1915" s="293"/>
      <c r="M1915" s="293"/>
      <c r="N1915" s="293"/>
      <c r="P1915" s="42">
        <v>800</v>
      </c>
      <c r="R1915" s="42">
        <v>200</v>
      </c>
      <c r="T1915" s="284">
        <v>600</v>
      </c>
      <c r="U1915" s="284"/>
    </row>
    <row r="1916" spans="2:21" x14ac:dyDescent="0.25">
      <c r="B1916" s="292">
        <v>24</v>
      </c>
      <c r="C1916" s="292"/>
      <c r="D1916" s="292"/>
      <c r="F1916" s="283" t="s">
        <v>136</v>
      </c>
      <c r="G1916" s="283"/>
      <c r="J1916" s="293">
        <v>11</v>
      </c>
      <c r="K1916" s="293"/>
      <c r="L1916" s="293"/>
      <c r="M1916" s="293"/>
      <c r="N1916" s="293"/>
      <c r="P1916" s="42">
        <v>9350</v>
      </c>
      <c r="R1916" s="42">
        <v>1988</v>
      </c>
      <c r="T1916" s="284">
        <v>7362</v>
      </c>
      <c r="U1916" s="284"/>
    </row>
    <row r="1917" spans="2:21" x14ac:dyDescent="0.25">
      <c r="B1917" s="292">
        <v>25</v>
      </c>
      <c r="C1917" s="292"/>
      <c r="D1917" s="292"/>
      <c r="F1917" s="283" t="s">
        <v>135</v>
      </c>
      <c r="G1917" s="283"/>
      <c r="J1917" s="293">
        <v>4</v>
      </c>
      <c r="K1917" s="293"/>
      <c r="L1917" s="293"/>
      <c r="M1917" s="293"/>
      <c r="N1917" s="293"/>
      <c r="P1917" s="42">
        <v>3800</v>
      </c>
      <c r="R1917" s="42">
        <v>990</v>
      </c>
      <c r="T1917" s="284">
        <v>2810</v>
      </c>
      <c r="U1917" s="284"/>
    </row>
    <row r="1918" spans="2:21" x14ac:dyDescent="0.25">
      <c r="B1918" s="292">
        <v>26</v>
      </c>
      <c r="C1918" s="292"/>
      <c r="D1918" s="292"/>
      <c r="F1918" s="283" t="s">
        <v>132</v>
      </c>
      <c r="G1918" s="283"/>
      <c r="J1918" s="293">
        <v>2</v>
      </c>
      <c r="K1918" s="293"/>
      <c r="L1918" s="293"/>
      <c r="M1918" s="293"/>
      <c r="N1918" s="293"/>
      <c r="P1918" s="42">
        <v>2480</v>
      </c>
      <c r="R1918" s="42">
        <v>740</v>
      </c>
      <c r="T1918" s="284">
        <v>1740</v>
      </c>
      <c r="U1918" s="284"/>
    </row>
    <row r="1919" spans="2:21" x14ac:dyDescent="0.25">
      <c r="B1919" s="292">
        <v>27</v>
      </c>
      <c r="C1919" s="292"/>
      <c r="D1919" s="292"/>
      <c r="F1919" s="283" t="s">
        <v>128</v>
      </c>
      <c r="G1919" s="283"/>
      <c r="J1919" s="293">
        <v>1</v>
      </c>
      <c r="K1919" s="293"/>
      <c r="L1919" s="293"/>
      <c r="M1919" s="293"/>
      <c r="N1919" s="293"/>
      <c r="P1919" s="42">
        <v>1150</v>
      </c>
      <c r="R1919" s="42">
        <v>170</v>
      </c>
      <c r="T1919" s="284">
        <v>980</v>
      </c>
      <c r="U1919" s="284"/>
    </row>
    <row r="1920" spans="2:21" x14ac:dyDescent="0.25">
      <c r="B1920" s="292">
        <v>28</v>
      </c>
      <c r="C1920" s="292"/>
      <c r="D1920" s="292"/>
      <c r="F1920" s="283" t="s">
        <v>378</v>
      </c>
      <c r="G1920" s="283"/>
      <c r="J1920" s="293">
        <v>1</v>
      </c>
      <c r="K1920" s="293"/>
      <c r="L1920" s="293"/>
      <c r="M1920" s="293"/>
      <c r="N1920" s="293"/>
      <c r="P1920" s="42">
        <v>800</v>
      </c>
      <c r="R1920" s="42">
        <v>450</v>
      </c>
      <c r="T1920" s="284">
        <v>350</v>
      </c>
      <c r="U1920" s="284"/>
    </row>
    <row r="1921" spans="2:21" x14ac:dyDescent="0.25">
      <c r="B1921" s="292">
        <v>29</v>
      </c>
      <c r="C1921" s="292"/>
      <c r="D1921" s="292"/>
      <c r="F1921" s="283" t="s">
        <v>126</v>
      </c>
      <c r="G1921" s="283"/>
      <c r="J1921" s="293">
        <v>6</v>
      </c>
      <c r="K1921" s="293"/>
      <c r="L1921" s="293"/>
      <c r="M1921" s="293"/>
      <c r="N1921" s="293"/>
      <c r="P1921" s="42">
        <v>1200</v>
      </c>
      <c r="R1921" s="42">
        <v>360</v>
      </c>
      <c r="T1921" s="284">
        <v>840</v>
      </c>
      <c r="U1921" s="284"/>
    </row>
    <row r="1922" spans="2:21" x14ac:dyDescent="0.25">
      <c r="B1922" s="292">
        <v>30</v>
      </c>
      <c r="C1922" s="292"/>
      <c r="D1922" s="292"/>
      <c r="F1922" s="283" t="s">
        <v>124</v>
      </c>
      <c r="G1922" s="283"/>
      <c r="J1922" s="293">
        <v>1</v>
      </c>
      <c r="K1922" s="293"/>
      <c r="L1922" s="293"/>
      <c r="M1922" s="293"/>
      <c r="N1922" s="293"/>
      <c r="P1922" s="42">
        <v>400</v>
      </c>
      <c r="R1922" s="42">
        <v>120</v>
      </c>
      <c r="T1922" s="284">
        <v>280</v>
      </c>
      <c r="U1922" s="284"/>
    </row>
    <row r="1923" spans="2:21" x14ac:dyDescent="0.25">
      <c r="B1923" s="292">
        <v>31</v>
      </c>
      <c r="C1923" s="292"/>
      <c r="D1923" s="292"/>
      <c r="F1923" s="283" t="s">
        <v>227</v>
      </c>
      <c r="G1923" s="283"/>
      <c r="J1923" s="293">
        <v>1</v>
      </c>
      <c r="K1923" s="293"/>
      <c r="L1923" s="293"/>
      <c r="M1923" s="293"/>
      <c r="N1923" s="293"/>
      <c r="P1923" s="42">
        <v>500</v>
      </c>
      <c r="R1923" s="42">
        <v>0</v>
      </c>
      <c r="T1923" s="284">
        <v>500</v>
      </c>
      <c r="U1923" s="284"/>
    </row>
    <row r="1924" spans="2:21" x14ac:dyDescent="0.25">
      <c r="B1924" s="292">
        <v>32</v>
      </c>
      <c r="C1924" s="292"/>
      <c r="D1924" s="292"/>
      <c r="F1924" s="283" t="s">
        <v>122</v>
      </c>
      <c r="G1924" s="283"/>
      <c r="J1924" s="293">
        <v>2</v>
      </c>
      <c r="K1924" s="293"/>
      <c r="L1924" s="293"/>
      <c r="M1924" s="293"/>
      <c r="N1924" s="293"/>
      <c r="P1924" s="42">
        <v>1000</v>
      </c>
      <c r="R1924" s="42">
        <v>250</v>
      </c>
      <c r="T1924" s="284">
        <v>750</v>
      </c>
      <c r="U1924" s="284"/>
    </row>
    <row r="1925" spans="2:21" x14ac:dyDescent="0.25">
      <c r="B1925" s="292">
        <v>33</v>
      </c>
      <c r="C1925" s="292"/>
      <c r="D1925" s="292"/>
      <c r="F1925" s="283" t="s">
        <v>121</v>
      </c>
      <c r="G1925" s="283"/>
      <c r="J1925" s="293">
        <v>2</v>
      </c>
      <c r="K1925" s="293"/>
      <c r="L1925" s="293"/>
      <c r="M1925" s="293"/>
      <c r="N1925" s="293"/>
      <c r="P1925" s="42">
        <v>1000</v>
      </c>
      <c r="R1925" s="42">
        <v>250</v>
      </c>
      <c r="T1925" s="284">
        <v>750</v>
      </c>
      <c r="U1925" s="284"/>
    </row>
    <row r="1926" spans="2:21" x14ac:dyDescent="0.25">
      <c r="B1926" s="292">
        <v>34</v>
      </c>
      <c r="C1926" s="292"/>
      <c r="D1926" s="292"/>
      <c r="F1926" s="283" t="s">
        <v>282</v>
      </c>
      <c r="G1926" s="283"/>
      <c r="J1926" s="293">
        <v>1</v>
      </c>
      <c r="K1926" s="293"/>
      <c r="L1926" s="293"/>
      <c r="M1926" s="293"/>
      <c r="N1926" s="293"/>
      <c r="P1926" s="42">
        <v>500</v>
      </c>
      <c r="R1926" s="42">
        <v>150</v>
      </c>
      <c r="T1926" s="284">
        <v>350</v>
      </c>
      <c r="U1926" s="284"/>
    </row>
    <row r="1927" spans="2:21" x14ac:dyDescent="0.25">
      <c r="B1927" s="292">
        <v>35</v>
      </c>
      <c r="C1927" s="292"/>
      <c r="D1927" s="292"/>
      <c r="F1927" s="283" t="s">
        <v>226</v>
      </c>
      <c r="G1927" s="283"/>
      <c r="J1927" s="293">
        <v>1</v>
      </c>
      <c r="K1927" s="293"/>
      <c r="L1927" s="293"/>
      <c r="M1927" s="293"/>
      <c r="N1927" s="293"/>
      <c r="P1927" s="42">
        <v>500</v>
      </c>
      <c r="R1927" s="42">
        <v>150</v>
      </c>
      <c r="T1927" s="284">
        <v>350</v>
      </c>
      <c r="U1927" s="284"/>
    </row>
    <row r="1928" spans="2:21" x14ac:dyDescent="0.25">
      <c r="B1928" s="292">
        <v>36</v>
      </c>
      <c r="C1928" s="292"/>
      <c r="D1928" s="292"/>
      <c r="F1928" s="283" t="s">
        <v>182</v>
      </c>
      <c r="G1928" s="283"/>
      <c r="J1928" s="293">
        <v>1</v>
      </c>
      <c r="K1928" s="293"/>
      <c r="L1928" s="293"/>
      <c r="M1928" s="293"/>
      <c r="N1928" s="293"/>
      <c r="P1928" s="42">
        <v>790</v>
      </c>
      <c r="R1928" s="42">
        <v>120</v>
      </c>
      <c r="T1928" s="284">
        <v>670</v>
      </c>
      <c r="U1928" s="284"/>
    </row>
    <row r="1929" spans="2:21" x14ac:dyDescent="0.25">
      <c r="B1929" s="292">
        <v>37</v>
      </c>
      <c r="C1929" s="292"/>
      <c r="D1929" s="292"/>
      <c r="F1929" s="283" t="s">
        <v>119</v>
      </c>
      <c r="G1929" s="283"/>
      <c r="J1929" s="293">
        <v>18</v>
      </c>
      <c r="K1929" s="293"/>
      <c r="L1929" s="293"/>
      <c r="M1929" s="293"/>
      <c r="N1929" s="293"/>
      <c r="P1929" s="42">
        <v>16020</v>
      </c>
      <c r="R1929" s="42">
        <v>4992</v>
      </c>
      <c r="T1929" s="284">
        <v>11028</v>
      </c>
      <c r="U1929" s="284"/>
    </row>
    <row r="1930" spans="2:21" x14ac:dyDescent="0.25">
      <c r="B1930" s="292">
        <v>38</v>
      </c>
      <c r="C1930" s="292"/>
      <c r="D1930" s="292"/>
      <c r="F1930" s="283" t="s">
        <v>118</v>
      </c>
      <c r="G1930" s="283"/>
      <c r="J1930" s="293">
        <v>157</v>
      </c>
      <c r="K1930" s="293"/>
      <c r="L1930" s="293"/>
      <c r="M1930" s="293"/>
      <c r="N1930" s="293"/>
      <c r="P1930" s="42">
        <v>155430</v>
      </c>
      <c r="R1930" s="42">
        <v>77033</v>
      </c>
      <c r="T1930" s="284">
        <v>78397</v>
      </c>
      <c r="U1930" s="284"/>
    </row>
    <row r="1931" spans="2:21" x14ac:dyDescent="0.25">
      <c r="B1931" s="292">
        <v>39</v>
      </c>
      <c r="C1931" s="292"/>
      <c r="D1931" s="292"/>
      <c r="F1931" s="283" t="s">
        <v>117</v>
      </c>
      <c r="G1931" s="283"/>
      <c r="J1931" s="293">
        <v>18</v>
      </c>
      <c r="K1931" s="293"/>
      <c r="L1931" s="293"/>
      <c r="M1931" s="293"/>
      <c r="N1931" s="293"/>
      <c r="P1931" s="42">
        <v>14400</v>
      </c>
      <c r="R1931" s="42">
        <v>3160</v>
      </c>
      <c r="T1931" s="284">
        <v>11240</v>
      </c>
      <c r="U1931" s="284"/>
    </row>
    <row r="1932" spans="2:21" x14ac:dyDescent="0.25">
      <c r="B1932" s="292">
        <v>40</v>
      </c>
      <c r="C1932" s="292"/>
      <c r="D1932" s="292"/>
      <c r="F1932" s="283" t="s">
        <v>115</v>
      </c>
      <c r="G1932" s="283"/>
      <c r="J1932" s="293">
        <v>1</v>
      </c>
      <c r="K1932" s="293"/>
      <c r="L1932" s="293"/>
      <c r="M1932" s="293"/>
      <c r="N1932" s="293"/>
      <c r="P1932" s="42">
        <v>290</v>
      </c>
      <c r="R1932" s="42">
        <v>80</v>
      </c>
      <c r="T1932" s="284">
        <v>210</v>
      </c>
      <c r="U1932" s="284"/>
    </row>
    <row r="1933" spans="2:21" x14ac:dyDescent="0.25">
      <c r="B1933" s="292">
        <v>41</v>
      </c>
      <c r="C1933" s="292"/>
      <c r="D1933" s="292"/>
      <c r="F1933" s="283" t="s">
        <v>335</v>
      </c>
      <c r="G1933" s="283"/>
      <c r="J1933" s="293">
        <v>1</v>
      </c>
      <c r="K1933" s="293"/>
      <c r="L1933" s="293"/>
      <c r="M1933" s="293"/>
      <c r="N1933" s="293"/>
      <c r="P1933" s="42">
        <v>500</v>
      </c>
      <c r="R1933" s="42">
        <v>150</v>
      </c>
      <c r="T1933" s="284">
        <v>350</v>
      </c>
      <c r="U1933" s="284"/>
    </row>
    <row r="1934" spans="2:21" x14ac:dyDescent="0.25">
      <c r="B1934" s="292">
        <v>42</v>
      </c>
      <c r="C1934" s="292"/>
      <c r="D1934" s="292"/>
      <c r="F1934" s="283" t="s">
        <v>222</v>
      </c>
      <c r="G1934" s="283"/>
      <c r="J1934" s="293">
        <v>1</v>
      </c>
      <c r="K1934" s="293"/>
      <c r="L1934" s="293"/>
      <c r="M1934" s="293"/>
      <c r="N1934" s="293"/>
      <c r="P1934" s="42">
        <v>500</v>
      </c>
      <c r="R1934" s="42">
        <v>150</v>
      </c>
      <c r="T1934" s="284">
        <v>350</v>
      </c>
      <c r="U1934" s="284"/>
    </row>
    <row r="1935" spans="2:21" x14ac:dyDescent="0.25">
      <c r="B1935" s="292">
        <v>43</v>
      </c>
      <c r="C1935" s="292"/>
      <c r="D1935" s="292"/>
      <c r="F1935" s="283" t="s">
        <v>109</v>
      </c>
      <c r="G1935" s="283"/>
      <c r="J1935" s="293">
        <v>3</v>
      </c>
      <c r="K1935" s="293"/>
      <c r="L1935" s="293"/>
      <c r="M1935" s="293"/>
      <c r="N1935" s="293"/>
      <c r="P1935" s="42">
        <v>2340</v>
      </c>
      <c r="R1935" s="42">
        <v>690</v>
      </c>
      <c r="T1935" s="284">
        <v>1650</v>
      </c>
      <c r="U1935" s="284"/>
    </row>
    <row r="1936" spans="2:21" x14ac:dyDescent="0.25">
      <c r="B1936" s="292">
        <v>44</v>
      </c>
      <c r="C1936" s="292"/>
      <c r="D1936" s="292"/>
      <c r="F1936" s="283" t="s">
        <v>108</v>
      </c>
      <c r="G1936" s="283"/>
      <c r="J1936" s="293">
        <v>111</v>
      </c>
      <c r="K1936" s="293"/>
      <c r="L1936" s="293"/>
      <c r="M1936" s="293"/>
      <c r="N1936" s="293"/>
      <c r="P1936" s="42">
        <v>11100</v>
      </c>
      <c r="R1936" s="42">
        <v>330</v>
      </c>
      <c r="T1936" s="284">
        <v>10770</v>
      </c>
      <c r="U1936" s="284"/>
    </row>
    <row r="1937" spans="2:21" x14ac:dyDescent="0.25">
      <c r="B1937" s="292">
        <v>45</v>
      </c>
      <c r="C1937" s="292"/>
      <c r="D1937" s="292"/>
      <c r="F1937" s="283" t="s">
        <v>107</v>
      </c>
      <c r="G1937" s="283"/>
      <c r="J1937" s="293">
        <v>7</v>
      </c>
      <c r="K1937" s="293"/>
      <c r="L1937" s="293"/>
      <c r="M1937" s="293"/>
      <c r="N1937" s="293"/>
      <c r="P1937" s="42">
        <v>1190</v>
      </c>
      <c r="R1937" s="42">
        <v>350</v>
      </c>
      <c r="T1937" s="284">
        <v>840</v>
      </c>
      <c r="U1937" s="284"/>
    </row>
    <row r="1938" spans="2:21" x14ac:dyDescent="0.25">
      <c r="B1938" s="292">
        <v>46</v>
      </c>
      <c r="C1938" s="292"/>
      <c r="D1938" s="292"/>
      <c r="F1938" s="283" t="s">
        <v>275</v>
      </c>
      <c r="G1938" s="283"/>
      <c r="J1938" s="293">
        <v>1</v>
      </c>
      <c r="K1938" s="293"/>
      <c r="L1938" s="293"/>
      <c r="M1938" s="293"/>
      <c r="N1938" s="293"/>
      <c r="P1938" s="42">
        <v>500</v>
      </c>
      <c r="R1938" s="42">
        <v>100</v>
      </c>
      <c r="T1938" s="284">
        <v>400</v>
      </c>
      <c r="U1938" s="284"/>
    </row>
    <row r="1939" spans="2:21" x14ac:dyDescent="0.25">
      <c r="B1939" s="292">
        <v>47</v>
      </c>
      <c r="C1939" s="292"/>
      <c r="D1939" s="292"/>
      <c r="F1939" s="283" t="s">
        <v>210</v>
      </c>
      <c r="G1939" s="283"/>
      <c r="J1939" s="293">
        <v>1</v>
      </c>
      <c r="K1939" s="293"/>
      <c r="L1939" s="293"/>
      <c r="M1939" s="293"/>
      <c r="N1939" s="293"/>
      <c r="P1939" s="42">
        <v>390</v>
      </c>
      <c r="R1939" s="42">
        <v>120</v>
      </c>
      <c r="T1939" s="284">
        <v>270</v>
      </c>
      <c r="U1939" s="284"/>
    </row>
    <row r="1940" spans="2:21" x14ac:dyDescent="0.25">
      <c r="B1940" s="292">
        <v>48</v>
      </c>
      <c r="C1940" s="292"/>
      <c r="D1940" s="292"/>
      <c r="F1940" s="283" t="s">
        <v>176</v>
      </c>
      <c r="G1940" s="283"/>
      <c r="J1940" s="293">
        <v>1</v>
      </c>
      <c r="K1940" s="293"/>
      <c r="L1940" s="293"/>
      <c r="M1940" s="293"/>
      <c r="N1940" s="293"/>
      <c r="P1940" s="42">
        <v>1060</v>
      </c>
      <c r="R1940" s="42">
        <v>160</v>
      </c>
      <c r="T1940" s="284">
        <v>900</v>
      </c>
      <c r="U1940" s="284"/>
    </row>
    <row r="1941" spans="2:21" x14ac:dyDescent="0.25">
      <c r="B1941" s="292">
        <v>49</v>
      </c>
      <c r="C1941" s="292"/>
      <c r="D1941" s="292"/>
      <c r="F1941" s="283" t="s">
        <v>97</v>
      </c>
      <c r="G1941" s="283"/>
      <c r="J1941" s="293">
        <v>10</v>
      </c>
      <c r="K1941" s="293"/>
      <c r="L1941" s="293"/>
      <c r="M1941" s="293"/>
      <c r="N1941" s="293"/>
      <c r="P1941" s="42">
        <v>15900</v>
      </c>
      <c r="R1941" s="42">
        <v>2160</v>
      </c>
      <c r="T1941" s="284">
        <v>13740</v>
      </c>
      <c r="U1941" s="284"/>
    </row>
    <row r="1942" spans="2:21" x14ac:dyDescent="0.25">
      <c r="B1942" s="292">
        <v>50</v>
      </c>
      <c r="C1942" s="292"/>
      <c r="D1942" s="292"/>
      <c r="F1942" s="283" t="s">
        <v>93</v>
      </c>
      <c r="G1942" s="283"/>
      <c r="J1942" s="293">
        <v>1</v>
      </c>
      <c r="K1942" s="293"/>
      <c r="L1942" s="293"/>
      <c r="M1942" s="293"/>
      <c r="N1942" s="293"/>
      <c r="P1942" s="42">
        <v>590</v>
      </c>
      <c r="R1942" s="42">
        <v>90</v>
      </c>
      <c r="T1942" s="284">
        <v>500</v>
      </c>
      <c r="U1942" s="284"/>
    </row>
    <row r="1943" spans="2:21" x14ac:dyDescent="0.25">
      <c r="B1943" s="292">
        <v>51</v>
      </c>
      <c r="C1943" s="292"/>
      <c r="D1943" s="292"/>
      <c r="F1943" s="283" t="s">
        <v>92</v>
      </c>
      <c r="G1943" s="283"/>
      <c r="J1943" s="293">
        <v>2</v>
      </c>
      <c r="K1943" s="293"/>
      <c r="L1943" s="293"/>
      <c r="M1943" s="293"/>
      <c r="N1943" s="293"/>
      <c r="P1943" s="42">
        <v>1480</v>
      </c>
      <c r="R1943" s="42">
        <v>400</v>
      </c>
      <c r="T1943" s="284">
        <v>1080</v>
      </c>
      <c r="U1943" s="284"/>
    </row>
    <row r="1944" spans="2:21" x14ac:dyDescent="0.25">
      <c r="B1944" s="292">
        <v>52</v>
      </c>
      <c r="C1944" s="292"/>
      <c r="D1944" s="292"/>
      <c r="F1944" s="283" t="s">
        <v>306</v>
      </c>
      <c r="G1944" s="283"/>
      <c r="J1944" s="293">
        <v>1</v>
      </c>
      <c r="K1944" s="293"/>
      <c r="L1944" s="293"/>
      <c r="M1944" s="293"/>
      <c r="N1944" s="293"/>
      <c r="P1944" s="42">
        <v>1080</v>
      </c>
      <c r="R1944" s="42">
        <v>320</v>
      </c>
      <c r="T1944" s="284">
        <v>760</v>
      </c>
      <c r="U1944" s="284"/>
    </row>
    <row r="1945" spans="2:21" x14ac:dyDescent="0.25">
      <c r="B1945" s="292">
        <v>53</v>
      </c>
      <c r="C1945" s="292"/>
      <c r="D1945" s="292"/>
      <c r="F1945" s="283" t="s">
        <v>91</v>
      </c>
      <c r="G1945" s="283"/>
      <c r="J1945" s="293">
        <v>156</v>
      </c>
      <c r="K1945" s="293"/>
      <c r="L1945" s="293"/>
      <c r="M1945" s="293"/>
      <c r="N1945" s="293"/>
      <c r="P1945" s="42">
        <v>39000</v>
      </c>
      <c r="R1945" s="42">
        <v>19402</v>
      </c>
      <c r="T1945" s="284">
        <v>19598</v>
      </c>
      <c r="U1945" s="284"/>
    </row>
    <row r="1946" spans="2:21" x14ac:dyDescent="0.25">
      <c r="B1946" s="292">
        <v>54</v>
      </c>
      <c r="C1946" s="292"/>
      <c r="D1946" s="292"/>
      <c r="F1946" s="283" t="s">
        <v>90</v>
      </c>
      <c r="G1946" s="283"/>
      <c r="J1946" s="293">
        <v>21</v>
      </c>
      <c r="K1946" s="293"/>
      <c r="L1946" s="293"/>
      <c r="M1946" s="293"/>
      <c r="N1946" s="293"/>
      <c r="P1946" s="42">
        <v>6090</v>
      </c>
      <c r="R1946" s="42">
        <v>1410</v>
      </c>
      <c r="T1946" s="284">
        <v>4680</v>
      </c>
      <c r="U1946" s="284"/>
    </row>
    <row r="1947" spans="2:21" x14ac:dyDescent="0.25">
      <c r="B1947" s="292">
        <v>55</v>
      </c>
      <c r="C1947" s="292"/>
      <c r="D1947" s="292"/>
      <c r="F1947" s="283" t="s">
        <v>89</v>
      </c>
      <c r="G1947" s="283"/>
      <c r="J1947" s="293">
        <v>2</v>
      </c>
      <c r="K1947" s="293"/>
      <c r="L1947" s="293"/>
      <c r="M1947" s="293"/>
      <c r="N1947" s="293"/>
      <c r="P1947" s="42">
        <v>1760</v>
      </c>
      <c r="R1947" s="42">
        <v>260</v>
      </c>
      <c r="T1947" s="284">
        <v>1500</v>
      </c>
      <c r="U1947" s="284"/>
    </row>
    <row r="1948" spans="2:21" x14ac:dyDescent="0.25">
      <c r="B1948" s="292">
        <v>56</v>
      </c>
      <c r="C1948" s="292"/>
      <c r="D1948" s="292"/>
      <c r="F1948" s="283" t="s">
        <v>88</v>
      </c>
      <c r="G1948" s="283"/>
      <c r="J1948" s="293">
        <v>20</v>
      </c>
      <c r="K1948" s="293"/>
      <c r="L1948" s="293"/>
      <c r="M1948" s="293"/>
      <c r="N1948" s="293"/>
      <c r="P1948" s="42">
        <v>3600</v>
      </c>
      <c r="R1948" s="42">
        <v>1089</v>
      </c>
      <c r="T1948" s="284">
        <v>2511</v>
      </c>
      <c r="U1948" s="284"/>
    </row>
    <row r="1949" spans="2:21" x14ac:dyDescent="0.25">
      <c r="B1949" s="292">
        <v>57</v>
      </c>
      <c r="C1949" s="292"/>
      <c r="D1949" s="292"/>
      <c r="F1949" s="283" t="s">
        <v>331</v>
      </c>
      <c r="G1949" s="283"/>
      <c r="J1949" s="293">
        <v>1</v>
      </c>
      <c r="K1949" s="293"/>
      <c r="L1949" s="293"/>
      <c r="M1949" s="293"/>
      <c r="N1949" s="293"/>
      <c r="P1949" s="42">
        <v>500</v>
      </c>
      <c r="R1949" s="42">
        <v>150</v>
      </c>
      <c r="T1949" s="284">
        <v>350</v>
      </c>
      <c r="U1949" s="284"/>
    </row>
    <row r="1950" spans="2:21" x14ac:dyDescent="0.25">
      <c r="B1950" s="292">
        <v>58</v>
      </c>
      <c r="C1950" s="292"/>
      <c r="D1950" s="292"/>
      <c r="F1950" s="283" t="s">
        <v>205</v>
      </c>
      <c r="G1950" s="283"/>
      <c r="J1950" s="293">
        <v>1</v>
      </c>
      <c r="K1950" s="293"/>
      <c r="L1950" s="293"/>
      <c r="M1950" s="293"/>
      <c r="N1950" s="293"/>
      <c r="P1950" s="42">
        <v>500</v>
      </c>
      <c r="R1950" s="42">
        <v>50</v>
      </c>
      <c r="T1950" s="284">
        <v>450</v>
      </c>
      <c r="U1950" s="284"/>
    </row>
    <row r="1951" spans="2:21" x14ac:dyDescent="0.25">
      <c r="B1951" s="292">
        <v>59</v>
      </c>
      <c r="C1951" s="292"/>
      <c r="D1951" s="292"/>
      <c r="F1951" s="283" t="s">
        <v>83</v>
      </c>
      <c r="G1951" s="283"/>
      <c r="J1951" s="293">
        <v>1</v>
      </c>
      <c r="K1951" s="293"/>
      <c r="L1951" s="293"/>
      <c r="M1951" s="293"/>
      <c r="N1951" s="293"/>
      <c r="P1951" s="42">
        <v>500</v>
      </c>
      <c r="R1951" s="42">
        <v>150</v>
      </c>
      <c r="T1951" s="284">
        <v>350</v>
      </c>
      <c r="U1951" s="284"/>
    </row>
    <row r="1952" spans="2:21" x14ac:dyDescent="0.25">
      <c r="B1952" s="292">
        <v>60</v>
      </c>
      <c r="C1952" s="292"/>
      <c r="D1952" s="292"/>
      <c r="F1952" s="283" t="s">
        <v>271</v>
      </c>
      <c r="G1952" s="283"/>
      <c r="J1952" s="293">
        <v>2</v>
      </c>
      <c r="K1952" s="293"/>
      <c r="L1952" s="293"/>
      <c r="M1952" s="293"/>
      <c r="N1952" s="293"/>
      <c r="P1952" s="42">
        <v>1000</v>
      </c>
      <c r="R1952" s="42">
        <v>300</v>
      </c>
      <c r="T1952" s="284">
        <v>700</v>
      </c>
      <c r="U1952" s="284"/>
    </row>
    <row r="1953" spans="1:21" x14ac:dyDescent="0.25">
      <c r="B1953" s="292">
        <v>61</v>
      </c>
      <c r="C1953" s="292"/>
      <c r="D1953" s="292"/>
      <c r="F1953" s="283" t="s">
        <v>363</v>
      </c>
      <c r="G1953" s="283"/>
      <c r="J1953" s="293">
        <v>1</v>
      </c>
      <c r="K1953" s="293"/>
      <c r="L1953" s="293"/>
      <c r="M1953" s="293"/>
      <c r="N1953" s="293"/>
      <c r="P1953" s="42">
        <v>500</v>
      </c>
      <c r="R1953" s="42">
        <v>150</v>
      </c>
      <c r="T1953" s="284">
        <v>350</v>
      </c>
      <c r="U1953" s="284"/>
    </row>
    <row r="1954" spans="1:21" s="40" customFormat="1" x14ac:dyDescent="0.25">
      <c r="A1954" s="290" t="s">
        <v>414</v>
      </c>
      <c r="B1954" s="290"/>
      <c r="C1954" s="290"/>
      <c r="D1954" s="290"/>
      <c r="E1954" s="290"/>
      <c r="F1954" s="290"/>
      <c r="G1954" s="290"/>
      <c r="H1954" s="290"/>
      <c r="I1954" s="290"/>
      <c r="J1954" s="290"/>
      <c r="K1954" s="291">
        <v>2621</v>
      </c>
      <c r="L1954" s="291"/>
      <c r="M1954" s="291"/>
      <c r="N1954" s="291"/>
      <c r="O1954" s="291"/>
      <c r="P1954" s="41">
        <v>2686350</v>
      </c>
      <c r="R1954" s="41">
        <v>2465870</v>
      </c>
      <c r="T1954" s="287">
        <v>220480</v>
      </c>
      <c r="U1954" s="287"/>
    </row>
    <row r="1955" spans="1:21" x14ac:dyDescent="0.25">
      <c r="B1955" s="292">
        <v>1</v>
      </c>
      <c r="C1955" s="292"/>
      <c r="D1955" s="292"/>
      <c r="F1955" s="283" t="s">
        <v>250</v>
      </c>
      <c r="G1955" s="283"/>
      <c r="J1955" s="293">
        <v>1</v>
      </c>
      <c r="K1955" s="293"/>
      <c r="L1955" s="293"/>
      <c r="M1955" s="293"/>
      <c r="N1955" s="293"/>
      <c r="P1955" s="42">
        <v>500</v>
      </c>
      <c r="R1955" s="42">
        <v>150</v>
      </c>
      <c r="T1955" s="284">
        <v>350</v>
      </c>
      <c r="U1955" s="284"/>
    </row>
    <row r="1956" spans="1:21" x14ac:dyDescent="0.25">
      <c r="B1956" s="292">
        <v>2</v>
      </c>
      <c r="C1956" s="292"/>
      <c r="D1956" s="292"/>
      <c r="F1956" s="283" t="s">
        <v>78</v>
      </c>
      <c r="G1956" s="283"/>
      <c r="J1956" s="293">
        <v>192</v>
      </c>
      <c r="K1956" s="293"/>
      <c r="L1956" s="293"/>
      <c r="M1956" s="293"/>
      <c r="N1956" s="293"/>
      <c r="P1956" s="42">
        <v>55680</v>
      </c>
      <c r="R1956" s="42">
        <v>55680</v>
      </c>
      <c r="T1956" s="284">
        <v>0</v>
      </c>
      <c r="U1956" s="284"/>
    </row>
    <row r="1957" spans="1:21" x14ac:dyDescent="0.25">
      <c r="B1957" s="292">
        <v>3</v>
      </c>
      <c r="C1957" s="292"/>
      <c r="D1957" s="292"/>
      <c r="F1957" s="283" t="s">
        <v>162</v>
      </c>
      <c r="G1957" s="283"/>
      <c r="J1957" s="293">
        <v>1</v>
      </c>
      <c r="K1957" s="293"/>
      <c r="L1957" s="293"/>
      <c r="M1957" s="293"/>
      <c r="N1957" s="293"/>
      <c r="P1957" s="42">
        <v>430</v>
      </c>
      <c r="R1957" s="42">
        <v>220</v>
      </c>
      <c r="T1957" s="284">
        <v>210</v>
      </c>
      <c r="U1957" s="284"/>
    </row>
    <row r="1958" spans="1:21" x14ac:dyDescent="0.25">
      <c r="B1958" s="292">
        <v>4</v>
      </c>
      <c r="C1958" s="292"/>
      <c r="D1958" s="292"/>
      <c r="F1958" s="283" t="s">
        <v>160</v>
      </c>
      <c r="G1958" s="283"/>
      <c r="J1958" s="293">
        <v>1</v>
      </c>
      <c r="K1958" s="293"/>
      <c r="L1958" s="293"/>
      <c r="M1958" s="293"/>
      <c r="N1958" s="293"/>
      <c r="P1958" s="42">
        <v>290</v>
      </c>
      <c r="R1958" s="42">
        <v>80</v>
      </c>
      <c r="T1958" s="284">
        <v>210</v>
      </c>
      <c r="U1958" s="284"/>
    </row>
    <row r="1959" spans="1:21" x14ac:dyDescent="0.25">
      <c r="B1959" s="292">
        <v>5</v>
      </c>
      <c r="C1959" s="292"/>
      <c r="D1959" s="292"/>
      <c r="F1959" s="283" t="s">
        <v>158</v>
      </c>
      <c r="G1959" s="283"/>
      <c r="J1959" s="293">
        <v>272</v>
      </c>
      <c r="K1959" s="293"/>
      <c r="L1959" s="293"/>
      <c r="M1959" s="293"/>
      <c r="N1959" s="293"/>
      <c r="P1959" s="42">
        <v>149600</v>
      </c>
      <c r="R1959" s="42">
        <v>46785</v>
      </c>
      <c r="T1959" s="284">
        <v>102815</v>
      </c>
      <c r="U1959" s="284"/>
    </row>
    <row r="1960" spans="1:21" x14ac:dyDescent="0.25">
      <c r="B1960" s="292">
        <v>6</v>
      </c>
      <c r="C1960" s="292"/>
      <c r="D1960" s="292"/>
      <c r="F1960" s="283" t="s">
        <v>157</v>
      </c>
      <c r="G1960" s="283"/>
      <c r="J1960" s="293">
        <v>22</v>
      </c>
      <c r="K1960" s="293"/>
      <c r="L1960" s="293"/>
      <c r="M1960" s="293"/>
      <c r="N1960" s="293"/>
      <c r="P1960" s="42">
        <v>10780</v>
      </c>
      <c r="R1960" s="42">
        <v>4730</v>
      </c>
      <c r="T1960" s="284">
        <v>6050</v>
      </c>
      <c r="U1960" s="284"/>
    </row>
    <row r="1961" spans="1:21" x14ac:dyDescent="0.25">
      <c r="B1961" s="292">
        <v>7</v>
      </c>
      <c r="C1961" s="292"/>
      <c r="D1961" s="292"/>
      <c r="F1961" s="283" t="s">
        <v>293</v>
      </c>
      <c r="G1961" s="283"/>
      <c r="J1961" s="293">
        <v>2</v>
      </c>
      <c r="K1961" s="293"/>
      <c r="L1961" s="293"/>
      <c r="M1961" s="293"/>
      <c r="N1961" s="293"/>
      <c r="P1961" s="42">
        <v>1400</v>
      </c>
      <c r="R1961" s="42">
        <v>360</v>
      </c>
      <c r="T1961" s="284">
        <v>1040</v>
      </c>
      <c r="U1961" s="284"/>
    </row>
    <row r="1962" spans="1:21" x14ac:dyDescent="0.25">
      <c r="B1962" s="292">
        <v>8</v>
      </c>
      <c r="C1962" s="292"/>
      <c r="D1962" s="292"/>
      <c r="F1962" s="283" t="s">
        <v>196</v>
      </c>
      <c r="G1962" s="283"/>
      <c r="J1962" s="293">
        <v>1</v>
      </c>
      <c r="K1962" s="293"/>
      <c r="L1962" s="293"/>
      <c r="M1962" s="293"/>
      <c r="N1962" s="293"/>
      <c r="P1962" s="42">
        <v>700</v>
      </c>
      <c r="R1962" s="42">
        <v>350</v>
      </c>
      <c r="T1962" s="284">
        <v>350</v>
      </c>
      <c r="U1962" s="284"/>
    </row>
    <row r="1963" spans="1:21" x14ac:dyDescent="0.25">
      <c r="B1963" s="292">
        <v>9</v>
      </c>
      <c r="C1963" s="292"/>
      <c r="D1963" s="292"/>
      <c r="F1963" s="283" t="s">
        <v>292</v>
      </c>
      <c r="G1963" s="283"/>
      <c r="J1963" s="293">
        <v>1</v>
      </c>
      <c r="K1963" s="293"/>
      <c r="L1963" s="293"/>
      <c r="M1963" s="293"/>
      <c r="N1963" s="293"/>
      <c r="P1963" s="42">
        <v>700</v>
      </c>
      <c r="R1963" s="42">
        <v>700</v>
      </c>
      <c r="T1963" s="284">
        <v>0</v>
      </c>
      <c r="U1963" s="284"/>
    </row>
    <row r="1964" spans="1:21" x14ac:dyDescent="0.25">
      <c r="B1964" s="292">
        <v>10</v>
      </c>
      <c r="C1964" s="292"/>
      <c r="D1964" s="292"/>
      <c r="F1964" s="283" t="s">
        <v>77</v>
      </c>
      <c r="G1964" s="283"/>
      <c r="J1964" s="293">
        <v>1076</v>
      </c>
      <c r="K1964" s="293"/>
      <c r="L1964" s="293"/>
      <c r="M1964" s="293"/>
      <c r="N1964" s="293"/>
      <c r="P1964" s="42">
        <v>439600</v>
      </c>
      <c r="R1964" s="42">
        <v>439600</v>
      </c>
      <c r="T1964" s="284">
        <v>0</v>
      </c>
      <c r="U1964" s="284"/>
    </row>
    <row r="1965" spans="1:21" x14ac:dyDescent="0.25">
      <c r="B1965" s="292">
        <v>11</v>
      </c>
      <c r="C1965" s="292"/>
      <c r="D1965" s="292"/>
      <c r="F1965" s="283" t="s">
        <v>76</v>
      </c>
      <c r="G1965" s="283"/>
      <c r="J1965" s="293">
        <v>1</v>
      </c>
      <c r="K1965" s="293"/>
      <c r="L1965" s="293"/>
      <c r="M1965" s="293"/>
      <c r="N1965" s="293"/>
      <c r="P1965" s="42">
        <v>600</v>
      </c>
      <c r="R1965" s="42">
        <v>600</v>
      </c>
      <c r="T1965" s="284">
        <v>0</v>
      </c>
      <c r="U1965" s="284"/>
    </row>
    <row r="1966" spans="1:21" x14ac:dyDescent="0.25">
      <c r="B1966" s="292">
        <v>12</v>
      </c>
      <c r="C1966" s="292"/>
      <c r="D1966" s="292"/>
      <c r="F1966" s="283" t="s">
        <v>156</v>
      </c>
      <c r="G1966" s="283"/>
      <c r="J1966" s="293">
        <v>1</v>
      </c>
      <c r="K1966" s="293"/>
      <c r="L1966" s="293"/>
      <c r="M1966" s="293"/>
      <c r="N1966" s="293"/>
      <c r="P1966" s="42">
        <v>190</v>
      </c>
      <c r="R1966" s="42">
        <v>70</v>
      </c>
      <c r="T1966" s="284">
        <v>120</v>
      </c>
      <c r="U1966" s="284"/>
    </row>
    <row r="1967" spans="1:21" x14ac:dyDescent="0.25">
      <c r="B1967" s="292">
        <v>13</v>
      </c>
      <c r="C1967" s="292"/>
      <c r="D1967" s="292"/>
      <c r="F1967" s="283" t="s">
        <v>155</v>
      </c>
      <c r="G1967" s="283"/>
      <c r="J1967" s="293">
        <v>16</v>
      </c>
      <c r="K1967" s="293"/>
      <c r="L1967" s="293"/>
      <c r="M1967" s="293"/>
      <c r="N1967" s="293"/>
      <c r="P1967" s="42">
        <v>4000</v>
      </c>
      <c r="R1967" s="42">
        <v>1525</v>
      </c>
      <c r="T1967" s="284">
        <v>2475</v>
      </c>
      <c r="U1967" s="284"/>
    </row>
    <row r="1968" spans="1:21" x14ac:dyDescent="0.25">
      <c r="B1968" s="292">
        <v>14</v>
      </c>
      <c r="C1968" s="292"/>
      <c r="D1968" s="292"/>
      <c r="F1968" s="283" t="s">
        <v>289</v>
      </c>
      <c r="G1968" s="283"/>
      <c r="J1968" s="293">
        <v>2</v>
      </c>
      <c r="K1968" s="293"/>
      <c r="L1968" s="293"/>
      <c r="M1968" s="293"/>
      <c r="N1968" s="293"/>
      <c r="P1968" s="42">
        <v>1000</v>
      </c>
      <c r="R1968" s="42">
        <v>300</v>
      </c>
      <c r="T1968" s="284">
        <v>700</v>
      </c>
      <c r="U1968" s="284"/>
    </row>
    <row r="1969" spans="2:21" x14ac:dyDescent="0.25">
      <c r="B1969" s="292">
        <v>15</v>
      </c>
      <c r="C1969" s="292"/>
      <c r="D1969" s="292"/>
      <c r="F1969" s="283" t="s">
        <v>320</v>
      </c>
      <c r="G1969" s="283"/>
      <c r="J1969" s="293">
        <v>1</v>
      </c>
      <c r="K1969" s="293"/>
      <c r="L1969" s="293"/>
      <c r="M1969" s="293"/>
      <c r="N1969" s="293"/>
      <c r="P1969" s="42">
        <v>500</v>
      </c>
      <c r="R1969" s="42">
        <v>150</v>
      </c>
      <c r="T1969" s="284">
        <v>350</v>
      </c>
      <c r="U1969" s="284"/>
    </row>
    <row r="1970" spans="2:21" x14ac:dyDescent="0.25">
      <c r="B1970" s="292">
        <v>16</v>
      </c>
      <c r="C1970" s="292"/>
      <c r="D1970" s="292"/>
      <c r="F1970" s="283" t="s">
        <v>151</v>
      </c>
      <c r="G1970" s="283"/>
      <c r="J1970" s="293">
        <v>3</v>
      </c>
      <c r="K1970" s="293"/>
      <c r="L1970" s="293"/>
      <c r="M1970" s="293"/>
      <c r="N1970" s="293"/>
      <c r="P1970" s="42">
        <v>690</v>
      </c>
      <c r="R1970" s="42">
        <v>220</v>
      </c>
      <c r="T1970" s="284">
        <v>470</v>
      </c>
      <c r="U1970" s="284"/>
    </row>
    <row r="1971" spans="2:21" x14ac:dyDescent="0.25">
      <c r="B1971" s="292">
        <v>17</v>
      </c>
      <c r="C1971" s="292"/>
      <c r="D1971" s="292"/>
      <c r="F1971" s="283" t="s">
        <v>150</v>
      </c>
      <c r="G1971" s="283"/>
      <c r="J1971" s="293">
        <v>1</v>
      </c>
      <c r="K1971" s="293"/>
      <c r="L1971" s="293"/>
      <c r="M1971" s="293"/>
      <c r="N1971" s="293"/>
      <c r="P1971" s="42">
        <v>170</v>
      </c>
      <c r="R1971" s="42">
        <v>50</v>
      </c>
      <c r="T1971" s="284">
        <v>120</v>
      </c>
      <c r="U1971" s="284"/>
    </row>
    <row r="1972" spans="2:21" x14ac:dyDescent="0.25">
      <c r="B1972" s="292">
        <v>18</v>
      </c>
      <c r="C1972" s="292"/>
      <c r="D1972" s="292"/>
      <c r="F1972" s="283" t="s">
        <v>237</v>
      </c>
      <c r="G1972" s="283"/>
      <c r="J1972" s="293">
        <v>1</v>
      </c>
      <c r="K1972" s="293"/>
      <c r="L1972" s="293"/>
      <c r="M1972" s="293"/>
      <c r="N1972" s="293"/>
      <c r="P1972" s="42">
        <v>900</v>
      </c>
      <c r="R1972" s="42">
        <v>270</v>
      </c>
      <c r="T1972" s="284">
        <v>630</v>
      </c>
      <c r="U1972" s="284"/>
    </row>
    <row r="1973" spans="2:21" x14ac:dyDescent="0.25">
      <c r="B1973" s="292">
        <v>19</v>
      </c>
      <c r="C1973" s="292"/>
      <c r="D1973" s="292"/>
      <c r="F1973" s="283" t="s">
        <v>288</v>
      </c>
      <c r="G1973" s="283"/>
      <c r="J1973" s="293">
        <v>3</v>
      </c>
      <c r="K1973" s="293"/>
      <c r="L1973" s="293"/>
      <c r="M1973" s="293"/>
      <c r="N1973" s="293"/>
      <c r="P1973" s="42">
        <v>2400</v>
      </c>
      <c r="R1973" s="42">
        <v>1350</v>
      </c>
      <c r="T1973" s="284">
        <v>1050</v>
      </c>
      <c r="U1973" s="284"/>
    </row>
    <row r="1974" spans="2:21" x14ac:dyDescent="0.25">
      <c r="B1974" s="292">
        <v>20</v>
      </c>
      <c r="C1974" s="292"/>
      <c r="D1974" s="292"/>
      <c r="F1974" s="283" t="s">
        <v>234</v>
      </c>
      <c r="G1974" s="283"/>
      <c r="J1974" s="293">
        <v>7</v>
      </c>
      <c r="K1974" s="293"/>
      <c r="L1974" s="293"/>
      <c r="M1974" s="293"/>
      <c r="N1974" s="293"/>
      <c r="P1974" s="42">
        <v>5600</v>
      </c>
      <c r="R1974" s="42">
        <v>3150</v>
      </c>
      <c r="T1974" s="284">
        <v>2450</v>
      </c>
      <c r="U1974" s="284"/>
    </row>
    <row r="1975" spans="2:21" x14ac:dyDescent="0.25">
      <c r="B1975" s="292">
        <v>21</v>
      </c>
      <c r="C1975" s="292"/>
      <c r="D1975" s="292"/>
      <c r="F1975" s="283" t="s">
        <v>287</v>
      </c>
      <c r="G1975" s="283"/>
      <c r="J1975" s="293">
        <v>2</v>
      </c>
      <c r="K1975" s="293"/>
      <c r="L1975" s="293"/>
      <c r="M1975" s="293"/>
      <c r="N1975" s="293"/>
      <c r="P1975" s="42">
        <v>1600</v>
      </c>
      <c r="R1975" s="42">
        <v>900</v>
      </c>
      <c r="T1975" s="284">
        <v>700</v>
      </c>
      <c r="U1975" s="284"/>
    </row>
    <row r="1976" spans="2:21" x14ac:dyDescent="0.25">
      <c r="B1976" s="292">
        <v>22</v>
      </c>
      <c r="C1976" s="292"/>
      <c r="D1976" s="292"/>
      <c r="F1976" s="283" t="s">
        <v>286</v>
      </c>
      <c r="G1976" s="283"/>
      <c r="J1976" s="293">
        <v>2</v>
      </c>
      <c r="K1976" s="293"/>
      <c r="L1976" s="293"/>
      <c r="M1976" s="293"/>
      <c r="N1976" s="293"/>
      <c r="P1976" s="42">
        <v>1600</v>
      </c>
      <c r="R1976" s="42">
        <v>900</v>
      </c>
      <c r="T1976" s="284">
        <v>700</v>
      </c>
      <c r="U1976" s="284"/>
    </row>
    <row r="1977" spans="2:21" x14ac:dyDescent="0.25">
      <c r="B1977" s="292">
        <v>23</v>
      </c>
      <c r="C1977" s="292"/>
      <c r="D1977" s="292"/>
      <c r="F1977" s="283" t="s">
        <v>75</v>
      </c>
      <c r="G1977" s="283"/>
      <c r="J1977" s="293">
        <v>742</v>
      </c>
      <c r="K1977" s="293"/>
      <c r="L1977" s="293"/>
      <c r="M1977" s="293"/>
      <c r="N1977" s="293"/>
      <c r="P1977" s="42">
        <v>1855000</v>
      </c>
      <c r="R1977" s="42">
        <v>1855000</v>
      </c>
      <c r="T1977" s="284">
        <v>0</v>
      </c>
      <c r="U1977" s="284"/>
    </row>
    <row r="1978" spans="2:21" x14ac:dyDescent="0.25">
      <c r="B1978" s="292">
        <v>24</v>
      </c>
      <c r="C1978" s="292"/>
      <c r="D1978" s="292"/>
      <c r="F1978" s="283" t="s">
        <v>302</v>
      </c>
      <c r="G1978" s="283"/>
      <c r="J1978" s="293">
        <v>2</v>
      </c>
      <c r="K1978" s="293"/>
      <c r="L1978" s="293"/>
      <c r="M1978" s="293"/>
      <c r="N1978" s="293"/>
      <c r="P1978" s="42">
        <v>1600</v>
      </c>
      <c r="R1978" s="42">
        <v>900</v>
      </c>
      <c r="T1978" s="284">
        <v>700</v>
      </c>
      <c r="U1978" s="284"/>
    </row>
    <row r="1979" spans="2:21" x14ac:dyDescent="0.25">
      <c r="B1979" s="292">
        <v>25</v>
      </c>
      <c r="C1979" s="292"/>
      <c r="D1979" s="292"/>
      <c r="F1979" s="283" t="s">
        <v>137</v>
      </c>
      <c r="G1979" s="283"/>
      <c r="J1979" s="293">
        <v>1</v>
      </c>
      <c r="K1979" s="293"/>
      <c r="L1979" s="293"/>
      <c r="M1979" s="293"/>
      <c r="N1979" s="293"/>
      <c r="P1979" s="42">
        <v>800</v>
      </c>
      <c r="R1979" s="42">
        <v>450</v>
      </c>
      <c r="T1979" s="284">
        <v>350</v>
      </c>
      <c r="U1979" s="284"/>
    </row>
    <row r="1980" spans="2:21" x14ac:dyDescent="0.25">
      <c r="B1980" s="292">
        <v>26</v>
      </c>
      <c r="C1980" s="292"/>
      <c r="D1980" s="292"/>
      <c r="F1980" s="283" t="s">
        <v>229</v>
      </c>
      <c r="G1980" s="283"/>
      <c r="J1980" s="293">
        <v>2</v>
      </c>
      <c r="K1980" s="293"/>
      <c r="L1980" s="293"/>
      <c r="M1980" s="293"/>
      <c r="N1980" s="293"/>
      <c r="P1980" s="42">
        <v>14000</v>
      </c>
      <c r="R1980" s="42">
        <v>6200</v>
      </c>
      <c r="T1980" s="284">
        <v>7800</v>
      </c>
      <c r="U1980" s="284"/>
    </row>
    <row r="1981" spans="2:21" x14ac:dyDescent="0.25">
      <c r="B1981" s="292">
        <v>27</v>
      </c>
      <c r="C1981" s="292"/>
      <c r="D1981" s="292"/>
      <c r="F1981" s="283" t="s">
        <v>130</v>
      </c>
      <c r="G1981" s="283"/>
      <c r="J1981" s="293">
        <v>2</v>
      </c>
      <c r="K1981" s="293"/>
      <c r="L1981" s="293"/>
      <c r="M1981" s="293"/>
      <c r="N1981" s="293"/>
      <c r="P1981" s="42">
        <v>16000</v>
      </c>
      <c r="R1981" s="42">
        <v>8200</v>
      </c>
      <c r="T1981" s="284">
        <v>7800</v>
      </c>
      <c r="U1981" s="284"/>
    </row>
    <row r="1982" spans="2:21" x14ac:dyDescent="0.25">
      <c r="B1982" s="292">
        <v>28</v>
      </c>
      <c r="C1982" s="292"/>
      <c r="D1982" s="292"/>
      <c r="F1982" s="283" t="s">
        <v>185</v>
      </c>
      <c r="G1982" s="283"/>
      <c r="J1982" s="293">
        <v>1</v>
      </c>
      <c r="K1982" s="293"/>
      <c r="L1982" s="293"/>
      <c r="M1982" s="293"/>
      <c r="N1982" s="293"/>
      <c r="P1982" s="42">
        <v>800</v>
      </c>
      <c r="R1982" s="42">
        <v>450</v>
      </c>
      <c r="T1982" s="284">
        <v>350</v>
      </c>
      <c r="U1982" s="284"/>
    </row>
    <row r="1983" spans="2:21" x14ac:dyDescent="0.25">
      <c r="B1983" s="292">
        <v>29</v>
      </c>
      <c r="C1983" s="292"/>
      <c r="D1983" s="292"/>
      <c r="F1983" s="283" t="s">
        <v>128</v>
      </c>
      <c r="G1983" s="283"/>
      <c r="J1983" s="293">
        <v>1</v>
      </c>
      <c r="K1983" s="293"/>
      <c r="L1983" s="293"/>
      <c r="M1983" s="293"/>
      <c r="N1983" s="293"/>
      <c r="P1983" s="42">
        <v>1150</v>
      </c>
      <c r="R1983" s="42">
        <v>170</v>
      </c>
      <c r="T1983" s="284">
        <v>980</v>
      </c>
      <c r="U1983" s="284"/>
    </row>
    <row r="1984" spans="2:21" x14ac:dyDescent="0.25">
      <c r="B1984" s="292">
        <v>30</v>
      </c>
      <c r="C1984" s="292"/>
      <c r="D1984" s="292"/>
      <c r="F1984" s="283" t="s">
        <v>127</v>
      </c>
      <c r="G1984" s="283"/>
      <c r="J1984" s="293">
        <v>24</v>
      </c>
      <c r="K1984" s="293"/>
      <c r="L1984" s="293"/>
      <c r="M1984" s="293"/>
      <c r="N1984" s="293"/>
      <c r="P1984" s="42">
        <v>7200</v>
      </c>
      <c r="R1984" s="42">
        <v>2160</v>
      </c>
      <c r="T1984" s="284">
        <v>5040</v>
      </c>
      <c r="U1984" s="284"/>
    </row>
    <row r="1985" spans="2:21" x14ac:dyDescent="0.25">
      <c r="B1985" s="292">
        <v>31</v>
      </c>
      <c r="C1985" s="292"/>
      <c r="D1985" s="292"/>
      <c r="F1985" s="283" t="s">
        <v>126</v>
      </c>
      <c r="G1985" s="283"/>
      <c r="J1985" s="293">
        <v>25</v>
      </c>
      <c r="K1985" s="293"/>
      <c r="L1985" s="293"/>
      <c r="M1985" s="293"/>
      <c r="N1985" s="293"/>
      <c r="P1985" s="42">
        <v>5000</v>
      </c>
      <c r="R1985" s="42">
        <v>1500</v>
      </c>
      <c r="T1985" s="284">
        <v>3500</v>
      </c>
      <c r="U1985" s="284"/>
    </row>
    <row r="1986" spans="2:21" x14ac:dyDescent="0.25">
      <c r="B1986" s="292">
        <v>32</v>
      </c>
      <c r="C1986" s="292"/>
      <c r="D1986" s="292"/>
      <c r="F1986" s="283" t="s">
        <v>227</v>
      </c>
      <c r="G1986" s="283"/>
      <c r="J1986" s="293">
        <v>1</v>
      </c>
      <c r="K1986" s="293"/>
      <c r="L1986" s="293"/>
      <c r="M1986" s="293"/>
      <c r="N1986" s="293"/>
      <c r="P1986" s="42">
        <v>500</v>
      </c>
      <c r="R1986" s="42">
        <v>150</v>
      </c>
      <c r="T1986" s="284">
        <v>350</v>
      </c>
      <c r="U1986" s="284"/>
    </row>
    <row r="1987" spans="2:21" x14ac:dyDescent="0.25">
      <c r="B1987" s="292">
        <v>33</v>
      </c>
      <c r="C1987" s="292"/>
      <c r="D1987" s="292"/>
      <c r="F1987" s="283" t="s">
        <v>122</v>
      </c>
      <c r="G1987" s="283"/>
      <c r="J1987" s="293">
        <v>7</v>
      </c>
      <c r="K1987" s="293"/>
      <c r="L1987" s="293"/>
      <c r="M1987" s="293"/>
      <c r="N1987" s="293"/>
      <c r="P1987" s="42">
        <v>3500</v>
      </c>
      <c r="R1987" s="42">
        <v>1050</v>
      </c>
      <c r="T1987" s="284">
        <v>2450</v>
      </c>
      <c r="U1987" s="284"/>
    </row>
    <row r="1988" spans="2:21" x14ac:dyDescent="0.25">
      <c r="B1988" s="292">
        <v>34</v>
      </c>
      <c r="C1988" s="292"/>
      <c r="D1988" s="292"/>
      <c r="F1988" s="283" t="s">
        <v>121</v>
      </c>
      <c r="G1988" s="283"/>
      <c r="J1988" s="293">
        <v>2</v>
      </c>
      <c r="K1988" s="293"/>
      <c r="L1988" s="293"/>
      <c r="M1988" s="293"/>
      <c r="N1988" s="293"/>
      <c r="P1988" s="42">
        <v>1000</v>
      </c>
      <c r="R1988" s="42">
        <v>300</v>
      </c>
      <c r="T1988" s="284">
        <v>700</v>
      </c>
      <c r="U1988" s="284"/>
    </row>
    <row r="1989" spans="2:21" x14ac:dyDescent="0.25">
      <c r="B1989" s="292">
        <v>35</v>
      </c>
      <c r="C1989" s="292"/>
      <c r="D1989" s="292"/>
      <c r="F1989" s="283" t="s">
        <v>120</v>
      </c>
      <c r="G1989" s="283"/>
      <c r="J1989" s="293">
        <v>1</v>
      </c>
      <c r="K1989" s="293"/>
      <c r="L1989" s="293"/>
      <c r="M1989" s="293"/>
      <c r="N1989" s="293"/>
      <c r="P1989" s="42">
        <v>350</v>
      </c>
      <c r="R1989" s="42">
        <v>60</v>
      </c>
      <c r="T1989" s="284">
        <v>290</v>
      </c>
      <c r="U1989" s="284"/>
    </row>
    <row r="1990" spans="2:21" x14ac:dyDescent="0.25">
      <c r="B1990" s="292">
        <v>36</v>
      </c>
      <c r="C1990" s="292"/>
      <c r="D1990" s="292"/>
      <c r="F1990" s="283" t="s">
        <v>282</v>
      </c>
      <c r="G1990" s="283"/>
      <c r="J1990" s="293">
        <v>1</v>
      </c>
      <c r="K1990" s="293"/>
      <c r="L1990" s="293"/>
      <c r="M1990" s="293"/>
      <c r="N1990" s="293"/>
      <c r="P1990" s="42">
        <v>500</v>
      </c>
      <c r="R1990" s="42">
        <v>150</v>
      </c>
      <c r="T1990" s="284">
        <v>350</v>
      </c>
      <c r="U1990" s="284"/>
    </row>
    <row r="1991" spans="2:21" x14ac:dyDescent="0.25">
      <c r="B1991" s="292">
        <v>37</v>
      </c>
      <c r="C1991" s="292"/>
      <c r="D1991" s="292"/>
      <c r="F1991" s="283" t="s">
        <v>119</v>
      </c>
      <c r="G1991" s="283"/>
      <c r="J1991" s="293">
        <v>5</v>
      </c>
      <c r="K1991" s="293"/>
      <c r="L1991" s="293"/>
      <c r="M1991" s="293"/>
      <c r="N1991" s="293"/>
      <c r="P1991" s="42">
        <v>4450</v>
      </c>
      <c r="R1991" s="42">
        <v>1410</v>
      </c>
      <c r="T1991" s="284">
        <v>3040</v>
      </c>
      <c r="U1991" s="284"/>
    </row>
    <row r="1992" spans="2:21" x14ac:dyDescent="0.25">
      <c r="B1992" s="292">
        <v>38</v>
      </c>
      <c r="C1992" s="292"/>
      <c r="D1992" s="292"/>
      <c r="F1992" s="283" t="s">
        <v>118</v>
      </c>
      <c r="G1992" s="283"/>
      <c r="J1992" s="293">
        <v>21</v>
      </c>
      <c r="K1992" s="293"/>
      <c r="L1992" s="293"/>
      <c r="M1992" s="293"/>
      <c r="N1992" s="293"/>
      <c r="P1992" s="42">
        <v>20790</v>
      </c>
      <c r="R1992" s="42">
        <v>7885</v>
      </c>
      <c r="T1992" s="284">
        <v>12905</v>
      </c>
      <c r="U1992" s="284"/>
    </row>
    <row r="1993" spans="2:21" x14ac:dyDescent="0.25">
      <c r="B1993" s="292">
        <v>39</v>
      </c>
      <c r="C1993" s="292"/>
      <c r="D1993" s="292"/>
      <c r="F1993" s="283" t="s">
        <v>117</v>
      </c>
      <c r="G1993" s="283"/>
      <c r="J1993" s="293">
        <v>4</v>
      </c>
      <c r="K1993" s="293"/>
      <c r="L1993" s="293"/>
      <c r="M1993" s="293"/>
      <c r="N1993" s="293"/>
      <c r="P1993" s="42">
        <v>3200</v>
      </c>
      <c r="R1993" s="42">
        <v>800</v>
      </c>
      <c r="T1993" s="284">
        <v>2400</v>
      </c>
      <c r="U1993" s="284"/>
    </row>
    <row r="1994" spans="2:21" x14ac:dyDescent="0.25">
      <c r="B1994" s="292">
        <v>40</v>
      </c>
      <c r="C1994" s="292"/>
      <c r="D1994" s="292"/>
      <c r="F1994" s="283" t="s">
        <v>115</v>
      </c>
      <c r="G1994" s="283"/>
      <c r="J1994" s="293">
        <v>9</v>
      </c>
      <c r="K1994" s="293"/>
      <c r="L1994" s="293"/>
      <c r="M1994" s="293"/>
      <c r="N1994" s="293"/>
      <c r="P1994" s="42">
        <v>2610</v>
      </c>
      <c r="R1994" s="42">
        <v>960</v>
      </c>
      <c r="T1994" s="284">
        <v>1650</v>
      </c>
      <c r="U1994" s="284"/>
    </row>
    <row r="1995" spans="2:21" x14ac:dyDescent="0.25">
      <c r="B1995" s="292">
        <v>41</v>
      </c>
      <c r="C1995" s="292"/>
      <c r="D1995" s="292"/>
      <c r="F1995" s="283" t="s">
        <v>280</v>
      </c>
      <c r="G1995" s="283"/>
      <c r="J1995" s="293">
        <v>2</v>
      </c>
      <c r="K1995" s="293"/>
      <c r="L1995" s="293"/>
      <c r="M1995" s="293"/>
      <c r="N1995" s="293"/>
      <c r="P1995" s="42">
        <v>1400</v>
      </c>
      <c r="R1995" s="42">
        <v>700</v>
      </c>
      <c r="T1995" s="284">
        <v>700</v>
      </c>
      <c r="U1995" s="284"/>
    </row>
    <row r="1996" spans="2:21" x14ac:dyDescent="0.25">
      <c r="B1996" s="292">
        <v>42</v>
      </c>
      <c r="C1996" s="292"/>
      <c r="D1996" s="292"/>
      <c r="F1996" s="283" t="s">
        <v>222</v>
      </c>
      <c r="G1996" s="283"/>
      <c r="J1996" s="293">
        <v>2</v>
      </c>
      <c r="K1996" s="293"/>
      <c r="L1996" s="293"/>
      <c r="M1996" s="293"/>
      <c r="N1996" s="293"/>
      <c r="P1996" s="42">
        <v>1000</v>
      </c>
      <c r="R1996" s="42">
        <v>300</v>
      </c>
      <c r="T1996" s="284">
        <v>700</v>
      </c>
      <c r="U1996" s="284"/>
    </row>
    <row r="1997" spans="2:21" x14ac:dyDescent="0.25">
      <c r="B1997" s="292">
        <v>43</v>
      </c>
      <c r="C1997" s="292"/>
      <c r="D1997" s="292"/>
      <c r="F1997" s="283" t="s">
        <v>301</v>
      </c>
      <c r="G1997" s="283"/>
      <c r="J1997" s="293">
        <v>1</v>
      </c>
      <c r="K1997" s="293"/>
      <c r="L1997" s="293"/>
      <c r="M1997" s="293"/>
      <c r="N1997" s="293"/>
      <c r="P1997" s="42">
        <v>800</v>
      </c>
      <c r="R1997" s="42">
        <v>200</v>
      </c>
      <c r="T1997" s="284">
        <v>600</v>
      </c>
      <c r="U1997" s="284"/>
    </row>
    <row r="1998" spans="2:21" x14ac:dyDescent="0.25">
      <c r="B1998" s="292">
        <v>44</v>
      </c>
      <c r="C1998" s="292"/>
      <c r="D1998" s="292"/>
      <c r="F1998" s="283" t="s">
        <v>219</v>
      </c>
      <c r="G1998" s="283"/>
      <c r="J1998" s="293">
        <v>3</v>
      </c>
      <c r="K1998" s="293"/>
      <c r="L1998" s="293"/>
      <c r="M1998" s="293"/>
      <c r="N1998" s="293"/>
      <c r="P1998" s="42">
        <v>1500</v>
      </c>
      <c r="R1998" s="42">
        <v>450</v>
      </c>
      <c r="T1998" s="284">
        <v>1050</v>
      </c>
      <c r="U1998" s="284"/>
    </row>
    <row r="1999" spans="2:21" x14ac:dyDescent="0.25">
      <c r="B1999" s="292">
        <v>45</v>
      </c>
      <c r="C1999" s="292"/>
      <c r="D1999" s="292"/>
      <c r="F1999" s="283" t="s">
        <v>109</v>
      </c>
      <c r="G1999" s="283"/>
      <c r="J1999" s="293">
        <v>4</v>
      </c>
      <c r="K1999" s="293"/>
      <c r="L1999" s="293"/>
      <c r="M1999" s="293"/>
      <c r="N1999" s="293"/>
      <c r="P1999" s="42">
        <v>3120</v>
      </c>
      <c r="R1999" s="42">
        <v>920</v>
      </c>
      <c r="T1999" s="284">
        <v>2200</v>
      </c>
      <c r="U1999" s="284"/>
    </row>
    <row r="2000" spans="2:21" x14ac:dyDescent="0.25">
      <c r="B2000" s="292">
        <v>46</v>
      </c>
      <c r="C2000" s="292"/>
      <c r="D2000" s="292"/>
      <c r="F2000" s="283" t="s">
        <v>108</v>
      </c>
      <c r="G2000" s="283"/>
      <c r="J2000" s="293">
        <v>2</v>
      </c>
      <c r="K2000" s="293"/>
      <c r="L2000" s="293"/>
      <c r="M2000" s="293"/>
      <c r="N2000" s="293"/>
      <c r="P2000" s="42">
        <v>200</v>
      </c>
      <c r="R2000" s="42">
        <v>60</v>
      </c>
      <c r="T2000" s="284">
        <v>140</v>
      </c>
      <c r="U2000" s="284"/>
    </row>
    <row r="2001" spans="2:21" x14ac:dyDescent="0.25">
      <c r="B2001" s="292">
        <v>47</v>
      </c>
      <c r="C2001" s="292"/>
      <c r="D2001" s="292"/>
      <c r="F2001" s="283" t="s">
        <v>107</v>
      </c>
      <c r="G2001" s="283"/>
      <c r="J2001" s="293">
        <v>3</v>
      </c>
      <c r="K2001" s="293"/>
      <c r="L2001" s="293"/>
      <c r="M2001" s="293"/>
      <c r="N2001" s="293"/>
      <c r="P2001" s="42">
        <v>510</v>
      </c>
      <c r="R2001" s="42">
        <v>150</v>
      </c>
      <c r="T2001" s="284">
        <v>360</v>
      </c>
      <c r="U2001" s="284"/>
    </row>
    <row r="2002" spans="2:21" x14ac:dyDescent="0.25">
      <c r="B2002" s="292">
        <v>48</v>
      </c>
      <c r="C2002" s="292"/>
      <c r="D2002" s="292"/>
      <c r="F2002" s="283" t="s">
        <v>218</v>
      </c>
      <c r="G2002" s="283"/>
      <c r="J2002" s="293">
        <v>1</v>
      </c>
      <c r="K2002" s="293"/>
      <c r="L2002" s="293"/>
      <c r="M2002" s="293"/>
      <c r="N2002" s="293"/>
      <c r="P2002" s="42">
        <v>290</v>
      </c>
      <c r="R2002" s="42">
        <v>100</v>
      </c>
      <c r="T2002" s="284">
        <v>190</v>
      </c>
      <c r="U2002" s="284"/>
    </row>
    <row r="2003" spans="2:21" x14ac:dyDescent="0.25">
      <c r="B2003" s="292">
        <v>49</v>
      </c>
      <c r="C2003" s="292"/>
      <c r="D2003" s="292"/>
      <c r="F2003" s="283" t="s">
        <v>364</v>
      </c>
      <c r="G2003" s="283"/>
      <c r="J2003" s="293">
        <v>2</v>
      </c>
      <c r="K2003" s="293"/>
      <c r="L2003" s="293"/>
      <c r="M2003" s="293"/>
      <c r="N2003" s="293"/>
      <c r="P2003" s="42">
        <v>1000</v>
      </c>
      <c r="R2003" s="42">
        <v>300</v>
      </c>
      <c r="T2003" s="284">
        <v>700</v>
      </c>
      <c r="U2003" s="284"/>
    </row>
    <row r="2004" spans="2:21" x14ac:dyDescent="0.25">
      <c r="B2004" s="292">
        <v>50</v>
      </c>
      <c r="C2004" s="292"/>
      <c r="D2004" s="292"/>
      <c r="F2004" s="283" t="s">
        <v>377</v>
      </c>
      <c r="G2004" s="283"/>
      <c r="J2004" s="293">
        <v>1</v>
      </c>
      <c r="K2004" s="293"/>
      <c r="L2004" s="293"/>
      <c r="M2004" s="293"/>
      <c r="N2004" s="293"/>
      <c r="P2004" s="42">
        <v>2020</v>
      </c>
      <c r="R2004" s="42">
        <v>0</v>
      </c>
      <c r="T2004" s="284">
        <v>2020</v>
      </c>
      <c r="U2004" s="284"/>
    </row>
    <row r="2005" spans="2:21" x14ac:dyDescent="0.25">
      <c r="B2005" s="292">
        <v>51</v>
      </c>
      <c r="C2005" s="292"/>
      <c r="D2005" s="292"/>
      <c r="F2005" s="283" t="s">
        <v>103</v>
      </c>
      <c r="G2005" s="283"/>
      <c r="J2005" s="293">
        <v>1</v>
      </c>
      <c r="K2005" s="293"/>
      <c r="L2005" s="293"/>
      <c r="M2005" s="293"/>
      <c r="N2005" s="293"/>
      <c r="P2005" s="42">
        <v>330</v>
      </c>
      <c r="R2005" s="42">
        <v>140</v>
      </c>
      <c r="T2005" s="284">
        <v>190</v>
      </c>
      <c r="U2005" s="284"/>
    </row>
    <row r="2006" spans="2:21" x14ac:dyDescent="0.25">
      <c r="B2006" s="292">
        <v>52</v>
      </c>
      <c r="C2006" s="292"/>
      <c r="D2006" s="292"/>
      <c r="F2006" s="283" t="s">
        <v>213</v>
      </c>
      <c r="G2006" s="283"/>
      <c r="J2006" s="293">
        <v>1</v>
      </c>
      <c r="K2006" s="293"/>
      <c r="L2006" s="293"/>
      <c r="M2006" s="293"/>
      <c r="N2006" s="293"/>
      <c r="P2006" s="42">
        <v>700</v>
      </c>
      <c r="R2006" s="42">
        <v>350</v>
      </c>
      <c r="T2006" s="284">
        <v>350</v>
      </c>
      <c r="U2006" s="284"/>
    </row>
    <row r="2007" spans="2:21" x14ac:dyDescent="0.25">
      <c r="B2007" s="292">
        <v>53</v>
      </c>
      <c r="C2007" s="292"/>
      <c r="D2007" s="292"/>
      <c r="F2007" s="283" t="s">
        <v>212</v>
      </c>
      <c r="G2007" s="283"/>
      <c r="J2007" s="293">
        <v>1</v>
      </c>
      <c r="K2007" s="293"/>
      <c r="L2007" s="293"/>
      <c r="M2007" s="293"/>
      <c r="N2007" s="293"/>
      <c r="P2007" s="42">
        <v>500</v>
      </c>
      <c r="R2007" s="42">
        <v>150</v>
      </c>
      <c r="T2007" s="284">
        <v>350</v>
      </c>
      <c r="U2007" s="284"/>
    </row>
    <row r="2008" spans="2:21" x14ac:dyDescent="0.25">
      <c r="B2008" s="292">
        <v>54</v>
      </c>
      <c r="C2008" s="292"/>
      <c r="D2008" s="292"/>
      <c r="F2008" s="283" t="s">
        <v>211</v>
      </c>
      <c r="G2008" s="283"/>
      <c r="J2008" s="293">
        <v>3</v>
      </c>
      <c r="K2008" s="293"/>
      <c r="L2008" s="293"/>
      <c r="M2008" s="293"/>
      <c r="N2008" s="293"/>
      <c r="P2008" s="42">
        <v>1500</v>
      </c>
      <c r="R2008" s="42">
        <v>450</v>
      </c>
      <c r="T2008" s="284">
        <v>1050</v>
      </c>
      <c r="U2008" s="284"/>
    </row>
    <row r="2009" spans="2:21" x14ac:dyDescent="0.25">
      <c r="B2009" s="292">
        <v>55</v>
      </c>
      <c r="C2009" s="292"/>
      <c r="D2009" s="292"/>
      <c r="F2009" s="283" t="s">
        <v>276</v>
      </c>
      <c r="G2009" s="283"/>
      <c r="J2009" s="293">
        <v>1</v>
      </c>
      <c r="K2009" s="293"/>
      <c r="L2009" s="293"/>
      <c r="M2009" s="293"/>
      <c r="N2009" s="293"/>
      <c r="P2009" s="42">
        <v>500</v>
      </c>
      <c r="R2009" s="42">
        <v>150</v>
      </c>
      <c r="T2009" s="284">
        <v>350</v>
      </c>
      <c r="U2009" s="284"/>
    </row>
    <row r="2010" spans="2:21" x14ac:dyDescent="0.25">
      <c r="B2010" s="292">
        <v>56</v>
      </c>
      <c r="C2010" s="292"/>
      <c r="D2010" s="292"/>
      <c r="F2010" s="283" t="s">
        <v>275</v>
      </c>
      <c r="G2010" s="283"/>
      <c r="J2010" s="293">
        <v>3</v>
      </c>
      <c r="K2010" s="293"/>
      <c r="L2010" s="293"/>
      <c r="M2010" s="293"/>
      <c r="N2010" s="293"/>
      <c r="P2010" s="42">
        <v>2100</v>
      </c>
      <c r="R2010" s="42">
        <v>1050</v>
      </c>
      <c r="T2010" s="284">
        <v>1050</v>
      </c>
      <c r="U2010" s="284"/>
    </row>
    <row r="2011" spans="2:21" x14ac:dyDescent="0.25">
      <c r="B2011" s="292">
        <v>57</v>
      </c>
      <c r="C2011" s="292"/>
      <c r="D2011" s="292"/>
      <c r="F2011" s="283" t="s">
        <v>99</v>
      </c>
      <c r="G2011" s="283"/>
      <c r="J2011" s="293">
        <v>3</v>
      </c>
      <c r="K2011" s="293"/>
      <c r="L2011" s="293"/>
      <c r="M2011" s="293"/>
      <c r="N2011" s="293"/>
      <c r="P2011" s="42">
        <v>1770</v>
      </c>
      <c r="R2011" s="42">
        <v>270</v>
      </c>
      <c r="T2011" s="284">
        <v>1500</v>
      </c>
      <c r="U2011" s="284"/>
    </row>
    <row r="2012" spans="2:21" x14ac:dyDescent="0.25">
      <c r="B2012" s="292">
        <v>58</v>
      </c>
      <c r="C2012" s="292"/>
      <c r="D2012" s="292"/>
      <c r="F2012" s="283" t="s">
        <v>98</v>
      </c>
      <c r="G2012" s="283"/>
      <c r="J2012" s="293">
        <v>3</v>
      </c>
      <c r="K2012" s="293"/>
      <c r="L2012" s="293"/>
      <c r="M2012" s="293"/>
      <c r="N2012" s="293"/>
      <c r="P2012" s="42">
        <v>1710</v>
      </c>
      <c r="R2012" s="42">
        <v>240</v>
      </c>
      <c r="T2012" s="284">
        <v>1470</v>
      </c>
      <c r="U2012" s="284"/>
    </row>
    <row r="2013" spans="2:21" x14ac:dyDescent="0.25">
      <c r="B2013" s="292">
        <v>59</v>
      </c>
      <c r="C2013" s="292"/>
      <c r="D2013" s="292"/>
      <c r="F2013" s="283" t="s">
        <v>93</v>
      </c>
      <c r="G2013" s="283"/>
      <c r="J2013" s="293">
        <v>3</v>
      </c>
      <c r="K2013" s="293"/>
      <c r="L2013" s="293"/>
      <c r="M2013" s="293"/>
      <c r="N2013" s="293"/>
      <c r="P2013" s="42">
        <v>1770</v>
      </c>
      <c r="R2013" s="42">
        <v>270</v>
      </c>
      <c r="T2013" s="284">
        <v>1500</v>
      </c>
      <c r="U2013" s="284"/>
    </row>
    <row r="2014" spans="2:21" x14ac:dyDescent="0.25">
      <c r="B2014" s="292">
        <v>60</v>
      </c>
      <c r="C2014" s="292"/>
      <c r="D2014" s="292"/>
      <c r="F2014" s="283" t="s">
        <v>92</v>
      </c>
      <c r="G2014" s="283"/>
      <c r="J2014" s="293">
        <v>9</v>
      </c>
      <c r="K2014" s="293"/>
      <c r="L2014" s="293"/>
      <c r="M2014" s="293"/>
      <c r="N2014" s="293"/>
      <c r="P2014" s="42">
        <v>9040</v>
      </c>
      <c r="R2014" s="42">
        <v>2680</v>
      </c>
      <c r="T2014" s="284">
        <v>6360</v>
      </c>
      <c r="U2014" s="284"/>
    </row>
    <row r="2015" spans="2:21" x14ac:dyDescent="0.25">
      <c r="B2015" s="292">
        <v>61</v>
      </c>
      <c r="C2015" s="292"/>
      <c r="D2015" s="292"/>
      <c r="F2015" s="283" t="s">
        <v>91</v>
      </c>
      <c r="G2015" s="283"/>
      <c r="J2015" s="293">
        <v>12</v>
      </c>
      <c r="K2015" s="293"/>
      <c r="L2015" s="293"/>
      <c r="M2015" s="293"/>
      <c r="N2015" s="293"/>
      <c r="P2015" s="42">
        <v>3000</v>
      </c>
      <c r="R2015" s="42">
        <v>1125</v>
      </c>
      <c r="T2015" s="284">
        <v>1875</v>
      </c>
      <c r="U2015" s="284"/>
    </row>
    <row r="2016" spans="2:21" x14ac:dyDescent="0.25">
      <c r="B2016" s="292">
        <v>62</v>
      </c>
      <c r="C2016" s="292"/>
      <c r="D2016" s="292"/>
      <c r="F2016" s="283" t="s">
        <v>90</v>
      </c>
      <c r="G2016" s="283"/>
      <c r="J2016" s="293">
        <v>61</v>
      </c>
      <c r="K2016" s="293"/>
      <c r="L2016" s="293"/>
      <c r="M2016" s="293"/>
      <c r="N2016" s="293"/>
      <c r="P2016" s="42">
        <v>17690</v>
      </c>
      <c r="R2016" s="42">
        <v>4880</v>
      </c>
      <c r="T2016" s="284">
        <v>12810</v>
      </c>
      <c r="U2016" s="284"/>
    </row>
    <row r="2017" spans="1:21" x14ac:dyDescent="0.25">
      <c r="B2017" s="292">
        <v>63</v>
      </c>
      <c r="C2017" s="292"/>
      <c r="D2017" s="292"/>
      <c r="F2017" s="283" t="s">
        <v>88</v>
      </c>
      <c r="G2017" s="283"/>
      <c r="J2017" s="293">
        <v>11</v>
      </c>
      <c r="K2017" s="293"/>
      <c r="L2017" s="293"/>
      <c r="M2017" s="293"/>
      <c r="N2017" s="293"/>
      <c r="P2017" s="42">
        <v>1980</v>
      </c>
      <c r="R2017" s="42">
        <v>640</v>
      </c>
      <c r="T2017" s="284">
        <v>1340</v>
      </c>
      <c r="U2017" s="284"/>
    </row>
    <row r="2018" spans="1:21" x14ac:dyDescent="0.25">
      <c r="B2018" s="292">
        <v>64</v>
      </c>
      <c r="C2018" s="292"/>
      <c r="D2018" s="292"/>
      <c r="F2018" s="283" t="s">
        <v>84</v>
      </c>
      <c r="G2018" s="283"/>
      <c r="J2018" s="293">
        <v>6</v>
      </c>
      <c r="K2018" s="293"/>
      <c r="L2018" s="293"/>
      <c r="M2018" s="293"/>
      <c r="N2018" s="293"/>
      <c r="P2018" s="42">
        <v>3540</v>
      </c>
      <c r="R2018" s="42">
        <v>1080</v>
      </c>
      <c r="T2018" s="284">
        <v>2460</v>
      </c>
      <c r="U2018" s="284"/>
    </row>
    <row r="2019" spans="1:21" x14ac:dyDescent="0.25">
      <c r="B2019" s="292">
        <v>65</v>
      </c>
      <c r="C2019" s="292"/>
      <c r="D2019" s="292"/>
      <c r="F2019" s="283" t="s">
        <v>331</v>
      </c>
      <c r="G2019" s="283"/>
      <c r="J2019" s="293">
        <v>3</v>
      </c>
      <c r="K2019" s="293"/>
      <c r="L2019" s="293"/>
      <c r="M2019" s="293"/>
      <c r="N2019" s="293"/>
      <c r="P2019" s="42">
        <v>1500</v>
      </c>
      <c r="R2019" s="42">
        <v>450</v>
      </c>
      <c r="T2019" s="284">
        <v>1050</v>
      </c>
      <c r="U2019" s="284"/>
    </row>
    <row r="2020" spans="1:21" x14ac:dyDescent="0.25">
      <c r="B2020" s="292">
        <v>66</v>
      </c>
      <c r="C2020" s="292"/>
      <c r="D2020" s="292"/>
      <c r="F2020" s="283" t="s">
        <v>208</v>
      </c>
      <c r="G2020" s="283"/>
      <c r="J2020" s="293">
        <v>3</v>
      </c>
      <c r="K2020" s="293"/>
      <c r="L2020" s="293"/>
      <c r="M2020" s="293"/>
      <c r="N2020" s="293"/>
      <c r="P2020" s="42">
        <v>1500</v>
      </c>
      <c r="R2020" s="42">
        <v>450</v>
      </c>
      <c r="T2020" s="284">
        <v>1050</v>
      </c>
      <c r="U2020" s="284"/>
    </row>
    <row r="2021" spans="1:21" x14ac:dyDescent="0.25">
      <c r="B2021" s="292">
        <v>67</v>
      </c>
      <c r="C2021" s="292"/>
      <c r="D2021" s="292"/>
      <c r="F2021" s="283" t="s">
        <v>273</v>
      </c>
      <c r="G2021" s="283"/>
      <c r="J2021" s="293">
        <v>1</v>
      </c>
      <c r="K2021" s="293"/>
      <c r="L2021" s="293"/>
      <c r="M2021" s="293"/>
      <c r="N2021" s="293"/>
      <c r="P2021" s="42">
        <v>500</v>
      </c>
      <c r="R2021" s="42">
        <v>150</v>
      </c>
      <c r="T2021" s="284">
        <v>350</v>
      </c>
      <c r="U2021" s="284"/>
    </row>
    <row r="2022" spans="1:21" x14ac:dyDescent="0.25">
      <c r="B2022" s="292">
        <v>68</v>
      </c>
      <c r="C2022" s="292"/>
      <c r="D2022" s="292"/>
      <c r="F2022" s="283" t="s">
        <v>207</v>
      </c>
      <c r="G2022" s="283"/>
      <c r="J2022" s="293">
        <v>3</v>
      </c>
      <c r="K2022" s="293"/>
      <c r="L2022" s="293"/>
      <c r="M2022" s="293"/>
      <c r="N2022" s="293"/>
      <c r="P2022" s="42">
        <v>1500</v>
      </c>
      <c r="R2022" s="42">
        <v>450</v>
      </c>
      <c r="T2022" s="284">
        <v>1050</v>
      </c>
      <c r="U2022" s="284"/>
    </row>
    <row r="2023" spans="1:21" x14ac:dyDescent="0.25">
      <c r="B2023" s="292">
        <v>69</v>
      </c>
      <c r="C2023" s="292"/>
      <c r="D2023" s="292"/>
      <c r="F2023" s="283" t="s">
        <v>272</v>
      </c>
      <c r="G2023" s="283"/>
      <c r="J2023" s="293">
        <v>1</v>
      </c>
      <c r="K2023" s="293"/>
      <c r="L2023" s="293"/>
      <c r="M2023" s="293"/>
      <c r="N2023" s="293"/>
      <c r="P2023" s="42">
        <v>500</v>
      </c>
      <c r="R2023" s="42">
        <v>150</v>
      </c>
      <c r="T2023" s="284">
        <v>350</v>
      </c>
      <c r="U2023" s="284"/>
    </row>
    <row r="2024" spans="1:21" x14ac:dyDescent="0.25">
      <c r="B2024" s="292">
        <v>70</v>
      </c>
      <c r="C2024" s="292"/>
      <c r="D2024" s="292"/>
      <c r="F2024" s="283" t="s">
        <v>83</v>
      </c>
      <c r="G2024" s="283"/>
      <c r="J2024" s="293">
        <v>8</v>
      </c>
      <c r="K2024" s="293"/>
      <c r="L2024" s="293"/>
      <c r="M2024" s="293"/>
      <c r="N2024" s="293"/>
      <c r="P2024" s="42">
        <v>4000</v>
      </c>
      <c r="R2024" s="42">
        <v>1200</v>
      </c>
      <c r="T2024" s="284">
        <v>2800</v>
      </c>
      <c r="U2024" s="284"/>
    </row>
    <row r="2025" spans="1:21" x14ac:dyDescent="0.25">
      <c r="B2025" s="292">
        <v>71</v>
      </c>
      <c r="C2025" s="292"/>
      <c r="D2025" s="292"/>
      <c r="F2025" s="283" t="s">
        <v>271</v>
      </c>
      <c r="G2025" s="283"/>
      <c r="J2025" s="293">
        <v>1</v>
      </c>
      <c r="K2025" s="293"/>
      <c r="L2025" s="293"/>
      <c r="M2025" s="293"/>
      <c r="N2025" s="293"/>
      <c r="P2025" s="42">
        <v>500</v>
      </c>
      <c r="R2025" s="42">
        <v>150</v>
      </c>
      <c r="T2025" s="284">
        <v>350</v>
      </c>
      <c r="U2025" s="284"/>
    </row>
    <row r="2026" spans="1:21" x14ac:dyDescent="0.25">
      <c r="B2026" s="292">
        <v>72</v>
      </c>
      <c r="C2026" s="292"/>
      <c r="D2026" s="292"/>
      <c r="F2026" s="283" t="s">
        <v>203</v>
      </c>
      <c r="G2026" s="283"/>
      <c r="J2026" s="293">
        <v>1</v>
      </c>
      <c r="K2026" s="293"/>
      <c r="L2026" s="293"/>
      <c r="M2026" s="293"/>
      <c r="N2026" s="293"/>
      <c r="P2026" s="42">
        <v>500</v>
      </c>
      <c r="R2026" s="42">
        <v>150</v>
      </c>
      <c r="T2026" s="284">
        <v>350</v>
      </c>
      <c r="U2026" s="284"/>
    </row>
    <row r="2027" spans="1:21" x14ac:dyDescent="0.25">
      <c r="B2027" s="292">
        <v>73</v>
      </c>
      <c r="C2027" s="292"/>
      <c r="D2027" s="292"/>
      <c r="F2027" s="283" t="s">
        <v>202</v>
      </c>
      <c r="G2027" s="283"/>
      <c r="J2027" s="293">
        <v>1</v>
      </c>
      <c r="K2027" s="293"/>
      <c r="L2027" s="293"/>
      <c r="M2027" s="293"/>
      <c r="N2027" s="293"/>
      <c r="P2027" s="42">
        <v>500</v>
      </c>
      <c r="R2027" s="42">
        <v>130</v>
      </c>
      <c r="T2027" s="284">
        <v>370</v>
      </c>
      <c r="U2027" s="284"/>
    </row>
    <row r="2028" spans="1:21" s="40" customFormat="1" x14ac:dyDescent="0.25">
      <c r="A2028" s="290" t="s">
        <v>413</v>
      </c>
      <c r="B2028" s="290"/>
      <c r="C2028" s="290"/>
      <c r="D2028" s="290"/>
      <c r="E2028" s="290"/>
      <c r="F2028" s="290"/>
      <c r="G2028" s="290"/>
      <c r="H2028" s="290"/>
      <c r="I2028" s="290"/>
      <c r="J2028" s="290"/>
      <c r="K2028" s="291">
        <v>24</v>
      </c>
      <c r="L2028" s="291"/>
      <c r="M2028" s="291"/>
      <c r="N2028" s="291"/>
      <c r="O2028" s="291"/>
      <c r="P2028" s="41">
        <v>48900</v>
      </c>
      <c r="R2028" s="41">
        <v>46380</v>
      </c>
      <c r="T2028" s="287">
        <v>2520</v>
      </c>
      <c r="U2028" s="287"/>
    </row>
    <row r="2029" spans="1:21" x14ac:dyDescent="0.25">
      <c r="B2029" s="292">
        <v>1</v>
      </c>
      <c r="C2029" s="292"/>
      <c r="D2029" s="292"/>
      <c r="F2029" s="283" t="s">
        <v>248</v>
      </c>
      <c r="G2029" s="283"/>
      <c r="J2029" s="293">
        <v>1</v>
      </c>
      <c r="K2029" s="293"/>
      <c r="L2029" s="293"/>
      <c r="M2029" s="293"/>
      <c r="N2029" s="293"/>
      <c r="P2029" s="42">
        <v>1200</v>
      </c>
      <c r="R2029" s="42">
        <v>180</v>
      </c>
      <c r="T2029" s="284">
        <v>1020</v>
      </c>
      <c r="U2029" s="284"/>
    </row>
    <row r="2030" spans="1:21" x14ac:dyDescent="0.25">
      <c r="B2030" s="292">
        <v>2</v>
      </c>
      <c r="C2030" s="292"/>
      <c r="D2030" s="292"/>
      <c r="F2030" s="283" t="s">
        <v>158</v>
      </c>
      <c r="G2030" s="283"/>
      <c r="J2030" s="293">
        <v>1</v>
      </c>
      <c r="K2030" s="293"/>
      <c r="L2030" s="293"/>
      <c r="M2030" s="293"/>
      <c r="N2030" s="293"/>
      <c r="P2030" s="42">
        <v>550</v>
      </c>
      <c r="R2030" s="42">
        <v>0</v>
      </c>
      <c r="T2030" s="284">
        <v>550</v>
      </c>
      <c r="U2030" s="284"/>
    </row>
    <row r="2031" spans="1:21" x14ac:dyDescent="0.25">
      <c r="B2031" s="292">
        <v>3</v>
      </c>
      <c r="C2031" s="292"/>
      <c r="D2031" s="292"/>
      <c r="F2031" s="283" t="s">
        <v>77</v>
      </c>
      <c r="G2031" s="283"/>
      <c r="J2031" s="293">
        <v>3</v>
      </c>
      <c r="K2031" s="293"/>
      <c r="L2031" s="293"/>
      <c r="M2031" s="293"/>
      <c r="N2031" s="293"/>
      <c r="P2031" s="42">
        <v>1200</v>
      </c>
      <c r="R2031" s="42">
        <v>1200</v>
      </c>
      <c r="T2031" s="284">
        <v>0</v>
      </c>
      <c r="U2031" s="284"/>
    </row>
    <row r="2032" spans="1:21" x14ac:dyDescent="0.25">
      <c r="B2032" s="292">
        <v>4</v>
      </c>
      <c r="C2032" s="292"/>
      <c r="D2032" s="292"/>
      <c r="F2032" s="283" t="s">
        <v>75</v>
      </c>
      <c r="G2032" s="283"/>
      <c r="J2032" s="293">
        <v>18</v>
      </c>
      <c r="K2032" s="293"/>
      <c r="L2032" s="293"/>
      <c r="M2032" s="293"/>
      <c r="N2032" s="293"/>
      <c r="P2032" s="42">
        <v>45000</v>
      </c>
      <c r="R2032" s="42">
        <v>45000</v>
      </c>
      <c r="T2032" s="284">
        <v>0</v>
      </c>
      <c r="U2032" s="284"/>
    </row>
    <row r="2033" spans="1:21" x14ac:dyDescent="0.25">
      <c r="B2033" s="292">
        <v>5</v>
      </c>
      <c r="C2033" s="292"/>
      <c r="D2033" s="292"/>
      <c r="F2033" s="283" t="s">
        <v>135</v>
      </c>
      <c r="G2033" s="283"/>
      <c r="J2033" s="293">
        <v>1</v>
      </c>
      <c r="K2033" s="293"/>
      <c r="L2033" s="293"/>
      <c r="M2033" s="293"/>
      <c r="N2033" s="293"/>
      <c r="P2033" s="42">
        <v>950</v>
      </c>
      <c r="R2033" s="42">
        <v>0</v>
      </c>
      <c r="T2033" s="284">
        <v>950</v>
      </c>
      <c r="U2033" s="284"/>
    </row>
    <row r="2034" spans="1:21" s="40" customFormat="1" x14ac:dyDescent="0.25">
      <c r="A2034" s="290" t="s">
        <v>412</v>
      </c>
      <c r="B2034" s="290"/>
      <c r="C2034" s="290"/>
      <c r="D2034" s="290"/>
      <c r="E2034" s="290"/>
      <c r="F2034" s="290"/>
      <c r="G2034" s="290"/>
      <c r="H2034" s="290"/>
      <c r="I2034" s="290"/>
      <c r="J2034" s="290"/>
      <c r="K2034" s="291">
        <v>3560</v>
      </c>
      <c r="L2034" s="291"/>
      <c r="M2034" s="291"/>
      <c r="N2034" s="291"/>
      <c r="O2034" s="291"/>
      <c r="P2034" s="41">
        <v>4117650</v>
      </c>
      <c r="R2034" s="41">
        <v>3675757</v>
      </c>
      <c r="T2034" s="287">
        <v>441893</v>
      </c>
      <c r="U2034" s="287"/>
    </row>
    <row r="2035" spans="1:21" x14ac:dyDescent="0.25">
      <c r="B2035" s="292">
        <v>1</v>
      </c>
      <c r="C2035" s="292"/>
      <c r="D2035" s="292"/>
      <c r="F2035" s="283" t="s">
        <v>78</v>
      </c>
      <c r="G2035" s="283"/>
      <c r="J2035" s="293">
        <v>182</v>
      </c>
      <c r="K2035" s="293"/>
      <c r="L2035" s="293"/>
      <c r="M2035" s="293"/>
      <c r="N2035" s="293"/>
      <c r="P2035" s="42">
        <v>52780</v>
      </c>
      <c r="R2035" s="42">
        <v>52780</v>
      </c>
      <c r="T2035" s="284">
        <v>0</v>
      </c>
      <c r="U2035" s="284"/>
    </row>
    <row r="2036" spans="1:21" x14ac:dyDescent="0.25">
      <c r="B2036" s="292">
        <v>2</v>
      </c>
      <c r="C2036" s="292"/>
      <c r="D2036" s="292"/>
      <c r="F2036" s="283" t="s">
        <v>268</v>
      </c>
      <c r="G2036" s="283"/>
      <c r="J2036" s="293">
        <v>1</v>
      </c>
      <c r="K2036" s="293"/>
      <c r="L2036" s="293"/>
      <c r="M2036" s="293"/>
      <c r="N2036" s="293"/>
      <c r="P2036" s="42">
        <v>250</v>
      </c>
      <c r="R2036" s="42">
        <v>70</v>
      </c>
      <c r="T2036" s="284">
        <v>180</v>
      </c>
      <c r="U2036" s="284"/>
    </row>
    <row r="2037" spans="1:21" x14ac:dyDescent="0.25">
      <c r="B2037" s="292">
        <v>3</v>
      </c>
      <c r="C2037" s="292"/>
      <c r="D2037" s="292"/>
      <c r="F2037" s="283" t="s">
        <v>163</v>
      </c>
      <c r="G2037" s="283"/>
      <c r="J2037" s="293">
        <v>3</v>
      </c>
      <c r="K2037" s="293"/>
      <c r="L2037" s="293"/>
      <c r="M2037" s="293"/>
      <c r="N2037" s="293"/>
      <c r="P2037" s="42">
        <v>3570</v>
      </c>
      <c r="R2037" s="42">
        <v>540</v>
      </c>
      <c r="T2037" s="284">
        <v>3030</v>
      </c>
      <c r="U2037" s="284"/>
    </row>
    <row r="2038" spans="1:21" x14ac:dyDescent="0.25">
      <c r="B2038" s="292">
        <v>4</v>
      </c>
      <c r="C2038" s="292"/>
      <c r="D2038" s="292"/>
      <c r="F2038" s="283" t="s">
        <v>162</v>
      </c>
      <c r="G2038" s="283"/>
      <c r="J2038" s="293">
        <v>19</v>
      </c>
      <c r="K2038" s="293"/>
      <c r="L2038" s="293"/>
      <c r="M2038" s="293"/>
      <c r="N2038" s="293"/>
      <c r="P2038" s="42">
        <v>8170</v>
      </c>
      <c r="R2038" s="42">
        <v>2470</v>
      </c>
      <c r="T2038" s="284">
        <v>5700</v>
      </c>
      <c r="U2038" s="284"/>
    </row>
    <row r="2039" spans="1:21" x14ac:dyDescent="0.25">
      <c r="B2039" s="292">
        <v>5</v>
      </c>
      <c r="C2039" s="292"/>
      <c r="D2039" s="292"/>
      <c r="F2039" s="283" t="s">
        <v>198</v>
      </c>
      <c r="G2039" s="283"/>
      <c r="J2039" s="293">
        <v>1</v>
      </c>
      <c r="K2039" s="293"/>
      <c r="L2039" s="293"/>
      <c r="M2039" s="293"/>
      <c r="N2039" s="293"/>
      <c r="P2039" s="42">
        <v>290</v>
      </c>
      <c r="R2039" s="42">
        <v>0</v>
      </c>
      <c r="T2039" s="284">
        <v>290</v>
      </c>
      <c r="U2039" s="284"/>
    </row>
    <row r="2040" spans="1:21" x14ac:dyDescent="0.25">
      <c r="B2040" s="292">
        <v>6</v>
      </c>
      <c r="C2040" s="292"/>
      <c r="D2040" s="292"/>
      <c r="F2040" s="283" t="s">
        <v>160</v>
      </c>
      <c r="G2040" s="283"/>
      <c r="J2040" s="293">
        <v>9</v>
      </c>
      <c r="K2040" s="293"/>
      <c r="L2040" s="293"/>
      <c r="M2040" s="293"/>
      <c r="N2040" s="293"/>
      <c r="P2040" s="42">
        <v>2610</v>
      </c>
      <c r="R2040" s="42">
        <v>720</v>
      </c>
      <c r="T2040" s="284">
        <v>1890</v>
      </c>
      <c r="U2040" s="284"/>
    </row>
    <row r="2041" spans="1:21" x14ac:dyDescent="0.25">
      <c r="B2041" s="292">
        <v>7</v>
      </c>
      <c r="C2041" s="292"/>
      <c r="D2041" s="292"/>
      <c r="F2041" s="283" t="s">
        <v>159</v>
      </c>
      <c r="G2041" s="283"/>
      <c r="J2041" s="293">
        <v>321</v>
      </c>
      <c r="K2041" s="293"/>
      <c r="L2041" s="293"/>
      <c r="M2041" s="293"/>
      <c r="N2041" s="293"/>
      <c r="P2041" s="42">
        <v>0</v>
      </c>
      <c r="R2041" s="42">
        <v>0</v>
      </c>
      <c r="T2041" s="284">
        <v>0</v>
      </c>
      <c r="U2041" s="284"/>
    </row>
    <row r="2042" spans="1:21" x14ac:dyDescent="0.25">
      <c r="B2042" s="292">
        <v>8</v>
      </c>
      <c r="C2042" s="292"/>
      <c r="D2042" s="292"/>
      <c r="F2042" s="283" t="s">
        <v>158</v>
      </c>
      <c r="G2042" s="283"/>
      <c r="J2042" s="293">
        <v>427</v>
      </c>
      <c r="K2042" s="293"/>
      <c r="L2042" s="293"/>
      <c r="M2042" s="293"/>
      <c r="N2042" s="293"/>
      <c r="P2042" s="42">
        <v>234850</v>
      </c>
      <c r="R2042" s="42">
        <v>71590</v>
      </c>
      <c r="T2042" s="284">
        <v>163260</v>
      </c>
      <c r="U2042" s="284"/>
    </row>
    <row r="2043" spans="1:21" x14ac:dyDescent="0.25">
      <c r="B2043" s="292">
        <v>9</v>
      </c>
      <c r="C2043" s="292"/>
      <c r="D2043" s="292"/>
      <c r="F2043" s="283" t="s">
        <v>157</v>
      </c>
      <c r="G2043" s="283"/>
      <c r="J2043" s="293">
        <v>86</v>
      </c>
      <c r="K2043" s="293"/>
      <c r="L2043" s="293"/>
      <c r="M2043" s="293"/>
      <c r="N2043" s="293"/>
      <c r="P2043" s="42">
        <v>42140</v>
      </c>
      <c r="R2043" s="42">
        <v>18360</v>
      </c>
      <c r="T2043" s="284">
        <v>23780</v>
      </c>
      <c r="U2043" s="284"/>
    </row>
    <row r="2044" spans="1:21" x14ac:dyDescent="0.25">
      <c r="B2044" s="292">
        <v>10</v>
      </c>
      <c r="C2044" s="292"/>
      <c r="D2044" s="292"/>
      <c r="F2044" s="283" t="s">
        <v>77</v>
      </c>
      <c r="G2044" s="283"/>
      <c r="J2044" s="293">
        <v>232</v>
      </c>
      <c r="K2044" s="293"/>
      <c r="L2044" s="293"/>
      <c r="M2044" s="293"/>
      <c r="N2044" s="293"/>
      <c r="P2044" s="42">
        <v>92800</v>
      </c>
      <c r="R2044" s="42">
        <v>92800</v>
      </c>
      <c r="T2044" s="284">
        <v>0</v>
      </c>
      <c r="U2044" s="284"/>
    </row>
    <row r="2045" spans="1:21" x14ac:dyDescent="0.25">
      <c r="B2045" s="292">
        <v>11</v>
      </c>
      <c r="C2045" s="292"/>
      <c r="D2045" s="292"/>
      <c r="F2045" s="283" t="s">
        <v>76</v>
      </c>
      <c r="G2045" s="283"/>
      <c r="J2045" s="293">
        <v>4</v>
      </c>
      <c r="K2045" s="293"/>
      <c r="L2045" s="293"/>
      <c r="M2045" s="293"/>
      <c r="N2045" s="293"/>
      <c r="P2045" s="42">
        <v>2400</v>
      </c>
      <c r="R2045" s="42">
        <v>2400</v>
      </c>
      <c r="T2045" s="284">
        <v>0</v>
      </c>
      <c r="U2045" s="284"/>
    </row>
    <row r="2046" spans="1:21" x14ac:dyDescent="0.25">
      <c r="B2046" s="292">
        <v>12</v>
      </c>
      <c r="C2046" s="292"/>
      <c r="D2046" s="292"/>
      <c r="F2046" s="283" t="s">
        <v>156</v>
      </c>
      <c r="G2046" s="283"/>
      <c r="J2046" s="293">
        <v>2</v>
      </c>
      <c r="K2046" s="293"/>
      <c r="L2046" s="293"/>
      <c r="M2046" s="293"/>
      <c r="N2046" s="293"/>
      <c r="P2046" s="42">
        <v>380</v>
      </c>
      <c r="R2046" s="42">
        <v>120</v>
      </c>
      <c r="T2046" s="284">
        <v>260</v>
      </c>
      <c r="U2046" s="284"/>
    </row>
    <row r="2047" spans="1:21" x14ac:dyDescent="0.25">
      <c r="B2047" s="292">
        <v>13</v>
      </c>
      <c r="C2047" s="292"/>
      <c r="D2047" s="292"/>
      <c r="F2047" s="283" t="s">
        <v>155</v>
      </c>
      <c r="G2047" s="283"/>
      <c r="J2047" s="293">
        <v>50</v>
      </c>
      <c r="K2047" s="293"/>
      <c r="L2047" s="293"/>
      <c r="M2047" s="293"/>
      <c r="N2047" s="293"/>
      <c r="P2047" s="42">
        <v>12500</v>
      </c>
      <c r="R2047" s="42">
        <v>3890</v>
      </c>
      <c r="T2047" s="284">
        <v>8610</v>
      </c>
      <c r="U2047" s="284"/>
    </row>
    <row r="2048" spans="1:21" x14ac:dyDescent="0.25">
      <c r="B2048" s="292">
        <v>14</v>
      </c>
      <c r="C2048" s="292"/>
      <c r="D2048" s="292"/>
      <c r="F2048" s="283" t="s">
        <v>154</v>
      </c>
      <c r="G2048" s="283"/>
      <c r="J2048" s="293">
        <v>8</v>
      </c>
      <c r="K2048" s="293"/>
      <c r="L2048" s="293"/>
      <c r="M2048" s="293"/>
      <c r="N2048" s="293"/>
      <c r="P2048" s="42">
        <v>7120</v>
      </c>
      <c r="R2048" s="42">
        <v>1040</v>
      </c>
      <c r="T2048" s="284">
        <v>6080</v>
      </c>
      <c r="U2048" s="284"/>
    </row>
    <row r="2049" spans="2:21" x14ac:dyDescent="0.25">
      <c r="B2049" s="292">
        <v>15</v>
      </c>
      <c r="C2049" s="292"/>
      <c r="D2049" s="292"/>
      <c r="F2049" s="283" t="s">
        <v>152</v>
      </c>
      <c r="G2049" s="283"/>
      <c r="J2049" s="293">
        <v>3</v>
      </c>
      <c r="K2049" s="293"/>
      <c r="L2049" s="293"/>
      <c r="M2049" s="293"/>
      <c r="N2049" s="293"/>
      <c r="P2049" s="42">
        <v>1770</v>
      </c>
      <c r="R2049" s="42">
        <v>540</v>
      </c>
      <c r="T2049" s="284">
        <v>1230</v>
      </c>
      <c r="U2049" s="284"/>
    </row>
    <row r="2050" spans="2:21" x14ac:dyDescent="0.25">
      <c r="B2050" s="292">
        <v>16</v>
      </c>
      <c r="C2050" s="292"/>
      <c r="D2050" s="292"/>
      <c r="F2050" s="283" t="s">
        <v>151</v>
      </c>
      <c r="G2050" s="283"/>
      <c r="J2050" s="293">
        <v>20</v>
      </c>
      <c r="K2050" s="293"/>
      <c r="L2050" s="293"/>
      <c r="M2050" s="293"/>
      <c r="N2050" s="293"/>
      <c r="P2050" s="42">
        <v>4600</v>
      </c>
      <c r="R2050" s="42">
        <v>1510</v>
      </c>
      <c r="T2050" s="284">
        <v>3090</v>
      </c>
      <c r="U2050" s="284"/>
    </row>
    <row r="2051" spans="2:21" x14ac:dyDescent="0.25">
      <c r="B2051" s="292">
        <v>17</v>
      </c>
      <c r="C2051" s="292"/>
      <c r="D2051" s="292"/>
      <c r="F2051" s="283" t="s">
        <v>150</v>
      </c>
      <c r="G2051" s="283"/>
      <c r="J2051" s="293">
        <v>5</v>
      </c>
      <c r="K2051" s="293"/>
      <c r="L2051" s="293"/>
      <c r="M2051" s="293"/>
      <c r="N2051" s="293"/>
      <c r="P2051" s="42">
        <v>850</v>
      </c>
      <c r="R2051" s="42">
        <v>200</v>
      </c>
      <c r="T2051" s="284">
        <v>650</v>
      </c>
      <c r="U2051" s="284"/>
    </row>
    <row r="2052" spans="2:21" x14ac:dyDescent="0.25">
      <c r="B2052" s="292">
        <v>18</v>
      </c>
      <c r="C2052" s="292"/>
      <c r="D2052" s="292"/>
      <c r="F2052" s="283" t="s">
        <v>149</v>
      </c>
      <c r="G2052" s="283"/>
      <c r="J2052" s="293">
        <v>1</v>
      </c>
      <c r="K2052" s="293"/>
      <c r="L2052" s="293"/>
      <c r="M2052" s="293"/>
      <c r="N2052" s="293"/>
      <c r="P2052" s="42">
        <v>50</v>
      </c>
      <c r="R2052" s="42">
        <v>10</v>
      </c>
      <c r="T2052" s="284">
        <v>40</v>
      </c>
      <c r="U2052" s="284"/>
    </row>
    <row r="2053" spans="2:21" x14ac:dyDescent="0.25">
      <c r="B2053" s="292">
        <v>19</v>
      </c>
      <c r="C2053" s="292"/>
      <c r="D2053" s="292"/>
      <c r="F2053" s="283" t="s">
        <v>147</v>
      </c>
      <c r="G2053" s="283"/>
      <c r="J2053" s="293">
        <v>1</v>
      </c>
      <c r="K2053" s="293"/>
      <c r="L2053" s="293"/>
      <c r="M2053" s="293"/>
      <c r="N2053" s="293"/>
      <c r="P2053" s="42">
        <v>30</v>
      </c>
      <c r="R2053" s="42">
        <v>0</v>
      </c>
      <c r="T2053" s="284">
        <v>30</v>
      </c>
      <c r="U2053" s="284"/>
    </row>
    <row r="2054" spans="2:21" x14ac:dyDescent="0.25">
      <c r="B2054" s="292">
        <v>20</v>
      </c>
      <c r="C2054" s="292"/>
      <c r="D2054" s="292"/>
      <c r="F2054" s="283" t="s">
        <v>145</v>
      </c>
      <c r="G2054" s="283"/>
      <c r="J2054" s="293">
        <v>2</v>
      </c>
      <c r="K2054" s="293"/>
      <c r="L2054" s="293"/>
      <c r="M2054" s="293"/>
      <c r="N2054" s="293"/>
      <c r="P2054" s="42">
        <v>300</v>
      </c>
      <c r="R2054" s="42">
        <v>0</v>
      </c>
      <c r="T2054" s="284">
        <v>300</v>
      </c>
      <c r="U2054" s="284"/>
    </row>
    <row r="2055" spans="2:21" x14ac:dyDescent="0.25">
      <c r="B2055" s="292">
        <v>21</v>
      </c>
      <c r="C2055" s="292"/>
      <c r="D2055" s="292"/>
      <c r="F2055" s="283" t="s">
        <v>232</v>
      </c>
      <c r="G2055" s="283"/>
      <c r="J2055" s="293">
        <v>1</v>
      </c>
      <c r="K2055" s="293"/>
      <c r="L2055" s="293"/>
      <c r="M2055" s="293"/>
      <c r="N2055" s="293"/>
      <c r="P2055" s="42">
        <v>980</v>
      </c>
      <c r="R2055" s="42">
        <v>150</v>
      </c>
      <c r="T2055" s="284">
        <v>830</v>
      </c>
      <c r="U2055" s="284"/>
    </row>
    <row r="2056" spans="2:21" x14ac:dyDescent="0.25">
      <c r="B2056" s="292">
        <v>22</v>
      </c>
      <c r="C2056" s="292"/>
      <c r="D2056" s="292"/>
      <c r="F2056" s="283" t="s">
        <v>75</v>
      </c>
      <c r="G2056" s="283"/>
      <c r="J2056" s="293">
        <v>1317</v>
      </c>
      <c r="K2056" s="293"/>
      <c r="L2056" s="293"/>
      <c r="M2056" s="293"/>
      <c r="N2056" s="293"/>
      <c r="P2056" s="42">
        <v>3292500</v>
      </c>
      <c r="R2056" s="42">
        <v>3292500</v>
      </c>
      <c r="T2056" s="284">
        <v>0</v>
      </c>
      <c r="U2056" s="284"/>
    </row>
    <row r="2057" spans="2:21" x14ac:dyDescent="0.25">
      <c r="B2057" s="292">
        <v>23</v>
      </c>
      <c r="C2057" s="292"/>
      <c r="D2057" s="292"/>
      <c r="F2057" s="283" t="s">
        <v>141</v>
      </c>
      <c r="G2057" s="283"/>
      <c r="J2057" s="293">
        <v>2</v>
      </c>
      <c r="K2057" s="293"/>
      <c r="L2057" s="293"/>
      <c r="M2057" s="293"/>
      <c r="N2057" s="293"/>
      <c r="P2057" s="42">
        <v>150</v>
      </c>
      <c r="R2057" s="42">
        <v>44</v>
      </c>
      <c r="T2057" s="284">
        <v>106</v>
      </c>
      <c r="U2057" s="284"/>
    </row>
    <row r="2058" spans="2:21" x14ac:dyDescent="0.25">
      <c r="B2058" s="292">
        <v>24</v>
      </c>
      <c r="C2058" s="292"/>
      <c r="D2058" s="292"/>
      <c r="F2058" s="283" t="s">
        <v>139</v>
      </c>
      <c r="G2058" s="283"/>
      <c r="J2058" s="293">
        <v>21</v>
      </c>
      <c r="K2058" s="293"/>
      <c r="L2058" s="293"/>
      <c r="M2058" s="293"/>
      <c r="N2058" s="293"/>
      <c r="P2058" s="42">
        <v>5670</v>
      </c>
      <c r="R2058" s="42">
        <v>1680</v>
      </c>
      <c r="T2058" s="284">
        <v>3990</v>
      </c>
      <c r="U2058" s="284"/>
    </row>
    <row r="2059" spans="2:21" x14ac:dyDescent="0.25">
      <c r="B2059" s="292">
        <v>25</v>
      </c>
      <c r="C2059" s="292"/>
      <c r="D2059" s="292"/>
      <c r="F2059" s="283" t="s">
        <v>136</v>
      </c>
      <c r="G2059" s="283"/>
      <c r="J2059" s="293">
        <v>8</v>
      </c>
      <c r="K2059" s="293"/>
      <c r="L2059" s="293"/>
      <c r="M2059" s="293"/>
      <c r="N2059" s="293"/>
      <c r="P2059" s="42">
        <v>6800</v>
      </c>
      <c r="R2059" s="42">
        <v>1690</v>
      </c>
      <c r="T2059" s="284">
        <v>5110</v>
      </c>
      <c r="U2059" s="284"/>
    </row>
    <row r="2060" spans="2:21" x14ac:dyDescent="0.25">
      <c r="B2060" s="292">
        <v>26</v>
      </c>
      <c r="C2060" s="292"/>
      <c r="D2060" s="292"/>
      <c r="F2060" s="283" t="s">
        <v>74</v>
      </c>
      <c r="G2060" s="283"/>
      <c r="J2060" s="293">
        <v>42</v>
      </c>
      <c r="K2060" s="293"/>
      <c r="L2060" s="293"/>
      <c r="M2060" s="293"/>
      <c r="N2060" s="293"/>
      <c r="P2060" s="42">
        <v>35700</v>
      </c>
      <c r="R2060" s="42">
        <v>35700</v>
      </c>
      <c r="T2060" s="284">
        <v>0</v>
      </c>
      <c r="U2060" s="284"/>
    </row>
    <row r="2061" spans="2:21" x14ac:dyDescent="0.25">
      <c r="B2061" s="292">
        <v>27</v>
      </c>
      <c r="C2061" s="292"/>
      <c r="D2061" s="292"/>
      <c r="F2061" s="283" t="s">
        <v>230</v>
      </c>
      <c r="G2061" s="283"/>
      <c r="J2061" s="293">
        <v>1</v>
      </c>
      <c r="K2061" s="293"/>
      <c r="L2061" s="293"/>
      <c r="M2061" s="293"/>
      <c r="N2061" s="293"/>
      <c r="P2061" s="42">
        <v>950</v>
      </c>
      <c r="R2061" s="42">
        <v>140</v>
      </c>
      <c r="T2061" s="284">
        <v>810</v>
      </c>
      <c r="U2061" s="284"/>
    </row>
    <row r="2062" spans="2:21" x14ac:dyDescent="0.25">
      <c r="B2062" s="292">
        <v>28</v>
      </c>
      <c r="C2062" s="292"/>
      <c r="D2062" s="292"/>
      <c r="F2062" s="283" t="s">
        <v>135</v>
      </c>
      <c r="G2062" s="283"/>
      <c r="J2062" s="293">
        <v>2</v>
      </c>
      <c r="K2062" s="293"/>
      <c r="L2062" s="293"/>
      <c r="M2062" s="293"/>
      <c r="N2062" s="293"/>
      <c r="P2062" s="42">
        <v>1900</v>
      </c>
      <c r="R2062" s="42">
        <v>560</v>
      </c>
      <c r="T2062" s="284">
        <v>1340</v>
      </c>
      <c r="U2062" s="284"/>
    </row>
    <row r="2063" spans="2:21" x14ac:dyDescent="0.25">
      <c r="B2063" s="292">
        <v>29</v>
      </c>
      <c r="C2063" s="292"/>
      <c r="D2063" s="292"/>
      <c r="F2063" s="283" t="s">
        <v>132</v>
      </c>
      <c r="G2063" s="283"/>
      <c r="J2063" s="293">
        <v>4</v>
      </c>
      <c r="K2063" s="293"/>
      <c r="L2063" s="293"/>
      <c r="M2063" s="293"/>
      <c r="N2063" s="293"/>
      <c r="P2063" s="42">
        <v>4960</v>
      </c>
      <c r="R2063" s="42">
        <v>1480</v>
      </c>
      <c r="T2063" s="284">
        <v>3480</v>
      </c>
      <c r="U2063" s="284"/>
    </row>
    <row r="2064" spans="2:21" x14ac:dyDescent="0.25">
      <c r="B2064" s="292">
        <v>30</v>
      </c>
      <c r="C2064" s="292"/>
      <c r="D2064" s="292"/>
      <c r="F2064" s="283" t="s">
        <v>127</v>
      </c>
      <c r="G2064" s="283"/>
      <c r="J2064" s="293">
        <v>42</v>
      </c>
      <c r="K2064" s="293"/>
      <c r="L2064" s="293"/>
      <c r="M2064" s="293"/>
      <c r="N2064" s="293"/>
      <c r="P2064" s="42">
        <v>12600</v>
      </c>
      <c r="R2064" s="42">
        <v>3240</v>
      </c>
      <c r="T2064" s="284">
        <v>9360</v>
      </c>
      <c r="U2064" s="284"/>
    </row>
    <row r="2065" spans="2:21" x14ac:dyDescent="0.25">
      <c r="B2065" s="292">
        <v>31</v>
      </c>
      <c r="C2065" s="292"/>
      <c r="D2065" s="292"/>
      <c r="F2065" s="283" t="s">
        <v>126</v>
      </c>
      <c r="G2065" s="283"/>
      <c r="J2065" s="293">
        <v>40</v>
      </c>
      <c r="K2065" s="293"/>
      <c r="L2065" s="293"/>
      <c r="M2065" s="293"/>
      <c r="N2065" s="293"/>
      <c r="P2065" s="42">
        <v>8000</v>
      </c>
      <c r="R2065" s="42">
        <v>2100</v>
      </c>
      <c r="T2065" s="284">
        <v>5900</v>
      </c>
      <c r="U2065" s="284"/>
    </row>
    <row r="2066" spans="2:21" x14ac:dyDescent="0.25">
      <c r="B2066" s="292">
        <v>32</v>
      </c>
      <c r="C2066" s="292"/>
      <c r="D2066" s="292"/>
      <c r="F2066" s="283" t="s">
        <v>125</v>
      </c>
      <c r="G2066" s="283"/>
      <c r="J2066" s="293">
        <v>6</v>
      </c>
      <c r="K2066" s="293"/>
      <c r="L2066" s="293"/>
      <c r="M2066" s="293"/>
      <c r="N2066" s="293"/>
      <c r="P2066" s="42">
        <v>2400</v>
      </c>
      <c r="R2066" s="42">
        <v>720</v>
      </c>
      <c r="T2066" s="284">
        <v>1680</v>
      </c>
      <c r="U2066" s="284"/>
    </row>
    <row r="2067" spans="2:21" x14ac:dyDescent="0.25">
      <c r="B2067" s="292">
        <v>33</v>
      </c>
      <c r="C2067" s="292"/>
      <c r="D2067" s="292"/>
      <c r="F2067" s="283" t="s">
        <v>124</v>
      </c>
      <c r="G2067" s="283"/>
      <c r="J2067" s="293">
        <v>2</v>
      </c>
      <c r="K2067" s="293"/>
      <c r="L2067" s="293"/>
      <c r="M2067" s="293"/>
      <c r="N2067" s="293"/>
      <c r="P2067" s="42">
        <v>1180</v>
      </c>
      <c r="R2067" s="42">
        <v>350</v>
      </c>
      <c r="T2067" s="284">
        <v>830</v>
      </c>
      <c r="U2067" s="284"/>
    </row>
    <row r="2068" spans="2:21" x14ac:dyDescent="0.25">
      <c r="B2068" s="292">
        <v>34</v>
      </c>
      <c r="C2068" s="292"/>
      <c r="D2068" s="292"/>
      <c r="F2068" s="283" t="s">
        <v>123</v>
      </c>
      <c r="G2068" s="283"/>
      <c r="J2068" s="293">
        <v>10</v>
      </c>
      <c r="K2068" s="293"/>
      <c r="L2068" s="293"/>
      <c r="M2068" s="293"/>
      <c r="N2068" s="293"/>
      <c r="P2068" s="42">
        <v>7800</v>
      </c>
      <c r="R2068" s="42">
        <v>2300</v>
      </c>
      <c r="T2068" s="284">
        <v>5500</v>
      </c>
      <c r="U2068" s="284"/>
    </row>
    <row r="2069" spans="2:21" x14ac:dyDescent="0.25">
      <c r="B2069" s="292">
        <v>35</v>
      </c>
      <c r="C2069" s="292"/>
      <c r="D2069" s="292"/>
      <c r="F2069" s="283" t="s">
        <v>183</v>
      </c>
      <c r="G2069" s="283"/>
      <c r="J2069" s="293">
        <v>1</v>
      </c>
      <c r="K2069" s="293"/>
      <c r="L2069" s="293"/>
      <c r="M2069" s="293"/>
      <c r="N2069" s="293"/>
      <c r="P2069" s="42">
        <v>440</v>
      </c>
      <c r="R2069" s="42">
        <v>130</v>
      </c>
      <c r="T2069" s="284">
        <v>310</v>
      </c>
      <c r="U2069" s="284"/>
    </row>
    <row r="2070" spans="2:21" x14ac:dyDescent="0.25">
      <c r="B2070" s="292">
        <v>36</v>
      </c>
      <c r="C2070" s="292"/>
      <c r="D2070" s="292"/>
      <c r="F2070" s="283" t="s">
        <v>227</v>
      </c>
      <c r="G2070" s="283"/>
      <c r="J2070" s="293">
        <v>2</v>
      </c>
      <c r="K2070" s="293"/>
      <c r="L2070" s="293"/>
      <c r="M2070" s="293"/>
      <c r="N2070" s="293"/>
      <c r="P2070" s="42">
        <v>1000</v>
      </c>
      <c r="R2070" s="42">
        <v>300</v>
      </c>
      <c r="T2070" s="284">
        <v>700</v>
      </c>
      <c r="U2070" s="284"/>
    </row>
    <row r="2071" spans="2:21" x14ac:dyDescent="0.25">
      <c r="B2071" s="292">
        <v>37</v>
      </c>
      <c r="C2071" s="292"/>
      <c r="D2071" s="292"/>
      <c r="F2071" s="283" t="s">
        <v>120</v>
      </c>
      <c r="G2071" s="283"/>
      <c r="J2071" s="293">
        <v>1</v>
      </c>
      <c r="K2071" s="293"/>
      <c r="L2071" s="293"/>
      <c r="M2071" s="293"/>
      <c r="N2071" s="293"/>
      <c r="P2071" s="42">
        <v>350</v>
      </c>
      <c r="R2071" s="42">
        <v>60</v>
      </c>
      <c r="T2071" s="284">
        <v>290</v>
      </c>
      <c r="U2071" s="284"/>
    </row>
    <row r="2072" spans="2:21" x14ac:dyDescent="0.25">
      <c r="B2072" s="292">
        <v>38</v>
      </c>
      <c r="C2072" s="292"/>
      <c r="D2072" s="292"/>
      <c r="F2072" s="283" t="s">
        <v>119</v>
      </c>
      <c r="G2072" s="283"/>
      <c r="J2072" s="293">
        <v>6</v>
      </c>
      <c r="K2072" s="293"/>
      <c r="L2072" s="293"/>
      <c r="M2072" s="293"/>
      <c r="N2072" s="293"/>
      <c r="P2072" s="42">
        <v>5340</v>
      </c>
      <c r="R2072" s="42">
        <v>1710</v>
      </c>
      <c r="T2072" s="284">
        <v>3630</v>
      </c>
      <c r="U2072" s="284"/>
    </row>
    <row r="2073" spans="2:21" x14ac:dyDescent="0.25">
      <c r="B2073" s="292">
        <v>39</v>
      </c>
      <c r="C2073" s="292"/>
      <c r="D2073" s="292"/>
      <c r="F2073" s="283" t="s">
        <v>118</v>
      </c>
      <c r="G2073" s="283"/>
      <c r="J2073" s="293">
        <v>114</v>
      </c>
      <c r="K2073" s="293"/>
      <c r="L2073" s="293"/>
      <c r="M2073" s="293"/>
      <c r="N2073" s="293"/>
      <c r="P2073" s="42">
        <v>112860</v>
      </c>
      <c r="R2073" s="42">
        <v>39590</v>
      </c>
      <c r="T2073" s="284">
        <v>73270</v>
      </c>
      <c r="U2073" s="284"/>
    </row>
    <row r="2074" spans="2:21" x14ac:dyDescent="0.25">
      <c r="B2074" s="292">
        <v>40</v>
      </c>
      <c r="C2074" s="292"/>
      <c r="D2074" s="292"/>
      <c r="F2074" s="283" t="s">
        <v>115</v>
      </c>
      <c r="G2074" s="283"/>
      <c r="J2074" s="293">
        <v>11</v>
      </c>
      <c r="K2074" s="293"/>
      <c r="L2074" s="293"/>
      <c r="M2074" s="293"/>
      <c r="N2074" s="293"/>
      <c r="P2074" s="42">
        <v>3190</v>
      </c>
      <c r="R2074" s="42">
        <v>880</v>
      </c>
      <c r="T2074" s="284">
        <v>2310</v>
      </c>
      <c r="U2074" s="284"/>
    </row>
    <row r="2075" spans="2:21" x14ac:dyDescent="0.25">
      <c r="B2075" s="292">
        <v>41</v>
      </c>
      <c r="C2075" s="292"/>
      <c r="D2075" s="292"/>
      <c r="F2075" s="283" t="s">
        <v>109</v>
      </c>
      <c r="G2075" s="283"/>
      <c r="J2075" s="293">
        <v>4</v>
      </c>
      <c r="K2075" s="293"/>
      <c r="L2075" s="293"/>
      <c r="M2075" s="293"/>
      <c r="N2075" s="293"/>
      <c r="P2075" s="42">
        <v>3120</v>
      </c>
      <c r="R2075" s="42">
        <v>920</v>
      </c>
      <c r="T2075" s="284">
        <v>2200</v>
      </c>
      <c r="U2075" s="284"/>
    </row>
    <row r="2076" spans="2:21" x14ac:dyDescent="0.25">
      <c r="B2076" s="292">
        <v>42</v>
      </c>
      <c r="C2076" s="292"/>
      <c r="D2076" s="292"/>
      <c r="F2076" s="283" t="s">
        <v>108</v>
      </c>
      <c r="G2076" s="283"/>
      <c r="J2076" s="293">
        <v>147</v>
      </c>
      <c r="K2076" s="293"/>
      <c r="L2076" s="293"/>
      <c r="M2076" s="293"/>
      <c r="N2076" s="293"/>
      <c r="P2076" s="42">
        <v>14700</v>
      </c>
      <c r="R2076" s="42">
        <v>4380</v>
      </c>
      <c r="T2076" s="284">
        <v>10320</v>
      </c>
      <c r="U2076" s="284"/>
    </row>
    <row r="2077" spans="2:21" x14ac:dyDescent="0.25">
      <c r="B2077" s="292">
        <v>43</v>
      </c>
      <c r="C2077" s="292"/>
      <c r="D2077" s="292"/>
      <c r="F2077" s="283" t="s">
        <v>107</v>
      </c>
      <c r="G2077" s="283"/>
      <c r="J2077" s="293">
        <v>39</v>
      </c>
      <c r="K2077" s="293"/>
      <c r="L2077" s="293"/>
      <c r="M2077" s="293"/>
      <c r="N2077" s="293"/>
      <c r="P2077" s="42">
        <v>6630</v>
      </c>
      <c r="R2077" s="42">
        <v>1950</v>
      </c>
      <c r="T2077" s="284">
        <v>4680</v>
      </c>
      <c r="U2077" s="284"/>
    </row>
    <row r="2078" spans="2:21" x14ac:dyDescent="0.25">
      <c r="B2078" s="292">
        <v>44</v>
      </c>
      <c r="C2078" s="292"/>
      <c r="D2078" s="292"/>
      <c r="F2078" s="283" t="s">
        <v>216</v>
      </c>
      <c r="G2078" s="283"/>
      <c r="J2078" s="293">
        <v>1</v>
      </c>
      <c r="K2078" s="293"/>
      <c r="L2078" s="293"/>
      <c r="M2078" s="293"/>
      <c r="N2078" s="293"/>
      <c r="P2078" s="42">
        <v>1080</v>
      </c>
      <c r="R2078" s="42">
        <v>165</v>
      </c>
      <c r="T2078" s="284">
        <v>915</v>
      </c>
      <c r="U2078" s="284"/>
    </row>
    <row r="2079" spans="2:21" x14ac:dyDescent="0.25">
      <c r="B2079" s="292">
        <v>45</v>
      </c>
      <c r="C2079" s="292"/>
      <c r="D2079" s="292"/>
      <c r="F2079" s="283" t="s">
        <v>105</v>
      </c>
      <c r="G2079" s="283"/>
      <c r="J2079" s="293">
        <v>4</v>
      </c>
      <c r="K2079" s="293"/>
      <c r="L2079" s="293"/>
      <c r="M2079" s="293"/>
      <c r="N2079" s="293"/>
      <c r="P2079" s="42">
        <v>4600</v>
      </c>
      <c r="R2079" s="42">
        <v>0</v>
      </c>
      <c r="T2079" s="284">
        <v>4600</v>
      </c>
      <c r="U2079" s="284"/>
    </row>
    <row r="2080" spans="2:21" x14ac:dyDescent="0.25">
      <c r="B2080" s="292">
        <v>46</v>
      </c>
      <c r="C2080" s="292"/>
      <c r="D2080" s="292"/>
      <c r="F2080" s="283" t="s">
        <v>103</v>
      </c>
      <c r="G2080" s="283"/>
      <c r="J2080" s="293">
        <v>8</v>
      </c>
      <c r="K2080" s="293"/>
      <c r="L2080" s="293"/>
      <c r="M2080" s="293"/>
      <c r="N2080" s="293"/>
      <c r="P2080" s="42">
        <v>2640</v>
      </c>
      <c r="R2080" s="42">
        <v>920</v>
      </c>
      <c r="T2080" s="284">
        <v>1720</v>
      </c>
      <c r="U2080" s="284"/>
    </row>
    <row r="2081" spans="2:21" x14ac:dyDescent="0.25">
      <c r="B2081" s="292">
        <v>47</v>
      </c>
      <c r="C2081" s="292"/>
      <c r="D2081" s="292"/>
      <c r="F2081" s="283" t="s">
        <v>102</v>
      </c>
      <c r="G2081" s="283"/>
      <c r="J2081" s="293">
        <v>2</v>
      </c>
      <c r="K2081" s="293"/>
      <c r="L2081" s="293"/>
      <c r="M2081" s="293"/>
      <c r="N2081" s="293"/>
      <c r="P2081" s="42">
        <v>1760</v>
      </c>
      <c r="R2081" s="42">
        <v>260</v>
      </c>
      <c r="T2081" s="284">
        <v>1500</v>
      </c>
      <c r="U2081" s="284"/>
    </row>
    <row r="2082" spans="2:21" x14ac:dyDescent="0.25">
      <c r="B2082" s="292">
        <v>48</v>
      </c>
      <c r="C2082" s="292"/>
      <c r="D2082" s="292"/>
      <c r="F2082" s="283" t="s">
        <v>101</v>
      </c>
      <c r="G2082" s="283"/>
      <c r="J2082" s="293">
        <v>1</v>
      </c>
      <c r="K2082" s="293"/>
      <c r="L2082" s="293"/>
      <c r="M2082" s="293"/>
      <c r="N2082" s="293"/>
      <c r="P2082" s="42">
        <v>460</v>
      </c>
      <c r="R2082" s="42">
        <v>140</v>
      </c>
      <c r="T2082" s="284">
        <v>320</v>
      </c>
      <c r="U2082" s="284"/>
    </row>
    <row r="2083" spans="2:21" x14ac:dyDescent="0.25">
      <c r="B2083" s="292">
        <v>49</v>
      </c>
      <c r="C2083" s="292"/>
      <c r="D2083" s="292"/>
      <c r="F2083" s="283" t="s">
        <v>254</v>
      </c>
      <c r="G2083" s="283"/>
      <c r="J2083" s="293">
        <v>1</v>
      </c>
      <c r="K2083" s="293"/>
      <c r="L2083" s="293"/>
      <c r="M2083" s="293"/>
      <c r="N2083" s="293"/>
      <c r="P2083" s="42">
        <v>290</v>
      </c>
      <c r="R2083" s="42">
        <v>80</v>
      </c>
      <c r="T2083" s="284">
        <v>210</v>
      </c>
      <c r="U2083" s="284"/>
    </row>
    <row r="2084" spans="2:21" x14ac:dyDescent="0.25">
      <c r="B2084" s="292">
        <v>50</v>
      </c>
      <c r="C2084" s="292"/>
      <c r="D2084" s="292"/>
      <c r="F2084" s="283" t="s">
        <v>100</v>
      </c>
      <c r="G2084" s="283"/>
      <c r="J2084" s="293">
        <v>1</v>
      </c>
      <c r="K2084" s="293"/>
      <c r="L2084" s="293"/>
      <c r="M2084" s="293"/>
      <c r="N2084" s="293"/>
      <c r="P2084" s="42">
        <v>180</v>
      </c>
      <c r="R2084" s="42">
        <v>50</v>
      </c>
      <c r="T2084" s="284">
        <v>130</v>
      </c>
      <c r="U2084" s="284"/>
    </row>
    <row r="2085" spans="2:21" x14ac:dyDescent="0.25">
      <c r="B2085" s="292">
        <v>51</v>
      </c>
      <c r="C2085" s="292"/>
      <c r="D2085" s="292"/>
      <c r="F2085" s="283" t="s">
        <v>96</v>
      </c>
      <c r="G2085" s="283"/>
      <c r="J2085" s="293">
        <v>1</v>
      </c>
      <c r="K2085" s="293"/>
      <c r="L2085" s="293"/>
      <c r="M2085" s="293"/>
      <c r="N2085" s="293"/>
      <c r="P2085" s="42">
        <v>440</v>
      </c>
      <c r="R2085" s="42">
        <v>130</v>
      </c>
      <c r="T2085" s="284">
        <v>310</v>
      </c>
      <c r="U2085" s="284"/>
    </row>
    <row r="2086" spans="2:21" x14ac:dyDescent="0.25">
      <c r="B2086" s="292">
        <v>52</v>
      </c>
      <c r="C2086" s="292"/>
      <c r="D2086" s="292"/>
      <c r="F2086" s="283" t="s">
        <v>93</v>
      </c>
      <c r="G2086" s="283"/>
      <c r="J2086" s="293">
        <v>4</v>
      </c>
      <c r="K2086" s="293"/>
      <c r="L2086" s="293"/>
      <c r="M2086" s="293"/>
      <c r="N2086" s="293"/>
      <c r="P2086" s="42">
        <v>2360</v>
      </c>
      <c r="R2086" s="42">
        <v>360</v>
      </c>
      <c r="T2086" s="284">
        <v>2000</v>
      </c>
      <c r="U2086" s="284"/>
    </row>
    <row r="2087" spans="2:21" x14ac:dyDescent="0.25">
      <c r="B2087" s="292">
        <v>53</v>
      </c>
      <c r="C2087" s="292"/>
      <c r="D2087" s="292"/>
      <c r="F2087" s="283" t="s">
        <v>92</v>
      </c>
      <c r="G2087" s="283"/>
      <c r="J2087" s="293">
        <v>22</v>
      </c>
      <c r="K2087" s="293"/>
      <c r="L2087" s="293"/>
      <c r="M2087" s="293"/>
      <c r="N2087" s="293"/>
      <c r="P2087" s="42">
        <v>8800</v>
      </c>
      <c r="R2087" s="42">
        <v>2640</v>
      </c>
      <c r="T2087" s="284">
        <v>6160</v>
      </c>
      <c r="U2087" s="284"/>
    </row>
    <row r="2088" spans="2:21" x14ac:dyDescent="0.25">
      <c r="B2088" s="292">
        <v>54</v>
      </c>
      <c r="C2088" s="292"/>
      <c r="D2088" s="292"/>
      <c r="F2088" s="283" t="s">
        <v>91</v>
      </c>
      <c r="G2088" s="283"/>
      <c r="J2088" s="293">
        <v>46</v>
      </c>
      <c r="K2088" s="293"/>
      <c r="L2088" s="293"/>
      <c r="M2088" s="293"/>
      <c r="N2088" s="293"/>
      <c r="P2088" s="42">
        <v>11500</v>
      </c>
      <c r="R2088" s="42">
        <v>2870</v>
      </c>
      <c r="T2088" s="284">
        <v>8630</v>
      </c>
      <c r="U2088" s="284"/>
    </row>
    <row r="2089" spans="2:21" x14ac:dyDescent="0.25">
      <c r="B2089" s="292">
        <v>55</v>
      </c>
      <c r="C2089" s="292"/>
      <c r="D2089" s="292"/>
      <c r="F2089" s="283" t="s">
        <v>90</v>
      </c>
      <c r="G2089" s="283"/>
      <c r="J2089" s="293">
        <v>19</v>
      </c>
      <c r="K2089" s="293"/>
      <c r="L2089" s="293"/>
      <c r="M2089" s="293"/>
      <c r="N2089" s="293"/>
      <c r="P2089" s="42">
        <v>5510</v>
      </c>
      <c r="R2089" s="42">
        <v>1498</v>
      </c>
      <c r="T2089" s="284">
        <v>4012</v>
      </c>
      <c r="U2089" s="284"/>
    </row>
    <row r="2090" spans="2:21" x14ac:dyDescent="0.25">
      <c r="B2090" s="292">
        <v>56</v>
      </c>
      <c r="C2090" s="292"/>
      <c r="D2090" s="292"/>
      <c r="F2090" s="283" t="s">
        <v>89</v>
      </c>
      <c r="G2090" s="283"/>
      <c r="J2090" s="293">
        <v>2</v>
      </c>
      <c r="K2090" s="293"/>
      <c r="L2090" s="293"/>
      <c r="M2090" s="293"/>
      <c r="N2090" s="293"/>
      <c r="P2090" s="42">
        <v>1760</v>
      </c>
      <c r="R2090" s="42">
        <v>260</v>
      </c>
      <c r="T2090" s="284">
        <v>1500</v>
      </c>
      <c r="U2090" s="284"/>
    </row>
    <row r="2091" spans="2:21" x14ac:dyDescent="0.25">
      <c r="B2091" s="292">
        <v>57</v>
      </c>
      <c r="C2091" s="292"/>
      <c r="D2091" s="292"/>
      <c r="F2091" s="283" t="s">
        <v>88</v>
      </c>
      <c r="G2091" s="283"/>
      <c r="J2091" s="293">
        <v>29</v>
      </c>
      <c r="K2091" s="293"/>
      <c r="L2091" s="293"/>
      <c r="M2091" s="293"/>
      <c r="N2091" s="293"/>
      <c r="P2091" s="42">
        <v>5220</v>
      </c>
      <c r="R2091" s="42">
        <v>1540</v>
      </c>
      <c r="T2091" s="284">
        <v>3680</v>
      </c>
      <c r="U2091" s="284"/>
    </row>
    <row r="2092" spans="2:21" x14ac:dyDescent="0.25">
      <c r="B2092" s="292">
        <v>58</v>
      </c>
      <c r="C2092" s="292"/>
      <c r="D2092" s="292"/>
      <c r="F2092" s="283" t="s">
        <v>87</v>
      </c>
      <c r="G2092" s="283"/>
      <c r="J2092" s="293">
        <v>2</v>
      </c>
      <c r="K2092" s="293"/>
      <c r="L2092" s="293"/>
      <c r="M2092" s="293"/>
      <c r="N2092" s="293"/>
      <c r="P2092" s="42">
        <v>580</v>
      </c>
      <c r="R2092" s="42">
        <v>160</v>
      </c>
      <c r="T2092" s="284">
        <v>420</v>
      </c>
      <c r="U2092" s="284"/>
    </row>
    <row r="2093" spans="2:21" x14ac:dyDescent="0.25">
      <c r="B2093" s="292">
        <v>59</v>
      </c>
      <c r="C2093" s="292"/>
      <c r="D2093" s="292"/>
      <c r="F2093" s="283" t="s">
        <v>86</v>
      </c>
      <c r="G2093" s="283"/>
      <c r="J2093" s="293">
        <v>2</v>
      </c>
      <c r="K2093" s="293"/>
      <c r="L2093" s="293"/>
      <c r="M2093" s="293"/>
      <c r="N2093" s="293"/>
      <c r="P2093" s="42">
        <v>2280</v>
      </c>
      <c r="R2093" s="42">
        <v>340</v>
      </c>
      <c r="T2093" s="284">
        <v>1940</v>
      </c>
      <c r="U2093" s="284"/>
    </row>
    <row r="2094" spans="2:21" x14ac:dyDescent="0.25">
      <c r="B2094" s="292">
        <v>60</v>
      </c>
      <c r="C2094" s="292"/>
      <c r="D2094" s="292"/>
      <c r="F2094" s="283" t="s">
        <v>85</v>
      </c>
      <c r="G2094" s="283"/>
      <c r="J2094" s="293">
        <v>5</v>
      </c>
      <c r="K2094" s="293"/>
      <c r="L2094" s="293"/>
      <c r="M2094" s="293"/>
      <c r="N2094" s="293"/>
      <c r="P2094" s="42">
        <v>10400</v>
      </c>
      <c r="R2094" s="42">
        <v>1550</v>
      </c>
      <c r="T2094" s="284">
        <v>8850</v>
      </c>
      <c r="U2094" s="284"/>
    </row>
    <row r="2095" spans="2:21" x14ac:dyDescent="0.25">
      <c r="B2095" s="292">
        <v>61</v>
      </c>
      <c r="C2095" s="292"/>
      <c r="D2095" s="292"/>
      <c r="F2095" s="283" t="s">
        <v>271</v>
      </c>
      <c r="G2095" s="283"/>
      <c r="J2095" s="293">
        <v>1</v>
      </c>
      <c r="K2095" s="293"/>
      <c r="L2095" s="293"/>
      <c r="M2095" s="293"/>
      <c r="N2095" s="293"/>
      <c r="P2095" s="42">
        <v>500</v>
      </c>
      <c r="R2095" s="42">
        <v>130</v>
      </c>
      <c r="T2095" s="284">
        <v>370</v>
      </c>
      <c r="U2095" s="284"/>
    </row>
    <row r="2096" spans="2:21" x14ac:dyDescent="0.25">
      <c r="B2096" s="292">
        <v>62</v>
      </c>
      <c r="C2096" s="292"/>
      <c r="D2096" s="292"/>
      <c r="F2096" s="283" t="s">
        <v>82</v>
      </c>
      <c r="G2096" s="283"/>
      <c r="J2096" s="293">
        <v>4</v>
      </c>
      <c r="K2096" s="293"/>
      <c r="L2096" s="293"/>
      <c r="M2096" s="293"/>
      <c r="N2096" s="293"/>
      <c r="P2096" s="42">
        <v>1160</v>
      </c>
      <c r="R2096" s="42">
        <v>1160</v>
      </c>
      <c r="T2096" s="284">
        <v>0</v>
      </c>
      <c r="U2096" s="284"/>
    </row>
    <row r="2097" spans="1:34" x14ac:dyDescent="0.25">
      <c r="B2097" s="292">
        <v>63</v>
      </c>
      <c r="C2097" s="292"/>
      <c r="D2097" s="292"/>
      <c r="F2097" s="283" t="s">
        <v>81</v>
      </c>
      <c r="G2097" s="283"/>
      <c r="J2097" s="293">
        <v>205</v>
      </c>
      <c r="K2097" s="293"/>
      <c r="L2097" s="293"/>
      <c r="M2097" s="293"/>
      <c r="N2097" s="293"/>
      <c r="P2097" s="42">
        <v>59450</v>
      </c>
      <c r="R2097" s="42">
        <v>19890</v>
      </c>
      <c r="T2097" s="284">
        <v>39560</v>
      </c>
      <c r="U2097" s="284"/>
    </row>
    <row r="2098" spans="1:34" s="40" customFormat="1" x14ac:dyDescent="0.25">
      <c r="A2098" s="290" t="s">
        <v>68</v>
      </c>
      <c r="B2098" s="290"/>
      <c r="C2098" s="290"/>
      <c r="D2098" s="290"/>
      <c r="E2098" s="290"/>
      <c r="F2098" s="290"/>
      <c r="G2098" s="290"/>
      <c r="H2098" s="290"/>
      <c r="I2098" s="290"/>
      <c r="J2098" s="290"/>
      <c r="K2098" s="291">
        <v>17816</v>
      </c>
      <c r="L2098" s="291"/>
      <c r="M2098" s="291"/>
      <c r="N2098" s="291"/>
      <c r="O2098" s="291"/>
      <c r="P2098" s="41">
        <v>18668310</v>
      </c>
      <c r="R2098" s="41">
        <v>16093425</v>
      </c>
      <c r="T2098" s="287">
        <v>2573895</v>
      </c>
      <c r="U2098" s="287"/>
      <c r="Y2098" s="43">
        <f t="shared" ref="Y2098:AH2098" si="0">K2098-J2104-J2125-J2126-J2152-J2151-J2266</f>
        <v>7176</v>
      </c>
      <c r="Z2098" s="43">
        <f t="shared" si="0"/>
        <v>0</v>
      </c>
      <c r="AA2098" s="43">
        <f t="shared" si="0"/>
        <v>0</v>
      </c>
      <c r="AB2098" s="43">
        <f t="shared" si="0"/>
        <v>0</v>
      </c>
      <c r="AC2098" s="43">
        <f t="shared" si="0"/>
        <v>0</v>
      </c>
      <c r="AD2098" s="43">
        <f t="shared" si="0"/>
        <v>18668310</v>
      </c>
      <c r="AE2098" s="43">
        <f t="shared" si="0"/>
        <v>-14808070</v>
      </c>
      <c r="AF2098" s="43">
        <f t="shared" si="0"/>
        <v>16093425</v>
      </c>
      <c r="AG2098" s="43">
        <f t="shared" si="0"/>
        <v>-14764631</v>
      </c>
      <c r="AH2098" s="43">
        <f t="shared" si="0"/>
        <v>2573895</v>
      </c>
    </row>
    <row r="2099" spans="1:34" x14ac:dyDescent="0.25">
      <c r="B2099" s="292">
        <v>1</v>
      </c>
      <c r="C2099" s="292"/>
      <c r="D2099" s="292"/>
      <c r="F2099" s="283" t="s">
        <v>200</v>
      </c>
      <c r="G2099" s="283"/>
      <c r="J2099" s="293">
        <v>4</v>
      </c>
      <c r="K2099" s="293"/>
      <c r="L2099" s="293"/>
      <c r="M2099" s="293"/>
      <c r="N2099" s="293"/>
      <c r="P2099" s="42">
        <v>2000</v>
      </c>
      <c r="R2099" s="42">
        <v>580</v>
      </c>
      <c r="T2099" s="284">
        <v>1420</v>
      </c>
      <c r="U2099" s="284"/>
    </row>
    <row r="2100" spans="1:34" x14ac:dyDescent="0.25">
      <c r="B2100" s="292">
        <v>2</v>
      </c>
      <c r="C2100" s="292"/>
      <c r="D2100" s="292"/>
      <c r="F2100" s="283" t="s">
        <v>311</v>
      </c>
      <c r="G2100" s="283"/>
      <c r="J2100" s="293">
        <v>1</v>
      </c>
      <c r="K2100" s="293"/>
      <c r="L2100" s="293"/>
      <c r="M2100" s="293"/>
      <c r="N2100" s="293"/>
      <c r="P2100" s="42">
        <v>690</v>
      </c>
      <c r="R2100" s="42">
        <v>210</v>
      </c>
      <c r="T2100" s="284">
        <v>480</v>
      </c>
      <c r="U2100" s="284"/>
    </row>
    <row r="2101" spans="1:34" x14ac:dyDescent="0.25">
      <c r="B2101" s="292">
        <v>3</v>
      </c>
      <c r="C2101" s="292"/>
      <c r="D2101" s="292"/>
      <c r="F2101" s="283" t="s">
        <v>251</v>
      </c>
      <c r="G2101" s="283"/>
      <c r="J2101" s="293">
        <v>1</v>
      </c>
      <c r="K2101" s="293"/>
      <c r="L2101" s="293"/>
      <c r="M2101" s="293"/>
      <c r="N2101" s="293"/>
      <c r="P2101" s="42">
        <v>800</v>
      </c>
      <c r="R2101" s="42">
        <v>200</v>
      </c>
      <c r="T2101" s="284">
        <v>600</v>
      </c>
      <c r="U2101" s="284"/>
    </row>
    <row r="2102" spans="1:34" x14ac:dyDescent="0.25">
      <c r="B2102" s="292">
        <v>4</v>
      </c>
      <c r="C2102" s="292"/>
      <c r="D2102" s="292"/>
      <c r="F2102" s="283" t="s">
        <v>250</v>
      </c>
      <c r="G2102" s="283"/>
      <c r="J2102" s="293">
        <v>3</v>
      </c>
      <c r="K2102" s="293"/>
      <c r="L2102" s="293"/>
      <c r="M2102" s="293"/>
      <c r="N2102" s="293"/>
      <c r="P2102" s="42">
        <v>1500</v>
      </c>
      <c r="R2102" s="42">
        <v>283</v>
      </c>
      <c r="T2102" s="284">
        <v>1217</v>
      </c>
      <c r="U2102" s="284"/>
    </row>
    <row r="2103" spans="1:34" x14ac:dyDescent="0.25">
      <c r="B2103" s="292">
        <v>5</v>
      </c>
      <c r="C2103" s="292"/>
      <c r="D2103" s="292"/>
      <c r="F2103" s="283" t="s">
        <v>79</v>
      </c>
      <c r="G2103" s="283"/>
      <c r="J2103" s="293">
        <v>1</v>
      </c>
      <c r="K2103" s="293"/>
      <c r="L2103" s="293"/>
      <c r="M2103" s="293"/>
      <c r="N2103" s="293"/>
      <c r="P2103" s="42">
        <v>500</v>
      </c>
      <c r="R2103" s="42">
        <v>150</v>
      </c>
      <c r="T2103" s="284">
        <v>350</v>
      </c>
      <c r="U2103" s="284"/>
    </row>
    <row r="2104" spans="1:34" x14ac:dyDescent="0.25">
      <c r="B2104" s="292">
        <v>6</v>
      </c>
      <c r="C2104" s="292"/>
      <c r="D2104" s="292"/>
      <c r="F2104" s="283" t="s">
        <v>78</v>
      </c>
      <c r="G2104" s="283"/>
      <c r="J2104" s="293">
        <v>957</v>
      </c>
      <c r="K2104" s="293"/>
      <c r="L2104" s="293"/>
      <c r="M2104" s="293"/>
      <c r="N2104" s="293"/>
      <c r="P2104" s="42">
        <v>277530</v>
      </c>
      <c r="R2104" s="42">
        <v>277530</v>
      </c>
      <c r="T2104" s="284">
        <v>0</v>
      </c>
      <c r="U2104" s="284"/>
    </row>
    <row r="2105" spans="1:34" x14ac:dyDescent="0.25">
      <c r="B2105" s="292">
        <v>7</v>
      </c>
      <c r="C2105" s="292"/>
      <c r="D2105" s="292"/>
      <c r="F2105" s="283" t="s">
        <v>268</v>
      </c>
      <c r="G2105" s="283"/>
      <c r="J2105" s="293">
        <v>2</v>
      </c>
      <c r="K2105" s="293"/>
      <c r="L2105" s="293"/>
      <c r="M2105" s="293"/>
      <c r="N2105" s="293"/>
      <c r="P2105" s="42">
        <v>500</v>
      </c>
      <c r="R2105" s="42">
        <v>140</v>
      </c>
      <c r="T2105" s="284">
        <v>360</v>
      </c>
      <c r="U2105" s="284"/>
    </row>
    <row r="2106" spans="1:34" x14ac:dyDescent="0.25">
      <c r="B2106" s="292">
        <v>8</v>
      </c>
      <c r="C2106" s="292"/>
      <c r="D2106" s="292"/>
      <c r="F2106" s="283" t="s">
        <v>199</v>
      </c>
      <c r="G2106" s="283"/>
      <c r="J2106" s="293">
        <v>2</v>
      </c>
      <c r="K2106" s="293"/>
      <c r="L2106" s="293"/>
      <c r="M2106" s="293"/>
      <c r="N2106" s="293"/>
      <c r="P2106" s="42">
        <v>580</v>
      </c>
      <c r="R2106" s="42">
        <v>180</v>
      </c>
      <c r="T2106" s="284">
        <v>400</v>
      </c>
      <c r="U2106" s="284"/>
    </row>
    <row r="2107" spans="1:34" x14ac:dyDescent="0.25">
      <c r="B2107" s="292">
        <v>9</v>
      </c>
      <c r="C2107" s="292"/>
      <c r="D2107" s="292"/>
      <c r="F2107" s="283" t="s">
        <v>249</v>
      </c>
      <c r="G2107" s="283"/>
      <c r="J2107" s="293">
        <v>2</v>
      </c>
      <c r="K2107" s="293"/>
      <c r="L2107" s="293"/>
      <c r="M2107" s="293"/>
      <c r="N2107" s="293"/>
      <c r="P2107" s="42">
        <v>2600</v>
      </c>
      <c r="R2107" s="42">
        <v>400</v>
      </c>
      <c r="T2107" s="284">
        <v>2200</v>
      </c>
      <c r="U2107" s="284"/>
    </row>
    <row r="2108" spans="1:34" x14ac:dyDescent="0.25">
      <c r="B2108" s="292">
        <v>10</v>
      </c>
      <c r="C2108" s="292"/>
      <c r="D2108" s="292"/>
      <c r="F2108" s="283" t="s">
        <v>294</v>
      </c>
      <c r="G2108" s="283"/>
      <c r="J2108" s="293">
        <v>5</v>
      </c>
      <c r="K2108" s="293"/>
      <c r="L2108" s="293"/>
      <c r="M2108" s="293"/>
      <c r="N2108" s="293"/>
      <c r="P2108" s="42">
        <v>2500</v>
      </c>
      <c r="R2108" s="42">
        <v>730</v>
      </c>
      <c r="T2108" s="284">
        <v>1770</v>
      </c>
      <c r="U2108" s="284"/>
    </row>
    <row r="2109" spans="1:34" x14ac:dyDescent="0.25">
      <c r="B2109" s="292">
        <v>11</v>
      </c>
      <c r="C2109" s="292"/>
      <c r="D2109" s="292"/>
      <c r="F2109" s="283" t="s">
        <v>329</v>
      </c>
      <c r="G2109" s="283"/>
      <c r="J2109" s="293">
        <v>5</v>
      </c>
      <c r="K2109" s="293"/>
      <c r="L2109" s="293"/>
      <c r="M2109" s="293"/>
      <c r="N2109" s="293"/>
      <c r="P2109" s="42">
        <v>6000</v>
      </c>
      <c r="R2109" s="42">
        <v>900</v>
      </c>
      <c r="T2109" s="284">
        <v>5100</v>
      </c>
      <c r="U2109" s="284"/>
    </row>
    <row r="2110" spans="1:34" x14ac:dyDescent="0.25">
      <c r="B2110" s="292">
        <v>12</v>
      </c>
      <c r="C2110" s="292"/>
      <c r="D2110" s="292"/>
      <c r="F2110" s="283" t="s">
        <v>248</v>
      </c>
      <c r="G2110" s="283"/>
      <c r="J2110" s="293">
        <v>4</v>
      </c>
      <c r="K2110" s="293"/>
      <c r="L2110" s="293"/>
      <c r="M2110" s="293"/>
      <c r="N2110" s="293"/>
      <c r="P2110" s="42">
        <v>4800</v>
      </c>
      <c r="R2110" s="42">
        <v>720</v>
      </c>
      <c r="T2110" s="284">
        <v>4080</v>
      </c>
      <c r="U2110" s="284"/>
    </row>
    <row r="2111" spans="1:34" x14ac:dyDescent="0.25">
      <c r="B2111" s="292">
        <v>13</v>
      </c>
      <c r="C2111" s="292"/>
      <c r="D2111" s="292"/>
      <c r="F2111" s="283" t="s">
        <v>165</v>
      </c>
      <c r="G2111" s="283"/>
      <c r="J2111" s="293">
        <v>5</v>
      </c>
      <c r="K2111" s="293"/>
      <c r="L2111" s="293"/>
      <c r="M2111" s="293"/>
      <c r="N2111" s="293"/>
      <c r="P2111" s="42">
        <v>2950</v>
      </c>
      <c r="R2111" s="42">
        <v>900</v>
      </c>
      <c r="T2111" s="284">
        <v>2050</v>
      </c>
      <c r="U2111" s="284"/>
    </row>
    <row r="2112" spans="1:34" x14ac:dyDescent="0.25">
      <c r="B2112" s="292">
        <v>14</v>
      </c>
      <c r="C2112" s="292"/>
      <c r="D2112" s="292"/>
      <c r="F2112" s="283" t="s">
        <v>164</v>
      </c>
      <c r="G2112" s="283"/>
      <c r="J2112" s="293">
        <v>1</v>
      </c>
      <c r="K2112" s="293"/>
      <c r="L2112" s="293"/>
      <c r="M2112" s="293"/>
      <c r="N2112" s="293"/>
      <c r="P2112" s="42">
        <v>590</v>
      </c>
      <c r="R2112" s="42">
        <v>180</v>
      </c>
      <c r="T2112" s="284">
        <v>410</v>
      </c>
      <c r="U2112" s="284"/>
    </row>
    <row r="2113" spans="2:21" x14ac:dyDescent="0.25">
      <c r="B2113" s="292">
        <v>15</v>
      </c>
      <c r="C2113" s="292"/>
      <c r="D2113" s="292"/>
      <c r="F2113" s="283" t="s">
        <v>163</v>
      </c>
      <c r="G2113" s="283"/>
      <c r="J2113" s="293">
        <v>13</v>
      </c>
      <c r="K2113" s="293"/>
      <c r="L2113" s="293"/>
      <c r="M2113" s="293"/>
      <c r="N2113" s="293"/>
      <c r="P2113" s="42">
        <v>15470</v>
      </c>
      <c r="R2113" s="42">
        <v>2340</v>
      </c>
      <c r="T2113" s="284">
        <v>13130</v>
      </c>
      <c r="U2113" s="284"/>
    </row>
    <row r="2114" spans="2:21" x14ac:dyDescent="0.25">
      <c r="B2114" s="292">
        <v>16</v>
      </c>
      <c r="C2114" s="292"/>
      <c r="D2114" s="292"/>
      <c r="F2114" s="283" t="s">
        <v>162</v>
      </c>
      <c r="G2114" s="283"/>
      <c r="J2114" s="293">
        <v>54</v>
      </c>
      <c r="K2114" s="293"/>
      <c r="L2114" s="293"/>
      <c r="M2114" s="293"/>
      <c r="N2114" s="293"/>
      <c r="P2114" s="42">
        <v>23220</v>
      </c>
      <c r="R2114" s="42">
        <v>9847</v>
      </c>
      <c r="T2114" s="284">
        <v>13373</v>
      </c>
      <c r="U2114" s="284"/>
    </row>
    <row r="2115" spans="2:21" x14ac:dyDescent="0.25">
      <c r="B2115" s="292">
        <v>17</v>
      </c>
      <c r="C2115" s="292"/>
      <c r="D2115" s="292"/>
      <c r="F2115" s="283" t="s">
        <v>198</v>
      </c>
      <c r="G2115" s="283"/>
      <c r="J2115" s="293">
        <v>2</v>
      </c>
      <c r="K2115" s="293"/>
      <c r="L2115" s="293"/>
      <c r="M2115" s="293"/>
      <c r="N2115" s="293"/>
      <c r="P2115" s="42">
        <v>580</v>
      </c>
      <c r="R2115" s="42">
        <v>182</v>
      </c>
      <c r="T2115" s="284">
        <v>398</v>
      </c>
      <c r="U2115" s="284"/>
    </row>
    <row r="2116" spans="2:21" x14ac:dyDescent="0.25">
      <c r="B2116" s="292">
        <v>18</v>
      </c>
      <c r="C2116" s="292"/>
      <c r="D2116" s="292"/>
      <c r="F2116" s="283" t="s">
        <v>160</v>
      </c>
      <c r="G2116" s="283"/>
      <c r="J2116" s="293">
        <v>33</v>
      </c>
      <c r="K2116" s="293"/>
      <c r="L2116" s="293"/>
      <c r="M2116" s="293"/>
      <c r="N2116" s="293"/>
      <c r="P2116" s="42">
        <v>9570</v>
      </c>
      <c r="R2116" s="42">
        <v>2378</v>
      </c>
      <c r="T2116" s="284">
        <v>7192</v>
      </c>
      <c r="U2116" s="284"/>
    </row>
    <row r="2117" spans="2:21" x14ac:dyDescent="0.25">
      <c r="B2117" s="292">
        <v>19</v>
      </c>
      <c r="C2117" s="292"/>
      <c r="D2117" s="292"/>
      <c r="F2117" s="283" t="s">
        <v>158</v>
      </c>
      <c r="G2117" s="283"/>
      <c r="J2117" s="293">
        <v>1553</v>
      </c>
      <c r="K2117" s="293"/>
      <c r="L2117" s="293"/>
      <c r="M2117" s="293"/>
      <c r="N2117" s="293"/>
      <c r="P2117" s="42">
        <v>854150</v>
      </c>
      <c r="R2117" s="42">
        <v>250322</v>
      </c>
      <c r="T2117" s="284">
        <v>603828</v>
      </c>
      <c r="U2117" s="284"/>
    </row>
    <row r="2118" spans="2:21" x14ac:dyDescent="0.25">
      <c r="B2118" s="292">
        <v>20</v>
      </c>
      <c r="C2118" s="292"/>
      <c r="D2118" s="292"/>
      <c r="F2118" s="283" t="s">
        <v>157</v>
      </c>
      <c r="G2118" s="283"/>
      <c r="J2118" s="293">
        <v>561</v>
      </c>
      <c r="K2118" s="293"/>
      <c r="L2118" s="293"/>
      <c r="M2118" s="293"/>
      <c r="N2118" s="293"/>
      <c r="P2118" s="42">
        <v>274890</v>
      </c>
      <c r="R2118" s="42">
        <v>112940</v>
      </c>
      <c r="T2118" s="284">
        <v>161950</v>
      </c>
      <c r="U2118" s="284"/>
    </row>
    <row r="2119" spans="2:21" x14ac:dyDescent="0.25">
      <c r="B2119" s="292">
        <v>21</v>
      </c>
      <c r="C2119" s="292"/>
      <c r="D2119" s="292"/>
      <c r="F2119" s="283" t="s">
        <v>197</v>
      </c>
      <c r="G2119" s="283"/>
      <c r="J2119" s="293">
        <v>2</v>
      </c>
      <c r="K2119" s="293"/>
      <c r="L2119" s="293"/>
      <c r="M2119" s="293"/>
      <c r="N2119" s="293"/>
      <c r="P2119" s="42">
        <v>1000</v>
      </c>
      <c r="R2119" s="42">
        <v>280</v>
      </c>
      <c r="T2119" s="284">
        <v>720</v>
      </c>
      <c r="U2119" s="284"/>
    </row>
    <row r="2120" spans="2:21" x14ac:dyDescent="0.25">
      <c r="B2120" s="292">
        <v>22</v>
      </c>
      <c r="C2120" s="292"/>
      <c r="D2120" s="292"/>
      <c r="F2120" s="283" t="s">
        <v>293</v>
      </c>
      <c r="G2120" s="283"/>
      <c r="J2120" s="293">
        <v>1</v>
      </c>
      <c r="K2120" s="293"/>
      <c r="L2120" s="293"/>
      <c r="M2120" s="293"/>
      <c r="N2120" s="293"/>
      <c r="P2120" s="42">
        <v>700</v>
      </c>
      <c r="R2120" s="42">
        <v>0</v>
      </c>
      <c r="T2120" s="284">
        <v>700</v>
      </c>
      <c r="U2120" s="284"/>
    </row>
    <row r="2121" spans="2:21" x14ac:dyDescent="0.25">
      <c r="B2121" s="292">
        <v>23</v>
      </c>
      <c r="C2121" s="292"/>
      <c r="D2121" s="292"/>
      <c r="F2121" s="283" t="s">
        <v>196</v>
      </c>
      <c r="G2121" s="283"/>
      <c r="J2121" s="293">
        <v>15</v>
      </c>
      <c r="K2121" s="293"/>
      <c r="L2121" s="293"/>
      <c r="M2121" s="293"/>
      <c r="N2121" s="293"/>
      <c r="P2121" s="42">
        <v>10500</v>
      </c>
      <c r="R2121" s="42">
        <v>5080</v>
      </c>
      <c r="T2121" s="284">
        <v>5420</v>
      </c>
      <c r="U2121" s="284"/>
    </row>
    <row r="2122" spans="2:21" x14ac:dyDescent="0.25">
      <c r="B2122" s="292">
        <v>24</v>
      </c>
      <c r="C2122" s="292"/>
      <c r="D2122" s="292"/>
      <c r="F2122" s="283" t="s">
        <v>309</v>
      </c>
      <c r="G2122" s="283"/>
      <c r="J2122" s="293">
        <v>27</v>
      </c>
      <c r="K2122" s="293"/>
      <c r="L2122" s="293"/>
      <c r="M2122" s="293"/>
      <c r="N2122" s="293"/>
      <c r="P2122" s="42">
        <v>13500</v>
      </c>
      <c r="R2122" s="42">
        <v>4050</v>
      </c>
      <c r="T2122" s="284">
        <v>9450</v>
      </c>
      <c r="U2122" s="284"/>
    </row>
    <row r="2123" spans="2:21" x14ac:dyDescent="0.25">
      <c r="B2123" s="292">
        <v>25</v>
      </c>
      <c r="C2123" s="292"/>
      <c r="D2123" s="292"/>
      <c r="F2123" s="283" t="s">
        <v>328</v>
      </c>
      <c r="G2123" s="283"/>
      <c r="J2123" s="293">
        <v>3</v>
      </c>
      <c r="K2123" s="293"/>
      <c r="L2123" s="293"/>
      <c r="M2123" s="293"/>
      <c r="N2123" s="293"/>
      <c r="P2123" s="42">
        <v>2100</v>
      </c>
      <c r="R2123" s="42">
        <v>1050</v>
      </c>
      <c r="T2123" s="284">
        <v>1050</v>
      </c>
      <c r="U2123" s="284"/>
    </row>
    <row r="2124" spans="2:21" x14ac:dyDescent="0.25">
      <c r="B2124" s="292">
        <v>26</v>
      </c>
      <c r="C2124" s="292"/>
      <c r="D2124" s="292"/>
      <c r="F2124" s="283" t="s">
        <v>292</v>
      </c>
      <c r="G2124" s="283"/>
      <c r="J2124" s="293">
        <v>13</v>
      </c>
      <c r="K2124" s="293"/>
      <c r="L2124" s="293"/>
      <c r="M2124" s="293"/>
      <c r="N2124" s="293"/>
      <c r="P2124" s="42">
        <v>9100</v>
      </c>
      <c r="R2124" s="42">
        <v>9100</v>
      </c>
      <c r="T2124" s="284">
        <v>0</v>
      </c>
      <c r="U2124" s="284"/>
    </row>
    <row r="2125" spans="2:21" x14ac:dyDescent="0.25">
      <c r="B2125" s="292">
        <v>27</v>
      </c>
      <c r="C2125" s="292"/>
      <c r="D2125" s="292"/>
      <c r="F2125" s="283" t="s">
        <v>77</v>
      </c>
      <c r="G2125" s="283"/>
      <c r="J2125" s="293">
        <v>4386</v>
      </c>
      <c r="K2125" s="293"/>
      <c r="L2125" s="293"/>
      <c r="M2125" s="293"/>
      <c r="N2125" s="293"/>
      <c r="P2125" s="42">
        <v>1769600</v>
      </c>
      <c r="R2125" s="42">
        <v>1766000</v>
      </c>
      <c r="T2125" s="284">
        <v>3600</v>
      </c>
      <c r="U2125" s="284"/>
    </row>
    <row r="2126" spans="2:21" x14ac:dyDescent="0.25">
      <c r="B2126" s="292">
        <v>28</v>
      </c>
      <c r="C2126" s="292"/>
      <c r="D2126" s="292"/>
      <c r="F2126" s="283" t="s">
        <v>242</v>
      </c>
      <c r="G2126" s="283"/>
      <c r="J2126" s="293">
        <v>1</v>
      </c>
      <c r="K2126" s="293"/>
      <c r="L2126" s="293"/>
      <c r="M2126" s="293"/>
      <c r="N2126" s="293"/>
      <c r="P2126" s="42">
        <v>500</v>
      </c>
      <c r="R2126" s="42">
        <v>500</v>
      </c>
      <c r="T2126" s="284">
        <v>0</v>
      </c>
      <c r="U2126" s="284"/>
    </row>
    <row r="2127" spans="2:21" x14ac:dyDescent="0.25">
      <c r="B2127" s="292">
        <v>29</v>
      </c>
      <c r="C2127" s="292"/>
      <c r="D2127" s="292"/>
      <c r="F2127" s="283" t="s">
        <v>76</v>
      </c>
      <c r="G2127" s="283"/>
      <c r="J2127" s="293">
        <v>6</v>
      </c>
      <c r="K2127" s="293"/>
      <c r="L2127" s="293"/>
      <c r="M2127" s="293"/>
      <c r="N2127" s="293"/>
      <c r="P2127" s="42">
        <v>3600</v>
      </c>
      <c r="R2127" s="42">
        <v>3600</v>
      </c>
      <c r="T2127" s="284">
        <v>0</v>
      </c>
      <c r="U2127" s="284"/>
    </row>
    <row r="2128" spans="2:21" x14ac:dyDescent="0.25">
      <c r="B2128" s="292">
        <v>30</v>
      </c>
      <c r="C2128" s="292"/>
      <c r="D2128" s="292"/>
      <c r="F2128" s="283" t="s">
        <v>156</v>
      </c>
      <c r="G2128" s="283"/>
      <c r="J2128" s="293">
        <v>21</v>
      </c>
      <c r="K2128" s="293"/>
      <c r="L2128" s="293"/>
      <c r="M2128" s="293"/>
      <c r="N2128" s="293"/>
      <c r="P2128" s="42">
        <v>3990</v>
      </c>
      <c r="R2128" s="42">
        <v>1099</v>
      </c>
      <c r="T2128" s="284">
        <v>2891</v>
      </c>
      <c r="U2128" s="284"/>
    </row>
    <row r="2129" spans="2:21" x14ac:dyDescent="0.25">
      <c r="B2129" s="292">
        <v>31</v>
      </c>
      <c r="C2129" s="292"/>
      <c r="D2129" s="292"/>
      <c r="F2129" s="283" t="s">
        <v>342</v>
      </c>
      <c r="G2129" s="283"/>
      <c r="J2129" s="293">
        <v>2</v>
      </c>
      <c r="K2129" s="293"/>
      <c r="L2129" s="293"/>
      <c r="M2129" s="293"/>
      <c r="N2129" s="293"/>
      <c r="P2129" s="42">
        <v>1000</v>
      </c>
      <c r="R2129" s="42">
        <v>300</v>
      </c>
      <c r="T2129" s="284">
        <v>700</v>
      </c>
      <c r="U2129" s="284"/>
    </row>
    <row r="2130" spans="2:21" x14ac:dyDescent="0.25">
      <c r="B2130" s="292">
        <v>32</v>
      </c>
      <c r="C2130" s="292"/>
      <c r="D2130" s="292"/>
      <c r="F2130" s="283" t="s">
        <v>341</v>
      </c>
      <c r="G2130" s="283"/>
      <c r="J2130" s="293">
        <v>2</v>
      </c>
      <c r="K2130" s="293"/>
      <c r="L2130" s="293"/>
      <c r="M2130" s="293"/>
      <c r="N2130" s="293"/>
      <c r="P2130" s="42">
        <v>900</v>
      </c>
      <c r="R2130" s="42">
        <v>260</v>
      </c>
      <c r="T2130" s="284">
        <v>640</v>
      </c>
      <c r="U2130" s="284"/>
    </row>
    <row r="2131" spans="2:21" x14ac:dyDescent="0.25">
      <c r="B2131" s="292">
        <v>33</v>
      </c>
      <c r="C2131" s="292"/>
      <c r="D2131" s="292"/>
      <c r="F2131" s="283" t="s">
        <v>155</v>
      </c>
      <c r="G2131" s="283"/>
      <c r="J2131" s="293">
        <v>177</v>
      </c>
      <c r="K2131" s="293"/>
      <c r="L2131" s="293"/>
      <c r="M2131" s="293"/>
      <c r="N2131" s="293"/>
      <c r="P2131" s="42">
        <v>44250</v>
      </c>
      <c r="R2131" s="42">
        <v>14218</v>
      </c>
      <c r="T2131" s="284">
        <v>30032</v>
      </c>
      <c r="U2131" s="284"/>
    </row>
    <row r="2132" spans="2:21" x14ac:dyDescent="0.25">
      <c r="B2132" s="292">
        <v>34</v>
      </c>
      <c r="C2132" s="292"/>
      <c r="D2132" s="292"/>
      <c r="F2132" s="283" t="s">
        <v>154</v>
      </c>
      <c r="G2132" s="283"/>
      <c r="J2132" s="293">
        <v>12</v>
      </c>
      <c r="K2132" s="293"/>
      <c r="L2132" s="293"/>
      <c r="M2132" s="293"/>
      <c r="N2132" s="293"/>
      <c r="P2132" s="42">
        <v>10680</v>
      </c>
      <c r="R2132" s="42">
        <v>1430</v>
      </c>
      <c r="T2132" s="284">
        <v>9250</v>
      </c>
      <c r="U2132" s="284"/>
    </row>
    <row r="2133" spans="2:21" x14ac:dyDescent="0.25">
      <c r="B2133" s="292">
        <v>35</v>
      </c>
      <c r="C2133" s="292"/>
      <c r="D2133" s="292"/>
      <c r="F2133" s="283" t="s">
        <v>153</v>
      </c>
      <c r="G2133" s="283"/>
      <c r="J2133" s="293">
        <v>1</v>
      </c>
      <c r="K2133" s="293"/>
      <c r="L2133" s="293"/>
      <c r="M2133" s="293"/>
      <c r="N2133" s="293"/>
      <c r="P2133" s="42">
        <v>1180</v>
      </c>
      <c r="R2133" s="42">
        <v>180</v>
      </c>
      <c r="T2133" s="284">
        <v>1000</v>
      </c>
      <c r="U2133" s="284"/>
    </row>
    <row r="2134" spans="2:21" x14ac:dyDescent="0.25">
      <c r="B2134" s="292">
        <v>36</v>
      </c>
      <c r="C2134" s="292"/>
      <c r="D2134" s="292"/>
      <c r="F2134" s="283" t="s">
        <v>339</v>
      </c>
      <c r="G2134" s="283"/>
      <c r="J2134" s="293">
        <v>1</v>
      </c>
      <c r="K2134" s="293"/>
      <c r="L2134" s="293"/>
      <c r="M2134" s="293"/>
      <c r="N2134" s="293"/>
      <c r="P2134" s="42">
        <v>350</v>
      </c>
      <c r="R2134" s="42">
        <v>150</v>
      </c>
      <c r="T2134" s="284">
        <v>200</v>
      </c>
      <c r="U2134" s="284"/>
    </row>
    <row r="2135" spans="2:21" x14ac:dyDescent="0.25">
      <c r="B2135" s="292">
        <v>37</v>
      </c>
      <c r="C2135" s="292"/>
      <c r="D2135" s="292"/>
      <c r="F2135" s="283" t="s">
        <v>194</v>
      </c>
      <c r="G2135" s="283"/>
      <c r="J2135" s="293">
        <v>2</v>
      </c>
      <c r="K2135" s="293"/>
      <c r="L2135" s="293"/>
      <c r="M2135" s="293"/>
      <c r="N2135" s="293"/>
      <c r="P2135" s="42">
        <v>1400</v>
      </c>
      <c r="R2135" s="42">
        <v>360</v>
      </c>
      <c r="T2135" s="284">
        <v>1040</v>
      </c>
      <c r="U2135" s="284"/>
    </row>
    <row r="2136" spans="2:21" x14ac:dyDescent="0.25">
      <c r="B2136" s="292">
        <v>38</v>
      </c>
      <c r="C2136" s="292"/>
      <c r="D2136" s="292"/>
      <c r="F2136" s="283" t="s">
        <v>265</v>
      </c>
      <c r="G2136" s="283"/>
      <c r="J2136" s="293">
        <v>9</v>
      </c>
      <c r="K2136" s="293"/>
      <c r="L2136" s="293"/>
      <c r="M2136" s="293"/>
      <c r="N2136" s="293"/>
      <c r="P2136" s="42">
        <v>2700</v>
      </c>
      <c r="R2136" s="42">
        <v>0</v>
      </c>
      <c r="T2136" s="284">
        <v>2700</v>
      </c>
      <c r="U2136" s="284"/>
    </row>
    <row r="2137" spans="2:21" x14ac:dyDescent="0.25">
      <c r="B2137" s="292">
        <v>39</v>
      </c>
      <c r="C2137" s="292"/>
      <c r="D2137" s="292"/>
      <c r="F2137" s="283" t="s">
        <v>289</v>
      </c>
      <c r="G2137" s="283"/>
      <c r="J2137" s="293">
        <v>7</v>
      </c>
      <c r="K2137" s="293"/>
      <c r="L2137" s="293"/>
      <c r="M2137" s="293"/>
      <c r="N2137" s="293"/>
      <c r="P2137" s="42">
        <v>3500</v>
      </c>
      <c r="R2137" s="42">
        <v>1050</v>
      </c>
      <c r="T2137" s="284">
        <v>2450</v>
      </c>
      <c r="U2137" s="284"/>
    </row>
    <row r="2138" spans="2:21" x14ac:dyDescent="0.25">
      <c r="B2138" s="292">
        <v>40</v>
      </c>
      <c r="C2138" s="292"/>
      <c r="D2138" s="292"/>
      <c r="F2138" s="283" t="s">
        <v>320</v>
      </c>
      <c r="G2138" s="283"/>
      <c r="J2138" s="293">
        <v>6</v>
      </c>
      <c r="K2138" s="293"/>
      <c r="L2138" s="293"/>
      <c r="M2138" s="293"/>
      <c r="N2138" s="293"/>
      <c r="P2138" s="42">
        <v>3400</v>
      </c>
      <c r="R2138" s="42">
        <v>970</v>
      </c>
      <c r="T2138" s="284">
        <v>2430</v>
      </c>
      <c r="U2138" s="284"/>
    </row>
    <row r="2139" spans="2:21" x14ac:dyDescent="0.25">
      <c r="B2139" s="292">
        <v>41</v>
      </c>
      <c r="C2139" s="292"/>
      <c r="D2139" s="292"/>
      <c r="F2139" s="283" t="s">
        <v>152</v>
      </c>
      <c r="G2139" s="283"/>
      <c r="J2139" s="293">
        <v>46</v>
      </c>
      <c r="K2139" s="293"/>
      <c r="L2139" s="293"/>
      <c r="M2139" s="293"/>
      <c r="N2139" s="293"/>
      <c r="P2139" s="42">
        <v>27140</v>
      </c>
      <c r="R2139" s="42">
        <v>8072</v>
      </c>
      <c r="T2139" s="284">
        <v>19068</v>
      </c>
      <c r="U2139" s="284"/>
    </row>
    <row r="2140" spans="2:21" x14ac:dyDescent="0.25">
      <c r="B2140" s="292">
        <v>42</v>
      </c>
      <c r="C2140" s="292"/>
      <c r="D2140" s="292"/>
      <c r="F2140" s="283" t="s">
        <v>151</v>
      </c>
      <c r="G2140" s="283"/>
      <c r="J2140" s="293">
        <v>89</v>
      </c>
      <c r="K2140" s="293"/>
      <c r="L2140" s="293"/>
      <c r="M2140" s="293"/>
      <c r="N2140" s="293"/>
      <c r="P2140" s="42">
        <v>20470</v>
      </c>
      <c r="R2140" s="42">
        <v>6440</v>
      </c>
      <c r="T2140" s="284">
        <v>14030</v>
      </c>
      <c r="U2140" s="284"/>
    </row>
    <row r="2141" spans="2:21" x14ac:dyDescent="0.25">
      <c r="B2141" s="292">
        <v>43</v>
      </c>
      <c r="C2141" s="292"/>
      <c r="D2141" s="292"/>
      <c r="F2141" s="283" t="s">
        <v>150</v>
      </c>
      <c r="G2141" s="283"/>
      <c r="J2141" s="293">
        <v>116</v>
      </c>
      <c r="K2141" s="293"/>
      <c r="L2141" s="293"/>
      <c r="M2141" s="293"/>
      <c r="N2141" s="293"/>
      <c r="P2141" s="42">
        <v>19720</v>
      </c>
      <c r="R2141" s="42">
        <v>5587</v>
      </c>
      <c r="T2141" s="284">
        <v>14133</v>
      </c>
      <c r="U2141" s="284"/>
    </row>
    <row r="2142" spans="2:21" x14ac:dyDescent="0.25">
      <c r="B2142" s="292">
        <v>44</v>
      </c>
      <c r="C2142" s="292"/>
      <c r="D2142" s="292"/>
      <c r="F2142" s="283" t="s">
        <v>148</v>
      </c>
      <c r="G2142" s="283"/>
      <c r="J2142" s="293">
        <v>3</v>
      </c>
      <c r="K2142" s="293"/>
      <c r="L2142" s="293"/>
      <c r="M2142" s="293"/>
      <c r="N2142" s="293"/>
      <c r="P2142" s="42">
        <v>2940</v>
      </c>
      <c r="R2142" s="42">
        <v>450</v>
      </c>
      <c r="T2142" s="284">
        <v>2490</v>
      </c>
      <c r="U2142" s="284"/>
    </row>
    <row r="2143" spans="2:21" x14ac:dyDescent="0.25">
      <c r="B2143" s="292">
        <v>45</v>
      </c>
      <c r="C2143" s="292"/>
      <c r="D2143" s="292"/>
      <c r="F2143" s="283" t="s">
        <v>288</v>
      </c>
      <c r="G2143" s="283"/>
      <c r="J2143" s="293">
        <v>25</v>
      </c>
      <c r="K2143" s="293"/>
      <c r="L2143" s="293"/>
      <c r="M2143" s="293"/>
      <c r="N2143" s="293"/>
      <c r="P2143" s="42">
        <v>20000</v>
      </c>
      <c r="R2143" s="42">
        <v>10850</v>
      </c>
      <c r="T2143" s="284">
        <v>9150</v>
      </c>
      <c r="U2143" s="284"/>
    </row>
    <row r="2144" spans="2:21" x14ac:dyDescent="0.25">
      <c r="B2144" s="292">
        <v>46</v>
      </c>
      <c r="C2144" s="292"/>
      <c r="D2144" s="292"/>
      <c r="F2144" s="283" t="s">
        <v>234</v>
      </c>
      <c r="G2144" s="283"/>
      <c r="J2144" s="293">
        <v>26</v>
      </c>
      <c r="K2144" s="293"/>
      <c r="L2144" s="293"/>
      <c r="M2144" s="293"/>
      <c r="N2144" s="293"/>
      <c r="P2144" s="42">
        <v>20800</v>
      </c>
      <c r="R2144" s="42">
        <v>11778</v>
      </c>
      <c r="T2144" s="284">
        <v>9022</v>
      </c>
      <c r="U2144" s="284"/>
    </row>
    <row r="2145" spans="2:21" x14ac:dyDescent="0.25">
      <c r="B2145" s="292">
        <v>47</v>
      </c>
      <c r="C2145" s="292"/>
      <c r="D2145" s="292"/>
      <c r="F2145" s="283" t="s">
        <v>287</v>
      </c>
      <c r="G2145" s="283"/>
      <c r="J2145" s="293">
        <v>5</v>
      </c>
      <c r="K2145" s="293"/>
      <c r="L2145" s="293"/>
      <c r="M2145" s="293"/>
      <c r="N2145" s="293"/>
      <c r="P2145" s="42">
        <v>4000</v>
      </c>
      <c r="R2145" s="42">
        <v>2250</v>
      </c>
      <c r="T2145" s="284">
        <v>1750</v>
      </c>
      <c r="U2145" s="284"/>
    </row>
    <row r="2146" spans="2:21" x14ac:dyDescent="0.25">
      <c r="B2146" s="292">
        <v>48</v>
      </c>
      <c r="C2146" s="292"/>
      <c r="D2146" s="292"/>
      <c r="F2146" s="283" t="s">
        <v>286</v>
      </c>
      <c r="G2146" s="283"/>
      <c r="J2146" s="293">
        <v>2</v>
      </c>
      <c r="K2146" s="293"/>
      <c r="L2146" s="293"/>
      <c r="M2146" s="293"/>
      <c r="N2146" s="293"/>
      <c r="P2146" s="42">
        <v>1600</v>
      </c>
      <c r="R2146" s="42">
        <v>900</v>
      </c>
      <c r="T2146" s="284">
        <v>700</v>
      </c>
      <c r="U2146" s="284"/>
    </row>
    <row r="2147" spans="2:21" x14ac:dyDescent="0.25">
      <c r="B2147" s="292">
        <v>49</v>
      </c>
      <c r="C2147" s="292"/>
      <c r="D2147" s="292"/>
      <c r="F2147" s="283" t="s">
        <v>233</v>
      </c>
      <c r="G2147" s="283"/>
      <c r="J2147" s="293">
        <v>6</v>
      </c>
      <c r="K2147" s="293"/>
      <c r="L2147" s="293"/>
      <c r="M2147" s="293"/>
      <c r="N2147" s="293"/>
      <c r="P2147" s="42">
        <v>5880</v>
      </c>
      <c r="R2147" s="42">
        <v>900</v>
      </c>
      <c r="T2147" s="284">
        <v>4980</v>
      </c>
      <c r="U2147" s="284"/>
    </row>
    <row r="2148" spans="2:21" x14ac:dyDescent="0.25">
      <c r="B2148" s="292">
        <v>50</v>
      </c>
      <c r="C2148" s="292"/>
      <c r="D2148" s="292"/>
      <c r="F2148" s="283" t="s">
        <v>232</v>
      </c>
      <c r="G2148" s="283"/>
      <c r="J2148" s="293">
        <v>6</v>
      </c>
      <c r="K2148" s="293"/>
      <c r="L2148" s="293"/>
      <c r="M2148" s="293"/>
      <c r="N2148" s="293"/>
      <c r="P2148" s="42">
        <v>5880</v>
      </c>
      <c r="R2148" s="42">
        <v>900</v>
      </c>
      <c r="T2148" s="284">
        <v>4980</v>
      </c>
      <c r="U2148" s="284"/>
    </row>
    <row r="2149" spans="2:21" x14ac:dyDescent="0.25">
      <c r="B2149" s="292">
        <v>51</v>
      </c>
      <c r="C2149" s="292"/>
      <c r="D2149" s="292"/>
      <c r="F2149" s="283" t="s">
        <v>193</v>
      </c>
      <c r="G2149" s="283"/>
      <c r="J2149" s="293">
        <v>5</v>
      </c>
      <c r="K2149" s="293"/>
      <c r="L2149" s="293"/>
      <c r="M2149" s="293"/>
      <c r="N2149" s="293"/>
      <c r="P2149" s="42">
        <v>4450</v>
      </c>
      <c r="R2149" s="42">
        <v>650</v>
      </c>
      <c r="T2149" s="284">
        <v>3800</v>
      </c>
      <c r="U2149" s="284"/>
    </row>
    <row r="2150" spans="2:21" x14ac:dyDescent="0.25">
      <c r="B2150" s="292">
        <v>52</v>
      </c>
      <c r="C2150" s="292"/>
      <c r="D2150" s="292"/>
      <c r="F2150" s="283" t="s">
        <v>142</v>
      </c>
      <c r="G2150" s="283"/>
      <c r="J2150" s="293">
        <v>2</v>
      </c>
      <c r="K2150" s="293"/>
      <c r="L2150" s="293"/>
      <c r="M2150" s="293"/>
      <c r="N2150" s="293"/>
      <c r="P2150" s="42">
        <v>700</v>
      </c>
      <c r="R2150" s="42">
        <v>300</v>
      </c>
      <c r="T2150" s="284">
        <v>400</v>
      </c>
      <c r="U2150" s="284"/>
    </row>
    <row r="2151" spans="2:21" x14ac:dyDescent="0.25">
      <c r="B2151" s="292">
        <v>53</v>
      </c>
      <c r="C2151" s="292"/>
      <c r="D2151" s="292"/>
      <c r="F2151" s="283" t="s">
        <v>411</v>
      </c>
      <c r="G2151" s="283"/>
      <c r="J2151" s="293">
        <v>1</v>
      </c>
      <c r="K2151" s="293"/>
      <c r="L2151" s="293"/>
      <c r="M2151" s="293"/>
      <c r="N2151" s="293"/>
      <c r="P2151" s="42">
        <v>300</v>
      </c>
      <c r="R2151" s="42">
        <v>90</v>
      </c>
      <c r="T2151" s="284">
        <v>210</v>
      </c>
      <c r="U2151" s="284"/>
    </row>
    <row r="2152" spans="2:21" x14ac:dyDescent="0.25">
      <c r="B2152" s="292">
        <v>54</v>
      </c>
      <c r="C2152" s="292"/>
      <c r="D2152" s="292"/>
      <c r="F2152" s="283" t="s">
        <v>75</v>
      </c>
      <c r="G2152" s="283"/>
      <c r="J2152" s="293">
        <v>5079</v>
      </c>
      <c r="K2152" s="293"/>
      <c r="L2152" s="293"/>
      <c r="M2152" s="293"/>
      <c r="N2152" s="293"/>
      <c r="P2152" s="42">
        <v>12697500</v>
      </c>
      <c r="R2152" s="42">
        <v>12697500</v>
      </c>
      <c r="T2152" s="284">
        <v>0</v>
      </c>
      <c r="U2152" s="284"/>
    </row>
    <row r="2153" spans="2:21" x14ac:dyDescent="0.25">
      <c r="B2153" s="292">
        <v>55</v>
      </c>
      <c r="C2153" s="292"/>
      <c r="D2153" s="292"/>
      <c r="F2153" s="283" t="s">
        <v>139</v>
      </c>
      <c r="G2153" s="283"/>
      <c r="J2153" s="293">
        <v>11</v>
      </c>
      <c r="K2153" s="293"/>
      <c r="L2153" s="293"/>
      <c r="M2153" s="293"/>
      <c r="N2153" s="293"/>
      <c r="P2153" s="42">
        <v>2970</v>
      </c>
      <c r="R2153" s="42">
        <v>880</v>
      </c>
      <c r="T2153" s="284">
        <v>2090</v>
      </c>
      <c r="U2153" s="284"/>
    </row>
    <row r="2154" spans="2:21" x14ac:dyDescent="0.25">
      <c r="B2154" s="292">
        <v>56</v>
      </c>
      <c r="C2154" s="292"/>
      <c r="D2154" s="292"/>
      <c r="F2154" s="283" t="s">
        <v>231</v>
      </c>
      <c r="G2154" s="283"/>
      <c r="J2154" s="293">
        <v>1</v>
      </c>
      <c r="K2154" s="293"/>
      <c r="L2154" s="293"/>
      <c r="M2154" s="293"/>
      <c r="N2154" s="293"/>
      <c r="P2154" s="42">
        <v>500</v>
      </c>
      <c r="R2154" s="42">
        <v>130</v>
      </c>
      <c r="T2154" s="284">
        <v>370</v>
      </c>
      <c r="U2154" s="284"/>
    </row>
    <row r="2155" spans="2:21" x14ac:dyDescent="0.25">
      <c r="B2155" s="292">
        <v>57</v>
      </c>
      <c r="C2155" s="292"/>
      <c r="D2155" s="292"/>
      <c r="F2155" s="283" t="s">
        <v>302</v>
      </c>
      <c r="G2155" s="283"/>
      <c r="J2155" s="293">
        <v>7</v>
      </c>
      <c r="K2155" s="293"/>
      <c r="L2155" s="293"/>
      <c r="M2155" s="293"/>
      <c r="N2155" s="293"/>
      <c r="P2155" s="42">
        <v>5600</v>
      </c>
      <c r="R2155" s="42">
        <v>3150</v>
      </c>
      <c r="T2155" s="284">
        <v>2450</v>
      </c>
      <c r="U2155" s="284"/>
    </row>
    <row r="2156" spans="2:21" x14ac:dyDescent="0.25">
      <c r="B2156" s="292">
        <v>58</v>
      </c>
      <c r="C2156" s="292"/>
      <c r="D2156" s="292"/>
      <c r="F2156" s="283" t="s">
        <v>138</v>
      </c>
      <c r="G2156" s="283"/>
      <c r="J2156" s="293">
        <v>3</v>
      </c>
      <c r="K2156" s="293"/>
      <c r="L2156" s="293"/>
      <c r="M2156" s="293"/>
      <c r="N2156" s="293"/>
      <c r="P2156" s="42">
        <v>2400</v>
      </c>
      <c r="R2156" s="42">
        <v>1350</v>
      </c>
      <c r="T2156" s="284">
        <v>1050</v>
      </c>
      <c r="U2156" s="284"/>
    </row>
    <row r="2157" spans="2:21" x14ac:dyDescent="0.25">
      <c r="B2157" s="292">
        <v>59</v>
      </c>
      <c r="C2157" s="292"/>
      <c r="D2157" s="292"/>
      <c r="F2157" s="283" t="s">
        <v>137</v>
      </c>
      <c r="G2157" s="283"/>
      <c r="J2157" s="293">
        <v>8</v>
      </c>
      <c r="K2157" s="293"/>
      <c r="L2157" s="293"/>
      <c r="M2157" s="293"/>
      <c r="N2157" s="293"/>
      <c r="P2157" s="42">
        <v>6400</v>
      </c>
      <c r="R2157" s="42">
        <v>3350</v>
      </c>
      <c r="T2157" s="284">
        <v>3050</v>
      </c>
      <c r="U2157" s="284"/>
    </row>
    <row r="2158" spans="2:21" x14ac:dyDescent="0.25">
      <c r="B2158" s="292">
        <v>60</v>
      </c>
      <c r="C2158" s="292"/>
      <c r="D2158" s="292"/>
      <c r="F2158" s="283" t="s">
        <v>313</v>
      </c>
      <c r="G2158" s="283"/>
      <c r="J2158" s="293">
        <v>1</v>
      </c>
      <c r="K2158" s="293"/>
      <c r="L2158" s="293"/>
      <c r="M2158" s="293"/>
      <c r="N2158" s="293"/>
      <c r="P2158" s="42">
        <v>800</v>
      </c>
      <c r="R2158" s="42">
        <v>450</v>
      </c>
      <c r="T2158" s="284">
        <v>350</v>
      </c>
      <c r="U2158" s="284"/>
    </row>
    <row r="2159" spans="2:21" x14ac:dyDescent="0.25">
      <c r="B2159" s="292">
        <v>61</v>
      </c>
      <c r="C2159" s="292"/>
      <c r="D2159" s="292"/>
      <c r="F2159" s="283" t="s">
        <v>192</v>
      </c>
      <c r="G2159" s="283"/>
      <c r="J2159" s="293">
        <v>2</v>
      </c>
      <c r="K2159" s="293"/>
      <c r="L2159" s="293"/>
      <c r="M2159" s="293"/>
      <c r="N2159" s="293"/>
      <c r="P2159" s="42">
        <v>3100</v>
      </c>
      <c r="R2159" s="42">
        <v>0</v>
      </c>
      <c r="T2159" s="284">
        <v>3100</v>
      </c>
      <c r="U2159" s="284"/>
    </row>
    <row r="2160" spans="2:21" x14ac:dyDescent="0.25">
      <c r="B2160" s="292">
        <v>62</v>
      </c>
      <c r="C2160" s="292"/>
      <c r="D2160" s="292"/>
      <c r="F2160" s="283" t="s">
        <v>136</v>
      </c>
      <c r="G2160" s="283"/>
      <c r="J2160" s="293">
        <v>96</v>
      </c>
      <c r="K2160" s="293"/>
      <c r="L2160" s="293"/>
      <c r="M2160" s="293"/>
      <c r="N2160" s="293"/>
      <c r="P2160" s="42">
        <v>81600</v>
      </c>
      <c r="R2160" s="42">
        <v>19484</v>
      </c>
      <c r="T2160" s="284">
        <v>62116</v>
      </c>
      <c r="U2160" s="284"/>
    </row>
    <row r="2161" spans="2:21" x14ac:dyDescent="0.25">
      <c r="B2161" s="292">
        <v>63</v>
      </c>
      <c r="C2161" s="292"/>
      <c r="D2161" s="292"/>
      <c r="F2161" s="283" t="s">
        <v>74</v>
      </c>
      <c r="G2161" s="283"/>
      <c r="J2161" s="293">
        <v>265</v>
      </c>
      <c r="K2161" s="293"/>
      <c r="L2161" s="293"/>
      <c r="M2161" s="293"/>
      <c r="N2161" s="293"/>
      <c r="P2161" s="42">
        <v>225250</v>
      </c>
      <c r="R2161" s="42">
        <v>225250</v>
      </c>
      <c r="T2161" s="284">
        <v>0</v>
      </c>
      <c r="U2161" s="284"/>
    </row>
    <row r="2162" spans="2:21" x14ac:dyDescent="0.25">
      <c r="B2162" s="292">
        <v>64</v>
      </c>
      <c r="C2162" s="292"/>
      <c r="D2162" s="292"/>
      <c r="F2162" s="283" t="s">
        <v>410</v>
      </c>
      <c r="G2162" s="283"/>
      <c r="J2162" s="293">
        <v>24</v>
      </c>
      <c r="K2162" s="293"/>
      <c r="L2162" s="293"/>
      <c r="M2162" s="293"/>
      <c r="N2162" s="293"/>
      <c r="P2162" s="42">
        <v>19200</v>
      </c>
      <c r="R2162" s="42">
        <v>7200</v>
      </c>
      <c r="T2162" s="284">
        <v>12000</v>
      </c>
      <c r="U2162" s="284"/>
    </row>
    <row r="2163" spans="2:21" x14ac:dyDescent="0.25">
      <c r="B2163" s="292">
        <v>65</v>
      </c>
      <c r="C2163" s="292"/>
      <c r="D2163" s="292"/>
      <c r="F2163" s="283" t="s">
        <v>190</v>
      </c>
      <c r="G2163" s="283"/>
      <c r="J2163" s="293">
        <v>22</v>
      </c>
      <c r="K2163" s="293"/>
      <c r="L2163" s="293"/>
      <c r="M2163" s="293"/>
      <c r="N2163" s="293"/>
      <c r="P2163" s="42">
        <v>34540</v>
      </c>
      <c r="R2163" s="42">
        <v>5114</v>
      </c>
      <c r="T2163" s="284">
        <v>29426</v>
      </c>
      <c r="U2163" s="284"/>
    </row>
    <row r="2164" spans="2:21" x14ac:dyDescent="0.25">
      <c r="B2164" s="292">
        <v>66</v>
      </c>
      <c r="C2164" s="292"/>
      <c r="D2164" s="292"/>
      <c r="F2164" s="283" t="s">
        <v>135</v>
      </c>
      <c r="G2164" s="283"/>
      <c r="J2164" s="293">
        <v>59</v>
      </c>
      <c r="K2164" s="293"/>
      <c r="L2164" s="293"/>
      <c r="M2164" s="293"/>
      <c r="N2164" s="293"/>
      <c r="P2164" s="42">
        <v>56050</v>
      </c>
      <c r="R2164" s="42">
        <v>16389</v>
      </c>
      <c r="T2164" s="284">
        <v>39661</v>
      </c>
      <c r="U2164" s="284"/>
    </row>
    <row r="2165" spans="2:21" x14ac:dyDescent="0.25">
      <c r="B2165" s="292">
        <v>67</v>
      </c>
      <c r="C2165" s="292"/>
      <c r="D2165" s="292"/>
      <c r="F2165" s="283" t="s">
        <v>134</v>
      </c>
      <c r="G2165" s="283"/>
      <c r="J2165" s="293">
        <v>4</v>
      </c>
      <c r="K2165" s="293"/>
      <c r="L2165" s="293"/>
      <c r="M2165" s="293"/>
      <c r="N2165" s="293"/>
      <c r="P2165" s="42">
        <v>14800</v>
      </c>
      <c r="R2165" s="42">
        <v>3200</v>
      </c>
      <c r="T2165" s="284">
        <v>11600</v>
      </c>
      <c r="U2165" s="284"/>
    </row>
    <row r="2166" spans="2:21" x14ac:dyDescent="0.25">
      <c r="B2166" s="292">
        <v>68</v>
      </c>
      <c r="C2166" s="292"/>
      <c r="D2166" s="292"/>
      <c r="F2166" s="283" t="s">
        <v>229</v>
      </c>
      <c r="G2166" s="283"/>
      <c r="J2166" s="293">
        <v>1</v>
      </c>
      <c r="K2166" s="293"/>
      <c r="L2166" s="293"/>
      <c r="M2166" s="293"/>
      <c r="N2166" s="293"/>
      <c r="P2166" s="42">
        <v>7000</v>
      </c>
      <c r="R2166" s="42">
        <v>3100</v>
      </c>
      <c r="T2166" s="284">
        <v>3900</v>
      </c>
      <c r="U2166" s="284"/>
    </row>
    <row r="2167" spans="2:21" x14ac:dyDescent="0.25">
      <c r="B2167" s="292">
        <v>69</v>
      </c>
      <c r="C2167" s="292"/>
      <c r="D2167" s="292"/>
      <c r="F2167" s="283" t="s">
        <v>132</v>
      </c>
      <c r="G2167" s="283"/>
      <c r="J2167" s="293">
        <v>71</v>
      </c>
      <c r="K2167" s="293"/>
      <c r="L2167" s="293"/>
      <c r="M2167" s="293"/>
      <c r="N2167" s="293"/>
      <c r="P2167" s="42">
        <v>88040</v>
      </c>
      <c r="R2167" s="42">
        <v>26113</v>
      </c>
      <c r="T2167" s="284">
        <v>61927</v>
      </c>
      <c r="U2167" s="284"/>
    </row>
    <row r="2168" spans="2:21" x14ac:dyDescent="0.25">
      <c r="B2168" s="292">
        <v>70</v>
      </c>
      <c r="C2168" s="292"/>
      <c r="D2168" s="292"/>
      <c r="F2168" s="283" t="s">
        <v>131</v>
      </c>
      <c r="G2168" s="283"/>
      <c r="J2168" s="293">
        <v>21</v>
      </c>
      <c r="K2168" s="293"/>
      <c r="L2168" s="293"/>
      <c r="M2168" s="293"/>
      <c r="N2168" s="293"/>
      <c r="P2168" s="42">
        <v>77700</v>
      </c>
      <c r="R2168" s="42">
        <v>13540</v>
      </c>
      <c r="T2168" s="284">
        <v>64160</v>
      </c>
      <c r="U2168" s="284"/>
    </row>
    <row r="2169" spans="2:21" x14ac:dyDescent="0.25">
      <c r="B2169" s="292">
        <v>71</v>
      </c>
      <c r="C2169" s="292"/>
      <c r="D2169" s="292"/>
      <c r="F2169" s="283" t="s">
        <v>130</v>
      </c>
      <c r="G2169" s="283"/>
      <c r="J2169" s="293">
        <v>12</v>
      </c>
      <c r="K2169" s="293"/>
      <c r="L2169" s="293"/>
      <c r="M2169" s="293"/>
      <c r="N2169" s="293"/>
      <c r="P2169" s="42">
        <v>96000</v>
      </c>
      <c r="R2169" s="42">
        <v>49200</v>
      </c>
      <c r="T2169" s="284">
        <v>46800</v>
      </c>
      <c r="U2169" s="284"/>
    </row>
    <row r="2170" spans="2:21" x14ac:dyDescent="0.25">
      <c r="B2170" s="292">
        <v>72</v>
      </c>
      <c r="C2170" s="292"/>
      <c r="D2170" s="292"/>
      <c r="F2170" s="285" t="s">
        <v>186</v>
      </c>
      <c r="G2170" s="285"/>
      <c r="J2170" s="293">
        <v>147</v>
      </c>
      <c r="K2170" s="293"/>
      <c r="L2170" s="293"/>
      <c r="M2170" s="293"/>
      <c r="N2170" s="293"/>
      <c r="P2170" s="42">
        <v>8820</v>
      </c>
      <c r="R2170" s="42">
        <v>0</v>
      </c>
      <c r="T2170" s="284">
        <v>8820</v>
      </c>
      <c r="U2170" s="284"/>
    </row>
    <row r="2171" spans="2:21" x14ac:dyDescent="0.25">
      <c r="F2171" s="285"/>
      <c r="G2171" s="285"/>
    </row>
    <row r="2172" spans="2:21" x14ac:dyDescent="0.25">
      <c r="B2172" s="292">
        <v>73</v>
      </c>
      <c r="C2172" s="292"/>
      <c r="D2172" s="292"/>
      <c r="F2172" s="283" t="s">
        <v>185</v>
      </c>
      <c r="G2172" s="283"/>
      <c r="J2172" s="293">
        <v>5</v>
      </c>
      <c r="K2172" s="293"/>
      <c r="L2172" s="293"/>
      <c r="M2172" s="293"/>
      <c r="N2172" s="293"/>
      <c r="P2172" s="42">
        <v>4100</v>
      </c>
      <c r="R2172" s="42">
        <v>1918</v>
      </c>
      <c r="T2172" s="284">
        <v>2182</v>
      </c>
      <c r="U2172" s="284"/>
    </row>
    <row r="2173" spans="2:21" x14ac:dyDescent="0.25">
      <c r="B2173" s="292">
        <v>74</v>
      </c>
      <c r="C2173" s="292"/>
      <c r="D2173" s="292"/>
      <c r="F2173" s="283" t="s">
        <v>283</v>
      </c>
      <c r="G2173" s="283"/>
      <c r="J2173" s="293">
        <v>6</v>
      </c>
      <c r="K2173" s="293"/>
      <c r="L2173" s="293"/>
      <c r="M2173" s="293"/>
      <c r="N2173" s="293"/>
      <c r="P2173" s="42">
        <v>5000</v>
      </c>
      <c r="R2173" s="42">
        <v>2340</v>
      </c>
      <c r="T2173" s="284">
        <v>2660</v>
      </c>
      <c r="U2173" s="284"/>
    </row>
    <row r="2174" spans="2:21" x14ac:dyDescent="0.25">
      <c r="B2174" s="292">
        <v>75</v>
      </c>
      <c r="C2174" s="292"/>
      <c r="D2174" s="292"/>
      <c r="F2174" s="283" t="s">
        <v>128</v>
      </c>
      <c r="G2174" s="283"/>
      <c r="J2174" s="293">
        <v>4</v>
      </c>
      <c r="K2174" s="293"/>
      <c r="L2174" s="293"/>
      <c r="M2174" s="293"/>
      <c r="N2174" s="293"/>
      <c r="P2174" s="42">
        <v>4600</v>
      </c>
      <c r="R2174" s="42">
        <v>680</v>
      </c>
      <c r="T2174" s="284">
        <v>3920</v>
      </c>
      <c r="U2174" s="284"/>
    </row>
    <row r="2175" spans="2:21" x14ac:dyDescent="0.25">
      <c r="B2175" s="292">
        <v>76</v>
      </c>
      <c r="C2175" s="292"/>
      <c r="D2175" s="292"/>
      <c r="F2175" s="283" t="s">
        <v>127</v>
      </c>
      <c r="G2175" s="283"/>
      <c r="J2175" s="293">
        <v>77</v>
      </c>
      <c r="K2175" s="293"/>
      <c r="L2175" s="293"/>
      <c r="M2175" s="293"/>
      <c r="N2175" s="293"/>
      <c r="P2175" s="42">
        <v>23100</v>
      </c>
      <c r="R2175" s="42">
        <v>7924</v>
      </c>
      <c r="T2175" s="284">
        <v>15176</v>
      </c>
      <c r="U2175" s="284"/>
    </row>
    <row r="2176" spans="2:21" x14ac:dyDescent="0.25">
      <c r="B2176" s="292">
        <v>77</v>
      </c>
      <c r="C2176" s="292"/>
      <c r="D2176" s="292"/>
      <c r="F2176" s="283" t="s">
        <v>126</v>
      </c>
      <c r="G2176" s="283"/>
      <c r="J2176" s="293">
        <v>76</v>
      </c>
      <c r="K2176" s="293"/>
      <c r="L2176" s="293"/>
      <c r="M2176" s="293"/>
      <c r="N2176" s="293"/>
      <c r="P2176" s="42">
        <v>15200</v>
      </c>
      <c r="R2176" s="42">
        <v>5223</v>
      </c>
      <c r="T2176" s="284">
        <v>9977</v>
      </c>
      <c r="U2176" s="284"/>
    </row>
    <row r="2177" spans="2:21" x14ac:dyDescent="0.25">
      <c r="B2177" s="292">
        <v>78</v>
      </c>
      <c r="C2177" s="292"/>
      <c r="D2177" s="292"/>
      <c r="F2177" s="283" t="s">
        <v>125</v>
      </c>
      <c r="G2177" s="283"/>
      <c r="J2177" s="293">
        <v>12</v>
      </c>
      <c r="K2177" s="293"/>
      <c r="L2177" s="293"/>
      <c r="M2177" s="293"/>
      <c r="N2177" s="293"/>
      <c r="P2177" s="42">
        <v>4800</v>
      </c>
      <c r="R2177" s="42">
        <v>1440</v>
      </c>
      <c r="T2177" s="284">
        <v>3360</v>
      </c>
      <c r="U2177" s="284"/>
    </row>
    <row r="2178" spans="2:21" x14ac:dyDescent="0.25">
      <c r="B2178" s="292">
        <v>79</v>
      </c>
      <c r="C2178" s="292"/>
      <c r="D2178" s="292"/>
      <c r="F2178" s="283" t="s">
        <v>124</v>
      </c>
      <c r="G2178" s="283"/>
      <c r="J2178" s="293">
        <v>15</v>
      </c>
      <c r="K2178" s="293"/>
      <c r="L2178" s="293"/>
      <c r="M2178" s="293"/>
      <c r="N2178" s="293"/>
      <c r="P2178" s="42">
        <v>8660</v>
      </c>
      <c r="R2178" s="42">
        <v>2340</v>
      </c>
      <c r="T2178" s="284">
        <v>6320</v>
      </c>
      <c r="U2178" s="284"/>
    </row>
    <row r="2179" spans="2:21" x14ac:dyDescent="0.25">
      <c r="B2179" s="292">
        <v>80</v>
      </c>
      <c r="C2179" s="292"/>
      <c r="D2179" s="292"/>
      <c r="F2179" s="283" t="s">
        <v>123</v>
      </c>
      <c r="G2179" s="283"/>
      <c r="J2179" s="293">
        <v>15</v>
      </c>
      <c r="K2179" s="293"/>
      <c r="L2179" s="293"/>
      <c r="M2179" s="293"/>
      <c r="N2179" s="293"/>
      <c r="P2179" s="42">
        <v>11700</v>
      </c>
      <c r="R2179" s="42">
        <v>3107</v>
      </c>
      <c r="T2179" s="284">
        <v>8593</v>
      </c>
      <c r="U2179" s="284"/>
    </row>
    <row r="2180" spans="2:21" x14ac:dyDescent="0.25">
      <c r="B2180" s="292">
        <v>81</v>
      </c>
      <c r="C2180" s="292"/>
      <c r="D2180" s="292"/>
      <c r="F2180" s="283" t="s">
        <v>183</v>
      </c>
      <c r="G2180" s="283"/>
      <c r="J2180" s="293">
        <v>4</v>
      </c>
      <c r="K2180" s="293"/>
      <c r="L2180" s="293"/>
      <c r="M2180" s="293"/>
      <c r="N2180" s="293"/>
      <c r="P2180" s="42">
        <v>1760</v>
      </c>
      <c r="R2180" s="42">
        <v>520</v>
      </c>
      <c r="T2180" s="284">
        <v>1240</v>
      </c>
      <c r="U2180" s="284"/>
    </row>
    <row r="2181" spans="2:21" x14ac:dyDescent="0.25">
      <c r="B2181" s="292">
        <v>82</v>
      </c>
      <c r="C2181" s="292"/>
      <c r="D2181" s="292"/>
      <c r="F2181" s="283" t="s">
        <v>227</v>
      </c>
      <c r="G2181" s="283"/>
      <c r="J2181" s="293">
        <v>7</v>
      </c>
      <c r="K2181" s="293"/>
      <c r="L2181" s="293"/>
      <c r="M2181" s="293"/>
      <c r="N2181" s="293"/>
      <c r="P2181" s="42">
        <v>3500</v>
      </c>
      <c r="R2181" s="42">
        <v>1050</v>
      </c>
      <c r="T2181" s="284">
        <v>2450</v>
      </c>
      <c r="U2181" s="284"/>
    </row>
    <row r="2182" spans="2:21" x14ac:dyDescent="0.25">
      <c r="B2182" s="292">
        <v>83</v>
      </c>
      <c r="C2182" s="292"/>
      <c r="D2182" s="292"/>
      <c r="F2182" s="283" t="s">
        <v>336</v>
      </c>
      <c r="G2182" s="283"/>
      <c r="J2182" s="293">
        <v>1</v>
      </c>
      <c r="K2182" s="293"/>
      <c r="L2182" s="293"/>
      <c r="M2182" s="293"/>
      <c r="N2182" s="293"/>
      <c r="P2182" s="42">
        <v>600</v>
      </c>
      <c r="R2182" s="42">
        <v>250</v>
      </c>
      <c r="T2182" s="284">
        <v>350</v>
      </c>
      <c r="U2182" s="284"/>
    </row>
    <row r="2183" spans="2:21" x14ac:dyDescent="0.25">
      <c r="B2183" s="292">
        <v>84</v>
      </c>
      <c r="C2183" s="292"/>
      <c r="D2183" s="292"/>
      <c r="F2183" s="283" t="s">
        <v>122</v>
      </c>
      <c r="G2183" s="283"/>
      <c r="J2183" s="293">
        <v>26</v>
      </c>
      <c r="K2183" s="293"/>
      <c r="L2183" s="293"/>
      <c r="M2183" s="293"/>
      <c r="N2183" s="293"/>
      <c r="P2183" s="42">
        <v>13400</v>
      </c>
      <c r="R2183" s="42">
        <v>3980</v>
      </c>
      <c r="T2183" s="284">
        <v>9420</v>
      </c>
      <c r="U2183" s="284"/>
    </row>
    <row r="2184" spans="2:21" x14ac:dyDescent="0.25">
      <c r="B2184" s="292">
        <v>85</v>
      </c>
      <c r="C2184" s="292"/>
      <c r="D2184" s="292"/>
      <c r="F2184" s="283" t="s">
        <v>121</v>
      </c>
      <c r="G2184" s="283"/>
      <c r="J2184" s="293">
        <v>25</v>
      </c>
      <c r="K2184" s="293"/>
      <c r="L2184" s="293"/>
      <c r="M2184" s="293"/>
      <c r="N2184" s="293"/>
      <c r="P2184" s="42">
        <v>12900</v>
      </c>
      <c r="R2184" s="42">
        <v>3870</v>
      </c>
      <c r="T2184" s="284">
        <v>9030</v>
      </c>
      <c r="U2184" s="284"/>
    </row>
    <row r="2185" spans="2:21" x14ac:dyDescent="0.25">
      <c r="B2185" s="292">
        <v>86</v>
      </c>
      <c r="C2185" s="292"/>
      <c r="D2185" s="292"/>
      <c r="F2185" s="283" t="s">
        <v>282</v>
      </c>
      <c r="G2185" s="283"/>
      <c r="J2185" s="293">
        <v>5</v>
      </c>
      <c r="K2185" s="293"/>
      <c r="L2185" s="293"/>
      <c r="M2185" s="293"/>
      <c r="N2185" s="293"/>
      <c r="P2185" s="42">
        <v>2500</v>
      </c>
      <c r="R2185" s="42">
        <v>730</v>
      </c>
      <c r="T2185" s="284">
        <v>1770</v>
      </c>
      <c r="U2185" s="284"/>
    </row>
    <row r="2186" spans="2:21" x14ac:dyDescent="0.25">
      <c r="B2186" s="292">
        <v>87</v>
      </c>
      <c r="C2186" s="292"/>
      <c r="D2186" s="292"/>
      <c r="F2186" s="283" t="s">
        <v>226</v>
      </c>
      <c r="G2186" s="283"/>
      <c r="J2186" s="293">
        <v>8</v>
      </c>
      <c r="K2186" s="293"/>
      <c r="L2186" s="293"/>
      <c r="M2186" s="293"/>
      <c r="N2186" s="293"/>
      <c r="P2186" s="42">
        <v>4400</v>
      </c>
      <c r="R2186" s="42">
        <v>1150</v>
      </c>
      <c r="T2186" s="284">
        <v>3250</v>
      </c>
      <c r="U2186" s="284"/>
    </row>
    <row r="2187" spans="2:21" x14ac:dyDescent="0.25">
      <c r="B2187" s="292">
        <v>88</v>
      </c>
      <c r="C2187" s="292"/>
      <c r="D2187" s="292"/>
      <c r="F2187" s="283" t="s">
        <v>182</v>
      </c>
      <c r="G2187" s="283"/>
      <c r="J2187" s="293">
        <v>1</v>
      </c>
      <c r="K2187" s="293"/>
      <c r="L2187" s="293"/>
      <c r="M2187" s="293"/>
      <c r="N2187" s="293"/>
      <c r="P2187" s="42">
        <v>790</v>
      </c>
      <c r="R2187" s="42">
        <v>120</v>
      </c>
      <c r="T2187" s="284">
        <v>670</v>
      </c>
      <c r="U2187" s="284"/>
    </row>
    <row r="2188" spans="2:21" x14ac:dyDescent="0.25">
      <c r="B2188" s="292">
        <v>89</v>
      </c>
      <c r="C2188" s="292"/>
      <c r="D2188" s="292"/>
      <c r="F2188" s="283" t="s">
        <v>119</v>
      </c>
      <c r="G2188" s="283"/>
      <c r="J2188" s="293">
        <v>101</v>
      </c>
      <c r="K2188" s="293"/>
      <c r="L2188" s="293"/>
      <c r="M2188" s="293"/>
      <c r="N2188" s="293"/>
      <c r="P2188" s="42">
        <v>89890</v>
      </c>
      <c r="R2188" s="42">
        <v>28719</v>
      </c>
      <c r="T2188" s="284">
        <v>61171</v>
      </c>
      <c r="U2188" s="284"/>
    </row>
    <row r="2189" spans="2:21" x14ac:dyDescent="0.25">
      <c r="B2189" s="292">
        <v>90</v>
      </c>
      <c r="C2189" s="292"/>
      <c r="D2189" s="292"/>
      <c r="F2189" s="283" t="s">
        <v>118</v>
      </c>
      <c r="G2189" s="283"/>
      <c r="J2189" s="293">
        <v>452</v>
      </c>
      <c r="K2189" s="293"/>
      <c r="L2189" s="293"/>
      <c r="M2189" s="293"/>
      <c r="N2189" s="293"/>
      <c r="P2189" s="42">
        <v>447480</v>
      </c>
      <c r="R2189" s="42">
        <v>149529</v>
      </c>
      <c r="T2189" s="284">
        <v>297951</v>
      </c>
      <c r="U2189" s="284"/>
    </row>
    <row r="2190" spans="2:21" x14ac:dyDescent="0.25">
      <c r="B2190" s="292">
        <v>91</v>
      </c>
      <c r="C2190" s="292"/>
      <c r="D2190" s="292"/>
      <c r="F2190" s="283" t="s">
        <v>117</v>
      </c>
      <c r="G2190" s="283"/>
      <c r="J2190" s="293">
        <v>66</v>
      </c>
      <c r="K2190" s="293"/>
      <c r="L2190" s="293"/>
      <c r="M2190" s="293"/>
      <c r="N2190" s="293"/>
      <c r="P2190" s="42">
        <v>52900</v>
      </c>
      <c r="R2190" s="42">
        <v>13270</v>
      </c>
      <c r="T2190" s="284">
        <v>39630</v>
      </c>
      <c r="U2190" s="284"/>
    </row>
    <row r="2191" spans="2:21" x14ac:dyDescent="0.25">
      <c r="B2191" s="292">
        <v>92</v>
      </c>
      <c r="C2191" s="292"/>
      <c r="D2191" s="292"/>
      <c r="F2191" s="285" t="s">
        <v>116</v>
      </c>
      <c r="G2191" s="285"/>
      <c r="J2191" s="293">
        <v>1</v>
      </c>
      <c r="K2191" s="293"/>
      <c r="L2191" s="293"/>
      <c r="M2191" s="293"/>
      <c r="N2191" s="293"/>
      <c r="P2191" s="42">
        <v>800</v>
      </c>
      <c r="R2191" s="42">
        <v>200</v>
      </c>
      <c r="T2191" s="284">
        <v>600</v>
      </c>
      <c r="U2191" s="284"/>
    </row>
    <row r="2192" spans="2:21" x14ac:dyDescent="0.25">
      <c r="F2192" s="285"/>
      <c r="G2192" s="285"/>
    </row>
    <row r="2193" spans="2:21" x14ac:dyDescent="0.25">
      <c r="B2193" s="292">
        <v>93</v>
      </c>
      <c r="C2193" s="292"/>
      <c r="D2193" s="292"/>
      <c r="F2193" s="283" t="s">
        <v>115</v>
      </c>
      <c r="G2193" s="283"/>
      <c r="J2193" s="293">
        <v>89</v>
      </c>
      <c r="K2193" s="293"/>
      <c r="L2193" s="293"/>
      <c r="M2193" s="293"/>
      <c r="N2193" s="293"/>
      <c r="P2193" s="42">
        <v>25810</v>
      </c>
      <c r="R2193" s="42">
        <v>7936</v>
      </c>
      <c r="T2193" s="284">
        <v>17874</v>
      </c>
      <c r="U2193" s="284"/>
    </row>
    <row r="2194" spans="2:21" x14ac:dyDescent="0.25">
      <c r="B2194" s="292">
        <v>94</v>
      </c>
      <c r="C2194" s="292"/>
      <c r="D2194" s="292"/>
      <c r="F2194" s="283" t="s">
        <v>360</v>
      </c>
      <c r="G2194" s="283"/>
      <c r="J2194" s="293">
        <v>2</v>
      </c>
      <c r="K2194" s="293"/>
      <c r="L2194" s="293"/>
      <c r="M2194" s="293"/>
      <c r="N2194" s="293"/>
      <c r="P2194" s="42">
        <v>1000</v>
      </c>
      <c r="R2194" s="42">
        <v>300</v>
      </c>
      <c r="T2194" s="284">
        <v>700</v>
      </c>
      <c r="U2194" s="284"/>
    </row>
    <row r="2195" spans="2:21" x14ac:dyDescent="0.25">
      <c r="B2195" s="292">
        <v>95</v>
      </c>
      <c r="C2195" s="292"/>
      <c r="D2195" s="292"/>
      <c r="F2195" s="283" t="s">
        <v>279</v>
      </c>
      <c r="G2195" s="283"/>
      <c r="J2195" s="293">
        <v>3</v>
      </c>
      <c r="K2195" s="293"/>
      <c r="L2195" s="293"/>
      <c r="M2195" s="293"/>
      <c r="N2195" s="293"/>
      <c r="P2195" s="42">
        <v>1500</v>
      </c>
      <c r="R2195" s="42">
        <v>430</v>
      </c>
      <c r="T2195" s="284">
        <v>1070</v>
      </c>
      <c r="U2195" s="284"/>
    </row>
    <row r="2196" spans="2:21" x14ac:dyDescent="0.25">
      <c r="B2196" s="292">
        <v>96</v>
      </c>
      <c r="C2196" s="292"/>
      <c r="D2196" s="292"/>
      <c r="F2196" s="285" t="s">
        <v>409</v>
      </c>
      <c r="G2196" s="285"/>
      <c r="J2196" s="293">
        <v>11</v>
      </c>
      <c r="K2196" s="293"/>
      <c r="L2196" s="293"/>
      <c r="M2196" s="293"/>
      <c r="N2196" s="293"/>
      <c r="P2196" s="42">
        <v>990</v>
      </c>
      <c r="R2196" s="42">
        <v>0</v>
      </c>
      <c r="T2196" s="284">
        <v>0</v>
      </c>
      <c r="U2196" s="284"/>
    </row>
    <row r="2197" spans="2:21" x14ac:dyDescent="0.25">
      <c r="F2197" s="285"/>
      <c r="G2197" s="285"/>
    </row>
    <row r="2198" spans="2:21" x14ac:dyDescent="0.25">
      <c r="B2198" s="292">
        <v>97</v>
      </c>
      <c r="C2198" s="292"/>
      <c r="D2198" s="292"/>
      <c r="F2198" s="283" t="s">
        <v>300</v>
      </c>
      <c r="G2198" s="283"/>
      <c r="J2198" s="293">
        <v>3</v>
      </c>
      <c r="K2198" s="293"/>
      <c r="L2198" s="293"/>
      <c r="M2198" s="293"/>
      <c r="N2198" s="293"/>
      <c r="P2198" s="42">
        <v>990</v>
      </c>
      <c r="R2198" s="42">
        <v>200</v>
      </c>
      <c r="T2198" s="284">
        <v>790</v>
      </c>
      <c r="U2198" s="284"/>
    </row>
    <row r="2199" spans="2:21" x14ac:dyDescent="0.25">
      <c r="B2199" s="292">
        <v>98</v>
      </c>
      <c r="C2199" s="292"/>
      <c r="D2199" s="292"/>
      <c r="F2199" s="283" t="s">
        <v>221</v>
      </c>
      <c r="G2199" s="283"/>
      <c r="J2199" s="293">
        <v>2</v>
      </c>
      <c r="K2199" s="293"/>
      <c r="L2199" s="293"/>
      <c r="M2199" s="293"/>
      <c r="N2199" s="293"/>
      <c r="P2199" s="42">
        <v>1980</v>
      </c>
      <c r="R2199" s="42">
        <v>600</v>
      </c>
      <c r="T2199" s="284">
        <v>1380</v>
      </c>
      <c r="U2199" s="284"/>
    </row>
    <row r="2200" spans="2:21" x14ac:dyDescent="0.25">
      <c r="B2200" s="292">
        <v>99</v>
      </c>
      <c r="C2200" s="292"/>
      <c r="D2200" s="292"/>
      <c r="F2200" s="283" t="s">
        <v>327</v>
      </c>
      <c r="G2200" s="283"/>
      <c r="J2200" s="293">
        <v>2</v>
      </c>
      <c r="K2200" s="293"/>
      <c r="L2200" s="293"/>
      <c r="M2200" s="293"/>
      <c r="N2200" s="293"/>
      <c r="P2200" s="42">
        <v>1760</v>
      </c>
      <c r="R2200" s="42">
        <v>260</v>
      </c>
      <c r="T2200" s="284">
        <v>1500</v>
      </c>
      <c r="U2200" s="284"/>
    </row>
    <row r="2201" spans="2:21" x14ac:dyDescent="0.25">
      <c r="B2201" s="292">
        <v>100</v>
      </c>
      <c r="C2201" s="292"/>
      <c r="D2201" s="292"/>
      <c r="F2201" s="283" t="s">
        <v>220</v>
      </c>
      <c r="G2201" s="283"/>
      <c r="J2201" s="293">
        <v>1</v>
      </c>
      <c r="K2201" s="293"/>
      <c r="L2201" s="293"/>
      <c r="M2201" s="293"/>
      <c r="N2201" s="293"/>
      <c r="P2201" s="42">
        <v>350</v>
      </c>
      <c r="R2201" s="42">
        <v>100</v>
      </c>
      <c r="T2201" s="284">
        <v>250</v>
      </c>
      <c r="U2201" s="284"/>
    </row>
    <row r="2202" spans="2:21" x14ac:dyDescent="0.25">
      <c r="B2202" s="292">
        <v>101</v>
      </c>
      <c r="C2202" s="292"/>
      <c r="D2202" s="292"/>
      <c r="F2202" s="283" t="s">
        <v>219</v>
      </c>
      <c r="G2202" s="283"/>
      <c r="J2202" s="293">
        <v>12</v>
      </c>
      <c r="K2202" s="293"/>
      <c r="L2202" s="293"/>
      <c r="M2202" s="293"/>
      <c r="N2202" s="293"/>
      <c r="P2202" s="42">
        <v>6000</v>
      </c>
      <c r="R2202" s="42">
        <v>1760</v>
      </c>
      <c r="T2202" s="284">
        <v>4240</v>
      </c>
      <c r="U2202" s="284"/>
    </row>
    <row r="2203" spans="2:21" x14ac:dyDescent="0.25">
      <c r="B2203" s="292">
        <v>102</v>
      </c>
      <c r="C2203" s="292"/>
      <c r="D2203" s="292"/>
      <c r="F2203" s="283" t="s">
        <v>258</v>
      </c>
      <c r="G2203" s="283"/>
      <c r="J2203" s="293">
        <v>1</v>
      </c>
      <c r="K2203" s="293"/>
      <c r="L2203" s="293"/>
      <c r="M2203" s="293"/>
      <c r="N2203" s="293"/>
      <c r="P2203" s="42">
        <v>330</v>
      </c>
      <c r="R2203" s="42">
        <v>0</v>
      </c>
      <c r="T2203" s="284">
        <v>330</v>
      </c>
      <c r="U2203" s="284"/>
    </row>
    <row r="2204" spans="2:21" x14ac:dyDescent="0.25">
      <c r="B2204" s="292">
        <v>103</v>
      </c>
      <c r="C2204" s="292"/>
      <c r="D2204" s="292"/>
      <c r="F2204" s="283" t="s">
        <v>181</v>
      </c>
      <c r="G2204" s="283"/>
      <c r="J2204" s="293">
        <v>4</v>
      </c>
      <c r="K2204" s="293"/>
      <c r="L2204" s="293"/>
      <c r="M2204" s="293"/>
      <c r="N2204" s="293"/>
      <c r="P2204" s="42">
        <v>3160</v>
      </c>
      <c r="R2204" s="42">
        <v>480</v>
      </c>
      <c r="T2204" s="284">
        <v>2680</v>
      </c>
      <c r="U2204" s="284"/>
    </row>
    <row r="2205" spans="2:21" x14ac:dyDescent="0.25">
      <c r="B2205" s="292">
        <v>104</v>
      </c>
      <c r="C2205" s="292"/>
      <c r="D2205" s="292"/>
      <c r="F2205" s="283" t="s">
        <v>171</v>
      </c>
      <c r="G2205" s="283"/>
      <c r="J2205" s="293">
        <v>3</v>
      </c>
      <c r="K2205" s="293"/>
      <c r="L2205" s="293"/>
      <c r="M2205" s="293"/>
      <c r="N2205" s="293"/>
      <c r="P2205" s="42">
        <v>1590</v>
      </c>
      <c r="R2205" s="42">
        <v>480</v>
      </c>
      <c r="T2205" s="284">
        <v>1110</v>
      </c>
      <c r="U2205" s="284"/>
    </row>
    <row r="2206" spans="2:21" x14ac:dyDescent="0.25">
      <c r="B2206" s="292">
        <v>105</v>
      </c>
      <c r="C2206" s="292"/>
      <c r="D2206" s="292"/>
      <c r="F2206" s="283" t="s">
        <v>111</v>
      </c>
      <c r="G2206" s="283"/>
      <c r="J2206" s="293">
        <v>8</v>
      </c>
      <c r="K2206" s="293"/>
      <c r="L2206" s="293"/>
      <c r="M2206" s="293"/>
      <c r="N2206" s="293"/>
      <c r="P2206" s="42">
        <v>3440</v>
      </c>
      <c r="R2206" s="42">
        <v>1040</v>
      </c>
      <c r="T2206" s="284">
        <v>2400</v>
      </c>
      <c r="U2206" s="284"/>
    </row>
    <row r="2207" spans="2:21" x14ac:dyDescent="0.25">
      <c r="B2207" s="292">
        <v>106</v>
      </c>
      <c r="C2207" s="292"/>
      <c r="D2207" s="292"/>
      <c r="F2207" s="283" t="s">
        <v>257</v>
      </c>
      <c r="G2207" s="283"/>
      <c r="J2207" s="293">
        <v>8</v>
      </c>
      <c r="K2207" s="293"/>
      <c r="L2207" s="293"/>
      <c r="M2207" s="293"/>
      <c r="N2207" s="293"/>
      <c r="P2207" s="42">
        <v>7920</v>
      </c>
      <c r="R2207" s="42">
        <v>1050</v>
      </c>
      <c r="T2207" s="284">
        <v>6870</v>
      </c>
      <c r="U2207" s="284"/>
    </row>
    <row r="2208" spans="2:21" x14ac:dyDescent="0.25">
      <c r="B2208" s="292">
        <v>107</v>
      </c>
      <c r="C2208" s="292"/>
      <c r="D2208" s="292"/>
      <c r="F2208" s="283" t="s">
        <v>109</v>
      </c>
      <c r="G2208" s="283"/>
      <c r="J2208" s="293">
        <v>13</v>
      </c>
      <c r="K2208" s="293"/>
      <c r="L2208" s="293"/>
      <c r="M2208" s="293"/>
      <c r="N2208" s="293"/>
      <c r="P2208" s="42">
        <v>10140</v>
      </c>
      <c r="R2208" s="42">
        <v>2760</v>
      </c>
      <c r="T2208" s="284">
        <v>7380</v>
      </c>
      <c r="U2208" s="284"/>
    </row>
    <row r="2209" spans="2:21" x14ac:dyDescent="0.25">
      <c r="B2209" s="292">
        <v>108</v>
      </c>
      <c r="C2209" s="292"/>
      <c r="D2209" s="292"/>
      <c r="F2209" s="283" t="s">
        <v>108</v>
      </c>
      <c r="G2209" s="283"/>
      <c r="J2209" s="293">
        <v>730</v>
      </c>
      <c r="K2209" s="293"/>
      <c r="L2209" s="293"/>
      <c r="M2209" s="293"/>
      <c r="N2209" s="293"/>
      <c r="P2209" s="42">
        <v>73000</v>
      </c>
      <c r="R2209" s="42">
        <v>12030</v>
      </c>
      <c r="T2209" s="284">
        <v>60970</v>
      </c>
      <c r="U2209" s="284"/>
    </row>
    <row r="2210" spans="2:21" x14ac:dyDescent="0.25">
      <c r="B2210" s="292">
        <v>109</v>
      </c>
      <c r="C2210" s="292"/>
      <c r="D2210" s="292"/>
      <c r="F2210" s="283" t="s">
        <v>107</v>
      </c>
      <c r="G2210" s="283"/>
      <c r="J2210" s="293">
        <v>177</v>
      </c>
      <c r="K2210" s="293"/>
      <c r="L2210" s="293"/>
      <c r="M2210" s="293"/>
      <c r="N2210" s="293"/>
      <c r="P2210" s="42">
        <v>30090</v>
      </c>
      <c r="R2210" s="42">
        <v>9295</v>
      </c>
      <c r="T2210" s="284">
        <v>20795</v>
      </c>
      <c r="U2210" s="284"/>
    </row>
    <row r="2211" spans="2:21" x14ac:dyDescent="0.25">
      <c r="B2211" s="292">
        <v>110</v>
      </c>
      <c r="C2211" s="292"/>
      <c r="D2211" s="292"/>
      <c r="F2211" s="283" t="s">
        <v>106</v>
      </c>
      <c r="G2211" s="283"/>
      <c r="J2211" s="293">
        <v>146</v>
      </c>
      <c r="K2211" s="293"/>
      <c r="L2211" s="293"/>
      <c r="M2211" s="293"/>
      <c r="N2211" s="293"/>
      <c r="P2211" s="42">
        <v>14600</v>
      </c>
      <c r="R2211" s="42">
        <v>2490</v>
      </c>
      <c r="T2211" s="284">
        <v>12110</v>
      </c>
      <c r="U2211" s="284"/>
    </row>
    <row r="2212" spans="2:21" x14ac:dyDescent="0.25">
      <c r="B2212" s="292">
        <v>111</v>
      </c>
      <c r="C2212" s="292"/>
      <c r="D2212" s="292"/>
      <c r="F2212" s="283" t="s">
        <v>333</v>
      </c>
      <c r="G2212" s="283"/>
      <c r="J2212" s="293">
        <v>2</v>
      </c>
      <c r="K2212" s="293"/>
      <c r="L2212" s="293"/>
      <c r="M2212" s="293"/>
      <c r="N2212" s="293"/>
      <c r="P2212" s="42">
        <v>1580</v>
      </c>
      <c r="R2212" s="42">
        <v>480</v>
      </c>
      <c r="T2212" s="284">
        <v>1100</v>
      </c>
      <c r="U2212" s="284"/>
    </row>
    <row r="2213" spans="2:21" x14ac:dyDescent="0.25">
      <c r="B2213" s="292">
        <v>112</v>
      </c>
      <c r="C2213" s="292"/>
      <c r="D2213" s="292"/>
      <c r="F2213" s="283" t="s">
        <v>255</v>
      </c>
      <c r="G2213" s="283"/>
      <c r="J2213" s="293">
        <v>1</v>
      </c>
      <c r="K2213" s="293"/>
      <c r="L2213" s="293"/>
      <c r="M2213" s="293"/>
      <c r="N2213" s="293"/>
      <c r="P2213" s="42">
        <v>950</v>
      </c>
      <c r="R2213" s="42">
        <v>140</v>
      </c>
      <c r="T2213" s="284">
        <v>810</v>
      </c>
      <c r="U2213" s="284"/>
    </row>
    <row r="2214" spans="2:21" x14ac:dyDescent="0.25">
      <c r="B2214" s="292">
        <v>113</v>
      </c>
      <c r="C2214" s="292"/>
      <c r="D2214" s="292"/>
      <c r="F2214" s="283" t="s">
        <v>216</v>
      </c>
      <c r="G2214" s="283"/>
      <c r="J2214" s="293">
        <v>4</v>
      </c>
      <c r="K2214" s="293"/>
      <c r="L2214" s="293"/>
      <c r="M2214" s="293"/>
      <c r="N2214" s="293"/>
      <c r="P2214" s="42">
        <v>4320</v>
      </c>
      <c r="R2214" s="42">
        <v>660</v>
      </c>
      <c r="T2214" s="284">
        <v>3660</v>
      </c>
      <c r="U2214" s="284"/>
    </row>
    <row r="2215" spans="2:21" x14ac:dyDescent="0.25">
      <c r="B2215" s="292">
        <v>114</v>
      </c>
      <c r="C2215" s="292"/>
      <c r="D2215" s="292"/>
      <c r="F2215" s="283" t="s">
        <v>105</v>
      </c>
      <c r="G2215" s="283"/>
      <c r="J2215" s="293">
        <v>10</v>
      </c>
      <c r="K2215" s="293"/>
      <c r="L2215" s="293"/>
      <c r="M2215" s="293"/>
      <c r="N2215" s="293"/>
      <c r="P2215" s="42">
        <v>11500</v>
      </c>
      <c r="R2215" s="42">
        <v>0</v>
      </c>
      <c r="T2215" s="284">
        <v>11500</v>
      </c>
      <c r="U2215" s="284"/>
    </row>
    <row r="2216" spans="2:21" x14ac:dyDescent="0.25">
      <c r="B2216" s="292">
        <v>115</v>
      </c>
      <c r="C2216" s="292"/>
      <c r="D2216" s="292"/>
      <c r="F2216" s="283" t="s">
        <v>214</v>
      </c>
      <c r="G2216" s="283"/>
      <c r="J2216" s="293">
        <v>1</v>
      </c>
      <c r="K2216" s="293"/>
      <c r="L2216" s="293"/>
      <c r="M2216" s="293"/>
      <c r="N2216" s="293"/>
      <c r="P2216" s="42">
        <v>990</v>
      </c>
      <c r="R2216" s="42">
        <v>150</v>
      </c>
      <c r="T2216" s="284">
        <v>840</v>
      </c>
      <c r="U2216" s="284"/>
    </row>
    <row r="2217" spans="2:21" x14ac:dyDescent="0.25">
      <c r="B2217" s="292">
        <v>116</v>
      </c>
      <c r="C2217" s="292"/>
      <c r="D2217" s="292"/>
      <c r="F2217" s="283" t="s">
        <v>103</v>
      </c>
      <c r="G2217" s="283"/>
      <c r="J2217" s="293">
        <v>51</v>
      </c>
      <c r="K2217" s="293"/>
      <c r="L2217" s="293"/>
      <c r="M2217" s="293"/>
      <c r="N2217" s="293"/>
      <c r="P2217" s="42">
        <v>16830</v>
      </c>
      <c r="R2217" s="42">
        <v>6440</v>
      </c>
      <c r="T2217" s="284">
        <v>10390</v>
      </c>
      <c r="U2217" s="284"/>
    </row>
    <row r="2218" spans="2:21" x14ac:dyDescent="0.25">
      <c r="B2218" s="292">
        <v>117</v>
      </c>
      <c r="C2218" s="292"/>
      <c r="D2218" s="292"/>
      <c r="F2218" s="283" t="s">
        <v>213</v>
      </c>
      <c r="G2218" s="283"/>
      <c r="J2218" s="293">
        <v>3</v>
      </c>
      <c r="K2218" s="293"/>
      <c r="L2218" s="293"/>
      <c r="M2218" s="293"/>
      <c r="N2218" s="293"/>
      <c r="P2218" s="42">
        <v>2100</v>
      </c>
      <c r="R2218" s="42">
        <v>1050</v>
      </c>
      <c r="T2218" s="284">
        <v>1050</v>
      </c>
      <c r="U2218" s="284"/>
    </row>
    <row r="2219" spans="2:21" x14ac:dyDescent="0.25">
      <c r="B2219" s="292">
        <v>118</v>
      </c>
      <c r="C2219" s="292"/>
      <c r="D2219" s="292"/>
      <c r="F2219" s="283" t="s">
        <v>211</v>
      </c>
      <c r="G2219" s="283"/>
      <c r="J2219" s="293">
        <v>10</v>
      </c>
      <c r="K2219" s="293"/>
      <c r="L2219" s="293"/>
      <c r="M2219" s="293"/>
      <c r="N2219" s="293"/>
      <c r="P2219" s="42">
        <v>5000</v>
      </c>
      <c r="R2219" s="42">
        <v>1330</v>
      </c>
      <c r="T2219" s="284">
        <v>3670</v>
      </c>
      <c r="U2219" s="284"/>
    </row>
    <row r="2220" spans="2:21" x14ac:dyDescent="0.25">
      <c r="B2220" s="292">
        <v>119</v>
      </c>
      <c r="C2220" s="292"/>
      <c r="D2220" s="292"/>
      <c r="F2220" s="283" t="s">
        <v>276</v>
      </c>
      <c r="G2220" s="283"/>
      <c r="J2220" s="293">
        <v>10</v>
      </c>
      <c r="K2220" s="293"/>
      <c r="L2220" s="293"/>
      <c r="M2220" s="293"/>
      <c r="N2220" s="293"/>
      <c r="P2220" s="42">
        <v>5400</v>
      </c>
      <c r="R2220" s="42">
        <v>1450</v>
      </c>
      <c r="T2220" s="284">
        <v>3950</v>
      </c>
      <c r="U2220" s="284"/>
    </row>
    <row r="2221" spans="2:21" x14ac:dyDescent="0.25">
      <c r="B2221" s="292">
        <v>120</v>
      </c>
      <c r="C2221" s="292"/>
      <c r="D2221" s="292"/>
      <c r="F2221" s="283" t="s">
        <v>275</v>
      </c>
      <c r="G2221" s="283"/>
      <c r="J2221" s="293">
        <v>3</v>
      </c>
      <c r="K2221" s="293"/>
      <c r="L2221" s="293"/>
      <c r="M2221" s="293"/>
      <c r="N2221" s="293"/>
      <c r="P2221" s="42">
        <v>2100</v>
      </c>
      <c r="R2221" s="42">
        <v>1050</v>
      </c>
      <c r="T2221" s="284">
        <v>1050</v>
      </c>
      <c r="U2221" s="284"/>
    </row>
    <row r="2222" spans="2:21" x14ac:dyDescent="0.25">
      <c r="B2222" s="292">
        <v>121</v>
      </c>
      <c r="C2222" s="292"/>
      <c r="D2222" s="292"/>
      <c r="F2222" s="283" t="s">
        <v>307</v>
      </c>
      <c r="G2222" s="283"/>
      <c r="J2222" s="293">
        <v>7</v>
      </c>
      <c r="K2222" s="293"/>
      <c r="L2222" s="293"/>
      <c r="M2222" s="293"/>
      <c r="N2222" s="293"/>
      <c r="P2222" s="42">
        <v>5100</v>
      </c>
      <c r="R2222" s="42">
        <v>2200</v>
      </c>
      <c r="T2222" s="284">
        <v>2900</v>
      </c>
      <c r="U2222" s="284"/>
    </row>
    <row r="2223" spans="2:21" x14ac:dyDescent="0.25">
      <c r="B2223" s="292">
        <v>122</v>
      </c>
      <c r="C2223" s="292"/>
      <c r="D2223" s="292"/>
      <c r="F2223" s="283" t="s">
        <v>408</v>
      </c>
      <c r="G2223" s="283"/>
      <c r="J2223" s="293">
        <v>33</v>
      </c>
      <c r="K2223" s="293"/>
      <c r="L2223" s="293"/>
      <c r="M2223" s="293"/>
      <c r="N2223" s="293"/>
      <c r="P2223" s="42">
        <v>16500</v>
      </c>
      <c r="R2223" s="42">
        <v>4800</v>
      </c>
      <c r="T2223" s="284">
        <v>11700</v>
      </c>
      <c r="U2223" s="284"/>
    </row>
    <row r="2224" spans="2:21" x14ac:dyDescent="0.25">
      <c r="B2224" s="292">
        <v>123</v>
      </c>
      <c r="C2224" s="292"/>
      <c r="D2224" s="292"/>
      <c r="F2224" s="283" t="s">
        <v>102</v>
      </c>
      <c r="G2224" s="283"/>
      <c r="J2224" s="293">
        <v>28</v>
      </c>
      <c r="K2224" s="293"/>
      <c r="L2224" s="293"/>
      <c r="M2224" s="293"/>
      <c r="N2224" s="293"/>
      <c r="P2224" s="42">
        <v>24640</v>
      </c>
      <c r="R2224" s="42">
        <v>3250</v>
      </c>
      <c r="T2224" s="284">
        <v>21390</v>
      </c>
      <c r="U2224" s="284"/>
    </row>
    <row r="2225" spans="2:21" x14ac:dyDescent="0.25">
      <c r="B2225" s="292">
        <v>124</v>
      </c>
      <c r="C2225" s="292"/>
      <c r="D2225" s="292"/>
      <c r="F2225" s="283" t="s">
        <v>101</v>
      </c>
      <c r="G2225" s="283"/>
      <c r="J2225" s="293">
        <v>2</v>
      </c>
      <c r="K2225" s="293"/>
      <c r="L2225" s="293"/>
      <c r="M2225" s="293"/>
      <c r="N2225" s="293"/>
      <c r="P2225" s="42">
        <v>920</v>
      </c>
      <c r="R2225" s="42">
        <v>280</v>
      </c>
      <c r="T2225" s="284">
        <v>640</v>
      </c>
      <c r="U2225" s="284"/>
    </row>
    <row r="2226" spans="2:21" x14ac:dyDescent="0.25">
      <c r="B2226" s="292">
        <v>125</v>
      </c>
      <c r="C2226" s="292"/>
      <c r="D2226" s="292"/>
      <c r="F2226" s="283" t="s">
        <v>179</v>
      </c>
      <c r="G2226" s="283"/>
      <c r="J2226" s="293">
        <v>1</v>
      </c>
      <c r="K2226" s="293"/>
      <c r="L2226" s="293"/>
      <c r="M2226" s="293"/>
      <c r="N2226" s="293"/>
      <c r="P2226" s="42">
        <v>880</v>
      </c>
      <c r="R2226" s="42">
        <v>130</v>
      </c>
      <c r="T2226" s="284">
        <v>750</v>
      </c>
      <c r="U2226" s="284"/>
    </row>
    <row r="2227" spans="2:21" x14ac:dyDescent="0.25">
      <c r="B2227" s="292">
        <v>126</v>
      </c>
      <c r="C2227" s="292"/>
      <c r="D2227" s="292"/>
      <c r="F2227" s="283" t="s">
        <v>100</v>
      </c>
      <c r="G2227" s="283"/>
      <c r="J2227" s="293">
        <v>19</v>
      </c>
      <c r="K2227" s="293"/>
      <c r="L2227" s="293"/>
      <c r="M2227" s="293"/>
      <c r="N2227" s="293"/>
      <c r="P2227" s="42">
        <v>3420</v>
      </c>
      <c r="R2227" s="42">
        <v>852</v>
      </c>
      <c r="T2227" s="284">
        <v>2568</v>
      </c>
      <c r="U2227" s="284"/>
    </row>
    <row r="2228" spans="2:21" x14ac:dyDescent="0.25">
      <c r="B2228" s="292">
        <v>127</v>
      </c>
      <c r="C2228" s="292"/>
      <c r="D2228" s="292"/>
      <c r="F2228" s="283" t="s">
        <v>178</v>
      </c>
      <c r="G2228" s="283"/>
      <c r="J2228" s="293">
        <v>5</v>
      </c>
      <c r="K2228" s="293"/>
      <c r="L2228" s="293"/>
      <c r="M2228" s="293"/>
      <c r="N2228" s="293"/>
      <c r="P2228" s="42">
        <v>8250</v>
      </c>
      <c r="R2228" s="42">
        <v>0</v>
      </c>
      <c r="T2228" s="284">
        <v>8250</v>
      </c>
      <c r="U2228" s="284"/>
    </row>
    <row r="2229" spans="2:21" x14ac:dyDescent="0.25">
      <c r="B2229" s="292">
        <v>128</v>
      </c>
      <c r="C2229" s="292"/>
      <c r="D2229" s="292"/>
      <c r="F2229" s="283" t="s">
        <v>99</v>
      </c>
      <c r="G2229" s="283"/>
      <c r="J2229" s="293">
        <v>4</v>
      </c>
      <c r="K2229" s="293"/>
      <c r="L2229" s="293"/>
      <c r="M2229" s="293"/>
      <c r="N2229" s="293"/>
      <c r="P2229" s="42">
        <v>2360</v>
      </c>
      <c r="R2229" s="42">
        <v>329</v>
      </c>
      <c r="T2229" s="284">
        <v>2031</v>
      </c>
      <c r="U2229" s="284"/>
    </row>
    <row r="2230" spans="2:21" x14ac:dyDescent="0.25">
      <c r="B2230" s="292">
        <v>129</v>
      </c>
      <c r="C2230" s="292"/>
      <c r="D2230" s="292"/>
      <c r="F2230" s="283" t="s">
        <v>98</v>
      </c>
      <c r="G2230" s="283"/>
      <c r="J2230" s="293">
        <v>5</v>
      </c>
      <c r="K2230" s="293"/>
      <c r="L2230" s="293"/>
      <c r="M2230" s="293"/>
      <c r="N2230" s="293"/>
      <c r="P2230" s="42">
        <v>2850</v>
      </c>
      <c r="R2230" s="42">
        <v>377</v>
      </c>
      <c r="T2230" s="284">
        <v>2473</v>
      </c>
      <c r="U2230" s="284"/>
    </row>
    <row r="2231" spans="2:21" x14ac:dyDescent="0.25">
      <c r="B2231" s="292">
        <v>130</v>
      </c>
      <c r="C2231" s="292"/>
      <c r="D2231" s="292"/>
      <c r="F2231" s="283" t="s">
        <v>176</v>
      </c>
      <c r="G2231" s="283"/>
      <c r="J2231" s="293">
        <v>1</v>
      </c>
      <c r="K2231" s="293"/>
      <c r="L2231" s="293"/>
      <c r="M2231" s="293"/>
      <c r="N2231" s="293"/>
      <c r="P2231" s="42">
        <v>1060</v>
      </c>
      <c r="R2231" s="42">
        <v>160</v>
      </c>
      <c r="T2231" s="284">
        <v>900</v>
      </c>
      <c r="U2231" s="284"/>
    </row>
    <row r="2232" spans="2:21" x14ac:dyDescent="0.25">
      <c r="B2232" s="292">
        <v>131</v>
      </c>
      <c r="C2232" s="292"/>
      <c r="D2232" s="292"/>
      <c r="F2232" s="283" t="s">
        <v>97</v>
      </c>
      <c r="G2232" s="283"/>
      <c r="J2232" s="293">
        <v>9</v>
      </c>
      <c r="K2232" s="293"/>
      <c r="L2232" s="293"/>
      <c r="M2232" s="293"/>
      <c r="N2232" s="293"/>
      <c r="P2232" s="42">
        <v>14310</v>
      </c>
      <c r="R2232" s="42">
        <v>2160</v>
      </c>
      <c r="T2232" s="284">
        <v>12150</v>
      </c>
      <c r="U2232" s="284"/>
    </row>
    <row r="2233" spans="2:21" x14ac:dyDescent="0.25">
      <c r="B2233" s="292">
        <v>132</v>
      </c>
      <c r="C2233" s="292"/>
      <c r="D2233" s="292"/>
      <c r="F2233" s="283" t="s">
        <v>96</v>
      </c>
      <c r="G2233" s="283"/>
      <c r="J2233" s="293">
        <v>3</v>
      </c>
      <c r="K2233" s="293"/>
      <c r="L2233" s="293"/>
      <c r="M2233" s="293"/>
      <c r="N2233" s="293"/>
      <c r="P2233" s="42">
        <v>1320</v>
      </c>
      <c r="R2233" s="42">
        <v>390</v>
      </c>
      <c r="T2233" s="284">
        <v>930</v>
      </c>
      <c r="U2233" s="284"/>
    </row>
    <row r="2234" spans="2:21" x14ac:dyDescent="0.25">
      <c r="B2234" s="292">
        <v>133</v>
      </c>
      <c r="C2234" s="292"/>
      <c r="D2234" s="292"/>
      <c r="F2234" s="283" t="s">
        <v>332</v>
      </c>
      <c r="G2234" s="283"/>
      <c r="J2234" s="293">
        <v>1</v>
      </c>
      <c r="K2234" s="293"/>
      <c r="L2234" s="293"/>
      <c r="M2234" s="293"/>
      <c r="N2234" s="293"/>
      <c r="P2234" s="42">
        <v>290</v>
      </c>
      <c r="R2234" s="42">
        <v>100</v>
      </c>
      <c r="T2234" s="284">
        <v>190</v>
      </c>
      <c r="U2234" s="284"/>
    </row>
    <row r="2235" spans="2:21" x14ac:dyDescent="0.25">
      <c r="B2235" s="292">
        <v>134</v>
      </c>
      <c r="C2235" s="292"/>
      <c r="D2235" s="292"/>
      <c r="F2235" s="283" t="s">
        <v>324</v>
      </c>
      <c r="G2235" s="283"/>
      <c r="J2235" s="293">
        <v>1</v>
      </c>
      <c r="K2235" s="293"/>
      <c r="L2235" s="293"/>
      <c r="M2235" s="293"/>
      <c r="N2235" s="293"/>
      <c r="P2235" s="42">
        <v>350</v>
      </c>
      <c r="R2235" s="42">
        <v>160</v>
      </c>
      <c r="T2235" s="284">
        <v>190</v>
      </c>
      <c r="U2235" s="284"/>
    </row>
    <row r="2236" spans="2:21" x14ac:dyDescent="0.25">
      <c r="B2236" s="292">
        <v>135</v>
      </c>
      <c r="C2236" s="292"/>
      <c r="D2236" s="292"/>
      <c r="F2236" s="283" t="s">
        <v>95</v>
      </c>
      <c r="G2236" s="283"/>
      <c r="J2236" s="293">
        <v>13</v>
      </c>
      <c r="K2236" s="293"/>
      <c r="L2236" s="293"/>
      <c r="M2236" s="293"/>
      <c r="N2236" s="293"/>
      <c r="P2236" s="42">
        <v>3770</v>
      </c>
      <c r="R2236" s="42">
        <v>1040</v>
      </c>
      <c r="T2236" s="284">
        <v>2730</v>
      </c>
      <c r="U2236" s="284"/>
    </row>
    <row r="2237" spans="2:21" x14ac:dyDescent="0.25">
      <c r="B2237" s="292">
        <v>136</v>
      </c>
      <c r="C2237" s="292"/>
      <c r="D2237" s="292"/>
      <c r="F2237" s="283" t="s">
        <v>253</v>
      </c>
      <c r="G2237" s="283"/>
      <c r="J2237" s="293">
        <v>3</v>
      </c>
      <c r="K2237" s="293"/>
      <c r="L2237" s="293"/>
      <c r="M2237" s="293"/>
      <c r="N2237" s="293"/>
      <c r="P2237" s="42">
        <v>870</v>
      </c>
      <c r="R2237" s="42">
        <v>290</v>
      </c>
      <c r="T2237" s="284">
        <v>580</v>
      </c>
      <c r="U2237" s="284"/>
    </row>
    <row r="2238" spans="2:21" x14ac:dyDescent="0.25">
      <c r="B2238" s="292">
        <v>137</v>
      </c>
      <c r="C2238" s="292"/>
      <c r="D2238" s="292"/>
      <c r="F2238" s="283" t="s">
        <v>93</v>
      </c>
      <c r="G2238" s="283"/>
      <c r="J2238" s="293">
        <v>29</v>
      </c>
      <c r="K2238" s="293"/>
      <c r="L2238" s="293"/>
      <c r="M2238" s="293"/>
      <c r="N2238" s="293"/>
      <c r="P2238" s="42">
        <v>17110</v>
      </c>
      <c r="R2238" s="42">
        <v>2579</v>
      </c>
      <c r="T2238" s="284">
        <v>14531</v>
      </c>
      <c r="U2238" s="284"/>
    </row>
    <row r="2239" spans="2:21" x14ac:dyDescent="0.25">
      <c r="B2239" s="292">
        <v>138</v>
      </c>
      <c r="C2239" s="292"/>
      <c r="D2239" s="292"/>
      <c r="F2239" s="283" t="s">
        <v>92</v>
      </c>
      <c r="G2239" s="283"/>
      <c r="J2239" s="293">
        <v>88</v>
      </c>
      <c r="K2239" s="293"/>
      <c r="L2239" s="293"/>
      <c r="M2239" s="293"/>
      <c r="N2239" s="293"/>
      <c r="P2239" s="42">
        <v>65120</v>
      </c>
      <c r="R2239" s="42">
        <v>16413</v>
      </c>
      <c r="T2239" s="284">
        <v>48707</v>
      </c>
      <c r="U2239" s="284"/>
    </row>
    <row r="2240" spans="2:21" x14ac:dyDescent="0.25">
      <c r="B2240" s="292">
        <v>139</v>
      </c>
      <c r="C2240" s="292"/>
      <c r="D2240" s="292"/>
      <c r="F2240" s="283" t="s">
        <v>305</v>
      </c>
      <c r="G2240" s="283"/>
      <c r="J2240" s="293">
        <v>4</v>
      </c>
      <c r="K2240" s="293"/>
      <c r="L2240" s="293"/>
      <c r="M2240" s="293"/>
      <c r="N2240" s="293"/>
      <c r="P2240" s="42">
        <v>2400</v>
      </c>
      <c r="R2240" s="42">
        <v>720</v>
      </c>
      <c r="T2240" s="284">
        <v>1680</v>
      </c>
      <c r="U2240" s="284"/>
    </row>
    <row r="2241" spans="2:21" x14ac:dyDescent="0.25">
      <c r="B2241" s="292">
        <v>140</v>
      </c>
      <c r="C2241" s="292"/>
      <c r="D2241" s="292"/>
      <c r="F2241" s="283" t="s">
        <v>297</v>
      </c>
      <c r="G2241" s="283"/>
      <c r="J2241" s="293">
        <v>30</v>
      </c>
      <c r="K2241" s="293"/>
      <c r="L2241" s="293"/>
      <c r="M2241" s="293"/>
      <c r="N2241" s="293"/>
      <c r="P2241" s="42">
        <v>12000</v>
      </c>
      <c r="R2241" s="42">
        <v>3460</v>
      </c>
      <c r="T2241" s="284">
        <v>8540</v>
      </c>
      <c r="U2241" s="284"/>
    </row>
    <row r="2242" spans="2:21" x14ac:dyDescent="0.25">
      <c r="B2242" s="292">
        <v>141</v>
      </c>
      <c r="C2242" s="292"/>
      <c r="D2242" s="292"/>
      <c r="F2242" s="283" t="s">
        <v>175</v>
      </c>
      <c r="G2242" s="283"/>
      <c r="J2242" s="293">
        <v>85</v>
      </c>
      <c r="K2242" s="293"/>
      <c r="L2242" s="293"/>
      <c r="M2242" s="293"/>
      <c r="N2242" s="293"/>
      <c r="P2242" s="42">
        <v>51000</v>
      </c>
      <c r="R2242" s="42">
        <v>14590</v>
      </c>
      <c r="T2242" s="284">
        <v>36410</v>
      </c>
      <c r="U2242" s="284"/>
    </row>
    <row r="2243" spans="2:21" x14ac:dyDescent="0.25">
      <c r="B2243" s="292">
        <v>142</v>
      </c>
      <c r="C2243" s="292"/>
      <c r="D2243" s="292"/>
      <c r="F2243" s="283" t="s">
        <v>357</v>
      </c>
      <c r="G2243" s="283"/>
      <c r="J2243" s="293">
        <v>1</v>
      </c>
      <c r="K2243" s="293"/>
      <c r="L2243" s="293"/>
      <c r="M2243" s="293"/>
      <c r="N2243" s="293"/>
      <c r="P2243" s="42">
        <v>500</v>
      </c>
      <c r="R2243" s="42">
        <v>150</v>
      </c>
      <c r="T2243" s="284">
        <v>350</v>
      </c>
      <c r="U2243" s="284"/>
    </row>
    <row r="2244" spans="2:21" x14ac:dyDescent="0.25">
      <c r="B2244" s="292">
        <v>143</v>
      </c>
      <c r="C2244" s="292"/>
      <c r="D2244" s="292"/>
      <c r="F2244" s="283" t="s">
        <v>174</v>
      </c>
      <c r="G2244" s="283"/>
      <c r="J2244" s="293">
        <v>145</v>
      </c>
      <c r="K2244" s="293"/>
      <c r="L2244" s="293"/>
      <c r="M2244" s="293"/>
      <c r="N2244" s="293"/>
      <c r="P2244" s="42">
        <v>58000</v>
      </c>
      <c r="R2244" s="42">
        <v>16271</v>
      </c>
      <c r="T2244" s="284">
        <v>41729</v>
      </c>
      <c r="U2244" s="284"/>
    </row>
    <row r="2245" spans="2:21" x14ac:dyDescent="0.25">
      <c r="B2245" s="292">
        <v>144</v>
      </c>
      <c r="C2245" s="292"/>
      <c r="D2245" s="292"/>
      <c r="F2245" s="283" t="s">
        <v>355</v>
      </c>
      <c r="G2245" s="283"/>
      <c r="J2245" s="293">
        <v>19</v>
      </c>
      <c r="K2245" s="293"/>
      <c r="L2245" s="293"/>
      <c r="M2245" s="293"/>
      <c r="N2245" s="293"/>
      <c r="P2245" s="42">
        <v>11400</v>
      </c>
      <c r="R2245" s="42">
        <v>3060</v>
      </c>
      <c r="T2245" s="284">
        <v>8340</v>
      </c>
      <c r="U2245" s="284"/>
    </row>
    <row r="2246" spans="2:21" x14ac:dyDescent="0.25">
      <c r="B2246" s="292">
        <v>145</v>
      </c>
      <c r="C2246" s="292"/>
      <c r="D2246" s="292"/>
      <c r="F2246" s="283" t="s">
        <v>173</v>
      </c>
      <c r="G2246" s="283"/>
      <c r="J2246" s="293">
        <v>231</v>
      </c>
      <c r="K2246" s="293"/>
      <c r="L2246" s="293"/>
      <c r="M2246" s="293"/>
      <c r="N2246" s="293"/>
      <c r="P2246" s="42">
        <v>231000</v>
      </c>
      <c r="R2246" s="42">
        <v>66947</v>
      </c>
      <c r="T2246" s="284">
        <v>164053</v>
      </c>
      <c r="U2246" s="284"/>
    </row>
    <row r="2247" spans="2:21" x14ac:dyDescent="0.25">
      <c r="B2247" s="292">
        <v>146</v>
      </c>
      <c r="C2247" s="292"/>
      <c r="D2247" s="292"/>
      <c r="F2247" s="283" t="s">
        <v>296</v>
      </c>
      <c r="G2247" s="283"/>
      <c r="J2247" s="293">
        <v>15</v>
      </c>
      <c r="K2247" s="293"/>
      <c r="L2247" s="293"/>
      <c r="M2247" s="293"/>
      <c r="N2247" s="293"/>
      <c r="P2247" s="42">
        <v>18000</v>
      </c>
      <c r="R2247" s="42">
        <v>5040</v>
      </c>
      <c r="T2247" s="284">
        <v>12960</v>
      </c>
      <c r="U2247" s="284"/>
    </row>
    <row r="2248" spans="2:21" x14ac:dyDescent="0.25">
      <c r="B2248" s="292">
        <v>147</v>
      </c>
      <c r="C2248" s="292"/>
      <c r="D2248" s="292"/>
      <c r="F2248" s="283" t="s">
        <v>91</v>
      </c>
      <c r="G2248" s="283"/>
      <c r="J2248" s="293">
        <v>94</v>
      </c>
      <c r="K2248" s="293"/>
      <c r="L2248" s="293"/>
      <c r="M2248" s="293"/>
      <c r="N2248" s="293"/>
      <c r="P2248" s="42">
        <v>23500</v>
      </c>
      <c r="R2248" s="42">
        <v>6508</v>
      </c>
      <c r="T2248" s="284">
        <v>16992</v>
      </c>
      <c r="U2248" s="284"/>
    </row>
    <row r="2249" spans="2:21" x14ac:dyDescent="0.25">
      <c r="B2249" s="292">
        <v>148</v>
      </c>
      <c r="C2249" s="292"/>
      <c r="D2249" s="292"/>
      <c r="F2249" s="283" t="s">
        <v>90</v>
      </c>
      <c r="G2249" s="283"/>
      <c r="J2249" s="293">
        <v>47</v>
      </c>
      <c r="K2249" s="293"/>
      <c r="L2249" s="293"/>
      <c r="M2249" s="293"/>
      <c r="N2249" s="293"/>
      <c r="P2249" s="42">
        <v>13630</v>
      </c>
      <c r="R2249" s="42">
        <v>3600</v>
      </c>
      <c r="T2249" s="284">
        <v>10030</v>
      </c>
      <c r="U2249" s="284"/>
    </row>
    <row r="2250" spans="2:21" x14ac:dyDescent="0.25">
      <c r="B2250" s="292">
        <v>149</v>
      </c>
      <c r="C2250" s="292"/>
      <c r="D2250" s="292"/>
      <c r="F2250" s="283" t="s">
        <v>89</v>
      </c>
      <c r="G2250" s="283"/>
      <c r="J2250" s="293">
        <v>13</v>
      </c>
      <c r="K2250" s="293"/>
      <c r="L2250" s="293"/>
      <c r="M2250" s="293"/>
      <c r="N2250" s="293"/>
      <c r="P2250" s="42">
        <v>11440</v>
      </c>
      <c r="R2250" s="42">
        <v>1639</v>
      </c>
      <c r="T2250" s="284">
        <v>9801</v>
      </c>
      <c r="U2250" s="284"/>
    </row>
    <row r="2251" spans="2:21" x14ac:dyDescent="0.25">
      <c r="B2251" s="292">
        <v>150</v>
      </c>
      <c r="C2251" s="292"/>
      <c r="D2251" s="292"/>
      <c r="F2251" s="283" t="s">
        <v>88</v>
      </c>
      <c r="G2251" s="283"/>
      <c r="J2251" s="293">
        <v>250</v>
      </c>
      <c r="K2251" s="293"/>
      <c r="L2251" s="293"/>
      <c r="M2251" s="293"/>
      <c r="N2251" s="293"/>
      <c r="P2251" s="42">
        <v>45000</v>
      </c>
      <c r="R2251" s="42">
        <v>14208</v>
      </c>
      <c r="T2251" s="284">
        <v>30792</v>
      </c>
      <c r="U2251" s="284"/>
    </row>
    <row r="2252" spans="2:21" x14ac:dyDescent="0.25">
      <c r="B2252" s="292">
        <v>151</v>
      </c>
      <c r="C2252" s="292"/>
      <c r="D2252" s="292"/>
      <c r="F2252" s="283" t="s">
        <v>87</v>
      </c>
      <c r="G2252" s="283"/>
      <c r="J2252" s="293">
        <v>10</v>
      </c>
      <c r="K2252" s="293"/>
      <c r="L2252" s="293"/>
      <c r="M2252" s="293"/>
      <c r="N2252" s="293"/>
      <c r="P2252" s="42">
        <v>2900</v>
      </c>
      <c r="R2252" s="42">
        <v>720</v>
      </c>
      <c r="T2252" s="284">
        <v>2180</v>
      </c>
      <c r="U2252" s="284"/>
    </row>
    <row r="2253" spans="2:21" x14ac:dyDescent="0.25">
      <c r="B2253" s="292">
        <v>152</v>
      </c>
      <c r="C2253" s="292"/>
      <c r="D2253" s="292"/>
      <c r="F2253" s="283" t="s">
        <v>86</v>
      </c>
      <c r="G2253" s="283"/>
      <c r="J2253" s="293">
        <v>4</v>
      </c>
      <c r="K2253" s="293"/>
      <c r="L2253" s="293"/>
      <c r="M2253" s="293"/>
      <c r="N2253" s="293"/>
      <c r="P2253" s="42">
        <v>4560</v>
      </c>
      <c r="R2253" s="42">
        <v>510</v>
      </c>
      <c r="T2253" s="284">
        <v>4050</v>
      </c>
      <c r="U2253" s="284"/>
    </row>
    <row r="2254" spans="2:21" x14ac:dyDescent="0.25">
      <c r="B2254" s="292">
        <v>153</v>
      </c>
      <c r="C2254" s="292"/>
      <c r="D2254" s="292"/>
      <c r="F2254" s="283" t="s">
        <v>85</v>
      </c>
      <c r="G2254" s="283"/>
      <c r="J2254" s="293">
        <v>11</v>
      </c>
      <c r="K2254" s="293"/>
      <c r="L2254" s="293"/>
      <c r="M2254" s="293"/>
      <c r="N2254" s="293"/>
      <c r="P2254" s="42">
        <v>22880</v>
      </c>
      <c r="R2254" s="42">
        <v>3410</v>
      </c>
      <c r="T2254" s="284">
        <v>19470</v>
      </c>
      <c r="U2254" s="284"/>
    </row>
    <row r="2255" spans="2:21" x14ac:dyDescent="0.25">
      <c r="B2255" s="292">
        <v>154</v>
      </c>
      <c r="C2255" s="292"/>
      <c r="D2255" s="292"/>
      <c r="F2255" s="283" t="s">
        <v>84</v>
      </c>
      <c r="G2255" s="283"/>
      <c r="J2255" s="293">
        <v>67</v>
      </c>
      <c r="K2255" s="293"/>
      <c r="L2255" s="293"/>
      <c r="M2255" s="293"/>
      <c r="N2255" s="293"/>
      <c r="P2255" s="42">
        <v>39530</v>
      </c>
      <c r="R2255" s="42">
        <v>11119</v>
      </c>
      <c r="T2255" s="284">
        <v>28411</v>
      </c>
      <c r="U2255" s="284"/>
    </row>
    <row r="2256" spans="2:21" x14ac:dyDescent="0.25">
      <c r="B2256" s="292">
        <v>155</v>
      </c>
      <c r="C2256" s="292"/>
      <c r="D2256" s="292"/>
      <c r="F2256" s="283" t="s">
        <v>331</v>
      </c>
      <c r="G2256" s="283"/>
      <c r="J2256" s="293">
        <v>2</v>
      </c>
      <c r="K2256" s="293"/>
      <c r="L2256" s="293"/>
      <c r="M2256" s="293"/>
      <c r="N2256" s="293"/>
      <c r="P2256" s="42">
        <v>1000</v>
      </c>
      <c r="R2256" s="42">
        <v>300</v>
      </c>
      <c r="T2256" s="284">
        <v>700</v>
      </c>
      <c r="U2256" s="284"/>
    </row>
    <row r="2257" spans="1:21" x14ac:dyDescent="0.25">
      <c r="B2257" s="292">
        <v>156</v>
      </c>
      <c r="C2257" s="292"/>
      <c r="D2257" s="292"/>
      <c r="F2257" s="283" t="s">
        <v>208</v>
      </c>
      <c r="G2257" s="283"/>
      <c r="J2257" s="293">
        <v>9</v>
      </c>
      <c r="K2257" s="293"/>
      <c r="L2257" s="293"/>
      <c r="M2257" s="293"/>
      <c r="N2257" s="293"/>
      <c r="P2257" s="42">
        <v>4500</v>
      </c>
      <c r="R2257" s="42">
        <v>1350</v>
      </c>
      <c r="T2257" s="284">
        <v>3150</v>
      </c>
      <c r="U2257" s="284"/>
    </row>
    <row r="2258" spans="1:21" x14ac:dyDescent="0.25">
      <c r="B2258" s="292">
        <v>157</v>
      </c>
      <c r="C2258" s="292"/>
      <c r="D2258" s="292"/>
      <c r="F2258" s="283" t="s">
        <v>273</v>
      </c>
      <c r="G2258" s="283"/>
      <c r="J2258" s="293">
        <v>3</v>
      </c>
      <c r="K2258" s="293"/>
      <c r="L2258" s="293"/>
      <c r="M2258" s="293"/>
      <c r="N2258" s="293"/>
      <c r="P2258" s="42">
        <v>1500</v>
      </c>
      <c r="R2258" s="42">
        <v>430</v>
      </c>
      <c r="T2258" s="284">
        <v>1070</v>
      </c>
      <c r="U2258" s="284"/>
    </row>
    <row r="2259" spans="1:21" x14ac:dyDescent="0.25">
      <c r="B2259" s="292">
        <v>158</v>
      </c>
      <c r="C2259" s="292"/>
      <c r="D2259" s="292"/>
      <c r="F2259" s="283" t="s">
        <v>206</v>
      </c>
      <c r="G2259" s="283"/>
      <c r="J2259" s="293">
        <v>1</v>
      </c>
      <c r="K2259" s="293"/>
      <c r="L2259" s="293"/>
      <c r="M2259" s="293"/>
      <c r="N2259" s="293"/>
      <c r="P2259" s="42">
        <v>500</v>
      </c>
      <c r="R2259" s="42">
        <v>0</v>
      </c>
      <c r="T2259" s="284">
        <v>500</v>
      </c>
      <c r="U2259" s="284"/>
    </row>
    <row r="2260" spans="1:21" x14ac:dyDescent="0.25">
      <c r="B2260" s="292">
        <v>159</v>
      </c>
      <c r="C2260" s="292"/>
      <c r="D2260" s="292"/>
      <c r="F2260" s="283" t="s">
        <v>272</v>
      </c>
      <c r="G2260" s="283"/>
      <c r="J2260" s="293">
        <v>2</v>
      </c>
      <c r="K2260" s="293"/>
      <c r="L2260" s="293"/>
      <c r="M2260" s="293"/>
      <c r="N2260" s="293"/>
      <c r="P2260" s="42">
        <v>1000</v>
      </c>
      <c r="R2260" s="42">
        <v>300</v>
      </c>
      <c r="T2260" s="284">
        <v>700</v>
      </c>
      <c r="U2260" s="284"/>
    </row>
    <row r="2261" spans="1:21" x14ac:dyDescent="0.25">
      <c r="B2261" s="292">
        <v>160</v>
      </c>
      <c r="C2261" s="292"/>
      <c r="D2261" s="292"/>
      <c r="F2261" s="283" t="s">
        <v>205</v>
      </c>
      <c r="G2261" s="283"/>
      <c r="J2261" s="293">
        <v>10</v>
      </c>
      <c r="K2261" s="293"/>
      <c r="L2261" s="293"/>
      <c r="M2261" s="293"/>
      <c r="N2261" s="293"/>
      <c r="P2261" s="42">
        <v>5000</v>
      </c>
      <c r="R2261" s="42">
        <v>1480</v>
      </c>
      <c r="T2261" s="284">
        <v>3520</v>
      </c>
      <c r="U2261" s="284"/>
    </row>
    <row r="2262" spans="1:21" x14ac:dyDescent="0.25">
      <c r="B2262" s="292">
        <v>161</v>
      </c>
      <c r="C2262" s="292"/>
      <c r="D2262" s="292"/>
      <c r="F2262" s="283" t="s">
        <v>83</v>
      </c>
      <c r="G2262" s="283"/>
      <c r="J2262" s="293">
        <v>1</v>
      </c>
      <c r="K2262" s="293"/>
      <c r="L2262" s="293"/>
      <c r="M2262" s="293"/>
      <c r="N2262" s="293"/>
      <c r="P2262" s="42">
        <v>500</v>
      </c>
      <c r="R2262" s="42">
        <v>150</v>
      </c>
      <c r="T2262" s="284">
        <v>350</v>
      </c>
      <c r="U2262" s="284"/>
    </row>
    <row r="2263" spans="1:21" x14ac:dyDescent="0.25">
      <c r="B2263" s="292">
        <v>162</v>
      </c>
      <c r="C2263" s="292"/>
      <c r="D2263" s="292"/>
      <c r="F2263" s="283" t="s">
        <v>271</v>
      </c>
      <c r="G2263" s="283"/>
      <c r="J2263" s="293">
        <v>5</v>
      </c>
      <c r="K2263" s="293"/>
      <c r="L2263" s="293"/>
      <c r="M2263" s="293"/>
      <c r="N2263" s="293"/>
      <c r="P2263" s="42">
        <v>2500</v>
      </c>
      <c r="R2263" s="42">
        <v>675</v>
      </c>
      <c r="T2263" s="284">
        <v>1825</v>
      </c>
      <c r="U2263" s="284"/>
    </row>
    <row r="2264" spans="1:21" x14ac:dyDescent="0.25">
      <c r="B2264" s="292">
        <v>163</v>
      </c>
      <c r="C2264" s="292"/>
      <c r="D2264" s="292"/>
      <c r="F2264" s="283" t="s">
        <v>363</v>
      </c>
      <c r="G2264" s="283"/>
      <c r="J2264" s="293">
        <v>2</v>
      </c>
      <c r="K2264" s="293"/>
      <c r="L2264" s="293"/>
      <c r="M2264" s="293"/>
      <c r="N2264" s="293"/>
      <c r="P2264" s="42">
        <v>1000</v>
      </c>
      <c r="R2264" s="42">
        <v>300</v>
      </c>
      <c r="T2264" s="284">
        <v>700</v>
      </c>
      <c r="U2264" s="284"/>
    </row>
    <row r="2265" spans="1:21" x14ac:dyDescent="0.25">
      <c r="B2265" s="292">
        <v>164</v>
      </c>
      <c r="C2265" s="292"/>
      <c r="D2265" s="292"/>
      <c r="F2265" s="283" t="s">
        <v>82</v>
      </c>
      <c r="G2265" s="283"/>
      <c r="J2265" s="293">
        <v>1</v>
      </c>
      <c r="K2265" s="293"/>
      <c r="L2265" s="293"/>
      <c r="M2265" s="293"/>
      <c r="N2265" s="293"/>
      <c r="P2265" s="42">
        <v>290</v>
      </c>
      <c r="R2265" s="42">
        <v>290</v>
      </c>
      <c r="T2265" s="284">
        <v>0</v>
      </c>
      <c r="U2265" s="284"/>
    </row>
    <row r="2266" spans="1:21" x14ac:dyDescent="0.25">
      <c r="B2266" s="292">
        <v>165</v>
      </c>
      <c r="C2266" s="292"/>
      <c r="D2266" s="292"/>
      <c r="F2266" s="283" t="s">
        <v>81</v>
      </c>
      <c r="G2266" s="283"/>
      <c r="J2266" s="293">
        <v>216</v>
      </c>
      <c r="K2266" s="293"/>
      <c r="L2266" s="293"/>
      <c r="M2266" s="293"/>
      <c r="N2266" s="293"/>
      <c r="P2266" s="42">
        <v>62640</v>
      </c>
      <c r="R2266" s="42">
        <v>23011</v>
      </c>
      <c r="T2266" s="284">
        <v>39629</v>
      </c>
      <c r="U2266" s="284"/>
    </row>
    <row r="2267" spans="1:21" s="40" customFormat="1" x14ac:dyDescent="0.25">
      <c r="A2267" s="290" t="s">
        <v>407</v>
      </c>
      <c r="B2267" s="290"/>
      <c r="C2267" s="290"/>
      <c r="D2267" s="290"/>
      <c r="E2267" s="290"/>
      <c r="F2267" s="290"/>
      <c r="G2267" s="290"/>
      <c r="H2267" s="290"/>
      <c r="I2267" s="290"/>
      <c r="J2267" s="290"/>
      <c r="K2267" s="291">
        <v>3890</v>
      </c>
      <c r="L2267" s="291"/>
      <c r="M2267" s="291"/>
      <c r="N2267" s="291"/>
      <c r="O2267" s="291"/>
      <c r="P2267" s="41">
        <v>3506220</v>
      </c>
      <c r="R2267" s="41">
        <v>2995685</v>
      </c>
      <c r="T2267" s="287">
        <v>510535</v>
      </c>
      <c r="U2267" s="287"/>
    </row>
    <row r="2268" spans="1:21" x14ac:dyDescent="0.25">
      <c r="B2268" s="292">
        <v>1</v>
      </c>
      <c r="C2268" s="292"/>
      <c r="D2268" s="292"/>
      <c r="F2268" s="283" t="s">
        <v>78</v>
      </c>
      <c r="G2268" s="283"/>
      <c r="J2268" s="293">
        <v>76</v>
      </c>
      <c r="K2268" s="293"/>
      <c r="L2268" s="293"/>
      <c r="M2268" s="293"/>
      <c r="N2268" s="293"/>
      <c r="P2268" s="42">
        <v>22040</v>
      </c>
      <c r="R2268" s="42">
        <v>22040</v>
      </c>
      <c r="T2268" s="284">
        <v>0</v>
      </c>
      <c r="U2268" s="284"/>
    </row>
    <row r="2269" spans="1:21" x14ac:dyDescent="0.25">
      <c r="B2269" s="292">
        <v>2</v>
      </c>
      <c r="C2269" s="292"/>
      <c r="D2269" s="292"/>
      <c r="F2269" s="283" t="s">
        <v>167</v>
      </c>
      <c r="G2269" s="283"/>
      <c r="J2269" s="293">
        <v>1</v>
      </c>
      <c r="K2269" s="293"/>
      <c r="L2269" s="293"/>
      <c r="M2269" s="293"/>
      <c r="N2269" s="293"/>
      <c r="P2269" s="42">
        <v>570</v>
      </c>
      <c r="R2269" s="42">
        <v>170</v>
      </c>
      <c r="T2269" s="284">
        <v>400</v>
      </c>
      <c r="U2269" s="284"/>
    </row>
    <row r="2270" spans="1:21" x14ac:dyDescent="0.25">
      <c r="B2270" s="292">
        <v>3</v>
      </c>
      <c r="C2270" s="292"/>
      <c r="D2270" s="292"/>
      <c r="F2270" s="283" t="s">
        <v>165</v>
      </c>
      <c r="G2270" s="283"/>
      <c r="J2270" s="293">
        <v>1</v>
      </c>
      <c r="K2270" s="293"/>
      <c r="L2270" s="293"/>
      <c r="M2270" s="293"/>
      <c r="N2270" s="293"/>
      <c r="P2270" s="42">
        <v>590</v>
      </c>
      <c r="R2270" s="42">
        <v>180</v>
      </c>
      <c r="T2270" s="284">
        <v>410</v>
      </c>
      <c r="U2270" s="284"/>
    </row>
    <row r="2271" spans="1:21" x14ac:dyDescent="0.25">
      <c r="B2271" s="292">
        <v>4</v>
      </c>
      <c r="C2271" s="292"/>
      <c r="D2271" s="292"/>
      <c r="F2271" s="283" t="s">
        <v>163</v>
      </c>
      <c r="G2271" s="283"/>
      <c r="J2271" s="293">
        <v>3</v>
      </c>
      <c r="K2271" s="293"/>
      <c r="L2271" s="293"/>
      <c r="M2271" s="293"/>
      <c r="N2271" s="293"/>
      <c r="P2271" s="42">
        <v>3570</v>
      </c>
      <c r="R2271" s="42">
        <v>540</v>
      </c>
      <c r="T2271" s="284">
        <v>3030</v>
      </c>
      <c r="U2271" s="284"/>
    </row>
    <row r="2272" spans="1:21" x14ac:dyDescent="0.25">
      <c r="B2272" s="292">
        <v>5</v>
      </c>
      <c r="C2272" s="292"/>
      <c r="D2272" s="292"/>
      <c r="F2272" s="283" t="s">
        <v>162</v>
      </c>
      <c r="G2272" s="283"/>
      <c r="J2272" s="293">
        <v>12</v>
      </c>
      <c r="K2272" s="293"/>
      <c r="L2272" s="293"/>
      <c r="M2272" s="293"/>
      <c r="N2272" s="293"/>
      <c r="P2272" s="42">
        <v>5160</v>
      </c>
      <c r="R2272" s="42">
        <v>2319</v>
      </c>
      <c r="T2272" s="284">
        <v>2841</v>
      </c>
      <c r="U2272" s="284"/>
    </row>
    <row r="2273" spans="2:21" x14ac:dyDescent="0.25">
      <c r="B2273" s="292">
        <v>6</v>
      </c>
      <c r="C2273" s="292"/>
      <c r="D2273" s="292"/>
      <c r="F2273" s="283" t="s">
        <v>384</v>
      </c>
      <c r="G2273" s="283"/>
      <c r="J2273" s="293">
        <v>1</v>
      </c>
      <c r="K2273" s="293"/>
      <c r="L2273" s="293"/>
      <c r="M2273" s="293"/>
      <c r="N2273" s="293"/>
      <c r="P2273" s="42">
        <v>4350</v>
      </c>
      <c r="R2273" s="42">
        <v>650</v>
      </c>
      <c r="T2273" s="284">
        <v>3700</v>
      </c>
      <c r="U2273" s="284"/>
    </row>
    <row r="2274" spans="2:21" x14ac:dyDescent="0.25">
      <c r="B2274" s="292">
        <v>7</v>
      </c>
      <c r="C2274" s="292"/>
      <c r="D2274" s="292"/>
      <c r="F2274" s="283" t="s">
        <v>160</v>
      </c>
      <c r="G2274" s="283"/>
      <c r="J2274" s="293">
        <v>10</v>
      </c>
      <c r="K2274" s="293"/>
      <c r="L2274" s="293"/>
      <c r="M2274" s="293"/>
      <c r="N2274" s="293"/>
      <c r="P2274" s="42">
        <v>2900</v>
      </c>
      <c r="R2274" s="42">
        <v>800</v>
      </c>
      <c r="T2274" s="284">
        <v>2100</v>
      </c>
      <c r="U2274" s="284"/>
    </row>
    <row r="2275" spans="2:21" x14ac:dyDescent="0.25">
      <c r="B2275" s="292">
        <v>8</v>
      </c>
      <c r="C2275" s="292"/>
      <c r="D2275" s="292"/>
      <c r="F2275" s="283" t="s">
        <v>266</v>
      </c>
      <c r="G2275" s="283"/>
      <c r="J2275" s="293">
        <v>1</v>
      </c>
      <c r="K2275" s="293"/>
      <c r="L2275" s="293"/>
      <c r="M2275" s="293"/>
      <c r="N2275" s="293"/>
      <c r="P2275" s="42">
        <v>1350</v>
      </c>
      <c r="R2275" s="42">
        <v>400</v>
      </c>
      <c r="T2275" s="284">
        <v>950</v>
      </c>
      <c r="U2275" s="284"/>
    </row>
    <row r="2276" spans="2:21" x14ac:dyDescent="0.25">
      <c r="B2276" s="292">
        <v>9</v>
      </c>
      <c r="C2276" s="292"/>
      <c r="D2276" s="292"/>
      <c r="F2276" s="283" t="s">
        <v>158</v>
      </c>
      <c r="G2276" s="283"/>
      <c r="J2276" s="293">
        <v>261</v>
      </c>
      <c r="K2276" s="293"/>
      <c r="L2276" s="293"/>
      <c r="M2276" s="293"/>
      <c r="N2276" s="293"/>
      <c r="P2276" s="42">
        <v>143550</v>
      </c>
      <c r="R2276" s="42">
        <v>42381</v>
      </c>
      <c r="T2276" s="284">
        <v>101169</v>
      </c>
      <c r="U2276" s="284"/>
    </row>
    <row r="2277" spans="2:21" x14ac:dyDescent="0.25">
      <c r="B2277" s="292">
        <v>10</v>
      </c>
      <c r="C2277" s="292"/>
      <c r="D2277" s="292"/>
      <c r="F2277" s="283" t="s">
        <v>157</v>
      </c>
      <c r="G2277" s="283"/>
      <c r="J2277" s="293">
        <v>131</v>
      </c>
      <c r="K2277" s="293"/>
      <c r="L2277" s="293"/>
      <c r="M2277" s="293"/>
      <c r="N2277" s="293"/>
      <c r="P2277" s="42">
        <v>64190</v>
      </c>
      <c r="R2277" s="42">
        <v>27282</v>
      </c>
      <c r="T2277" s="284">
        <v>36908</v>
      </c>
      <c r="U2277" s="284"/>
    </row>
    <row r="2278" spans="2:21" x14ac:dyDescent="0.25">
      <c r="B2278" s="292">
        <v>11</v>
      </c>
      <c r="C2278" s="292"/>
      <c r="D2278" s="292"/>
      <c r="F2278" s="283" t="s">
        <v>197</v>
      </c>
      <c r="G2278" s="283"/>
      <c r="J2278" s="293">
        <v>1</v>
      </c>
      <c r="K2278" s="293"/>
      <c r="L2278" s="293"/>
      <c r="M2278" s="293"/>
      <c r="N2278" s="293"/>
      <c r="P2278" s="42">
        <v>500</v>
      </c>
      <c r="R2278" s="42">
        <v>150</v>
      </c>
      <c r="T2278" s="284">
        <v>350</v>
      </c>
      <c r="U2278" s="284"/>
    </row>
    <row r="2279" spans="2:21" x14ac:dyDescent="0.25">
      <c r="B2279" s="292">
        <v>12</v>
      </c>
      <c r="C2279" s="292"/>
      <c r="D2279" s="292"/>
      <c r="F2279" s="283" t="s">
        <v>196</v>
      </c>
      <c r="G2279" s="283"/>
      <c r="J2279" s="293">
        <v>1</v>
      </c>
      <c r="K2279" s="293"/>
      <c r="L2279" s="293"/>
      <c r="M2279" s="293"/>
      <c r="N2279" s="293"/>
      <c r="P2279" s="42">
        <v>700</v>
      </c>
      <c r="R2279" s="42">
        <v>350</v>
      </c>
      <c r="T2279" s="284">
        <v>350</v>
      </c>
      <c r="U2279" s="284"/>
    </row>
    <row r="2280" spans="2:21" x14ac:dyDescent="0.25">
      <c r="B2280" s="292">
        <v>13</v>
      </c>
      <c r="C2280" s="292"/>
      <c r="D2280" s="292"/>
      <c r="F2280" s="283" t="s">
        <v>309</v>
      </c>
      <c r="G2280" s="283"/>
      <c r="J2280" s="293">
        <v>1</v>
      </c>
      <c r="K2280" s="293"/>
      <c r="L2280" s="293"/>
      <c r="M2280" s="293"/>
      <c r="N2280" s="293"/>
      <c r="P2280" s="42">
        <v>500</v>
      </c>
      <c r="R2280" s="42">
        <v>130</v>
      </c>
      <c r="T2280" s="284">
        <v>370</v>
      </c>
      <c r="U2280" s="284"/>
    </row>
    <row r="2281" spans="2:21" x14ac:dyDescent="0.25">
      <c r="B2281" s="292">
        <v>14</v>
      </c>
      <c r="C2281" s="292"/>
      <c r="D2281" s="292"/>
      <c r="F2281" s="283" t="s">
        <v>77</v>
      </c>
      <c r="G2281" s="283"/>
      <c r="J2281" s="293">
        <v>500</v>
      </c>
      <c r="K2281" s="293"/>
      <c r="L2281" s="293"/>
      <c r="M2281" s="293"/>
      <c r="N2281" s="293"/>
      <c r="P2281" s="42">
        <v>200500</v>
      </c>
      <c r="R2281" s="42">
        <v>196500</v>
      </c>
      <c r="T2281" s="284">
        <v>4000</v>
      </c>
      <c r="U2281" s="284"/>
    </row>
    <row r="2282" spans="2:21" x14ac:dyDescent="0.25">
      <c r="B2282" s="292">
        <v>15</v>
      </c>
      <c r="C2282" s="292"/>
      <c r="D2282" s="292"/>
      <c r="F2282" s="283" t="s">
        <v>241</v>
      </c>
      <c r="G2282" s="283"/>
      <c r="J2282" s="293">
        <v>2</v>
      </c>
      <c r="K2282" s="293"/>
      <c r="L2282" s="293"/>
      <c r="M2282" s="293"/>
      <c r="N2282" s="293"/>
      <c r="P2282" s="42">
        <v>700</v>
      </c>
      <c r="R2282" s="42">
        <v>700</v>
      </c>
      <c r="T2282" s="284">
        <v>0</v>
      </c>
      <c r="U2282" s="284"/>
    </row>
    <row r="2283" spans="2:21" x14ac:dyDescent="0.25">
      <c r="B2283" s="292">
        <v>16</v>
      </c>
      <c r="C2283" s="292"/>
      <c r="D2283" s="292"/>
      <c r="F2283" s="283" t="s">
        <v>156</v>
      </c>
      <c r="G2283" s="283"/>
      <c r="J2283" s="293">
        <v>14</v>
      </c>
      <c r="K2283" s="293"/>
      <c r="L2283" s="293"/>
      <c r="M2283" s="293"/>
      <c r="N2283" s="293"/>
      <c r="P2283" s="42">
        <v>2660</v>
      </c>
      <c r="R2283" s="42">
        <v>610</v>
      </c>
      <c r="T2283" s="284">
        <v>2050</v>
      </c>
      <c r="U2283" s="284"/>
    </row>
    <row r="2284" spans="2:21" x14ac:dyDescent="0.25">
      <c r="B2284" s="292">
        <v>17</v>
      </c>
      <c r="C2284" s="292"/>
      <c r="D2284" s="292"/>
      <c r="F2284" s="283" t="s">
        <v>155</v>
      </c>
      <c r="G2284" s="283"/>
      <c r="J2284" s="293">
        <v>24</v>
      </c>
      <c r="K2284" s="293"/>
      <c r="L2284" s="293"/>
      <c r="M2284" s="293"/>
      <c r="N2284" s="293"/>
      <c r="P2284" s="42">
        <v>6000</v>
      </c>
      <c r="R2284" s="42">
        <v>1960</v>
      </c>
      <c r="T2284" s="284">
        <v>4040</v>
      </c>
      <c r="U2284" s="284"/>
    </row>
    <row r="2285" spans="2:21" x14ac:dyDescent="0.25">
      <c r="B2285" s="292">
        <v>18</v>
      </c>
      <c r="C2285" s="292"/>
      <c r="D2285" s="292"/>
      <c r="F2285" s="283" t="s">
        <v>152</v>
      </c>
      <c r="G2285" s="283"/>
      <c r="J2285" s="293">
        <v>6</v>
      </c>
      <c r="K2285" s="293"/>
      <c r="L2285" s="293"/>
      <c r="M2285" s="293"/>
      <c r="N2285" s="293"/>
      <c r="P2285" s="42">
        <v>3540</v>
      </c>
      <c r="R2285" s="42">
        <v>1080</v>
      </c>
      <c r="T2285" s="284">
        <v>2460</v>
      </c>
      <c r="U2285" s="284"/>
    </row>
    <row r="2286" spans="2:21" x14ac:dyDescent="0.25">
      <c r="B2286" s="292">
        <v>19</v>
      </c>
      <c r="C2286" s="292"/>
      <c r="D2286" s="292"/>
      <c r="F2286" s="283" t="s">
        <v>151</v>
      </c>
      <c r="G2286" s="283"/>
      <c r="J2286" s="293">
        <v>56</v>
      </c>
      <c r="K2286" s="293"/>
      <c r="L2286" s="293"/>
      <c r="M2286" s="293"/>
      <c r="N2286" s="293"/>
      <c r="P2286" s="42">
        <v>12880</v>
      </c>
      <c r="R2286" s="42">
        <v>4274</v>
      </c>
      <c r="T2286" s="284">
        <v>8606</v>
      </c>
      <c r="U2286" s="284"/>
    </row>
    <row r="2287" spans="2:21" x14ac:dyDescent="0.25">
      <c r="B2287" s="292">
        <v>20</v>
      </c>
      <c r="C2287" s="292"/>
      <c r="D2287" s="292"/>
      <c r="F2287" s="283" t="s">
        <v>337</v>
      </c>
      <c r="G2287" s="283"/>
      <c r="J2287" s="293">
        <v>1</v>
      </c>
      <c r="K2287" s="293"/>
      <c r="L2287" s="293"/>
      <c r="M2287" s="293"/>
      <c r="N2287" s="293"/>
      <c r="P2287" s="42">
        <v>1380</v>
      </c>
      <c r="R2287" s="42">
        <v>210</v>
      </c>
      <c r="T2287" s="284">
        <v>1170</v>
      </c>
      <c r="U2287" s="284"/>
    </row>
    <row r="2288" spans="2:21" x14ac:dyDescent="0.25">
      <c r="B2288" s="292">
        <v>21</v>
      </c>
      <c r="C2288" s="292"/>
      <c r="D2288" s="292"/>
      <c r="F2288" s="283" t="s">
        <v>150</v>
      </c>
      <c r="G2288" s="283"/>
      <c r="J2288" s="293">
        <v>14</v>
      </c>
      <c r="K2288" s="293"/>
      <c r="L2288" s="293"/>
      <c r="M2288" s="293"/>
      <c r="N2288" s="293"/>
      <c r="P2288" s="42">
        <v>2380</v>
      </c>
      <c r="R2288" s="42">
        <v>650</v>
      </c>
      <c r="T2288" s="284">
        <v>1730</v>
      </c>
      <c r="U2288" s="284"/>
    </row>
    <row r="2289" spans="2:21" x14ac:dyDescent="0.25">
      <c r="B2289" s="292">
        <v>22</v>
      </c>
      <c r="C2289" s="292"/>
      <c r="D2289" s="292"/>
      <c r="F2289" s="283" t="s">
        <v>233</v>
      </c>
      <c r="G2289" s="283"/>
      <c r="J2289" s="293">
        <v>1</v>
      </c>
      <c r="K2289" s="293"/>
      <c r="L2289" s="293"/>
      <c r="M2289" s="293"/>
      <c r="N2289" s="293"/>
      <c r="P2289" s="42">
        <v>980</v>
      </c>
      <c r="R2289" s="42">
        <v>150</v>
      </c>
      <c r="T2289" s="284">
        <v>830</v>
      </c>
      <c r="U2289" s="284"/>
    </row>
    <row r="2290" spans="2:21" x14ac:dyDescent="0.25">
      <c r="B2290" s="292">
        <v>23</v>
      </c>
      <c r="C2290" s="292"/>
      <c r="D2290" s="292"/>
      <c r="F2290" s="283" t="s">
        <v>232</v>
      </c>
      <c r="G2290" s="283"/>
      <c r="J2290" s="293">
        <v>1</v>
      </c>
      <c r="K2290" s="293"/>
      <c r="L2290" s="293"/>
      <c r="M2290" s="293"/>
      <c r="N2290" s="293"/>
      <c r="P2290" s="42">
        <v>980</v>
      </c>
      <c r="R2290" s="42">
        <v>150</v>
      </c>
      <c r="T2290" s="284">
        <v>830</v>
      </c>
      <c r="U2290" s="284"/>
    </row>
    <row r="2291" spans="2:21" x14ac:dyDescent="0.25">
      <c r="B2291" s="292">
        <v>24</v>
      </c>
      <c r="C2291" s="292"/>
      <c r="D2291" s="292"/>
      <c r="F2291" s="283" t="s">
        <v>75</v>
      </c>
      <c r="G2291" s="283"/>
      <c r="J2291" s="293">
        <v>989</v>
      </c>
      <c r="K2291" s="293"/>
      <c r="L2291" s="293"/>
      <c r="M2291" s="293"/>
      <c r="N2291" s="293"/>
      <c r="P2291" s="42">
        <v>2472500</v>
      </c>
      <c r="R2291" s="42">
        <v>2472500</v>
      </c>
      <c r="T2291" s="284">
        <v>0</v>
      </c>
      <c r="U2291" s="284"/>
    </row>
    <row r="2292" spans="2:21" x14ac:dyDescent="0.25">
      <c r="B2292" s="292">
        <v>25</v>
      </c>
      <c r="C2292" s="292"/>
      <c r="D2292" s="292"/>
      <c r="F2292" s="283" t="s">
        <v>139</v>
      </c>
      <c r="G2292" s="283"/>
      <c r="J2292" s="293">
        <v>3</v>
      </c>
      <c r="K2292" s="293"/>
      <c r="L2292" s="293"/>
      <c r="M2292" s="293"/>
      <c r="N2292" s="293"/>
      <c r="P2292" s="42">
        <v>810</v>
      </c>
      <c r="R2292" s="42">
        <v>200</v>
      </c>
      <c r="T2292" s="284">
        <v>610</v>
      </c>
      <c r="U2292" s="284"/>
    </row>
    <row r="2293" spans="2:21" x14ac:dyDescent="0.25">
      <c r="B2293" s="292">
        <v>26</v>
      </c>
      <c r="C2293" s="292"/>
      <c r="D2293" s="292"/>
      <c r="F2293" s="283" t="s">
        <v>136</v>
      </c>
      <c r="G2293" s="283"/>
      <c r="J2293" s="293">
        <v>18</v>
      </c>
      <c r="K2293" s="293"/>
      <c r="L2293" s="293"/>
      <c r="M2293" s="293"/>
      <c r="N2293" s="293"/>
      <c r="P2293" s="42">
        <v>15300</v>
      </c>
      <c r="R2293" s="42">
        <v>2990</v>
      </c>
      <c r="T2293" s="284">
        <v>12310</v>
      </c>
      <c r="U2293" s="284"/>
    </row>
    <row r="2294" spans="2:21" x14ac:dyDescent="0.25">
      <c r="B2294" s="292">
        <v>27</v>
      </c>
      <c r="C2294" s="292"/>
      <c r="D2294" s="292"/>
      <c r="F2294" s="283" t="s">
        <v>74</v>
      </c>
      <c r="G2294" s="283"/>
      <c r="J2294" s="293">
        <v>70</v>
      </c>
      <c r="K2294" s="293"/>
      <c r="L2294" s="293"/>
      <c r="M2294" s="293"/>
      <c r="N2294" s="293"/>
      <c r="P2294" s="42">
        <v>59500</v>
      </c>
      <c r="R2294" s="42">
        <v>59500</v>
      </c>
      <c r="T2294" s="284">
        <v>0</v>
      </c>
      <c r="U2294" s="284"/>
    </row>
    <row r="2295" spans="2:21" x14ac:dyDescent="0.25">
      <c r="B2295" s="292">
        <v>28</v>
      </c>
      <c r="C2295" s="292"/>
      <c r="D2295" s="292"/>
      <c r="F2295" s="283" t="s">
        <v>190</v>
      </c>
      <c r="G2295" s="283"/>
      <c r="J2295" s="293">
        <v>4</v>
      </c>
      <c r="K2295" s="293"/>
      <c r="L2295" s="293"/>
      <c r="M2295" s="293"/>
      <c r="N2295" s="293"/>
      <c r="P2295" s="42">
        <v>6280</v>
      </c>
      <c r="R2295" s="42">
        <v>960</v>
      </c>
      <c r="T2295" s="284">
        <v>5320</v>
      </c>
      <c r="U2295" s="284"/>
    </row>
    <row r="2296" spans="2:21" x14ac:dyDescent="0.25">
      <c r="B2296" s="292">
        <v>29</v>
      </c>
      <c r="C2296" s="292"/>
      <c r="D2296" s="292"/>
      <c r="F2296" s="283" t="s">
        <v>135</v>
      </c>
      <c r="G2296" s="283"/>
      <c r="J2296" s="293">
        <v>4</v>
      </c>
      <c r="K2296" s="293"/>
      <c r="L2296" s="293"/>
      <c r="M2296" s="293"/>
      <c r="N2296" s="293"/>
      <c r="P2296" s="42">
        <v>3800</v>
      </c>
      <c r="R2296" s="42">
        <v>1120</v>
      </c>
      <c r="T2296" s="284">
        <v>2680</v>
      </c>
      <c r="U2296" s="284"/>
    </row>
    <row r="2297" spans="2:21" x14ac:dyDescent="0.25">
      <c r="B2297" s="292">
        <v>30</v>
      </c>
      <c r="C2297" s="292"/>
      <c r="D2297" s="292"/>
      <c r="F2297" s="283" t="s">
        <v>134</v>
      </c>
      <c r="G2297" s="283"/>
      <c r="J2297" s="293">
        <v>2</v>
      </c>
      <c r="K2297" s="293"/>
      <c r="L2297" s="293"/>
      <c r="M2297" s="293"/>
      <c r="N2297" s="293"/>
      <c r="P2297" s="42">
        <v>7400</v>
      </c>
      <c r="R2297" s="42">
        <v>1600</v>
      </c>
      <c r="T2297" s="284">
        <v>5800</v>
      </c>
      <c r="U2297" s="284"/>
    </row>
    <row r="2298" spans="2:21" x14ac:dyDescent="0.25">
      <c r="B2298" s="292">
        <v>31</v>
      </c>
      <c r="C2298" s="292"/>
      <c r="D2298" s="292"/>
      <c r="F2298" s="283" t="s">
        <v>229</v>
      </c>
      <c r="G2298" s="283"/>
      <c r="J2298" s="293">
        <v>3</v>
      </c>
      <c r="K2298" s="293"/>
      <c r="L2298" s="293"/>
      <c r="M2298" s="293"/>
      <c r="N2298" s="293"/>
      <c r="P2298" s="42">
        <v>21000</v>
      </c>
      <c r="R2298" s="42">
        <v>9300</v>
      </c>
      <c r="T2298" s="284">
        <v>11700</v>
      </c>
      <c r="U2298" s="284"/>
    </row>
    <row r="2299" spans="2:21" x14ac:dyDescent="0.25">
      <c r="B2299" s="292">
        <v>32</v>
      </c>
      <c r="C2299" s="292"/>
      <c r="D2299" s="292"/>
      <c r="F2299" s="283" t="s">
        <v>132</v>
      </c>
      <c r="G2299" s="283"/>
      <c r="J2299" s="293">
        <v>4</v>
      </c>
      <c r="K2299" s="293"/>
      <c r="L2299" s="293"/>
      <c r="M2299" s="293"/>
      <c r="N2299" s="293"/>
      <c r="P2299" s="42">
        <v>4960</v>
      </c>
      <c r="R2299" s="42">
        <v>1480</v>
      </c>
      <c r="T2299" s="284">
        <v>3480</v>
      </c>
      <c r="U2299" s="284"/>
    </row>
    <row r="2300" spans="2:21" x14ac:dyDescent="0.25">
      <c r="B2300" s="292">
        <v>33</v>
      </c>
      <c r="C2300" s="292"/>
      <c r="D2300" s="292"/>
      <c r="F2300" s="283" t="s">
        <v>131</v>
      </c>
      <c r="G2300" s="283"/>
      <c r="J2300" s="293">
        <v>3</v>
      </c>
      <c r="K2300" s="293"/>
      <c r="L2300" s="293"/>
      <c r="M2300" s="293"/>
      <c r="N2300" s="293"/>
      <c r="P2300" s="42">
        <v>11100</v>
      </c>
      <c r="R2300" s="42">
        <v>2400</v>
      </c>
      <c r="T2300" s="284">
        <v>8700</v>
      </c>
      <c r="U2300" s="284"/>
    </row>
    <row r="2301" spans="2:21" x14ac:dyDescent="0.25">
      <c r="B2301" s="292">
        <v>34</v>
      </c>
      <c r="C2301" s="292"/>
      <c r="D2301" s="292"/>
      <c r="F2301" s="283" t="s">
        <v>130</v>
      </c>
      <c r="G2301" s="283"/>
      <c r="J2301" s="293">
        <v>20</v>
      </c>
      <c r="K2301" s="293"/>
      <c r="L2301" s="293"/>
      <c r="M2301" s="293"/>
      <c r="N2301" s="293"/>
      <c r="P2301" s="42">
        <v>160000</v>
      </c>
      <c r="R2301" s="42">
        <v>82000</v>
      </c>
      <c r="T2301" s="284">
        <v>78000</v>
      </c>
      <c r="U2301" s="284"/>
    </row>
    <row r="2302" spans="2:21" x14ac:dyDescent="0.25">
      <c r="B2302" s="292">
        <v>35</v>
      </c>
      <c r="C2302" s="292"/>
      <c r="D2302" s="292"/>
      <c r="F2302" s="285" t="s">
        <v>186</v>
      </c>
      <c r="G2302" s="285"/>
      <c r="J2302" s="293">
        <v>923</v>
      </c>
      <c r="K2302" s="293"/>
      <c r="L2302" s="293"/>
      <c r="M2302" s="293"/>
      <c r="N2302" s="293"/>
      <c r="P2302" s="42">
        <v>55380</v>
      </c>
      <c r="R2302" s="42">
        <v>0</v>
      </c>
      <c r="T2302" s="284">
        <v>55380</v>
      </c>
      <c r="U2302" s="284"/>
    </row>
    <row r="2303" spans="2:21" x14ac:dyDescent="0.25">
      <c r="F2303" s="285"/>
      <c r="G2303" s="285"/>
    </row>
    <row r="2304" spans="2:21" x14ac:dyDescent="0.25">
      <c r="B2304" s="292">
        <v>36</v>
      </c>
      <c r="C2304" s="292"/>
      <c r="D2304" s="292"/>
      <c r="F2304" s="283" t="s">
        <v>127</v>
      </c>
      <c r="G2304" s="283"/>
      <c r="J2304" s="293">
        <v>33</v>
      </c>
      <c r="K2304" s="293"/>
      <c r="L2304" s="293"/>
      <c r="M2304" s="293"/>
      <c r="N2304" s="293"/>
      <c r="P2304" s="42">
        <v>9900</v>
      </c>
      <c r="R2304" s="42">
        <v>3257</v>
      </c>
      <c r="T2304" s="284">
        <v>6643</v>
      </c>
      <c r="U2304" s="284"/>
    </row>
    <row r="2305" spans="2:21" x14ac:dyDescent="0.25">
      <c r="B2305" s="292">
        <v>37</v>
      </c>
      <c r="C2305" s="292"/>
      <c r="D2305" s="292"/>
      <c r="F2305" s="283" t="s">
        <v>126</v>
      </c>
      <c r="G2305" s="283"/>
      <c r="J2305" s="293">
        <v>33</v>
      </c>
      <c r="K2305" s="293"/>
      <c r="L2305" s="293"/>
      <c r="M2305" s="293"/>
      <c r="N2305" s="293"/>
      <c r="P2305" s="42">
        <v>6600</v>
      </c>
      <c r="R2305" s="42">
        <v>2169</v>
      </c>
      <c r="T2305" s="284">
        <v>4431</v>
      </c>
      <c r="U2305" s="284"/>
    </row>
    <row r="2306" spans="2:21" x14ac:dyDescent="0.25">
      <c r="B2306" s="292">
        <v>38</v>
      </c>
      <c r="C2306" s="292"/>
      <c r="D2306" s="292"/>
      <c r="F2306" s="283" t="s">
        <v>125</v>
      </c>
      <c r="G2306" s="283"/>
      <c r="J2306" s="293">
        <v>2</v>
      </c>
      <c r="K2306" s="293"/>
      <c r="L2306" s="293"/>
      <c r="M2306" s="293"/>
      <c r="N2306" s="293"/>
      <c r="P2306" s="42">
        <v>800</v>
      </c>
      <c r="R2306" s="42">
        <v>240</v>
      </c>
      <c r="T2306" s="284">
        <v>560</v>
      </c>
      <c r="U2306" s="284"/>
    </row>
    <row r="2307" spans="2:21" x14ac:dyDescent="0.25">
      <c r="B2307" s="292">
        <v>39</v>
      </c>
      <c r="C2307" s="292"/>
      <c r="D2307" s="292"/>
      <c r="F2307" s="283" t="s">
        <v>124</v>
      </c>
      <c r="G2307" s="283"/>
      <c r="J2307" s="293">
        <v>4</v>
      </c>
      <c r="K2307" s="293"/>
      <c r="L2307" s="293"/>
      <c r="M2307" s="293"/>
      <c r="N2307" s="293"/>
      <c r="P2307" s="42">
        <v>2360</v>
      </c>
      <c r="R2307" s="42">
        <v>700</v>
      </c>
      <c r="T2307" s="284">
        <v>1660</v>
      </c>
      <c r="U2307" s="284"/>
    </row>
    <row r="2308" spans="2:21" x14ac:dyDescent="0.25">
      <c r="B2308" s="292">
        <v>40</v>
      </c>
      <c r="C2308" s="292"/>
      <c r="D2308" s="292"/>
      <c r="F2308" s="283" t="s">
        <v>119</v>
      </c>
      <c r="G2308" s="283"/>
      <c r="J2308" s="293">
        <v>11</v>
      </c>
      <c r="K2308" s="293"/>
      <c r="L2308" s="293"/>
      <c r="M2308" s="293"/>
      <c r="N2308" s="293"/>
      <c r="P2308" s="42">
        <v>9790</v>
      </c>
      <c r="R2308" s="42">
        <v>3102</v>
      </c>
      <c r="T2308" s="284">
        <v>6688</v>
      </c>
      <c r="U2308" s="284"/>
    </row>
    <row r="2309" spans="2:21" x14ac:dyDescent="0.25">
      <c r="B2309" s="292">
        <v>41</v>
      </c>
      <c r="C2309" s="292"/>
      <c r="D2309" s="292"/>
      <c r="F2309" s="283" t="s">
        <v>118</v>
      </c>
      <c r="G2309" s="283"/>
      <c r="J2309" s="293">
        <v>43</v>
      </c>
      <c r="K2309" s="293"/>
      <c r="L2309" s="293"/>
      <c r="M2309" s="293"/>
      <c r="N2309" s="293"/>
      <c r="P2309" s="42">
        <v>42570</v>
      </c>
      <c r="R2309" s="42">
        <v>14397</v>
      </c>
      <c r="T2309" s="284">
        <v>28173</v>
      </c>
      <c r="U2309" s="284"/>
    </row>
    <row r="2310" spans="2:21" x14ac:dyDescent="0.25">
      <c r="B2310" s="292">
        <v>42</v>
      </c>
      <c r="C2310" s="292"/>
      <c r="D2310" s="292"/>
      <c r="F2310" s="283" t="s">
        <v>117</v>
      </c>
      <c r="G2310" s="283"/>
      <c r="J2310" s="293">
        <v>1</v>
      </c>
      <c r="K2310" s="293"/>
      <c r="L2310" s="293"/>
      <c r="M2310" s="293"/>
      <c r="N2310" s="293"/>
      <c r="P2310" s="42">
        <v>800</v>
      </c>
      <c r="R2310" s="42">
        <v>200</v>
      </c>
      <c r="T2310" s="284">
        <v>600</v>
      </c>
      <c r="U2310" s="284"/>
    </row>
    <row r="2311" spans="2:21" x14ac:dyDescent="0.25">
      <c r="B2311" s="292">
        <v>43</v>
      </c>
      <c r="C2311" s="292"/>
      <c r="D2311" s="292"/>
      <c r="F2311" s="283" t="s">
        <v>115</v>
      </c>
      <c r="G2311" s="283"/>
      <c r="J2311" s="293">
        <v>11</v>
      </c>
      <c r="K2311" s="293"/>
      <c r="L2311" s="293"/>
      <c r="M2311" s="293"/>
      <c r="N2311" s="293"/>
      <c r="P2311" s="42">
        <v>3190</v>
      </c>
      <c r="R2311" s="42">
        <v>1105</v>
      </c>
      <c r="T2311" s="284">
        <v>2085</v>
      </c>
      <c r="U2311" s="284"/>
    </row>
    <row r="2312" spans="2:21" x14ac:dyDescent="0.25">
      <c r="B2312" s="292">
        <v>44</v>
      </c>
      <c r="C2312" s="292"/>
      <c r="D2312" s="292"/>
      <c r="F2312" s="283" t="s">
        <v>301</v>
      </c>
      <c r="G2312" s="283"/>
      <c r="J2312" s="293">
        <v>1</v>
      </c>
      <c r="K2312" s="293"/>
      <c r="L2312" s="293"/>
      <c r="M2312" s="293"/>
      <c r="N2312" s="293"/>
      <c r="P2312" s="42">
        <v>800</v>
      </c>
      <c r="R2312" s="42">
        <v>200</v>
      </c>
      <c r="T2312" s="284">
        <v>600</v>
      </c>
      <c r="U2312" s="284"/>
    </row>
    <row r="2313" spans="2:21" x14ac:dyDescent="0.25">
      <c r="B2313" s="292">
        <v>45</v>
      </c>
      <c r="C2313" s="292"/>
      <c r="D2313" s="292"/>
      <c r="F2313" s="283" t="s">
        <v>219</v>
      </c>
      <c r="G2313" s="283"/>
      <c r="J2313" s="293">
        <v>3</v>
      </c>
      <c r="K2313" s="293"/>
      <c r="L2313" s="293"/>
      <c r="M2313" s="293"/>
      <c r="N2313" s="293"/>
      <c r="P2313" s="42">
        <v>1500</v>
      </c>
      <c r="R2313" s="42">
        <v>430</v>
      </c>
      <c r="T2313" s="284">
        <v>1070</v>
      </c>
      <c r="U2313" s="284"/>
    </row>
    <row r="2314" spans="2:21" x14ac:dyDescent="0.25">
      <c r="B2314" s="292">
        <v>46</v>
      </c>
      <c r="C2314" s="292"/>
      <c r="D2314" s="292"/>
      <c r="F2314" s="283" t="s">
        <v>334</v>
      </c>
      <c r="G2314" s="283"/>
      <c r="J2314" s="293">
        <v>1</v>
      </c>
      <c r="K2314" s="293"/>
      <c r="L2314" s="293"/>
      <c r="M2314" s="293"/>
      <c r="N2314" s="293"/>
      <c r="P2314" s="42">
        <v>790</v>
      </c>
      <c r="R2314" s="42">
        <v>120</v>
      </c>
      <c r="T2314" s="284">
        <v>670</v>
      </c>
      <c r="U2314" s="284"/>
    </row>
    <row r="2315" spans="2:21" x14ac:dyDescent="0.25">
      <c r="B2315" s="292">
        <v>47</v>
      </c>
      <c r="C2315" s="292"/>
      <c r="D2315" s="292"/>
      <c r="F2315" s="283" t="s">
        <v>109</v>
      </c>
      <c r="G2315" s="283"/>
      <c r="J2315" s="293">
        <v>1</v>
      </c>
      <c r="K2315" s="293"/>
      <c r="L2315" s="293"/>
      <c r="M2315" s="293"/>
      <c r="N2315" s="293"/>
      <c r="P2315" s="42">
        <v>780</v>
      </c>
      <c r="R2315" s="42">
        <v>230</v>
      </c>
      <c r="T2315" s="284">
        <v>550</v>
      </c>
      <c r="U2315" s="284"/>
    </row>
    <row r="2316" spans="2:21" x14ac:dyDescent="0.25">
      <c r="B2316" s="292">
        <v>48</v>
      </c>
      <c r="C2316" s="292"/>
      <c r="D2316" s="292"/>
      <c r="F2316" s="283" t="s">
        <v>108</v>
      </c>
      <c r="G2316" s="283"/>
      <c r="J2316" s="293">
        <v>33</v>
      </c>
      <c r="K2316" s="293"/>
      <c r="L2316" s="293"/>
      <c r="M2316" s="293"/>
      <c r="N2316" s="293"/>
      <c r="P2316" s="42">
        <v>3300</v>
      </c>
      <c r="R2316" s="42">
        <v>30</v>
      </c>
      <c r="T2316" s="284">
        <v>3270</v>
      </c>
      <c r="U2316" s="284"/>
    </row>
    <row r="2317" spans="2:21" x14ac:dyDescent="0.25">
      <c r="B2317" s="292">
        <v>49</v>
      </c>
      <c r="C2317" s="292"/>
      <c r="D2317" s="292"/>
      <c r="F2317" s="283" t="s">
        <v>107</v>
      </c>
      <c r="G2317" s="283"/>
      <c r="J2317" s="293">
        <v>30</v>
      </c>
      <c r="K2317" s="293"/>
      <c r="L2317" s="293"/>
      <c r="M2317" s="293"/>
      <c r="N2317" s="293"/>
      <c r="P2317" s="42">
        <v>5100</v>
      </c>
      <c r="R2317" s="42">
        <v>1660</v>
      </c>
      <c r="T2317" s="284">
        <v>3440</v>
      </c>
      <c r="U2317" s="284"/>
    </row>
    <row r="2318" spans="2:21" x14ac:dyDescent="0.25">
      <c r="B2318" s="292">
        <v>50</v>
      </c>
      <c r="C2318" s="292"/>
      <c r="D2318" s="292"/>
      <c r="F2318" s="283" t="s">
        <v>106</v>
      </c>
      <c r="G2318" s="283"/>
      <c r="J2318" s="293">
        <v>332</v>
      </c>
      <c r="K2318" s="293"/>
      <c r="L2318" s="293"/>
      <c r="M2318" s="293"/>
      <c r="N2318" s="293"/>
      <c r="P2318" s="42">
        <v>33200</v>
      </c>
      <c r="R2318" s="42">
        <v>7710</v>
      </c>
      <c r="T2318" s="284">
        <v>25490</v>
      </c>
      <c r="U2318" s="284"/>
    </row>
    <row r="2319" spans="2:21" x14ac:dyDescent="0.25">
      <c r="B2319" s="292">
        <v>51</v>
      </c>
      <c r="C2319" s="292"/>
      <c r="D2319" s="292"/>
      <c r="F2319" s="283" t="s">
        <v>216</v>
      </c>
      <c r="G2319" s="283"/>
      <c r="J2319" s="293">
        <v>1</v>
      </c>
      <c r="K2319" s="293"/>
      <c r="L2319" s="293"/>
      <c r="M2319" s="293"/>
      <c r="N2319" s="293"/>
      <c r="P2319" s="42">
        <v>1080</v>
      </c>
      <c r="R2319" s="42">
        <v>165</v>
      </c>
      <c r="T2319" s="284">
        <v>915</v>
      </c>
      <c r="U2319" s="284"/>
    </row>
    <row r="2320" spans="2:21" x14ac:dyDescent="0.25">
      <c r="B2320" s="292">
        <v>52</v>
      </c>
      <c r="C2320" s="292"/>
      <c r="D2320" s="292"/>
      <c r="F2320" s="283" t="s">
        <v>214</v>
      </c>
      <c r="G2320" s="283"/>
      <c r="J2320" s="293">
        <v>1</v>
      </c>
      <c r="K2320" s="293"/>
      <c r="L2320" s="293"/>
      <c r="M2320" s="293"/>
      <c r="N2320" s="293"/>
      <c r="P2320" s="42">
        <v>990</v>
      </c>
      <c r="R2320" s="42">
        <v>150</v>
      </c>
      <c r="T2320" s="284">
        <v>840</v>
      </c>
      <c r="U2320" s="284"/>
    </row>
    <row r="2321" spans="2:21" x14ac:dyDescent="0.25">
      <c r="B2321" s="292">
        <v>53</v>
      </c>
      <c r="C2321" s="292"/>
      <c r="D2321" s="292"/>
      <c r="F2321" s="283" t="s">
        <v>103</v>
      </c>
      <c r="G2321" s="283"/>
      <c r="J2321" s="293">
        <v>18</v>
      </c>
      <c r="K2321" s="293"/>
      <c r="L2321" s="293"/>
      <c r="M2321" s="293"/>
      <c r="N2321" s="293"/>
      <c r="P2321" s="42">
        <v>5940</v>
      </c>
      <c r="R2321" s="42">
        <v>2048</v>
      </c>
      <c r="T2321" s="284">
        <v>3892</v>
      </c>
      <c r="U2321" s="284"/>
    </row>
    <row r="2322" spans="2:21" x14ac:dyDescent="0.25">
      <c r="B2322" s="292">
        <v>54</v>
      </c>
      <c r="C2322" s="292"/>
      <c r="D2322" s="292"/>
      <c r="F2322" s="283" t="s">
        <v>102</v>
      </c>
      <c r="G2322" s="283"/>
      <c r="J2322" s="293">
        <v>4</v>
      </c>
      <c r="K2322" s="293"/>
      <c r="L2322" s="293"/>
      <c r="M2322" s="293"/>
      <c r="N2322" s="293"/>
      <c r="P2322" s="42">
        <v>3520</v>
      </c>
      <c r="R2322" s="42">
        <v>520</v>
      </c>
      <c r="T2322" s="284">
        <v>3000</v>
      </c>
      <c r="U2322" s="284"/>
    </row>
    <row r="2323" spans="2:21" x14ac:dyDescent="0.25">
      <c r="B2323" s="292">
        <v>55</v>
      </c>
      <c r="C2323" s="292"/>
      <c r="D2323" s="292"/>
      <c r="F2323" s="283" t="s">
        <v>100</v>
      </c>
      <c r="G2323" s="283"/>
      <c r="J2323" s="293">
        <v>1</v>
      </c>
      <c r="K2323" s="293"/>
      <c r="L2323" s="293"/>
      <c r="M2323" s="293"/>
      <c r="N2323" s="293"/>
      <c r="P2323" s="42">
        <v>180</v>
      </c>
      <c r="R2323" s="42">
        <v>50</v>
      </c>
      <c r="T2323" s="284">
        <v>130</v>
      </c>
      <c r="U2323" s="284"/>
    </row>
    <row r="2324" spans="2:21" x14ac:dyDescent="0.25">
      <c r="B2324" s="292">
        <v>56</v>
      </c>
      <c r="C2324" s="292"/>
      <c r="D2324" s="292"/>
      <c r="F2324" s="283" t="s">
        <v>178</v>
      </c>
      <c r="G2324" s="283"/>
      <c r="J2324" s="293">
        <v>1</v>
      </c>
      <c r="K2324" s="293"/>
      <c r="L2324" s="293"/>
      <c r="M2324" s="293"/>
      <c r="N2324" s="293"/>
      <c r="P2324" s="42">
        <v>1650</v>
      </c>
      <c r="R2324" s="42">
        <v>0</v>
      </c>
      <c r="T2324" s="284">
        <v>1650</v>
      </c>
      <c r="U2324" s="284"/>
    </row>
    <row r="2325" spans="2:21" x14ac:dyDescent="0.25">
      <c r="B2325" s="292">
        <v>57</v>
      </c>
      <c r="C2325" s="292"/>
      <c r="D2325" s="292"/>
      <c r="F2325" s="283" t="s">
        <v>97</v>
      </c>
      <c r="G2325" s="283"/>
      <c r="J2325" s="293">
        <v>1</v>
      </c>
      <c r="K2325" s="293"/>
      <c r="L2325" s="293"/>
      <c r="M2325" s="293"/>
      <c r="N2325" s="293"/>
      <c r="P2325" s="42">
        <v>1590</v>
      </c>
      <c r="R2325" s="42">
        <v>240</v>
      </c>
      <c r="T2325" s="284">
        <v>1350</v>
      </c>
      <c r="U2325" s="284"/>
    </row>
    <row r="2326" spans="2:21" x14ac:dyDescent="0.25">
      <c r="B2326" s="292">
        <v>58</v>
      </c>
      <c r="C2326" s="292"/>
      <c r="D2326" s="292"/>
      <c r="F2326" s="283" t="s">
        <v>93</v>
      </c>
      <c r="G2326" s="283"/>
      <c r="J2326" s="293">
        <v>8</v>
      </c>
      <c r="K2326" s="293"/>
      <c r="L2326" s="293"/>
      <c r="M2326" s="293"/>
      <c r="N2326" s="293"/>
      <c r="P2326" s="42">
        <v>4720</v>
      </c>
      <c r="R2326" s="42">
        <v>720</v>
      </c>
      <c r="T2326" s="284">
        <v>4000</v>
      </c>
      <c r="U2326" s="284"/>
    </row>
    <row r="2327" spans="2:21" x14ac:dyDescent="0.25">
      <c r="B2327" s="292">
        <v>59</v>
      </c>
      <c r="C2327" s="292"/>
      <c r="D2327" s="292"/>
      <c r="F2327" s="283" t="s">
        <v>92</v>
      </c>
      <c r="G2327" s="283"/>
      <c r="J2327" s="293">
        <v>12</v>
      </c>
      <c r="K2327" s="293"/>
      <c r="L2327" s="293"/>
      <c r="M2327" s="293"/>
      <c r="N2327" s="293"/>
      <c r="P2327" s="42">
        <v>8880</v>
      </c>
      <c r="R2327" s="42">
        <v>2640</v>
      </c>
      <c r="T2327" s="284">
        <v>6240</v>
      </c>
      <c r="U2327" s="284"/>
    </row>
    <row r="2328" spans="2:21" x14ac:dyDescent="0.25">
      <c r="B2328" s="292">
        <v>60</v>
      </c>
      <c r="C2328" s="292"/>
      <c r="D2328" s="292"/>
      <c r="F2328" s="283" t="s">
        <v>297</v>
      </c>
      <c r="G2328" s="283"/>
      <c r="J2328" s="293">
        <v>1</v>
      </c>
      <c r="K2328" s="293"/>
      <c r="L2328" s="293"/>
      <c r="M2328" s="293"/>
      <c r="N2328" s="293"/>
      <c r="P2328" s="42">
        <v>400</v>
      </c>
      <c r="R2328" s="42">
        <v>0</v>
      </c>
      <c r="T2328" s="284">
        <v>400</v>
      </c>
      <c r="U2328" s="284"/>
    </row>
    <row r="2329" spans="2:21" x14ac:dyDescent="0.25">
      <c r="B2329" s="292">
        <v>61</v>
      </c>
      <c r="C2329" s="292"/>
      <c r="D2329" s="292"/>
      <c r="F2329" s="283" t="s">
        <v>175</v>
      </c>
      <c r="G2329" s="283"/>
      <c r="J2329" s="293">
        <v>2</v>
      </c>
      <c r="K2329" s="293"/>
      <c r="L2329" s="293"/>
      <c r="M2329" s="293"/>
      <c r="N2329" s="293"/>
      <c r="P2329" s="42">
        <v>1200</v>
      </c>
      <c r="R2329" s="42">
        <v>360</v>
      </c>
      <c r="T2329" s="284">
        <v>840</v>
      </c>
      <c r="U2329" s="284"/>
    </row>
    <row r="2330" spans="2:21" x14ac:dyDescent="0.25">
      <c r="B2330" s="292">
        <v>62</v>
      </c>
      <c r="C2330" s="292"/>
      <c r="D2330" s="292"/>
      <c r="F2330" s="283" t="s">
        <v>174</v>
      </c>
      <c r="G2330" s="283"/>
      <c r="J2330" s="293">
        <v>3</v>
      </c>
      <c r="K2330" s="293"/>
      <c r="L2330" s="293"/>
      <c r="M2330" s="293"/>
      <c r="N2330" s="293"/>
      <c r="P2330" s="42">
        <v>1200</v>
      </c>
      <c r="R2330" s="42">
        <v>360</v>
      </c>
      <c r="T2330" s="284">
        <v>840</v>
      </c>
      <c r="U2330" s="284"/>
    </row>
    <row r="2331" spans="2:21" x14ac:dyDescent="0.25">
      <c r="B2331" s="292">
        <v>63</v>
      </c>
      <c r="C2331" s="292"/>
      <c r="D2331" s="292"/>
      <c r="F2331" s="283" t="s">
        <v>173</v>
      </c>
      <c r="G2331" s="283"/>
      <c r="J2331" s="293">
        <v>5</v>
      </c>
      <c r="K2331" s="293"/>
      <c r="L2331" s="293"/>
      <c r="M2331" s="293"/>
      <c r="N2331" s="293"/>
      <c r="P2331" s="42">
        <v>5000</v>
      </c>
      <c r="R2331" s="42">
        <v>1500</v>
      </c>
      <c r="T2331" s="284">
        <v>3500</v>
      </c>
      <c r="U2331" s="284"/>
    </row>
    <row r="2332" spans="2:21" x14ac:dyDescent="0.25">
      <c r="B2332" s="292">
        <v>64</v>
      </c>
      <c r="C2332" s="292"/>
      <c r="D2332" s="292"/>
      <c r="F2332" s="283" t="s">
        <v>296</v>
      </c>
      <c r="G2332" s="283"/>
      <c r="J2332" s="293">
        <v>1</v>
      </c>
      <c r="K2332" s="293"/>
      <c r="L2332" s="293"/>
      <c r="M2332" s="293"/>
      <c r="N2332" s="293"/>
      <c r="P2332" s="42">
        <v>1200</v>
      </c>
      <c r="R2332" s="42">
        <v>360</v>
      </c>
      <c r="T2332" s="284">
        <v>840</v>
      </c>
      <c r="U2332" s="284"/>
    </row>
    <row r="2333" spans="2:21" x14ac:dyDescent="0.25">
      <c r="B2333" s="292">
        <v>65</v>
      </c>
      <c r="C2333" s="292"/>
      <c r="D2333" s="292"/>
      <c r="F2333" s="283" t="s">
        <v>91</v>
      </c>
      <c r="G2333" s="283"/>
      <c r="J2333" s="293">
        <v>22</v>
      </c>
      <c r="K2333" s="293"/>
      <c r="L2333" s="293"/>
      <c r="M2333" s="293"/>
      <c r="N2333" s="293"/>
      <c r="P2333" s="42">
        <v>5500</v>
      </c>
      <c r="R2333" s="42">
        <v>1400</v>
      </c>
      <c r="T2333" s="284">
        <v>4100</v>
      </c>
      <c r="U2333" s="284"/>
    </row>
    <row r="2334" spans="2:21" x14ac:dyDescent="0.25">
      <c r="B2334" s="292">
        <v>66</v>
      </c>
      <c r="C2334" s="292"/>
      <c r="D2334" s="292"/>
      <c r="F2334" s="283" t="s">
        <v>90</v>
      </c>
      <c r="G2334" s="283"/>
      <c r="J2334" s="293">
        <v>6</v>
      </c>
      <c r="K2334" s="293"/>
      <c r="L2334" s="293"/>
      <c r="M2334" s="293"/>
      <c r="N2334" s="293"/>
      <c r="P2334" s="42">
        <v>1740</v>
      </c>
      <c r="R2334" s="42">
        <v>480</v>
      </c>
      <c r="T2334" s="284">
        <v>1260</v>
      </c>
      <c r="U2334" s="284"/>
    </row>
    <row r="2335" spans="2:21" x14ac:dyDescent="0.25">
      <c r="B2335" s="292">
        <v>67</v>
      </c>
      <c r="C2335" s="292"/>
      <c r="D2335" s="292"/>
      <c r="F2335" s="283" t="s">
        <v>89</v>
      </c>
      <c r="G2335" s="283"/>
      <c r="J2335" s="293">
        <v>4</v>
      </c>
      <c r="K2335" s="293"/>
      <c r="L2335" s="293"/>
      <c r="M2335" s="293"/>
      <c r="N2335" s="293"/>
      <c r="P2335" s="42">
        <v>3520</v>
      </c>
      <c r="R2335" s="42">
        <v>520</v>
      </c>
      <c r="T2335" s="284">
        <v>3000</v>
      </c>
      <c r="U2335" s="284"/>
    </row>
    <row r="2336" spans="2:21" x14ac:dyDescent="0.25">
      <c r="B2336" s="292">
        <v>68</v>
      </c>
      <c r="C2336" s="292"/>
      <c r="D2336" s="292"/>
      <c r="F2336" s="283" t="s">
        <v>88</v>
      </c>
      <c r="G2336" s="283"/>
      <c r="J2336" s="293">
        <v>40</v>
      </c>
      <c r="K2336" s="293"/>
      <c r="L2336" s="293"/>
      <c r="M2336" s="293"/>
      <c r="N2336" s="293"/>
      <c r="P2336" s="42">
        <v>7200</v>
      </c>
      <c r="R2336" s="42">
        <v>2326</v>
      </c>
      <c r="T2336" s="284">
        <v>4874</v>
      </c>
      <c r="U2336" s="284"/>
    </row>
    <row r="2337" spans="1:21" x14ac:dyDescent="0.25">
      <c r="B2337" s="292">
        <v>69</v>
      </c>
      <c r="C2337" s="292"/>
      <c r="D2337" s="292"/>
      <c r="F2337" s="283" t="s">
        <v>87</v>
      </c>
      <c r="G2337" s="283"/>
      <c r="J2337" s="293">
        <v>5</v>
      </c>
      <c r="K2337" s="293"/>
      <c r="L2337" s="293"/>
      <c r="M2337" s="293"/>
      <c r="N2337" s="293"/>
      <c r="P2337" s="42">
        <v>1450</v>
      </c>
      <c r="R2337" s="42">
        <v>400</v>
      </c>
      <c r="T2337" s="284">
        <v>1050</v>
      </c>
      <c r="U2337" s="284"/>
    </row>
    <row r="2338" spans="1:21" x14ac:dyDescent="0.25">
      <c r="B2338" s="292">
        <v>70</v>
      </c>
      <c r="C2338" s="292"/>
      <c r="D2338" s="292"/>
      <c r="F2338" s="283" t="s">
        <v>85</v>
      </c>
      <c r="G2338" s="283"/>
      <c r="J2338" s="293">
        <v>4</v>
      </c>
      <c r="K2338" s="293"/>
      <c r="L2338" s="293"/>
      <c r="M2338" s="293"/>
      <c r="N2338" s="293"/>
      <c r="P2338" s="42">
        <v>8320</v>
      </c>
      <c r="R2338" s="42">
        <v>1240</v>
      </c>
      <c r="T2338" s="284">
        <v>7080</v>
      </c>
      <c r="U2338" s="284"/>
    </row>
    <row r="2339" spans="1:21" x14ac:dyDescent="0.25">
      <c r="B2339" s="292">
        <v>71</v>
      </c>
      <c r="C2339" s="292"/>
      <c r="D2339" s="292"/>
      <c r="F2339" s="283" t="s">
        <v>84</v>
      </c>
      <c r="G2339" s="283"/>
      <c r="J2339" s="293">
        <v>14</v>
      </c>
      <c r="K2339" s="293"/>
      <c r="L2339" s="293"/>
      <c r="M2339" s="293"/>
      <c r="N2339" s="293"/>
      <c r="P2339" s="42">
        <v>8260</v>
      </c>
      <c r="R2339" s="42">
        <v>2520</v>
      </c>
      <c r="T2339" s="284">
        <v>5740</v>
      </c>
      <c r="U2339" s="284"/>
    </row>
    <row r="2340" spans="1:21" x14ac:dyDescent="0.25">
      <c r="B2340" s="292">
        <v>72</v>
      </c>
      <c r="C2340" s="292"/>
      <c r="D2340" s="292"/>
      <c r="F2340" s="283" t="s">
        <v>83</v>
      </c>
      <c r="G2340" s="283"/>
      <c r="J2340" s="293">
        <v>5</v>
      </c>
      <c r="K2340" s="293"/>
      <c r="L2340" s="293"/>
      <c r="M2340" s="293"/>
      <c r="N2340" s="293"/>
      <c r="P2340" s="42">
        <v>2500</v>
      </c>
      <c r="R2340" s="42">
        <v>750</v>
      </c>
      <c r="T2340" s="284">
        <v>1750</v>
      </c>
      <c r="U2340" s="284"/>
    </row>
    <row r="2341" spans="1:21" x14ac:dyDescent="0.25">
      <c r="B2341" s="292">
        <v>73</v>
      </c>
      <c r="C2341" s="292"/>
      <c r="D2341" s="292"/>
      <c r="F2341" s="283" t="s">
        <v>82</v>
      </c>
      <c r="G2341" s="283"/>
      <c r="J2341" s="293">
        <v>6</v>
      </c>
      <c r="K2341" s="293"/>
      <c r="L2341" s="293"/>
      <c r="M2341" s="293"/>
      <c r="N2341" s="293"/>
      <c r="P2341" s="42">
        <v>1740</v>
      </c>
      <c r="R2341" s="42">
        <v>1740</v>
      </c>
      <c r="T2341" s="284">
        <v>0</v>
      </c>
      <c r="U2341" s="284"/>
    </row>
    <row r="2342" spans="1:21" x14ac:dyDescent="0.25">
      <c r="B2342" s="292">
        <v>74</v>
      </c>
      <c r="C2342" s="292"/>
      <c r="D2342" s="292"/>
      <c r="F2342" s="283" t="s">
        <v>81</v>
      </c>
      <c r="G2342" s="283"/>
      <c r="J2342" s="293">
        <v>24</v>
      </c>
      <c r="K2342" s="293"/>
      <c r="L2342" s="293"/>
      <c r="M2342" s="293"/>
      <c r="N2342" s="293"/>
      <c r="P2342" s="42">
        <v>6960</v>
      </c>
      <c r="R2342" s="42">
        <v>1920</v>
      </c>
      <c r="T2342" s="284">
        <v>5040</v>
      </c>
      <c r="U2342" s="284"/>
    </row>
    <row r="2343" spans="1:21" s="40" customFormat="1" x14ac:dyDescent="0.25">
      <c r="A2343" s="290" t="s">
        <v>406</v>
      </c>
      <c r="B2343" s="290"/>
      <c r="C2343" s="290"/>
      <c r="D2343" s="290"/>
      <c r="E2343" s="290"/>
      <c r="F2343" s="290"/>
      <c r="G2343" s="290"/>
      <c r="H2343" s="290"/>
      <c r="I2343" s="290"/>
      <c r="J2343" s="290"/>
      <c r="K2343" s="291">
        <v>4076</v>
      </c>
      <c r="L2343" s="291"/>
      <c r="M2343" s="291"/>
      <c r="N2343" s="291"/>
      <c r="O2343" s="291"/>
      <c r="P2343" s="41">
        <v>6010590</v>
      </c>
      <c r="R2343" s="41">
        <v>5600235</v>
      </c>
      <c r="T2343" s="287">
        <v>410355</v>
      </c>
      <c r="U2343" s="287"/>
    </row>
    <row r="2344" spans="1:21" x14ac:dyDescent="0.25">
      <c r="B2344" s="292">
        <v>1</v>
      </c>
      <c r="C2344" s="292"/>
      <c r="D2344" s="292"/>
      <c r="F2344" s="283" t="s">
        <v>250</v>
      </c>
      <c r="G2344" s="283"/>
      <c r="J2344" s="293">
        <v>1</v>
      </c>
      <c r="K2344" s="293"/>
      <c r="L2344" s="293"/>
      <c r="M2344" s="293"/>
      <c r="N2344" s="293"/>
      <c r="P2344" s="42">
        <v>500</v>
      </c>
      <c r="R2344" s="42">
        <v>150</v>
      </c>
      <c r="T2344" s="284">
        <v>350</v>
      </c>
      <c r="U2344" s="284"/>
    </row>
    <row r="2345" spans="1:21" x14ac:dyDescent="0.25">
      <c r="B2345" s="292">
        <v>2</v>
      </c>
      <c r="C2345" s="292"/>
      <c r="D2345" s="292"/>
      <c r="F2345" s="283" t="s">
        <v>79</v>
      </c>
      <c r="G2345" s="283"/>
      <c r="J2345" s="293">
        <v>1</v>
      </c>
      <c r="K2345" s="293"/>
      <c r="L2345" s="293"/>
      <c r="M2345" s="293"/>
      <c r="N2345" s="293"/>
      <c r="P2345" s="42">
        <v>500</v>
      </c>
      <c r="R2345" s="42">
        <v>150</v>
      </c>
      <c r="T2345" s="284">
        <v>350</v>
      </c>
      <c r="U2345" s="284"/>
    </row>
    <row r="2346" spans="1:21" x14ac:dyDescent="0.25">
      <c r="B2346" s="292">
        <v>3</v>
      </c>
      <c r="C2346" s="292"/>
      <c r="D2346" s="292"/>
      <c r="F2346" s="283" t="s">
        <v>78</v>
      </c>
      <c r="G2346" s="283"/>
      <c r="J2346" s="293">
        <v>254</v>
      </c>
      <c r="K2346" s="293"/>
      <c r="L2346" s="293"/>
      <c r="M2346" s="293"/>
      <c r="N2346" s="293"/>
      <c r="P2346" s="42">
        <v>73660</v>
      </c>
      <c r="R2346" s="42">
        <v>73660</v>
      </c>
      <c r="T2346" s="284">
        <v>0</v>
      </c>
      <c r="U2346" s="284"/>
    </row>
    <row r="2347" spans="1:21" x14ac:dyDescent="0.25">
      <c r="B2347" s="292">
        <v>4</v>
      </c>
      <c r="C2347" s="292"/>
      <c r="D2347" s="292"/>
      <c r="F2347" s="283" t="s">
        <v>268</v>
      </c>
      <c r="G2347" s="283"/>
      <c r="J2347" s="293">
        <v>1</v>
      </c>
      <c r="K2347" s="293"/>
      <c r="L2347" s="293"/>
      <c r="M2347" s="293"/>
      <c r="N2347" s="293"/>
      <c r="P2347" s="42">
        <v>250</v>
      </c>
      <c r="R2347" s="42">
        <v>70</v>
      </c>
      <c r="T2347" s="284">
        <v>180</v>
      </c>
      <c r="U2347" s="284"/>
    </row>
    <row r="2348" spans="1:21" x14ac:dyDescent="0.25">
      <c r="B2348" s="292">
        <v>5</v>
      </c>
      <c r="C2348" s="292"/>
      <c r="D2348" s="292"/>
      <c r="F2348" s="283" t="s">
        <v>393</v>
      </c>
      <c r="G2348" s="283"/>
      <c r="J2348" s="293">
        <v>1</v>
      </c>
      <c r="K2348" s="293"/>
      <c r="L2348" s="293"/>
      <c r="M2348" s="293"/>
      <c r="N2348" s="293"/>
      <c r="P2348" s="42">
        <v>1400</v>
      </c>
      <c r="R2348" s="42">
        <v>210</v>
      </c>
      <c r="T2348" s="284">
        <v>1190</v>
      </c>
      <c r="U2348" s="284"/>
    </row>
    <row r="2349" spans="1:21" x14ac:dyDescent="0.25">
      <c r="B2349" s="292">
        <v>6</v>
      </c>
      <c r="C2349" s="292"/>
      <c r="D2349" s="292"/>
      <c r="F2349" s="283" t="s">
        <v>249</v>
      </c>
      <c r="G2349" s="283"/>
      <c r="J2349" s="293">
        <v>2</v>
      </c>
      <c r="K2349" s="293"/>
      <c r="L2349" s="293"/>
      <c r="M2349" s="293"/>
      <c r="N2349" s="293"/>
      <c r="P2349" s="42">
        <v>2600</v>
      </c>
      <c r="R2349" s="42">
        <v>200</v>
      </c>
      <c r="T2349" s="284">
        <v>2400</v>
      </c>
      <c r="U2349" s="284"/>
    </row>
    <row r="2350" spans="1:21" x14ac:dyDescent="0.25">
      <c r="B2350" s="292">
        <v>7</v>
      </c>
      <c r="C2350" s="292"/>
      <c r="D2350" s="292"/>
      <c r="F2350" s="283" t="s">
        <v>164</v>
      </c>
      <c r="G2350" s="283"/>
      <c r="J2350" s="293">
        <v>4</v>
      </c>
      <c r="K2350" s="293"/>
      <c r="L2350" s="293"/>
      <c r="M2350" s="293"/>
      <c r="N2350" s="293"/>
      <c r="P2350" s="42">
        <v>2360</v>
      </c>
      <c r="R2350" s="42">
        <v>180</v>
      </c>
      <c r="T2350" s="284">
        <v>2180</v>
      </c>
      <c r="U2350" s="284"/>
    </row>
    <row r="2351" spans="1:21" x14ac:dyDescent="0.25">
      <c r="B2351" s="292">
        <v>8</v>
      </c>
      <c r="C2351" s="292"/>
      <c r="D2351" s="292"/>
      <c r="F2351" s="283" t="s">
        <v>163</v>
      </c>
      <c r="G2351" s="283"/>
      <c r="J2351" s="293">
        <v>1</v>
      </c>
      <c r="K2351" s="293"/>
      <c r="L2351" s="293"/>
      <c r="M2351" s="293"/>
      <c r="N2351" s="293"/>
      <c r="P2351" s="42">
        <v>1190</v>
      </c>
      <c r="R2351" s="42">
        <v>0</v>
      </c>
      <c r="T2351" s="284">
        <v>1190</v>
      </c>
      <c r="U2351" s="284"/>
    </row>
    <row r="2352" spans="1:21" x14ac:dyDescent="0.25">
      <c r="B2352" s="292">
        <v>9</v>
      </c>
      <c r="C2352" s="292"/>
      <c r="D2352" s="292"/>
      <c r="F2352" s="283" t="s">
        <v>162</v>
      </c>
      <c r="G2352" s="283"/>
      <c r="J2352" s="293">
        <v>8</v>
      </c>
      <c r="K2352" s="293"/>
      <c r="L2352" s="293"/>
      <c r="M2352" s="293"/>
      <c r="N2352" s="293"/>
      <c r="P2352" s="42">
        <v>3440</v>
      </c>
      <c r="R2352" s="42">
        <v>220</v>
      </c>
      <c r="T2352" s="284">
        <v>3220</v>
      </c>
      <c r="U2352" s="284"/>
    </row>
    <row r="2353" spans="2:21" x14ac:dyDescent="0.25">
      <c r="B2353" s="292">
        <v>10</v>
      </c>
      <c r="C2353" s="292"/>
      <c r="D2353" s="292"/>
      <c r="F2353" s="283" t="s">
        <v>198</v>
      </c>
      <c r="G2353" s="283"/>
      <c r="J2353" s="293">
        <v>1</v>
      </c>
      <c r="K2353" s="293"/>
      <c r="L2353" s="293"/>
      <c r="M2353" s="293"/>
      <c r="N2353" s="293"/>
      <c r="P2353" s="42">
        <v>290</v>
      </c>
      <c r="R2353" s="42">
        <v>0</v>
      </c>
      <c r="T2353" s="284">
        <v>290</v>
      </c>
      <c r="U2353" s="284"/>
    </row>
    <row r="2354" spans="2:21" x14ac:dyDescent="0.25">
      <c r="B2354" s="292">
        <v>11</v>
      </c>
      <c r="C2354" s="292"/>
      <c r="D2354" s="292"/>
      <c r="F2354" s="283" t="s">
        <v>160</v>
      </c>
      <c r="G2354" s="283"/>
      <c r="J2354" s="293">
        <v>23</v>
      </c>
      <c r="K2354" s="293"/>
      <c r="L2354" s="293"/>
      <c r="M2354" s="293"/>
      <c r="N2354" s="293"/>
      <c r="P2354" s="42">
        <v>6670</v>
      </c>
      <c r="R2354" s="42">
        <v>160</v>
      </c>
      <c r="T2354" s="284">
        <v>6510</v>
      </c>
      <c r="U2354" s="284"/>
    </row>
    <row r="2355" spans="2:21" x14ac:dyDescent="0.25">
      <c r="B2355" s="292">
        <v>12</v>
      </c>
      <c r="C2355" s="292"/>
      <c r="D2355" s="292"/>
      <c r="F2355" s="283" t="s">
        <v>266</v>
      </c>
      <c r="G2355" s="283"/>
      <c r="J2355" s="293">
        <v>2</v>
      </c>
      <c r="K2355" s="293"/>
      <c r="L2355" s="293"/>
      <c r="M2355" s="293"/>
      <c r="N2355" s="293"/>
      <c r="P2355" s="42">
        <v>2700</v>
      </c>
      <c r="R2355" s="42">
        <v>0</v>
      </c>
      <c r="T2355" s="284">
        <v>2700</v>
      </c>
      <c r="U2355" s="284"/>
    </row>
    <row r="2356" spans="2:21" x14ac:dyDescent="0.25">
      <c r="B2356" s="292">
        <v>13</v>
      </c>
      <c r="C2356" s="292"/>
      <c r="D2356" s="292"/>
      <c r="F2356" s="283" t="s">
        <v>158</v>
      </c>
      <c r="G2356" s="283"/>
      <c r="J2356" s="293">
        <v>85</v>
      </c>
      <c r="K2356" s="293"/>
      <c r="L2356" s="293"/>
      <c r="M2356" s="293"/>
      <c r="N2356" s="293"/>
      <c r="P2356" s="42">
        <v>46750</v>
      </c>
      <c r="R2356" s="42">
        <v>4240</v>
      </c>
      <c r="T2356" s="284">
        <v>42510</v>
      </c>
      <c r="U2356" s="284"/>
    </row>
    <row r="2357" spans="2:21" x14ac:dyDescent="0.25">
      <c r="B2357" s="292">
        <v>14</v>
      </c>
      <c r="C2357" s="292"/>
      <c r="D2357" s="292"/>
      <c r="F2357" s="283" t="s">
        <v>157</v>
      </c>
      <c r="G2357" s="283"/>
      <c r="J2357" s="293">
        <v>67</v>
      </c>
      <c r="K2357" s="293"/>
      <c r="L2357" s="293"/>
      <c r="M2357" s="293"/>
      <c r="N2357" s="293"/>
      <c r="P2357" s="42">
        <v>32830</v>
      </c>
      <c r="R2357" s="42">
        <v>6415</v>
      </c>
      <c r="T2357" s="284">
        <v>26415</v>
      </c>
      <c r="U2357" s="284"/>
    </row>
    <row r="2358" spans="2:21" x14ac:dyDescent="0.25">
      <c r="B2358" s="292">
        <v>15</v>
      </c>
      <c r="C2358" s="292"/>
      <c r="D2358" s="292"/>
      <c r="F2358" s="283" t="s">
        <v>197</v>
      </c>
      <c r="G2358" s="283"/>
      <c r="J2358" s="293">
        <v>1</v>
      </c>
      <c r="K2358" s="293"/>
      <c r="L2358" s="293"/>
      <c r="M2358" s="293"/>
      <c r="N2358" s="293"/>
      <c r="P2358" s="42">
        <v>500</v>
      </c>
      <c r="R2358" s="42">
        <v>150</v>
      </c>
      <c r="T2358" s="284">
        <v>350</v>
      </c>
      <c r="U2358" s="284"/>
    </row>
    <row r="2359" spans="2:21" x14ac:dyDescent="0.25">
      <c r="B2359" s="292">
        <v>16</v>
      </c>
      <c r="C2359" s="292"/>
      <c r="D2359" s="292"/>
      <c r="F2359" s="283" t="s">
        <v>293</v>
      </c>
      <c r="G2359" s="283"/>
      <c r="J2359" s="293">
        <v>1</v>
      </c>
      <c r="K2359" s="293"/>
      <c r="L2359" s="293"/>
      <c r="M2359" s="293"/>
      <c r="N2359" s="293"/>
      <c r="P2359" s="42">
        <v>700</v>
      </c>
      <c r="R2359" s="42">
        <v>180</v>
      </c>
      <c r="T2359" s="284">
        <v>520</v>
      </c>
      <c r="U2359" s="284"/>
    </row>
    <row r="2360" spans="2:21" x14ac:dyDescent="0.25">
      <c r="B2360" s="292">
        <v>17</v>
      </c>
      <c r="C2360" s="292"/>
      <c r="D2360" s="292"/>
      <c r="F2360" s="283" t="s">
        <v>196</v>
      </c>
      <c r="G2360" s="283"/>
      <c r="J2360" s="293">
        <v>1</v>
      </c>
      <c r="K2360" s="293"/>
      <c r="L2360" s="293"/>
      <c r="M2360" s="293"/>
      <c r="N2360" s="293"/>
      <c r="P2360" s="42">
        <v>700</v>
      </c>
      <c r="R2360" s="42">
        <v>350</v>
      </c>
      <c r="T2360" s="284">
        <v>350</v>
      </c>
      <c r="U2360" s="284"/>
    </row>
    <row r="2361" spans="2:21" x14ac:dyDescent="0.25">
      <c r="B2361" s="292">
        <v>18</v>
      </c>
      <c r="C2361" s="292"/>
      <c r="D2361" s="292"/>
      <c r="F2361" s="283" t="s">
        <v>244</v>
      </c>
      <c r="G2361" s="283"/>
      <c r="J2361" s="293">
        <v>7</v>
      </c>
      <c r="K2361" s="293"/>
      <c r="L2361" s="293"/>
      <c r="M2361" s="293"/>
      <c r="N2361" s="293"/>
      <c r="P2361" s="42">
        <v>2300</v>
      </c>
      <c r="R2361" s="42">
        <v>980</v>
      </c>
      <c r="T2361" s="284">
        <v>1320</v>
      </c>
      <c r="U2361" s="284"/>
    </row>
    <row r="2362" spans="2:21" x14ac:dyDescent="0.25">
      <c r="B2362" s="292">
        <v>19</v>
      </c>
      <c r="C2362" s="292"/>
      <c r="D2362" s="292"/>
      <c r="F2362" s="283" t="s">
        <v>77</v>
      </c>
      <c r="G2362" s="283"/>
      <c r="J2362" s="293">
        <v>696</v>
      </c>
      <c r="K2362" s="293"/>
      <c r="L2362" s="293"/>
      <c r="M2362" s="293"/>
      <c r="N2362" s="293"/>
      <c r="P2362" s="42">
        <v>288500</v>
      </c>
      <c r="R2362" s="42">
        <v>288500</v>
      </c>
      <c r="T2362" s="284">
        <v>0</v>
      </c>
      <c r="U2362" s="284"/>
    </row>
    <row r="2363" spans="2:21" x14ac:dyDescent="0.25">
      <c r="B2363" s="292">
        <v>20</v>
      </c>
      <c r="C2363" s="292"/>
      <c r="D2363" s="292"/>
      <c r="F2363" s="283" t="s">
        <v>76</v>
      </c>
      <c r="G2363" s="283"/>
      <c r="J2363" s="293">
        <v>2</v>
      </c>
      <c r="K2363" s="293"/>
      <c r="L2363" s="293"/>
      <c r="M2363" s="293"/>
      <c r="N2363" s="293"/>
      <c r="P2363" s="42">
        <v>1000</v>
      </c>
      <c r="R2363" s="42">
        <v>1000</v>
      </c>
      <c r="T2363" s="284">
        <v>0</v>
      </c>
      <c r="U2363" s="284"/>
    </row>
    <row r="2364" spans="2:21" x14ac:dyDescent="0.25">
      <c r="B2364" s="292">
        <v>21</v>
      </c>
      <c r="C2364" s="292"/>
      <c r="D2364" s="292"/>
      <c r="F2364" s="283" t="s">
        <v>156</v>
      </c>
      <c r="G2364" s="283"/>
      <c r="J2364" s="293">
        <v>3</v>
      </c>
      <c r="K2364" s="293"/>
      <c r="L2364" s="293"/>
      <c r="M2364" s="293"/>
      <c r="N2364" s="293"/>
      <c r="P2364" s="42">
        <v>570</v>
      </c>
      <c r="R2364" s="42">
        <v>140</v>
      </c>
      <c r="T2364" s="284">
        <v>430</v>
      </c>
      <c r="U2364" s="284"/>
    </row>
    <row r="2365" spans="2:21" x14ac:dyDescent="0.25">
      <c r="B2365" s="292">
        <v>22</v>
      </c>
      <c r="C2365" s="292"/>
      <c r="D2365" s="292"/>
      <c r="F2365" s="283" t="s">
        <v>341</v>
      </c>
      <c r="G2365" s="283"/>
      <c r="J2365" s="293">
        <v>1</v>
      </c>
      <c r="K2365" s="293"/>
      <c r="L2365" s="293"/>
      <c r="M2365" s="293"/>
      <c r="N2365" s="293"/>
      <c r="P2365" s="42">
        <v>450</v>
      </c>
      <c r="R2365" s="42">
        <v>130</v>
      </c>
      <c r="T2365" s="284">
        <v>320</v>
      </c>
      <c r="U2365" s="284"/>
    </row>
    <row r="2366" spans="2:21" x14ac:dyDescent="0.25">
      <c r="B2366" s="292">
        <v>23</v>
      </c>
      <c r="C2366" s="292"/>
      <c r="D2366" s="292"/>
      <c r="F2366" s="283" t="s">
        <v>155</v>
      </c>
      <c r="G2366" s="283"/>
      <c r="J2366" s="293">
        <v>27</v>
      </c>
      <c r="K2366" s="293"/>
      <c r="L2366" s="293"/>
      <c r="M2366" s="293"/>
      <c r="N2366" s="293"/>
      <c r="P2366" s="42">
        <v>6750</v>
      </c>
      <c r="R2366" s="42">
        <v>610</v>
      </c>
      <c r="T2366" s="284">
        <v>6140</v>
      </c>
      <c r="U2366" s="284"/>
    </row>
    <row r="2367" spans="2:21" x14ac:dyDescent="0.25">
      <c r="B2367" s="292">
        <v>24</v>
      </c>
      <c r="C2367" s="292"/>
      <c r="D2367" s="292"/>
      <c r="F2367" s="283" t="s">
        <v>154</v>
      </c>
      <c r="G2367" s="283"/>
      <c r="J2367" s="293">
        <v>1</v>
      </c>
      <c r="K2367" s="293"/>
      <c r="L2367" s="293"/>
      <c r="M2367" s="293"/>
      <c r="N2367" s="293"/>
      <c r="P2367" s="42">
        <v>890</v>
      </c>
      <c r="R2367" s="42">
        <v>130</v>
      </c>
      <c r="T2367" s="284">
        <v>760</v>
      </c>
      <c r="U2367" s="284"/>
    </row>
    <row r="2368" spans="2:21" x14ac:dyDescent="0.25">
      <c r="B2368" s="292">
        <v>25</v>
      </c>
      <c r="C2368" s="292"/>
      <c r="D2368" s="292"/>
      <c r="F2368" s="283" t="s">
        <v>152</v>
      </c>
      <c r="G2368" s="283"/>
      <c r="J2368" s="293">
        <v>10</v>
      </c>
      <c r="K2368" s="293"/>
      <c r="L2368" s="293"/>
      <c r="M2368" s="293"/>
      <c r="N2368" s="293"/>
      <c r="P2368" s="42">
        <v>5900</v>
      </c>
      <c r="R2368" s="42">
        <v>360</v>
      </c>
      <c r="T2368" s="284">
        <v>5540</v>
      </c>
      <c r="U2368" s="284"/>
    </row>
    <row r="2369" spans="2:21" x14ac:dyDescent="0.25">
      <c r="B2369" s="292">
        <v>26</v>
      </c>
      <c r="C2369" s="292"/>
      <c r="D2369" s="292"/>
      <c r="F2369" s="283" t="s">
        <v>151</v>
      </c>
      <c r="G2369" s="283"/>
      <c r="J2369" s="293">
        <v>2</v>
      </c>
      <c r="K2369" s="293"/>
      <c r="L2369" s="293"/>
      <c r="M2369" s="293"/>
      <c r="N2369" s="293"/>
      <c r="P2369" s="42">
        <v>460</v>
      </c>
      <c r="R2369" s="42">
        <v>0</v>
      </c>
      <c r="T2369" s="284">
        <v>460</v>
      </c>
      <c r="U2369" s="284"/>
    </row>
    <row r="2370" spans="2:21" x14ac:dyDescent="0.25">
      <c r="B2370" s="292">
        <v>27</v>
      </c>
      <c r="C2370" s="292"/>
      <c r="D2370" s="292"/>
      <c r="F2370" s="283" t="s">
        <v>150</v>
      </c>
      <c r="G2370" s="283"/>
      <c r="J2370" s="293">
        <v>8</v>
      </c>
      <c r="K2370" s="293"/>
      <c r="L2370" s="293"/>
      <c r="M2370" s="293"/>
      <c r="N2370" s="293"/>
      <c r="P2370" s="42">
        <v>1360</v>
      </c>
      <c r="R2370" s="42">
        <v>100</v>
      </c>
      <c r="T2370" s="284">
        <v>1260</v>
      </c>
      <c r="U2370" s="284"/>
    </row>
    <row r="2371" spans="2:21" x14ac:dyDescent="0.25">
      <c r="B2371" s="292">
        <v>28</v>
      </c>
      <c r="C2371" s="292"/>
      <c r="D2371" s="292"/>
      <c r="F2371" s="283" t="s">
        <v>149</v>
      </c>
      <c r="G2371" s="283"/>
      <c r="J2371" s="293">
        <v>3</v>
      </c>
      <c r="K2371" s="293"/>
      <c r="L2371" s="293"/>
      <c r="M2371" s="293"/>
      <c r="N2371" s="293"/>
      <c r="P2371" s="42">
        <v>150</v>
      </c>
      <c r="R2371" s="42">
        <v>10</v>
      </c>
      <c r="T2371" s="284">
        <v>140</v>
      </c>
      <c r="U2371" s="284"/>
    </row>
    <row r="2372" spans="2:21" x14ac:dyDescent="0.25">
      <c r="B2372" s="292">
        <v>29</v>
      </c>
      <c r="C2372" s="292"/>
      <c r="D2372" s="292"/>
      <c r="F2372" s="283" t="s">
        <v>288</v>
      </c>
      <c r="G2372" s="283"/>
      <c r="J2372" s="293">
        <v>1</v>
      </c>
      <c r="K2372" s="293"/>
      <c r="L2372" s="293"/>
      <c r="M2372" s="293"/>
      <c r="N2372" s="293"/>
      <c r="P2372" s="42">
        <v>800</v>
      </c>
      <c r="R2372" s="42">
        <v>450</v>
      </c>
      <c r="T2372" s="284">
        <v>350</v>
      </c>
      <c r="U2372" s="284"/>
    </row>
    <row r="2373" spans="2:21" x14ac:dyDescent="0.25">
      <c r="B2373" s="292">
        <v>30</v>
      </c>
      <c r="C2373" s="292"/>
      <c r="D2373" s="292"/>
      <c r="F2373" s="283" t="s">
        <v>75</v>
      </c>
      <c r="G2373" s="283"/>
      <c r="J2373" s="293">
        <v>2071</v>
      </c>
      <c r="K2373" s="293"/>
      <c r="L2373" s="293"/>
      <c r="M2373" s="293"/>
      <c r="N2373" s="293"/>
      <c r="P2373" s="42">
        <v>5177500</v>
      </c>
      <c r="R2373" s="42">
        <v>5177500</v>
      </c>
      <c r="T2373" s="284">
        <v>0</v>
      </c>
      <c r="U2373" s="284"/>
    </row>
    <row r="2374" spans="2:21" x14ac:dyDescent="0.25">
      <c r="B2374" s="292">
        <v>31</v>
      </c>
      <c r="C2374" s="292"/>
      <c r="D2374" s="292"/>
      <c r="F2374" s="283" t="s">
        <v>136</v>
      </c>
      <c r="G2374" s="283"/>
      <c r="J2374" s="293">
        <v>18</v>
      </c>
      <c r="K2374" s="293"/>
      <c r="L2374" s="293"/>
      <c r="M2374" s="293"/>
      <c r="N2374" s="293"/>
      <c r="P2374" s="42">
        <v>15300</v>
      </c>
      <c r="R2374" s="42">
        <v>650</v>
      </c>
      <c r="T2374" s="284">
        <v>14650</v>
      </c>
      <c r="U2374" s="284"/>
    </row>
    <row r="2375" spans="2:21" x14ac:dyDescent="0.25">
      <c r="B2375" s="292">
        <v>32</v>
      </c>
      <c r="C2375" s="292"/>
      <c r="D2375" s="292"/>
      <c r="F2375" s="283" t="s">
        <v>74</v>
      </c>
      <c r="G2375" s="283"/>
      <c r="J2375" s="293">
        <v>9</v>
      </c>
      <c r="K2375" s="293"/>
      <c r="L2375" s="293"/>
      <c r="M2375" s="293"/>
      <c r="N2375" s="293"/>
      <c r="P2375" s="42">
        <v>7650</v>
      </c>
      <c r="R2375" s="42">
        <v>7650</v>
      </c>
      <c r="T2375" s="284">
        <v>0</v>
      </c>
      <c r="U2375" s="284"/>
    </row>
    <row r="2376" spans="2:21" x14ac:dyDescent="0.25">
      <c r="B2376" s="292">
        <v>33</v>
      </c>
      <c r="C2376" s="292"/>
      <c r="D2376" s="292"/>
      <c r="F2376" s="283" t="s">
        <v>190</v>
      </c>
      <c r="G2376" s="283"/>
      <c r="J2376" s="293">
        <v>15</v>
      </c>
      <c r="K2376" s="293"/>
      <c r="L2376" s="293"/>
      <c r="M2376" s="293"/>
      <c r="N2376" s="293"/>
      <c r="P2376" s="42">
        <v>23550</v>
      </c>
      <c r="R2376" s="42">
        <v>0</v>
      </c>
      <c r="T2376" s="284">
        <v>23550</v>
      </c>
      <c r="U2376" s="284"/>
    </row>
    <row r="2377" spans="2:21" x14ac:dyDescent="0.25">
      <c r="B2377" s="292">
        <v>34</v>
      </c>
      <c r="C2377" s="292"/>
      <c r="D2377" s="292"/>
      <c r="F2377" s="283" t="s">
        <v>264</v>
      </c>
      <c r="G2377" s="283"/>
      <c r="J2377" s="293">
        <v>1</v>
      </c>
      <c r="K2377" s="293"/>
      <c r="L2377" s="293"/>
      <c r="M2377" s="293"/>
      <c r="N2377" s="293"/>
      <c r="P2377" s="42">
        <v>1290</v>
      </c>
      <c r="R2377" s="42">
        <v>0</v>
      </c>
      <c r="T2377" s="284">
        <v>1290</v>
      </c>
      <c r="U2377" s="284"/>
    </row>
    <row r="2378" spans="2:21" x14ac:dyDescent="0.25">
      <c r="B2378" s="292">
        <v>35</v>
      </c>
      <c r="C2378" s="292"/>
      <c r="D2378" s="292"/>
      <c r="F2378" s="283" t="s">
        <v>230</v>
      </c>
      <c r="G2378" s="283"/>
      <c r="J2378" s="293">
        <v>2</v>
      </c>
      <c r="K2378" s="293"/>
      <c r="L2378" s="293"/>
      <c r="M2378" s="293"/>
      <c r="N2378" s="293"/>
      <c r="P2378" s="42">
        <v>1900</v>
      </c>
      <c r="R2378" s="42">
        <v>0</v>
      </c>
      <c r="T2378" s="284">
        <v>1900</v>
      </c>
      <c r="U2378" s="284"/>
    </row>
    <row r="2379" spans="2:21" x14ac:dyDescent="0.25">
      <c r="B2379" s="292">
        <v>36</v>
      </c>
      <c r="C2379" s="292"/>
      <c r="D2379" s="292"/>
      <c r="F2379" s="283" t="s">
        <v>135</v>
      </c>
      <c r="G2379" s="283"/>
      <c r="J2379" s="293">
        <v>7</v>
      </c>
      <c r="K2379" s="293"/>
      <c r="L2379" s="293"/>
      <c r="M2379" s="293"/>
      <c r="N2379" s="293"/>
      <c r="P2379" s="42">
        <v>6650</v>
      </c>
      <c r="R2379" s="42">
        <v>1900</v>
      </c>
      <c r="T2379" s="284">
        <v>4750</v>
      </c>
      <c r="U2379" s="284"/>
    </row>
    <row r="2380" spans="2:21" x14ac:dyDescent="0.25">
      <c r="B2380" s="292">
        <v>37</v>
      </c>
      <c r="C2380" s="292"/>
      <c r="D2380" s="292"/>
      <c r="F2380" s="283" t="s">
        <v>134</v>
      </c>
      <c r="G2380" s="283"/>
      <c r="J2380" s="293">
        <v>1</v>
      </c>
      <c r="K2380" s="293"/>
      <c r="L2380" s="293"/>
      <c r="M2380" s="293"/>
      <c r="N2380" s="293"/>
      <c r="P2380" s="42">
        <v>3700</v>
      </c>
      <c r="R2380" s="42">
        <v>0</v>
      </c>
      <c r="T2380" s="284">
        <v>3700</v>
      </c>
      <c r="U2380" s="284"/>
    </row>
    <row r="2381" spans="2:21" x14ac:dyDescent="0.25">
      <c r="B2381" s="292">
        <v>38</v>
      </c>
      <c r="C2381" s="292"/>
      <c r="D2381" s="292"/>
      <c r="F2381" s="283" t="s">
        <v>229</v>
      </c>
      <c r="G2381" s="283"/>
      <c r="J2381" s="293">
        <v>1</v>
      </c>
      <c r="K2381" s="293"/>
      <c r="L2381" s="293"/>
      <c r="M2381" s="293"/>
      <c r="N2381" s="293"/>
      <c r="P2381" s="42">
        <v>7000</v>
      </c>
      <c r="R2381" s="42">
        <v>7000</v>
      </c>
      <c r="T2381" s="284">
        <v>0</v>
      </c>
      <c r="U2381" s="284"/>
    </row>
    <row r="2382" spans="2:21" x14ac:dyDescent="0.25">
      <c r="B2382" s="292">
        <v>39</v>
      </c>
      <c r="C2382" s="292"/>
      <c r="D2382" s="292"/>
      <c r="F2382" s="283" t="s">
        <v>132</v>
      </c>
      <c r="G2382" s="283"/>
      <c r="J2382" s="293">
        <v>11</v>
      </c>
      <c r="K2382" s="293"/>
      <c r="L2382" s="293"/>
      <c r="M2382" s="293"/>
      <c r="N2382" s="293"/>
      <c r="P2382" s="42">
        <v>13640</v>
      </c>
      <c r="R2382" s="42">
        <v>3220</v>
      </c>
      <c r="T2382" s="284">
        <v>10420</v>
      </c>
      <c r="U2382" s="284"/>
    </row>
    <row r="2383" spans="2:21" x14ac:dyDescent="0.25">
      <c r="B2383" s="292">
        <v>40</v>
      </c>
      <c r="C2383" s="292"/>
      <c r="D2383" s="292"/>
      <c r="F2383" s="283" t="s">
        <v>131</v>
      </c>
      <c r="G2383" s="283"/>
      <c r="J2383" s="293">
        <v>1</v>
      </c>
      <c r="K2383" s="293"/>
      <c r="L2383" s="293"/>
      <c r="M2383" s="293"/>
      <c r="N2383" s="293"/>
      <c r="P2383" s="42">
        <v>3700</v>
      </c>
      <c r="R2383" s="42">
        <v>0</v>
      </c>
      <c r="T2383" s="284">
        <v>3700</v>
      </c>
      <c r="U2383" s="284"/>
    </row>
    <row r="2384" spans="2:21" x14ac:dyDescent="0.25">
      <c r="B2384" s="292">
        <v>41</v>
      </c>
      <c r="C2384" s="292"/>
      <c r="D2384" s="292"/>
      <c r="F2384" s="283" t="s">
        <v>130</v>
      </c>
      <c r="G2384" s="283"/>
      <c r="J2384" s="293">
        <v>1</v>
      </c>
      <c r="K2384" s="293"/>
      <c r="L2384" s="293"/>
      <c r="M2384" s="293"/>
      <c r="N2384" s="293"/>
      <c r="P2384" s="42">
        <v>8000</v>
      </c>
      <c r="R2384" s="42">
        <v>0</v>
      </c>
      <c r="T2384" s="284">
        <v>8000</v>
      </c>
      <c r="U2384" s="284"/>
    </row>
    <row r="2385" spans="2:21" x14ac:dyDescent="0.25">
      <c r="B2385" s="292">
        <v>42</v>
      </c>
      <c r="C2385" s="292"/>
      <c r="D2385" s="292"/>
      <c r="F2385" s="283" t="s">
        <v>128</v>
      </c>
      <c r="G2385" s="283"/>
      <c r="J2385" s="293">
        <v>1</v>
      </c>
      <c r="K2385" s="293"/>
      <c r="L2385" s="293"/>
      <c r="M2385" s="293"/>
      <c r="N2385" s="293"/>
      <c r="P2385" s="42">
        <v>1150</v>
      </c>
      <c r="R2385" s="42">
        <v>0</v>
      </c>
      <c r="T2385" s="284">
        <v>1150</v>
      </c>
      <c r="U2385" s="284"/>
    </row>
    <row r="2386" spans="2:21" x14ac:dyDescent="0.25">
      <c r="B2386" s="292">
        <v>43</v>
      </c>
      <c r="C2386" s="292"/>
      <c r="D2386" s="292"/>
      <c r="F2386" s="283" t="s">
        <v>127</v>
      </c>
      <c r="G2386" s="283"/>
      <c r="J2386" s="293">
        <v>22</v>
      </c>
      <c r="K2386" s="293"/>
      <c r="L2386" s="293"/>
      <c r="M2386" s="293"/>
      <c r="N2386" s="293"/>
      <c r="P2386" s="42">
        <v>6600</v>
      </c>
      <c r="R2386" s="42">
        <v>90</v>
      </c>
      <c r="T2386" s="284">
        <v>6510</v>
      </c>
      <c r="U2386" s="284"/>
    </row>
    <row r="2387" spans="2:21" x14ac:dyDescent="0.25">
      <c r="B2387" s="292">
        <v>44</v>
      </c>
      <c r="C2387" s="292"/>
      <c r="D2387" s="292"/>
      <c r="F2387" s="283" t="s">
        <v>126</v>
      </c>
      <c r="G2387" s="283"/>
      <c r="J2387" s="293">
        <v>23</v>
      </c>
      <c r="K2387" s="293"/>
      <c r="L2387" s="293"/>
      <c r="M2387" s="293"/>
      <c r="N2387" s="293"/>
      <c r="P2387" s="42">
        <v>4600</v>
      </c>
      <c r="R2387" s="42">
        <v>60</v>
      </c>
      <c r="T2387" s="284">
        <v>4540</v>
      </c>
      <c r="U2387" s="284"/>
    </row>
    <row r="2388" spans="2:21" x14ac:dyDescent="0.25">
      <c r="B2388" s="292">
        <v>45</v>
      </c>
      <c r="C2388" s="292"/>
      <c r="D2388" s="292"/>
      <c r="F2388" s="283" t="s">
        <v>119</v>
      </c>
      <c r="G2388" s="283"/>
      <c r="J2388" s="293">
        <v>18</v>
      </c>
      <c r="K2388" s="293"/>
      <c r="L2388" s="293"/>
      <c r="M2388" s="293"/>
      <c r="N2388" s="293"/>
      <c r="P2388" s="42">
        <v>16020</v>
      </c>
      <c r="R2388" s="42">
        <v>1470</v>
      </c>
      <c r="T2388" s="284">
        <v>14550</v>
      </c>
      <c r="U2388" s="284"/>
    </row>
    <row r="2389" spans="2:21" x14ac:dyDescent="0.25">
      <c r="B2389" s="292">
        <v>46</v>
      </c>
      <c r="C2389" s="292"/>
      <c r="D2389" s="292"/>
      <c r="F2389" s="283" t="s">
        <v>118</v>
      </c>
      <c r="G2389" s="283"/>
      <c r="J2389" s="293">
        <v>47</v>
      </c>
      <c r="K2389" s="293"/>
      <c r="L2389" s="293"/>
      <c r="M2389" s="293"/>
      <c r="N2389" s="293"/>
      <c r="P2389" s="42">
        <v>46530</v>
      </c>
      <c r="R2389" s="42">
        <v>5860</v>
      </c>
      <c r="T2389" s="284">
        <v>40670</v>
      </c>
      <c r="U2389" s="284"/>
    </row>
    <row r="2390" spans="2:21" x14ac:dyDescent="0.25">
      <c r="B2390" s="292">
        <v>47</v>
      </c>
      <c r="C2390" s="292"/>
      <c r="D2390" s="292"/>
      <c r="F2390" s="283" t="s">
        <v>115</v>
      </c>
      <c r="G2390" s="283"/>
      <c r="J2390" s="293">
        <v>32</v>
      </c>
      <c r="K2390" s="293"/>
      <c r="L2390" s="293"/>
      <c r="M2390" s="293"/>
      <c r="N2390" s="293"/>
      <c r="P2390" s="42">
        <v>9280</v>
      </c>
      <c r="R2390" s="42">
        <v>350</v>
      </c>
      <c r="T2390" s="284">
        <v>8930</v>
      </c>
      <c r="U2390" s="284"/>
    </row>
    <row r="2391" spans="2:21" x14ac:dyDescent="0.25">
      <c r="B2391" s="292">
        <v>48</v>
      </c>
      <c r="C2391" s="292"/>
      <c r="D2391" s="292"/>
      <c r="F2391" s="283" t="s">
        <v>171</v>
      </c>
      <c r="G2391" s="283"/>
      <c r="J2391" s="293">
        <v>1</v>
      </c>
      <c r="K2391" s="293"/>
      <c r="L2391" s="293"/>
      <c r="M2391" s="293"/>
      <c r="N2391" s="293"/>
      <c r="P2391" s="42">
        <v>530</v>
      </c>
      <c r="R2391" s="42">
        <v>160</v>
      </c>
      <c r="T2391" s="284">
        <v>370</v>
      </c>
      <c r="U2391" s="284"/>
    </row>
    <row r="2392" spans="2:21" x14ac:dyDescent="0.25">
      <c r="B2392" s="292">
        <v>49</v>
      </c>
      <c r="C2392" s="292"/>
      <c r="D2392" s="292"/>
      <c r="F2392" s="283" t="s">
        <v>109</v>
      </c>
      <c r="G2392" s="283"/>
      <c r="J2392" s="293">
        <v>7</v>
      </c>
      <c r="K2392" s="293"/>
      <c r="L2392" s="293"/>
      <c r="M2392" s="293"/>
      <c r="N2392" s="293"/>
      <c r="P2392" s="42">
        <v>5460</v>
      </c>
      <c r="R2392" s="42">
        <v>460</v>
      </c>
      <c r="T2392" s="284">
        <v>5000</v>
      </c>
      <c r="U2392" s="284"/>
    </row>
    <row r="2393" spans="2:21" x14ac:dyDescent="0.25">
      <c r="B2393" s="292">
        <v>50</v>
      </c>
      <c r="C2393" s="292"/>
      <c r="D2393" s="292"/>
      <c r="F2393" s="283" t="s">
        <v>108</v>
      </c>
      <c r="G2393" s="283"/>
      <c r="J2393" s="293">
        <v>348</v>
      </c>
      <c r="K2393" s="293"/>
      <c r="L2393" s="293"/>
      <c r="M2393" s="293"/>
      <c r="N2393" s="293"/>
      <c r="P2393" s="42">
        <v>34800</v>
      </c>
      <c r="R2393" s="42">
        <v>10440</v>
      </c>
      <c r="T2393" s="284">
        <v>24360</v>
      </c>
      <c r="U2393" s="284"/>
    </row>
    <row r="2394" spans="2:21" x14ac:dyDescent="0.25">
      <c r="B2394" s="292">
        <v>51</v>
      </c>
      <c r="C2394" s="292"/>
      <c r="D2394" s="292"/>
      <c r="F2394" s="283" t="s">
        <v>107</v>
      </c>
      <c r="G2394" s="283"/>
      <c r="J2394" s="293">
        <v>20</v>
      </c>
      <c r="K2394" s="293"/>
      <c r="L2394" s="293"/>
      <c r="M2394" s="293"/>
      <c r="N2394" s="293"/>
      <c r="P2394" s="42">
        <v>3400</v>
      </c>
      <c r="R2394" s="42">
        <v>450</v>
      </c>
      <c r="T2394" s="284">
        <v>2950</v>
      </c>
      <c r="U2394" s="284"/>
    </row>
    <row r="2395" spans="2:21" x14ac:dyDescent="0.25">
      <c r="B2395" s="292">
        <v>52</v>
      </c>
      <c r="C2395" s="292"/>
      <c r="D2395" s="292"/>
      <c r="F2395" s="283" t="s">
        <v>217</v>
      </c>
      <c r="G2395" s="283"/>
      <c r="J2395" s="293">
        <v>1</v>
      </c>
      <c r="K2395" s="293"/>
      <c r="L2395" s="293"/>
      <c r="M2395" s="293"/>
      <c r="N2395" s="293"/>
      <c r="P2395" s="42">
        <v>350</v>
      </c>
      <c r="R2395" s="42">
        <v>0</v>
      </c>
      <c r="T2395" s="284">
        <v>350</v>
      </c>
      <c r="U2395" s="284"/>
    </row>
    <row r="2396" spans="2:21" x14ac:dyDescent="0.25">
      <c r="B2396" s="292">
        <v>53</v>
      </c>
      <c r="C2396" s="292"/>
      <c r="D2396" s="292"/>
      <c r="F2396" s="283" t="s">
        <v>103</v>
      </c>
      <c r="G2396" s="283"/>
      <c r="J2396" s="293">
        <v>21</v>
      </c>
      <c r="K2396" s="293"/>
      <c r="L2396" s="293"/>
      <c r="M2396" s="293"/>
      <c r="N2396" s="293"/>
      <c r="P2396" s="42">
        <v>6930</v>
      </c>
      <c r="R2396" s="42">
        <v>480</v>
      </c>
      <c r="T2396" s="284">
        <v>6450</v>
      </c>
      <c r="U2396" s="284"/>
    </row>
    <row r="2397" spans="2:21" x14ac:dyDescent="0.25">
      <c r="B2397" s="292">
        <v>54</v>
      </c>
      <c r="C2397" s="292"/>
      <c r="D2397" s="292"/>
      <c r="F2397" s="283" t="s">
        <v>307</v>
      </c>
      <c r="G2397" s="283"/>
      <c r="J2397" s="293">
        <v>1</v>
      </c>
      <c r="K2397" s="293"/>
      <c r="L2397" s="293"/>
      <c r="M2397" s="293"/>
      <c r="N2397" s="293"/>
      <c r="P2397" s="42">
        <v>700</v>
      </c>
      <c r="R2397" s="42">
        <v>350</v>
      </c>
      <c r="T2397" s="284">
        <v>350</v>
      </c>
      <c r="U2397" s="284"/>
    </row>
    <row r="2398" spans="2:21" x14ac:dyDescent="0.25">
      <c r="B2398" s="292">
        <v>55</v>
      </c>
      <c r="C2398" s="292"/>
      <c r="D2398" s="292"/>
      <c r="F2398" s="283" t="s">
        <v>100</v>
      </c>
      <c r="G2398" s="283"/>
      <c r="J2398" s="293">
        <v>1</v>
      </c>
      <c r="K2398" s="293"/>
      <c r="L2398" s="293"/>
      <c r="M2398" s="293"/>
      <c r="N2398" s="293"/>
      <c r="P2398" s="42">
        <v>180</v>
      </c>
      <c r="R2398" s="42">
        <v>0</v>
      </c>
      <c r="T2398" s="284">
        <v>180</v>
      </c>
      <c r="U2398" s="284"/>
    </row>
    <row r="2399" spans="2:21" x14ac:dyDescent="0.25">
      <c r="B2399" s="292">
        <v>56</v>
      </c>
      <c r="C2399" s="292"/>
      <c r="D2399" s="292"/>
      <c r="F2399" s="283" t="s">
        <v>99</v>
      </c>
      <c r="G2399" s="283"/>
      <c r="J2399" s="293">
        <v>2</v>
      </c>
      <c r="K2399" s="293"/>
      <c r="L2399" s="293"/>
      <c r="M2399" s="293"/>
      <c r="N2399" s="293"/>
      <c r="P2399" s="42">
        <v>1180</v>
      </c>
      <c r="R2399" s="42">
        <v>0</v>
      </c>
      <c r="T2399" s="284">
        <v>1180</v>
      </c>
      <c r="U2399" s="284"/>
    </row>
    <row r="2400" spans="2:21" x14ac:dyDescent="0.25">
      <c r="B2400" s="292">
        <v>57</v>
      </c>
      <c r="C2400" s="292"/>
      <c r="D2400" s="292"/>
      <c r="F2400" s="283" t="s">
        <v>98</v>
      </c>
      <c r="G2400" s="283"/>
      <c r="J2400" s="293">
        <v>2</v>
      </c>
      <c r="K2400" s="293"/>
      <c r="L2400" s="293"/>
      <c r="M2400" s="293"/>
      <c r="N2400" s="293"/>
      <c r="P2400" s="42">
        <v>1140</v>
      </c>
      <c r="R2400" s="42">
        <v>0</v>
      </c>
      <c r="T2400" s="284">
        <v>1140</v>
      </c>
      <c r="U2400" s="284"/>
    </row>
    <row r="2401" spans="1:21" x14ac:dyDescent="0.25">
      <c r="B2401" s="292">
        <v>58</v>
      </c>
      <c r="C2401" s="292"/>
      <c r="D2401" s="292"/>
      <c r="F2401" s="283" t="s">
        <v>97</v>
      </c>
      <c r="G2401" s="283"/>
      <c r="J2401" s="293">
        <v>38</v>
      </c>
      <c r="K2401" s="293"/>
      <c r="L2401" s="293"/>
      <c r="M2401" s="293"/>
      <c r="N2401" s="293"/>
      <c r="P2401" s="42">
        <v>60420</v>
      </c>
      <c r="R2401" s="42">
        <v>240</v>
      </c>
      <c r="T2401" s="284">
        <v>60180</v>
      </c>
      <c r="U2401" s="284"/>
    </row>
    <row r="2402" spans="1:21" x14ac:dyDescent="0.25">
      <c r="B2402" s="292">
        <v>59</v>
      </c>
      <c r="C2402" s="292"/>
      <c r="D2402" s="292"/>
      <c r="F2402" s="283" t="s">
        <v>93</v>
      </c>
      <c r="G2402" s="283"/>
      <c r="J2402" s="293">
        <v>3</v>
      </c>
      <c r="K2402" s="293"/>
      <c r="L2402" s="293"/>
      <c r="M2402" s="293"/>
      <c r="N2402" s="293"/>
      <c r="P2402" s="42">
        <v>1770</v>
      </c>
      <c r="R2402" s="42">
        <v>0</v>
      </c>
      <c r="T2402" s="284">
        <v>1770</v>
      </c>
      <c r="U2402" s="284"/>
    </row>
    <row r="2403" spans="1:21" x14ac:dyDescent="0.25">
      <c r="B2403" s="292">
        <v>60</v>
      </c>
      <c r="C2403" s="292"/>
      <c r="D2403" s="292"/>
      <c r="F2403" s="283" t="s">
        <v>92</v>
      </c>
      <c r="G2403" s="283"/>
      <c r="J2403" s="293">
        <v>36</v>
      </c>
      <c r="K2403" s="293"/>
      <c r="L2403" s="293"/>
      <c r="M2403" s="293"/>
      <c r="N2403" s="293"/>
      <c r="P2403" s="42">
        <v>25960</v>
      </c>
      <c r="R2403" s="42">
        <v>1120</v>
      </c>
      <c r="T2403" s="284">
        <v>24840</v>
      </c>
      <c r="U2403" s="284"/>
    </row>
    <row r="2404" spans="1:21" x14ac:dyDescent="0.25">
      <c r="B2404" s="292">
        <v>61</v>
      </c>
      <c r="C2404" s="292"/>
      <c r="D2404" s="292"/>
      <c r="F2404" s="283" t="s">
        <v>91</v>
      </c>
      <c r="G2404" s="283"/>
      <c r="J2404" s="293">
        <v>24</v>
      </c>
      <c r="K2404" s="293"/>
      <c r="L2404" s="293"/>
      <c r="M2404" s="293"/>
      <c r="N2404" s="293"/>
      <c r="P2404" s="42">
        <v>6000</v>
      </c>
      <c r="R2404" s="42">
        <v>490</v>
      </c>
      <c r="T2404" s="284">
        <v>5510</v>
      </c>
      <c r="U2404" s="284"/>
    </row>
    <row r="2405" spans="1:21" x14ac:dyDescent="0.25">
      <c r="B2405" s="292">
        <v>62</v>
      </c>
      <c r="C2405" s="292"/>
      <c r="D2405" s="292"/>
      <c r="F2405" s="283" t="s">
        <v>90</v>
      </c>
      <c r="G2405" s="283"/>
      <c r="J2405" s="293">
        <v>32</v>
      </c>
      <c r="K2405" s="293"/>
      <c r="L2405" s="293"/>
      <c r="M2405" s="293"/>
      <c r="N2405" s="293"/>
      <c r="P2405" s="42">
        <v>9280</v>
      </c>
      <c r="R2405" s="42">
        <v>640</v>
      </c>
      <c r="T2405" s="284">
        <v>8640</v>
      </c>
      <c r="U2405" s="284"/>
    </row>
    <row r="2406" spans="1:21" x14ac:dyDescent="0.25">
      <c r="B2406" s="292">
        <v>63</v>
      </c>
      <c r="C2406" s="292"/>
      <c r="D2406" s="292"/>
      <c r="F2406" s="283" t="s">
        <v>88</v>
      </c>
      <c r="G2406" s="283"/>
      <c r="J2406" s="293">
        <v>34</v>
      </c>
      <c r="K2406" s="293"/>
      <c r="L2406" s="293"/>
      <c r="M2406" s="293"/>
      <c r="N2406" s="293"/>
      <c r="P2406" s="42">
        <v>6120</v>
      </c>
      <c r="R2406" s="42">
        <v>230</v>
      </c>
      <c r="T2406" s="284">
        <v>5890</v>
      </c>
      <c r="U2406" s="284"/>
    </row>
    <row r="2407" spans="1:21" x14ac:dyDescent="0.25">
      <c r="B2407" s="292">
        <v>64</v>
      </c>
      <c r="C2407" s="292"/>
      <c r="D2407" s="292"/>
      <c r="F2407" s="283" t="s">
        <v>87</v>
      </c>
      <c r="G2407" s="283"/>
      <c r="J2407" s="293">
        <v>1</v>
      </c>
      <c r="K2407" s="293"/>
      <c r="L2407" s="293"/>
      <c r="M2407" s="293"/>
      <c r="N2407" s="293"/>
      <c r="P2407" s="42">
        <v>290</v>
      </c>
      <c r="R2407" s="42">
        <v>80</v>
      </c>
      <c r="T2407" s="284">
        <v>210</v>
      </c>
      <c r="U2407" s="284"/>
    </row>
    <row r="2408" spans="1:21" x14ac:dyDescent="0.25">
      <c r="B2408" s="292">
        <v>65</v>
      </c>
      <c r="C2408" s="292"/>
      <c r="D2408" s="292"/>
      <c r="F2408" s="283" t="s">
        <v>85</v>
      </c>
      <c r="G2408" s="283"/>
      <c r="J2408" s="293">
        <v>1</v>
      </c>
      <c r="K2408" s="293"/>
      <c r="L2408" s="293"/>
      <c r="M2408" s="293"/>
      <c r="N2408" s="293"/>
      <c r="P2408" s="42">
        <v>2080</v>
      </c>
      <c r="R2408" s="42">
        <v>0</v>
      </c>
      <c r="T2408" s="284">
        <v>2080</v>
      </c>
      <c r="U2408" s="284"/>
    </row>
    <row r="2409" spans="1:21" x14ac:dyDescent="0.25">
      <c r="B2409" s="292">
        <v>66</v>
      </c>
      <c r="C2409" s="292"/>
      <c r="D2409" s="292"/>
      <c r="F2409" s="283" t="s">
        <v>84</v>
      </c>
      <c r="G2409" s="283"/>
      <c r="J2409" s="293">
        <v>3</v>
      </c>
      <c r="K2409" s="293"/>
      <c r="L2409" s="293"/>
      <c r="M2409" s="293"/>
      <c r="N2409" s="293"/>
      <c r="P2409" s="42">
        <v>1770</v>
      </c>
      <c r="R2409" s="42">
        <v>0</v>
      </c>
      <c r="T2409" s="284">
        <v>1770</v>
      </c>
      <c r="U2409" s="284"/>
    </row>
    <row r="2410" spans="1:21" x14ac:dyDescent="0.25">
      <c r="B2410" s="292">
        <v>67</v>
      </c>
      <c r="C2410" s="292"/>
      <c r="D2410" s="292"/>
      <c r="F2410" s="283" t="s">
        <v>205</v>
      </c>
      <c r="G2410" s="283"/>
      <c r="J2410" s="293">
        <v>3</v>
      </c>
      <c r="K2410" s="293"/>
      <c r="L2410" s="293"/>
      <c r="M2410" s="293"/>
      <c r="N2410" s="293"/>
      <c r="P2410" s="42">
        <v>1500</v>
      </c>
      <c r="R2410" s="42">
        <v>450</v>
      </c>
      <c r="T2410" s="284">
        <v>1050</v>
      </c>
      <c r="U2410" s="284"/>
    </row>
    <row r="2411" spans="1:21" x14ac:dyDescent="0.25">
      <c r="B2411" s="292">
        <v>68</v>
      </c>
      <c r="C2411" s="292"/>
      <c r="D2411" s="292"/>
      <c r="F2411" s="283" t="s">
        <v>83</v>
      </c>
      <c r="G2411" s="283"/>
      <c r="J2411" s="293">
        <v>1</v>
      </c>
      <c r="K2411" s="293"/>
      <c r="L2411" s="293"/>
      <c r="M2411" s="293"/>
      <c r="N2411" s="293"/>
      <c r="P2411" s="42">
        <v>500</v>
      </c>
      <c r="R2411" s="42">
        <v>150</v>
      </c>
      <c r="T2411" s="284">
        <v>350</v>
      </c>
      <c r="U2411" s="284"/>
    </row>
    <row r="2412" spans="1:21" s="40" customFormat="1" x14ac:dyDescent="0.25">
      <c r="A2412" s="290" t="s">
        <v>405</v>
      </c>
      <c r="B2412" s="290"/>
      <c r="C2412" s="290"/>
      <c r="D2412" s="290"/>
      <c r="E2412" s="290"/>
      <c r="F2412" s="290"/>
      <c r="G2412" s="290"/>
      <c r="H2412" s="290"/>
      <c r="I2412" s="290"/>
      <c r="J2412" s="290"/>
      <c r="K2412" s="291">
        <v>6934</v>
      </c>
      <c r="L2412" s="291"/>
      <c r="M2412" s="291"/>
      <c r="N2412" s="291"/>
      <c r="O2412" s="291"/>
      <c r="P2412" s="41">
        <v>7361430</v>
      </c>
      <c r="R2412" s="41">
        <v>6672164</v>
      </c>
      <c r="T2412" s="287">
        <v>689266</v>
      </c>
      <c r="U2412" s="287"/>
    </row>
    <row r="2413" spans="1:21" x14ac:dyDescent="0.25">
      <c r="B2413" s="292">
        <v>1</v>
      </c>
      <c r="C2413" s="292"/>
      <c r="D2413" s="292"/>
      <c r="F2413" s="283" t="s">
        <v>200</v>
      </c>
      <c r="G2413" s="283"/>
      <c r="J2413" s="293">
        <v>1</v>
      </c>
      <c r="K2413" s="293"/>
      <c r="L2413" s="293"/>
      <c r="M2413" s="293"/>
      <c r="N2413" s="293"/>
      <c r="P2413" s="42">
        <v>500</v>
      </c>
      <c r="R2413" s="42">
        <v>150</v>
      </c>
      <c r="T2413" s="284">
        <v>350</v>
      </c>
      <c r="U2413" s="284"/>
    </row>
    <row r="2414" spans="1:21" x14ac:dyDescent="0.25">
      <c r="B2414" s="292">
        <v>2</v>
      </c>
      <c r="C2414" s="292"/>
      <c r="D2414" s="292"/>
      <c r="F2414" s="283" t="s">
        <v>78</v>
      </c>
      <c r="G2414" s="283"/>
      <c r="J2414" s="293">
        <v>587</v>
      </c>
      <c r="K2414" s="293"/>
      <c r="L2414" s="293"/>
      <c r="M2414" s="293"/>
      <c r="N2414" s="293"/>
      <c r="P2414" s="42">
        <v>170230</v>
      </c>
      <c r="R2414" s="42">
        <v>170230</v>
      </c>
      <c r="T2414" s="284">
        <v>0</v>
      </c>
      <c r="U2414" s="284"/>
    </row>
    <row r="2415" spans="1:21" x14ac:dyDescent="0.25">
      <c r="B2415" s="292">
        <v>3</v>
      </c>
      <c r="C2415" s="292"/>
      <c r="D2415" s="292"/>
      <c r="F2415" s="283" t="s">
        <v>199</v>
      </c>
      <c r="G2415" s="283"/>
      <c r="J2415" s="293">
        <v>1</v>
      </c>
      <c r="K2415" s="293"/>
      <c r="L2415" s="293"/>
      <c r="M2415" s="293"/>
      <c r="N2415" s="293"/>
      <c r="P2415" s="42">
        <v>290</v>
      </c>
      <c r="R2415" s="42">
        <v>80</v>
      </c>
      <c r="T2415" s="284">
        <v>210</v>
      </c>
      <c r="U2415" s="284"/>
    </row>
    <row r="2416" spans="1:21" x14ac:dyDescent="0.25">
      <c r="B2416" s="292">
        <v>4</v>
      </c>
      <c r="C2416" s="292"/>
      <c r="D2416" s="292"/>
      <c r="F2416" s="283" t="s">
        <v>294</v>
      </c>
      <c r="G2416" s="283"/>
      <c r="J2416" s="293">
        <v>1</v>
      </c>
      <c r="K2416" s="293"/>
      <c r="L2416" s="293"/>
      <c r="M2416" s="293"/>
      <c r="N2416" s="293"/>
      <c r="P2416" s="42">
        <v>500</v>
      </c>
      <c r="R2416" s="42">
        <v>0</v>
      </c>
      <c r="T2416" s="284">
        <v>500</v>
      </c>
      <c r="U2416" s="284"/>
    </row>
    <row r="2417" spans="2:21" x14ac:dyDescent="0.25">
      <c r="B2417" s="292">
        <v>5</v>
      </c>
      <c r="C2417" s="292"/>
      <c r="D2417" s="292"/>
      <c r="F2417" s="283" t="s">
        <v>329</v>
      </c>
      <c r="G2417" s="283"/>
      <c r="J2417" s="293">
        <v>1</v>
      </c>
      <c r="K2417" s="293"/>
      <c r="L2417" s="293"/>
      <c r="M2417" s="293"/>
      <c r="N2417" s="293"/>
      <c r="P2417" s="42">
        <v>1200</v>
      </c>
      <c r="R2417" s="42">
        <v>180</v>
      </c>
      <c r="T2417" s="284">
        <v>1020</v>
      </c>
      <c r="U2417" s="284"/>
    </row>
    <row r="2418" spans="2:21" x14ac:dyDescent="0.25">
      <c r="B2418" s="292">
        <v>6</v>
      </c>
      <c r="C2418" s="292"/>
      <c r="D2418" s="292"/>
      <c r="F2418" s="283" t="s">
        <v>248</v>
      </c>
      <c r="G2418" s="283"/>
      <c r="J2418" s="293">
        <v>1</v>
      </c>
      <c r="K2418" s="293"/>
      <c r="L2418" s="293"/>
      <c r="M2418" s="293"/>
      <c r="N2418" s="293"/>
      <c r="P2418" s="42">
        <v>1200</v>
      </c>
      <c r="R2418" s="42">
        <v>180</v>
      </c>
      <c r="T2418" s="284">
        <v>1020</v>
      </c>
      <c r="U2418" s="284"/>
    </row>
    <row r="2419" spans="2:21" x14ac:dyDescent="0.25">
      <c r="B2419" s="292">
        <v>7</v>
      </c>
      <c r="C2419" s="292"/>
      <c r="D2419" s="292"/>
      <c r="F2419" s="283" t="s">
        <v>165</v>
      </c>
      <c r="G2419" s="283"/>
      <c r="J2419" s="293">
        <v>1</v>
      </c>
      <c r="K2419" s="293"/>
      <c r="L2419" s="293"/>
      <c r="M2419" s="293"/>
      <c r="N2419" s="293"/>
      <c r="P2419" s="42">
        <v>590</v>
      </c>
      <c r="R2419" s="42">
        <v>180</v>
      </c>
      <c r="T2419" s="284">
        <v>410</v>
      </c>
      <c r="U2419" s="284"/>
    </row>
    <row r="2420" spans="2:21" x14ac:dyDescent="0.25">
      <c r="B2420" s="292">
        <v>8</v>
      </c>
      <c r="C2420" s="292"/>
      <c r="D2420" s="292"/>
      <c r="F2420" s="283" t="s">
        <v>163</v>
      </c>
      <c r="G2420" s="283"/>
      <c r="J2420" s="293">
        <v>1</v>
      </c>
      <c r="K2420" s="293"/>
      <c r="L2420" s="293"/>
      <c r="M2420" s="293"/>
      <c r="N2420" s="293"/>
      <c r="P2420" s="42">
        <v>1190</v>
      </c>
      <c r="R2420" s="42">
        <v>180</v>
      </c>
      <c r="T2420" s="284">
        <v>1010</v>
      </c>
      <c r="U2420" s="284"/>
    </row>
    <row r="2421" spans="2:21" x14ac:dyDescent="0.25">
      <c r="B2421" s="292">
        <v>9</v>
      </c>
      <c r="C2421" s="292"/>
      <c r="D2421" s="292"/>
      <c r="F2421" s="283" t="s">
        <v>162</v>
      </c>
      <c r="G2421" s="283"/>
      <c r="J2421" s="293">
        <v>23</v>
      </c>
      <c r="K2421" s="293"/>
      <c r="L2421" s="293"/>
      <c r="M2421" s="293"/>
      <c r="N2421" s="293"/>
      <c r="P2421" s="42">
        <v>9890</v>
      </c>
      <c r="R2421" s="42">
        <v>4688</v>
      </c>
      <c r="T2421" s="284">
        <v>5202</v>
      </c>
      <c r="U2421" s="284"/>
    </row>
    <row r="2422" spans="2:21" x14ac:dyDescent="0.25">
      <c r="B2422" s="292">
        <v>10</v>
      </c>
      <c r="C2422" s="292"/>
      <c r="D2422" s="292"/>
      <c r="F2422" s="283" t="s">
        <v>198</v>
      </c>
      <c r="G2422" s="283"/>
      <c r="J2422" s="293">
        <v>1</v>
      </c>
      <c r="K2422" s="293"/>
      <c r="L2422" s="293"/>
      <c r="M2422" s="293"/>
      <c r="N2422" s="293"/>
      <c r="P2422" s="42">
        <v>290</v>
      </c>
      <c r="R2422" s="42">
        <v>80</v>
      </c>
      <c r="T2422" s="284">
        <v>210</v>
      </c>
      <c r="U2422" s="284"/>
    </row>
    <row r="2423" spans="2:21" x14ac:dyDescent="0.25">
      <c r="B2423" s="292">
        <v>11</v>
      </c>
      <c r="C2423" s="292"/>
      <c r="D2423" s="292"/>
      <c r="F2423" s="283" t="s">
        <v>160</v>
      </c>
      <c r="G2423" s="283"/>
      <c r="J2423" s="293">
        <v>26</v>
      </c>
      <c r="K2423" s="293"/>
      <c r="L2423" s="293"/>
      <c r="M2423" s="293"/>
      <c r="N2423" s="293"/>
      <c r="P2423" s="42">
        <v>7540</v>
      </c>
      <c r="R2423" s="42">
        <v>2080</v>
      </c>
      <c r="T2423" s="284">
        <v>5460</v>
      </c>
      <c r="U2423" s="284"/>
    </row>
    <row r="2424" spans="2:21" x14ac:dyDescent="0.25">
      <c r="B2424" s="292">
        <v>12</v>
      </c>
      <c r="C2424" s="292"/>
      <c r="D2424" s="292"/>
      <c r="F2424" s="283" t="s">
        <v>158</v>
      </c>
      <c r="G2424" s="283"/>
      <c r="J2424" s="293">
        <v>663</v>
      </c>
      <c r="K2424" s="293"/>
      <c r="L2424" s="293"/>
      <c r="M2424" s="293"/>
      <c r="N2424" s="293"/>
      <c r="P2424" s="42">
        <v>364650</v>
      </c>
      <c r="R2424" s="42">
        <v>107650</v>
      </c>
      <c r="T2424" s="284">
        <v>257000</v>
      </c>
      <c r="U2424" s="284"/>
    </row>
    <row r="2425" spans="2:21" x14ac:dyDescent="0.25">
      <c r="B2425" s="292">
        <v>13</v>
      </c>
      <c r="C2425" s="292"/>
      <c r="D2425" s="292"/>
      <c r="F2425" s="283" t="s">
        <v>157</v>
      </c>
      <c r="G2425" s="283"/>
      <c r="J2425" s="293">
        <v>242</v>
      </c>
      <c r="K2425" s="293"/>
      <c r="L2425" s="293"/>
      <c r="M2425" s="293"/>
      <c r="N2425" s="293"/>
      <c r="P2425" s="42">
        <v>118580</v>
      </c>
      <c r="R2425" s="42">
        <v>52631</v>
      </c>
      <c r="T2425" s="284">
        <v>65949</v>
      </c>
      <c r="U2425" s="284"/>
    </row>
    <row r="2426" spans="2:21" x14ac:dyDescent="0.25">
      <c r="B2426" s="292">
        <v>14</v>
      </c>
      <c r="C2426" s="292"/>
      <c r="D2426" s="292"/>
      <c r="F2426" s="283" t="s">
        <v>293</v>
      </c>
      <c r="G2426" s="283"/>
      <c r="J2426" s="293">
        <v>3</v>
      </c>
      <c r="K2426" s="293"/>
      <c r="L2426" s="293"/>
      <c r="M2426" s="293"/>
      <c r="N2426" s="293"/>
      <c r="P2426" s="42">
        <v>2100</v>
      </c>
      <c r="R2426" s="42">
        <v>540</v>
      </c>
      <c r="T2426" s="284">
        <v>1560</v>
      </c>
      <c r="U2426" s="284"/>
    </row>
    <row r="2427" spans="2:21" x14ac:dyDescent="0.25">
      <c r="B2427" s="292">
        <v>15</v>
      </c>
      <c r="C2427" s="292"/>
      <c r="D2427" s="292"/>
      <c r="F2427" s="283" t="s">
        <v>196</v>
      </c>
      <c r="G2427" s="283"/>
      <c r="J2427" s="293">
        <v>4</v>
      </c>
      <c r="K2427" s="293"/>
      <c r="L2427" s="293"/>
      <c r="M2427" s="293"/>
      <c r="N2427" s="293"/>
      <c r="P2427" s="42">
        <v>2800</v>
      </c>
      <c r="R2427" s="42">
        <v>1400</v>
      </c>
      <c r="T2427" s="284">
        <v>1400</v>
      </c>
      <c r="U2427" s="284"/>
    </row>
    <row r="2428" spans="2:21" x14ac:dyDescent="0.25">
      <c r="B2428" s="292">
        <v>16</v>
      </c>
      <c r="C2428" s="292"/>
      <c r="D2428" s="292"/>
      <c r="F2428" s="283" t="s">
        <v>309</v>
      </c>
      <c r="G2428" s="283"/>
      <c r="J2428" s="293">
        <v>51</v>
      </c>
      <c r="K2428" s="293"/>
      <c r="L2428" s="293"/>
      <c r="M2428" s="293"/>
      <c r="N2428" s="293"/>
      <c r="P2428" s="42">
        <v>25500</v>
      </c>
      <c r="R2428" s="42">
        <v>7200</v>
      </c>
      <c r="T2428" s="284">
        <v>18300</v>
      </c>
      <c r="U2428" s="284"/>
    </row>
    <row r="2429" spans="2:21" x14ac:dyDescent="0.25">
      <c r="B2429" s="292">
        <v>17</v>
      </c>
      <c r="C2429" s="292"/>
      <c r="D2429" s="292"/>
      <c r="F2429" s="283" t="s">
        <v>328</v>
      </c>
      <c r="G2429" s="283"/>
      <c r="J2429" s="293">
        <v>2</v>
      </c>
      <c r="K2429" s="293"/>
      <c r="L2429" s="293"/>
      <c r="M2429" s="293"/>
      <c r="N2429" s="293"/>
      <c r="P2429" s="42">
        <v>1200</v>
      </c>
      <c r="R2429" s="42">
        <v>500</v>
      </c>
      <c r="T2429" s="284">
        <v>700</v>
      </c>
      <c r="U2429" s="284"/>
    </row>
    <row r="2430" spans="2:21" x14ac:dyDescent="0.25">
      <c r="B2430" s="292">
        <v>18</v>
      </c>
      <c r="C2430" s="292"/>
      <c r="D2430" s="292"/>
      <c r="F2430" s="283" t="s">
        <v>77</v>
      </c>
      <c r="G2430" s="283"/>
      <c r="J2430" s="293">
        <v>2375</v>
      </c>
      <c r="K2430" s="293"/>
      <c r="L2430" s="293"/>
      <c r="M2430" s="293"/>
      <c r="N2430" s="293"/>
      <c r="P2430" s="42">
        <v>959600</v>
      </c>
      <c r="R2430" s="42">
        <v>959600</v>
      </c>
      <c r="T2430" s="284">
        <v>0</v>
      </c>
      <c r="U2430" s="284"/>
    </row>
    <row r="2431" spans="2:21" x14ac:dyDescent="0.25">
      <c r="B2431" s="292">
        <v>19</v>
      </c>
      <c r="C2431" s="292"/>
      <c r="D2431" s="292"/>
      <c r="F2431" s="283" t="s">
        <v>76</v>
      </c>
      <c r="G2431" s="283"/>
      <c r="J2431" s="293">
        <v>2</v>
      </c>
      <c r="K2431" s="293"/>
      <c r="L2431" s="293"/>
      <c r="M2431" s="293"/>
      <c r="N2431" s="293"/>
      <c r="P2431" s="42">
        <v>1100</v>
      </c>
      <c r="R2431" s="42">
        <v>1100</v>
      </c>
      <c r="T2431" s="284">
        <v>0</v>
      </c>
      <c r="U2431" s="284"/>
    </row>
    <row r="2432" spans="2:21" x14ac:dyDescent="0.25">
      <c r="B2432" s="292">
        <v>20</v>
      </c>
      <c r="C2432" s="292"/>
      <c r="D2432" s="292"/>
      <c r="F2432" s="283" t="s">
        <v>156</v>
      </c>
      <c r="G2432" s="283"/>
      <c r="J2432" s="293">
        <v>13</v>
      </c>
      <c r="K2432" s="293"/>
      <c r="L2432" s="293"/>
      <c r="M2432" s="293"/>
      <c r="N2432" s="293"/>
      <c r="P2432" s="42">
        <v>2470</v>
      </c>
      <c r="R2432" s="42">
        <v>840</v>
      </c>
      <c r="T2432" s="284">
        <v>1630</v>
      </c>
      <c r="U2432" s="284"/>
    </row>
    <row r="2433" spans="2:21" x14ac:dyDescent="0.25">
      <c r="B2433" s="292">
        <v>21</v>
      </c>
      <c r="C2433" s="292"/>
      <c r="D2433" s="292"/>
      <c r="F2433" s="283" t="s">
        <v>155</v>
      </c>
      <c r="G2433" s="283"/>
      <c r="J2433" s="293">
        <v>43</v>
      </c>
      <c r="K2433" s="293"/>
      <c r="L2433" s="293"/>
      <c r="M2433" s="293"/>
      <c r="N2433" s="293"/>
      <c r="P2433" s="42">
        <v>10750</v>
      </c>
      <c r="R2433" s="42">
        <v>3560</v>
      </c>
      <c r="T2433" s="284">
        <v>7190</v>
      </c>
      <c r="U2433" s="284"/>
    </row>
    <row r="2434" spans="2:21" x14ac:dyDescent="0.25">
      <c r="B2434" s="292">
        <v>22</v>
      </c>
      <c r="C2434" s="292"/>
      <c r="D2434" s="292"/>
      <c r="F2434" s="283" t="s">
        <v>154</v>
      </c>
      <c r="G2434" s="283"/>
      <c r="J2434" s="293">
        <v>1</v>
      </c>
      <c r="K2434" s="293"/>
      <c r="L2434" s="293"/>
      <c r="M2434" s="293"/>
      <c r="N2434" s="293"/>
      <c r="P2434" s="42">
        <v>890</v>
      </c>
      <c r="R2434" s="42">
        <v>130</v>
      </c>
      <c r="T2434" s="284">
        <v>760</v>
      </c>
      <c r="U2434" s="284"/>
    </row>
    <row r="2435" spans="2:21" x14ac:dyDescent="0.25">
      <c r="B2435" s="292">
        <v>23</v>
      </c>
      <c r="C2435" s="292"/>
      <c r="D2435" s="292"/>
      <c r="F2435" s="283" t="s">
        <v>339</v>
      </c>
      <c r="G2435" s="283"/>
      <c r="J2435" s="293">
        <v>1</v>
      </c>
      <c r="K2435" s="293"/>
      <c r="L2435" s="293"/>
      <c r="M2435" s="293"/>
      <c r="N2435" s="293"/>
      <c r="P2435" s="42">
        <v>350</v>
      </c>
      <c r="R2435" s="42">
        <v>150</v>
      </c>
      <c r="T2435" s="284">
        <v>200</v>
      </c>
      <c r="U2435" s="284"/>
    </row>
    <row r="2436" spans="2:21" x14ac:dyDescent="0.25">
      <c r="B2436" s="292">
        <v>24</v>
      </c>
      <c r="C2436" s="292"/>
      <c r="D2436" s="292"/>
      <c r="F2436" s="283" t="s">
        <v>195</v>
      </c>
      <c r="G2436" s="283"/>
      <c r="J2436" s="293">
        <v>2</v>
      </c>
      <c r="K2436" s="293"/>
      <c r="L2436" s="293"/>
      <c r="M2436" s="293"/>
      <c r="N2436" s="293"/>
      <c r="P2436" s="42">
        <v>2000</v>
      </c>
      <c r="R2436" s="42">
        <v>500</v>
      </c>
      <c r="T2436" s="284">
        <v>1500</v>
      </c>
      <c r="U2436" s="284"/>
    </row>
    <row r="2437" spans="2:21" x14ac:dyDescent="0.25">
      <c r="B2437" s="292">
        <v>25</v>
      </c>
      <c r="C2437" s="292"/>
      <c r="D2437" s="292"/>
      <c r="F2437" s="283" t="s">
        <v>152</v>
      </c>
      <c r="G2437" s="283"/>
      <c r="J2437" s="293">
        <v>5</v>
      </c>
      <c r="K2437" s="293"/>
      <c r="L2437" s="293"/>
      <c r="M2437" s="293"/>
      <c r="N2437" s="293"/>
      <c r="P2437" s="42">
        <v>2950</v>
      </c>
      <c r="R2437" s="42">
        <v>1020</v>
      </c>
      <c r="T2437" s="284">
        <v>1930</v>
      </c>
      <c r="U2437" s="284"/>
    </row>
    <row r="2438" spans="2:21" x14ac:dyDescent="0.25">
      <c r="B2438" s="292">
        <v>26</v>
      </c>
      <c r="C2438" s="292"/>
      <c r="D2438" s="292"/>
      <c r="F2438" s="283" t="s">
        <v>151</v>
      </c>
      <c r="G2438" s="283"/>
      <c r="J2438" s="293">
        <v>31</v>
      </c>
      <c r="K2438" s="293"/>
      <c r="L2438" s="293"/>
      <c r="M2438" s="293"/>
      <c r="N2438" s="293"/>
      <c r="P2438" s="42">
        <v>7130</v>
      </c>
      <c r="R2438" s="42">
        <v>2260</v>
      </c>
      <c r="T2438" s="284">
        <v>4870</v>
      </c>
      <c r="U2438" s="284"/>
    </row>
    <row r="2439" spans="2:21" x14ac:dyDescent="0.25">
      <c r="B2439" s="292">
        <v>27</v>
      </c>
      <c r="C2439" s="292"/>
      <c r="D2439" s="292"/>
      <c r="F2439" s="283" t="s">
        <v>150</v>
      </c>
      <c r="G2439" s="283"/>
      <c r="J2439" s="293">
        <v>45</v>
      </c>
      <c r="K2439" s="293"/>
      <c r="L2439" s="293"/>
      <c r="M2439" s="293"/>
      <c r="N2439" s="293"/>
      <c r="P2439" s="42">
        <v>7650</v>
      </c>
      <c r="R2439" s="42">
        <v>2100</v>
      </c>
      <c r="T2439" s="284">
        <v>5550</v>
      </c>
      <c r="U2439" s="284"/>
    </row>
    <row r="2440" spans="2:21" x14ac:dyDescent="0.25">
      <c r="B2440" s="292">
        <v>28</v>
      </c>
      <c r="C2440" s="292"/>
      <c r="D2440" s="292"/>
      <c r="F2440" s="283" t="s">
        <v>149</v>
      </c>
      <c r="G2440" s="283"/>
      <c r="J2440" s="293">
        <v>6</v>
      </c>
      <c r="K2440" s="293"/>
      <c r="L2440" s="293"/>
      <c r="M2440" s="293"/>
      <c r="N2440" s="293"/>
      <c r="P2440" s="42">
        <v>300</v>
      </c>
      <c r="R2440" s="42">
        <v>60</v>
      </c>
      <c r="T2440" s="284">
        <v>240</v>
      </c>
      <c r="U2440" s="284"/>
    </row>
    <row r="2441" spans="2:21" x14ac:dyDescent="0.25">
      <c r="B2441" s="292">
        <v>29</v>
      </c>
      <c r="C2441" s="292"/>
      <c r="D2441" s="292"/>
      <c r="F2441" s="283" t="s">
        <v>148</v>
      </c>
      <c r="G2441" s="283"/>
      <c r="J2441" s="293">
        <v>2</v>
      </c>
      <c r="K2441" s="293"/>
      <c r="L2441" s="293"/>
      <c r="M2441" s="293"/>
      <c r="N2441" s="293"/>
      <c r="P2441" s="42">
        <v>1960</v>
      </c>
      <c r="R2441" s="42">
        <v>300</v>
      </c>
      <c r="T2441" s="284">
        <v>1660</v>
      </c>
      <c r="U2441" s="284"/>
    </row>
    <row r="2442" spans="2:21" x14ac:dyDescent="0.25">
      <c r="B2442" s="292">
        <v>30</v>
      </c>
      <c r="C2442" s="292"/>
      <c r="D2442" s="292"/>
      <c r="F2442" s="283" t="s">
        <v>235</v>
      </c>
      <c r="G2442" s="283"/>
      <c r="J2442" s="293">
        <v>1</v>
      </c>
      <c r="K2442" s="293"/>
      <c r="L2442" s="293"/>
      <c r="M2442" s="293"/>
      <c r="N2442" s="293"/>
      <c r="P2442" s="42">
        <v>950</v>
      </c>
      <c r="R2442" s="42">
        <v>140</v>
      </c>
      <c r="T2442" s="284">
        <v>810</v>
      </c>
      <c r="U2442" s="284"/>
    </row>
    <row r="2443" spans="2:21" x14ac:dyDescent="0.25">
      <c r="B2443" s="292">
        <v>31</v>
      </c>
      <c r="C2443" s="292"/>
      <c r="D2443" s="292"/>
      <c r="F2443" s="283" t="s">
        <v>287</v>
      </c>
      <c r="G2443" s="283"/>
      <c r="J2443" s="293">
        <v>1</v>
      </c>
      <c r="K2443" s="293"/>
      <c r="L2443" s="293"/>
      <c r="M2443" s="293"/>
      <c r="N2443" s="293"/>
      <c r="P2443" s="42">
        <v>800</v>
      </c>
      <c r="R2443" s="42">
        <v>450</v>
      </c>
      <c r="T2443" s="284">
        <v>350</v>
      </c>
      <c r="U2443" s="284"/>
    </row>
    <row r="2444" spans="2:21" x14ac:dyDescent="0.25">
      <c r="B2444" s="292">
        <v>32</v>
      </c>
      <c r="C2444" s="292"/>
      <c r="D2444" s="292"/>
      <c r="F2444" s="283" t="s">
        <v>286</v>
      </c>
      <c r="G2444" s="283"/>
      <c r="J2444" s="293">
        <v>1</v>
      </c>
      <c r="K2444" s="293"/>
      <c r="L2444" s="293"/>
      <c r="M2444" s="293"/>
      <c r="N2444" s="293"/>
      <c r="P2444" s="42">
        <v>800</v>
      </c>
      <c r="R2444" s="42">
        <v>450</v>
      </c>
      <c r="T2444" s="284">
        <v>350</v>
      </c>
      <c r="U2444" s="284"/>
    </row>
    <row r="2445" spans="2:21" x14ac:dyDescent="0.25">
      <c r="B2445" s="292">
        <v>33</v>
      </c>
      <c r="C2445" s="292"/>
      <c r="D2445" s="292"/>
      <c r="F2445" s="283" t="s">
        <v>142</v>
      </c>
      <c r="G2445" s="283"/>
      <c r="J2445" s="293">
        <v>4</v>
      </c>
      <c r="K2445" s="293"/>
      <c r="L2445" s="293"/>
      <c r="M2445" s="293"/>
      <c r="N2445" s="293"/>
      <c r="P2445" s="42">
        <v>1400</v>
      </c>
      <c r="R2445" s="42">
        <v>600</v>
      </c>
      <c r="T2445" s="284">
        <v>800</v>
      </c>
      <c r="U2445" s="284"/>
    </row>
    <row r="2446" spans="2:21" x14ac:dyDescent="0.25">
      <c r="B2446" s="292">
        <v>34</v>
      </c>
      <c r="C2446" s="292"/>
      <c r="D2446" s="292"/>
      <c r="F2446" s="283" t="s">
        <v>75</v>
      </c>
      <c r="G2446" s="283"/>
      <c r="J2446" s="293">
        <v>2064</v>
      </c>
      <c r="K2446" s="293"/>
      <c r="L2446" s="293"/>
      <c r="M2446" s="293"/>
      <c r="N2446" s="293"/>
      <c r="P2446" s="42">
        <v>5160000</v>
      </c>
      <c r="R2446" s="42">
        <v>5160000</v>
      </c>
      <c r="T2446" s="284">
        <v>0</v>
      </c>
      <c r="U2446" s="284"/>
    </row>
    <row r="2447" spans="2:21" x14ac:dyDescent="0.25">
      <c r="B2447" s="292">
        <v>35</v>
      </c>
      <c r="C2447" s="292"/>
      <c r="D2447" s="292"/>
      <c r="F2447" s="283" t="s">
        <v>141</v>
      </c>
      <c r="G2447" s="283"/>
      <c r="J2447" s="293">
        <v>6</v>
      </c>
      <c r="K2447" s="293"/>
      <c r="L2447" s="293"/>
      <c r="M2447" s="293"/>
      <c r="N2447" s="293"/>
      <c r="P2447" s="42">
        <v>450</v>
      </c>
      <c r="R2447" s="42">
        <v>88</v>
      </c>
      <c r="T2447" s="284">
        <v>362</v>
      </c>
      <c r="U2447" s="284"/>
    </row>
    <row r="2448" spans="2:21" x14ac:dyDescent="0.25">
      <c r="B2448" s="292">
        <v>36</v>
      </c>
      <c r="C2448" s="292"/>
      <c r="D2448" s="292"/>
      <c r="F2448" s="283" t="s">
        <v>139</v>
      </c>
      <c r="G2448" s="283"/>
      <c r="J2448" s="293">
        <v>2</v>
      </c>
      <c r="K2448" s="293"/>
      <c r="L2448" s="293"/>
      <c r="M2448" s="293"/>
      <c r="N2448" s="293"/>
      <c r="P2448" s="42">
        <v>540</v>
      </c>
      <c r="R2448" s="42">
        <v>160</v>
      </c>
      <c r="T2448" s="284">
        <v>380</v>
      </c>
      <c r="U2448" s="284"/>
    </row>
    <row r="2449" spans="2:21" x14ac:dyDescent="0.25">
      <c r="B2449" s="292">
        <v>37</v>
      </c>
      <c r="C2449" s="292"/>
      <c r="D2449" s="292"/>
      <c r="F2449" s="283" t="s">
        <v>231</v>
      </c>
      <c r="G2449" s="283"/>
      <c r="J2449" s="293">
        <v>1</v>
      </c>
      <c r="K2449" s="293"/>
      <c r="L2449" s="293"/>
      <c r="M2449" s="293"/>
      <c r="N2449" s="293"/>
      <c r="P2449" s="42">
        <v>500</v>
      </c>
      <c r="R2449" s="42">
        <v>0</v>
      </c>
      <c r="T2449" s="284">
        <v>500</v>
      </c>
      <c r="U2449" s="284"/>
    </row>
    <row r="2450" spans="2:21" x14ac:dyDescent="0.25">
      <c r="B2450" s="292">
        <v>38</v>
      </c>
      <c r="C2450" s="292"/>
      <c r="D2450" s="292"/>
      <c r="F2450" s="283" t="s">
        <v>302</v>
      </c>
      <c r="G2450" s="283"/>
      <c r="J2450" s="293">
        <v>1</v>
      </c>
      <c r="K2450" s="293"/>
      <c r="L2450" s="293"/>
      <c r="M2450" s="293"/>
      <c r="N2450" s="293"/>
      <c r="P2450" s="42">
        <v>800</v>
      </c>
      <c r="R2450" s="42">
        <v>450</v>
      </c>
      <c r="T2450" s="284">
        <v>350</v>
      </c>
      <c r="U2450" s="284"/>
    </row>
    <row r="2451" spans="2:21" x14ac:dyDescent="0.25">
      <c r="B2451" s="292">
        <v>39</v>
      </c>
      <c r="C2451" s="292"/>
      <c r="D2451" s="292"/>
      <c r="F2451" s="283" t="s">
        <v>138</v>
      </c>
      <c r="G2451" s="283"/>
      <c r="J2451" s="293">
        <v>1</v>
      </c>
      <c r="K2451" s="293"/>
      <c r="L2451" s="293"/>
      <c r="M2451" s="293"/>
      <c r="N2451" s="293"/>
      <c r="P2451" s="42">
        <v>800</v>
      </c>
      <c r="R2451" s="42">
        <v>450</v>
      </c>
      <c r="T2451" s="284">
        <v>350</v>
      </c>
      <c r="U2451" s="284"/>
    </row>
    <row r="2452" spans="2:21" x14ac:dyDescent="0.25">
      <c r="B2452" s="292">
        <v>40</v>
      </c>
      <c r="C2452" s="292"/>
      <c r="D2452" s="292"/>
      <c r="F2452" s="283" t="s">
        <v>137</v>
      </c>
      <c r="G2452" s="283"/>
      <c r="J2452" s="293">
        <v>3</v>
      </c>
      <c r="K2452" s="293"/>
      <c r="L2452" s="293"/>
      <c r="M2452" s="293"/>
      <c r="N2452" s="293"/>
      <c r="P2452" s="42">
        <v>2400</v>
      </c>
      <c r="R2452" s="42">
        <v>1350</v>
      </c>
      <c r="T2452" s="284">
        <v>1050</v>
      </c>
      <c r="U2452" s="284"/>
    </row>
    <row r="2453" spans="2:21" x14ac:dyDescent="0.25">
      <c r="B2453" s="292">
        <v>41</v>
      </c>
      <c r="C2453" s="292"/>
      <c r="D2453" s="292"/>
      <c r="F2453" s="283" t="s">
        <v>136</v>
      </c>
      <c r="G2453" s="283"/>
      <c r="J2453" s="293">
        <v>20</v>
      </c>
      <c r="K2453" s="293"/>
      <c r="L2453" s="293"/>
      <c r="M2453" s="293"/>
      <c r="N2453" s="293"/>
      <c r="P2453" s="42">
        <v>17000</v>
      </c>
      <c r="R2453" s="42">
        <v>4680</v>
      </c>
      <c r="T2453" s="284">
        <v>12320</v>
      </c>
      <c r="U2453" s="284"/>
    </row>
    <row r="2454" spans="2:21" x14ac:dyDescent="0.25">
      <c r="B2454" s="292">
        <v>42</v>
      </c>
      <c r="C2454" s="292"/>
      <c r="D2454" s="292"/>
      <c r="F2454" s="283" t="s">
        <v>74</v>
      </c>
      <c r="G2454" s="283"/>
      <c r="J2454" s="293">
        <v>6</v>
      </c>
      <c r="K2454" s="293"/>
      <c r="L2454" s="293"/>
      <c r="M2454" s="293"/>
      <c r="N2454" s="293"/>
      <c r="P2454" s="42">
        <v>5100</v>
      </c>
      <c r="R2454" s="42">
        <v>5100</v>
      </c>
      <c r="T2454" s="284">
        <v>0</v>
      </c>
      <c r="U2454" s="284"/>
    </row>
    <row r="2455" spans="2:21" x14ac:dyDescent="0.25">
      <c r="B2455" s="292">
        <v>43</v>
      </c>
      <c r="C2455" s="292"/>
      <c r="D2455" s="292"/>
      <c r="F2455" s="283" t="s">
        <v>190</v>
      </c>
      <c r="G2455" s="283"/>
      <c r="J2455" s="293">
        <v>3</v>
      </c>
      <c r="K2455" s="293"/>
      <c r="L2455" s="293"/>
      <c r="M2455" s="293"/>
      <c r="N2455" s="293"/>
      <c r="P2455" s="42">
        <v>4710</v>
      </c>
      <c r="R2455" s="42">
        <v>720</v>
      </c>
      <c r="T2455" s="284">
        <v>3990</v>
      </c>
      <c r="U2455" s="284"/>
    </row>
    <row r="2456" spans="2:21" x14ac:dyDescent="0.25">
      <c r="B2456" s="292">
        <v>44</v>
      </c>
      <c r="C2456" s="292"/>
      <c r="D2456" s="292"/>
      <c r="F2456" s="283" t="s">
        <v>135</v>
      </c>
      <c r="G2456" s="283"/>
      <c r="J2456" s="293">
        <v>14</v>
      </c>
      <c r="K2456" s="293"/>
      <c r="L2456" s="293"/>
      <c r="M2456" s="293"/>
      <c r="N2456" s="293"/>
      <c r="P2456" s="42">
        <v>13300</v>
      </c>
      <c r="R2456" s="42">
        <v>6600</v>
      </c>
      <c r="T2456" s="284">
        <v>6700</v>
      </c>
      <c r="U2456" s="284"/>
    </row>
    <row r="2457" spans="2:21" x14ac:dyDescent="0.25">
      <c r="B2457" s="292">
        <v>45</v>
      </c>
      <c r="C2457" s="292"/>
      <c r="D2457" s="292"/>
      <c r="F2457" s="283" t="s">
        <v>229</v>
      </c>
      <c r="G2457" s="283"/>
      <c r="J2457" s="293">
        <v>3</v>
      </c>
      <c r="K2457" s="293"/>
      <c r="L2457" s="293"/>
      <c r="M2457" s="293"/>
      <c r="N2457" s="293"/>
      <c r="P2457" s="42">
        <v>21000</v>
      </c>
      <c r="R2457" s="42">
        <v>17100</v>
      </c>
      <c r="T2457" s="284">
        <v>3900</v>
      </c>
      <c r="U2457" s="284"/>
    </row>
    <row r="2458" spans="2:21" x14ac:dyDescent="0.25">
      <c r="B2458" s="292">
        <v>46</v>
      </c>
      <c r="C2458" s="292"/>
      <c r="D2458" s="292"/>
      <c r="F2458" s="283" t="s">
        <v>132</v>
      </c>
      <c r="G2458" s="283"/>
      <c r="J2458" s="293">
        <v>16</v>
      </c>
      <c r="K2458" s="293"/>
      <c r="L2458" s="293"/>
      <c r="M2458" s="293"/>
      <c r="N2458" s="293"/>
      <c r="P2458" s="42">
        <v>19840</v>
      </c>
      <c r="R2458" s="42">
        <v>9400</v>
      </c>
      <c r="T2458" s="284">
        <v>10440</v>
      </c>
      <c r="U2458" s="284"/>
    </row>
    <row r="2459" spans="2:21" x14ac:dyDescent="0.25">
      <c r="B2459" s="292">
        <v>47</v>
      </c>
      <c r="C2459" s="292"/>
      <c r="D2459" s="292"/>
      <c r="F2459" s="283" t="s">
        <v>130</v>
      </c>
      <c r="G2459" s="283"/>
      <c r="J2459" s="293">
        <v>10</v>
      </c>
      <c r="K2459" s="293"/>
      <c r="L2459" s="293"/>
      <c r="M2459" s="293"/>
      <c r="N2459" s="293"/>
      <c r="P2459" s="42">
        <v>80000</v>
      </c>
      <c r="R2459" s="42">
        <v>60500</v>
      </c>
      <c r="T2459" s="284">
        <v>19500</v>
      </c>
      <c r="U2459" s="284"/>
    </row>
    <row r="2460" spans="2:21" x14ac:dyDescent="0.25">
      <c r="B2460" s="292">
        <v>48</v>
      </c>
      <c r="C2460" s="292"/>
      <c r="D2460" s="292"/>
      <c r="F2460" s="283" t="s">
        <v>127</v>
      </c>
      <c r="G2460" s="283"/>
      <c r="J2460" s="293">
        <v>28</v>
      </c>
      <c r="K2460" s="293"/>
      <c r="L2460" s="293"/>
      <c r="M2460" s="293"/>
      <c r="N2460" s="293"/>
      <c r="P2460" s="42">
        <v>8400</v>
      </c>
      <c r="R2460" s="42">
        <v>2422</v>
      </c>
      <c r="T2460" s="284">
        <v>5978</v>
      </c>
      <c r="U2460" s="284"/>
    </row>
    <row r="2461" spans="2:21" x14ac:dyDescent="0.25">
      <c r="B2461" s="292">
        <v>49</v>
      </c>
      <c r="C2461" s="292"/>
      <c r="D2461" s="292"/>
      <c r="F2461" s="283" t="s">
        <v>126</v>
      </c>
      <c r="G2461" s="283"/>
      <c r="J2461" s="293">
        <v>27</v>
      </c>
      <c r="K2461" s="293"/>
      <c r="L2461" s="293"/>
      <c r="M2461" s="293"/>
      <c r="N2461" s="293"/>
      <c r="P2461" s="42">
        <v>5400</v>
      </c>
      <c r="R2461" s="42">
        <v>1554</v>
      </c>
      <c r="T2461" s="284">
        <v>3846</v>
      </c>
      <c r="U2461" s="284"/>
    </row>
    <row r="2462" spans="2:21" x14ac:dyDescent="0.25">
      <c r="B2462" s="292">
        <v>50</v>
      </c>
      <c r="C2462" s="292"/>
      <c r="D2462" s="292"/>
      <c r="F2462" s="283" t="s">
        <v>125</v>
      </c>
      <c r="G2462" s="283"/>
      <c r="J2462" s="293">
        <v>2</v>
      </c>
      <c r="K2462" s="293"/>
      <c r="L2462" s="293"/>
      <c r="M2462" s="293"/>
      <c r="N2462" s="293"/>
      <c r="P2462" s="42">
        <v>800</v>
      </c>
      <c r="R2462" s="42">
        <v>240</v>
      </c>
      <c r="T2462" s="284">
        <v>560</v>
      </c>
      <c r="U2462" s="284"/>
    </row>
    <row r="2463" spans="2:21" x14ac:dyDescent="0.25">
      <c r="B2463" s="292">
        <v>51</v>
      </c>
      <c r="C2463" s="292"/>
      <c r="D2463" s="292"/>
      <c r="F2463" s="283" t="s">
        <v>124</v>
      </c>
      <c r="G2463" s="283"/>
      <c r="J2463" s="293">
        <v>17</v>
      </c>
      <c r="K2463" s="293"/>
      <c r="L2463" s="293"/>
      <c r="M2463" s="293"/>
      <c r="N2463" s="293"/>
      <c r="P2463" s="42">
        <v>9460</v>
      </c>
      <c r="R2463" s="42">
        <v>2690</v>
      </c>
      <c r="T2463" s="284">
        <v>6770</v>
      </c>
      <c r="U2463" s="284"/>
    </row>
    <row r="2464" spans="2:21" x14ac:dyDescent="0.25">
      <c r="B2464" s="292">
        <v>52</v>
      </c>
      <c r="C2464" s="292"/>
      <c r="D2464" s="292"/>
      <c r="F2464" s="283" t="s">
        <v>227</v>
      </c>
      <c r="G2464" s="283"/>
      <c r="J2464" s="293">
        <v>1</v>
      </c>
      <c r="K2464" s="293"/>
      <c r="L2464" s="293"/>
      <c r="M2464" s="293"/>
      <c r="N2464" s="293"/>
      <c r="P2464" s="42">
        <v>500</v>
      </c>
      <c r="R2464" s="42">
        <v>150</v>
      </c>
      <c r="T2464" s="284">
        <v>350</v>
      </c>
      <c r="U2464" s="284"/>
    </row>
    <row r="2465" spans="2:21" x14ac:dyDescent="0.25">
      <c r="B2465" s="292">
        <v>53</v>
      </c>
      <c r="C2465" s="292"/>
      <c r="D2465" s="292"/>
      <c r="F2465" s="283" t="s">
        <v>336</v>
      </c>
      <c r="G2465" s="283"/>
      <c r="J2465" s="293">
        <v>1</v>
      </c>
      <c r="K2465" s="293"/>
      <c r="L2465" s="293"/>
      <c r="M2465" s="293"/>
      <c r="N2465" s="293"/>
      <c r="P2465" s="42">
        <v>600</v>
      </c>
      <c r="R2465" s="42">
        <v>0</v>
      </c>
      <c r="T2465" s="284">
        <v>600</v>
      </c>
      <c r="U2465" s="284"/>
    </row>
    <row r="2466" spans="2:21" x14ac:dyDescent="0.25">
      <c r="B2466" s="292">
        <v>54</v>
      </c>
      <c r="C2466" s="292"/>
      <c r="D2466" s="292"/>
      <c r="F2466" s="283" t="s">
        <v>122</v>
      </c>
      <c r="G2466" s="283"/>
      <c r="J2466" s="293">
        <v>4</v>
      </c>
      <c r="K2466" s="293"/>
      <c r="L2466" s="293"/>
      <c r="M2466" s="293"/>
      <c r="N2466" s="293"/>
      <c r="P2466" s="42">
        <v>2000</v>
      </c>
      <c r="R2466" s="42">
        <v>450</v>
      </c>
      <c r="T2466" s="284">
        <v>1550</v>
      </c>
      <c r="U2466" s="284"/>
    </row>
    <row r="2467" spans="2:21" x14ac:dyDescent="0.25">
      <c r="B2467" s="292">
        <v>55</v>
      </c>
      <c r="C2467" s="292"/>
      <c r="D2467" s="292"/>
      <c r="F2467" s="283" t="s">
        <v>121</v>
      </c>
      <c r="G2467" s="283"/>
      <c r="J2467" s="293">
        <v>6</v>
      </c>
      <c r="K2467" s="293"/>
      <c r="L2467" s="293"/>
      <c r="M2467" s="293"/>
      <c r="N2467" s="293"/>
      <c r="P2467" s="42">
        <v>3000</v>
      </c>
      <c r="R2467" s="42">
        <v>750</v>
      </c>
      <c r="T2467" s="284">
        <v>2250</v>
      </c>
      <c r="U2467" s="284"/>
    </row>
    <row r="2468" spans="2:21" x14ac:dyDescent="0.25">
      <c r="B2468" s="292">
        <v>56</v>
      </c>
      <c r="C2468" s="292"/>
      <c r="D2468" s="292"/>
      <c r="F2468" s="283" t="s">
        <v>226</v>
      </c>
      <c r="G2468" s="283"/>
      <c r="J2468" s="293">
        <v>3</v>
      </c>
      <c r="K2468" s="293"/>
      <c r="L2468" s="293"/>
      <c r="M2468" s="293"/>
      <c r="N2468" s="293"/>
      <c r="P2468" s="42">
        <v>1500</v>
      </c>
      <c r="R2468" s="42">
        <v>450</v>
      </c>
      <c r="T2468" s="284">
        <v>1050</v>
      </c>
      <c r="U2468" s="284"/>
    </row>
    <row r="2469" spans="2:21" x14ac:dyDescent="0.25">
      <c r="B2469" s="292">
        <v>57</v>
      </c>
      <c r="C2469" s="292"/>
      <c r="D2469" s="292"/>
      <c r="F2469" s="283" t="s">
        <v>119</v>
      </c>
      <c r="G2469" s="283"/>
      <c r="J2469" s="293">
        <v>25</v>
      </c>
      <c r="K2469" s="293"/>
      <c r="L2469" s="293"/>
      <c r="M2469" s="293"/>
      <c r="N2469" s="293"/>
      <c r="P2469" s="42">
        <v>22250</v>
      </c>
      <c r="R2469" s="42">
        <v>7110</v>
      </c>
      <c r="T2469" s="284">
        <v>15140</v>
      </c>
      <c r="U2469" s="284"/>
    </row>
    <row r="2470" spans="2:21" x14ac:dyDescent="0.25">
      <c r="B2470" s="292">
        <v>58</v>
      </c>
      <c r="C2470" s="292"/>
      <c r="D2470" s="292"/>
      <c r="F2470" s="283" t="s">
        <v>118</v>
      </c>
      <c r="G2470" s="283"/>
      <c r="J2470" s="293">
        <v>64</v>
      </c>
      <c r="K2470" s="293"/>
      <c r="L2470" s="293"/>
      <c r="M2470" s="293"/>
      <c r="N2470" s="293"/>
      <c r="P2470" s="42">
        <v>63360</v>
      </c>
      <c r="R2470" s="42">
        <v>24998</v>
      </c>
      <c r="T2470" s="284">
        <v>38362</v>
      </c>
      <c r="U2470" s="284"/>
    </row>
    <row r="2471" spans="2:21" x14ac:dyDescent="0.25">
      <c r="B2471" s="292">
        <v>59</v>
      </c>
      <c r="C2471" s="292"/>
      <c r="D2471" s="292"/>
      <c r="F2471" s="283" t="s">
        <v>117</v>
      </c>
      <c r="G2471" s="283"/>
      <c r="J2471" s="293">
        <v>3</v>
      </c>
      <c r="K2471" s="293"/>
      <c r="L2471" s="293"/>
      <c r="M2471" s="293"/>
      <c r="N2471" s="293"/>
      <c r="P2471" s="42">
        <v>2400</v>
      </c>
      <c r="R2471" s="42">
        <v>600</v>
      </c>
      <c r="T2471" s="284">
        <v>1800</v>
      </c>
      <c r="U2471" s="284"/>
    </row>
    <row r="2472" spans="2:21" x14ac:dyDescent="0.25">
      <c r="B2472" s="292">
        <v>60</v>
      </c>
      <c r="C2472" s="292"/>
      <c r="D2472" s="292"/>
      <c r="F2472" s="285" t="s">
        <v>116</v>
      </c>
      <c r="G2472" s="285"/>
      <c r="J2472" s="293">
        <v>1</v>
      </c>
      <c r="K2472" s="293"/>
      <c r="L2472" s="293"/>
      <c r="M2472" s="293"/>
      <c r="N2472" s="293"/>
      <c r="P2472" s="42">
        <v>800</v>
      </c>
      <c r="R2472" s="42">
        <v>200</v>
      </c>
      <c r="T2472" s="284">
        <v>600</v>
      </c>
      <c r="U2472" s="284"/>
    </row>
    <row r="2473" spans="2:21" x14ac:dyDescent="0.25">
      <c r="F2473" s="285"/>
      <c r="G2473" s="285"/>
    </row>
    <row r="2474" spans="2:21" x14ac:dyDescent="0.25">
      <c r="B2474" s="292">
        <v>61</v>
      </c>
      <c r="C2474" s="292"/>
      <c r="D2474" s="292"/>
      <c r="F2474" s="283" t="s">
        <v>115</v>
      </c>
      <c r="G2474" s="283"/>
      <c r="J2474" s="293">
        <v>15</v>
      </c>
      <c r="K2474" s="293"/>
      <c r="L2474" s="293"/>
      <c r="M2474" s="293"/>
      <c r="N2474" s="293"/>
      <c r="P2474" s="42">
        <v>4350</v>
      </c>
      <c r="R2474" s="42">
        <v>1220</v>
      </c>
      <c r="T2474" s="284">
        <v>3130</v>
      </c>
      <c r="U2474" s="284"/>
    </row>
    <row r="2475" spans="2:21" x14ac:dyDescent="0.25">
      <c r="B2475" s="292">
        <v>62</v>
      </c>
      <c r="C2475" s="292"/>
      <c r="D2475" s="292"/>
      <c r="F2475" s="283" t="s">
        <v>280</v>
      </c>
      <c r="G2475" s="283"/>
      <c r="J2475" s="293">
        <v>1</v>
      </c>
      <c r="K2475" s="293"/>
      <c r="L2475" s="293"/>
      <c r="M2475" s="293"/>
      <c r="N2475" s="293"/>
      <c r="P2475" s="42">
        <v>700</v>
      </c>
      <c r="R2475" s="42">
        <v>350</v>
      </c>
      <c r="T2475" s="284">
        <v>350</v>
      </c>
      <c r="U2475" s="284"/>
    </row>
    <row r="2476" spans="2:21" x14ac:dyDescent="0.25">
      <c r="B2476" s="292">
        <v>63</v>
      </c>
      <c r="C2476" s="292"/>
      <c r="D2476" s="292"/>
      <c r="F2476" s="283" t="s">
        <v>222</v>
      </c>
      <c r="G2476" s="283"/>
      <c r="J2476" s="293">
        <v>2</v>
      </c>
      <c r="K2476" s="293"/>
      <c r="L2476" s="293"/>
      <c r="M2476" s="293"/>
      <c r="N2476" s="293"/>
      <c r="P2476" s="42">
        <v>1000</v>
      </c>
      <c r="R2476" s="42">
        <v>300</v>
      </c>
      <c r="T2476" s="284">
        <v>700</v>
      </c>
      <c r="U2476" s="284"/>
    </row>
    <row r="2477" spans="2:21" x14ac:dyDescent="0.25">
      <c r="B2477" s="292">
        <v>64</v>
      </c>
      <c r="C2477" s="292"/>
      <c r="D2477" s="292"/>
      <c r="F2477" s="283" t="s">
        <v>300</v>
      </c>
      <c r="G2477" s="283"/>
      <c r="J2477" s="293">
        <v>1</v>
      </c>
      <c r="K2477" s="293"/>
      <c r="L2477" s="293"/>
      <c r="M2477" s="293"/>
      <c r="N2477" s="293"/>
      <c r="P2477" s="42">
        <v>330</v>
      </c>
      <c r="R2477" s="42">
        <v>100</v>
      </c>
      <c r="T2477" s="284">
        <v>230</v>
      </c>
      <c r="U2477" s="284"/>
    </row>
    <row r="2478" spans="2:21" x14ac:dyDescent="0.25">
      <c r="B2478" s="292">
        <v>65</v>
      </c>
      <c r="C2478" s="292"/>
      <c r="D2478" s="292"/>
      <c r="F2478" s="283" t="s">
        <v>181</v>
      </c>
      <c r="G2478" s="283"/>
      <c r="J2478" s="293">
        <v>2</v>
      </c>
      <c r="K2478" s="293"/>
      <c r="L2478" s="293"/>
      <c r="M2478" s="293"/>
      <c r="N2478" s="293"/>
      <c r="P2478" s="42">
        <v>1580</v>
      </c>
      <c r="R2478" s="42">
        <v>240</v>
      </c>
      <c r="T2478" s="284">
        <v>1340</v>
      </c>
      <c r="U2478" s="284"/>
    </row>
    <row r="2479" spans="2:21" x14ac:dyDescent="0.25">
      <c r="B2479" s="292">
        <v>66</v>
      </c>
      <c r="C2479" s="292"/>
      <c r="D2479" s="292"/>
      <c r="F2479" s="283" t="s">
        <v>171</v>
      </c>
      <c r="G2479" s="283"/>
      <c r="J2479" s="293">
        <v>1</v>
      </c>
      <c r="K2479" s="293"/>
      <c r="L2479" s="293"/>
      <c r="M2479" s="293"/>
      <c r="N2479" s="293"/>
      <c r="P2479" s="42">
        <v>530</v>
      </c>
      <c r="R2479" s="42">
        <v>160</v>
      </c>
      <c r="T2479" s="284">
        <v>370</v>
      </c>
      <c r="U2479" s="284"/>
    </row>
    <row r="2480" spans="2:21" x14ac:dyDescent="0.25">
      <c r="B2480" s="292">
        <v>67</v>
      </c>
      <c r="C2480" s="292"/>
      <c r="D2480" s="292"/>
      <c r="F2480" s="283" t="s">
        <v>109</v>
      </c>
      <c r="G2480" s="283"/>
      <c r="J2480" s="293">
        <v>4</v>
      </c>
      <c r="K2480" s="293"/>
      <c r="L2480" s="293"/>
      <c r="M2480" s="293"/>
      <c r="N2480" s="293"/>
      <c r="P2480" s="42">
        <v>3120</v>
      </c>
      <c r="R2480" s="42">
        <v>690</v>
      </c>
      <c r="T2480" s="284">
        <v>2430</v>
      </c>
      <c r="U2480" s="284"/>
    </row>
    <row r="2481" spans="2:21" x14ac:dyDescent="0.25">
      <c r="B2481" s="292">
        <v>68</v>
      </c>
      <c r="C2481" s="292"/>
      <c r="D2481" s="292"/>
      <c r="F2481" s="283" t="s">
        <v>108</v>
      </c>
      <c r="G2481" s="283"/>
      <c r="J2481" s="293">
        <v>35</v>
      </c>
      <c r="K2481" s="293"/>
      <c r="L2481" s="293"/>
      <c r="M2481" s="293"/>
      <c r="N2481" s="293"/>
      <c r="P2481" s="42">
        <v>3500</v>
      </c>
      <c r="R2481" s="42">
        <v>810</v>
      </c>
      <c r="T2481" s="284">
        <v>2690</v>
      </c>
      <c r="U2481" s="284"/>
    </row>
    <row r="2482" spans="2:21" x14ac:dyDescent="0.25">
      <c r="B2482" s="292">
        <v>69</v>
      </c>
      <c r="C2482" s="292"/>
      <c r="D2482" s="292"/>
      <c r="F2482" s="283" t="s">
        <v>107</v>
      </c>
      <c r="G2482" s="283"/>
      <c r="J2482" s="293">
        <v>103</v>
      </c>
      <c r="K2482" s="293"/>
      <c r="L2482" s="293"/>
      <c r="M2482" s="293"/>
      <c r="N2482" s="293"/>
      <c r="P2482" s="42">
        <v>17510</v>
      </c>
      <c r="R2482" s="42">
        <v>4978</v>
      </c>
      <c r="T2482" s="284">
        <v>12532</v>
      </c>
      <c r="U2482" s="284"/>
    </row>
    <row r="2483" spans="2:21" x14ac:dyDescent="0.25">
      <c r="B2483" s="292">
        <v>70</v>
      </c>
      <c r="C2483" s="292"/>
      <c r="D2483" s="292"/>
      <c r="F2483" s="283" t="s">
        <v>180</v>
      </c>
      <c r="G2483" s="283"/>
      <c r="J2483" s="293">
        <v>1</v>
      </c>
      <c r="K2483" s="293"/>
      <c r="L2483" s="293"/>
      <c r="M2483" s="293"/>
      <c r="N2483" s="293"/>
      <c r="P2483" s="42">
        <v>590</v>
      </c>
      <c r="R2483" s="42">
        <v>180</v>
      </c>
      <c r="T2483" s="284">
        <v>410</v>
      </c>
      <c r="U2483" s="284"/>
    </row>
    <row r="2484" spans="2:21" x14ac:dyDescent="0.25">
      <c r="B2484" s="292">
        <v>71</v>
      </c>
      <c r="C2484" s="292"/>
      <c r="D2484" s="292"/>
      <c r="F2484" s="283" t="s">
        <v>216</v>
      </c>
      <c r="G2484" s="283"/>
      <c r="J2484" s="293">
        <v>2</v>
      </c>
      <c r="K2484" s="293"/>
      <c r="L2484" s="293"/>
      <c r="M2484" s="293"/>
      <c r="N2484" s="293"/>
      <c r="P2484" s="42">
        <v>2160</v>
      </c>
      <c r="R2484" s="42">
        <v>165</v>
      </c>
      <c r="T2484" s="284">
        <v>1995</v>
      </c>
      <c r="U2484" s="284"/>
    </row>
    <row r="2485" spans="2:21" x14ac:dyDescent="0.25">
      <c r="B2485" s="292">
        <v>72</v>
      </c>
      <c r="C2485" s="292"/>
      <c r="D2485" s="292"/>
      <c r="F2485" s="283" t="s">
        <v>105</v>
      </c>
      <c r="G2485" s="283"/>
      <c r="J2485" s="293">
        <v>28</v>
      </c>
      <c r="K2485" s="293"/>
      <c r="L2485" s="293"/>
      <c r="M2485" s="293"/>
      <c r="N2485" s="293"/>
      <c r="P2485" s="42">
        <v>32200</v>
      </c>
      <c r="R2485" s="42">
        <v>0</v>
      </c>
      <c r="T2485" s="284">
        <v>32200</v>
      </c>
      <c r="U2485" s="284"/>
    </row>
    <row r="2486" spans="2:21" x14ac:dyDescent="0.25">
      <c r="B2486" s="292">
        <v>73</v>
      </c>
      <c r="C2486" s="292"/>
      <c r="D2486" s="292"/>
      <c r="F2486" s="283" t="s">
        <v>377</v>
      </c>
      <c r="G2486" s="283"/>
      <c r="J2486" s="293">
        <v>1</v>
      </c>
      <c r="K2486" s="293"/>
      <c r="L2486" s="293"/>
      <c r="M2486" s="293"/>
      <c r="N2486" s="293"/>
      <c r="P2486" s="42">
        <v>2020</v>
      </c>
      <c r="R2486" s="42">
        <v>0</v>
      </c>
      <c r="T2486" s="284">
        <v>2020</v>
      </c>
      <c r="U2486" s="284"/>
    </row>
    <row r="2487" spans="2:21" x14ac:dyDescent="0.25">
      <c r="B2487" s="292">
        <v>74</v>
      </c>
      <c r="C2487" s="292"/>
      <c r="D2487" s="292"/>
      <c r="F2487" s="283" t="s">
        <v>104</v>
      </c>
      <c r="G2487" s="283"/>
      <c r="J2487" s="293">
        <v>1</v>
      </c>
      <c r="K2487" s="293"/>
      <c r="L2487" s="293"/>
      <c r="M2487" s="293"/>
      <c r="N2487" s="293"/>
      <c r="P2487" s="42">
        <v>330</v>
      </c>
      <c r="R2487" s="42">
        <v>135</v>
      </c>
      <c r="T2487" s="284">
        <v>195</v>
      </c>
      <c r="U2487" s="284"/>
    </row>
    <row r="2488" spans="2:21" x14ac:dyDescent="0.25">
      <c r="B2488" s="292">
        <v>75</v>
      </c>
      <c r="C2488" s="292"/>
      <c r="D2488" s="292"/>
      <c r="F2488" s="283" t="s">
        <v>103</v>
      </c>
      <c r="G2488" s="283"/>
      <c r="J2488" s="293">
        <v>7</v>
      </c>
      <c r="K2488" s="293"/>
      <c r="L2488" s="293"/>
      <c r="M2488" s="293"/>
      <c r="N2488" s="293"/>
      <c r="P2488" s="42">
        <v>2310</v>
      </c>
      <c r="R2488" s="42">
        <v>920</v>
      </c>
      <c r="T2488" s="284">
        <v>1390</v>
      </c>
      <c r="U2488" s="284"/>
    </row>
    <row r="2489" spans="2:21" x14ac:dyDescent="0.25">
      <c r="B2489" s="292">
        <v>76</v>
      </c>
      <c r="C2489" s="292"/>
      <c r="D2489" s="292"/>
      <c r="F2489" s="283" t="s">
        <v>276</v>
      </c>
      <c r="G2489" s="283"/>
      <c r="J2489" s="293">
        <v>1</v>
      </c>
      <c r="K2489" s="293"/>
      <c r="L2489" s="293"/>
      <c r="M2489" s="293"/>
      <c r="N2489" s="293"/>
      <c r="P2489" s="42">
        <v>500</v>
      </c>
      <c r="R2489" s="42">
        <v>150</v>
      </c>
      <c r="T2489" s="284">
        <v>350</v>
      </c>
      <c r="U2489" s="284"/>
    </row>
    <row r="2490" spans="2:21" x14ac:dyDescent="0.25">
      <c r="B2490" s="292">
        <v>77</v>
      </c>
      <c r="C2490" s="292"/>
      <c r="D2490" s="292"/>
      <c r="F2490" s="283" t="s">
        <v>102</v>
      </c>
      <c r="G2490" s="283"/>
      <c r="J2490" s="293">
        <v>1</v>
      </c>
      <c r="K2490" s="293"/>
      <c r="L2490" s="293"/>
      <c r="M2490" s="293"/>
      <c r="N2490" s="293"/>
      <c r="P2490" s="42">
        <v>880</v>
      </c>
      <c r="R2490" s="42">
        <v>130</v>
      </c>
      <c r="T2490" s="284">
        <v>750</v>
      </c>
      <c r="U2490" s="284"/>
    </row>
    <row r="2491" spans="2:21" x14ac:dyDescent="0.25">
      <c r="B2491" s="292">
        <v>78</v>
      </c>
      <c r="C2491" s="292"/>
      <c r="D2491" s="292"/>
      <c r="F2491" s="283" t="s">
        <v>101</v>
      </c>
      <c r="G2491" s="283"/>
      <c r="J2491" s="293">
        <v>5</v>
      </c>
      <c r="K2491" s="293"/>
      <c r="L2491" s="293"/>
      <c r="M2491" s="293"/>
      <c r="N2491" s="293"/>
      <c r="P2491" s="42">
        <v>2300</v>
      </c>
      <c r="R2491" s="42">
        <v>700</v>
      </c>
      <c r="T2491" s="284">
        <v>1600</v>
      </c>
      <c r="U2491" s="284"/>
    </row>
    <row r="2492" spans="2:21" x14ac:dyDescent="0.25">
      <c r="B2492" s="292">
        <v>79</v>
      </c>
      <c r="C2492" s="292"/>
      <c r="D2492" s="292"/>
      <c r="F2492" s="283" t="s">
        <v>100</v>
      </c>
      <c r="G2492" s="283"/>
      <c r="J2492" s="293">
        <v>3</v>
      </c>
      <c r="K2492" s="293"/>
      <c r="L2492" s="293"/>
      <c r="M2492" s="293"/>
      <c r="N2492" s="293"/>
      <c r="P2492" s="42">
        <v>540</v>
      </c>
      <c r="R2492" s="42">
        <v>50</v>
      </c>
      <c r="T2492" s="284">
        <v>490</v>
      </c>
      <c r="U2492" s="284"/>
    </row>
    <row r="2493" spans="2:21" x14ac:dyDescent="0.25">
      <c r="B2493" s="292">
        <v>80</v>
      </c>
      <c r="C2493" s="292"/>
      <c r="D2493" s="292"/>
      <c r="F2493" s="283" t="s">
        <v>99</v>
      </c>
      <c r="G2493" s="283"/>
      <c r="J2493" s="293">
        <v>1</v>
      </c>
      <c r="K2493" s="293"/>
      <c r="L2493" s="293"/>
      <c r="M2493" s="293"/>
      <c r="N2493" s="293"/>
      <c r="P2493" s="42">
        <v>590</v>
      </c>
      <c r="R2493" s="42">
        <v>90</v>
      </c>
      <c r="T2493" s="284">
        <v>500</v>
      </c>
      <c r="U2493" s="284"/>
    </row>
    <row r="2494" spans="2:21" x14ac:dyDescent="0.25">
      <c r="B2494" s="292">
        <v>81</v>
      </c>
      <c r="C2494" s="292"/>
      <c r="D2494" s="292"/>
      <c r="F2494" s="283" t="s">
        <v>98</v>
      </c>
      <c r="G2494" s="283"/>
      <c r="J2494" s="293">
        <v>1</v>
      </c>
      <c r="K2494" s="293"/>
      <c r="L2494" s="293"/>
      <c r="M2494" s="293"/>
      <c r="N2494" s="293"/>
      <c r="P2494" s="42">
        <v>570</v>
      </c>
      <c r="R2494" s="42">
        <v>80</v>
      </c>
      <c r="T2494" s="284">
        <v>490</v>
      </c>
      <c r="U2494" s="284"/>
    </row>
    <row r="2495" spans="2:21" x14ac:dyDescent="0.25">
      <c r="B2495" s="292">
        <v>82</v>
      </c>
      <c r="C2495" s="292"/>
      <c r="D2495" s="292"/>
      <c r="F2495" s="283" t="s">
        <v>97</v>
      </c>
      <c r="G2495" s="283"/>
      <c r="J2495" s="293">
        <v>7</v>
      </c>
      <c r="K2495" s="293"/>
      <c r="L2495" s="293"/>
      <c r="M2495" s="293"/>
      <c r="N2495" s="293"/>
      <c r="P2495" s="42">
        <v>11130</v>
      </c>
      <c r="R2495" s="42">
        <v>1440</v>
      </c>
      <c r="T2495" s="284">
        <v>9690</v>
      </c>
      <c r="U2495" s="284"/>
    </row>
    <row r="2496" spans="2:21" x14ac:dyDescent="0.25">
      <c r="B2496" s="292">
        <v>83</v>
      </c>
      <c r="C2496" s="292"/>
      <c r="D2496" s="292"/>
      <c r="F2496" s="283" t="s">
        <v>324</v>
      </c>
      <c r="G2496" s="283"/>
      <c r="J2496" s="293">
        <v>1</v>
      </c>
      <c r="K2496" s="293"/>
      <c r="L2496" s="293"/>
      <c r="M2496" s="293"/>
      <c r="N2496" s="293"/>
      <c r="P2496" s="42">
        <v>350</v>
      </c>
      <c r="R2496" s="42">
        <v>160</v>
      </c>
      <c r="T2496" s="284">
        <v>190</v>
      </c>
      <c r="U2496" s="284"/>
    </row>
    <row r="2497" spans="2:21" x14ac:dyDescent="0.25">
      <c r="B2497" s="292">
        <v>84</v>
      </c>
      <c r="C2497" s="292"/>
      <c r="D2497" s="292"/>
      <c r="F2497" s="283" t="s">
        <v>93</v>
      </c>
      <c r="G2497" s="283"/>
      <c r="J2497" s="293">
        <v>9</v>
      </c>
      <c r="K2497" s="293"/>
      <c r="L2497" s="293"/>
      <c r="M2497" s="293"/>
      <c r="N2497" s="293"/>
      <c r="P2497" s="42">
        <v>5310</v>
      </c>
      <c r="R2497" s="42">
        <v>810</v>
      </c>
      <c r="T2497" s="284">
        <v>4500</v>
      </c>
      <c r="U2497" s="284"/>
    </row>
    <row r="2498" spans="2:21" x14ac:dyDescent="0.25">
      <c r="B2498" s="292">
        <v>85</v>
      </c>
      <c r="C2498" s="292"/>
      <c r="D2498" s="292"/>
      <c r="F2498" s="283" t="s">
        <v>92</v>
      </c>
      <c r="G2498" s="283"/>
      <c r="J2498" s="293">
        <v>77</v>
      </c>
      <c r="K2498" s="293"/>
      <c r="L2498" s="293"/>
      <c r="M2498" s="293"/>
      <c r="N2498" s="293"/>
      <c r="P2498" s="42">
        <v>58680</v>
      </c>
      <c r="R2498" s="42">
        <v>16640</v>
      </c>
      <c r="T2498" s="284">
        <v>42040</v>
      </c>
      <c r="U2498" s="284"/>
    </row>
    <row r="2499" spans="2:21" x14ac:dyDescent="0.25">
      <c r="B2499" s="292">
        <v>86</v>
      </c>
      <c r="C2499" s="292"/>
      <c r="D2499" s="292"/>
      <c r="F2499" s="283" t="s">
        <v>174</v>
      </c>
      <c r="G2499" s="283"/>
      <c r="J2499" s="293">
        <v>1</v>
      </c>
      <c r="K2499" s="293"/>
      <c r="L2499" s="293"/>
      <c r="M2499" s="293"/>
      <c r="N2499" s="293"/>
      <c r="P2499" s="42">
        <v>400</v>
      </c>
      <c r="R2499" s="42">
        <v>0</v>
      </c>
      <c r="T2499" s="284">
        <v>400</v>
      </c>
      <c r="U2499" s="284"/>
    </row>
    <row r="2500" spans="2:21" x14ac:dyDescent="0.25">
      <c r="B2500" s="292">
        <v>87</v>
      </c>
      <c r="C2500" s="292"/>
      <c r="D2500" s="292"/>
      <c r="F2500" s="283" t="s">
        <v>355</v>
      </c>
      <c r="G2500" s="283"/>
      <c r="J2500" s="293">
        <v>1</v>
      </c>
      <c r="K2500" s="293"/>
      <c r="L2500" s="293"/>
      <c r="M2500" s="293"/>
      <c r="N2500" s="293"/>
      <c r="P2500" s="42">
        <v>600</v>
      </c>
      <c r="R2500" s="42">
        <v>0</v>
      </c>
      <c r="T2500" s="284">
        <v>600</v>
      </c>
      <c r="U2500" s="284"/>
    </row>
    <row r="2501" spans="2:21" x14ac:dyDescent="0.25">
      <c r="B2501" s="292">
        <v>88</v>
      </c>
      <c r="C2501" s="292"/>
      <c r="D2501" s="292"/>
      <c r="F2501" s="283" t="s">
        <v>91</v>
      </c>
      <c r="G2501" s="283"/>
      <c r="J2501" s="293">
        <v>32</v>
      </c>
      <c r="K2501" s="293"/>
      <c r="L2501" s="293"/>
      <c r="M2501" s="293"/>
      <c r="N2501" s="293"/>
      <c r="P2501" s="42">
        <v>8000</v>
      </c>
      <c r="R2501" s="42">
        <v>2090</v>
      </c>
      <c r="T2501" s="284">
        <v>5910</v>
      </c>
      <c r="U2501" s="284"/>
    </row>
    <row r="2502" spans="2:21" x14ac:dyDescent="0.25">
      <c r="B2502" s="292">
        <v>89</v>
      </c>
      <c r="C2502" s="292"/>
      <c r="D2502" s="292"/>
      <c r="F2502" s="283" t="s">
        <v>90</v>
      </c>
      <c r="G2502" s="283"/>
      <c r="J2502" s="293">
        <v>23</v>
      </c>
      <c r="K2502" s="293"/>
      <c r="L2502" s="293"/>
      <c r="M2502" s="293"/>
      <c r="N2502" s="293"/>
      <c r="P2502" s="42">
        <v>6670</v>
      </c>
      <c r="R2502" s="42">
        <v>1600</v>
      </c>
      <c r="T2502" s="284">
        <v>5070</v>
      </c>
      <c r="U2502" s="284"/>
    </row>
    <row r="2503" spans="2:21" x14ac:dyDescent="0.25">
      <c r="B2503" s="292">
        <v>90</v>
      </c>
      <c r="C2503" s="292"/>
      <c r="D2503" s="292"/>
      <c r="F2503" s="283" t="s">
        <v>88</v>
      </c>
      <c r="G2503" s="283"/>
      <c r="J2503" s="293">
        <v>65</v>
      </c>
      <c r="K2503" s="293"/>
      <c r="L2503" s="293"/>
      <c r="M2503" s="293"/>
      <c r="N2503" s="293"/>
      <c r="P2503" s="42">
        <v>11700</v>
      </c>
      <c r="R2503" s="42">
        <v>3325</v>
      </c>
      <c r="T2503" s="284">
        <v>8375</v>
      </c>
      <c r="U2503" s="284"/>
    </row>
    <row r="2504" spans="2:21" x14ac:dyDescent="0.25">
      <c r="B2504" s="292">
        <v>91</v>
      </c>
      <c r="C2504" s="292"/>
      <c r="D2504" s="292"/>
      <c r="F2504" s="283" t="s">
        <v>87</v>
      </c>
      <c r="G2504" s="283"/>
      <c r="J2504" s="293">
        <v>1</v>
      </c>
      <c r="K2504" s="293"/>
      <c r="L2504" s="293"/>
      <c r="M2504" s="293"/>
      <c r="N2504" s="293"/>
      <c r="P2504" s="42">
        <v>290</v>
      </c>
      <c r="R2504" s="42">
        <v>80</v>
      </c>
      <c r="T2504" s="284">
        <v>210</v>
      </c>
      <c r="U2504" s="284"/>
    </row>
    <row r="2505" spans="2:21" x14ac:dyDescent="0.25">
      <c r="B2505" s="292">
        <v>92</v>
      </c>
      <c r="C2505" s="292"/>
      <c r="D2505" s="292"/>
      <c r="F2505" s="283" t="s">
        <v>86</v>
      </c>
      <c r="G2505" s="283"/>
      <c r="J2505" s="293">
        <v>1</v>
      </c>
      <c r="K2505" s="293"/>
      <c r="L2505" s="293"/>
      <c r="M2505" s="293"/>
      <c r="N2505" s="293"/>
      <c r="P2505" s="42">
        <v>1140</v>
      </c>
      <c r="R2505" s="42">
        <v>170</v>
      </c>
      <c r="T2505" s="284">
        <v>970</v>
      </c>
      <c r="U2505" s="284"/>
    </row>
    <row r="2506" spans="2:21" x14ac:dyDescent="0.25">
      <c r="B2506" s="292">
        <v>93</v>
      </c>
      <c r="C2506" s="292"/>
      <c r="D2506" s="292"/>
      <c r="F2506" s="283" t="s">
        <v>85</v>
      </c>
      <c r="G2506" s="283"/>
      <c r="J2506" s="293">
        <v>6</v>
      </c>
      <c r="K2506" s="293"/>
      <c r="L2506" s="293"/>
      <c r="M2506" s="293"/>
      <c r="N2506" s="293"/>
      <c r="P2506" s="42">
        <v>12480</v>
      </c>
      <c r="R2506" s="42">
        <v>1860</v>
      </c>
      <c r="T2506" s="284">
        <v>10620</v>
      </c>
      <c r="U2506" s="284"/>
    </row>
    <row r="2507" spans="2:21" x14ac:dyDescent="0.25">
      <c r="B2507" s="292">
        <v>94</v>
      </c>
      <c r="C2507" s="292"/>
      <c r="D2507" s="292"/>
      <c r="F2507" s="283" t="s">
        <v>84</v>
      </c>
      <c r="G2507" s="283"/>
      <c r="J2507" s="293">
        <v>9</v>
      </c>
      <c r="K2507" s="293"/>
      <c r="L2507" s="293"/>
      <c r="M2507" s="293"/>
      <c r="N2507" s="293"/>
      <c r="P2507" s="42">
        <v>5310</v>
      </c>
      <c r="R2507" s="42">
        <v>1620</v>
      </c>
      <c r="T2507" s="284">
        <v>3690</v>
      </c>
      <c r="U2507" s="284"/>
    </row>
    <row r="2508" spans="2:21" x14ac:dyDescent="0.25">
      <c r="B2508" s="292">
        <v>95</v>
      </c>
      <c r="C2508" s="292"/>
      <c r="D2508" s="292"/>
      <c r="F2508" s="283" t="s">
        <v>273</v>
      </c>
      <c r="G2508" s="283"/>
      <c r="J2508" s="293">
        <v>1</v>
      </c>
      <c r="K2508" s="293"/>
      <c r="L2508" s="293"/>
      <c r="M2508" s="293"/>
      <c r="N2508" s="293"/>
      <c r="P2508" s="42">
        <v>500</v>
      </c>
      <c r="R2508" s="42">
        <v>150</v>
      </c>
      <c r="T2508" s="284">
        <v>350</v>
      </c>
      <c r="U2508" s="284"/>
    </row>
    <row r="2509" spans="2:21" x14ac:dyDescent="0.25">
      <c r="B2509" s="292">
        <v>96</v>
      </c>
      <c r="C2509" s="292"/>
      <c r="D2509" s="292"/>
      <c r="F2509" s="283" t="s">
        <v>207</v>
      </c>
      <c r="G2509" s="283"/>
      <c r="J2509" s="293">
        <v>1</v>
      </c>
      <c r="K2509" s="293"/>
      <c r="L2509" s="293"/>
      <c r="M2509" s="293"/>
      <c r="N2509" s="293"/>
      <c r="P2509" s="42">
        <v>500</v>
      </c>
      <c r="R2509" s="42">
        <v>150</v>
      </c>
      <c r="T2509" s="284">
        <v>350</v>
      </c>
      <c r="U2509" s="284"/>
    </row>
    <row r="2510" spans="2:21" x14ac:dyDescent="0.25">
      <c r="B2510" s="292">
        <v>97</v>
      </c>
      <c r="C2510" s="292"/>
      <c r="D2510" s="292"/>
      <c r="F2510" s="283" t="s">
        <v>272</v>
      </c>
      <c r="G2510" s="283"/>
      <c r="J2510" s="293">
        <v>1</v>
      </c>
      <c r="K2510" s="293"/>
      <c r="L2510" s="293"/>
      <c r="M2510" s="293"/>
      <c r="N2510" s="293"/>
      <c r="P2510" s="42">
        <v>500</v>
      </c>
      <c r="R2510" s="42">
        <v>150</v>
      </c>
      <c r="T2510" s="284">
        <v>350</v>
      </c>
      <c r="U2510" s="284"/>
    </row>
    <row r="2511" spans="2:21" x14ac:dyDescent="0.25">
      <c r="B2511" s="292">
        <v>98</v>
      </c>
      <c r="C2511" s="292"/>
      <c r="D2511" s="292"/>
      <c r="F2511" s="283" t="s">
        <v>205</v>
      </c>
      <c r="G2511" s="283"/>
      <c r="J2511" s="293">
        <v>3</v>
      </c>
      <c r="K2511" s="293"/>
      <c r="L2511" s="293"/>
      <c r="M2511" s="293"/>
      <c r="N2511" s="293"/>
      <c r="P2511" s="42">
        <v>1500</v>
      </c>
      <c r="R2511" s="42">
        <v>300</v>
      </c>
      <c r="T2511" s="284">
        <v>1200</v>
      </c>
      <c r="U2511" s="284"/>
    </row>
    <row r="2512" spans="2:21" x14ac:dyDescent="0.25">
      <c r="B2512" s="292">
        <v>99</v>
      </c>
      <c r="C2512" s="292"/>
      <c r="D2512" s="292"/>
      <c r="F2512" s="283" t="s">
        <v>204</v>
      </c>
      <c r="G2512" s="283"/>
      <c r="J2512" s="293">
        <v>1</v>
      </c>
      <c r="K2512" s="293"/>
      <c r="L2512" s="293"/>
      <c r="M2512" s="293"/>
      <c r="N2512" s="293"/>
      <c r="P2512" s="42">
        <v>500</v>
      </c>
      <c r="R2512" s="42">
        <v>150</v>
      </c>
      <c r="T2512" s="284">
        <v>350</v>
      </c>
      <c r="U2512" s="284"/>
    </row>
    <row r="2513" spans="1:21" x14ac:dyDescent="0.25">
      <c r="B2513" s="292">
        <v>100</v>
      </c>
      <c r="C2513" s="292"/>
      <c r="D2513" s="292"/>
      <c r="F2513" s="283" t="s">
        <v>83</v>
      </c>
      <c r="G2513" s="283"/>
      <c r="J2513" s="293">
        <v>3</v>
      </c>
      <c r="K2513" s="293"/>
      <c r="L2513" s="293"/>
      <c r="M2513" s="293"/>
      <c r="N2513" s="293"/>
      <c r="P2513" s="42">
        <v>1500</v>
      </c>
      <c r="R2513" s="42">
        <v>450</v>
      </c>
      <c r="T2513" s="284">
        <v>1050</v>
      </c>
      <c r="U2513" s="284"/>
    </row>
    <row r="2514" spans="1:21" x14ac:dyDescent="0.25">
      <c r="B2514" s="292">
        <v>101</v>
      </c>
      <c r="C2514" s="292"/>
      <c r="D2514" s="292"/>
      <c r="F2514" s="283" t="s">
        <v>271</v>
      </c>
      <c r="G2514" s="283"/>
      <c r="J2514" s="293">
        <v>1</v>
      </c>
      <c r="K2514" s="293"/>
      <c r="L2514" s="293"/>
      <c r="M2514" s="293"/>
      <c r="N2514" s="293"/>
      <c r="P2514" s="42">
        <v>500</v>
      </c>
      <c r="R2514" s="42">
        <v>150</v>
      </c>
      <c r="T2514" s="284">
        <v>350</v>
      </c>
      <c r="U2514" s="284"/>
    </row>
    <row r="2515" spans="1:21" s="40" customFormat="1" x14ac:dyDescent="0.25">
      <c r="A2515" s="290" t="s">
        <v>404</v>
      </c>
      <c r="B2515" s="290"/>
      <c r="C2515" s="290"/>
      <c r="D2515" s="290"/>
      <c r="E2515" s="290"/>
      <c r="F2515" s="290"/>
      <c r="G2515" s="290"/>
      <c r="H2515" s="290"/>
      <c r="I2515" s="290"/>
      <c r="J2515" s="290"/>
      <c r="K2515" s="291">
        <v>4327</v>
      </c>
      <c r="L2515" s="291"/>
      <c r="M2515" s="291"/>
      <c r="N2515" s="291"/>
      <c r="O2515" s="291"/>
      <c r="P2515" s="41">
        <v>4723700</v>
      </c>
      <c r="R2515" s="41">
        <v>4222052</v>
      </c>
      <c r="T2515" s="287">
        <v>501648</v>
      </c>
      <c r="U2515" s="287"/>
    </row>
    <row r="2516" spans="1:21" x14ac:dyDescent="0.25">
      <c r="B2516" s="292">
        <v>1</v>
      </c>
      <c r="C2516" s="292"/>
      <c r="D2516" s="292"/>
      <c r="F2516" s="283" t="s">
        <v>168</v>
      </c>
      <c r="G2516" s="283"/>
      <c r="J2516" s="293">
        <v>2</v>
      </c>
      <c r="K2516" s="293"/>
      <c r="L2516" s="293"/>
      <c r="M2516" s="293"/>
      <c r="N2516" s="293"/>
      <c r="P2516" s="42">
        <v>4400</v>
      </c>
      <c r="R2516" s="42">
        <v>660</v>
      </c>
      <c r="T2516" s="284">
        <v>3740</v>
      </c>
      <c r="U2516" s="284"/>
    </row>
    <row r="2517" spans="1:21" x14ac:dyDescent="0.25">
      <c r="B2517" s="292">
        <v>2</v>
      </c>
      <c r="C2517" s="292"/>
      <c r="D2517" s="292"/>
      <c r="F2517" s="283" t="s">
        <v>78</v>
      </c>
      <c r="G2517" s="283"/>
      <c r="J2517" s="293">
        <v>147</v>
      </c>
      <c r="K2517" s="293"/>
      <c r="L2517" s="293"/>
      <c r="M2517" s="293"/>
      <c r="N2517" s="293"/>
      <c r="P2517" s="42">
        <v>42630</v>
      </c>
      <c r="R2517" s="42">
        <v>42630</v>
      </c>
      <c r="T2517" s="284">
        <v>0</v>
      </c>
      <c r="U2517" s="284"/>
    </row>
    <row r="2518" spans="1:21" x14ac:dyDescent="0.25">
      <c r="B2518" s="292">
        <v>3</v>
      </c>
      <c r="C2518" s="292"/>
      <c r="D2518" s="292"/>
      <c r="F2518" s="283" t="s">
        <v>268</v>
      </c>
      <c r="G2518" s="283"/>
      <c r="J2518" s="293">
        <v>2</v>
      </c>
      <c r="K2518" s="293"/>
      <c r="L2518" s="293"/>
      <c r="M2518" s="293"/>
      <c r="N2518" s="293"/>
      <c r="P2518" s="42">
        <v>500</v>
      </c>
      <c r="R2518" s="42">
        <v>140</v>
      </c>
      <c r="T2518" s="284">
        <v>360</v>
      </c>
      <c r="U2518" s="284"/>
    </row>
    <row r="2519" spans="1:21" x14ac:dyDescent="0.25">
      <c r="B2519" s="292">
        <v>4</v>
      </c>
      <c r="C2519" s="292"/>
      <c r="D2519" s="292"/>
      <c r="F2519" s="283" t="s">
        <v>167</v>
      </c>
      <c r="G2519" s="283"/>
      <c r="J2519" s="293">
        <v>1</v>
      </c>
      <c r="K2519" s="293"/>
      <c r="L2519" s="293"/>
      <c r="M2519" s="293"/>
      <c r="N2519" s="293"/>
      <c r="P2519" s="42">
        <v>570</v>
      </c>
      <c r="R2519" s="42">
        <v>170</v>
      </c>
      <c r="T2519" s="284">
        <v>400</v>
      </c>
      <c r="U2519" s="284"/>
    </row>
    <row r="2520" spans="1:21" x14ac:dyDescent="0.25">
      <c r="B2520" s="292">
        <v>5</v>
      </c>
      <c r="C2520" s="292"/>
      <c r="D2520" s="292"/>
      <c r="F2520" s="283" t="s">
        <v>163</v>
      </c>
      <c r="G2520" s="283"/>
      <c r="J2520" s="293">
        <v>5</v>
      </c>
      <c r="K2520" s="293"/>
      <c r="L2520" s="293"/>
      <c r="M2520" s="293"/>
      <c r="N2520" s="293"/>
      <c r="P2520" s="42">
        <v>5950</v>
      </c>
      <c r="R2520" s="42">
        <v>900</v>
      </c>
      <c r="T2520" s="284">
        <v>5050</v>
      </c>
      <c r="U2520" s="284"/>
    </row>
    <row r="2521" spans="1:21" x14ac:dyDescent="0.25">
      <c r="B2521" s="292">
        <v>6</v>
      </c>
      <c r="C2521" s="292"/>
      <c r="D2521" s="292"/>
      <c r="F2521" s="283" t="s">
        <v>162</v>
      </c>
      <c r="G2521" s="283"/>
      <c r="J2521" s="293">
        <v>7</v>
      </c>
      <c r="K2521" s="293"/>
      <c r="L2521" s="293"/>
      <c r="M2521" s="293"/>
      <c r="N2521" s="293"/>
      <c r="P2521" s="42">
        <v>3010</v>
      </c>
      <c r="R2521" s="42">
        <v>1237</v>
      </c>
      <c r="T2521" s="284">
        <v>1773</v>
      </c>
      <c r="U2521" s="284"/>
    </row>
    <row r="2522" spans="1:21" x14ac:dyDescent="0.25">
      <c r="B2522" s="292">
        <v>7</v>
      </c>
      <c r="C2522" s="292"/>
      <c r="D2522" s="292"/>
      <c r="F2522" s="283" t="s">
        <v>160</v>
      </c>
      <c r="G2522" s="283"/>
      <c r="J2522" s="293">
        <v>17</v>
      </c>
      <c r="K2522" s="293"/>
      <c r="L2522" s="293"/>
      <c r="M2522" s="293"/>
      <c r="N2522" s="293"/>
      <c r="P2522" s="42">
        <v>4930</v>
      </c>
      <c r="R2522" s="42">
        <v>1360</v>
      </c>
      <c r="T2522" s="284">
        <v>3570</v>
      </c>
      <c r="U2522" s="284"/>
    </row>
    <row r="2523" spans="1:21" x14ac:dyDescent="0.25">
      <c r="B2523" s="292">
        <v>8</v>
      </c>
      <c r="C2523" s="292"/>
      <c r="D2523" s="292"/>
      <c r="F2523" s="283" t="s">
        <v>159</v>
      </c>
      <c r="G2523" s="283"/>
      <c r="J2523" s="293">
        <v>62</v>
      </c>
      <c r="K2523" s="293"/>
      <c r="L2523" s="293"/>
      <c r="M2523" s="293"/>
      <c r="N2523" s="293"/>
      <c r="P2523" s="42">
        <v>0</v>
      </c>
      <c r="R2523" s="42">
        <v>0</v>
      </c>
      <c r="T2523" s="284">
        <v>0</v>
      </c>
      <c r="U2523" s="284"/>
    </row>
    <row r="2524" spans="1:21" x14ac:dyDescent="0.25">
      <c r="B2524" s="292">
        <v>9</v>
      </c>
      <c r="C2524" s="292"/>
      <c r="D2524" s="292"/>
      <c r="F2524" s="283" t="s">
        <v>158</v>
      </c>
      <c r="G2524" s="283"/>
      <c r="J2524" s="293">
        <v>509</v>
      </c>
      <c r="K2524" s="293"/>
      <c r="L2524" s="293"/>
      <c r="M2524" s="293"/>
      <c r="N2524" s="293"/>
      <c r="P2524" s="42">
        <v>279950</v>
      </c>
      <c r="R2524" s="42">
        <v>76717</v>
      </c>
      <c r="T2524" s="284">
        <v>203233</v>
      </c>
      <c r="U2524" s="284"/>
    </row>
    <row r="2525" spans="1:21" x14ac:dyDescent="0.25">
      <c r="B2525" s="292">
        <v>10</v>
      </c>
      <c r="C2525" s="292"/>
      <c r="D2525" s="292"/>
      <c r="F2525" s="283" t="s">
        <v>157</v>
      </c>
      <c r="G2525" s="283"/>
      <c r="J2525" s="293">
        <v>71</v>
      </c>
      <c r="K2525" s="293"/>
      <c r="L2525" s="293"/>
      <c r="M2525" s="293"/>
      <c r="N2525" s="293"/>
      <c r="P2525" s="42">
        <v>34790</v>
      </c>
      <c r="R2525" s="42">
        <v>14678</v>
      </c>
      <c r="T2525" s="284">
        <v>20112</v>
      </c>
      <c r="U2525" s="284"/>
    </row>
    <row r="2526" spans="1:21" x14ac:dyDescent="0.25">
      <c r="B2526" s="292">
        <v>11</v>
      </c>
      <c r="C2526" s="292"/>
      <c r="D2526" s="292"/>
      <c r="F2526" s="283" t="s">
        <v>293</v>
      </c>
      <c r="G2526" s="283"/>
      <c r="J2526" s="293">
        <v>1</v>
      </c>
      <c r="K2526" s="293"/>
      <c r="L2526" s="293"/>
      <c r="M2526" s="293"/>
      <c r="N2526" s="293"/>
      <c r="P2526" s="42">
        <v>700</v>
      </c>
      <c r="R2526" s="42">
        <v>180</v>
      </c>
      <c r="T2526" s="284">
        <v>520</v>
      </c>
      <c r="U2526" s="284"/>
    </row>
    <row r="2527" spans="1:21" x14ac:dyDescent="0.25">
      <c r="B2527" s="292">
        <v>12</v>
      </c>
      <c r="C2527" s="292"/>
      <c r="D2527" s="292"/>
      <c r="F2527" s="283" t="s">
        <v>77</v>
      </c>
      <c r="G2527" s="283"/>
      <c r="J2527" s="293">
        <v>1317</v>
      </c>
      <c r="K2527" s="293"/>
      <c r="L2527" s="293"/>
      <c r="M2527" s="293"/>
      <c r="N2527" s="293"/>
      <c r="P2527" s="42">
        <v>531000</v>
      </c>
      <c r="R2527" s="42">
        <v>531000</v>
      </c>
      <c r="T2527" s="284">
        <v>0</v>
      </c>
      <c r="U2527" s="284"/>
    </row>
    <row r="2528" spans="1:21" x14ac:dyDescent="0.25">
      <c r="B2528" s="292">
        <v>13</v>
      </c>
      <c r="C2528" s="292"/>
      <c r="D2528" s="292"/>
      <c r="F2528" s="283" t="s">
        <v>242</v>
      </c>
      <c r="G2528" s="283"/>
      <c r="J2528" s="293">
        <v>3</v>
      </c>
      <c r="K2528" s="293"/>
      <c r="L2528" s="293"/>
      <c r="M2528" s="293"/>
      <c r="N2528" s="293"/>
      <c r="P2528" s="42">
        <v>1500</v>
      </c>
      <c r="R2528" s="42">
        <v>1500</v>
      </c>
      <c r="T2528" s="284">
        <v>0</v>
      </c>
      <c r="U2528" s="284"/>
    </row>
    <row r="2529" spans="2:21" x14ac:dyDescent="0.25">
      <c r="B2529" s="292">
        <v>14</v>
      </c>
      <c r="C2529" s="292"/>
      <c r="D2529" s="292"/>
      <c r="F2529" s="283" t="s">
        <v>156</v>
      </c>
      <c r="G2529" s="283"/>
      <c r="J2529" s="293">
        <v>8</v>
      </c>
      <c r="K2529" s="293"/>
      <c r="L2529" s="293"/>
      <c r="M2529" s="293"/>
      <c r="N2529" s="293"/>
      <c r="P2529" s="42">
        <v>1520</v>
      </c>
      <c r="R2529" s="42">
        <v>500</v>
      </c>
      <c r="T2529" s="284">
        <v>1020</v>
      </c>
      <c r="U2529" s="284"/>
    </row>
    <row r="2530" spans="2:21" x14ac:dyDescent="0.25">
      <c r="B2530" s="292">
        <v>15</v>
      </c>
      <c r="C2530" s="292"/>
      <c r="D2530" s="292"/>
      <c r="F2530" s="283" t="s">
        <v>155</v>
      </c>
      <c r="G2530" s="283"/>
      <c r="J2530" s="293">
        <v>23</v>
      </c>
      <c r="K2530" s="293"/>
      <c r="L2530" s="293"/>
      <c r="M2530" s="293"/>
      <c r="N2530" s="293"/>
      <c r="P2530" s="42">
        <v>5750</v>
      </c>
      <c r="R2530" s="42">
        <v>1840</v>
      </c>
      <c r="T2530" s="284">
        <v>3910</v>
      </c>
      <c r="U2530" s="284"/>
    </row>
    <row r="2531" spans="2:21" x14ac:dyDescent="0.25">
      <c r="B2531" s="292">
        <v>16</v>
      </c>
      <c r="C2531" s="292"/>
      <c r="D2531" s="292"/>
      <c r="F2531" s="283" t="s">
        <v>154</v>
      </c>
      <c r="G2531" s="283"/>
      <c r="J2531" s="293">
        <v>1</v>
      </c>
      <c r="K2531" s="293"/>
      <c r="L2531" s="293"/>
      <c r="M2531" s="293"/>
      <c r="N2531" s="293"/>
      <c r="P2531" s="42">
        <v>890</v>
      </c>
      <c r="R2531" s="42">
        <v>130</v>
      </c>
      <c r="T2531" s="284">
        <v>760</v>
      </c>
      <c r="U2531" s="284"/>
    </row>
    <row r="2532" spans="2:21" x14ac:dyDescent="0.25">
      <c r="B2532" s="292">
        <v>17</v>
      </c>
      <c r="C2532" s="292"/>
      <c r="D2532" s="292"/>
      <c r="F2532" s="283" t="s">
        <v>153</v>
      </c>
      <c r="G2532" s="283"/>
      <c r="J2532" s="293">
        <v>1</v>
      </c>
      <c r="K2532" s="293"/>
      <c r="L2532" s="293"/>
      <c r="M2532" s="293"/>
      <c r="N2532" s="293"/>
      <c r="P2532" s="42">
        <v>1180</v>
      </c>
      <c r="R2532" s="42">
        <v>180</v>
      </c>
      <c r="T2532" s="284">
        <v>1000</v>
      </c>
      <c r="U2532" s="284"/>
    </row>
    <row r="2533" spans="2:21" x14ac:dyDescent="0.25">
      <c r="B2533" s="292">
        <v>18</v>
      </c>
      <c r="C2533" s="292"/>
      <c r="D2533" s="292"/>
      <c r="F2533" s="283" t="s">
        <v>152</v>
      </c>
      <c r="G2533" s="283"/>
      <c r="J2533" s="293">
        <v>14</v>
      </c>
      <c r="K2533" s="293"/>
      <c r="L2533" s="293"/>
      <c r="M2533" s="293"/>
      <c r="N2533" s="293"/>
      <c r="P2533" s="42">
        <v>8260</v>
      </c>
      <c r="R2533" s="42">
        <v>2520</v>
      </c>
      <c r="T2533" s="284">
        <v>5740</v>
      </c>
      <c r="U2533" s="284"/>
    </row>
    <row r="2534" spans="2:21" x14ac:dyDescent="0.25">
      <c r="B2534" s="292">
        <v>19</v>
      </c>
      <c r="C2534" s="292"/>
      <c r="D2534" s="292"/>
      <c r="F2534" s="283" t="s">
        <v>151</v>
      </c>
      <c r="G2534" s="283"/>
      <c r="J2534" s="293">
        <v>49</v>
      </c>
      <c r="K2534" s="293"/>
      <c r="L2534" s="293"/>
      <c r="M2534" s="293"/>
      <c r="N2534" s="293"/>
      <c r="P2534" s="42">
        <v>11270</v>
      </c>
      <c r="R2534" s="42">
        <v>3590</v>
      </c>
      <c r="T2534" s="284">
        <v>7680</v>
      </c>
      <c r="U2534" s="284"/>
    </row>
    <row r="2535" spans="2:21" x14ac:dyDescent="0.25">
      <c r="B2535" s="292">
        <v>20</v>
      </c>
      <c r="C2535" s="292"/>
      <c r="D2535" s="292"/>
      <c r="F2535" s="283" t="s">
        <v>150</v>
      </c>
      <c r="G2535" s="283"/>
      <c r="J2535" s="293">
        <v>43</v>
      </c>
      <c r="K2535" s="293"/>
      <c r="L2535" s="293"/>
      <c r="M2535" s="293"/>
      <c r="N2535" s="293"/>
      <c r="P2535" s="42">
        <v>7310</v>
      </c>
      <c r="R2535" s="42">
        <v>2100</v>
      </c>
      <c r="T2535" s="284">
        <v>5210</v>
      </c>
      <c r="U2535" s="284"/>
    </row>
    <row r="2536" spans="2:21" x14ac:dyDescent="0.25">
      <c r="B2536" s="292">
        <v>21</v>
      </c>
      <c r="C2536" s="292"/>
      <c r="D2536" s="292"/>
      <c r="F2536" s="283" t="s">
        <v>75</v>
      </c>
      <c r="G2536" s="283"/>
      <c r="J2536" s="293">
        <v>1343</v>
      </c>
      <c r="K2536" s="293"/>
      <c r="L2536" s="293"/>
      <c r="M2536" s="293"/>
      <c r="N2536" s="293"/>
      <c r="P2536" s="42">
        <v>3357500</v>
      </c>
      <c r="R2536" s="42">
        <v>3357500</v>
      </c>
      <c r="T2536" s="284">
        <v>0</v>
      </c>
      <c r="U2536" s="284"/>
    </row>
    <row r="2537" spans="2:21" x14ac:dyDescent="0.25">
      <c r="B2537" s="292">
        <v>22</v>
      </c>
      <c r="C2537" s="292"/>
      <c r="D2537" s="292"/>
      <c r="F2537" s="283" t="s">
        <v>136</v>
      </c>
      <c r="G2537" s="283"/>
      <c r="J2537" s="293">
        <v>18</v>
      </c>
      <c r="K2537" s="293"/>
      <c r="L2537" s="293"/>
      <c r="M2537" s="293"/>
      <c r="N2537" s="293"/>
      <c r="P2537" s="42">
        <v>15300</v>
      </c>
      <c r="R2537" s="42">
        <v>3770</v>
      </c>
      <c r="T2537" s="284">
        <v>11530</v>
      </c>
      <c r="U2537" s="284"/>
    </row>
    <row r="2538" spans="2:21" x14ac:dyDescent="0.25">
      <c r="B2538" s="292">
        <v>23</v>
      </c>
      <c r="C2538" s="292"/>
      <c r="D2538" s="292"/>
      <c r="F2538" s="283" t="s">
        <v>74</v>
      </c>
      <c r="G2538" s="283"/>
      <c r="J2538" s="293">
        <v>112</v>
      </c>
      <c r="K2538" s="293"/>
      <c r="L2538" s="293"/>
      <c r="M2538" s="293"/>
      <c r="N2538" s="293"/>
      <c r="P2538" s="42">
        <v>95200</v>
      </c>
      <c r="R2538" s="42">
        <v>95200</v>
      </c>
      <c r="T2538" s="284">
        <v>0</v>
      </c>
      <c r="U2538" s="284"/>
    </row>
    <row r="2539" spans="2:21" x14ac:dyDescent="0.25">
      <c r="B2539" s="292">
        <v>24</v>
      </c>
      <c r="C2539" s="292"/>
      <c r="D2539" s="292"/>
      <c r="F2539" s="283" t="s">
        <v>190</v>
      </c>
      <c r="G2539" s="283"/>
      <c r="J2539" s="293">
        <v>10</v>
      </c>
      <c r="K2539" s="293"/>
      <c r="L2539" s="293"/>
      <c r="M2539" s="293"/>
      <c r="N2539" s="293"/>
      <c r="P2539" s="42">
        <v>15700</v>
      </c>
      <c r="R2539" s="42">
        <v>2400</v>
      </c>
      <c r="T2539" s="284">
        <v>13300</v>
      </c>
      <c r="U2539" s="284"/>
    </row>
    <row r="2540" spans="2:21" x14ac:dyDescent="0.25">
      <c r="B2540" s="292">
        <v>25</v>
      </c>
      <c r="C2540" s="292"/>
      <c r="D2540" s="292"/>
      <c r="F2540" s="283" t="s">
        <v>135</v>
      </c>
      <c r="G2540" s="283"/>
      <c r="J2540" s="293">
        <v>1</v>
      </c>
      <c r="K2540" s="293"/>
      <c r="L2540" s="293"/>
      <c r="M2540" s="293"/>
      <c r="N2540" s="293"/>
      <c r="P2540" s="42">
        <v>950</v>
      </c>
      <c r="R2540" s="42">
        <v>280</v>
      </c>
      <c r="T2540" s="284">
        <v>670</v>
      </c>
      <c r="U2540" s="284"/>
    </row>
    <row r="2541" spans="2:21" x14ac:dyDescent="0.25">
      <c r="B2541" s="292">
        <v>26</v>
      </c>
      <c r="C2541" s="292"/>
      <c r="D2541" s="292"/>
      <c r="F2541" s="283" t="s">
        <v>132</v>
      </c>
      <c r="G2541" s="283"/>
      <c r="J2541" s="293">
        <v>2</v>
      </c>
      <c r="K2541" s="293"/>
      <c r="L2541" s="293"/>
      <c r="M2541" s="293"/>
      <c r="N2541" s="293"/>
      <c r="P2541" s="42">
        <v>2480</v>
      </c>
      <c r="R2541" s="42">
        <v>740</v>
      </c>
      <c r="T2541" s="284">
        <v>1740</v>
      </c>
      <c r="U2541" s="284"/>
    </row>
    <row r="2542" spans="2:21" x14ac:dyDescent="0.25">
      <c r="B2542" s="292">
        <v>27</v>
      </c>
      <c r="C2542" s="292"/>
      <c r="D2542" s="292"/>
      <c r="F2542" s="283" t="s">
        <v>131</v>
      </c>
      <c r="G2542" s="283"/>
      <c r="J2542" s="293">
        <v>1</v>
      </c>
      <c r="K2542" s="293"/>
      <c r="L2542" s="293"/>
      <c r="M2542" s="293"/>
      <c r="N2542" s="293"/>
      <c r="P2542" s="42">
        <v>3700</v>
      </c>
      <c r="R2542" s="42">
        <v>800</v>
      </c>
      <c r="T2542" s="284">
        <v>2900</v>
      </c>
      <c r="U2542" s="284"/>
    </row>
    <row r="2543" spans="2:21" x14ac:dyDescent="0.25">
      <c r="B2543" s="292">
        <v>28</v>
      </c>
      <c r="C2543" s="292"/>
      <c r="D2543" s="292"/>
      <c r="F2543" s="283" t="s">
        <v>127</v>
      </c>
      <c r="G2543" s="283"/>
      <c r="J2543" s="293">
        <v>13</v>
      </c>
      <c r="K2543" s="293"/>
      <c r="L2543" s="293"/>
      <c r="M2543" s="293"/>
      <c r="N2543" s="293"/>
      <c r="P2543" s="42">
        <v>3900</v>
      </c>
      <c r="R2543" s="42">
        <v>1211</v>
      </c>
      <c r="T2543" s="284">
        <v>2689</v>
      </c>
      <c r="U2543" s="284"/>
    </row>
    <row r="2544" spans="2:21" x14ac:dyDescent="0.25">
      <c r="B2544" s="292">
        <v>29</v>
      </c>
      <c r="C2544" s="292"/>
      <c r="D2544" s="292"/>
      <c r="F2544" s="283" t="s">
        <v>126</v>
      </c>
      <c r="G2544" s="283"/>
      <c r="J2544" s="293">
        <v>11</v>
      </c>
      <c r="K2544" s="293"/>
      <c r="L2544" s="293"/>
      <c r="M2544" s="293"/>
      <c r="N2544" s="293"/>
      <c r="P2544" s="42">
        <v>2200</v>
      </c>
      <c r="R2544" s="42">
        <v>687</v>
      </c>
      <c r="T2544" s="284">
        <v>1513</v>
      </c>
      <c r="U2544" s="284"/>
    </row>
    <row r="2545" spans="2:21" x14ac:dyDescent="0.25">
      <c r="B2545" s="292">
        <v>30</v>
      </c>
      <c r="C2545" s="292"/>
      <c r="D2545" s="292"/>
      <c r="F2545" s="283" t="s">
        <v>124</v>
      </c>
      <c r="G2545" s="283"/>
      <c r="J2545" s="293">
        <v>5</v>
      </c>
      <c r="K2545" s="293"/>
      <c r="L2545" s="293"/>
      <c r="M2545" s="293"/>
      <c r="N2545" s="293"/>
      <c r="P2545" s="42">
        <v>3520</v>
      </c>
      <c r="R2545" s="42">
        <v>1040</v>
      </c>
      <c r="T2545" s="284">
        <v>2480</v>
      </c>
      <c r="U2545" s="284"/>
    </row>
    <row r="2546" spans="2:21" x14ac:dyDescent="0.25">
      <c r="B2546" s="292">
        <v>31</v>
      </c>
      <c r="C2546" s="292"/>
      <c r="D2546" s="292"/>
      <c r="F2546" s="283" t="s">
        <v>123</v>
      </c>
      <c r="G2546" s="283"/>
      <c r="J2546" s="293">
        <v>39</v>
      </c>
      <c r="K2546" s="293"/>
      <c r="L2546" s="293"/>
      <c r="M2546" s="293"/>
      <c r="N2546" s="293"/>
      <c r="P2546" s="42">
        <v>30420</v>
      </c>
      <c r="R2546" s="42">
        <v>8970</v>
      </c>
      <c r="T2546" s="284">
        <v>21450</v>
      </c>
      <c r="U2546" s="284"/>
    </row>
    <row r="2547" spans="2:21" x14ac:dyDescent="0.25">
      <c r="B2547" s="292">
        <v>32</v>
      </c>
      <c r="C2547" s="292"/>
      <c r="D2547" s="292"/>
      <c r="F2547" s="283" t="s">
        <v>183</v>
      </c>
      <c r="G2547" s="283"/>
      <c r="J2547" s="293">
        <v>1</v>
      </c>
      <c r="K2547" s="293"/>
      <c r="L2547" s="293"/>
      <c r="M2547" s="293"/>
      <c r="N2547" s="293"/>
      <c r="P2547" s="42">
        <v>440</v>
      </c>
      <c r="R2547" s="42">
        <v>130</v>
      </c>
      <c r="T2547" s="284">
        <v>310</v>
      </c>
      <c r="U2547" s="284"/>
    </row>
    <row r="2548" spans="2:21" x14ac:dyDescent="0.25">
      <c r="B2548" s="292">
        <v>33</v>
      </c>
      <c r="C2548" s="292"/>
      <c r="D2548" s="292"/>
      <c r="F2548" s="283" t="s">
        <v>119</v>
      </c>
      <c r="G2548" s="283"/>
      <c r="J2548" s="293">
        <v>21</v>
      </c>
      <c r="K2548" s="293"/>
      <c r="L2548" s="293"/>
      <c r="M2548" s="293"/>
      <c r="N2548" s="293"/>
      <c r="P2548" s="42">
        <v>18690</v>
      </c>
      <c r="R2548" s="42">
        <v>5910</v>
      </c>
      <c r="T2548" s="284">
        <v>12780</v>
      </c>
      <c r="U2548" s="284"/>
    </row>
    <row r="2549" spans="2:21" x14ac:dyDescent="0.25">
      <c r="B2549" s="292">
        <v>34</v>
      </c>
      <c r="C2549" s="292"/>
      <c r="D2549" s="292"/>
      <c r="F2549" s="283" t="s">
        <v>118</v>
      </c>
      <c r="G2549" s="283"/>
      <c r="J2549" s="293">
        <v>95</v>
      </c>
      <c r="K2549" s="293"/>
      <c r="L2549" s="293"/>
      <c r="M2549" s="293"/>
      <c r="N2549" s="293"/>
      <c r="P2549" s="42">
        <v>94050</v>
      </c>
      <c r="R2549" s="42">
        <v>31440</v>
      </c>
      <c r="T2549" s="284">
        <v>62610</v>
      </c>
      <c r="U2549" s="284"/>
    </row>
    <row r="2550" spans="2:21" x14ac:dyDescent="0.25">
      <c r="B2550" s="292">
        <v>35</v>
      </c>
      <c r="C2550" s="292"/>
      <c r="D2550" s="292"/>
      <c r="F2550" s="283" t="s">
        <v>117</v>
      </c>
      <c r="G2550" s="283"/>
      <c r="J2550" s="293">
        <v>2</v>
      </c>
      <c r="K2550" s="293"/>
      <c r="L2550" s="293"/>
      <c r="M2550" s="293"/>
      <c r="N2550" s="293"/>
      <c r="P2550" s="42">
        <v>1800</v>
      </c>
      <c r="R2550" s="42">
        <v>540</v>
      </c>
      <c r="T2550" s="284">
        <v>1260</v>
      </c>
      <c r="U2550" s="284"/>
    </row>
    <row r="2551" spans="2:21" x14ac:dyDescent="0.25">
      <c r="B2551" s="292">
        <v>36</v>
      </c>
      <c r="C2551" s="292"/>
      <c r="D2551" s="292"/>
      <c r="F2551" s="283" t="s">
        <v>115</v>
      </c>
      <c r="G2551" s="283"/>
      <c r="J2551" s="293">
        <v>10</v>
      </c>
      <c r="K2551" s="293"/>
      <c r="L2551" s="293"/>
      <c r="M2551" s="293"/>
      <c r="N2551" s="293"/>
      <c r="P2551" s="42">
        <v>2900</v>
      </c>
      <c r="R2551" s="42">
        <v>980</v>
      </c>
      <c r="T2551" s="284">
        <v>1920</v>
      </c>
      <c r="U2551" s="284"/>
    </row>
    <row r="2552" spans="2:21" x14ac:dyDescent="0.25">
      <c r="B2552" s="292">
        <v>37</v>
      </c>
      <c r="C2552" s="292"/>
      <c r="D2552" s="292"/>
      <c r="F2552" s="283" t="s">
        <v>221</v>
      </c>
      <c r="G2552" s="283"/>
      <c r="J2552" s="293">
        <v>1</v>
      </c>
      <c r="K2552" s="293"/>
      <c r="L2552" s="293"/>
      <c r="M2552" s="293"/>
      <c r="N2552" s="293"/>
      <c r="P2552" s="42">
        <v>990</v>
      </c>
      <c r="R2552" s="42">
        <v>300</v>
      </c>
      <c r="T2552" s="284">
        <v>690</v>
      </c>
      <c r="U2552" s="284"/>
    </row>
    <row r="2553" spans="2:21" x14ac:dyDescent="0.25">
      <c r="B2553" s="292">
        <v>38</v>
      </c>
      <c r="C2553" s="292"/>
      <c r="D2553" s="292"/>
      <c r="F2553" s="283" t="s">
        <v>327</v>
      </c>
      <c r="G2553" s="283"/>
      <c r="J2553" s="293">
        <v>1</v>
      </c>
      <c r="K2553" s="293"/>
      <c r="L2553" s="293"/>
      <c r="M2553" s="293"/>
      <c r="N2553" s="293"/>
      <c r="P2553" s="42">
        <v>880</v>
      </c>
      <c r="R2553" s="42">
        <v>130</v>
      </c>
      <c r="T2553" s="284">
        <v>750</v>
      </c>
      <c r="U2553" s="284"/>
    </row>
    <row r="2554" spans="2:21" x14ac:dyDescent="0.25">
      <c r="B2554" s="292">
        <v>39</v>
      </c>
      <c r="C2554" s="292"/>
      <c r="D2554" s="292"/>
      <c r="F2554" s="283" t="s">
        <v>111</v>
      </c>
      <c r="G2554" s="283"/>
      <c r="J2554" s="293">
        <v>1</v>
      </c>
      <c r="K2554" s="293"/>
      <c r="L2554" s="293"/>
      <c r="M2554" s="293"/>
      <c r="N2554" s="293"/>
      <c r="P2554" s="42">
        <v>430</v>
      </c>
      <c r="R2554" s="42">
        <v>130</v>
      </c>
      <c r="T2554" s="284">
        <v>300</v>
      </c>
      <c r="U2554" s="284"/>
    </row>
    <row r="2555" spans="2:21" x14ac:dyDescent="0.25">
      <c r="B2555" s="292">
        <v>40</v>
      </c>
      <c r="C2555" s="292"/>
      <c r="D2555" s="292"/>
      <c r="F2555" s="283" t="s">
        <v>109</v>
      </c>
      <c r="G2555" s="283"/>
      <c r="J2555" s="293">
        <v>5</v>
      </c>
      <c r="K2555" s="293"/>
      <c r="L2555" s="293"/>
      <c r="M2555" s="293"/>
      <c r="N2555" s="293"/>
      <c r="P2555" s="42">
        <v>3900</v>
      </c>
      <c r="R2555" s="42">
        <v>1150</v>
      </c>
      <c r="T2555" s="284">
        <v>2750</v>
      </c>
      <c r="U2555" s="284"/>
    </row>
    <row r="2556" spans="2:21" x14ac:dyDescent="0.25">
      <c r="B2556" s="292">
        <v>41</v>
      </c>
      <c r="C2556" s="292"/>
      <c r="D2556" s="292"/>
      <c r="F2556" s="283" t="s">
        <v>108</v>
      </c>
      <c r="G2556" s="283"/>
      <c r="J2556" s="293">
        <v>79</v>
      </c>
      <c r="K2556" s="293"/>
      <c r="L2556" s="293"/>
      <c r="M2556" s="293"/>
      <c r="N2556" s="293"/>
      <c r="P2556" s="42">
        <v>7900</v>
      </c>
      <c r="R2556" s="42">
        <v>90</v>
      </c>
      <c r="T2556" s="284">
        <v>7810</v>
      </c>
      <c r="U2556" s="284"/>
    </row>
    <row r="2557" spans="2:21" x14ac:dyDescent="0.25">
      <c r="B2557" s="292">
        <v>42</v>
      </c>
      <c r="C2557" s="292"/>
      <c r="D2557" s="292"/>
      <c r="F2557" s="283" t="s">
        <v>107</v>
      </c>
      <c r="G2557" s="283"/>
      <c r="J2557" s="293">
        <v>55</v>
      </c>
      <c r="K2557" s="293"/>
      <c r="L2557" s="293"/>
      <c r="M2557" s="293"/>
      <c r="N2557" s="293"/>
      <c r="P2557" s="42">
        <v>9350</v>
      </c>
      <c r="R2557" s="42">
        <v>2774</v>
      </c>
      <c r="T2557" s="284">
        <v>6576</v>
      </c>
      <c r="U2557" s="284"/>
    </row>
    <row r="2558" spans="2:21" x14ac:dyDescent="0.25">
      <c r="B2558" s="292">
        <v>43</v>
      </c>
      <c r="C2558" s="292"/>
      <c r="D2558" s="292"/>
      <c r="F2558" s="283" t="s">
        <v>106</v>
      </c>
      <c r="G2558" s="283"/>
      <c r="J2558" s="293">
        <v>5</v>
      </c>
      <c r="K2558" s="293"/>
      <c r="L2558" s="293"/>
      <c r="M2558" s="293"/>
      <c r="N2558" s="293"/>
      <c r="P2558" s="42">
        <v>500</v>
      </c>
      <c r="R2558" s="42">
        <v>150</v>
      </c>
      <c r="T2558" s="284">
        <v>350</v>
      </c>
      <c r="U2558" s="284"/>
    </row>
    <row r="2559" spans="2:21" x14ac:dyDescent="0.25">
      <c r="B2559" s="292">
        <v>44</v>
      </c>
      <c r="C2559" s="292"/>
      <c r="D2559" s="292"/>
      <c r="F2559" s="283" t="s">
        <v>105</v>
      </c>
      <c r="G2559" s="283"/>
      <c r="J2559" s="293">
        <v>1</v>
      </c>
      <c r="K2559" s="293"/>
      <c r="L2559" s="293"/>
      <c r="M2559" s="293"/>
      <c r="N2559" s="293"/>
      <c r="P2559" s="42">
        <v>1150</v>
      </c>
      <c r="R2559" s="42">
        <v>0</v>
      </c>
      <c r="T2559" s="284">
        <v>1150</v>
      </c>
      <c r="U2559" s="284"/>
    </row>
    <row r="2560" spans="2:21" x14ac:dyDescent="0.25">
      <c r="B2560" s="292">
        <v>45</v>
      </c>
      <c r="C2560" s="292"/>
      <c r="D2560" s="292"/>
      <c r="F2560" s="283" t="s">
        <v>103</v>
      </c>
      <c r="G2560" s="283"/>
      <c r="J2560" s="293">
        <v>2</v>
      </c>
      <c r="K2560" s="293"/>
      <c r="L2560" s="293"/>
      <c r="M2560" s="293"/>
      <c r="N2560" s="293"/>
      <c r="P2560" s="42">
        <v>660</v>
      </c>
      <c r="R2560" s="42">
        <v>240</v>
      </c>
      <c r="T2560" s="284">
        <v>420</v>
      </c>
      <c r="U2560" s="284"/>
    </row>
    <row r="2561" spans="2:21" x14ac:dyDescent="0.25">
      <c r="B2561" s="292">
        <v>46</v>
      </c>
      <c r="C2561" s="292"/>
      <c r="D2561" s="292"/>
      <c r="F2561" s="283" t="s">
        <v>102</v>
      </c>
      <c r="G2561" s="283"/>
      <c r="J2561" s="293">
        <v>18</v>
      </c>
      <c r="K2561" s="293"/>
      <c r="L2561" s="293"/>
      <c r="M2561" s="293"/>
      <c r="N2561" s="293"/>
      <c r="P2561" s="42">
        <v>15840</v>
      </c>
      <c r="R2561" s="42">
        <v>2340</v>
      </c>
      <c r="T2561" s="284">
        <v>13500</v>
      </c>
      <c r="U2561" s="284"/>
    </row>
    <row r="2562" spans="2:21" x14ac:dyDescent="0.25">
      <c r="B2562" s="292">
        <v>47</v>
      </c>
      <c r="C2562" s="292"/>
      <c r="D2562" s="292"/>
      <c r="F2562" s="283" t="s">
        <v>101</v>
      </c>
      <c r="G2562" s="283"/>
      <c r="J2562" s="293">
        <v>8</v>
      </c>
      <c r="K2562" s="293"/>
      <c r="L2562" s="293"/>
      <c r="M2562" s="293"/>
      <c r="N2562" s="293"/>
      <c r="P2562" s="42">
        <v>3680</v>
      </c>
      <c r="R2562" s="42">
        <v>1120</v>
      </c>
      <c r="T2562" s="284">
        <v>2560</v>
      </c>
      <c r="U2562" s="284"/>
    </row>
    <row r="2563" spans="2:21" x14ac:dyDescent="0.25">
      <c r="B2563" s="292">
        <v>48</v>
      </c>
      <c r="C2563" s="292"/>
      <c r="D2563" s="292"/>
      <c r="F2563" s="283" t="s">
        <v>254</v>
      </c>
      <c r="G2563" s="283"/>
      <c r="J2563" s="293">
        <v>1</v>
      </c>
      <c r="K2563" s="293"/>
      <c r="L2563" s="293"/>
      <c r="M2563" s="293"/>
      <c r="N2563" s="293"/>
      <c r="P2563" s="42">
        <v>290</v>
      </c>
      <c r="R2563" s="42">
        <v>80</v>
      </c>
      <c r="T2563" s="284">
        <v>210</v>
      </c>
      <c r="U2563" s="284"/>
    </row>
    <row r="2564" spans="2:21" x14ac:dyDescent="0.25">
      <c r="B2564" s="292">
        <v>49</v>
      </c>
      <c r="C2564" s="292"/>
      <c r="D2564" s="292"/>
      <c r="F2564" s="283" t="s">
        <v>100</v>
      </c>
      <c r="G2564" s="283"/>
      <c r="J2564" s="293">
        <v>4</v>
      </c>
      <c r="K2564" s="293"/>
      <c r="L2564" s="293"/>
      <c r="M2564" s="293"/>
      <c r="N2564" s="293"/>
      <c r="P2564" s="42">
        <v>720</v>
      </c>
      <c r="R2564" s="42">
        <v>200</v>
      </c>
      <c r="T2564" s="284">
        <v>520</v>
      </c>
      <c r="U2564" s="284"/>
    </row>
    <row r="2565" spans="2:21" x14ac:dyDescent="0.25">
      <c r="B2565" s="292">
        <v>50</v>
      </c>
      <c r="C2565" s="292"/>
      <c r="D2565" s="292"/>
      <c r="F2565" s="283" t="s">
        <v>97</v>
      </c>
      <c r="G2565" s="283"/>
      <c r="J2565" s="293">
        <v>5</v>
      </c>
      <c r="K2565" s="293"/>
      <c r="L2565" s="293"/>
      <c r="M2565" s="293"/>
      <c r="N2565" s="293"/>
      <c r="P2565" s="42">
        <v>7950</v>
      </c>
      <c r="R2565" s="42">
        <v>1200</v>
      </c>
      <c r="T2565" s="284">
        <v>6750</v>
      </c>
      <c r="U2565" s="284"/>
    </row>
    <row r="2566" spans="2:21" x14ac:dyDescent="0.25">
      <c r="B2566" s="292">
        <v>51</v>
      </c>
      <c r="C2566" s="292"/>
      <c r="D2566" s="292"/>
      <c r="F2566" s="283" t="s">
        <v>93</v>
      </c>
      <c r="G2566" s="283"/>
      <c r="J2566" s="293">
        <v>4</v>
      </c>
      <c r="K2566" s="293"/>
      <c r="L2566" s="293"/>
      <c r="M2566" s="293"/>
      <c r="N2566" s="293"/>
      <c r="P2566" s="42">
        <v>2360</v>
      </c>
      <c r="R2566" s="42">
        <v>360</v>
      </c>
      <c r="T2566" s="284">
        <v>2000</v>
      </c>
      <c r="U2566" s="284"/>
    </row>
    <row r="2567" spans="2:21" x14ac:dyDescent="0.25">
      <c r="B2567" s="292">
        <v>52</v>
      </c>
      <c r="C2567" s="292"/>
      <c r="D2567" s="292"/>
      <c r="F2567" s="283" t="s">
        <v>92</v>
      </c>
      <c r="G2567" s="283"/>
      <c r="J2567" s="293">
        <v>16</v>
      </c>
      <c r="K2567" s="293"/>
      <c r="L2567" s="293"/>
      <c r="M2567" s="293"/>
      <c r="N2567" s="293"/>
      <c r="P2567" s="42">
        <v>15920</v>
      </c>
      <c r="R2567" s="42">
        <v>4720</v>
      </c>
      <c r="T2567" s="284">
        <v>11200</v>
      </c>
      <c r="U2567" s="284"/>
    </row>
    <row r="2568" spans="2:21" x14ac:dyDescent="0.25">
      <c r="B2568" s="292">
        <v>53</v>
      </c>
      <c r="C2568" s="292"/>
      <c r="D2568" s="292"/>
      <c r="F2568" s="283" t="s">
        <v>91</v>
      </c>
      <c r="G2568" s="283"/>
      <c r="J2568" s="293">
        <v>21</v>
      </c>
      <c r="K2568" s="293"/>
      <c r="L2568" s="293"/>
      <c r="M2568" s="293"/>
      <c r="N2568" s="293"/>
      <c r="P2568" s="42">
        <v>5250</v>
      </c>
      <c r="R2568" s="42">
        <v>1470</v>
      </c>
      <c r="T2568" s="284">
        <v>3780</v>
      </c>
      <c r="U2568" s="284"/>
    </row>
    <row r="2569" spans="2:21" x14ac:dyDescent="0.25">
      <c r="B2569" s="292">
        <v>54</v>
      </c>
      <c r="C2569" s="292"/>
      <c r="D2569" s="292"/>
      <c r="F2569" s="283" t="s">
        <v>90</v>
      </c>
      <c r="G2569" s="283"/>
      <c r="J2569" s="293">
        <v>17</v>
      </c>
      <c r="K2569" s="293"/>
      <c r="L2569" s="293"/>
      <c r="M2569" s="293"/>
      <c r="N2569" s="293"/>
      <c r="P2569" s="42">
        <v>4930</v>
      </c>
      <c r="R2569" s="42">
        <v>1360</v>
      </c>
      <c r="T2569" s="284">
        <v>3570</v>
      </c>
      <c r="U2569" s="284"/>
    </row>
    <row r="2570" spans="2:21" x14ac:dyDescent="0.25">
      <c r="B2570" s="292">
        <v>55</v>
      </c>
      <c r="C2570" s="292"/>
      <c r="D2570" s="292"/>
      <c r="F2570" s="283" t="s">
        <v>89</v>
      </c>
      <c r="G2570" s="283"/>
      <c r="J2570" s="293">
        <v>2</v>
      </c>
      <c r="K2570" s="293"/>
      <c r="L2570" s="293"/>
      <c r="M2570" s="293"/>
      <c r="N2570" s="293"/>
      <c r="P2570" s="42">
        <v>1760</v>
      </c>
      <c r="R2570" s="42">
        <v>260</v>
      </c>
      <c r="T2570" s="284">
        <v>1500</v>
      </c>
      <c r="U2570" s="284"/>
    </row>
    <row r="2571" spans="2:21" x14ac:dyDescent="0.25">
      <c r="B2571" s="292">
        <v>56</v>
      </c>
      <c r="C2571" s="292"/>
      <c r="D2571" s="292"/>
      <c r="F2571" s="283" t="s">
        <v>88</v>
      </c>
      <c r="G2571" s="283"/>
      <c r="J2571" s="293">
        <v>56</v>
      </c>
      <c r="K2571" s="293"/>
      <c r="L2571" s="293"/>
      <c r="M2571" s="293"/>
      <c r="N2571" s="293"/>
      <c r="P2571" s="42">
        <v>10080</v>
      </c>
      <c r="R2571" s="42">
        <v>3088</v>
      </c>
      <c r="T2571" s="284">
        <v>6992</v>
      </c>
      <c r="U2571" s="284"/>
    </row>
    <row r="2572" spans="2:21" x14ac:dyDescent="0.25">
      <c r="B2572" s="292">
        <v>57</v>
      </c>
      <c r="C2572" s="292"/>
      <c r="D2572" s="292"/>
      <c r="F2572" s="283" t="s">
        <v>87</v>
      </c>
      <c r="G2572" s="283"/>
      <c r="J2572" s="293">
        <v>3</v>
      </c>
      <c r="K2572" s="293"/>
      <c r="L2572" s="293"/>
      <c r="M2572" s="293"/>
      <c r="N2572" s="293"/>
      <c r="P2572" s="42">
        <v>870</v>
      </c>
      <c r="R2572" s="42">
        <v>240</v>
      </c>
      <c r="T2572" s="284">
        <v>630</v>
      </c>
      <c r="U2572" s="284"/>
    </row>
    <row r="2573" spans="2:21" x14ac:dyDescent="0.25">
      <c r="B2573" s="292">
        <v>58</v>
      </c>
      <c r="C2573" s="292"/>
      <c r="D2573" s="292"/>
      <c r="F2573" s="283" t="s">
        <v>86</v>
      </c>
      <c r="G2573" s="283"/>
      <c r="J2573" s="293">
        <v>1</v>
      </c>
      <c r="K2573" s="293"/>
      <c r="L2573" s="293"/>
      <c r="M2573" s="293"/>
      <c r="N2573" s="293"/>
      <c r="P2573" s="42">
        <v>1140</v>
      </c>
      <c r="R2573" s="42">
        <v>170</v>
      </c>
      <c r="T2573" s="284">
        <v>970</v>
      </c>
      <c r="U2573" s="284"/>
    </row>
    <row r="2574" spans="2:21" x14ac:dyDescent="0.25">
      <c r="B2574" s="292">
        <v>59</v>
      </c>
      <c r="C2574" s="292"/>
      <c r="D2574" s="292"/>
      <c r="F2574" s="283" t="s">
        <v>85</v>
      </c>
      <c r="G2574" s="283"/>
      <c r="J2574" s="293">
        <v>8</v>
      </c>
      <c r="K2574" s="293"/>
      <c r="L2574" s="293"/>
      <c r="M2574" s="293"/>
      <c r="N2574" s="293"/>
      <c r="P2574" s="42">
        <v>16640</v>
      </c>
      <c r="R2574" s="42">
        <v>2480</v>
      </c>
      <c r="T2574" s="284">
        <v>14160</v>
      </c>
      <c r="U2574" s="284"/>
    </row>
    <row r="2575" spans="2:21" x14ac:dyDescent="0.25">
      <c r="B2575" s="292">
        <v>60</v>
      </c>
      <c r="C2575" s="292"/>
      <c r="D2575" s="292"/>
      <c r="F2575" s="283" t="s">
        <v>84</v>
      </c>
      <c r="G2575" s="283"/>
      <c r="J2575" s="293">
        <v>7</v>
      </c>
      <c r="K2575" s="293"/>
      <c r="L2575" s="293"/>
      <c r="M2575" s="293"/>
      <c r="N2575" s="293"/>
      <c r="P2575" s="42">
        <v>4130</v>
      </c>
      <c r="R2575" s="42">
        <v>1260</v>
      </c>
      <c r="T2575" s="284">
        <v>2870</v>
      </c>
      <c r="U2575" s="284"/>
    </row>
    <row r="2576" spans="2:21" x14ac:dyDescent="0.25">
      <c r="B2576" s="292">
        <v>61</v>
      </c>
      <c r="C2576" s="292"/>
      <c r="D2576" s="292"/>
      <c r="F2576" s="283" t="s">
        <v>206</v>
      </c>
      <c r="G2576" s="283"/>
      <c r="J2576" s="293">
        <v>1</v>
      </c>
      <c r="K2576" s="293"/>
      <c r="L2576" s="293"/>
      <c r="M2576" s="293"/>
      <c r="N2576" s="293"/>
      <c r="P2576" s="42">
        <v>500</v>
      </c>
      <c r="R2576" s="42">
        <v>150</v>
      </c>
      <c r="T2576" s="284">
        <v>350</v>
      </c>
      <c r="U2576" s="284"/>
    </row>
    <row r="2577" spans="1:21" x14ac:dyDescent="0.25">
      <c r="B2577" s="292">
        <v>62</v>
      </c>
      <c r="C2577" s="292"/>
      <c r="D2577" s="292"/>
      <c r="F2577" s="283" t="s">
        <v>81</v>
      </c>
      <c r="G2577" s="283"/>
      <c r="J2577" s="293">
        <v>38</v>
      </c>
      <c r="K2577" s="293"/>
      <c r="L2577" s="293"/>
      <c r="M2577" s="293"/>
      <c r="N2577" s="293"/>
      <c r="P2577" s="42">
        <v>11020</v>
      </c>
      <c r="R2577" s="42">
        <v>2960</v>
      </c>
      <c r="T2577" s="284">
        <v>8060</v>
      </c>
      <c r="U2577" s="284"/>
    </row>
    <row r="2578" spans="1:21" s="40" customFormat="1" x14ac:dyDescent="0.25">
      <c r="A2578" s="290" t="s">
        <v>67</v>
      </c>
      <c r="B2578" s="290"/>
      <c r="C2578" s="290"/>
      <c r="D2578" s="290"/>
      <c r="E2578" s="290"/>
      <c r="F2578" s="290"/>
      <c r="G2578" s="290"/>
      <c r="H2578" s="290"/>
      <c r="I2578" s="290"/>
      <c r="J2578" s="290"/>
      <c r="K2578" s="291">
        <v>11944</v>
      </c>
      <c r="L2578" s="291"/>
      <c r="M2578" s="291"/>
      <c r="N2578" s="291"/>
      <c r="O2578" s="291"/>
      <c r="P2578" s="41">
        <v>11197560</v>
      </c>
      <c r="R2578" s="41">
        <v>9080194</v>
      </c>
      <c r="T2578" s="287">
        <v>2117431</v>
      </c>
      <c r="U2578" s="287"/>
    </row>
    <row r="2579" spans="1:21" x14ac:dyDescent="0.25">
      <c r="B2579" s="292">
        <v>1</v>
      </c>
      <c r="C2579" s="292"/>
      <c r="D2579" s="292"/>
      <c r="F2579" s="283" t="s">
        <v>200</v>
      </c>
      <c r="G2579" s="283"/>
      <c r="J2579" s="293">
        <v>2</v>
      </c>
      <c r="K2579" s="293"/>
      <c r="L2579" s="293"/>
      <c r="M2579" s="293"/>
      <c r="N2579" s="293"/>
      <c r="P2579" s="42">
        <v>1000</v>
      </c>
      <c r="R2579" s="42">
        <v>300</v>
      </c>
      <c r="T2579" s="284">
        <v>700</v>
      </c>
      <c r="U2579" s="284"/>
    </row>
    <row r="2580" spans="1:21" x14ac:dyDescent="0.25">
      <c r="B2580" s="292">
        <v>2</v>
      </c>
      <c r="C2580" s="292"/>
      <c r="D2580" s="292"/>
      <c r="F2580" s="283" t="s">
        <v>346</v>
      </c>
      <c r="G2580" s="283"/>
      <c r="J2580" s="293">
        <v>1</v>
      </c>
      <c r="K2580" s="293"/>
      <c r="L2580" s="293"/>
      <c r="M2580" s="293"/>
      <c r="N2580" s="293"/>
      <c r="P2580" s="42">
        <v>500</v>
      </c>
      <c r="R2580" s="42">
        <v>150</v>
      </c>
      <c r="T2580" s="284">
        <v>350</v>
      </c>
      <c r="U2580" s="284"/>
    </row>
    <row r="2581" spans="1:21" x14ac:dyDescent="0.25">
      <c r="B2581" s="292">
        <v>3</v>
      </c>
      <c r="C2581" s="292"/>
      <c r="D2581" s="292"/>
      <c r="F2581" s="283" t="s">
        <v>168</v>
      </c>
      <c r="G2581" s="283"/>
      <c r="J2581" s="293">
        <v>1</v>
      </c>
      <c r="K2581" s="293"/>
      <c r="L2581" s="293"/>
      <c r="M2581" s="293"/>
      <c r="N2581" s="293"/>
      <c r="P2581" s="42">
        <v>2200</v>
      </c>
      <c r="R2581" s="42">
        <v>330</v>
      </c>
      <c r="T2581" s="284">
        <v>1870</v>
      </c>
      <c r="U2581" s="284"/>
    </row>
    <row r="2582" spans="1:21" x14ac:dyDescent="0.25">
      <c r="B2582" s="292">
        <v>4</v>
      </c>
      <c r="C2582" s="292"/>
      <c r="D2582" s="292"/>
      <c r="F2582" s="283" t="s">
        <v>78</v>
      </c>
      <c r="G2582" s="283"/>
      <c r="J2582" s="293">
        <v>396</v>
      </c>
      <c r="K2582" s="293"/>
      <c r="L2582" s="293"/>
      <c r="M2582" s="293"/>
      <c r="N2582" s="293"/>
      <c r="P2582" s="42">
        <v>114840</v>
      </c>
      <c r="R2582" s="42">
        <v>114550</v>
      </c>
      <c r="T2582" s="284">
        <v>290</v>
      </c>
      <c r="U2582" s="284"/>
    </row>
    <row r="2583" spans="1:21" x14ac:dyDescent="0.25">
      <c r="B2583" s="292">
        <v>5</v>
      </c>
      <c r="C2583" s="292"/>
      <c r="D2583" s="292"/>
      <c r="F2583" s="283" t="s">
        <v>268</v>
      </c>
      <c r="G2583" s="283"/>
      <c r="J2583" s="293">
        <v>4</v>
      </c>
      <c r="K2583" s="293"/>
      <c r="L2583" s="293"/>
      <c r="M2583" s="293"/>
      <c r="N2583" s="293"/>
      <c r="P2583" s="42">
        <v>1000</v>
      </c>
      <c r="R2583" s="42">
        <v>210</v>
      </c>
      <c r="T2583" s="284">
        <v>790</v>
      </c>
      <c r="U2583" s="284"/>
    </row>
    <row r="2584" spans="1:21" x14ac:dyDescent="0.25">
      <c r="B2584" s="292">
        <v>6</v>
      </c>
      <c r="C2584" s="292"/>
      <c r="D2584" s="292"/>
      <c r="F2584" s="283" t="s">
        <v>199</v>
      </c>
      <c r="G2584" s="283"/>
      <c r="J2584" s="293">
        <v>1</v>
      </c>
      <c r="K2584" s="293"/>
      <c r="L2584" s="293"/>
      <c r="M2584" s="293"/>
      <c r="N2584" s="293"/>
      <c r="P2584" s="42">
        <v>290</v>
      </c>
      <c r="R2584" s="42">
        <v>100</v>
      </c>
      <c r="T2584" s="284">
        <v>190</v>
      </c>
      <c r="U2584" s="284"/>
    </row>
    <row r="2585" spans="1:21" x14ac:dyDescent="0.25">
      <c r="B2585" s="292">
        <v>7</v>
      </c>
      <c r="C2585" s="292"/>
      <c r="D2585" s="292"/>
      <c r="F2585" s="283" t="s">
        <v>294</v>
      </c>
      <c r="G2585" s="283"/>
      <c r="J2585" s="293">
        <v>3</v>
      </c>
      <c r="K2585" s="293"/>
      <c r="L2585" s="293"/>
      <c r="M2585" s="293"/>
      <c r="N2585" s="293"/>
      <c r="P2585" s="42">
        <v>1500</v>
      </c>
      <c r="R2585" s="42">
        <v>450</v>
      </c>
      <c r="T2585" s="284">
        <v>1050</v>
      </c>
      <c r="U2585" s="284"/>
    </row>
    <row r="2586" spans="1:21" x14ac:dyDescent="0.25">
      <c r="B2586" s="292">
        <v>8</v>
      </c>
      <c r="C2586" s="292"/>
      <c r="D2586" s="292"/>
      <c r="F2586" s="283" t="s">
        <v>165</v>
      </c>
      <c r="G2586" s="283"/>
      <c r="J2586" s="293">
        <v>3</v>
      </c>
      <c r="K2586" s="293"/>
      <c r="L2586" s="293"/>
      <c r="M2586" s="293"/>
      <c r="N2586" s="293"/>
      <c r="P2586" s="42">
        <v>1770</v>
      </c>
      <c r="R2586" s="42">
        <v>180</v>
      </c>
      <c r="T2586" s="284">
        <v>1590</v>
      </c>
      <c r="U2586" s="284"/>
    </row>
    <row r="2587" spans="1:21" x14ac:dyDescent="0.25">
      <c r="B2587" s="292">
        <v>9</v>
      </c>
      <c r="C2587" s="292"/>
      <c r="D2587" s="292"/>
      <c r="F2587" s="283" t="s">
        <v>164</v>
      </c>
      <c r="G2587" s="283"/>
      <c r="J2587" s="293">
        <v>2</v>
      </c>
      <c r="K2587" s="293"/>
      <c r="L2587" s="293"/>
      <c r="M2587" s="293"/>
      <c r="N2587" s="293"/>
      <c r="P2587" s="42">
        <v>1180</v>
      </c>
      <c r="R2587" s="42">
        <v>360</v>
      </c>
      <c r="T2587" s="284">
        <v>820</v>
      </c>
      <c r="U2587" s="284"/>
    </row>
    <row r="2588" spans="1:21" x14ac:dyDescent="0.25">
      <c r="B2588" s="292">
        <v>10</v>
      </c>
      <c r="C2588" s="292"/>
      <c r="D2588" s="292"/>
      <c r="F2588" s="283" t="s">
        <v>163</v>
      </c>
      <c r="G2588" s="283"/>
      <c r="J2588" s="293">
        <v>10</v>
      </c>
      <c r="K2588" s="293"/>
      <c r="L2588" s="293"/>
      <c r="M2588" s="293"/>
      <c r="N2588" s="293"/>
      <c r="P2588" s="42">
        <v>11900</v>
      </c>
      <c r="R2588" s="42">
        <v>737</v>
      </c>
      <c r="T2588" s="284">
        <v>11163</v>
      </c>
      <c r="U2588" s="284"/>
    </row>
    <row r="2589" spans="1:21" x14ac:dyDescent="0.25">
      <c r="B2589" s="292">
        <v>11</v>
      </c>
      <c r="C2589" s="292"/>
      <c r="D2589" s="292"/>
      <c r="F2589" s="283" t="s">
        <v>162</v>
      </c>
      <c r="G2589" s="283"/>
      <c r="J2589" s="293">
        <v>91</v>
      </c>
      <c r="K2589" s="293"/>
      <c r="L2589" s="293"/>
      <c r="M2589" s="293"/>
      <c r="N2589" s="293"/>
      <c r="P2589" s="42">
        <v>39130</v>
      </c>
      <c r="R2589" s="42">
        <v>19156</v>
      </c>
      <c r="T2589" s="284">
        <v>19974</v>
      </c>
      <c r="U2589" s="284"/>
    </row>
    <row r="2590" spans="1:21" x14ac:dyDescent="0.25">
      <c r="B2590" s="292">
        <v>12</v>
      </c>
      <c r="C2590" s="292"/>
      <c r="D2590" s="292"/>
      <c r="F2590" s="283" t="s">
        <v>198</v>
      </c>
      <c r="G2590" s="283"/>
      <c r="J2590" s="293">
        <v>1</v>
      </c>
      <c r="K2590" s="293"/>
      <c r="L2590" s="293"/>
      <c r="M2590" s="293"/>
      <c r="N2590" s="293"/>
      <c r="P2590" s="42">
        <v>290</v>
      </c>
      <c r="R2590" s="42">
        <v>80</v>
      </c>
      <c r="T2590" s="284">
        <v>210</v>
      </c>
      <c r="U2590" s="284"/>
    </row>
    <row r="2591" spans="1:21" x14ac:dyDescent="0.25">
      <c r="B2591" s="292">
        <v>13</v>
      </c>
      <c r="C2591" s="292"/>
      <c r="D2591" s="292"/>
      <c r="F2591" s="283" t="s">
        <v>160</v>
      </c>
      <c r="G2591" s="283"/>
      <c r="J2591" s="293">
        <v>59</v>
      </c>
      <c r="K2591" s="293"/>
      <c r="L2591" s="293"/>
      <c r="M2591" s="293"/>
      <c r="N2591" s="293"/>
      <c r="P2591" s="42">
        <v>17110</v>
      </c>
      <c r="R2591" s="42">
        <v>2995</v>
      </c>
      <c r="T2591" s="284">
        <v>14115</v>
      </c>
      <c r="U2591" s="284"/>
    </row>
    <row r="2592" spans="1:21" x14ac:dyDescent="0.25">
      <c r="B2592" s="292">
        <v>14</v>
      </c>
      <c r="C2592" s="292"/>
      <c r="D2592" s="292"/>
      <c r="F2592" s="283" t="s">
        <v>266</v>
      </c>
      <c r="G2592" s="283"/>
      <c r="J2592" s="293">
        <v>1</v>
      </c>
      <c r="K2592" s="293"/>
      <c r="L2592" s="293"/>
      <c r="M2592" s="293"/>
      <c r="N2592" s="293"/>
      <c r="P2592" s="42">
        <v>1350</v>
      </c>
      <c r="R2592" s="42">
        <v>400</v>
      </c>
      <c r="T2592" s="284">
        <v>950</v>
      </c>
      <c r="U2592" s="284"/>
    </row>
    <row r="2593" spans="2:21" x14ac:dyDescent="0.25">
      <c r="B2593" s="292">
        <v>15</v>
      </c>
      <c r="C2593" s="292"/>
      <c r="D2593" s="292"/>
      <c r="F2593" s="283" t="s">
        <v>158</v>
      </c>
      <c r="G2593" s="283"/>
      <c r="J2593" s="293">
        <v>933</v>
      </c>
      <c r="K2593" s="293"/>
      <c r="L2593" s="293"/>
      <c r="M2593" s="293"/>
      <c r="N2593" s="293"/>
      <c r="P2593" s="42">
        <v>513150</v>
      </c>
      <c r="R2593" s="42">
        <v>83659</v>
      </c>
      <c r="T2593" s="284">
        <v>429491</v>
      </c>
      <c r="U2593" s="284"/>
    </row>
    <row r="2594" spans="2:21" x14ac:dyDescent="0.25">
      <c r="B2594" s="292">
        <v>16</v>
      </c>
      <c r="C2594" s="292"/>
      <c r="D2594" s="292"/>
      <c r="F2594" s="283" t="s">
        <v>157</v>
      </c>
      <c r="G2594" s="283"/>
      <c r="J2594" s="293">
        <v>463</v>
      </c>
      <c r="K2594" s="293"/>
      <c r="L2594" s="293"/>
      <c r="M2594" s="293"/>
      <c r="N2594" s="293"/>
      <c r="P2594" s="42">
        <v>226870</v>
      </c>
      <c r="R2594" s="42">
        <v>87071</v>
      </c>
      <c r="T2594" s="284">
        <v>139864</v>
      </c>
      <c r="U2594" s="284"/>
    </row>
    <row r="2595" spans="2:21" x14ac:dyDescent="0.25">
      <c r="B2595" s="292">
        <v>17</v>
      </c>
      <c r="C2595" s="292"/>
      <c r="D2595" s="292"/>
      <c r="F2595" s="283" t="s">
        <v>197</v>
      </c>
      <c r="G2595" s="283"/>
      <c r="J2595" s="293">
        <v>4</v>
      </c>
      <c r="K2595" s="293"/>
      <c r="L2595" s="293"/>
      <c r="M2595" s="293"/>
      <c r="N2595" s="293"/>
      <c r="P2595" s="42">
        <v>2000</v>
      </c>
      <c r="R2595" s="42">
        <v>300</v>
      </c>
      <c r="T2595" s="284">
        <v>1700</v>
      </c>
      <c r="U2595" s="284"/>
    </row>
    <row r="2596" spans="2:21" x14ac:dyDescent="0.25">
      <c r="B2596" s="292">
        <v>18</v>
      </c>
      <c r="C2596" s="292"/>
      <c r="D2596" s="292"/>
      <c r="F2596" s="283" t="s">
        <v>293</v>
      </c>
      <c r="G2596" s="283"/>
      <c r="J2596" s="293">
        <v>4</v>
      </c>
      <c r="K2596" s="293"/>
      <c r="L2596" s="293"/>
      <c r="M2596" s="293"/>
      <c r="N2596" s="293"/>
      <c r="P2596" s="42">
        <v>2800</v>
      </c>
      <c r="R2596" s="42">
        <v>720</v>
      </c>
      <c r="T2596" s="284">
        <v>2080</v>
      </c>
      <c r="U2596" s="284"/>
    </row>
    <row r="2597" spans="2:21" x14ac:dyDescent="0.25">
      <c r="B2597" s="292">
        <v>19</v>
      </c>
      <c r="C2597" s="292"/>
      <c r="D2597" s="292"/>
      <c r="F2597" s="283" t="s">
        <v>196</v>
      </c>
      <c r="G2597" s="283"/>
      <c r="J2597" s="293">
        <v>28</v>
      </c>
      <c r="K2597" s="293"/>
      <c r="L2597" s="293"/>
      <c r="M2597" s="293"/>
      <c r="N2597" s="293"/>
      <c r="P2597" s="42">
        <v>19600</v>
      </c>
      <c r="R2597" s="42">
        <v>8600</v>
      </c>
      <c r="T2597" s="284">
        <v>11000</v>
      </c>
      <c r="U2597" s="284"/>
    </row>
    <row r="2598" spans="2:21" x14ac:dyDescent="0.25">
      <c r="B2598" s="292">
        <v>20</v>
      </c>
      <c r="C2598" s="292"/>
      <c r="D2598" s="292"/>
      <c r="F2598" s="283" t="s">
        <v>309</v>
      </c>
      <c r="G2598" s="283"/>
      <c r="J2598" s="293">
        <v>1</v>
      </c>
      <c r="K2598" s="293"/>
      <c r="L2598" s="293"/>
      <c r="M2598" s="293"/>
      <c r="N2598" s="293"/>
      <c r="P2598" s="42">
        <v>500</v>
      </c>
      <c r="R2598" s="42">
        <v>150</v>
      </c>
      <c r="T2598" s="284">
        <v>350</v>
      </c>
      <c r="U2598" s="284"/>
    </row>
    <row r="2599" spans="2:21" x14ac:dyDescent="0.25">
      <c r="B2599" s="292">
        <v>21</v>
      </c>
      <c r="C2599" s="292"/>
      <c r="D2599" s="292"/>
      <c r="F2599" s="283" t="s">
        <v>292</v>
      </c>
      <c r="G2599" s="283"/>
      <c r="J2599" s="293">
        <v>1</v>
      </c>
      <c r="K2599" s="293"/>
      <c r="L2599" s="293"/>
      <c r="M2599" s="293"/>
      <c r="N2599" s="293"/>
      <c r="P2599" s="42">
        <v>700</v>
      </c>
      <c r="R2599" s="42">
        <v>0</v>
      </c>
      <c r="T2599" s="284">
        <v>700</v>
      </c>
      <c r="U2599" s="284"/>
    </row>
    <row r="2600" spans="2:21" x14ac:dyDescent="0.25">
      <c r="B2600" s="292">
        <v>22</v>
      </c>
      <c r="C2600" s="292"/>
      <c r="D2600" s="292"/>
      <c r="F2600" s="283" t="s">
        <v>244</v>
      </c>
      <c r="G2600" s="283"/>
      <c r="J2600" s="293">
        <v>1</v>
      </c>
      <c r="K2600" s="293"/>
      <c r="L2600" s="293"/>
      <c r="M2600" s="293"/>
      <c r="N2600" s="293"/>
      <c r="P2600" s="42">
        <v>300</v>
      </c>
      <c r="R2600" s="42">
        <v>80</v>
      </c>
      <c r="T2600" s="284">
        <v>220</v>
      </c>
      <c r="U2600" s="284"/>
    </row>
    <row r="2601" spans="2:21" x14ac:dyDescent="0.25">
      <c r="B2601" s="292">
        <v>23</v>
      </c>
      <c r="C2601" s="292"/>
      <c r="D2601" s="292"/>
      <c r="F2601" s="283" t="s">
        <v>77</v>
      </c>
      <c r="G2601" s="283"/>
      <c r="J2601" s="293">
        <v>2609</v>
      </c>
      <c r="K2601" s="293"/>
      <c r="L2601" s="293"/>
      <c r="M2601" s="293"/>
      <c r="N2601" s="293"/>
      <c r="P2601" s="42">
        <v>1047100</v>
      </c>
      <c r="R2601" s="42">
        <v>1047100</v>
      </c>
      <c r="T2601" s="284">
        <v>0</v>
      </c>
      <c r="U2601" s="284"/>
    </row>
    <row r="2602" spans="2:21" x14ac:dyDescent="0.25">
      <c r="B2602" s="292">
        <v>24</v>
      </c>
      <c r="C2602" s="292"/>
      <c r="D2602" s="292"/>
      <c r="F2602" s="283" t="s">
        <v>242</v>
      </c>
      <c r="G2602" s="283"/>
      <c r="J2602" s="293">
        <v>6</v>
      </c>
      <c r="K2602" s="293"/>
      <c r="L2602" s="293"/>
      <c r="M2602" s="293"/>
      <c r="N2602" s="293"/>
      <c r="P2602" s="42">
        <v>3000</v>
      </c>
      <c r="R2602" s="42">
        <v>3000</v>
      </c>
      <c r="T2602" s="284">
        <v>0</v>
      </c>
      <c r="U2602" s="284"/>
    </row>
    <row r="2603" spans="2:21" x14ac:dyDescent="0.25">
      <c r="B2603" s="292">
        <v>25</v>
      </c>
      <c r="C2603" s="292"/>
      <c r="D2603" s="292"/>
      <c r="F2603" s="283" t="s">
        <v>403</v>
      </c>
      <c r="G2603" s="283"/>
      <c r="J2603" s="293">
        <v>3</v>
      </c>
      <c r="K2603" s="293"/>
      <c r="L2603" s="293"/>
      <c r="M2603" s="293"/>
      <c r="N2603" s="293"/>
      <c r="P2603" s="42">
        <v>2250</v>
      </c>
      <c r="R2603" s="42">
        <v>2250</v>
      </c>
      <c r="T2603" s="284">
        <v>0</v>
      </c>
      <c r="U2603" s="284"/>
    </row>
    <row r="2604" spans="2:21" x14ac:dyDescent="0.25">
      <c r="B2604" s="292">
        <v>26</v>
      </c>
      <c r="C2604" s="292"/>
      <c r="D2604" s="292"/>
      <c r="F2604" s="283" t="s">
        <v>76</v>
      </c>
      <c r="G2604" s="283"/>
      <c r="J2604" s="293">
        <v>10</v>
      </c>
      <c r="K2604" s="293"/>
      <c r="L2604" s="293"/>
      <c r="M2604" s="293"/>
      <c r="N2604" s="293"/>
      <c r="P2604" s="42">
        <v>6000</v>
      </c>
      <c r="R2604" s="42">
        <v>6000</v>
      </c>
      <c r="T2604" s="284">
        <v>0</v>
      </c>
      <c r="U2604" s="284"/>
    </row>
    <row r="2605" spans="2:21" x14ac:dyDescent="0.25">
      <c r="B2605" s="292">
        <v>27</v>
      </c>
      <c r="C2605" s="292"/>
      <c r="D2605" s="292"/>
      <c r="F2605" s="283" t="s">
        <v>156</v>
      </c>
      <c r="G2605" s="283"/>
      <c r="J2605" s="293">
        <v>20</v>
      </c>
      <c r="K2605" s="293"/>
      <c r="L2605" s="293"/>
      <c r="M2605" s="293"/>
      <c r="N2605" s="293"/>
      <c r="P2605" s="42">
        <v>3800</v>
      </c>
      <c r="R2605" s="42">
        <v>1100</v>
      </c>
      <c r="T2605" s="284">
        <v>2700</v>
      </c>
      <c r="U2605" s="284"/>
    </row>
    <row r="2606" spans="2:21" x14ac:dyDescent="0.25">
      <c r="B2606" s="292">
        <v>28</v>
      </c>
      <c r="C2606" s="292"/>
      <c r="D2606" s="292"/>
      <c r="F2606" s="283" t="s">
        <v>342</v>
      </c>
      <c r="G2606" s="283"/>
      <c r="J2606" s="293">
        <v>1</v>
      </c>
      <c r="K2606" s="293"/>
      <c r="L2606" s="293"/>
      <c r="M2606" s="293"/>
      <c r="N2606" s="293"/>
      <c r="P2606" s="42">
        <v>500</v>
      </c>
      <c r="R2606" s="42">
        <v>0</v>
      </c>
      <c r="T2606" s="284">
        <v>500</v>
      </c>
      <c r="U2606" s="284"/>
    </row>
    <row r="2607" spans="2:21" x14ac:dyDescent="0.25">
      <c r="B2607" s="292">
        <v>29</v>
      </c>
      <c r="C2607" s="292"/>
      <c r="D2607" s="292"/>
      <c r="F2607" s="283" t="s">
        <v>155</v>
      </c>
      <c r="G2607" s="283"/>
      <c r="J2607" s="293">
        <v>112</v>
      </c>
      <c r="K2607" s="293"/>
      <c r="L2607" s="293"/>
      <c r="M2607" s="293"/>
      <c r="N2607" s="293"/>
      <c r="P2607" s="42">
        <v>28000</v>
      </c>
      <c r="R2607" s="42">
        <v>7500</v>
      </c>
      <c r="T2607" s="284">
        <v>20500</v>
      </c>
      <c r="U2607" s="284"/>
    </row>
    <row r="2608" spans="2:21" x14ac:dyDescent="0.25">
      <c r="B2608" s="292">
        <v>30</v>
      </c>
      <c r="C2608" s="292"/>
      <c r="D2608" s="292"/>
      <c r="F2608" s="283" t="s">
        <v>154</v>
      </c>
      <c r="G2608" s="283"/>
      <c r="J2608" s="293">
        <v>4</v>
      </c>
      <c r="K2608" s="293"/>
      <c r="L2608" s="293"/>
      <c r="M2608" s="293"/>
      <c r="N2608" s="293"/>
      <c r="P2608" s="42">
        <v>3560</v>
      </c>
      <c r="R2608" s="42">
        <v>390</v>
      </c>
      <c r="T2608" s="284">
        <v>3170</v>
      </c>
      <c r="U2608" s="284"/>
    </row>
    <row r="2609" spans="2:21" x14ac:dyDescent="0.25">
      <c r="B2609" s="292">
        <v>31</v>
      </c>
      <c r="C2609" s="292"/>
      <c r="D2609" s="292"/>
      <c r="F2609" s="283" t="s">
        <v>153</v>
      </c>
      <c r="G2609" s="283"/>
      <c r="J2609" s="293">
        <v>2</v>
      </c>
      <c r="K2609" s="293"/>
      <c r="L2609" s="293"/>
      <c r="M2609" s="293"/>
      <c r="N2609" s="293"/>
      <c r="P2609" s="42">
        <v>2360</v>
      </c>
      <c r="R2609" s="42">
        <v>0</v>
      </c>
      <c r="T2609" s="284">
        <v>2360</v>
      </c>
      <c r="U2609" s="284"/>
    </row>
    <row r="2610" spans="2:21" x14ac:dyDescent="0.25">
      <c r="B2610" s="292">
        <v>32</v>
      </c>
      <c r="C2610" s="292"/>
      <c r="D2610" s="292"/>
      <c r="F2610" s="283" t="s">
        <v>322</v>
      </c>
      <c r="G2610" s="283"/>
      <c r="J2610" s="293">
        <v>1</v>
      </c>
      <c r="K2610" s="293"/>
      <c r="L2610" s="293"/>
      <c r="M2610" s="293"/>
      <c r="N2610" s="293"/>
      <c r="P2610" s="42">
        <v>1180</v>
      </c>
      <c r="R2610" s="42">
        <v>118</v>
      </c>
      <c r="T2610" s="284">
        <v>1062</v>
      </c>
      <c r="U2610" s="284"/>
    </row>
    <row r="2611" spans="2:21" x14ac:dyDescent="0.25">
      <c r="B2611" s="292">
        <v>33</v>
      </c>
      <c r="C2611" s="292"/>
      <c r="D2611" s="292"/>
      <c r="F2611" s="283" t="s">
        <v>195</v>
      </c>
      <c r="G2611" s="283"/>
      <c r="J2611" s="293">
        <v>1</v>
      </c>
      <c r="K2611" s="293"/>
      <c r="L2611" s="293"/>
      <c r="M2611" s="293"/>
      <c r="N2611" s="293"/>
      <c r="P2611" s="42">
        <v>1000</v>
      </c>
      <c r="R2611" s="42">
        <v>250</v>
      </c>
      <c r="T2611" s="284">
        <v>750</v>
      </c>
      <c r="U2611" s="284"/>
    </row>
    <row r="2612" spans="2:21" x14ac:dyDescent="0.25">
      <c r="B2612" s="292">
        <v>34</v>
      </c>
      <c r="C2612" s="292"/>
      <c r="D2612" s="292"/>
      <c r="F2612" s="283" t="s">
        <v>194</v>
      </c>
      <c r="G2612" s="283"/>
      <c r="J2612" s="293">
        <v>2</v>
      </c>
      <c r="K2612" s="293"/>
      <c r="L2612" s="293"/>
      <c r="M2612" s="293"/>
      <c r="N2612" s="293"/>
      <c r="P2612" s="42">
        <v>1400</v>
      </c>
      <c r="R2612" s="42">
        <v>313</v>
      </c>
      <c r="T2612" s="284">
        <v>1087</v>
      </c>
      <c r="U2612" s="284"/>
    </row>
    <row r="2613" spans="2:21" x14ac:dyDescent="0.25">
      <c r="B2613" s="292">
        <v>35</v>
      </c>
      <c r="C2613" s="292"/>
      <c r="D2613" s="292"/>
      <c r="F2613" s="283" t="s">
        <v>289</v>
      </c>
      <c r="G2613" s="283"/>
      <c r="J2613" s="293">
        <v>6</v>
      </c>
      <c r="K2613" s="293"/>
      <c r="L2613" s="293"/>
      <c r="M2613" s="293"/>
      <c r="N2613" s="293"/>
      <c r="P2613" s="42">
        <v>3000</v>
      </c>
      <c r="R2613" s="42">
        <v>820</v>
      </c>
      <c r="T2613" s="284">
        <v>2180</v>
      </c>
      <c r="U2613" s="284"/>
    </row>
    <row r="2614" spans="2:21" x14ac:dyDescent="0.25">
      <c r="B2614" s="292">
        <v>36</v>
      </c>
      <c r="C2614" s="292"/>
      <c r="D2614" s="292"/>
      <c r="F2614" s="283" t="s">
        <v>320</v>
      </c>
      <c r="G2614" s="283"/>
      <c r="J2614" s="293">
        <v>6</v>
      </c>
      <c r="K2614" s="293"/>
      <c r="L2614" s="293"/>
      <c r="M2614" s="293"/>
      <c r="N2614" s="293"/>
      <c r="P2614" s="42">
        <v>3000</v>
      </c>
      <c r="R2614" s="42">
        <v>900</v>
      </c>
      <c r="T2614" s="284">
        <v>2100</v>
      </c>
      <c r="U2614" s="284"/>
    </row>
    <row r="2615" spans="2:21" x14ac:dyDescent="0.25">
      <c r="B2615" s="292">
        <v>37</v>
      </c>
      <c r="C2615" s="292"/>
      <c r="D2615" s="292"/>
      <c r="F2615" s="283" t="s">
        <v>152</v>
      </c>
      <c r="G2615" s="283"/>
      <c r="J2615" s="293">
        <v>47</v>
      </c>
      <c r="K2615" s="293"/>
      <c r="L2615" s="293"/>
      <c r="M2615" s="293"/>
      <c r="N2615" s="293"/>
      <c r="P2615" s="42">
        <v>27730</v>
      </c>
      <c r="R2615" s="42">
        <v>7073</v>
      </c>
      <c r="T2615" s="284">
        <v>20657</v>
      </c>
      <c r="U2615" s="284"/>
    </row>
    <row r="2616" spans="2:21" x14ac:dyDescent="0.25">
      <c r="B2616" s="292">
        <v>38</v>
      </c>
      <c r="C2616" s="292"/>
      <c r="D2616" s="292"/>
      <c r="F2616" s="283" t="s">
        <v>151</v>
      </c>
      <c r="G2616" s="283"/>
      <c r="J2616" s="293">
        <v>68</v>
      </c>
      <c r="K2616" s="293"/>
      <c r="L2616" s="293"/>
      <c r="M2616" s="293"/>
      <c r="N2616" s="293"/>
      <c r="P2616" s="42">
        <v>15640</v>
      </c>
      <c r="R2616" s="42">
        <v>2259</v>
      </c>
      <c r="T2616" s="284">
        <v>13381</v>
      </c>
      <c r="U2616" s="284"/>
    </row>
    <row r="2617" spans="2:21" x14ac:dyDescent="0.25">
      <c r="B2617" s="292">
        <v>39</v>
      </c>
      <c r="C2617" s="292"/>
      <c r="D2617" s="292"/>
      <c r="F2617" s="283" t="s">
        <v>150</v>
      </c>
      <c r="G2617" s="283"/>
      <c r="J2617" s="293">
        <v>99</v>
      </c>
      <c r="K2617" s="293"/>
      <c r="L2617" s="293"/>
      <c r="M2617" s="293"/>
      <c r="N2617" s="293"/>
      <c r="P2617" s="42">
        <v>16830</v>
      </c>
      <c r="R2617" s="42">
        <v>3323</v>
      </c>
      <c r="T2617" s="284">
        <v>13507</v>
      </c>
      <c r="U2617" s="284"/>
    </row>
    <row r="2618" spans="2:21" x14ac:dyDescent="0.25">
      <c r="B2618" s="292">
        <v>40</v>
      </c>
      <c r="C2618" s="292"/>
      <c r="D2618" s="292"/>
      <c r="F2618" s="283" t="s">
        <v>236</v>
      </c>
      <c r="G2618" s="283"/>
      <c r="J2618" s="293">
        <v>1</v>
      </c>
      <c r="K2618" s="293"/>
      <c r="L2618" s="293"/>
      <c r="M2618" s="293"/>
      <c r="N2618" s="293"/>
      <c r="P2618" s="42">
        <v>800</v>
      </c>
      <c r="R2618" s="42">
        <v>200</v>
      </c>
      <c r="T2618" s="284">
        <v>600</v>
      </c>
      <c r="U2618" s="284"/>
    </row>
    <row r="2619" spans="2:21" x14ac:dyDescent="0.25">
      <c r="B2619" s="292">
        <v>41</v>
      </c>
      <c r="C2619" s="292"/>
      <c r="D2619" s="292"/>
      <c r="F2619" s="283" t="s">
        <v>148</v>
      </c>
      <c r="G2619" s="283"/>
      <c r="J2619" s="293">
        <v>3</v>
      </c>
      <c r="K2619" s="293"/>
      <c r="L2619" s="293"/>
      <c r="M2619" s="293"/>
      <c r="N2619" s="293"/>
      <c r="P2619" s="42">
        <v>2940</v>
      </c>
      <c r="R2619" s="42">
        <v>450</v>
      </c>
      <c r="T2619" s="284">
        <v>2490</v>
      </c>
      <c r="U2619" s="284"/>
    </row>
    <row r="2620" spans="2:21" x14ac:dyDescent="0.25">
      <c r="B2620" s="292">
        <v>42</v>
      </c>
      <c r="C2620" s="292"/>
      <c r="D2620" s="292"/>
      <c r="F2620" s="283" t="s">
        <v>402</v>
      </c>
      <c r="G2620" s="283"/>
      <c r="J2620" s="293">
        <v>1</v>
      </c>
      <c r="K2620" s="293"/>
      <c r="L2620" s="293"/>
      <c r="M2620" s="293"/>
      <c r="N2620" s="293"/>
      <c r="P2620" s="42">
        <v>1420</v>
      </c>
      <c r="R2620" s="42">
        <v>0</v>
      </c>
      <c r="T2620" s="284">
        <v>1420</v>
      </c>
      <c r="U2620" s="284"/>
    </row>
    <row r="2621" spans="2:21" x14ac:dyDescent="0.25">
      <c r="B2621" s="292">
        <v>43</v>
      </c>
      <c r="C2621" s="292"/>
      <c r="D2621" s="292"/>
      <c r="F2621" s="283" t="s">
        <v>288</v>
      </c>
      <c r="G2621" s="283"/>
      <c r="J2621" s="293">
        <v>5</v>
      </c>
      <c r="K2621" s="293"/>
      <c r="L2621" s="293"/>
      <c r="M2621" s="293"/>
      <c r="N2621" s="293"/>
      <c r="P2621" s="42">
        <v>4100</v>
      </c>
      <c r="R2621" s="42">
        <v>1972</v>
      </c>
      <c r="T2621" s="284">
        <v>2128</v>
      </c>
      <c r="U2621" s="284"/>
    </row>
    <row r="2622" spans="2:21" x14ac:dyDescent="0.25">
      <c r="B2622" s="292">
        <v>44</v>
      </c>
      <c r="C2622" s="292"/>
      <c r="D2622" s="292"/>
      <c r="F2622" s="283" t="s">
        <v>234</v>
      </c>
      <c r="G2622" s="283"/>
      <c r="J2622" s="293">
        <v>10</v>
      </c>
      <c r="K2622" s="293"/>
      <c r="L2622" s="293"/>
      <c r="M2622" s="293"/>
      <c r="N2622" s="293"/>
      <c r="P2622" s="42">
        <v>8000</v>
      </c>
      <c r="R2622" s="42">
        <v>3920</v>
      </c>
      <c r="T2622" s="284">
        <v>4080</v>
      </c>
      <c r="U2622" s="284"/>
    </row>
    <row r="2623" spans="2:21" x14ac:dyDescent="0.25">
      <c r="B2623" s="292">
        <v>45</v>
      </c>
      <c r="C2623" s="292"/>
      <c r="D2623" s="292"/>
      <c r="F2623" s="283" t="s">
        <v>287</v>
      </c>
      <c r="G2623" s="283"/>
      <c r="J2623" s="293">
        <v>1</v>
      </c>
      <c r="K2623" s="293"/>
      <c r="L2623" s="293"/>
      <c r="M2623" s="293"/>
      <c r="N2623" s="293"/>
      <c r="P2623" s="42">
        <v>800</v>
      </c>
      <c r="R2623" s="42">
        <v>450</v>
      </c>
      <c r="T2623" s="284">
        <v>350</v>
      </c>
      <c r="U2623" s="284"/>
    </row>
    <row r="2624" spans="2:21" x14ac:dyDescent="0.25">
      <c r="B2624" s="292">
        <v>46</v>
      </c>
      <c r="C2624" s="292"/>
      <c r="D2624" s="292"/>
      <c r="F2624" s="283" t="s">
        <v>286</v>
      </c>
      <c r="G2624" s="283"/>
      <c r="J2624" s="293">
        <v>1</v>
      </c>
      <c r="K2624" s="293"/>
      <c r="L2624" s="293"/>
      <c r="M2624" s="293"/>
      <c r="N2624" s="293"/>
      <c r="P2624" s="42">
        <v>800</v>
      </c>
      <c r="R2624" s="42">
        <v>450</v>
      </c>
      <c r="T2624" s="284">
        <v>350</v>
      </c>
      <c r="U2624" s="284"/>
    </row>
    <row r="2625" spans="2:21" x14ac:dyDescent="0.25">
      <c r="B2625" s="292">
        <v>47</v>
      </c>
      <c r="C2625" s="292"/>
      <c r="D2625" s="292"/>
      <c r="F2625" s="283" t="s">
        <v>233</v>
      </c>
      <c r="G2625" s="283"/>
      <c r="J2625" s="293">
        <v>2</v>
      </c>
      <c r="K2625" s="293"/>
      <c r="L2625" s="293"/>
      <c r="M2625" s="293"/>
      <c r="N2625" s="293"/>
      <c r="P2625" s="42">
        <v>1960</v>
      </c>
      <c r="R2625" s="42">
        <v>300</v>
      </c>
      <c r="T2625" s="284">
        <v>1660</v>
      </c>
      <c r="U2625" s="284"/>
    </row>
    <row r="2626" spans="2:21" x14ac:dyDescent="0.25">
      <c r="B2626" s="292">
        <v>48</v>
      </c>
      <c r="C2626" s="292"/>
      <c r="D2626" s="292"/>
      <c r="F2626" s="283" t="s">
        <v>232</v>
      </c>
      <c r="G2626" s="283"/>
      <c r="J2626" s="293">
        <v>3</v>
      </c>
      <c r="K2626" s="293"/>
      <c r="L2626" s="293"/>
      <c r="M2626" s="293"/>
      <c r="N2626" s="293"/>
      <c r="P2626" s="42">
        <v>2940</v>
      </c>
      <c r="R2626" s="42">
        <v>450</v>
      </c>
      <c r="T2626" s="284">
        <v>2490</v>
      </c>
      <c r="U2626" s="284"/>
    </row>
    <row r="2627" spans="2:21" x14ac:dyDescent="0.25">
      <c r="B2627" s="292">
        <v>49</v>
      </c>
      <c r="C2627" s="292"/>
      <c r="D2627" s="292"/>
      <c r="F2627" s="283" t="s">
        <v>193</v>
      </c>
      <c r="G2627" s="283"/>
      <c r="J2627" s="293">
        <v>5</v>
      </c>
      <c r="K2627" s="293"/>
      <c r="L2627" s="293"/>
      <c r="M2627" s="293"/>
      <c r="N2627" s="293"/>
      <c r="P2627" s="42">
        <v>4450</v>
      </c>
      <c r="R2627" s="42">
        <v>568</v>
      </c>
      <c r="T2627" s="284">
        <v>3882</v>
      </c>
      <c r="U2627" s="284"/>
    </row>
    <row r="2628" spans="2:21" x14ac:dyDescent="0.25">
      <c r="B2628" s="292">
        <v>50</v>
      </c>
      <c r="C2628" s="292"/>
      <c r="D2628" s="292"/>
      <c r="F2628" s="283" t="s">
        <v>142</v>
      </c>
      <c r="G2628" s="283"/>
      <c r="J2628" s="293">
        <v>5</v>
      </c>
      <c r="K2628" s="293"/>
      <c r="L2628" s="293"/>
      <c r="M2628" s="293"/>
      <c r="N2628" s="293"/>
      <c r="P2628" s="42">
        <v>1750</v>
      </c>
      <c r="R2628" s="42">
        <v>750</v>
      </c>
      <c r="T2628" s="284">
        <v>1000</v>
      </c>
      <c r="U2628" s="284"/>
    </row>
    <row r="2629" spans="2:21" x14ac:dyDescent="0.25">
      <c r="B2629" s="292">
        <v>51</v>
      </c>
      <c r="C2629" s="292"/>
      <c r="D2629" s="292"/>
      <c r="F2629" s="283" t="s">
        <v>75</v>
      </c>
      <c r="G2629" s="283"/>
      <c r="J2629" s="293">
        <v>2848</v>
      </c>
      <c r="K2629" s="293"/>
      <c r="L2629" s="293"/>
      <c r="M2629" s="293"/>
      <c r="N2629" s="293"/>
      <c r="P2629" s="42">
        <v>7120000</v>
      </c>
      <c r="R2629" s="42">
        <v>7120000</v>
      </c>
      <c r="T2629" s="284">
        <v>0</v>
      </c>
      <c r="U2629" s="284"/>
    </row>
    <row r="2630" spans="2:21" x14ac:dyDescent="0.25">
      <c r="B2630" s="292">
        <v>52</v>
      </c>
      <c r="C2630" s="292"/>
      <c r="D2630" s="292"/>
      <c r="F2630" s="283" t="s">
        <v>140</v>
      </c>
      <c r="G2630" s="283"/>
      <c r="J2630" s="293">
        <v>7</v>
      </c>
      <c r="K2630" s="293"/>
      <c r="L2630" s="293"/>
      <c r="M2630" s="293"/>
      <c r="N2630" s="293"/>
      <c r="P2630" s="42">
        <v>2030</v>
      </c>
      <c r="R2630" s="42">
        <v>80</v>
      </c>
      <c r="T2630" s="284">
        <v>1950</v>
      </c>
      <c r="U2630" s="284"/>
    </row>
    <row r="2631" spans="2:21" x14ac:dyDescent="0.25">
      <c r="B2631" s="292">
        <v>53</v>
      </c>
      <c r="C2631" s="292"/>
      <c r="D2631" s="292"/>
      <c r="F2631" s="283" t="s">
        <v>139</v>
      </c>
      <c r="G2631" s="283"/>
      <c r="J2631" s="293">
        <v>4</v>
      </c>
      <c r="K2631" s="293"/>
      <c r="L2631" s="293"/>
      <c r="M2631" s="293"/>
      <c r="N2631" s="293"/>
      <c r="P2631" s="42">
        <v>1080</v>
      </c>
      <c r="R2631" s="42">
        <v>80</v>
      </c>
      <c r="T2631" s="284">
        <v>1000</v>
      </c>
      <c r="U2631" s="284"/>
    </row>
    <row r="2632" spans="2:21" x14ac:dyDescent="0.25">
      <c r="B2632" s="292">
        <v>54</v>
      </c>
      <c r="C2632" s="292"/>
      <c r="D2632" s="292"/>
      <c r="F2632" s="283" t="s">
        <v>302</v>
      </c>
      <c r="G2632" s="283"/>
      <c r="J2632" s="293">
        <v>3</v>
      </c>
      <c r="K2632" s="293"/>
      <c r="L2632" s="293"/>
      <c r="M2632" s="293"/>
      <c r="N2632" s="293"/>
      <c r="P2632" s="42">
        <v>2400</v>
      </c>
      <c r="R2632" s="42">
        <v>750</v>
      </c>
      <c r="T2632" s="284">
        <v>1650</v>
      </c>
      <c r="U2632" s="284"/>
    </row>
    <row r="2633" spans="2:21" x14ac:dyDescent="0.25">
      <c r="B2633" s="292">
        <v>55</v>
      </c>
      <c r="C2633" s="292"/>
      <c r="D2633" s="292"/>
      <c r="F2633" s="283" t="s">
        <v>138</v>
      </c>
      <c r="G2633" s="283"/>
      <c r="J2633" s="293">
        <v>2</v>
      </c>
      <c r="K2633" s="293"/>
      <c r="L2633" s="293"/>
      <c r="M2633" s="293"/>
      <c r="N2633" s="293"/>
      <c r="P2633" s="42">
        <v>1600</v>
      </c>
      <c r="R2633" s="42">
        <v>900</v>
      </c>
      <c r="T2633" s="284">
        <v>700</v>
      </c>
      <c r="U2633" s="284"/>
    </row>
    <row r="2634" spans="2:21" x14ac:dyDescent="0.25">
      <c r="B2634" s="292">
        <v>56</v>
      </c>
      <c r="C2634" s="292"/>
      <c r="D2634" s="292"/>
      <c r="F2634" s="283" t="s">
        <v>137</v>
      </c>
      <c r="G2634" s="283"/>
      <c r="J2634" s="293">
        <v>3</v>
      </c>
      <c r="K2634" s="293"/>
      <c r="L2634" s="293"/>
      <c r="M2634" s="293"/>
      <c r="N2634" s="293"/>
      <c r="P2634" s="42">
        <v>2400</v>
      </c>
      <c r="R2634" s="42">
        <v>1350</v>
      </c>
      <c r="T2634" s="284">
        <v>1050</v>
      </c>
      <c r="U2634" s="284"/>
    </row>
    <row r="2635" spans="2:21" x14ac:dyDescent="0.25">
      <c r="B2635" s="292">
        <v>57</v>
      </c>
      <c r="C2635" s="292"/>
      <c r="D2635" s="292"/>
      <c r="F2635" s="283" t="s">
        <v>136</v>
      </c>
      <c r="G2635" s="283"/>
      <c r="J2635" s="293">
        <v>99</v>
      </c>
      <c r="K2635" s="293"/>
      <c r="L2635" s="293"/>
      <c r="M2635" s="293"/>
      <c r="N2635" s="293"/>
      <c r="P2635" s="42">
        <v>84150</v>
      </c>
      <c r="R2635" s="42">
        <v>15034</v>
      </c>
      <c r="T2635" s="284">
        <v>69116</v>
      </c>
      <c r="U2635" s="284"/>
    </row>
    <row r="2636" spans="2:21" x14ac:dyDescent="0.25">
      <c r="B2636" s="292">
        <v>58</v>
      </c>
      <c r="C2636" s="292"/>
      <c r="D2636" s="292"/>
      <c r="F2636" s="283" t="s">
        <v>74</v>
      </c>
      <c r="G2636" s="283"/>
      <c r="J2636" s="293">
        <v>251</v>
      </c>
      <c r="K2636" s="293"/>
      <c r="L2636" s="293"/>
      <c r="M2636" s="293"/>
      <c r="N2636" s="293"/>
      <c r="P2636" s="42">
        <v>213350</v>
      </c>
      <c r="R2636" s="42">
        <v>213350</v>
      </c>
      <c r="T2636" s="284">
        <v>0</v>
      </c>
      <c r="U2636" s="284"/>
    </row>
    <row r="2637" spans="2:21" x14ac:dyDescent="0.25">
      <c r="B2637" s="292">
        <v>59</v>
      </c>
      <c r="C2637" s="292"/>
      <c r="D2637" s="292"/>
      <c r="F2637" s="283" t="s">
        <v>352</v>
      </c>
      <c r="G2637" s="283"/>
      <c r="J2637" s="293">
        <v>4</v>
      </c>
      <c r="K2637" s="293"/>
      <c r="L2637" s="293"/>
      <c r="M2637" s="293"/>
      <c r="N2637" s="293"/>
      <c r="P2637" s="42">
        <v>3200</v>
      </c>
      <c r="R2637" s="42">
        <v>1800</v>
      </c>
      <c r="T2637" s="284">
        <v>1400</v>
      </c>
      <c r="U2637" s="284"/>
    </row>
    <row r="2638" spans="2:21" x14ac:dyDescent="0.25">
      <c r="B2638" s="292">
        <v>60</v>
      </c>
      <c r="C2638" s="292"/>
      <c r="D2638" s="292"/>
      <c r="F2638" s="283" t="s">
        <v>351</v>
      </c>
      <c r="G2638" s="283"/>
      <c r="J2638" s="293">
        <v>2</v>
      </c>
      <c r="K2638" s="293"/>
      <c r="L2638" s="293"/>
      <c r="M2638" s="293"/>
      <c r="N2638" s="293"/>
      <c r="P2638" s="42">
        <v>1600</v>
      </c>
      <c r="R2638" s="42">
        <v>900</v>
      </c>
      <c r="T2638" s="284">
        <v>700</v>
      </c>
      <c r="U2638" s="284"/>
    </row>
    <row r="2639" spans="2:21" x14ac:dyDescent="0.25">
      <c r="B2639" s="292">
        <v>61</v>
      </c>
      <c r="C2639" s="292"/>
      <c r="D2639" s="292"/>
      <c r="F2639" s="283" t="s">
        <v>190</v>
      </c>
      <c r="G2639" s="283"/>
      <c r="J2639" s="293">
        <v>23</v>
      </c>
      <c r="K2639" s="293"/>
      <c r="L2639" s="293"/>
      <c r="M2639" s="293"/>
      <c r="N2639" s="293"/>
      <c r="P2639" s="42">
        <v>36110</v>
      </c>
      <c r="R2639" s="42">
        <v>4316</v>
      </c>
      <c r="T2639" s="284">
        <v>31794</v>
      </c>
      <c r="U2639" s="284"/>
    </row>
    <row r="2640" spans="2:21" x14ac:dyDescent="0.25">
      <c r="B2640" s="292">
        <v>62</v>
      </c>
      <c r="C2640" s="292"/>
      <c r="D2640" s="292"/>
      <c r="F2640" s="283" t="s">
        <v>135</v>
      </c>
      <c r="G2640" s="283"/>
      <c r="J2640" s="293">
        <v>16</v>
      </c>
      <c r="K2640" s="293"/>
      <c r="L2640" s="293"/>
      <c r="M2640" s="293"/>
      <c r="N2640" s="293"/>
      <c r="P2640" s="42">
        <v>15200</v>
      </c>
      <c r="R2640" s="42">
        <v>4200</v>
      </c>
      <c r="T2640" s="284">
        <v>11000</v>
      </c>
      <c r="U2640" s="284"/>
    </row>
    <row r="2641" spans="2:21" x14ac:dyDescent="0.25">
      <c r="B2641" s="292">
        <v>63</v>
      </c>
      <c r="C2641" s="292"/>
      <c r="D2641" s="292"/>
      <c r="F2641" s="283" t="s">
        <v>134</v>
      </c>
      <c r="G2641" s="283"/>
      <c r="J2641" s="293">
        <v>1</v>
      </c>
      <c r="K2641" s="293"/>
      <c r="L2641" s="293"/>
      <c r="M2641" s="293"/>
      <c r="N2641" s="293"/>
      <c r="P2641" s="42">
        <v>3700</v>
      </c>
      <c r="R2641" s="42">
        <v>800</v>
      </c>
      <c r="T2641" s="284">
        <v>2900</v>
      </c>
      <c r="U2641" s="284"/>
    </row>
    <row r="2642" spans="2:21" x14ac:dyDescent="0.25">
      <c r="B2642" s="292">
        <v>64</v>
      </c>
      <c r="C2642" s="292"/>
      <c r="D2642" s="292"/>
      <c r="F2642" s="283" t="s">
        <v>229</v>
      </c>
      <c r="G2642" s="283"/>
      <c r="J2642" s="293">
        <v>1</v>
      </c>
      <c r="K2642" s="293"/>
      <c r="L2642" s="293"/>
      <c r="M2642" s="293"/>
      <c r="N2642" s="293"/>
      <c r="P2642" s="42">
        <v>7000</v>
      </c>
      <c r="R2642" s="42">
        <v>3100</v>
      </c>
      <c r="T2642" s="284">
        <v>3900</v>
      </c>
      <c r="U2642" s="284"/>
    </row>
    <row r="2643" spans="2:21" x14ac:dyDescent="0.25">
      <c r="B2643" s="292">
        <v>65</v>
      </c>
      <c r="C2643" s="292"/>
      <c r="D2643" s="292"/>
      <c r="F2643" s="283" t="s">
        <v>132</v>
      </c>
      <c r="G2643" s="283"/>
      <c r="J2643" s="293">
        <v>21</v>
      </c>
      <c r="K2643" s="293"/>
      <c r="L2643" s="293"/>
      <c r="M2643" s="293"/>
      <c r="N2643" s="293"/>
      <c r="P2643" s="42">
        <v>26040</v>
      </c>
      <c r="R2643" s="42">
        <v>6660</v>
      </c>
      <c r="T2643" s="284">
        <v>19380</v>
      </c>
      <c r="U2643" s="284"/>
    </row>
    <row r="2644" spans="2:21" x14ac:dyDescent="0.25">
      <c r="B2644" s="292">
        <v>66</v>
      </c>
      <c r="C2644" s="292"/>
      <c r="D2644" s="292"/>
      <c r="F2644" s="283" t="s">
        <v>131</v>
      </c>
      <c r="G2644" s="283"/>
      <c r="J2644" s="293">
        <v>5</v>
      </c>
      <c r="K2644" s="293"/>
      <c r="L2644" s="293"/>
      <c r="M2644" s="293"/>
      <c r="N2644" s="293"/>
      <c r="P2644" s="42">
        <v>18500</v>
      </c>
      <c r="R2644" s="42">
        <v>3200</v>
      </c>
      <c r="T2644" s="284">
        <v>15300</v>
      </c>
      <c r="U2644" s="284"/>
    </row>
    <row r="2645" spans="2:21" x14ac:dyDescent="0.25">
      <c r="B2645" s="292">
        <v>67</v>
      </c>
      <c r="C2645" s="292"/>
      <c r="D2645" s="292"/>
      <c r="F2645" s="283" t="s">
        <v>130</v>
      </c>
      <c r="G2645" s="283"/>
      <c r="J2645" s="293">
        <v>11</v>
      </c>
      <c r="K2645" s="293"/>
      <c r="L2645" s="293"/>
      <c r="M2645" s="293"/>
      <c r="N2645" s="293"/>
      <c r="P2645" s="42">
        <v>88000</v>
      </c>
      <c r="R2645" s="42">
        <v>45100</v>
      </c>
      <c r="T2645" s="284">
        <v>42900</v>
      </c>
      <c r="U2645" s="284"/>
    </row>
    <row r="2646" spans="2:21" x14ac:dyDescent="0.25">
      <c r="B2646" s="292">
        <v>68</v>
      </c>
      <c r="C2646" s="292"/>
      <c r="D2646" s="292"/>
      <c r="F2646" s="283" t="s">
        <v>185</v>
      </c>
      <c r="G2646" s="283"/>
      <c r="J2646" s="293">
        <v>3</v>
      </c>
      <c r="K2646" s="293"/>
      <c r="L2646" s="293"/>
      <c r="M2646" s="293"/>
      <c r="N2646" s="293"/>
      <c r="P2646" s="42">
        <v>2400</v>
      </c>
      <c r="R2646" s="42">
        <v>1100</v>
      </c>
      <c r="T2646" s="284">
        <v>1300</v>
      </c>
      <c r="U2646" s="284"/>
    </row>
    <row r="2647" spans="2:21" x14ac:dyDescent="0.25">
      <c r="B2647" s="292">
        <v>69</v>
      </c>
      <c r="C2647" s="292"/>
      <c r="D2647" s="292"/>
      <c r="F2647" s="283" t="s">
        <v>283</v>
      </c>
      <c r="G2647" s="283"/>
      <c r="J2647" s="293">
        <v>2</v>
      </c>
      <c r="K2647" s="293"/>
      <c r="L2647" s="293"/>
      <c r="M2647" s="293"/>
      <c r="N2647" s="293"/>
      <c r="P2647" s="42">
        <v>1600</v>
      </c>
      <c r="R2647" s="42">
        <v>900</v>
      </c>
      <c r="T2647" s="284">
        <v>700</v>
      </c>
      <c r="U2647" s="284"/>
    </row>
    <row r="2648" spans="2:21" x14ac:dyDescent="0.25">
      <c r="B2648" s="292">
        <v>70</v>
      </c>
      <c r="C2648" s="292"/>
      <c r="D2648" s="292"/>
      <c r="F2648" s="283" t="s">
        <v>128</v>
      </c>
      <c r="G2648" s="283"/>
      <c r="J2648" s="293">
        <v>8</v>
      </c>
      <c r="K2648" s="293"/>
      <c r="L2648" s="293"/>
      <c r="M2648" s="293"/>
      <c r="N2648" s="293"/>
      <c r="P2648" s="42">
        <v>9200</v>
      </c>
      <c r="R2648" s="42">
        <v>1020</v>
      </c>
      <c r="T2648" s="284">
        <v>8180</v>
      </c>
      <c r="U2648" s="284"/>
    </row>
    <row r="2649" spans="2:21" x14ac:dyDescent="0.25">
      <c r="B2649" s="292">
        <v>71</v>
      </c>
      <c r="C2649" s="292"/>
      <c r="D2649" s="292"/>
      <c r="F2649" s="283" t="s">
        <v>366</v>
      </c>
      <c r="G2649" s="283"/>
      <c r="J2649" s="293">
        <v>1</v>
      </c>
      <c r="K2649" s="293"/>
      <c r="L2649" s="293"/>
      <c r="M2649" s="293"/>
      <c r="N2649" s="293"/>
      <c r="P2649" s="42">
        <v>800</v>
      </c>
      <c r="R2649" s="42">
        <v>450</v>
      </c>
      <c r="T2649" s="284">
        <v>350</v>
      </c>
      <c r="U2649" s="284"/>
    </row>
    <row r="2650" spans="2:21" x14ac:dyDescent="0.25">
      <c r="B2650" s="292">
        <v>72</v>
      </c>
      <c r="C2650" s="292"/>
      <c r="D2650" s="292"/>
      <c r="F2650" s="283" t="s">
        <v>378</v>
      </c>
      <c r="G2650" s="283"/>
      <c r="J2650" s="293">
        <v>1</v>
      </c>
      <c r="K2650" s="293"/>
      <c r="L2650" s="293"/>
      <c r="M2650" s="293"/>
      <c r="N2650" s="293"/>
      <c r="P2650" s="42">
        <v>800</v>
      </c>
      <c r="R2650" s="42">
        <v>450</v>
      </c>
      <c r="T2650" s="284">
        <v>350</v>
      </c>
      <c r="U2650" s="284"/>
    </row>
    <row r="2651" spans="2:21" x14ac:dyDescent="0.25">
      <c r="B2651" s="292">
        <v>73</v>
      </c>
      <c r="C2651" s="292"/>
      <c r="D2651" s="292"/>
      <c r="F2651" s="283" t="s">
        <v>127</v>
      </c>
      <c r="G2651" s="283"/>
      <c r="J2651" s="293">
        <v>110</v>
      </c>
      <c r="K2651" s="293"/>
      <c r="L2651" s="293"/>
      <c r="M2651" s="293"/>
      <c r="N2651" s="293"/>
      <c r="P2651" s="42">
        <v>33000</v>
      </c>
      <c r="R2651" s="42">
        <v>8460</v>
      </c>
      <c r="T2651" s="284">
        <v>24540</v>
      </c>
      <c r="U2651" s="284"/>
    </row>
    <row r="2652" spans="2:21" x14ac:dyDescent="0.25">
      <c r="B2652" s="292">
        <v>74</v>
      </c>
      <c r="C2652" s="292"/>
      <c r="D2652" s="292"/>
      <c r="F2652" s="283" t="s">
        <v>126</v>
      </c>
      <c r="G2652" s="283"/>
      <c r="J2652" s="293">
        <v>93</v>
      </c>
      <c r="K2652" s="293"/>
      <c r="L2652" s="293"/>
      <c r="M2652" s="293"/>
      <c r="N2652" s="293"/>
      <c r="P2652" s="42">
        <v>18600</v>
      </c>
      <c r="R2652" s="42">
        <v>4949</v>
      </c>
      <c r="T2652" s="284">
        <v>13651</v>
      </c>
      <c r="U2652" s="284"/>
    </row>
    <row r="2653" spans="2:21" x14ac:dyDescent="0.25">
      <c r="B2653" s="292">
        <v>75</v>
      </c>
      <c r="C2653" s="292"/>
      <c r="D2653" s="292"/>
      <c r="F2653" s="283" t="s">
        <v>125</v>
      </c>
      <c r="G2653" s="283"/>
      <c r="J2653" s="293">
        <v>21</v>
      </c>
      <c r="K2653" s="293"/>
      <c r="L2653" s="293"/>
      <c r="M2653" s="293"/>
      <c r="N2653" s="293"/>
      <c r="P2653" s="42">
        <v>8400</v>
      </c>
      <c r="R2653" s="42">
        <v>1680</v>
      </c>
      <c r="T2653" s="284">
        <v>6720</v>
      </c>
      <c r="U2653" s="284"/>
    </row>
    <row r="2654" spans="2:21" x14ac:dyDescent="0.25">
      <c r="B2654" s="292">
        <v>76</v>
      </c>
      <c r="C2654" s="292"/>
      <c r="D2654" s="292"/>
      <c r="F2654" s="283" t="s">
        <v>124</v>
      </c>
      <c r="G2654" s="283"/>
      <c r="J2654" s="293">
        <v>21</v>
      </c>
      <c r="K2654" s="293"/>
      <c r="L2654" s="293"/>
      <c r="M2654" s="293"/>
      <c r="N2654" s="293"/>
      <c r="P2654" s="42">
        <v>11440</v>
      </c>
      <c r="R2654" s="42">
        <v>2330</v>
      </c>
      <c r="T2654" s="284">
        <v>9110</v>
      </c>
      <c r="U2654" s="284"/>
    </row>
    <row r="2655" spans="2:21" x14ac:dyDescent="0.25">
      <c r="B2655" s="292">
        <v>77</v>
      </c>
      <c r="C2655" s="292"/>
      <c r="D2655" s="292"/>
      <c r="F2655" s="283" t="s">
        <v>123</v>
      </c>
      <c r="G2655" s="283"/>
      <c r="J2655" s="293">
        <v>9</v>
      </c>
      <c r="K2655" s="293"/>
      <c r="L2655" s="293"/>
      <c r="M2655" s="293"/>
      <c r="N2655" s="293"/>
      <c r="P2655" s="42">
        <v>7020</v>
      </c>
      <c r="R2655" s="42">
        <v>1462</v>
      </c>
      <c r="T2655" s="284">
        <v>5558</v>
      </c>
      <c r="U2655" s="284"/>
    </row>
    <row r="2656" spans="2:21" x14ac:dyDescent="0.25">
      <c r="B2656" s="292">
        <v>78</v>
      </c>
      <c r="C2656" s="292"/>
      <c r="D2656" s="292"/>
      <c r="F2656" s="283" t="s">
        <v>184</v>
      </c>
      <c r="G2656" s="283"/>
      <c r="J2656" s="293">
        <v>1</v>
      </c>
      <c r="K2656" s="293"/>
      <c r="L2656" s="293"/>
      <c r="M2656" s="293"/>
      <c r="N2656" s="293"/>
      <c r="P2656" s="42">
        <v>1080</v>
      </c>
      <c r="R2656" s="42">
        <v>108</v>
      </c>
      <c r="T2656" s="284">
        <v>972</v>
      </c>
      <c r="U2656" s="284"/>
    </row>
    <row r="2657" spans="2:21" x14ac:dyDescent="0.25">
      <c r="B2657" s="292">
        <v>79</v>
      </c>
      <c r="C2657" s="292"/>
      <c r="D2657" s="292"/>
      <c r="F2657" s="283" t="s">
        <v>183</v>
      </c>
      <c r="G2657" s="283"/>
      <c r="J2657" s="293">
        <v>3</v>
      </c>
      <c r="K2657" s="293"/>
      <c r="L2657" s="293"/>
      <c r="M2657" s="293"/>
      <c r="N2657" s="293"/>
      <c r="P2657" s="42">
        <v>1320</v>
      </c>
      <c r="R2657" s="42">
        <v>260</v>
      </c>
      <c r="T2657" s="284">
        <v>1060</v>
      </c>
      <c r="U2657" s="284"/>
    </row>
    <row r="2658" spans="2:21" x14ac:dyDescent="0.25">
      <c r="B2658" s="292">
        <v>80</v>
      </c>
      <c r="C2658" s="292"/>
      <c r="D2658" s="292"/>
      <c r="F2658" s="283" t="s">
        <v>122</v>
      </c>
      <c r="G2658" s="283"/>
      <c r="J2658" s="293">
        <v>7</v>
      </c>
      <c r="K2658" s="293"/>
      <c r="L2658" s="293"/>
      <c r="M2658" s="293"/>
      <c r="N2658" s="293"/>
      <c r="P2658" s="42">
        <v>3500</v>
      </c>
      <c r="R2658" s="42">
        <v>900</v>
      </c>
      <c r="T2658" s="284">
        <v>2600</v>
      </c>
      <c r="U2658" s="284"/>
    </row>
    <row r="2659" spans="2:21" x14ac:dyDescent="0.25">
      <c r="B2659" s="292">
        <v>81</v>
      </c>
      <c r="C2659" s="292"/>
      <c r="D2659" s="292"/>
      <c r="F2659" s="283" t="s">
        <v>121</v>
      </c>
      <c r="G2659" s="283"/>
      <c r="J2659" s="293">
        <v>10</v>
      </c>
      <c r="K2659" s="293"/>
      <c r="L2659" s="293"/>
      <c r="M2659" s="293"/>
      <c r="N2659" s="293"/>
      <c r="P2659" s="42">
        <v>5400</v>
      </c>
      <c r="R2659" s="42">
        <v>1620</v>
      </c>
      <c r="T2659" s="284">
        <v>3780</v>
      </c>
      <c r="U2659" s="284"/>
    </row>
    <row r="2660" spans="2:21" x14ac:dyDescent="0.25">
      <c r="B2660" s="292">
        <v>82</v>
      </c>
      <c r="C2660" s="292"/>
      <c r="D2660" s="292"/>
      <c r="F2660" s="283" t="s">
        <v>381</v>
      </c>
      <c r="G2660" s="283"/>
      <c r="J2660" s="293">
        <v>1</v>
      </c>
      <c r="K2660" s="293"/>
      <c r="L2660" s="293"/>
      <c r="M2660" s="293"/>
      <c r="N2660" s="293"/>
      <c r="P2660" s="42">
        <v>390</v>
      </c>
      <c r="R2660" s="42">
        <v>120</v>
      </c>
      <c r="T2660" s="284">
        <v>270</v>
      </c>
      <c r="U2660" s="284"/>
    </row>
    <row r="2661" spans="2:21" x14ac:dyDescent="0.25">
      <c r="B2661" s="292">
        <v>83</v>
      </c>
      <c r="C2661" s="292"/>
      <c r="D2661" s="292"/>
      <c r="F2661" s="283" t="s">
        <v>120</v>
      </c>
      <c r="G2661" s="283"/>
      <c r="J2661" s="293">
        <v>1</v>
      </c>
      <c r="K2661" s="293"/>
      <c r="L2661" s="293"/>
      <c r="M2661" s="293"/>
      <c r="N2661" s="293"/>
      <c r="P2661" s="42">
        <v>350</v>
      </c>
      <c r="R2661" s="42">
        <v>60</v>
      </c>
      <c r="T2661" s="284">
        <v>290</v>
      </c>
      <c r="U2661" s="284"/>
    </row>
    <row r="2662" spans="2:21" x14ac:dyDescent="0.25">
      <c r="B2662" s="292">
        <v>84</v>
      </c>
      <c r="C2662" s="292"/>
      <c r="D2662" s="292"/>
      <c r="F2662" s="283" t="s">
        <v>282</v>
      </c>
      <c r="G2662" s="283"/>
      <c r="J2662" s="293">
        <v>1</v>
      </c>
      <c r="K2662" s="293"/>
      <c r="L2662" s="293"/>
      <c r="M2662" s="293"/>
      <c r="N2662" s="293"/>
      <c r="P2662" s="42">
        <v>500</v>
      </c>
      <c r="R2662" s="42">
        <v>130</v>
      </c>
      <c r="T2662" s="284">
        <v>370</v>
      </c>
      <c r="U2662" s="284"/>
    </row>
    <row r="2663" spans="2:21" x14ac:dyDescent="0.25">
      <c r="B2663" s="292">
        <v>85</v>
      </c>
      <c r="C2663" s="292"/>
      <c r="D2663" s="292"/>
      <c r="F2663" s="283" t="s">
        <v>182</v>
      </c>
      <c r="G2663" s="283"/>
      <c r="J2663" s="293">
        <v>3</v>
      </c>
      <c r="K2663" s="293"/>
      <c r="L2663" s="293"/>
      <c r="M2663" s="293"/>
      <c r="N2663" s="293"/>
      <c r="P2663" s="42">
        <v>2370</v>
      </c>
      <c r="R2663" s="42">
        <v>278</v>
      </c>
      <c r="T2663" s="284">
        <v>2092</v>
      </c>
      <c r="U2663" s="284"/>
    </row>
    <row r="2664" spans="2:21" x14ac:dyDescent="0.25">
      <c r="B2664" s="292">
        <v>86</v>
      </c>
      <c r="C2664" s="292"/>
      <c r="D2664" s="292"/>
      <c r="F2664" s="283" t="s">
        <v>119</v>
      </c>
      <c r="G2664" s="283"/>
      <c r="J2664" s="293">
        <v>92</v>
      </c>
      <c r="K2664" s="293"/>
      <c r="L2664" s="293"/>
      <c r="M2664" s="293"/>
      <c r="N2664" s="293"/>
      <c r="P2664" s="42">
        <v>81880</v>
      </c>
      <c r="R2664" s="42">
        <v>14931</v>
      </c>
      <c r="T2664" s="284">
        <v>66949</v>
      </c>
      <c r="U2664" s="284"/>
    </row>
    <row r="2665" spans="2:21" x14ac:dyDescent="0.25">
      <c r="B2665" s="292">
        <v>87</v>
      </c>
      <c r="C2665" s="292"/>
      <c r="D2665" s="292"/>
      <c r="F2665" s="283" t="s">
        <v>118</v>
      </c>
      <c r="G2665" s="283"/>
      <c r="J2665" s="293">
        <v>329</v>
      </c>
      <c r="K2665" s="293"/>
      <c r="L2665" s="293"/>
      <c r="M2665" s="293"/>
      <c r="N2665" s="293"/>
      <c r="P2665" s="42">
        <v>325710</v>
      </c>
      <c r="R2665" s="42">
        <v>79539</v>
      </c>
      <c r="T2665" s="284">
        <v>246171</v>
      </c>
      <c r="U2665" s="284"/>
    </row>
    <row r="2666" spans="2:21" x14ac:dyDescent="0.25">
      <c r="B2666" s="292">
        <v>88</v>
      </c>
      <c r="C2666" s="292"/>
      <c r="D2666" s="292"/>
      <c r="F2666" s="283" t="s">
        <v>117</v>
      </c>
      <c r="G2666" s="283"/>
      <c r="J2666" s="293">
        <v>13</v>
      </c>
      <c r="K2666" s="293"/>
      <c r="L2666" s="293"/>
      <c r="M2666" s="293"/>
      <c r="N2666" s="293"/>
      <c r="P2666" s="42">
        <v>10600</v>
      </c>
      <c r="R2666" s="42">
        <v>1752</v>
      </c>
      <c r="T2666" s="284">
        <v>8848</v>
      </c>
      <c r="U2666" s="284"/>
    </row>
    <row r="2667" spans="2:21" x14ac:dyDescent="0.25">
      <c r="B2667" s="292">
        <v>89</v>
      </c>
      <c r="C2667" s="292"/>
      <c r="D2667" s="292"/>
      <c r="F2667" s="285" t="s">
        <v>116</v>
      </c>
      <c r="G2667" s="285"/>
      <c r="J2667" s="293">
        <v>1</v>
      </c>
      <c r="K2667" s="293"/>
      <c r="L2667" s="293"/>
      <c r="M2667" s="293"/>
      <c r="N2667" s="293"/>
      <c r="P2667" s="42">
        <v>800</v>
      </c>
      <c r="R2667" s="42">
        <v>200</v>
      </c>
      <c r="T2667" s="284">
        <v>600</v>
      </c>
      <c r="U2667" s="284"/>
    </row>
    <row r="2668" spans="2:21" x14ac:dyDescent="0.25">
      <c r="F2668" s="285"/>
      <c r="G2668" s="285"/>
    </row>
    <row r="2669" spans="2:21" x14ac:dyDescent="0.25">
      <c r="B2669" s="292">
        <v>90</v>
      </c>
      <c r="C2669" s="292"/>
      <c r="D2669" s="292"/>
      <c r="F2669" s="283" t="s">
        <v>115</v>
      </c>
      <c r="G2669" s="283"/>
      <c r="J2669" s="293">
        <v>58</v>
      </c>
      <c r="K2669" s="293"/>
      <c r="L2669" s="293"/>
      <c r="M2669" s="293"/>
      <c r="N2669" s="293"/>
      <c r="P2669" s="42">
        <v>16820</v>
      </c>
      <c r="R2669" s="42">
        <v>4001</v>
      </c>
      <c r="T2669" s="284">
        <v>12819</v>
      </c>
      <c r="U2669" s="284"/>
    </row>
    <row r="2670" spans="2:21" x14ac:dyDescent="0.25">
      <c r="B2670" s="292">
        <v>91</v>
      </c>
      <c r="C2670" s="292"/>
      <c r="D2670" s="292"/>
      <c r="F2670" s="283" t="s">
        <v>280</v>
      </c>
      <c r="G2670" s="283"/>
      <c r="J2670" s="293">
        <v>2</v>
      </c>
      <c r="K2670" s="293"/>
      <c r="L2670" s="293"/>
      <c r="M2670" s="293"/>
      <c r="N2670" s="293"/>
      <c r="P2670" s="42">
        <v>1400</v>
      </c>
      <c r="R2670" s="42">
        <v>700</v>
      </c>
      <c r="T2670" s="284">
        <v>700</v>
      </c>
      <c r="U2670" s="284"/>
    </row>
    <row r="2671" spans="2:21" x14ac:dyDescent="0.25">
      <c r="B2671" s="292">
        <v>92</v>
      </c>
      <c r="C2671" s="292"/>
      <c r="D2671" s="292"/>
      <c r="F2671" s="283" t="s">
        <v>401</v>
      </c>
      <c r="G2671" s="283"/>
      <c r="J2671" s="293">
        <v>132</v>
      </c>
      <c r="K2671" s="293"/>
      <c r="L2671" s="293"/>
      <c r="M2671" s="293"/>
      <c r="N2671" s="293"/>
      <c r="P2671" s="42">
        <v>19200</v>
      </c>
      <c r="R2671" s="42">
        <v>0</v>
      </c>
      <c r="T2671" s="284">
        <v>19200</v>
      </c>
      <c r="U2671" s="284"/>
    </row>
    <row r="2672" spans="2:21" x14ac:dyDescent="0.25">
      <c r="B2672" s="292">
        <v>93</v>
      </c>
      <c r="C2672" s="292"/>
      <c r="D2672" s="292"/>
      <c r="F2672" s="285" t="s">
        <v>400</v>
      </c>
      <c r="G2672" s="285"/>
      <c r="J2672" s="293">
        <v>34</v>
      </c>
      <c r="K2672" s="293"/>
      <c r="L2672" s="293"/>
      <c r="M2672" s="293"/>
      <c r="N2672" s="293"/>
      <c r="P2672" s="42">
        <v>0</v>
      </c>
      <c r="R2672" s="42">
        <v>0</v>
      </c>
      <c r="T2672" s="284">
        <v>0</v>
      </c>
      <c r="U2672" s="284"/>
    </row>
    <row r="2673" spans="2:21" x14ac:dyDescent="0.25">
      <c r="F2673" s="285"/>
      <c r="G2673" s="285"/>
    </row>
    <row r="2674" spans="2:21" x14ac:dyDescent="0.25">
      <c r="B2674" s="292">
        <v>94</v>
      </c>
      <c r="C2674" s="292"/>
      <c r="D2674" s="292"/>
      <c r="F2674" s="283" t="s">
        <v>222</v>
      </c>
      <c r="G2674" s="283"/>
      <c r="J2674" s="293">
        <v>1</v>
      </c>
      <c r="K2674" s="293"/>
      <c r="L2674" s="293"/>
      <c r="M2674" s="293"/>
      <c r="N2674" s="293"/>
      <c r="P2674" s="42">
        <v>500</v>
      </c>
      <c r="R2674" s="42">
        <v>150</v>
      </c>
      <c r="T2674" s="284">
        <v>350</v>
      </c>
      <c r="U2674" s="284"/>
    </row>
    <row r="2675" spans="2:21" x14ac:dyDescent="0.25">
      <c r="B2675" s="292">
        <v>95</v>
      </c>
      <c r="C2675" s="292"/>
      <c r="D2675" s="292"/>
      <c r="F2675" s="283" t="s">
        <v>278</v>
      </c>
      <c r="G2675" s="283"/>
      <c r="J2675" s="293">
        <v>1</v>
      </c>
      <c r="K2675" s="293"/>
      <c r="L2675" s="293"/>
      <c r="M2675" s="293"/>
      <c r="N2675" s="293"/>
      <c r="P2675" s="42">
        <v>330</v>
      </c>
      <c r="R2675" s="42">
        <v>0</v>
      </c>
      <c r="T2675" s="284">
        <v>330</v>
      </c>
      <c r="U2675" s="284"/>
    </row>
    <row r="2676" spans="2:21" x14ac:dyDescent="0.25">
      <c r="B2676" s="292">
        <v>96</v>
      </c>
      <c r="C2676" s="292"/>
      <c r="D2676" s="292"/>
      <c r="F2676" s="283" t="s">
        <v>300</v>
      </c>
      <c r="G2676" s="283"/>
      <c r="J2676" s="293">
        <v>3</v>
      </c>
      <c r="K2676" s="293"/>
      <c r="L2676" s="293"/>
      <c r="M2676" s="293"/>
      <c r="N2676" s="293"/>
      <c r="P2676" s="42">
        <v>990</v>
      </c>
      <c r="R2676" s="42">
        <v>200</v>
      </c>
      <c r="T2676" s="284">
        <v>790</v>
      </c>
      <c r="U2676" s="284"/>
    </row>
    <row r="2677" spans="2:21" x14ac:dyDescent="0.25">
      <c r="B2677" s="292">
        <v>97</v>
      </c>
      <c r="C2677" s="292"/>
      <c r="D2677" s="292"/>
      <c r="F2677" s="283" t="s">
        <v>221</v>
      </c>
      <c r="G2677" s="283"/>
      <c r="J2677" s="293">
        <v>1</v>
      </c>
      <c r="K2677" s="293"/>
      <c r="L2677" s="293"/>
      <c r="M2677" s="293"/>
      <c r="N2677" s="293"/>
      <c r="P2677" s="42">
        <v>990</v>
      </c>
      <c r="R2677" s="42">
        <v>0</v>
      </c>
      <c r="T2677" s="284">
        <v>990</v>
      </c>
      <c r="U2677" s="284"/>
    </row>
    <row r="2678" spans="2:21" x14ac:dyDescent="0.25">
      <c r="B2678" s="292">
        <v>98</v>
      </c>
      <c r="C2678" s="292"/>
      <c r="D2678" s="292"/>
      <c r="F2678" s="283" t="s">
        <v>327</v>
      </c>
      <c r="G2678" s="283"/>
      <c r="J2678" s="293">
        <v>1</v>
      </c>
      <c r="K2678" s="293"/>
      <c r="L2678" s="293"/>
      <c r="M2678" s="293"/>
      <c r="N2678" s="293"/>
      <c r="P2678" s="42">
        <v>880</v>
      </c>
      <c r="R2678" s="42">
        <v>0</v>
      </c>
      <c r="T2678" s="284">
        <v>880</v>
      </c>
      <c r="U2678" s="284"/>
    </row>
    <row r="2679" spans="2:21" x14ac:dyDescent="0.25">
      <c r="B2679" s="292">
        <v>99</v>
      </c>
      <c r="C2679" s="292"/>
      <c r="D2679" s="292"/>
      <c r="F2679" s="283" t="s">
        <v>219</v>
      </c>
      <c r="G2679" s="283"/>
      <c r="J2679" s="293">
        <v>6</v>
      </c>
      <c r="K2679" s="293"/>
      <c r="L2679" s="293"/>
      <c r="M2679" s="293"/>
      <c r="N2679" s="293"/>
      <c r="P2679" s="42">
        <v>3000</v>
      </c>
      <c r="R2679" s="42">
        <v>550</v>
      </c>
      <c r="T2679" s="284">
        <v>2450</v>
      </c>
      <c r="U2679" s="284"/>
    </row>
    <row r="2680" spans="2:21" x14ac:dyDescent="0.25">
      <c r="B2680" s="292">
        <v>100</v>
      </c>
      <c r="C2680" s="292"/>
      <c r="D2680" s="292"/>
      <c r="F2680" s="283" t="s">
        <v>258</v>
      </c>
      <c r="G2680" s="283"/>
      <c r="J2680" s="293">
        <v>2</v>
      </c>
      <c r="K2680" s="293"/>
      <c r="L2680" s="293"/>
      <c r="M2680" s="293"/>
      <c r="N2680" s="293"/>
      <c r="P2680" s="42">
        <v>660</v>
      </c>
      <c r="R2680" s="42">
        <v>280</v>
      </c>
      <c r="T2680" s="284">
        <v>380</v>
      </c>
      <c r="U2680" s="284"/>
    </row>
    <row r="2681" spans="2:21" x14ac:dyDescent="0.25">
      <c r="B2681" s="292">
        <v>101</v>
      </c>
      <c r="C2681" s="292"/>
      <c r="D2681" s="292"/>
      <c r="F2681" s="283" t="s">
        <v>181</v>
      </c>
      <c r="G2681" s="283"/>
      <c r="J2681" s="293">
        <v>2</v>
      </c>
      <c r="K2681" s="293"/>
      <c r="L2681" s="293"/>
      <c r="M2681" s="293"/>
      <c r="N2681" s="293"/>
      <c r="P2681" s="42">
        <v>1580</v>
      </c>
      <c r="R2681" s="42">
        <v>199</v>
      </c>
      <c r="T2681" s="284">
        <v>1381</v>
      </c>
      <c r="U2681" s="284"/>
    </row>
    <row r="2682" spans="2:21" x14ac:dyDescent="0.25">
      <c r="B2682" s="292">
        <v>102</v>
      </c>
      <c r="C2682" s="292"/>
      <c r="D2682" s="292"/>
      <c r="F2682" s="283" t="s">
        <v>171</v>
      </c>
      <c r="G2682" s="283"/>
      <c r="J2682" s="293">
        <v>3</v>
      </c>
      <c r="K2682" s="293"/>
      <c r="L2682" s="293"/>
      <c r="M2682" s="293"/>
      <c r="N2682" s="293"/>
      <c r="P2682" s="42">
        <v>1590</v>
      </c>
      <c r="R2682" s="42">
        <v>480</v>
      </c>
      <c r="T2682" s="284">
        <v>1110</v>
      </c>
      <c r="U2682" s="284"/>
    </row>
    <row r="2683" spans="2:21" x14ac:dyDescent="0.25">
      <c r="B2683" s="292">
        <v>103</v>
      </c>
      <c r="C2683" s="292"/>
      <c r="D2683" s="292"/>
      <c r="F2683" s="283" t="s">
        <v>111</v>
      </c>
      <c r="G2683" s="283"/>
      <c r="J2683" s="293">
        <v>7</v>
      </c>
      <c r="K2683" s="293"/>
      <c r="L2683" s="293"/>
      <c r="M2683" s="293"/>
      <c r="N2683" s="293"/>
      <c r="P2683" s="42">
        <v>3010</v>
      </c>
      <c r="R2683" s="42">
        <v>520</v>
      </c>
      <c r="T2683" s="284">
        <v>2490</v>
      </c>
      <c r="U2683" s="284"/>
    </row>
    <row r="2684" spans="2:21" x14ac:dyDescent="0.25">
      <c r="B2684" s="292">
        <v>104</v>
      </c>
      <c r="C2684" s="292"/>
      <c r="D2684" s="292"/>
      <c r="F2684" s="283" t="s">
        <v>110</v>
      </c>
      <c r="G2684" s="283"/>
      <c r="J2684" s="293">
        <v>2</v>
      </c>
      <c r="K2684" s="293"/>
      <c r="L2684" s="293"/>
      <c r="M2684" s="293"/>
      <c r="N2684" s="293"/>
      <c r="P2684" s="42">
        <v>2160</v>
      </c>
      <c r="R2684" s="42">
        <v>160</v>
      </c>
      <c r="T2684" s="284">
        <v>2000</v>
      </c>
      <c r="U2684" s="284"/>
    </row>
    <row r="2685" spans="2:21" x14ac:dyDescent="0.25">
      <c r="B2685" s="292">
        <v>105</v>
      </c>
      <c r="C2685" s="292"/>
      <c r="D2685" s="292"/>
      <c r="F2685" s="283" t="s">
        <v>277</v>
      </c>
      <c r="G2685" s="283"/>
      <c r="J2685" s="293">
        <v>1</v>
      </c>
      <c r="K2685" s="293"/>
      <c r="L2685" s="293"/>
      <c r="M2685" s="293"/>
      <c r="N2685" s="293"/>
      <c r="P2685" s="42">
        <v>1570</v>
      </c>
      <c r="R2685" s="42">
        <v>0</v>
      </c>
      <c r="T2685" s="284">
        <v>1570</v>
      </c>
      <c r="U2685" s="284"/>
    </row>
    <row r="2686" spans="2:21" x14ac:dyDescent="0.25">
      <c r="B2686" s="292">
        <v>106</v>
      </c>
      <c r="C2686" s="292"/>
      <c r="D2686" s="292"/>
      <c r="F2686" s="283" t="s">
        <v>109</v>
      </c>
      <c r="G2686" s="283"/>
      <c r="J2686" s="293">
        <v>14</v>
      </c>
      <c r="K2686" s="293"/>
      <c r="L2686" s="293"/>
      <c r="M2686" s="293"/>
      <c r="N2686" s="293"/>
      <c r="P2686" s="42">
        <v>10920</v>
      </c>
      <c r="R2686" s="42">
        <v>2530</v>
      </c>
      <c r="T2686" s="284">
        <v>8390</v>
      </c>
      <c r="U2686" s="284"/>
    </row>
    <row r="2687" spans="2:21" x14ac:dyDescent="0.25">
      <c r="B2687" s="292">
        <v>107</v>
      </c>
      <c r="C2687" s="292"/>
      <c r="D2687" s="292"/>
      <c r="F2687" s="283" t="s">
        <v>108</v>
      </c>
      <c r="G2687" s="283"/>
      <c r="J2687" s="293">
        <v>522</v>
      </c>
      <c r="K2687" s="293"/>
      <c r="L2687" s="293"/>
      <c r="M2687" s="293"/>
      <c r="N2687" s="293"/>
      <c r="P2687" s="42">
        <v>52200</v>
      </c>
      <c r="R2687" s="42">
        <v>1732</v>
      </c>
      <c r="T2687" s="284">
        <v>50468</v>
      </c>
      <c r="U2687" s="284"/>
    </row>
    <row r="2688" spans="2:21" x14ac:dyDescent="0.25">
      <c r="B2688" s="292">
        <v>108</v>
      </c>
      <c r="C2688" s="292"/>
      <c r="D2688" s="292"/>
      <c r="F2688" s="283" t="s">
        <v>107</v>
      </c>
      <c r="G2688" s="283"/>
      <c r="J2688" s="293">
        <v>133</v>
      </c>
      <c r="K2688" s="293"/>
      <c r="L2688" s="293"/>
      <c r="M2688" s="293"/>
      <c r="N2688" s="293"/>
      <c r="P2688" s="42">
        <v>22610</v>
      </c>
      <c r="R2688" s="42">
        <v>5077</v>
      </c>
      <c r="T2688" s="284">
        <v>17533</v>
      </c>
      <c r="U2688" s="284"/>
    </row>
    <row r="2689" spans="2:21" x14ac:dyDescent="0.25">
      <c r="B2689" s="292">
        <v>109</v>
      </c>
      <c r="C2689" s="292"/>
      <c r="D2689" s="292"/>
      <c r="F2689" s="283" t="s">
        <v>106</v>
      </c>
      <c r="G2689" s="283"/>
      <c r="J2689" s="293">
        <v>502</v>
      </c>
      <c r="K2689" s="293"/>
      <c r="L2689" s="293"/>
      <c r="M2689" s="293"/>
      <c r="N2689" s="293"/>
      <c r="P2689" s="42">
        <v>50200</v>
      </c>
      <c r="R2689" s="42">
        <v>13460</v>
      </c>
      <c r="T2689" s="284">
        <v>36740</v>
      </c>
      <c r="U2689" s="284"/>
    </row>
    <row r="2690" spans="2:21" x14ac:dyDescent="0.25">
      <c r="B2690" s="292">
        <v>110</v>
      </c>
      <c r="C2690" s="292"/>
      <c r="D2690" s="292"/>
      <c r="F2690" s="283" t="s">
        <v>218</v>
      </c>
      <c r="G2690" s="283"/>
      <c r="J2690" s="293">
        <v>1</v>
      </c>
      <c r="K2690" s="293"/>
      <c r="L2690" s="293"/>
      <c r="M2690" s="293"/>
      <c r="N2690" s="293"/>
      <c r="P2690" s="42">
        <v>290</v>
      </c>
      <c r="R2690" s="42">
        <v>0</v>
      </c>
      <c r="T2690" s="284">
        <v>290</v>
      </c>
      <c r="U2690" s="284"/>
    </row>
    <row r="2691" spans="2:21" x14ac:dyDescent="0.25">
      <c r="B2691" s="292">
        <v>111</v>
      </c>
      <c r="C2691" s="292"/>
      <c r="D2691" s="292"/>
      <c r="F2691" s="283" t="s">
        <v>365</v>
      </c>
      <c r="G2691" s="283"/>
      <c r="J2691" s="293">
        <v>1</v>
      </c>
      <c r="K2691" s="293"/>
      <c r="L2691" s="293"/>
      <c r="M2691" s="293"/>
      <c r="N2691" s="293"/>
      <c r="P2691" s="42">
        <v>-1920</v>
      </c>
      <c r="R2691" s="42">
        <v>0</v>
      </c>
      <c r="T2691" s="284">
        <v>-1920</v>
      </c>
      <c r="U2691" s="284"/>
    </row>
    <row r="2692" spans="2:21" x14ac:dyDescent="0.25">
      <c r="B2692" s="292">
        <v>112</v>
      </c>
      <c r="C2692" s="292"/>
      <c r="D2692" s="292"/>
      <c r="F2692" s="283" t="s">
        <v>215</v>
      </c>
      <c r="G2692" s="283"/>
      <c r="J2692" s="293">
        <v>1</v>
      </c>
      <c r="K2692" s="293"/>
      <c r="L2692" s="293"/>
      <c r="M2692" s="293"/>
      <c r="N2692" s="293"/>
      <c r="P2692" s="42">
        <v>1150</v>
      </c>
      <c r="R2692" s="42">
        <v>0</v>
      </c>
      <c r="T2692" s="284">
        <v>1150</v>
      </c>
      <c r="U2692" s="284"/>
    </row>
    <row r="2693" spans="2:21" x14ac:dyDescent="0.25">
      <c r="B2693" s="292">
        <v>113</v>
      </c>
      <c r="C2693" s="292"/>
      <c r="D2693" s="292"/>
      <c r="F2693" s="283" t="s">
        <v>105</v>
      </c>
      <c r="G2693" s="283"/>
      <c r="J2693" s="293">
        <v>18</v>
      </c>
      <c r="K2693" s="293"/>
      <c r="L2693" s="293"/>
      <c r="M2693" s="293"/>
      <c r="N2693" s="293"/>
      <c r="P2693" s="42">
        <v>20700</v>
      </c>
      <c r="R2693" s="42">
        <v>0</v>
      </c>
      <c r="T2693" s="284">
        <v>20700</v>
      </c>
      <c r="U2693" s="284"/>
    </row>
    <row r="2694" spans="2:21" x14ac:dyDescent="0.25">
      <c r="B2694" s="292">
        <v>114</v>
      </c>
      <c r="C2694" s="292"/>
      <c r="D2694" s="292"/>
      <c r="F2694" s="283" t="s">
        <v>369</v>
      </c>
      <c r="G2694" s="283"/>
      <c r="J2694" s="293">
        <v>1</v>
      </c>
      <c r="K2694" s="293"/>
      <c r="L2694" s="293"/>
      <c r="M2694" s="293"/>
      <c r="N2694" s="293"/>
      <c r="P2694" s="42">
        <v>1150</v>
      </c>
      <c r="R2694" s="42">
        <v>0</v>
      </c>
      <c r="T2694" s="284">
        <v>1150</v>
      </c>
      <c r="U2694" s="284"/>
    </row>
    <row r="2695" spans="2:21" x14ac:dyDescent="0.25">
      <c r="B2695" s="292">
        <v>115</v>
      </c>
      <c r="C2695" s="292"/>
      <c r="D2695" s="292"/>
      <c r="F2695" s="283" t="s">
        <v>103</v>
      </c>
      <c r="G2695" s="283"/>
      <c r="J2695" s="293">
        <v>46</v>
      </c>
      <c r="K2695" s="293"/>
      <c r="L2695" s="293"/>
      <c r="M2695" s="293"/>
      <c r="N2695" s="293"/>
      <c r="P2695" s="42">
        <v>15180</v>
      </c>
      <c r="R2695" s="42">
        <v>3920</v>
      </c>
      <c r="T2695" s="284">
        <v>11260</v>
      </c>
      <c r="U2695" s="284"/>
    </row>
    <row r="2696" spans="2:21" x14ac:dyDescent="0.25">
      <c r="B2696" s="292">
        <v>116</v>
      </c>
      <c r="C2696" s="292"/>
      <c r="D2696" s="292"/>
      <c r="F2696" s="283" t="s">
        <v>213</v>
      </c>
      <c r="G2696" s="283"/>
      <c r="J2696" s="293">
        <v>1</v>
      </c>
      <c r="K2696" s="293"/>
      <c r="L2696" s="293"/>
      <c r="M2696" s="293"/>
      <c r="N2696" s="293"/>
      <c r="P2696" s="42">
        <v>700</v>
      </c>
      <c r="R2696" s="42">
        <v>350</v>
      </c>
      <c r="T2696" s="284">
        <v>350</v>
      </c>
      <c r="U2696" s="284"/>
    </row>
    <row r="2697" spans="2:21" x14ac:dyDescent="0.25">
      <c r="B2697" s="292">
        <v>117</v>
      </c>
      <c r="C2697" s="292"/>
      <c r="D2697" s="292"/>
      <c r="F2697" s="283" t="s">
        <v>211</v>
      </c>
      <c r="G2697" s="283"/>
      <c r="J2697" s="293">
        <v>9</v>
      </c>
      <c r="K2697" s="293"/>
      <c r="L2697" s="293"/>
      <c r="M2697" s="293"/>
      <c r="N2697" s="293"/>
      <c r="P2697" s="42">
        <v>4500</v>
      </c>
      <c r="R2697" s="42">
        <v>875</v>
      </c>
      <c r="T2697" s="284">
        <v>3625</v>
      </c>
      <c r="U2697" s="284"/>
    </row>
    <row r="2698" spans="2:21" x14ac:dyDescent="0.25">
      <c r="B2698" s="292">
        <v>118</v>
      </c>
      <c r="C2698" s="292"/>
      <c r="D2698" s="292"/>
      <c r="F2698" s="283" t="s">
        <v>276</v>
      </c>
      <c r="G2698" s="283"/>
      <c r="J2698" s="293">
        <v>4</v>
      </c>
      <c r="K2698" s="293"/>
      <c r="L2698" s="293"/>
      <c r="M2698" s="293"/>
      <c r="N2698" s="293"/>
      <c r="P2698" s="42">
        <v>2000</v>
      </c>
      <c r="R2698" s="42">
        <v>450</v>
      </c>
      <c r="T2698" s="284">
        <v>1550</v>
      </c>
      <c r="U2698" s="284"/>
    </row>
    <row r="2699" spans="2:21" x14ac:dyDescent="0.25">
      <c r="B2699" s="292">
        <v>119</v>
      </c>
      <c r="C2699" s="292"/>
      <c r="D2699" s="292"/>
      <c r="F2699" s="283" t="s">
        <v>307</v>
      </c>
      <c r="G2699" s="283"/>
      <c r="J2699" s="293">
        <v>1</v>
      </c>
      <c r="K2699" s="293"/>
      <c r="L2699" s="293"/>
      <c r="M2699" s="293"/>
      <c r="N2699" s="293"/>
      <c r="P2699" s="42">
        <v>700</v>
      </c>
      <c r="R2699" s="42">
        <v>350</v>
      </c>
      <c r="T2699" s="284">
        <v>350</v>
      </c>
      <c r="U2699" s="284"/>
    </row>
    <row r="2700" spans="2:21" x14ac:dyDescent="0.25">
      <c r="B2700" s="292">
        <v>120</v>
      </c>
      <c r="C2700" s="292"/>
      <c r="D2700" s="292"/>
      <c r="F2700" s="283" t="s">
        <v>399</v>
      </c>
      <c r="G2700" s="283"/>
      <c r="J2700" s="293">
        <v>3</v>
      </c>
      <c r="K2700" s="293"/>
      <c r="L2700" s="293"/>
      <c r="M2700" s="293"/>
      <c r="N2700" s="293"/>
      <c r="P2700" s="42">
        <v>1080</v>
      </c>
      <c r="R2700" s="42">
        <v>242</v>
      </c>
      <c r="T2700" s="284">
        <v>838</v>
      </c>
      <c r="U2700" s="284"/>
    </row>
    <row r="2701" spans="2:21" x14ac:dyDescent="0.25">
      <c r="B2701" s="292">
        <v>121</v>
      </c>
      <c r="C2701" s="292"/>
      <c r="D2701" s="292"/>
      <c r="F2701" s="283" t="s">
        <v>102</v>
      </c>
      <c r="G2701" s="283"/>
      <c r="J2701" s="293">
        <v>23</v>
      </c>
      <c r="K2701" s="293"/>
      <c r="L2701" s="293"/>
      <c r="M2701" s="293"/>
      <c r="N2701" s="293"/>
      <c r="P2701" s="42">
        <v>20240</v>
      </c>
      <c r="R2701" s="42">
        <v>1300</v>
      </c>
      <c r="T2701" s="284">
        <v>18940</v>
      </c>
      <c r="U2701" s="284"/>
    </row>
    <row r="2702" spans="2:21" x14ac:dyDescent="0.25">
      <c r="B2702" s="292">
        <v>122</v>
      </c>
      <c r="C2702" s="292"/>
      <c r="D2702" s="292"/>
      <c r="F2702" s="283" t="s">
        <v>101</v>
      </c>
      <c r="G2702" s="283"/>
      <c r="J2702" s="293">
        <v>11</v>
      </c>
      <c r="K2702" s="293"/>
      <c r="L2702" s="293"/>
      <c r="M2702" s="293"/>
      <c r="N2702" s="293"/>
      <c r="P2702" s="42">
        <v>5060</v>
      </c>
      <c r="R2702" s="42">
        <v>420</v>
      </c>
      <c r="T2702" s="284">
        <v>4640</v>
      </c>
      <c r="U2702" s="284"/>
    </row>
    <row r="2703" spans="2:21" x14ac:dyDescent="0.25">
      <c r="B2703" s="292">
        <v>123</v>
      </c>
      <c r="C2703" s="292"/>
      <c r="D2703" s="292"/>
      <c r="F2703" s="283" t="s">
        <v>254</v>
      </c>
      <c r="G2703" s="283"/>
      <c r="J2703" s="293">
        <v>9</v>
      </c>
      <c r="K2703" s="293"/>
      <c r="L2703" s="293"/>
      <c r="M2703" s="293"/>
      <c r="N2703" s="293"/>
      <c r="P2703" s="42">
        <v>2610</v>
      </c>
      <c r="R2703" s="42">
        <v>320</v>
      </c>
      <c r="T2703" s="284">
        <v>2290</v>
      </c>
      <c r="U2703" s="284"/>
    </row>
    <row r="2704" spans="2:21" x14ac:dyDescent="0.25">
      <c r="B2704" s="292">
        <v>124</v>
      </c>
      <c r="C2704" s="292"/>
      <c r="D2704" s="292"/>
      <c r="F2704" s="283" t="s">
        <v>100</v>
      </c>
      <c r="G2704" s="283"/>
      <c r="J2704" s="293">
        <v>30</v>
      </c>
      <c r="K2704" s="293"/>
      <c r="L2704" s="293"/>
      <c r="M2704" s="293"/>
      <c r="N2704" s="293"/>
      <c r="P2704" s="42">
        <v>5400</v>
      </c>
      <c r="R2704" s="42">
        <v>1026</v>
      </c>
      <c r="T2704" s="284">
        <v>4374</v>
      </c>
      <c r="U2704" s="284"/>
    </row>
    <row r="2705" spans="2:21" x14ac:dyDescent="0.25">
      <c r="B2705" s="292">
        <v>125</v>
      </c>
      <c r="C2705" s="292"/>
      <c r="D2705" s="292"/>
      <c r="F2705" s="283" t="s">
        <v>178</v>
      </c>
      <c r="G2705" s="283"/>
      <c r="J2705" s="293">
        <v>11</v>
      </c>
      <c r="K2705" s="293"/>
      <c r="L2705" s="293"/>
      <c r="M2705" s="293"/>
      <c r="N2705" s="293"/>
      <c r="P2705" s="42">
        <v>18150</v>
      </c>
      <c r="R2705" s="42">
        <v>0</v>
      </c>
      <c r="T2705" s="284">
        <v>18150</v>
      </c>
      <c r="U2705" s="284"/>
    </row>
    <row r="2706" spans="2:21" x14ac:dyDescent="0.25">
      <c r="B2706" s="292">
        <v>126</v>
      </c>
      <c r="C2706" s="292"/>
      <c r="D2706" s="292"/>
      <c r="F2706" s="283" t="s">
        <v>274</v>
      </c>
      <c r="G2706" s="283"/>
      <c r="J2706" s="293">
        <v>1</v>
      </c>
      <c r="K2706" s="293"/>
      <c r="L2706" s="293"/>
      <c r="M2706" s="293"/>
      <c r="N2706" s="293"/>
      <c r="P2706" s="42">
        <v>180</v>
      </c>
      <c r="R2706" s="42">
        <v>50</v>
      </c>
      <c r="T2706" s="284">
        <v>130</v>
      </c>
      <c r="U2706" s="284"/>
    </row>
    <row r="2707" spans="2:21" x14ac:dyDescent="0.25">
      <c r="B2707" s="292">
        <v>127</v>
      </c>
      <c r="C2707" s="292"/>
      <c r="D2707" s="292"/>
      <c r="F2707" s="283" t="s">
        <v>99</v>
      </c>
      <c r="G2707" s="283"/>
      <c r="J2707" s="293">
        <v>3</v>
      </c>
      <c r="K2707" s="293"/>
      <c r="L2707" s="293"/>
      <c r="M2707" s="293"/>
      <c r="N2707" s="293"/>
      <c r="P2707" s="42">
        <v>1770</v>
      </c>
      <c r="R2707" s="42">
        <v>270</v>
      </c>
      <c r="T2707" s="284">
        <v>1500</v>
      </c>
      <c r="U2707" s="284"/>
    </row>
    <row r="2708" spans="2:21" x14ac:dyDescent="0.25">
      <c r="B2708" s="292">
        <v>128</v>
      </c>
      <c r="C2708" s="292"/>
      <c r="D2708" s="292"/>
      <c r="F2708" s="283" t="s">
        <v>98</v>
      </c>
      <c r="G2708" s="283"/>
      <c r="J2708" s="293">
        <v>3</v>
      </c>
      <c r="K2708" s="293"/>
      <c r="L2708" s="293"/>
      <c r="M2708" s="293"/>
      <c r="N2708" s="293"/>
      <c r="P2708" s="42">
        <v>1710</v>
      </c>
      <c r="R2708" s="42">
        <v>240</v>
      </c>
      <c r="T2708" s="284">
        <v>1470</v>
      </c>
      <c r="U2708" s="284"/>
    </row>
    <row r="2709" spans="2:21" x14ac:dyDescent="0.25">
      <c r="B2709" s="292">
        <v>129</v>
      </c>
      <c r="C2709" s="292"/>
      <c r="D2709" s="292"/>
      <c r="F2709" s="283" t="s">
        <v>97</v>
      </c>
      <c r="G2709" s="283"/>
      <c r="J2709" s="293">
        <v>18</v>
      </c>
      <c r="K2709" s="293"/>
      <c r="L2709" s="293"/>
      <c r="M2709" s="293"/>
      <c r="N2709" s="293"/>
      <c r="P2709" s="42">
        <v>28620</v>
      </c>
      <c r="R2709" s="42">
        <v>1839</v>
      </c>
      <c r="T2709" s="284">
        <v>26781</v>
      </c>
      <c r="U2709" s="284"/>
    </row>
    <row r="2710" spans="2:21" x14ac:dyDescent="0.25">
      <c r="B2710" s="292">
        <v>130</v>
      </c>
      <c r="C2710" s="292"/>
      <c r="D2710" s="292"/>
      <c r="F2710" s="283" t="s">
        <v>96</v>
      </c>
      <c r="G2710" s="283"/>
      <c r="J2710" s="293">
        <v>7</v>
      </c>
      <c r="K2710" s="293"/>
      <c r="L2710" s="293"/>
      <c r="M2710" s="293"/>
      <c r="N2710" s="293"/>
      <c r="P2710" s="42">
        <v>3080</v>
      </c>
      <c r="R2710" s="42">
        <v>390</v>
      </c>
      <c r="T2710" s="284">
        <v>2690</v>
      </c>
      <c r="U2710" s="284"/>
    </row>
    <row r="2711" spans="2:21" x14ac:dyDescent="0.25">
      <c r="B2711" s="292">
        <v>131</v>
      </c>
      <c r="C2711" s="292"/>
      <c r="D2711" s="292"/>
      <c r="F2711" s="283" t="s">
        <v>253</v>
      </c>
      <c r="G2711" s="283"/>
      <c r="J2711" s="293">
        <v>1</v>
      </c>
      <c r="K2711" s="293"/>
      <c r="L2711" s="293"/>
      <c r="M2711" s="293"/>
      <c r="N2711" s="293"/>
      <c r="P2711" s="42">
        <v>290</v>
      </c>
      <c r="R2711" s="42">
        <v>0</v>
      </c>
      <c r="T2711" s="284">
        <v>290</v>
      </c>
      <c r="U2711" s="284"/>
    </row>
    <row r="2712" spans="2:21" x14ac:dyDescent="0.25">
      <c r="B2712" s="292">
        <v>132</v>
      </c>
      <c r="C2712" s="292"/>
      <c r="D2712" s="292"/>
      <c r="F2712" s="283" t="s">
        <v>93</v>
      </c>
      <c r="G2712" s="283"/>
      <c r="J2712" s="293">
        <v>26</v>
      </c>
      <c r="K2712" s="293"/>
      <c r="L2712" s="293"/>
      <c r="M2712" s="293"/>
      <c r="N2712" s="293"/>
      <c r="P2712" s="42">
        <v>15340</v>
      </c>
      <c r="R2712" s="42">
        <v>1800</v>
      </c>
      <c r="T2712" s="284">
        <v>13540</v>
      </c>
      <c r="U2712" s="284"/>
    </row>
    <row r="2713" spans="2:21" x14ac:dyDescent="0.25">
      <c r="B2713" s="292">
        <v>133</v>
      </c>
      <c r="C2713" s="292"/>
      <c r="D2713" s="292"/>
      <c r="F2713" s="283" t="s">
        <v>92</v>
      </c>
      <c r="G2713" s="283"/>
      <c r="J2713" s="293">
        <v>94</v>
      </c>
      <c r="K2713" s="293"/>
      <c r="L2713" s="293"/>
      <c r="M2713" s="293"/>
      <c r="N2713" s="293"/>
      <c r="P2713" s="42">
        <v>77040</v>
      </c>
      <c r="R2713" s="42">
        <v>15958</v>
      </c>
      <c r="T2713" s="284">
        <v>61082</v>
      </c>
      <c r="U2713" s="284"/>
    </row>
    <row r="2714" spans="2:21" x14ac:dyDescent="0.25">
      <c r="B2714" s="292">
        <v>134</v>
      </c>
      <c r="C2714" s="292"/>
      <c r="D2714" s="292"/>
      <c r="F2714" s="283" t="s">
        <v>305</v>
      </c>
      <c r="G2714" s="283"/>
      <c r="J2714" s="293">
        <v>1</v>
      </c>
      <c r="K2714" s="293"/>
      <c r="L2714" s="293"/>
      <c r="M2714" s="293"/>
      <c r="N2714" s="293"/>
      <c r="P2714" s="42">
        <v>600</v>
      </c>
      <c r="R2714" s="42">
        <v>180</v>
      </c>
      <c r="T2714" s="284">
        <v>420</v>
      </c>
      <c r="U2714" s="284"/>
    </row>
    <row r="2715" spans="2:21" x14ac:dyDescent="0.25">
      <c r="B2715" s="292">
        <v>135</v>
      </c>
      <c r="C2715" s="292"/>
      <c r="D2715" s="292"/>
      <c r="F2715" s="283" t="s">
        <v>297</v>
      </c>
      <c r="G2715" s="283"/>
      <c r="J2715" s="293">
        <v>3</v>
      </c>
      <c r="K2715" s="293"/>
      <c r="L2715" s="293"/>
      <c r="M2715" s="293"/>
      <c r="N2715" s="293"/>
      <c r="P2715" s="42">
        <v>1200</v>
      </c>
      <c r="R2715" s="42">
        <v>100</v>
      </c>
      <c r="T2715" s="284">
        <v>1100</v>
      </c>
      <c r="U2715" s="284"/>
    </row>
    <row r="2716" spans="2:21" x14ac:dyDescent="0.25">
      <c r="B2716" s="292">
        <v>136</v>
      </c>
      <c r="C2716" s="292"/>
      <c r="D2716" s="292"/>
      <c r="F2716" s="283" t="s">
        <v>175</v>
      </c>
      <c r="G2716" s="283"/>
      <c r="J2716" s="293">
        <v>39</v>
      </c>
      <c r="K2716" s="293"/>
      <c r="L2716" s="293"/>
      <c r="M2716" s="293"/>
      <c r="N2716" s="293"/>
      <c r="P2716" s="42">
        <v>23400</v>
      </c>
      <c r="R2716" s="42">
        <v>1386</v>
      </c>
      <c r="T2716" s="284">
        <v>22014</v>
      </c>
      <c r="U2716" s="284"/>
    </row>
    <row r="2717" spans="2:21" x14ac:dyDescent="0.25">
      <c r="B2717" s="292">
        <v>137</v>
      </c>
      <c r="C2717" s="292"/>
      <c r="D2717" s="292"/>
      <c r="F2717" s="283" t="s">
        <v>174</v>
      </c>
      <c r="G2717" s="283"/>
      <c r="J2717" s="293">
        <v>33</v>
      </c>
      <c r="K2717" s="293"/>
      <c r="L2717" s="293"/>
      <c r="M2717" s="293"/>
      <c r="N2717" s="293"/>
      <c r="P2717" s="42">
        <v>13200</v>
      </c>
      <c r="R2717" s="42">
        <v>560</v>
      </c>
      <c r="T2717" s="284">
        <v>12640</v>
      </c>
      <c r="U2717" s="284"/>
    </row>
    <row r="2718" spans="2:21" x14ac:dyDescent="0.25">
      <c r="B2718" s="292">
        <v>138</v>
      </c>
      <c r="C2718" s="292"/>
      <c r="D2718" s="292"/>
      <c r="F2718" s="283" t="s">
        <v>355</v>
      </c>
      <c r="G2718" s="283"/>
      <c r="J2718" s="293">
        <v>11</v>
      </c>
      <c r="K2718" s="293"/>
      <c r="L2718" s="293"/>
      <c r="M2718" s="293"/>
      <c r="N2718" s="293"/>
      <c r="P2718" s="42">
        <v>6600</v>
      </c>
      <c r="R2718" s="42">
        <v>838</v>
      </c>
      <c r="T2718" s="284">
        <v>5762</v>
      </c>
      <c r="U2718" s="284"/>
    </row>
    <row r="2719" spans="2:21" x14ac:dyDescent="0.25">
      <c r="B2719" s="292">
        <v>139</v>
      </c>
      <c r="C2719" s="292"/>
      <c r="D2719" s="292"/>
      <c r="F2719" s="283" t="s">
        <v>173</v>
      </c>
      <c r="G2719" s="283"/>
      <c r="J2719" s="293">
        <v>60</v>
      </c>
      <c r="K2719" s="293"/>
      <c r="L2719" s="293"/>
      <c r="M2719" s="293"/>
      <c r="N2719" s="293"/>
      <c r="P2719" s="42">
        <v>60000</v>
      </c>
      <c r="R2719" s="42">
        <v>9400</v>
      </c>
      <c r="T2719" s="284">
        <v>50600</v>
      </c>
      <c r="U2719" s="284"/>
    </row>
    <row r="2720" spans="2:21" x14ac:dyDescent="0.25">
      <c r="B2720" s="292">
        <v>140</v>
      </c>
      <c r="C2720" s="292"/>
      <c r="D2720" s="292"/>
      <c r="F2720" s="283" t="s">
        <v>296</v>
      </c>
      <c r="G2720" s="283"/>
      <c r="J2720" s="293">
        <v>9</v>
      </c>
      <c r="K2720" s="293"/>
      <c r="L2720" s="293"/>
      <c r="M2720" s="293"/>
      <c r="N2720" s="293"/>
      <c r="P2720" s="42">
        <v>10800</v>
      </c>
      <c r="R2720" s="42">
        <v>740</v>
      </c>
      <c r="T2720" s="284">
        <v>10060</v>
      </c>
      <c r="U2720" s="284"/>
    </row>
    <row r="2721" spans="2:21" x14ac:dyDescent="0.25">
      <c r="B2721" s="292">
        <v>141</v>
      </c>
      <c r="C2721" s="292"/>
      <c r="D2721" s="292"/>
      <c r="F2721" s="283" t="s">
        <v>91</v>
      </c>
      <c r="G2721" s="283"/>
      <c r="J2721" s="293">
        <v>99</v>
      </c>
      <c r="K2721" s="293"/>
      <c r="L2721" s="293"/>
      <c r="M2721" s="293"/>
      <c r="N2721" s="293"/>
      <c r="P2721" s="42">
        <v>24750</v>
      </c>
      <c r="R2721" s="42">
        <v>5323</v>
      </c>
      <c r="T2721" s="284">
        <v>19427</v>
      </c>
      <c r="U2721" s="284"/>
    </row>
    <row r="2722" spans="2:21" x14ac:dyDescent="0.25">
      <c r="B2722" s="292">
        <v>142</v>
      </c>
      <c r="C2722" s="292"/>
      <c r="D2722" s="292"/>
      <c r="F2722" s="283" t="s">
        <v>90</v>
      </c>
      <c r="G2722" s="283"/>
      <c r="J2722" s="293">
        <v>103</v>
      </c>
      <c r="K2722" s="293"/>
      <c r="L2722" s="293"/>
      <c r="M2722" s="293"/>
      <c r="N2722" s="293"/>
      <c r="P2722" s="42">
        <v>29870</v>
      </c>
      <c r="R2722" s="42">
        <v>5048</v>
      </c>
      <c r="T2722" s="284">
        <v>24822</v>
      </c>
      <c r="U2722" s="284"/>
    </row>
    <row r="2723" spans="2:21" x14ac:dyDescent="0.25">
      <c r="B2723" s="292">
        <v>143</v>
      </c>
      <c r="C2723" s="292"/>
      <c r="D2723" s="292"/>
      <c r="F2723" s="283" t="s">
        <v>89</v>
      </c>
      <c r="G2723" s="283"/>
      <c r="J2723" s="293">
        <v>9</v>
      </c>
      <c r="K2723" s="293"/>
      <c r="L2723" s="293"/>
      <c r="M2723" s="293"/>
      <c r="N2723" s="293"/>
      <c r="P2723" s="42">
        <v>7920</v>
      </c>
      <c r="R2723" s="42">
        <v>780</v>
      </c>
      <c r="T2723" s="284">
        <v>7140</v>
      </c>
      <c r="U2723" s="284"/>
    </row>
    <row r="2724" spans="2:21" x14ac:dyDescent="0.25">
      <c r="B2724" s="292">
        <v>144</v>
      </c>
      <c r="C2724" s="292"/>
      <c r="D2724" s="292"/>
      <c r="F2724" s="283" t="s">
        <v>88</v>
      </c>
      <c r="G2724" s="283"/>
      <c r="J2724" s="293">
        <v>247</v>
      </c>
      <c r="K2724" s="293"/>
      <c r="L2724" s="293"/>
      <c r="M2724" s="293"/>
      <c r="N2724" s="293"/>
      <c r="P2724" s="42">
        <v>44460</v>
      </c>
      <c r="R2724" s="42">
        <v>8773</v>
      </c>
      <c r="T2724" s="284">
        <v>35687</v>
      </c>
      <c r="U2724" s="284"/>
    </row>
    <row r="2725" spans="2:21" x14ac:dyDescent="0.25">
      <c r="B2725" s="292">
        <v>145</v>
      </c>
      <c r="C2725" s="292"/>
      <c r="D2725" s="292"/>
      <c r="F2725" s="283" t="s">
        <v>87</v>
      </c>
      <c r="G2725" s="283"/>
      <c r="J2725" s="293">
        <v>5</v>
      </c>
      <c r="K2725" s="293"/>
      <c r="L2725" s="293"/>
      <c r="M2725" s="293"/>
      <c r="N2725" s="293"/>
      <c r="P2725" s="42">
        <v>1450</v>
      </c>
      <c r="R2725" s="42">
        <v>80</v>
      </c>
      <c r="T2725" s="284">
        <v>1370</v>
      </c>
      <c r="U2725" s="284"/>
    </row>
    <row r="2726" spans="2:21" x14ac:dyDescent="0.25">
      <c r="B2726" s="292">
        <v>146</v>
      </c>
      <c r="C2726" s="292"/>
      <c r="D2726" s="292"/>
      <c r="F2726" s="283" t="s">
        <v>86</v>
      </c>
      <c r="G2726" s="283"/>
      <c r="J2726" s="293">
        <v>10</v>
      </c>
      <c r="K2726" s="293"/>
      <c r="L2726" s="293"/>
      <c r="M2726" s="293"/>
      <c r="N2726" s="293"/>
      <c r="P2726" s="42">
        <v>11400</v>
      </c>
      <c r="R2726" s="42">
        <v>794</v>
      </c>
      <c r="T2726" s="284">
        <v>10606</v>
      </c>
      <c r="U2726" s="284"/>
    </row>
    <row r="2727" spans="2:21" x14ac:dyDescent="0.25">
      <c r="B2727" s="292">
        <v>147</v>
      </c>
      <c r="C2727" s="292"/>
      <c r="D2727" s="292"/>
      <c r="F2727" s="283" t="s">
        <v>85</v>
      </c>
      <c r="G2727" s="283"/>
      <c r="J2727" s="293">
        <v>44</v>
      </c>
      <c r="K2727" s="293"/>
      <c r="L2727" s="293"/>
      <c r="M2727" s="293"/>
      <c r="N2727" s="293"/>
      <c r="P2727" s="42">
        <v>91520</v>
      </c>
      <c r="R2727" s="42">
        <v>8990</v>
      </c>
      <c r="T2727" s="284">
        <v>82530</v>
      </c>
      <c r="U2727" s="284"/>
    </row>
    <row r="2728" spans="2:21" x14ac:dyDescent="0.25">
      <c r="B2728" s="292">
        <v>148</v>
      </c>
      <c r="C2728" s="292"/>
      <c r="D2728" s="292"/>
      <c r="F2728" s="283" t="s">
        <v>84</v>
      </c>
      <c r="G2728" s="283"/>
      <c r="J2728" s="293">
        <v>11</v>
      </c>
      <c r="K2728" s="293"/>
      <c r="L2728" s="293"/>
      <c r="M2728" s="293"/>
      <c r="N2728" s="293"/>
      <c r="P2728" s="42">
        <v>6490</v>
      </c>
      <c r="R2728" s="42">
        <v>720</v>
      </c>
      <c r="T2728" s="284">
        <v>5770</v>
      </c>
      <c r="U2728" s="284"/>
    </row>
    <row r="2729" spans="2:21" x14ac:dyDescent="0.25">
      <c r="B2729" s="292">
        <v>149</v>
      </c>
      <c r="C2729" s="292"/>
      <c r="D2729" s="292"/>
      <c r="F2729" s="283" t="s">
        <v>331</v>
      </c>
      <c r="G2729" s="283"/>
      <c r="J2729" s="293">
        <v>20</v>
      </c>
      <c r="K2729" s="293"/>
      <c r="L2729" s="293"/>
      <c r="M2729" s="293"/>
      <c r="N2729" s="293"/>
      <c r="P2729" s="42">
        <v>10000</v>
      </c>
      <c r="R2729" s="42">
        <v>2900</v>
      </c>
      <c r="T2729" s="284">
        <v>7100</v>
      </c>
      <c r="U2729" s="284"/>
    </row>
    <row r="2730" spans="2:21" x14ac:dyDescent="0.25">
      <c r="B2730" s="292">
        <v>150</v>
      </c>
      <c r="C2730" s="292"/>
      <c r="D2730" s="292"/>
      <c r="F2730" s="283" t="s">
        <v>208</v>
      </c>
      <c r="G2730" s="283"/>
      <c r="J2730" s="293">
        <v>8</v>
      </c>
      <c r="K2730" s="293"/>
      <c r="L2730" s="293"/>
      <c r="M2730" s="293"/>
      <c r="N2730" s="293"/>
      <c r="P2730" s="42">
        <v>4000</v>
      </c>
      <c r="R2730" s="42">
        <v>1030</v>
      </c>
      <c r="T2730" s="284">
        <v>2970</v>
      </c>
      <c r="U2730" s="284"/>
    </row>
    <row r="2731" spans="2:21" x14ac:dyDescent="0.25">
      <c r="B2731" s="292">
        <v>151</v>
      </c>
      <c r="C2731" s="292"/>
      <c r="D2731" s="292"/>
      <c r="F2731" s="283" t="s">
        <v>273</v>
      </c>
      <c r="G2731" s="283"/>
      <c r="J2731" s="293">
        <v>3</v>
      </c>
      <c r="K2731" s="293"/>
      <c r="L2731" s="293"/>
      <c r="M2731" s="293"/>
      <c r="N2731" s="293"/>
      <c r="P2731" s="42">
        <v>1500</v>
      </c>
      <c r="R2731" s="42">
        <v>450</v>
      </c>
      <c r="T2731" s="284">
        <v>1050</v>
      </c>
      <c r="U2731" s="284"/>
    </row>
    <row r="2732" spans="2:21" x14ac:dyDescent="0.25">
      <c r="B2732" s="292">
        <v>152</v>
      </c>
      <c r="C2732" s="292"/>
      <c r="D2732" s="292"/>
      <c r="F2732" s="283" t="s">
        <v>206</v>
      </c>
      <c r="G2732" s="283"/>
      <c r="J2732" s="293">
        <v>1</v>
      </c>
      <c r="K2732" s="293"/>
      <c r="L2732" s="293"/>
      <c r="M2732" s="293"/>
      <c r="N2732" s="293"/>
      <c r="P2732" s="42">
        <v>500</v>
      </c>
      <c r="R2732" s="42">
        <v>0</v>
      </c>
      <c r="T2732" s="284">
        <v>500</v>
      </c>
      <c r="U2732" s="284"/>
    </row>
    <row r="2733" spans="2:21" x14ac:dyDescent="0.25">
      <c r="B2733" s="292">
        <v>153</v>
      </c>
      <c r="C2733" s="292"/>
      <c r="D2733" s="292"/>
      <c r="F2733" s="283" t="s">
        <v>205</v>
      </c>
      <c r="G2733" s="283"/>
      <c r="J2733" s="293">
        <v>4</v>
      </c>
      <c r="K2733" s="293"/>
      <c r="L2733" s="293"/>
      <c r="M2733" s="293"/>
      <c r="N2733" s="293"/>
      <c r="P2733" s="42">
        <v>2000</v>
      </c>
      <c r="R2733" s="42">
        <v>450</v>
      </c>
      <c r="T2733" s="284">
        <v>1550</v>
      </c>
      <c r="U2733" s="284"/>
    </row>
    <row r="2734" spans="2:21" x14ac:dyDescent="0.25">
      <c r="B2734" s="292">
        <v>154</v>
      </c>
      <c r="C2734" s="292"/>
      <c r="D2734" s="292"/>
      <c r="F2734" s="283" t="s">
        <v>83</v>
      </c>
      <c r="G2734" s="283"/>
      <c r="J2734" s="293">
        <v>3</v>
      </c>
      <c r="K2734" s="293"/>
      <c r="L2734" s="293"/>
      <c r="M2734" s="293"/>
      <c r="N2734" s="293"/>
      <c r="P2734" s="42">
        <v>1500</v>
      </c>
      <c r="R2734" s="42">
        <v>450</v>
      </c>
      <c r="T2734" s="284">
        <v>1050</v>
      </c>
      <c r="U2734" s="284"/>
    </row>
    <row r="2735" spans="2:21" x14ac:dyDescent="0.25">
      <c r="B2735" s="292">
        <v>155</v>
      </c>
      <c r="C2735" s="292"/>
      <c r="D2735" s="292"/>
      <c r="F2735" s="283" t="s">
        <v>271</v>
      </c>
      <c r="G2735" s="283"/>
      <c r="J2735" s="293">
        <v>18</v>
      </c>
      <c r="K2735" s="293"/>
      <c r="L2735" s="293"/>
      <c r="M2735" s="293"/>
      <c r="N2735" s="293"/>
      <c r="P2735" s="42">
        <v>9000</v>
      </c>
      <c r="R2735" s="42">
        <v>2230</v>
      </c>
      <c r="T2735" s="284">
        <v>6770</v>
      </c>
      <c r="U2735" s="284"/>
    </row>
    <row r="2736" spans="2:21" x14ac:dyDescent="0.25">
      <c r="B2736" s="292">
        <v>156</v>
      </c>
      <c r="C2736" s="292"/>
      <c r="D2736" s="292"/>
      <c r="F2736" s="283" t="s">
        <v>363</v>
      </c>
      <c r="G2736" s="283"/>
      <c r="J2736" s="293">
        <v>3</v>
      </c>
      <c r="K2736" s="293"/>
      <c r="L2736" s="293"/>
      <c r="M2736" s="293"/>
      <c r="N2736" s="293"/>
      <c r="P2736" s="42">
        <v>1500</v>
      </c>
      <c r="R2736" s="42">
        <v>450</v>
      </c>
      <c r="T2736" s="284">
        <v>1050</v>
      </c>
      <c r="U2736" s="284"/>
    </row>
    <row r="2737" spans="1:21" x14ac:dyDescent="0.25">
      <c r="B2737" s="292">
        <v>157</v>
      </c>
      <c r="C2737" s="292"/>
      <c r="D2737" s="292"/>
      <c r="F2737" s="283" t="s">
        <v>82</v>
      </c>
      <c r="G2737" s="283"/>
      <c r="J2737" s="293">
        <v>3</v>
      </c>
      <c r="K2737" s="293"/>
      <c r="L2737" s="293"/>
      <c r="M2737" s="293"/>
      <c r="N2737" s="293"/>
      <c r="P2737" s="42">
        <v>870</v>
      </c>
      <c r="R2737" s="42">
        <v>580</v>
      </c>
      <c r="T2737" s="284">
        <v>290</v>
      </c>
      <c r="U2737" s="284"/>
    </row>
    <row r="2738" spans="1:21" x14ac:dyDescent="0.25">
      <c r="B2738" s="292">
        <v>158</v>
      </c>
      <c r="C2738" s="292"/>
      <c r="D2738" s="292"/>
      <c r="F2738" s="283" t="s">
        <v>81</v>
      </c>
      <c r="G2738" s="283"/>
      <c r="J2738" s="293">
        <v>371</v>
      </c>
      <c r="K2738" s="293"/>
      <c r="L2738" s="293"/>
      <c r="M2738" s="293"/>
      <c r="N2738" s="293"/>
      <c r="P2738" s="42">
        <v>107590</v>
      </c>
      <c r="R2738" s="42">
        <v>11300</v>
      </c>
      <c r="T2738" s="284">
        <v>96290</v>
      </c>
      <c r="U2738" s="284"/>
    </row>
    <row r="2739" spans="1:21" s="40" customFormat="1" x14ac:dyDescent="0.25">
      <c r="A2739" s="290" t="s">
        <v>398</v>
      </c>
      <c r="B2739" s="290"/>
      <c r="C2739" s="290"/>
      <c r="D2739" s="290"/>
      <c r="E2739" s="290"/>
      <c r="F2739" s="290"/>
      <c r="G2739" s="290"/>
      <c r="H2739" s="290"/>
      <c r="I2739" s="290"/>
      <c r="J2739" s="290"/>
      <c r="K2739" s="291">
        <v>4516</v>
      </c>
      <c r="L2739" s="291"/>
      <c r="M2739" s="291"/>
      <c r="N2739" s="291"/>
      <c r="O2739" s="291"/>
      <c r="P2739" s="41">
        <v>3746540</v>
      </c>
      <c r="R2739" s="41">
        <v>2970879</v>
      </c>
      <c r="T2739" s="287">
        <v>775901</v>
      </c>
      <c r="U2739" s="287"/>
    </row>
    <row r="2740" spans="1:21" x14ac:dyDescent="0.25">
      <c r="B2740" s="292">
        <v>1</v>
      </c>
      <c r="C2740" s="292"/>
      <c r="D2740" s="292"/>
      <c r="F2740" s="283" t="s">
        <v>78</v>
      </c>
      <c r="G2740" s="283"/>
      <c r="J2740" s="293">
        <v>90</v>
      </c>
      <c r="K2740" s="293"/>
      <c r="L2740" s="293"/>
      <c r="M2740" s="293"/>
      <c r="N2740" s="293"/>
      <c r="P2740" s="42">
        <v>26100</v>
      </c>
      <c r="R2740" s="42">
        <v>26100</v>
      </c>
      <c r="T2740" s="284">
        <v>0</v>
      </c>
      <c r="U2740" s="284"/>
    </row>
    <row r="2741" spans="1:21" x14ac:dyDescent="0.25">
      <c r="B2741" s="292">
        <v>2</v>
      </c>
      <c r="C2741" s="292"/>
      <c r="D2741" s="292"/>
      <c r="F2741" s="283" t="s">
        <v>167</v>
      </c>
      <c r="G2741" s="283"/>
      <c r="J2741" s="293">
        <v>2</v>
      </c>
      <c r="K2741" s="293"/>
      <c r="L2741" s="293"/>
      <c r="M2741" s="293"/>
      <c r="N2741" s="293"/>
      <c r="P2741" s="42">
        <v>1140</v>
      </c>
      <c r="R2741" s="42">
        <v>340</v>
      </c>
      <c r="T2741" s="284">
        <v>800</v>
      </c>
      <c r="U2741" s="284"/>
    </row>
    <row r="2742" spans="1:21" x14ac:dyDescent="0.25">
      <c r="B2742" s="292">
        <v>3</v>
      </c>
      <c r="C2742" s="292"/>
      <c r="D2742" s="292"/>
      <c r="F2742" s="283" t="s">
        <v>164</v>
      </c>
      <c r="G2742" s="283"/>
      <c r="J2742" s="293">
        <v>1</v>
      </c>
      <c r="K2742" s="293"/>
      <c r="L2742" s="293"/>
      <c r="M2742" s="293"/>
      <c r="N2742" s="293"/>
      <c r="P2742" s="42">
        <v>590</v>
      </c>
      <c r="R2742" s="42">
        <v>180</v>
      </c>
      <c r="T2742" s="284">
        <v>410</v>
      </c>
      <c r="U2742" s="284"/>
    </row>
    <row r="2743" spans="1:21" x14ac:dyDescent="0.25">
      <c r="B2743" s="292">
        <v>4</v>
      </c>
      <c r="C2743" s="292"/>
      <c r="D2743" s="292"/>
      <c r="F2743" s="283" t="s">
        <v>162</v>
      </c>
      <c r="G2743" s="283"/>
      <c r="J2743" s="293">
        <v>46</v>
      </c>
      <c r="K2743" s="293"/>
      <c r="L2743" s="293"/>
      <c r="M2743" s="293"/>
      <c r="N2743" s="293"/>
      <c r="P2743" s="42">
        <v>19780</v>
      </c>
      <c r="R2743" s="42">
        <v>8629</v>
      </c>
      <c r="T2743" s="284">
        <v>11151</v>
      </c>
      <c r="U2743" s="284"/>
    </row>
    <row r="2744" spans="1:21" x14ac:dyDescent="0.25">
      <c r="B2744" s="292">
        <v>5</v>
      </c>
      <c r="C2744" s="292"/>
      <c r="D2744" s="292"/>
      <c r="F2744" s="283" t="s">
        <v>160</v>
      </c>
      <c r="G2744" s="283"/>
      <c r="J2744" s="293">
        <v>19</v>
      </c>
      <c r="K2744" s="293"/>
      <c r="L2744" s="293"/>
      <c r="M2744" s="293"/>
      <c r="N2744" s="293"/>
      <c r="P2744" s="42">
        <v>5510</v>
      </c>
      <c r="R2744" s="42">
        <v>1520</v>
      </c>
      <c r="T2744" s="284">
        <v>3990</v>
      </c>
      <c r="U2744" s="284"/>
    </row>
    <row r="2745" spans="1:21" x14ac:dyDescent="0.25">
      <c r="B2745" s="292">
        <v>6</v>
      </c>
      <c r="C2745" s="292"/>
      <c r="D2745" s="292"/>
      <c r="F2745" s="283" t="s">
        <v>159</v>
      </c>
      <c r="G2745" s="283"/>
      <c r="J2745" s="293">
        <v>428</v>
      </c>
      <c r="K2745" s="293"/>
      <c r="L2745" s="293"/>
      <c r="M2745" s="293"/>
      <c r="N2745" s="293"/>
      <c r="P2745" s="42">
        <v>0</v>
      </c>
      <c r="R2745" s="42">
        <v>0</v>
      </c>
      <c r="T2745" s="284">
        <v>0</v>
      </c>
      <c r="U2745" s="284"/>
    </row>
    <row r="2746" spans="1:21" x14ac:dyDescent="0.25">
      <c r="B2746" s="292">
        <v>7</v>
      </c>
      <c r="C2746" s="292"/>
      <c r="D2746" s="292"/>
      <c r="F2746" s="283" t="s">
        <v>158</v>
      </c>
      <c r="G2746" s="283"/>
      <c r="J2746" s="293">
        <v>494</v>
      </c>
      <c r="K2746" s="293"/>
      <c r="L2746" s="293"/>
      <c r="M2746" s="293"/>
      <c r="N2746" s="293"/>
      <c r="P2746" s="42">
        <v>271700</v>
      </c>
      <c r="R2746" s="42">
        <v>81929</v>
      </c>
      <c r="T2746" s="284">
        <v>189771</v>
      </c>
      <c r="U2746" s="284"/>
    </row>
    <row r="2747" spans="1:21" x14ac:dyDescent="0.25">
      <c r="B2747" s="292">
        <v>8</v>
      </c>
      <c r="C2747" s="292"/>
      <c r="D2747" s="292"/>
      <c r="F2747" s="283" t="s">
        <v>157</v>
      </c>
      <c r="G2747" s="283"/>
      <c r="J2747" s="293">
        <v>348</v>
      </c>
      <c r="K2747" s="293"/>
      <c r="L2747" s="293"/>
      <c r="M2747" s="293"/>
      <c r="N2747" s="293"/>
      <c r="P2747" s="42">
        <v>170520</v>
      </c>
      <c r="R2747" s="42">
        <v>74129</v>
      </c>
      <c r="T2747" s="284">
        <v>96391</v>
      </c>
      <c r="U2747" s="284"/>
    </row>
    <row r="2748" spans="1:21" x14ac:dyDescent="0.25">
      <c r="B2748" s="292">
        <v>9</v>
      </c>
      <c r="C2748" s="292"/>
      <c r="D2748" s="292"/>
      <c r="F2748" s="283" t="s">
        <v>77</v>
      </c>
      <c r="G2748" s="283"/>
      <c r="J2748" s="293">
        <v>533</v>
      </c>
      <c r="K2748" s="293"/>
      <c r="L2748" s="293"/>
      <c r="M2748" s="293"/>
      <c r="N2748" s="293"/>
      <c r="P2748" s="42">
        <v>220300</v>
      </c>
      <c r="R2748" s="42">
        <v>220300</v>
      </c>
      <c r="T2748" s="284">
        <v>0</v>
      </c>
      <c r="U2748" s="284"/>
    </row>
    <row r="2749" spans="1:21" x14ac:dyDescent="0.25">
      <c r="B2749" s="292">
        <v>10</v>
      </c>
      <c r="C2749" s="292"/>
      <c r="D2749" s="292"/>
      <c r="F2749" s="283" t="s">
        <v>242</v>
      </c>
      <c r="G2749" s="283"/>
      <c r="J2749" s="293">
        <v>3</v>
      </c>
      <c r="K2749" s="293"/>
      <c r="L2749" s="293"/>
      <c r="M2749" s="293"/>
      <c r="N2749" s="293"/>
      <c r="P2749" s="42">
        <v>1500</v>
      </c>
      <c r="R2749" s="42">
        <v>1500</v>
      </c>
      <c r="T2749" s="284">
        <v>0</v>
      </c>
      <c r="U2749" s="284"/>
    </row>
    <row r="2750" spans="1:21" x14ac:dyDescent="0.25">
      <c r="B2750" s="292">
        <v>11</v>
      </c>
      <c r="C2750" s="292"/>
      <c r="D2750" s="292"/>
      <c r="F2750" s="283" t="s">
        <v>76</v>
      </c>
      <c r="G2750" s="283"/>
      <c r="J2750" s="293">
        <v>2</v>
      </c>
      <c r="K2750" s="293"/>
      <c r="L2750" s="293"/>
      <c r="M2750" s="293"/>
      <c r="N2750" s="293"/>
      <c r="P2750" s="42">
        <v>1000</v>
      </c>
      <c r="R2750" s="42">
        <v>1000</v>
      </c>
      <c r="T2750" s="284">
        <v>0</v>
      </c>
      <c r="U2750" s="284"/>
    </row>
    <row r="2751" spans="1:21" x14ac:dyDescent="0.25">
      <c r="B2751" s="292">
        <v>12</v>
      </c>
      <c r="C2751" s="292"/>
      <c r="D2751" s="292"/>
      <c r="F2751" s="283" t="s">
        <v>156</v>
      </c>
      <c r="G2751" s="283"/>
      <c r="J2751" s="293">
        <v>13</v>
      </c>
      <c r="K2751" s="293"/>
      <c r="L2751" s="293"/>
      <c r="M2751" s="293"/>
      <c r="N2751" s="293"/>
      <c r="P2751" s="42">
        <v>2470</v>
      </c>
      <c r="R2751" s="42">
        <v>770</v>
      </c>
      <c r="T2751" s="284">
        <v>1700</v>
      </c>
      <c r="U2751" s="284"/>
    </row>
    <row r="2752" spans="1:21" x14ac:dyDescent="0.25">
      <c r="B2752" s="292">
        <v>13</v>
      </c>
      <c r="C2752" s="292"/>
      <c r="D2752" s="292"/>
      <c r="F2752" s="283" t="s">
        <v>155</v>
      </c>
      <c r="G2752" s="283"/>
      <c r="J2752" s="293">
        <v>40</v>
      </c>
      <c r="K2752" s="293"/>
      <c r="L2752" s="293"/>
      <c r="M2752" s="293"/>
      <c r="N2752" s="293"/>
      <c r="P2752" s="42">
        <v>10000</v>
      </c>
      <c r="R2752" s="42">
        <v>3660</v>
      </c>
      <c r="T2752" s="284">
        <v>6340</v>
      </c>
      <c r="U2752" s="284"/>
    </row>
    <row r="2753" spans="2:21" x14ac:dyDescent="0.25">
      <c r="B2753" s="292">
        <v>14</v>
      </c>
      <c r="C2753" s="292"/>
      <c r="D2753" s="292"/>
      <c r="F2753" s="283" t="s">
        <v>154</v>
      </c>
      <c r="G2753" s="283"/>
      <c r="J2753" s="293">
        <v>2</v>
      </c>
      <c r="K2753" s="293"/>
      <c r="L2753" s="293"/>
      <c r="M2753" s="293"/>
      <c r="N2753" s="293"/>
      <c r="P2753" s="42">
        <v>1780</v>
      </c>
      <c r="R2753" s="42">
        <v>260</v>
      </c>
      <c r="T2753" s="284">
        <v>1520</v>
      </c>
      <c r="U2753" s="284"/>
    </row>
    <row r="2754" spans="2:21" x14ac:dyDescent="0.25">
      <c r="B2754" s="292">
        <v>15</v>
      </c>
      <c r="C2754" s="292"/>
      <c r="D2754" s="292"/>
      <c r="F2754" s="283" t="s">
        <v>153</v>
      </c>
      <c r="G2754" s="283"/>
      <c r="J2754" s="293">
        <v>2</v>
      </c>
      <c r="K2754" s="293"/>
      <c r="L2754" s="293"/>
      <c r="M2754" s="293"/>
      <c r="N2754" s="293"/>
      <c r="P2754" s="42">
        <v>2360</v>
      </c>
      <c r="R2754" s="42">
        <v>360</v>
      </c>
      <c r="T2754" s="284">
        <v>2000</v>
      </c>
      <c r="U2754" s="284"/>
    </row>
    <row r="2755" spans="2:21" x14ac:dyDescent="0.25">
      <c r="B2755" s="292">
        <v>16</v>
      </c>
      <c r="C2755" s="292"/>
      <c r="D2755" s="292"/>
      <c r="F2755" s="283" t="s">
        <v>152</v>
      </c>
      <c r="G2755" s="283"/>
      <c r="J2755" s="293">
        <v>19</v>
      </c>
      <c r="K2755" s="293"/>
      <c r="L2755" s="293"/>
      <c r="M2755" s="293"/>
      <c r="N2755" s="293"/>
      <c r="P2755" s="42">
        <v>11210</v>
      </c>
      <c r="R2755" s="42">
        <v>3450</v>
      </c>
      <c r="T2755" s="284">
        <v>7760</v>
      </c>
      <c r="U2755" s="284"/>
    </row>
    <row r="2756" spans="2:21" x14ac:dyDescent="0.25">
      <c r="B2756" s="292">
        <v>17</v>
      </c>
      <c r="C2756" s="292"/>
      <c r="D2756" s="292"/>
      <c r="F2756" s="283" t="s">
        <v>151</v>
      </c>
      <c r="G2756" s="283"/>
      <c r="J2756" s="293">
        <v>80</v>
      </c>
      <c r="K2756" s="293"/>
      <c r="L2756" s="293"/>
      <c r="M2756" s="293"/>
      <c r="N2756" s="293"/>
      <c r="P2756" s="42">
        <v>18400</v>
      </c>
      <c r="R2756" s="42">
        <v>6330</v>
      </c>
      <c r="T2756" s="284">
        <v>12070</v>
      </c>
      <c r="U2756" s="284"/>
    </row>
    <row r="2757" spans="2:21" x14ac:dyDescent="0.25">
      <c r="B2757" s="292">
        <v>18</v>
      </c>
      <c r="C2757" s="292"/>
      <c r="D2757" s="292"/>
      <c r="F2757" s="283" t="s">
        <v>150</v>
      </c>
      <c r="G2757" s="283"/>
      <c r="J2757" s="293">
        <v>16</v>
      </c>
      <c r="K2757" s="293"/>
      <c r="L2757" s="293"/>
      <c r="M2757" s="293"/>
      <c r="N2757" s="293"/>
      <c r="P2757" s="42">
        <v>2720</v>
      </c>
      <c r="R2757" s="42">
        <v>800</v>
      </c>
      <c r="T2757" s="284">
        <v>1920</v>
      </c>
      <c r="U2757" s="284"/>
    </row>
    <row r="2758" spans="2:21" x14ac:dyDescent="0.25">
      <c r="B2758" s="292">
        <v>19</v>
      </c>
      <c r="C2758" s="292"/>
      <c r="D2758" s="292"/>
      <c r="F2758" s="283" t="s">
        <v>142</v>
      </c>
      <c r="G2758" s="283"/>
      <c r="J2758" s="293">
        <v>1</v>
      </c>
      <c r="K2758" s="293"/>
      <c r="L2758" s="293"/>
      <c r="M2758" s="293"/>
      <c r="N2758" s="293"/>
      <c r="P2758" s="42">
        <v>350</v>
      </c>
      <c r="R2758" s="42">
        <v>150</v>
      </c>
      <c r="T2758" s="284">
        <v>200</v>
      </c>
      <c r="U2758" s="284"/>
    </row>
    <row r="2759" spans="2:21" x14ac:dyDescent="0.25">
      <c r="B2759" s="292">
        <v>20</v>
      </c>
      <c r="C2759" s="292"/>
      <c r="D2759" s="292"/>
      <c r="F2759" s="283" t="s">
        <v>75</v>
      </c>
      <c r="G2759" s="283"/>
      <c r="J2759" s="293">
        <v>936</v>
      </c>
      <c r="K2759" s="293"/>
      <c r="L2759" s="293"/>
      <c r="M2759" s="293"/>
      <c r="N2759" s="293"/>
      <c r="P2759" s="42">
        <v>2340000</v>
      </c>
      <c r="R2759" s="42">
        <v>2340000</v>
      </c>
      <c r="T2759" s="284">
        <v>0</v>
      </c>
      <c r="U2759" s="284"/>
    </row>
    <row r="2760" spans="2:21" x14ac:dyDescent="0.25">
      <c r="B2760" s="292">
        <v>21</v>
      </c>
      <c r="C2760" s="292"/>
      <c r="D2760" s="292"/>
      <c r="F2760" s="283" t="s">
        <v>192</v>
      </c>
      <c r="G2760" s="283"/>
      <c r="J2760" s="293">
        <v>4</v>
      </c>
      <c r="K2760" s="293"/>
      <c r="L2760" s="293"/>
      <c r="M2760" s="293"/>
      <c r="N2760" s="293"/>
      <c r="P2760" s="42">
        <v>6200</v>
      </c>
      <c r="R2760" s="42">
        <v>0</v>
      </c>
      <c r="T2760" s="284">
        <v>6200</v>
      </c>
      <c r="U2760" s="284"/>
    </row>
    <row r="2761" spans="2:21" x14ac:dyDescent="0.25">
      <c r="B2761" s="292">
        <v>22</v>
      </c>
      <c r="C2761" s="292"/>
      <c r="D2761" s="292"/>
      <c r="F2761" s="283" t="s">
        <v>136</v>
      </c>
      <c r="G2761" s="283"/>
      <c r="J2761" s="293">
        <v>22</v>
      </c>
      <c r="K2761" s="293"/>
      <c r="L2761" s="293"/>
      <c r="M2761" s="293"/>
      <c r="N2761" s="293"/>
      <c r="P2761" s="42">
        <v>18700</v>
      </c>
      <c r="R2761" s="42">
        <v>4290</v>
      </c>
      <c r="T2761" s="284">
        <v>14410</v>
      </c>
      <c r="U2761" s="284"/>
    </row>
    <row r="2762" spans="2:21" x14ac:dyDescent="0.25">
      <c r="B2762" s="292">
        <v>23</v>
      </c>
      <c r="C2762" s="292"/>
      <c r="D2762" s="292"/>
      <c r="F2762" s="283" t="s">
        <v>74</v>
      </c>
      <c r="G2762" s="283"/>
      <c r="J2762" s="293">
        <v>4</v>
      </c>
      <c r="K2762" s="293"/>
      <c r="L2762" s="293"/>
      <c r="M2762" s="293"/>
      <c r="N2762" s="293"/>
      <c r="P2762" s="42">
        <v>3400</v>
      </c>
      <c r="R2762" s="42">
        <v>3400</v>
      </c>
      <c r="T2762" s="284">
        <v>0</v>
      </c>
      <c r="U2762" s="284"/>
    </row>
    <row r="2763" spans="2:21" x14ac:dyDescent="0.25">
      <c r="B2763" s="292">
        <v>24</v>
      </c>
      <c r="C2763" s="292"/>
      <c r="D2763" s="292"/>
      <c r="F2763" s="283" t="s">
        <v>190</v>
      </c>
      <c r="G2763" s="283"/>
      <c r="J2763" s="293">
        <v>12</v>
      </c>
      <c r="K2763" s="293"/>
      <c r="L2763" s="293"/>
      <c r="M2763" s="293"/>
      <c r="N2763" s="293"/>
      <c r="P2763" s="42">
        <v>18840</v>
      </c>
      <c r="R2763" s="42">
        <v>2880</v>
      </c>
      <c r="T2763" s="284">
        <v>15960</v>
      </c>
      <c r="U2763" s="284"/>
    </row>
    <row r="2764" spans="2:21" x14ac:dyDescent="0.25">
      <c r="B2764" s="292">
        <v>25</v>
      </c>
      <c r="C2764" s="292"/>
      <c r="D2764" s="292"/>
      <c r="F2764" s="283" t="s">
        <v>135</v>
      </c>
      <c r="G2764" s="283"/>
      <c r="J2764" s="293">
        <v>6</v>
      </c>
      <c r="K2764" s="293"/>
      <c r="L2764" s="293"/>
      <c r="M2764" s="293"/>
      <c r="N2764" s="293"/>
      <c r="P2764" s="42">
        <v>5700</v>
      </c>
      <c r="R2764" s="42">
        <v>1733</v>
      </c>
      <c r="T2764" s="284">
        <v>3967</v>
      </c>
      <c r="U2764" s="284"/>
    </row>
    <row r="2765" spans="2:21" x14ac:dyDescent="0.25">
      <c r="B2765" s="292">
        <v>26</v>
      </c>
      <c r="C2765" s="292"/>
      <c r="D2765" s="292"/>
      <c r="F2765" s="283" t="s">
        <v>134</v>
      </c>
      <c r="G2765" s="283"/>
      <c r="J2765" s="293">
        <v>4</v>
      </c>
      <c r="K2765" s="293"/>
      <c r="L2765" s="293"/>
      <c r="M2765" s="293"/>
      <c r="N2765" s="293"/>
      <c r="P2765" s="42">
        <v>14800</v>
      </c>
      <c r="R2765" s="42">
        <v>3200</v>
      </c>
      <c r="T2765" s="284">
        <v>11600</v>
      </c>
      <c r="U2765" s="284"/>
    </row>
    <row r="2766" spans="2:21" x14ac:dyDescent="0.25">
      <c r="B2766" s="292">
        <v>27</v>
      </c>
      <c r="C2766" s="292"/>
      <c r="D2766" s="292"/>
      <c r="F2766" s="283" t="s">
        <v>229</v>
      </c>
      <c r="G2766" s="283"/>
      <c r="J2766" s="293">
        <v>10</v>
      </c>
      <c r="K2766" s="293"/>
      <c r="L2766" s="293"/>
      <c r="M2766" s="293"/>
      <c r="N2766" s="293"/>
      <c r="P2766" s="42">
        <v>70000</v>
      </c>
      <c r="R2766" s="42">
        <v>31000</v>
      </c>
      <c r="T2766" s="284">
        <v>39000</v>
      </c>
      <c r="U2766" s="284"/>
    </row>
    <row r="2767" spans="2:21" x14ac:dyDescent="0.25">
      <c r="B2767" s="292">
        <v>28</v>
      </c>
      <c r="C2767" s="292"/>
      <c r="D2767" s="292"/>
      <c r="F2767" s="283" t="s">
        <v>132</v>
      </c>
      <c r="G2767" s="283"/>
      <c r="J2767" s="293">
        <v>7</v>
      </c>
      <c r="K2767" s="293"/>
      <c r="L2767" s="293"/>
      <c r="M2767" s="293"/>
      <c r="N2767" s="293"/>
      <c r="P2767" s="42">
        <v>8680</v>
      </c>
      <c r="R2767" s="42">
        <v>2654</v>
      </c>
      <c r="T2767" s="284">
        <v>6026</v>
      </c>
      <c r="U2767" s="284"/>
    </row>
    <row r="2768" spans="2:21" x14ac:dyDescent="0.25">
      <c r="B2768" s="292">
        <v>29</v>
      </c>
      <c r="C2768" s="292"/>
      <c r="D2768" s="292"/>
      <c r="F2768" s="283" t="s">
        <v>131</v>
      </c>
      <c r="G2768" s="283"/>
      <c r="J2768" s="293">
        <v>6</v>
      </c>
      <c r="K2768" s="293"/>
      <c r="L2768" s="293"/>
      <c r="M2768" s="293"/>
      <c r="N2768" s="293"/>
      <c r="P2768" s="42">
        <v>22200</v>
      </c>
      <c r="R2768" s="42">
        <v>4800</v>
      </c>
      <c r="T2768" s="284">
        <v>17400</v>
      </c>
      <c r="U2768" s="284"/>
    </row>
    <row r="2769" spans="2:21" x14ac:dyDescent="0.25">
      <c r="B2769" s="292">
        <v>30</v>
      </c>
      <c r="C2769" s="292"/>
      <c r="D2769" s="292"/>
      <c r="F2769" s="283" t="s">
        <v>130</v>
      </c>
      <c r="G2769" s="283"/>
      <c r="J2769" s="293">
        <v>10</v>
      </c>
      <c r="K2769" s="293"/>
      <c r="L2769" s="293"/>
      <c r="M2769" s="293"/>
      <c r="N2769" s="293"/>
      <c r="P2769" s="42">
        <v>80000</v>
      </c>
      <c r="R2769" s="42">
        <v>41000</v>
      </c>
      <c r="T2769" s="284">
        <v>39000</v>
      </c>
      <c r="U2769" s="284"/>
    </row>
    <row r="2770" spans="2:21" x14ac:dyDescent="0.25">
      <c r="B2770" s="292">
        <v>31</v>
      </c>
      <c r="C2770" s="292"/>
      <c r="D2770" s="292"/>
      <c r="F2770" s="283" t="s">
        <v>127</v>
      </c>
      <c r="G2770" s="283"/>
      <c r="J2770" s="293">
        <v>60</v>
      </c>
      <c r="K2770" s="293"/>
      <c r="L2770" s="293"/>
      <c r="M2770" s="293"/>
      <c r="N2770" s="293"/>
      <c r="P2770" s="42">
        <v>18000</v>
      </c>
      <c r="R2770" s="42">
        <v>7176</v>
      </c>
      <c r="T2770" s="284">
        <v>10824</v>
      </c>
      <c r="U2770" s="284"/>
    </row>
    <row r="2771" spans="2:21" x14ac:dyDescent="0.25">
      <c r="B2771" s="292">
        <v>32</v>
      </c>
      <c r="C2771" s="292"/>
      <c r="D2771" s="292"/>
      <c r="F2771" s="283" t="s">
        <v>126</v>
      </c>
      <c r="G2771" s="283"/>
      <c r="J2771" s="293">
        <v>55</v>
      </c>
      <c r="K2771" s="293"/>
      <c r="L2771" s="293"/>
      <c r="M2771" s="293"/>
      <c r="N2771" s="293"/>
      <c r="P2771" s="42">
        <v>11000</v>
      </c>
      <c r="R2771" s="42">
        <v>4470</v>
      </c>
      <c r="T2771" s="284">
        <v>6530</v>
      </c>
      <c r="U2771" s="284"/>
    </row>
    <row r="2772" spans="2:21" x14ac:dyDescent="0.25">
      <c r="B2772" s="292">
        <v>33</v>
      </c>
      <c r="C2772" s="292"/>
      <c r="D2772" s="292"/>
      <c r="F2772" s="283" t="s">
        <v>125</v>
      </c>
      <c r="G2772" s="283"/>
      <c r="J2772" s="293">
        <v>39</v>
      </c>
      <c r="K2772" s="293"/>
      <c r="L2772" s="293"/>
      <c r="M2772" s="293"/>
      <c r="N2772" s="293"/>
      <c r="P2772" s="42">
        <v>15600</v>
      </c>
      <c r="R2772" s="42">
        <v>2280</v>
      </c>
      <c r="T2772" s="284">
        <v>13320</v>
      </c>
      <c r="U2772" s="284"/>
    </row>
    <row r="2773" spans="2:21" x14ac:dyDescent="0.25">
      <c r="B2773" s="292">
        <v>34</v>
      </c>
      <c r="C2773" s="292"/>
      <c r="D2773" s="292"/>
      <c r="F2773" s="283" t="s">
        <v>124</v>
      </c>
      <c r="G2773" s="283"/>
      <c r="J2773" s="293">
        <v>14</v>
      </c>
      <c r="K2773" s="293"/>
      <c r="L2773" s="293"/>
      <c r="M2773" s="293"/>
      <c r="N2773" s="293"/>
      <c r="P2773" s="42">
        <v>6360</v>
      </c>
      <c r="R2773" s="42">
        <v>1900</v>
      </c>
      <c r="T2773" s="284">
        <v>4460</v>
      </c>
      <c r="U2773" s="284"/>
    </row>
    <row r="2774" spans="2:21" x14ac:dyDescent="0.25">
      <c r="B2774" s="292">
        <v>35</v>
      </c>
      <c r="C2774" s="292"/>
      <c r="D2774" s="292"/>
      <c r="F2774" s="283" t="s">
        <v>350</v>
      </c>
      <c r="G2774" s="283"/>
      <c r="J2774" s="293">
        <v>1</v>
      </c>
      <c r="K2774" s="293"/>
      <c r="L2774" s="293"/>
      <c r="M2774" s="293"/>
      <c r="N2774" s="293"/>
      <c r="P2774" s="42">
        <v>780</v>
      </c>
      <c r="R2774" s="42">
        <v>230</v>
      </c>
      <c r="T2774" s="284">
        <v>550</v>
      </c>
      <c r="U2774" s="284"/>
    </row>
    <row r="2775" spans="2:21" x14ac:dyDescent="0.25">
      <c r="B2775" s="292">
        <v>36</v>
      </c>
      <c r="C2775" s="292"/>
      <c r="D2775" s="292"/>
      <c r="F2775" s="283" t="s">
        <v>123</v>
      </c>
      <c r="G2775" s="283"/>
      <c r="J2775" s="293">
        <v>2</v>
      </c>
      <c r="K2775" s="293"/>
      <c r="L2775" s="293"/>
      <c r="M2775" s="293"/>
      <c r="N2775" s="293"/>
      <c r="P2775" s="42">
        <v>1560</v>
      </c>
      <c r="R2775" s="42">
        <v>460</v>
      </c>
      <c r="T2775" s="284">
        <v>1100</v>
      </c>
      <c r="U2775" s="284"/>
    </row>
    <row r="2776" spans="2:21" x14ac:dyDescent="0.25">
      <c r="B2776" s="292">
        <v>37</v>
      </c>
      <c r="C2776" s="292"/>
      <c r="D2776" s="292"/>
      <c r="F2776" s="283" t="s">
        <v>183</v>
      </c>
      <c r="G2776" s="283"/>
      <c r="J2776" s="293">
        <v>1</v>
      </c>
      <c r="K2776" s="293"/>
      <c r="L2776" s="293"/>
      <c r="M2776" s="293"/>
      <c r="N2776" s="293"/>
      <c r="P2776" s="42">
        <v>440</v>
      </c>
      <c r="R2776" s="42">
        <v>130</v>
      </c>
      <c r="T2776" s="284">
        <v>310</v>
      </c>
      <c r="U2776" s="284"/>
    </row>
    <row r="2777" spans="2:21" x14ac:dyDescent="0.25">
      <c r="B2777" s="292">
        <v>38</v>
      </c>
      <c r="C2777" s="292"/>
      <c r="D2777" s="292"/>
      <c r="F2777" s="283" t="s">
        <v>119</v>
      </c>
      <c r="G2777" s="283"/>
      <c r="J2777" s="293">
        <v>32</v>
      </c>
      <c r="K2777" s="293"/>
      <c r="L2777" s="293"/>
      <c r="M2777" s="293"/>
      <c r="N2777" s="293"/>
      <c r="P2777" s="42">
        <v>28480</v>
      </c>
      <c r="R2777" s="42">
        <v>9180</v>
      </c>
      <c r="T2777" s="284">
        <v>19300</v>
      </c>
      <c r="U2777" s="284"/>
    </row>
    <row r="2778" spans="2:21" x14ac:dyDescent="0.25">
      <c r="B2778" s="292">
        <v>39</v>
      </c>
      <c r="C2778" s="292"/>
      <c r="D2778" s="292"/>
      <c r="F2778" s="283" t="s">
        <v>118</v>
      </c>
      <c r="G2778" s="283"/>
      <c r="J2778" s="293">
        <v>73</v>
      </c>
      <c r="K2778" s="293"/>
      <c r="L2778" s="293"/>
      <c r="M2778" s="293"/>
      <c r="N2778" s="293"/>
      <c r="P2778" s="42">
        <v>72270</v>
      </c>
      <c r="R2778" s="42">
        <v>24887</v>
      </c>
      <c r="T2778" s="284">
        <v>47383</v>
      </c>
      <c r="U2778" s="284"/>
    </row>
    <row r="2779" spans="2:21" x14ac:dyDescent="0.25">
      <c r="B2779" s="292">
        <v>40</v>
      </c>
      <c r="C2779" s="292"/>
      <c r="D2779" s="292"/>
      <c r="F2779" s="283" t="s">
        <v>117</v>
      </c>
      <c r="G2779" s="283"/>
      <c r="J2779" s="293">
        <v>1</v>
      </c>
      <c r="K2779" s="293"/>
      <c r="L2779" s="293"/>
      <c r="M2779" s="293"/>
      <c r="N2779" s="293"/>
      <c r="P2779" s="42">
        <v>800</v>
      </c>
      <c r="R2779" s="42">
        <v>200</v>
      </c>
      <c r="T2779" s="284">
        <v>600</v>
      </c>
      <c r="U2779" s="284"/>
    </row>
    <row r="2780" spans="2:21" x14ac:dyDescent="0.25">
      <c r="B2780" s="292">
        <v>41</v>
      </c>
      <c r="C2780" s="292"/>
      <c r="D2780" s="292"/>
      <c r="F2780" s="283" t="s">
        <v>115</v>
      </c>
      <c r="G2780" s="283"/>
      <c r="J2780" s="293">
        <v>38</v>
      </c>
      <c r="K2780" s="293"/>
      <c r="L2780" s="293"/>
      <c r="M2780" s="293"/>
      <c r="N2780" s="293"/>
      <c r="P2780" s="42">
        <v>11020</v>
      </c>
      <c r="R2780" s="42">
        <v>3449</v>
      </c>
      <c r="T2780" s="284">
        <v>7571</v>
      </c>
      <c r="U2780" s="284"/>
    </row>
    <row r="2781" spans="2:21" x14ac:dyDescent="0.25">
      <c r="B2781" s="292">
        <v>42</v>
      </c>
      <c r="C2781" s="292"/>
      <c r="D2781" s="292"/>
      <c r="F2781" s="283" t="s">
        <v>225</v>
      </c>
      <c r="G2781" s="283"/>
      <c r="J2781" s="293">
        <v>1</v>
      </c>
      <c r="K2781" s="293"/>
      <c r="L2781" s="293"/>
      <c r="M2781" s="293"/>
      <c r="N2781" s="293"/>
      <c r="P2781" s="42">
        <v>5000</v>
      </c>
      <c r="R2781" s="42">
        <v>4950</v>
      </c>
      <c r="T2781" s="284">
        <v>50</v>
      </c>
      <c r="U2781" s="284"/>
    </row>
    <row r="2782" spans="2:21" x14ac:dyDescent="0.25">
      <c r="B2782" s="292">
        <v>43</v>
      </c>
      <c r="C2782" s="292"/>
      <c r="D2782" s="292"/>
      <c r="F2782" s="283" t="s">
        <v>109</v>
      </c>
      <c r="G2782" s="283"/>
      <c r="J2782" s="293">
        <v>2</v>
      </c>
      <c r="K2782" s="293"/>
      <c r="L2782" s="293"/>
      <c r="M2782" s="293"/>
      <c r="N2782" s="293"/>
      <c r="P2782" s="42">
        <v>1560</v>
      </c>
      <c r="R2782" s="42">
        <v>460</v>
      </c>
      <c r="T2782" s="284">
        <v>1100</v>
      </c>
      <c r="U2782" s="284"/>
    </row>
    <row r="2783" spans="2:21" x14ac:dyDescent="0.25">
      <c r="B2783" s="292">
        <v>44</v>
      </c>
      <c r="C2783" s="292"/>
      <c r="D2783" s="292"/>
      <c r="F2783" s="283" t="s">
        <v>108</v>
      </c>
      <c r="G2783" s="283"/>
      <c r="J2783" s="293">
        <v>113</v>
      </c>
      <c r="K2783" s="293"/>
      <c r="L2783" s="293"/>
      <c r="M2783" s="293"/>
      <c r="N2783" s="293"/>
      <c r="P2783" s="42">
        <v>11300</v>
      </c>
      <c r="R2783" s="42">
        <v>210</v>
      </c>
      <c r="T2783" s="284">
        <v>11090</v>
      </c>
      <c r="U2783" s="284"/>
    </row>
    <row r="2784" spans="2:21" x14ac:dyDescent="0.25">
      <c r="B2784" s="292">
        <v>45</v>
      </c>
      <c r="C2784" s="292"/>
      <c r="D2784" s="292"/>
      <c r="F2784" s="283" t="s">
        <v>107</v>
      </c>
      <c r="G2784" s="283"/>
      <c r="J2784" s="293">
        <v>71</v>
      </c>
      <c r="K2784" s="293"/>
      <c r="L2784" s="293"/>
      <c r="M2784" s="293"/>
      <c r="N2784" s="293"/>
      <c r="P2784" s="42">
        <v>12070</v>
      </c>
      <c r="R2784" s="42">
        <v>4611</v>
      </c>
      <c r="T2784" s="284">
        <v>7459</v>
      </c>
      <c r="U2784" s="284"/>
    </row>
    <row r="2785" spans="2:21" x14ac:dyDescent="0.25">
      <c r="B2785" s="292">
        <v>46</v>
      </c>
      <c r="C2785" s="292"/>
      <c r="D2785" s="292"/>
      <c r="F2785" s="283" t="s">
        <v>106</v>
      </c>
      <c r="G2785" s="283"/>
      <c r="J2785" s="293">
        <v>497</v>
      </c>
      <c r="K2785" s="293"/>
      <c r="L2785" s="293"/>
      <c r="M2785" s="293"/>
      <c r="N2785" s="293"/>
      <c r="P2785" s="42">
        <v>49700</v>
      </c>
      <c r="R2785" s="42">
        <v>570</v>
      </c>
      <c r="T2785" s="284">
        <v>49130</v>
      </c>
      <c r="U2785" s="284"/>
    </row>
    <row r="2786" spans="2:21" x14ac:dyDescent="0.25">
      <c r="B2786" s="292">
        <v>47</v>
      </c>
      <c r="C2786" s="292"/>
      <c r="D2786" s="292"/>
      <c r="F2786" s="283" t="s">
        <v>105</v>
      </c>
      <c r="G2786" s="283"/>
      <c r="J2786" s="293">
        <v>3</v>
      </c>
      <c r="K2786" s="293"/>
      <c r="L2786" s="293"/>
      <c r="M2786" s="293"/>
      <c r="N2786" s="293"/>
      <c r="P2786" s="42">
        <v>3450</v>
      </c>
      <c r="R2786" s="42">
        <v>0</v>
      </c>
      <c r="T2786" s="284">
        <v>3450</v>
      </c>
      <c r="U2786" s="284"/>
    </row>
    <row r="2787" spans="2:21" x14ac:dyDescent="0.25">
      <c r="B2787" s="292">
        <v>48</v>
      </c>
      <c r="C2787" s="292"/>
      <c r="D2787" s="292"/>
      <c r="F2787" s="283" t="s">
        <v>397</v>
      </c>
      <c r="G2787" s="283"/>
      <c r="J2787" s="293">
        <v>1</v>
      </c>
      <c r="K2787" s="293"/>
      <c r="L2787" s="293"/>
      <c r="M2787" s="293"/>
      <c r="N2787" s="293"/>
      <c r="P2787" s="42">
        <v>1150</v>
      </c>
      <c r="R2787" s="42">
        <v>0</v>
      </c>
      <c r="T2787" s="284">
        <v>1150</v>
      </c>
      <c r="U2787" s="284"/>
    </row>
    <row r="2788" spans="2:21" x14ac:dyDescent="0.25">
      <c r="B2788" s="292">
        <v>49</v>
      </c>
      <c r="C2788" s="292"/>
      <c r="D2788" s="292"/>
      <c r="F2788" s="283" t="s">
        <v>214</v>
      </c>
      <c r="G2788" s="283"/>
      <c r="J2788" s="293">
        <v>2</v>
      </c>
      <c r="K2788" s="293"/>
      <c r="L2788" s="293"/>
      <c r="M2788" s="293"/>
      <c r="N2788" s="293"/>
      <c r="P2788" s="42">
        <v>1980</v>
      </c>
      <c r="R2788" s="42">
        <v>300</v>
      </c>
      <c r="T2788" s="284">
        <v>1680</v>
      </c>
      <c r="U2788" s="284"/>
    </row>
    <row r="2789" spans="2:21" x14ac:dyDescent="0.25">
      <c r="B2789" s="292">
        <v>50</v>
      </c>
      <c r="C2789" s="292"/>
      <c r="D2789" s="292"/>
      <c r="F2789" s="283" t="s">
        <v>103</v>
      </c>
      <c r="G2789" s="283"/>
      <c r="J2789" s="293">
        <v>17</v>
      </c>
      <c r="K2789" s="293"/>
      <c r="L2789" s="293"/>
      <c r="M2789" s="293"/>
      <c r="N2789" s="293"/>
      <c r="P2789" s="42">
        <v>5610</v>
      </c>
      <c r="R2789" s="42">
        <v>2200</v>
      </c>
      <c r="T2789" s="284">
        <v>3410</v>
      </c>
      <c r="U2789" s="284"/>
    </row>
    <row r="2790" spans="2:21" x14ac:dyDescent="0.25">
      <c r="B2790" s="292">
        <v>51</v>
      </c>
      <c r="C2790" s="292"/>
      <c r="D2790" s="292"/>
      <c r="F2790" s="283" t="s">
        <v>102</v>
      </c>
      <c r="G2790" s="283"/>
      <c r="J2790" s="293">
        <v>1</v>
      </c>
      <c r="K2790" s="293"/>
      <c r="L2790" s="293"/>
      <c r="M2790" s="293"/>
      <c r="N2790" s="293"/>
      <c r="P2790" s="42">
        <v>880</v>
      </c>
      <c r="R2790" s="42">
        <v>130</v>
      </c>
      <c r="T2790" s="284">
        <v>750</v>
      </c>
      <c r="U2790" s="284"/>
    </row>
    <row r="2791" spans="2:21" x14ac:dyDescent="0.25">
      <c r="B2791" s="292">
        <v>52</v>
      </c>
      <c r="C2791" s="292"/>
      <c r="D2791" s="292"/>
      <c r="F2791" s="283" t="s">
        <v>100</v>
      </c>
      <c r="G2791" s="283"/>
      <c r="J2791" s="293">
        <v>5</v>
      </c>
      <c r="K2791" s="293"/>
      <c r="L2791" s="293"/>
      <c r="M2791" s="293"/>
      <c r="N2791" s="293"/>
      <c r="P2791" s="42">
        <v>900</v>
      </c>
      <c r="R2791" s="42">
        <v>200</v>
      </c>
      <c r="T2791" s="284">
        <v>700</v>
      </c>
      <c r="U2791" s="284"/>
    </row>
    <row r="2792" spans="2:21" x14ac:dyDescent="0.25">
      <c r="B2792" s="292">
        <v>53</v>
      </c>
      <c r="C2792" s="292"/>
      <c r="D2792" s="292"/>
      <c r="F2792" s="283" t="s">
        <v>178</v>
      </c>
      <c r="G2792" s="283"/>
      <c r="J2792" s="293">
        <v>1</v>
      </c>
      <c r="K2792" s="293"/>
      <c r="L2792" s="293"/>
      <c r="M2792" s="293"/>
      <c r="N2792" s="293"/>
      <c r="P2792" s="42">
        <v>1650</v>
      </c>
      <c r="R2792" s="42">
        <v>0</v>
      </c>
      <c r="T2792" s="284">
        <v>1650</v>
      </c>
      <c r="U2792" s="284"/>
    </row>
    <row r="2793" spans="2:21" x14ac:dyDescent="0.25">
      <c r="B2793" s="292">
        <v>54</v>
      </c>
      <c r="C2793" s="292"/>
      <c r="D2793" s="292"/>
      <c r="F2793" s="283" t="s">
        <v>97</v>
      </c>
      <c r="G2793" s="283"/>
      <c r="J2793" s="293">
        <v>1</v>
      </c>
      <c r="K2793" s="293"/>
      <c r="L2793" s="293"/>
      <c r="M2793" s="293"/>
      <c r="N2793" s="293"/>
      <c r="P2793" s="42">
        <v>1590</v>
      </c>
      <c r="R2793" s="42">
        <v>240</v>
      </c>
      <c r="T2793" s="284">
        <v>1350</v>
      </c>
      <c r="U2793" s="284"/>
    </row>
    <row r="2794" spans="2:21" x14ac:dyDescent="0.25">
      <c r="B2794" s="292">
        <v>55</v>
      </c>
      <c r="C2794" s="292"/>
      <c r="D2794" s="292"/>
      <c r="F2794" s="283" t="s">
        <v>96</v>
      </c>
      <c r="G2794" s="283"/>
      <c r="J2794" s="293">
        <v>1</v>
      </c>
      <c r="K2794" s="293"/>
      <c r="L2794" s="293"/>
      <c r="M2794" s="293"/>
      <c r="N2794" s="293"/>
      <c r="P2794" s="42">
        <v>440</v>
      </c>
      <c r="R2794" s="42">
        <v>130</v>
      </c>
      <c r="T2794" s="284">
        <v>310</v>
      </c>
      <c r="U2794" s="284"/>
    </row>
    <row r="2795" spans="2:21" x14ac:dyDescent="0.25">
      <c r="B2795" s="292">
        <v>56</v>
      </c>
      <c r="C2795" s="292"/>
      <c r="D2795" s="292"/>
      <c r="F2795" s="283" t="s">
        <v>95</v>
      </c>
      <c r="G2795" s="283"/>
      <c r="J2795" s="293">
        <v>1</v>
      </c>
      <c r="K2795" s="293"/>
      <c r="L2795" s="293"/>
      <c r="M2795" s="293"/>
      <c r="N2795" s="293"/>
      <c r="P2795" s="42">
        <v>290</v>
      </c>
      <c r="R2795" s="42">
        <v>186</v>
      </c>
      <c r="T2795" s="284">
        <v>344</v>
      </c>
      <c r="U2795" s="284"/>
    </row>
    <row r="2796" spans="2:21" x14ac:dyDescent="0.25">
      <c r="B2796" s="292">
        <v>57</v>
      </c>
      <c r="C2796" s="292"/>
      <c r="D2796" s="292"/>
      <c r="F2796" s="283" t="s">
        <v>93</v>
      </c>
      <c r="G2796" s="283"/>
      <c r="J2796" s="293">
        <v>3</v>
      </c>
      <c r="K2796" s="293"/>
      <c r="L2796" s="293"/>
      <c r="M2796" s="293"/>
      <c r="N2796" s="293"/>
      <c r="P2796" s="42">
        <v>1770</v>
      </c>
      <c r="R2796" s="42">
        <v>270</v>
      </c>
      <c r="T2796" s="284">
        <v>1500</v>
      </c>
      <c r="U2796" s="284"/>
    </row>
    <row r="2797" spans="2:21" x14ac:dyDescent="0.25">
      <c r="B2797" s="292">
        <v>58</v>
      </c>
      <c r="C2797" s="292"/>
      <c r="D2797" s="292"/>
      <c r="F2797" s="283" t="s">
        <v>92</v>
      </c>
      <c r="G2797" s="283"/>
      <c r="J2797" s="293">
        <v>126</v>
      </c>
      <c r="K2797" s="293"/>
      <c r="L2797" s="293"/>
      <c r="M2797" s="293"/>
      <c r="N2797" s="293"/>
      <c r="P2797" s="42">
        <v>61280</v>
      </c>
      <c r="R2797" s="42">
        <v>17400</v>
      </c>
      <c r="T2797" s="284">
        <v>43880</v>
      </c>
      <c r="U2797" s="284"/>
    </row>
    <row r="2798" spans="2:21" x14ac:dyDescent="0.25">
      <c r="B2798" s="292">
        <v>59</v>
      </c>
      <c r="C2798" s="292"/>
      <c r="D2798" s="292"/>
      <c r="F2798" s="283" t="s">
        <v>91</v>
      </c>
      <c r="G2798" s="283"/>
      <c r="J2798" s="293">
        <v>31</v>
      </c>
      <c r="K2798" s="293"/>
      <c r="L2798" s="293"/>
      <c r="M2798" s="293"/>
      <c r="N2798" s="293"/>
      <c r="P2798" s="42">
        <v>7750</v>
      </c>
      <c r="R2798" s="42">
        <v>2185</v>
      </c>
      <c r="T2798" s="284">
        <v>5565</v>
      </c>
      <c r="U2798" s="284"/>
    </row>
    <row r="2799" spans="2:21" x14ac:dyDescent="0.25">
      <c r="B2799" s="292">
        <v>60</v>
      </c>
      <c r="C2799" s="292"/>
      <c r="D2799" s="292"/>
      <c r="F2799" s="283" t="s">
        <v>90</v>
      </c>
      <c r="G2799" s="283"/>
      <c r="J2799" s="293">
        <v>25</v>
      </c>
      <c r="K2799" s="293"/>
      <c r="L2799" s="293"/>
      <c r="M2799" s="293"/>
      <c r="N2799" s="293"/>
      <c r="P2799" s="42">
        <v>7250</v>
      </c>
      <c r="R2799" s="42">
        <v>2000</v>
      </c>
      <c r="T2799" s="284">
        <v>5250</v>
      </c>
      <c r="U2799" s="284"/>
    </row>
    <row r="2800" spans="2:21" x14ac:dyDescent="0.25">
      <c r="B2800" s="292">
        <v>61</v>
      </c>
      <c r="C2800" s="292"/>
      <c r="D2800" s="292"/>
      <c r="F2800" s="283" t="s">
        <v>89</v>
      </c>
      <c r="G2800" s="283"/>
      <c r="J2800" s="293">
        <v>2</v>
      </c>
      <c r="K2800" s="293"/>
      <c r="L2800" s="293"/>
      <c r="M2800" s="293"/>
      <c r="N2800" s="293"/>
      <c r="P2800" s="42">
        <v>1760</v>
      </c>
      <c r="R2800" s="42">
        <v>260</v>
      </c>
      <c r="T2800" s="284">
        <v>1500</v>
      </c>
      <c r="U2800" s="284"/>
    </row>
    <row r="2801" spans="1:21" x14ac:dyDescent="0.25">
      <c r="B2801" s="292">
        <v>62</v>
      </c>
      <c r="C2801" s="292"/>
      <c r="D2801" s="292"/>
      <c r="F2801" s="283" t="s">
        <v>88</v>
      </c>
      <c r="G2801" s="283"/>
      <c r="J2801" s="293">
        <v>99</v>
      </c>
      <c r="K2801" s="293"/>
      <c r="L2801" s="293"/>
      <c r="M2801" s="293"/>
      <c r="N2801" s="293"/>
      <c r="P2801" s="42">
        <v>17820</v>
      </c>
      <c r="R2801" s="42">
        <v>6571</v>
      </c>
      <c r="T2801" s="284">
        <v>11249</v>
      </c>
      <c r="U2801" s="284"/>
    </row>
    <row r="2802" spans="1:21" x14ac:dyDescent="0.25">
      <c r="B2802" s="292">
        <v>63</v>
      </c>
      <c r="C2802" s="292"/>
      <c r="D2802" s="292"/>
      <c r="F2802" s="283" t="s">
        <v>396</v>
      </c>
      <c r="G2802" s="283"/>
      <c r="J2802" s="293">
        <v>1</v>
      </c>
      <c r="K2802" s="293"/>
      <c r="L2802" s="293"/>
      <c r="M2802" s="293"/>
      <c r="N2802" s="293"/>
      <c r="P2802" s="42">
        <v>390</v>
      </c>
      <c r="R2802" s="42">
        <v>0</v>
      </c>
      <c r="T2802" s="284">
        <v>390</v>
      </c>
      <c r="U2802" s="284"/>
    </row>
    <row r="2803" spans="1:21" x14ac:dyDescent="0.25">
      <c r="B2803" s="292">
        <v>64</v>
      </c>
      <c r="C2803" s="292"/>
      <c r="D2803" s="292"/>
      <c r="F2803" s="283" t="s">
        <v>395</v>
      </c>
      <c r="G2803" s="283"/>
      <c r="J2803" s="293">
        <v>1</v>
      </c>
      <c r="K2803" s="293"/>
      <c r="L2803" s="293"/>
      <c r="M2803" s="293"/>
      <c r="N2803" s="293"/>
      <c r="P2803" s="42">
        <v>390</v>
      </c>
      <c r="R2803" s="42">
        <v>0</v>
      </c>
      <c r="T2803" s="284">
        <v>390</v>
      </c>
      <c r="U2803" s="284"/>
    </row>
    <row r="2804" spans="1:21" x14ac:dyDescent="0.25">
      <c r="B2804" s="292">
        <v>65</v>
      </c>
      <c r="C2804" s="292"/>
      <c r="D2804" s="292"/>
      <c r="F2804" s="283" t="s">
        <v>85</v>
      </c>
      <c r="G2804" s="283"/>
      <c r="J2804" s="293">
        <v>6</v>
      </c>
      <c r="K2804" s="293"/>
      <c r="L2804" s="293"/>
      <c r="M2804" s="293"/>
      <c r="N2804" s="293"/>
      <c r="P2804" s="42">
        <v>12480</v>
      </c>
      <c r="R2804" s="42">
        <v>1860</v>
      </c>
      <c r="T2804" s="284">
        <v>10620</v>
      </c>
      <c r="U2804" s="284"/>
    </row>
    <row r="2805" spans="1:21" x14ac:dyDescent="0.25">
      <c r="B2805" s="292">
        <v>66</v>
      </c>
      <c r="C2805" s="292"/>
      <c r="D2805" s="292"/>
      <c r="F2805" s="283" t="s">
        <v>84</v>
      </c>
      <c r="G2805" s="283"/>
      <c r="J2805" s="293">
        <v>24</v>
      </c>
      <c r="K2805" s="293"/>
      <c r="L2805" s="293"/>
      <c r="M2805" s="293"/>
      <c r="N2805" s="293"/>
      <c r="P2805" s="42">
        <v>14160</v>
      </c>
      <c r="R2805" s="42">
        <v>4320</v>
      </c>
      <c r="T2805" s="284">
        <v>9840</v>
      </c>
      <c r="U2805" s="284"/>
    </row>
    <row r="2806" spans="1:21" x14ac:dyDescent="0.25">
      <c r="B2806" s="292">
        <v>67</v>
      </c>
      <c r="C2806" s="292"/>
      <c r="D2806" s="292"/>
      <c r="F2806" s="283" t="s">
        <v>272</v>
      </c>
      <c r="G2806" s="283"/>
      <c r="J2806" s="293">
        <v>1</v>
      </c>
      <c r="K2806" s="293"/>
      <c r="L2806" s="293"/>
      <c r="M2806" s="293"/>
      <c r="N2806" s="293"/>
      <c r="P2806" s="42">
        <v>500</v>
      </c>
      <c r="R2806" s="42">
        <v>150</v>
      </c>
      <c r="T2806" s="284">
        <v>350</v>
      </c>
      <c r="U2806" s="284"/>
    </row>
    <row r="2807" spans="1:21" x14ac:dyDescent="0.25">
      <c r="B2807" s="292">
        <v>68</v>
      </c>
      <c r="C2807" s="292"/>
      <c r="D2807" s="292"/>
      <c r="F2807" s="283" t="s">
        <v>81</v>
      </c>
      <c r="G2807" s="283"/>
      <c r="J2807" s="293">
        <v>4</v>
      </c>
      <c r="K2807" s="293"/>
      <c r="L2807" s="293"/>
      <c r="M2807" s="293"/>
      <c r="N2807" s="293"/>
      <c r="P2807" s="42">
        <v>1160</v>
      </c>
      <c r="R2807" s="42">
        <v>950</v>
      </c>
      <c r="T2807" s="284">
        <v>210</v>
      </c>
      <c r="U2807" s="284"/>
    </row>
    <row r="2808" spans="1:21" s="40" customFormat="1" x14ac:dyDescent="0.25">
      <c r="A2808" s="290" t="s">
        <v>394</v>
      </c>
      <c r="B2808" s="290"/>
      <c r="C2808" s="290"/>
      <c r="D2808" s="290"/>
      <c r="E2808" s="290"/>
      <c r="F2808" s="290"/>
      <c r="G2808" s="290"/>
      <c r="H2808" s="290"/>
      <c r="I2808" s="290"/>
      <c r="J2808" s="290"/>
      <c r="K2808" s="291">
        <v>5645</v>
      </c>
      <c r="L2808" s="291"/>
      <c r="M2808" s="291"/>
      <c r="N2808" s="291"/>
      <c r="O2808" s="291"/>
      <c r="P2808" s="41">
        <v>5406640</v>
      </c>
      <c r="R2808" s="41">
        <v>4281903</v>
      </c>
      <c r="T2808" s="287">
        <v>1124737</v>
      </c>
      <c r="U2808" s="287"/>
    </row>
    <row r="2809" spans="1:21" x14ac:dyDescent="0.25">
      <c r="B2809" s="292">
        <v>1</v>
      </c>
      <c r="C2809" s="292"/>
      <c r="D2809" s="292"/>
      <c r="F2809" s="283" t="s">
        <v>168</v>
      </c>
      <c r="G2809" s="283"/>
      <c r="J2809" s="293">
        <v>1</v>
      </c>
      <c r="K2809" s="293"/>
      <c r="L2809" s="293"/>
      <c r="M2809" s="293"/>
      <c r="N2809" s="293"/>
      <c r="P2809" s="42">
        <v>2200</v>
      </c>
      <c r="R2809" s="42">
        <v>330</v>
      </c>
      <c r="T2809" s="284">
        <v>1870</v>
      </c>
      <c r="U2809" s="284"/>
    </row>
    <row r="2810" spans="1:21" x14ac:dyDescent="0.25">
      <c r="B2810" s="292">
        <v>2</v>
      </c>
      <c r="C2810" s="292"/>
      <c r="D2810" s="292"/>
      <c r="F2810" s="283" t="s">
        <v>78</v>
      </c>
      <c r="G2810" s="283"/>
      <c r="J2810" s="293">
        <v>240</v>
      </c>
      <c r="K2810" s="293"/>
      <c r="L2810" s="293"/>
      <c r="M2810" s="293"/>
      <c r="N2810" s="293"/>
      <c r="P2810" s="42">
        <v>69600</v>
      </c>
      <c r="R2810" s="42">
        <v>69600</v>
      </c>
      <c r="T2810" s="284">
        <v>0</v>
      </c>
      <c r="U2810" s="284"/>
    </row>
    <row r="2811" spans="1:21" x14ac:dyDescent="0.25">
      <c r="B2811" s="292">
        <v>3</v>
      </c>
      <c r="C2811" s="292"/>
      <c r="D2811" s="292"/>
      <c r="F2811" s="283" t="s">
        <v>393</v>
      </c>
      <c r="G2811" s="283"/>
      <c r="J2811" s="293">
        <v>1</v>
      </c>
      <c r="K2811" s="293"/>
      <c r="L2811" s="293"/>
      <c r="M2811" s="293"/>
      <c r="N2811" s="293"/>
      <c r="P2811" s="42">
        <v>1400</v>
      </c>
      <c r="R2811" s="42">
        <v>0</v>
      </c>
      <c r="T2811" s="284">
        <v>1400</v>
      </c>
      <c r="U2811" s="284"/>
    </row>
    <row r="2812" spans="1:21" x14ac:dyDescent="0.25">
      <c r="B2812" s="292">
        <v>4</v>
      </c>
      <c r="C2812" s="292"/>
      <c r="D2812" s="292"/>
      <c r="F2812" s="283" t="s">
        <v>248</v>
      </c>
      <c r="G2812" s="283"/>
      <c r="J2812" s="293">
        <v>1</v>
      </c>
      <c r="K2812" s="293"/>
      <c r="L2812" s="293"/>
      <c r="M2812" s="293"/>
      <c r="N2812" s="293"/>
      <c r="P2812" s="42">
        <v>1200</v>
      </c>
      <c r="R2812" s="42">
        <v>0</v>
      </c>
      <c r="T2812" s="284">
        <v>1200</v>
      </c>
      <c r="U2812" s="284"/>
    </row>
    <row r="2813" spans="1:21" x14ac:dyDescent="0.25">
      <c r="B2813" s="292">
        <v>5</v>
      </c>
      <c r="C2813" s="292"/>
      <c r="D2813" s="292"/>
      <c r="F2813" s="283" t="s">
        <v>165</v>
      </c>
      <c r="G2813" s="283"/>
      <c r="J2813" s="293">
        <v>1</v>
      </c>
      <c r="K2813" s="293"/>
      <c r="L2813" s="293"/>
      <c r="M2813" s="293"/>
      <c r="N2813" s="293"/>
      <c r="P2813" s="42">
        <v>590</v>
      </c>
      <c r="R2813" s="42">
        <v>0</v>
      </c>
      <c r="T2813" s="284">
        <v>590</v>
      </c>
      <c r="U2813" s="284"/>
    </row>
    <row r="2814" spans="1:21" x14ac:dyDescent="0.25">
      <c r="B2814" s="292">
        <v>6</v>
      </c>
      <c r="C2814" s="292"/>
      <c r="D2814" s="292"/>
      <c r="F2814" s="283" t="s">
        <v>163</v>
      </c>
      <c r="G2814" s="283"/>
      <c r="J2814" s="293">
        <v>42</v>
      </c>
      <c r="K2814" s="293"/>
      <c r="L2814" s="293"/>
      <c r="M2814" s="293"/>
      <c r="N2814" s="293"/>
      <c r="P2814" s="42">
        <v>49980</v>
      </c>
      <c r="R2814" s="42">
        <v>2160</v>
      </c>
      <c r="T2814" s="284">
        <v>47820</v>
      </c>
      <c r="U2814" s="284"/>
    </row>
    <row r="2815" spans="1:21" x14ac:dyDescent="0.25">
      <c r="B2815" s="292">
        <v>7</v>
      </c>
      <c r="C2815" s="292"/>
      <c r="D2815" s="292"/>
      <c r="F2815" s="283" t="s">
        <v>162</v>
      </c>
      <c r="G2815" s="283"/>
      <c r="J2815" s="293">
        <v>30</v>
      </c>
      <c r="K2815" s="293"/>
      <c r="L2815" s="293"/>
      <c r="M2815" s="293"/>
      <c r="N2815" s="293"/>
      <c r="P2815" s="42">
        <v>12900</v>
      </c>
      <c r="R2815" s="42">
        <v>5399</v>
      </c>
      <c r="T2815" s="284">
        <v>7501</v>
      </c>
      <c r="U2815" s="284"/>
    </row>
    <row r="2816" spans="1:21" x14ac:dyDescent="0.25">
      <c r="B2816" s="292">
        <v>8</v>
      </c>
      <c r="C2816" s="292"/>
      <c r="D2816" s="292"/>
      <c r="F2816" s="283" t="s">
        <v>160</v>
      </c>
      <c r="G2816" s="283"/>
      <c r="J2816" s="293">
        <v>9</v>
      </c>
      <c r="K2816" s="293"/>
      <c r="L2816" s="293"/>
      <c r="M2816" s="293"/>
      <c r="N2816" s="293"/>
      <c r="P2816" s="42">
        <v>2610</v>
      </c>
      <c r="R2816" s="42">
        <v>560</v>
      </c>
      <c r="T2816" s="284">
        <v>2050</v>
      </c>
      <c r="U2816" s="284"/>
    </row>
    <row r="2817" spans="2:21" x14ac:dyDescent="0.25">
      <c r="B2817" s="292">
        <v>9</v>
      </c>
      <c r="C2817" s="292"/>
      <c r="D2817" s="292"/>
      <c r="F2817" s="283" t="s">
        <v>159</v>
      </c>
      <c r="G2817" s="283"/>
      <c r="J2817" s="293">
        <v>24</v>
      </c>
      <c r="K2817" s="293"/>
      <c r="L2817" s="293"/>
      <c r="M2817" s="293"/>
      <c r="N2817" s="293"/>
      <c r="P2817" s="42">
        <v>0</v>
      </c>
      <c r="R2817" s="42">
        <v>0</v>
      </c>
      <c r="T2817" s="284">
        <v>0</v>
      </c>
      <c r="U2817" s="284"/>
    </row>
    <row r="2818" spans="2:21" x14ac:dyDescent="0.25">
      <c r="B2818" s="292">
        <v>10</v>
      </c>
      <c r="C2818" s="292"/>
      <c r="D2818" s="292"/>
      <c r="F2818" s="283" t="s">
        <v>158</v>
      </c>
      <c r="G2818" s="283"/>
      <c r="J2818" s="293">
        <v>188</v>
      </c>
      <c r="K2818" s="293"/>
      <c r="L2818" s="293"/>
      <c r="M2818" s="293"/>
      <c r="N2818" s="293"/>
      <c r="P2818" s="42">
        <v>103400</v>
      </c>
      <c r="R2818" s="42">
        <v>19500</v>
      </c>
      <c r="T2818" s="284">
        <v>83900</v>
      </c>
      <c r="U2818" s="284"/>
    </row>
    <row r="2819" spans="2:21" x14ac:dyDescent="0.25">
      <c r="B2819" s="292">
        <v>11</v>
      </c>
      <c r="C2819" s="292"/>
      <c r="D2819" s="292"/>
      <c r="F2819" s="283" t="s">
        <v>157</v>
      </c>
      <c r="G2819" s="283"/>
      <c r="J2819" s="293">
        <v>333</v>
      </c>
      <c r="K2819" s="293"/>
      <c r="L2819" s="293"/>
      <c r="M2819" s="293"/>
      <c r="N2819" s="293"/>
      <c r="P2819" s="42">
        <v>163170</v>
      </c>
      <c r="R2819" s="42">
        <v>41556</v>
      </c>
      <c r="T2819" s="284">
        <v>121614</v>
      </c>
      <c r="U2819" s="284"/>
    </row>
    <row r="2820" spans="2:21" x14ac:dyDescent="0.25">
      <c r="B2820" s="292">
        <v>12</v>
      </c>
      <c r="C2820" s="292"/>
      <c r="D2820" s="292"/>
      <c r="F2820" s="283" t="s">
        <v>197</v>
      </c>
      <c r="G2820" s="283"/>
      <c r="J2820" s="293">
        <v>1</v>
      </c>
      <c r="K2820" s="293"/>
      <c r="L2820" s="293"/>
      <c r="M2820" s="293"/>
      <c r="N2820" s="293"/>
      <c r="P2820" s="42">
        <v>500</v>
      </c>
      <c r="R2820" s="42">
        <v>150</v>
      </c>
      <c r="T2820" s="284">
        <v>350</v>
      </c>
      <c r="U2820" s="284"/>
    </row>
    <row r="2821" spans="2:21" x14ac:dyDescent="0.25">
      <c r="B2821" s="292">
        <v>13</v>
      </c>
      <c r="C2821" s="292"/>
      <c r="D2821" s="292"/>
      <c r="F2821" s="283" t="s">
        <v>293</v>
      </c>
      <c r="G2821" s="283"/>
      <c r="J2821" s="293">
        <v>2</v>
      </c>
      <c r="K2821" s="293"/>
      <c r="L2821" s="293"/>
      <c r="M2821" s="293"/>
      <c r="N2821" s="293"/>
      <c r="P2821" s="42">
        <v>1400</v>
      </c>
      <c r="R2821" s="42">
        <v>360</v>
      </c>
      <c r="T2821" s="284">
        <v>1040</v>
      </c>
      <c r="U2821" s="284"/>
    </row>
    <row r="2822" spans="2:21" x14ac:dyDescent="0.25">
      <c r="B2822" s="292">
        <v>14</v>
      </c>
      <c r="C2822" s="292"/>
      <c r="D2822" s="292"/>
      <c r="F2822" s="283" t="s">
        <v>196</v>
      </c>
      <c r="G2822" s="283"/>
      <c r="J2822" s="293">
        <v>2</v>
      </c>
      <c r="K2822" s="293"/>
      <c r="L2822" s="293"/>
      <c r="M2822" s="293"/>
      <c r="N2822" s="293"/>
      <c r="P2822" s="42">
        <v>1400</v>
      </c>
      <c r="R2822" s="42">
        <v>0</v>
      </c>
      <c r="T2822" s="284">
        <v>1400</v>
      </c>
      <c r="U2822" s="284"/>
    </row>
    <row r="2823" spans="2:21" x14ac:dyDescent="0.25">
      <c r="B2823" s="292">
        <v>15</v>
      </c>
      <c r="C2823" s="292"/>
      <c r="D2823" s="292"/>
      <c r="F2823" s="283" t="s">
        <v>77</v>
      </c>
      <c r="G2823" s="283"/>
      <c r="J2823" s="293">
        <v>1257</v>
      </c>
      <c r="K2823" s="293"/>
      <c r="L2823" s="293"/>
      <c r="M2823" s="293"/>
      <c r="N2823" s="293"/>
      <c r="P2823" s="42">
        <v>507900</v>
      </c>
      <c r="R2823" s="42">
        <v>507900</v>
      </c>
      <c r="T2823" s="284">
        <v>0</v>
      </c>
      <c r="U2823" s="284"/>
    </row>
    <row r="2824" spans="2:21" x14ac:dyDescent="0.25">
      <c r="B2824" s="292">
        <v>16</v>
      </c>
      <c r="C2824" s="292"/>
      <c r="D2824" s="292"/>
      <c r="F2824" s="283" t="s">
        <v>76</v>
      </c>
      <c r="G2824" s="283"/>
      <c r="J2824" s="293">
        <v>3</v>
      </c>
      <c r="K2824" s="293"/>
      <c r="L2824" s="293"/>
      <c r="M2824" s="293"/>
      <c r="N2824" s="293"/>
      <c r="P2824" s="42">
        <v>1800</v>
      </c>
      <c r="R2824" s="42">
        <v>1800</v>
      </c>
      <c r="T2824" s="284">
        <v>0</v>
      </c>
      <c r="U2824" s="284"/>
    </row>
    <row r="2825" spans="2:21" x14ac:dyDescent="0.25">
      <c r="B2825" s="292">
        <v>17</v>
      </c>
      <c r="C2825" s="292"/>
      <c r="D2825" s="292"/>
      <c r="F2825" s="283" t="s">
        <v>156</v>
      </c>
      <c r="G2825" s="283"/>
      <c r="J2825" s="293">
        <v>21</v>
      </c>
      <c r="K2825" s="293"/>
      <c r="L2825" s="293"/>
      <c r="M2825" s="293"/>
      <c r="N2825" s="293"/>
      <c r="P2825" s="42">
        <v>3990</v>
      </c>
      <c r="R2825" s="42">
        <v>280</v>
      </c>
      <c r="T2825" s="284">
        <v>3710</v>
      </c>
      <c r="U2825" s="284"/>
    </row>
    <row r="2826" spans="2:21" x14ac:dyDescent="0.25">
      <c r="B2826" s="292">
        <v>18</v>
      </c>
      <c r="C2826" s="292"/>
      <c r="D2826" s="292"/>
      <c r="F2826" s="283" t="s">
        <v>155</v>
      </c>
      <c r="G2826" s="283"/>
      <c r="J2826" s="293">
        <v>129</v>
      </c>
      <c r="K2826" s="293"/>
      <c r="L2826" s="293"/>
      <c r="M2826" s="293"/>
      <c r="N2826" s="293"/>
      <c r="P2826" s="42">
        <v>32250</v>
      </c>
      <c r="R2826" s="42">
        <v>7140</v>
      </c>
      <c r="T2826" s="284">
        <v>25110</v>
      </c>
      <c r="U2826" s="284"/>
    </row>
    <row r="2827" spans="2:21" x14ac:dyDescent="0.25">
      <c r="B2827" s="292">
        <v>19</v>
      </c>
      <c r="C2827" s="292"/>
      <c r="D2827" s="292"/>
      <c r="F2827" s="283" t="s">
        <v>154</v>
      </c>
      <c r="G2827" s="283"/>
      <c r="J2827" s="293">
        <v>4</v>
      </c>
      <c r="K2827" s="293"/>
      <c r="L2827" s="293"/>
      <c r="M2827" s="293"/>
      <c r="N2827" s="293"/>
      <c r="P2827" s="42">
        <v>3560</v>
      </c>
      <c r="R2827" s="42">
        <v>260</v>
      </c>
      <c r="T2827" s="284">
        <v>3300</v>
      </c>
      <c r="U2827" s="284"/>
    </row>
    <row r="2828" spans="2:21" x14ac:dyDescent="0.25">
      <c r="B2828" s="292">
        <v>20</v>
      </c>
      <c r="C2828" s="292"/>
      <c r="D2828" s="292"/>
      <c r="F2828" s="283" t="s">
        <v>153</v>
      </c>
      <c r="G2828" s="283"/>
      <c r="J2828" s="293">
        <v>13</v>
      </c>
      <c r="K2828" s="293"/>
      <c r="L2828" s="293"/>
      <c r="M2828" s="293"/>
      <c r="N2828" s="293"/>
      <c r="P2828" s="42">
        <v>15340</v>
      </c>
      <c r="R2828" s="42">
        <v>360</v>
      </c>
      <c r="T2828" s="284">
        <v>14980</v>
      </c>
      <c r="U2828" s="284"/>
    </row>
    <row r="2829" spans="2:21" x14ac:dyDescent="0.25">
      <c r="B2829" s="292">
        <v>21</v>
      </c>
      <c r="C2829" s="292"/>
      <c r="D2829" s="292"/>
      <c r="F2829" s="283" t="s">
        <v>322</v>
      </c>
      <c r="G2829" s="283"/>
      <c r="J2829" s="293">
        <v>1</v>
      </c>
      <c r="K2829" s="293"/>
      <c r="L2829" s="293"/>
      <c r="M2829" s="293"/>
      <c r="N2829" s="293"/>
      <c r="P2829" s="42">
        <v>1180</v>
      </c>
      <c r="R2829" s="42">
        <v>180</v>
      </c>
      <c r="T2829" s="284">
        <v>1000</v>
      </c>
      <c r="U2829" s="284"/>
    </row>
    <row r="2830" spans="2:21" x14ac:dyDescent="0.25">
      <c r="B2830" s="292">
        <v>22</v>
      </c>
      <c r="C2830" s="292"/>
      <c r="D2830" s="292"/>
      <c r="F2830" s="283" t="s">
        <v>194</v>
      </c>
      <c r="G2830" s="283"/>
      <c r="J2830" s="293">
        <v>1</v>
      </c>
      <c r="K2830" s="293"/>
      <c r="L2830" s="293"/>
      <c r="M2830" s="293"/>
      <c r="N2830" s="293"/>
      <c r="P2830" s="42">
        <v>700</v>
      </c>
      <c r="R2830" s="42">
        <v>180</v>
      </c>
      <c r="T2830" s="284">
        <v>520</v>
      </c>
      <c r="U2830" s="284"/>
    </row>
    <row r="2831" spans="2:21" x14ac:dyDescent="0.25">
      <c r="B2831" s="292">
        <v>23</v>
      </c>
      <c r="C2831" s="292"/>
      <c r="D2831" s="292"/>
      <c r="F2831" s="283" t="s">
        <v>152</v>
      </c>
      <c r="G2831" s="283"/>
      <c r="J2831" s="293">
        <v>27</v>
      </c>
      <c r="K2831" s="293"/>
      <c r="L2831" s="293"/>
      <c r="M2831" s="293"/>
      <c r="N2831" s="293"/>
      <c r="P2831" s="42">
        <v>15930</v>
      </c>
      <c r="R2831" s="42">
        <v>2340</v>
      </c>
      <c r="T2831" s="284">
        <v>13590</v>
      </c>
      <c r="U2831" s="284"/>
    </row>
    <row r="2832" spans="2:21" x14ac:dyDescent="0.25">
      <c r="B2832" s="292">
        <v>24</v>
      </c>
      <c r="C2832" s="292"/>
      <c r="D2832" s="292"/>
      <c r="F2832" s="283" t="s">
        <v>151</v>
      </c>
      <c r="G2832" s="283"/>
      <c r="J2832" s="293">
        <v>15</v>
      </c>
      <c r="K2832" s="293"/>
      <c r="L2832" s="293"/>
      <c r="M2832" s="293"/>
      <c r="N2832" s="293"/>
      <c r="P2832" s="42">
        <v>3450</v>
      </c>
      <c r="R2832" s="42">
        <v>791</v>
      </c>
      <c r="T2832" s="284">
        <v>2659</v>
      </c>
      <c r="U2832" s="284"/>
    </row>
    <row r="2833" spans="2:21" x14ac:dyDescent="0.25">
      <c r="B2833" s="292">
        <v>25</v>
      </c>
      <c r="C2833" s="292"/>
      <c r="D2833" s="292"/>
      <c r="F2833" s="283" t="s">
        <v>150</v>
      </c>
      <c r="G2833" s="283"/>
      <c r="J2833" s="293">
        <v>53</v>
      </c>
      <c r="K2833" s="293"/>
      <c r="L2833" s="293"/>
      <c r="M2833" s="293"/>
      <c r="N2833" s="293"/>
      <c r="P2833" s="42">
        <v>9010</v>
      </c>
      <c r="R2833" s="42">
        <v>1200</v>
      </c>
      <c r="T2833" s="284">
        <v>7810</v>
      </c>
      <c r="U2833" s="284"/>
    </row>
    <row r="2834" spans="2:21" x14ac:dyDescent="0.25">
      <c r="B2834" s="292">
        <v>26</v>
      </c>
      <c r="C2834" s="292"/>
      <c r="D2834" s="292"/>
      <c r="F2834" s="283" t="s">
        <v>149</v>
      </c>
      <c r="G2834" s="283"/>
      <c r="J2834" s="293">
        <v>11</v>
      </c>
      <c r="K2834" s="293"/>
      <c r="L2834" s="293"/>
      <c r="M2834" s="293"/>
      <c r="N2834" s="293"/>
      <c r="P2834" s="42">
        <v>550</v>
      </c>
      <c r="R2834" s="42">
        <v>0</v>
      </c>
      <c r="T2834" s="284">
        <v>550</v>
      </c>
      <c r="U2834" s="284"/>
    </row>
    <row r="2835" spans="2:21" x14ac:dyDescent="0.25">
      <c r="B2835" s="292">
        <v>27</v>
      </c>
      <c r="C2835" s="292"/>
      <c r="D2835" s="292"/>
      <c r="F2835" s="283" t="s">
        <v>147</v>
      </c>
      <c r="G2835" s="283"/>
      <c r="J2835" s="293">
        <v>11</v>
      </c>
      <c r="K2835" s="293"/>
      <c r="L2835" s="293"/>
      <c r="M2835" s="293"/>
      <c r="N2835" s="293"/>
      <c r="P2835" s="42">
        <v>330</v>
      </c>
      <c r="R2835" s="42">
        <v>0</v>
      </c>
      <c r="T2835" s="284">
        <v>330</v>
      </c>
      <c r="U2835" s="284"/>
    </row>
    <row r="2836" spans="2:21" x14ac:dyDescent="0.25">
      <c r="B2836" s="292">
        <v>28</v>
      </c>
      <c r="C2836" s="292"/>
      <c r="D2836" s="292"/>
      <c r="F2836" s="283" t="s">
        <v>146</v>
      </c>
      <c r="G2836" s="283"/>
      <c r="J2836" s="293">
        <v>9</v>
      </c>
      <c r="K2836" s="293"/>
      <c r="L2836" s="293"/>
      <c r="M2836" s="293"/>
      <c r="N2836" s="293"/>
      <c r="P2836" s="42">
        <v>450</v>
      </c>
      <c r="R2836" s="42">
        <v>0</v>
      </c>
      <c r="T2836" s="284">
        <v>450</v>
      </c>
      <c r="U2836" s="284"/>
    </row>
    <row r="2837" spans="2:21" x14ac:dyDescent="0.25">
      <c r="B2837" s="292">
        <v>29</v>
      </c>
      <c r="C2837" s="292"/>
      <c r="D2837" s="292"/>
      <c r="F2837" s="283" t="s">
        <v>144</v>
      </c>
      <c r="G2837" s="283"/>
      <c r="J2837" s="293">
        <v>8</v>
      </c>
      <c r="K2837" s="293"/>
      <c r="L2837" s="293"/>
      <c r="M2837" s="293"/>
      <c r="N2837" s="293"/>
      <c r="P2837" s="42">
        <v>2400</v>
      </c>
      <c r="R2837" s="42">
        <v>0</v>
      </c>
      <c r="T2837" s="284">
        <v>2400</v>
      </c>
      <c r="U2837" s="284"/>
    </row>
    <row r="2838" spans="2:21" x14ac:dyDescent="0.25">
      <c r="B2838" s="292">
        <v>30</v>
      </c>
      <c r="C2838" s="292"/>
      <c r="D2838" s="292"/>
      <c r="F2838" s="283" t="s">
        <v>233</v>
      </c>
      <c r="G2838" s="283"/>
      <c r="J2838" s="293">
        <v>1</v>
      </c>
      <c r="K2838" s="293"/>
      <c r="L2838" s="293"/>
      <c r="M2838" s="293"/>
      <c r="N2838" s="293"/>
      <c r="P2838" s="42">
        <v>980</v>
      </c>
      <c r="R2838" s="42">
        <v>150</v>
      </c>
      <c r="T2838" s="284">
        <v>830</v>
      </c>
      <c r="U2838" s="284"/>
    </row>
    <row r="2839" spans="2:21" x14ac:dyDescent="0.25">
      <c r="B2839" s="292">
        <v>31</v>
      </c>
      <c r="C2839" s="292"/>
      <c r="D2839" s="292"/>
      <c r="F2839" s="283" t="s">
        <v>232</v>
      </c>
      <c r="G2839" s="283"/>
      <c r="J2839" s="293">
        <v>4</v>
      </c>
      <c r="K2839" s="293"/>
      <c r="L2839" s="293"/>
      <c r="M2839" s="293"/>
      <c r="N2839" s="293"/>
      <c r="P2839" s="42">
        <v>3920</v>
      </c>
      <c r="R2839" s="42">
        <v>450</v>
      </c>
      <c r="T2839" s="284">
        <v>3470</v>
      </c>
      <c r="U2839" s="284"/>
    </row>
    <row r="2840" spans="2:21" x14ac:dyDescent="0.25">
      <c r="B2840" s="292">
        <v>32</v>
      </c>
      <c r="C2840" s="292"/>
      <c r="D2840" s="292"/>
      <c r="F2840" s="283" t="s">
        <v>193</v>
      </c>
      <c r="G2840" s="283"/>
      <c r="J2840" s="293">
        <v>3</v>
      </c>
      <c r="K2840" s="293"/>
      <c r="L2840" s="293"/>
      <c r="M2840" s="293"/>
      <c r="N2840" s="293"/>
      <c r="P2840" s="42">
        <v>2670</v>
      </c>
      <c r="R2840" s="42">
        <v>130</v>
      </c>
      <c r="T2840" s="284">
        <v>2540</v>
      </c>
      <c r="U2840" s="284"/>
    </row>
    <row r="2841" spans="2:21" x14ac:dyDescent="0.25">
      <c r="B2841" s="292">
        <v>33</v>
      </c>
      <c r="C2841" s="292"/>
      <c r="D2841" s="292"/>
      <c r="F2841" s="283" t="s">
        <v>75</v>
      </c>
      <c r="G2841" s="283"/>
      <c r="J2841" s="293">
        <v>1364</v>
      </c>
      <c r="K2841" s="293"/>
      <c r="L2841" s="293"/>
      <c r="M2841" s="293"/>
      <c r="N2841" s="293"/>
      <c r="P2841" s="42">
        <v>3410000</v>
      </c>
      <c r="R2841" s="42">
        <v>3410000</v>
      </c>
      <c r="T2841" s="284">
        <v>0</v>
      </c>
      <c r="U2841" s="284"/>
    </row>
    <row r="2842" spans="2:21" x14ac:dyDescent="0.25">
      <c r="B2842" s="292">
        <v>34</v>
      </c>
      <c r="C2842" s="292"/>
      <c r="D2842" s="292"/>
      <c r="F2842" s="283" t="s">
        <v>139</v>
      </c>
      <c r="G2842" s="283"/>
      <c r="J2842" s="293">
        <v>6</v>
      </c>
      <c r="K2842" s="293"/>
      <c r="L2842" s="293"/>
      <c r="M2842" s="293"/>
      <c r="N2842" s="293"/>
      <c r="P2842" s="42">
        <v>1620</v>
      </c>
      <c r="R2842" s="42">
        <v>160</v>
      </c>
      <c r="T2842" s="284">
        <v>1460</v>
      </c>
      <c r="U2842" s="284"/>
    </row>
    <row r="2843" spans="2:21" x14ac:dyDescent="0.25">
      <c r="B2843" s="292">
        <v>35</v>
      </c>
      <c r="C2843" s="292"/>
      <c r="D2843" s="292"/>
      <c r="F2843" s="283" t="s">
        <v>136</v>
      </c>
      <c r="G2843" s="283"/>
      <c r="J2843" s="293">
        <v>37</v>
      </c>
      <c r="K2843" s="293"/>
      <c r="L2843" s="293"/>
      <c r="M2843" s="293"/>
      <c r="N2843" s="293"/>
      <c r="P2843" s="42">
        <v>31450</v>
      </c>
      <c r="R2843" s="42">
        <v>4290</v>
      </c>
      <c r="T2843" s="284">
        <v>27160</v>
      </c>
      <c r="U2843" s="284"/>
    </row>
    <row r="2844" spans="2:21" x14ac:dyDescent="0.25">
      <c r="B2844" s="292">
        <v>36</v>
      </c>
      <c r="C2844" s="292"/>
      <c r="D2844" s="292"/>
      <c r="F2844" s="283" t="s">
        <v>74</v>
      </c>
      <c r="G2844" s="283"/>
      <c r="J2844" s="293">
        <v>92</v>
      </c>
      <c r="K2844" s="293"/>
      <c r="L2844" s="293"/>
      <c r="M2844" s="293"/>
      <c r="N2844" s="293"/>
      <c r="P2844" s="42">
        <v>78200</v>
      </c>
      <c r="R2844" s="42">
        <v>78200</v>
      </c>
      <c r="T2844" s="284">
        <v>0</v>
      </c>
      <c r="U2844" s="284"/>
    </row>
    <row r="2845" spans="2:21" x14ac:dyDescent="0.25">
      <c r="B2845" s="292">
        <v>37</v>
      </c>
      <c r="C2845" s="292"/>
      <c r="D2845" s="292"/>
      <c r="F2845" s="283" t="s">
        <v>190</v>
      </c>
      <c r="G2845" s="283"/>
      <c r="J2845" s="293">
        <v>15</v>
      </c>
      <c r="K2845" s="293"/>
      <c r="L2845" s="293"/>
      <c r="M2845" s="293"/>
      <c r="N2845" s="293"/>
      <c r="P2845" s="42">
        <v>23550</v>
      </c>
      <c r="R2845" s="42">
        <v>2160</v>
      </c>
      <c r="T2845" s="284">
        <v>21390</v>
      </c>
      <c r="U2845" s="284"/>
    </row>
    <row r="2846" spans="2:21" x14ac:dyDescent="0.25">
      <c r="B2846" s="292">
        <v>38</v>
      </c>
      <c r="C2846" s="292"/>
      <c r="D2846" s="292"/>
      <c r="F2846" s="283" t="s">
        <v>135</v>
      </c>
      <c r="G2846" s="283"/>
      <c r="J2846" s="293">
        <v>2</v>
      </c>
      <c r="K2846" s="293"/>
      <c r="L2846" s="293"/>
      <c r="M2846" s="293"/>
      <c r="N2846" s="293"/>
      <c r="P2846" s="42">
        <v>1900</v>
      </c>
      <c r="R2846" s="42">
        <v>280</v>
      </c>
      <c r="T2846" s="284">
        <v>1620</v>
      </c>
      <c r="U2846" s="284"/>
    </row>
    <row r="2847" spans="2:21" x14ac:dyDescent="0.25">
      <c r="B2847" s="292">
        <v>39</v>
      </c>
      <c r="C2847" s="292"/>
      <c r="D2847" s="292"/>
      <c r="F2847" s="283" t="s">
        <v>132</v>
      </c>
      <c r="G2847" s="283"/>
      <c r="J2847" s="293">
        <v>1</v>
      </c>
      <c r="K2847" s="293"/>
      <c r="L2847" s="293"/>
      <c r="M2847" s="293"/>
      <c r="N2847" s="293"/>
      <c r="P2847" s="42">
        <v>1240</v>
      </c>
      <c r="R2847" s="42">
        <v>0</v>
      </c>
      <c r="T2847" s="284">
        <v>1240</v>
      </c>
      <c r="U2847" s="284"/>
    </row>
    <row r="2848" spans="2:21" x14ac:dyDescent="0.25">
      <c r="B2848" s="292">
        <v>40</v>
      </c>
      <c r="C2848" s="292"/>
      <c r="D2848" s="292"/>
      <c r="F2848" s="283" t="s">
        <v>392</v>
      </c>
      <c r="G2848" s="283"/>
      <c r="J2848" s="293">
        <v>1</v>
      </c>
      <c r="K2848" s="293"/>
      <c r="L2848" s="293"/>
      <c r="M2848" s="293"/>
      <c r="N2848" s="293"/>
      <c r="P2848" s="42">
        <v>9000</v>
      </c>
      <c r="R2848" s="42">
        <v>0</v>
      </c>
      <c r="T2848" s="284">
        <v>9000</v>
      </c>
      <c r="U2848" s="284"/>
    </row>
    <row r="2849" spans="2:21" x14ac:dyDescent="0.25">
      <c r="B2849" s="292">
        <v>41</v>
      </c>
      <c r="C2849" s="292"/>
      <c r="D2849" s="292"/>
      <c r="F2849" s="283" t="s">
        <v>131</v>
      </c>
      <c r="G2849" s="283"/>
      <c r="J2849" s="293">
        <v>1</v>
      </c>
      <c r="K2849" s="293"/>
      <c r="L2849" s="293"/>
      <c r="M2849" s="293"/>
      <c r="N2849" s="293"/>
      <c r="P2849" s="42">
        <v>3700</v>
      </c>
      <c r="R2849" s="42">
        <v>800</v>
      </c>
      <c r="T2849" s="284">
        <v>2900</v>
      </c>
      <c r="U2849" s="284"/>
    </row>
    <row r="2850" spans="2:21" x14ac:dyDescent="0.25">
      <c r="B2850" s="292">
        <v>42</v>
      </c>
      <c r="C2850" s="292"/>
      <c r="D2850" s="292"/>
      <c r="F2850" s="283" t="s">
        <v>130</v>
      </c>
      <c r="G2850" s="283"/>
      <c r="J2850" s="293">
        <v>2</v>
      </c>
      <c r="K2850" s="293"/>
      <c r="L2850" s="293"/>
      <c r="M2850" s="293"/>
      <c r="N2850" s="293"/>
      <c r="P2850" s="42">
        <v>16000</v>
      </c>
      <c r="R2850" s="42">
        <v>8200</v>
      </c>
      <c r="T2850" s="284">
        <v>7800</v>
      </c>
      <c r="U2850" s="284"/>
    </row>
    <row r="2851" spans="2:21" x14ac:dyDescent="0.25">
      <c r="B2851" s="292">
        <v>43</v>
      </c>
      <c r="C2851" s="292"/>
      <c r="D2851" s="292"/>
      <c r="F2851" s="283" t="s">
        <v>127</v>
      </c>
      <c r="G2851" s="283"/>
      <c r="J2851" s="293">
        <v>75</v>
      </c>
      <c r="K2851" s="293"/>
      <c r="L2851" s="293"/>
      <c r="M2851" s="293"/>
      <c r="N2851" s="293"/>
      <c r="P2851" s="42">
        <v>22500</v>
      </c>
      <c r="R2851" s="42">
        <v>5877</v>
      </c>
      <c r="T2851" s="284">
        <v>16623</v>
      </c>
      <c r="U2851" s="284"/>
    </row>
    <row r="2852" spans="2:21" x14ac:dyDescent="0.25">
      <c r="B2852" s="292">
        <v>44</v>
      </c>
      <c r="C2852" s="292"/>
      <c r="D2852" s="292"/>
      <c r="F2852" s="283" t="s">
        <v>126</v>
      </c>
      <c r="G2852" s="283"/>
      <c r="J2852" s="293">
        <v>70</v>
      </c>
      <c r="K2852" s="293"/>
      <c r="L2852" s="293"/>
      <c r="M2852" s="293"/>
      <c r="N2852" s="293"/>
      <c r="P2852" s="42">
        <v>14000</v>
      </c>
      <c r="R2852" s="42">
        <v>3669</v>
      </c>
      <c r="T2852" s="284">
        <v>10331</v>
      </c>
      <c r="U2852" s="284"/>
    </row>
    <row r="2853" spans="2:21" x14ac:dyDescent="0.25">
      <c r="B2853" s="292">
        <v>45</v>
      </c>
      <c r="C2853" s="292"/>
      <c r="D2853" s="292"/>
      <c r="F2853" s="283" t="s">
        <v>124</v>
      </c>
      <c r="G2853" s="283"/>
      <c r="J2853" s="293">
        <v>46</v>
      </c>
      <c r="K2853" s="293"/>
      <c r="L2853" s="293"/>
      <c r="M2853" s="293"/>
      <c r="N2853" s="293"/>
      <c r="P2853" s="42">
        <v>30940</v>
      </c>
      <c r="R2853" s="42">
        <v>3580</v>
      </c>
      <c r="T2853" s="284">
        <v>27360</v>
      </c>
      <c r="U2853" s="284"/>
    </row>
    <row r="2854" spans="2:21" x14ac:dyDescent="0.25">
      <c r="B2854" s="292">
        <v>46</v>
      </c>
      <c r="C2854" s="292"/>
      <c r="D2854" s="292"/>
      <c r="F2854" s="283" t="s">
        <v>123</v>
      </c>
      <c r="G2854" s="283"/>
      <c r="J2854" s="293">
        <v>48</v>
      </c>
      <c r="K2854" s="293"/>
      <c r="L2854" s="293"/>
      <c r="M2854" s="293"/>
      <c r="N2854" s="293"/>
      <c r="P2854" s="42">
        <v>37440</v>
      </c>
      <c r="R2854" s="42">
        <v>7590</v>
      </c>
      <c r="T2854" s="284">
        <v>29850</v>
      </c>
      <c r="U2854" s="284"/>
    </row>
    <row r="2855" spans="2:21" x14ac:dyDescent="0.25">
      <c r="B2855" s="292">
        <v>47</v>
      </c>
      <c r="C2855" s="292"/>
      <c r="D2855" s="292"/>
      <c r="F2855" s="283" t="s">
        <v>184</v>
      </c>
      <c r="G2855" s="283"/>
      <c r="J2855" s="293">
        <v>1</v>
      </c>
      <c r="K2855" s="293"/>
      <c r="L2855" s="293"/>
      <c r="M2855" s="293"/>
      <c r="N2855" s="293"/>
      <c r="P2855" s="42">
        <v>1080</v>
      </c>
      <c r="R2855" s="42">
        <v>0</v>
      </c>
      <c r="T2855" s="284">
        <v>1080</v>
      </c>
      <c r="U2855" s="284"/>
    </row>
    <row r="2856" spans="2:21" x14ac:dyDescent="0.25">
      <c r="B2856" s="292">
        <v>48</v>
      </c>
      <c r="C2856" s="292"/>
      <c r="D2856" s="292"/>
      <c r="F2856" s="283" t="s">
        <v>120</v>
      </c>
      <c r="G2856" s="283"/>
      <c r="J2856" s="293">
        <v>2</v>
      </c>
      <c r="K2856" s="293"/>
      <c r="L2856" s="293"/>
      <c r="M2856" s="293"/>
      <c r="N2856" s="293"/>
      <c r="P2856" s="42">
        <v>700</v>
      </c>
      <c r="R2856" s="42">
        <v>160</v>
      </c>
      <c r="T2856" s="284">
        <v>540</v>
      </c>
      <c r="U2856" s="284"/>
    </row>
    <row r="2857" spans="2:21" x14ac:dyDescent="0.25">
      <c r="B2857" s="292">
        <v>49</v>
      </c>
      <c r="C2857" s="292"/>
      <c r="D2857" s="292"/>
      <c r="F2857" s="283" t="s">
        <v>182</v>
      </c>
      <c r="G2857" s="283"/>
      <c r="J2857" s="293">
        <v>3</v>
      </c>
      <c r="K2857" s="293"/>
      <c r="L2857" s="293"/>
      <c r="M2857" s="293"/>
      <c r="N2857" s="293"/>
      <c r="P2857" s="42">
        <v>2370</v>
      </c>
      <c r="R2857" s="42">
        <v>240</v>
      </c>
      <c r="T2857" s="284">
        <v>2130</v>
      </c>
      <c r="U2857" s="284"/>
    </row>
    <row r="2858" spans="2:21" x14ac:dyDescent="0.25">
      <c r="B2858" s="292">
        <v>50</v>
      </c>
      <c r="C2858" s="292"/>
      <c r="D2858" s="292"/>
      <c r="F2858" s="283" t="s">
        <v>119</v>
      </c>
      <c r="G2858" s="283"/>
      <c r="J2858" s="293">
        <v>40</v>
      </c>
      <c r="K2858" s="293"/>
      <c r="L2858" s="293"/>
      <c r="M2858" s="293"/>
      <c r="N2858" s="293"/>
      <c r="P2858" s="42">
        <v>35600</v>
      </c>
      <c r="R2858" s="42">
        <v>5038</v>
      </c>
      <c r="T2858" s="284">
        <v>30562</v>
      </c>
      <c r="U2858" s="284"/>
    </row>
    <row r="2859" spans="2:21" x14ac:dyDescent="0.25">
      <c r="B2859" s="292">
        <v>51</v>
      </c>
      <c r="C2859" s="292"/>
      <c r="D2859" s="292"/>
      <c r="F2859" s="283" t="s">
        <v>118</v>
      </c>
      <c r="G2859" s="283"/>
      <c r="J2859" s="293">
        <v>144</v>
      </c>
      <c r="K2859" s="293"/>
      <c r="L2859" s="293"/>
      <c r="M2859" s="293"/>
      <c r="N2859" s="293"/>
      <c r="P2859" s="42">
        <v>142560</v>
      </c>
      <c r="R2859" s="42">
        <v>29336</v>
      </c>
      <c r="T2859" s="284">
        <v>113224</v>
      </c>
      <c r="U2859" s="284"/>
    </row>
    <row r="2860" spans="2:21" x14ac:dyDescent="0.25">
      <c r="B2860" s="292">
        <v>52</v>
      </c>
      <c r="C2860" s="292"/>
      <c r="D2860" s="292"/>
      <c r="F2860" s="283" t="s">
        <v>117</v>
      </c>
      <c r="G2860" s="283"/>
      <c r="J2860" s="293">
        <v>3</v>
      </c>
      <c r="K2860" s="293"/>
      <c r="L2860" s="293"/>
      <c r="M2860" s="293"/>
      <c r="N2860" s="293"/>
      <c r="P2860" s="42">
        <v>2400</v>
      </c>
      <c r="R2860" s="42">
        <v>600</v>
      </c>
      <c r="T2860" s="284">
        <v>1800</v>
      </c>
      <c r="U2860" s="284"/>
    </row>
    <row r="2861" spans="2:21" x14ac:dyDescent="0.25">
      <c r="B2861" s="292">
        <v>53</v>
      </c>
      <c r="C2861" s="292"/>
      <c r="D2861" s="292"/>
      <c r="F2861" s="283" t="s">
        <v>115</v>
      </c>
      <c r="G2861" s="283"/>
      <c r="J2861" s="293">
        <v>42</v>
      </c>
      <c r="K2861" s="293"/>
      <c r="L2861" s="293"/>
      <c r="M2861" s="293"/>
      <c r="N2861" s="293"/>
      <c r="P2861" s="42">
        <v>12180</v>
      </c>
      <c r="R2861" s="42">
        <v>520</v>
      </c>
      <c r="T2861" s="284">
        <v>11660</v>
      </c>
      <c r="U2861" s="284"/>
    </row>
    <row r="2862" spans="2:21" x14ac:dyDescent="0.25">
      <c r="B2862" s="292">
        <v>54</v>
      </c>
      <c r="C2862" s="292"/>
      <c r="D2862" s="292"/>
      <c r="F2862" s="285" t="s">
        <v>391</v>
      </c>
      <c r="G2862" s="285"/>
      <c r="J2862" s="293">
        <v>17</v>
      </c>
      <c r="K2862" s="293"/>
      <c r="L2862" s="293"/>
      <c r="M2862" s="293"/>
      <c r="N2862" s="293"/>
      <c r="P2862" s="42">
        <v>1530</v>
      </c>
      <c r="R2862" s="42">
        <v>0</v>
      </c>
      <c r="T2862" s="284">
        <v>1530</v>
      </c>
      <c r="U2862" s="284"/>
    </row>
    <row r="2863" spans="2:21" x14ac:dyDescent="0.25">
      <c r="F2863" s="285"/>
      <c r="G2863" s="285"/>
    </row>
    <row r="2864" spans="2:21" x14ac:dyDescent="0.25">
      <c r="B2864" s="292">
        <v>55</v>
      </c>
      <c r="C2864" s="292"/>
      <c r="D2864" s="292"/>
      <c r="F2864" s="283" t="s">
        <v>300</v>
      </c>
      <c r="G2864" s="283"/>
      <c r="J2864" s="293">
        <v>2</v>
      </c>
      <c r="K2864" s="293"/>
      <c r="L2864" s="293"/>
      <c r="M2864" s="293"/>
      <c r="N2864" s="293"/>
      <c r="P2864" s="42">
        <v>660</v>
      </c>
      <c r="R2864" s="42">
        <v>40</v>
      </c>
      <c r="T2864" s="284">
        <v>620</v>
      </c>
      <c r="U2864" s="284"/>
    </row>
    <row r="2865" spans="2:21" x14ac:dyDescent="0.25">
      <c r="B2865" s="292">
        <v>56</v>
      </c>
      <c r="C2865" s="292"/>
      <c r="D2865" s="292"/>
      <c r="F2865" s="283" t="s">
        <v>221</v>
      </c>
      <c r="G2865" s="283"/>
      <c r="J2865" s="293">
        <v>1</v>
      </c>
      <c r="K2865" s="293"/>
      <c r="L2865" s="293"/>
      <c r="M2865" s="293"/>
      <c r="N2865" s="293"/>
      <c r="P2865" s="42">
        <v>990</v>
      </c>
      <c r="R2865" s="42">
        <v>300</v>
      </c>
      <c r="T2865" s="284">
        <v>690</v>
      </c>
      <c r="U2865" s="284"/>
    </row>
    <row r="2866" spans="2:21" x14ac:dyDescent="0.25">
      <c r="B2866" s="292">
        <v>57</v>
      </c>
      <c r="C2866" s="292"/>
      <c r="D2866" s="292"/>
      <c r="F2866" s="283" t="s">
        <v>181</v>
      </c>
      <c r="G2866" s="283"/>
      <c r="J2866" s="293">
        <v>3</v>
      </c>
      <c r="K2866" s="293"/>
      <c r="L2866" s="293"/>
      <c r="M2866" s="293"/>
      <c r="N2866" s="293"/>
      <c r="P2866" s="42">
        <v>2370</v>
      </c>
      <c r="R2866" s="42">
        <v>120</v>
      </c>
      <c r="T2866" s="284">
        <v>2250</v>
      </c>
      <c r="U2866" s="284"/>
    </row>
    <row r="2867" spans="2:21" x14ac:dyDescent="0.25">
      <c r="B2867" s="292">
        <v>58</v>
      </c>
      <c r="C2867" s="292"/>
      <c r="D2867" s="292"/>
      <c r="F2867" s="283" t="s">
        <v>171</v>
      </c>
      <c r="G2867" s="283"/>
      <c r="J2867" s="293">
        <v>1</v>
      </c>
      <c r="K2867" s="293"/>
      <c r="L2867" s="293"/>
      <c r="M2867" s="293"/>
      <c r="N2867" s="293"/>
      <c r="P2867" s="42">
        <v>530</v>
      </c>
      <c r="R2867" s="42">
        <v>160</v>
      </c>
      <c r="T2867" s="284">
        <v>370</v>
      </c>
      <c r="U2867" s="284"/>
    </row>
    <row r="2868" spans="2:21" x14ac:dyDescent="0.25">
      <c r="B2868" s="292">
        <v>59</v>
      </c>
      <c r="C2868" s="292"/>
      <c r="D2868" s="292"/>
      <c r="F2868" s="283" t="s">
        <v>111</v>
      </c>
      <c r="G2868" s="283"/>
      <c r="J2868" s="293">
        <v>2</v>
      </c>
      <c r="K2868" s="293"/>
      <c r="L2868" s="293"/>
      <c r="M2868" s="293"/>
      <c r="N2868" s="293"/>
      <c r="P2868" s="42">
        <v>860</v>
      </c>
      <c r="R2868" s="42">
        <v>130</v>
      </c>
      <c r="T2868" s="284">
        <v>730</v>
      </c>
      <c r="U2868" s="284"/>
    </row>
    <row r="2869" spans="2:21" x14ac:dyDescent="0.25">
      <c r="B2869" s="292">
        <v>60</v>
      </c>
      <c r="C2869" s="292"/>
      <c r="D2869" s="292"/>
      <c r="F2869" s="283" t="s">
        <v>257</v>
      </c>
      <c r="G2869" s="283"/>
      <c r="J2869" s="293">
        <v>1</v>
      </c>
      <c r="K2869" s="293"/>
      <c r="L2869" s="293"/>
      <c r="M2869" s="293"/>
      <c r="N2869" s="293"/>
      <c r="P2869" s="42">
        <v>990</v>
      </c>
      <c r="R2869" s="42">
        <v>0</v>
      </c>
      <c r="T2869" s="284">
        <v>990</v>
      </c>
      <c r="U2869" s="284"/>
    </row>
    <row r="2870" spans="2:21" x14ac:dyDescent="0.25">
      <c r="B2870" s="292">
        <v>61</v>
      </c>
      <c r="C2870" s="292"/>
      <c r="D2870" s="292"/>
      <c r="F2870" s="283" t="s">
        <v>109</v>
      </c>
      <c r="G2870" s="283"/>
      <c r="J2870" s="293">
        <v>1</v>
      </c>
      <c r="K2870" s="293"/>
      <c r="L2870" s="293"/>
      <c r="M2870" s="293"/>
      <c r="N2870" s="293"/>
      <c r="P2870" s="42">
        <v>780</v>
      </c>
      <c r="R2870" s="42">
        <v>230</v>
      </c>
      <c r="T2870" s="284">
        <v>550</v>
      </c>
      <c r="U2870" s="284"/>
    </row>
    <row r="2871" spans="2:21" x14ac:dyDescent="0.25">
      <c r="B2871" s="292">
        <v>62</v>
      </c>
      <c r="C2871" s="292"/>
      <c r="D2871" s="292"/>
      <c r="F2871" s="283" t="s">
        <v>108</v>
      </c>
      <c r="G2871" s="283"/>
      <c r="J2871" s="293">
        <v>216</v>
      </c>
      <c r="K2871" s="293"/>
      <c r="L2871" s="293"/>
      <c r="M2871" s="293"/>
      <c r="N2871" s="293"/>
      <c r="P2871" s="42">
        <v>21600</v>
      </c>
      <c r="R2871" s="42">
        <v>60</v>
      </c>
      <c r="T2871" s="284">
        <v>21540</v>
      </c>
      <c r="U2871" s="284"/>
    </row>
    <row r="2872" spans="2:21" x14ac:dyDescent="0.25">
      <c r="B2872" s="292">
        <v>63</v>
      </c>
      <c r="C2872" s="292"/>
      <c r="D2872" s="292"/>
      <c r="F2872" s="283" t="s">
        <v>107</v>
      </c>
      <c r="G2872" s="283"/>
      <c r="J2872" s="293">
        <v>108</v>
      </c>
      <c r="K2872" s="293"/>
      <c r="L2872" s="293"/>
      <c r="M2872" s="293"/>
      <c r="N2872" s="293"/>
      <c r="P2872" s="42">
        <v>18360</v>
      </c>
      <c r="R2872" s="42">
        <v>3448</v>
      </c>
      <c r="T2872" s="284">
        <v>14912</v>
      </c>
      <c r="U2872" s="284"/>
    </row>
    <row r="2873" spans="2:21" x14ac:dyDescent="0.25">
      <c r="B2873" s="292">
        <v>64</v>
      </c>
      <c r="C2873" s="292"/>
      <c r="D2873" s="292"/>
      <c r="F2873" s="283" t="s">
        <v>255</v>
      </c>
      <c r="G2873" s="283"/>
      <c r="J2873" s="293">
        <v>1</v>
      </c>
      <c r="K2873" s="293"/>
      <c r="L2873" s="293"/>
      <c r="M2873" s="293"/>
      <c r="N2873" s="293"/>
      <c r="P2873" s="42">
        <v>950</v>
      </c>
      <c r="R2873" s="42">
        <v>140</v>
      </c>
      <c r="T2873" s="284">
        <v>810</v>
      </c>
      <c r="U2873" s="284"/>
    </row>
    <row r="2874" spans="2:21" x14ac:dyDescent="0.25">
      <c r="B2874" s="292">
        <v>65</v>
      </c>
      <c r="C2874" s="292"/>
      <c r="D2874" s="292"/>
      <c r="F2874" s="283" t="s">
        <v>216</v>
      </c>
      <c r="G2874" s="283"/>
      <c r="J2874" s="293">
        <v>1</v>
      </c>
      <c r="K2874" s="293"/>
      <c r="L2874" s="293"/>
      <c r="M2874" s="293"/>
      <c r="N2874" s="293"/>
      <c r="P2874" s="42">
        <v>1080</v>
      </c>
      <c r="R2874" s="42">
        <v>165</v>
      </c>
      <c r="T2874" s="284">
        <v>915</v>
      </c>
      <c r="U2874" s="284"/>
    </row>
    <row r="2875" spans="2:21" x14ac:dyDescent="0.25">
      <c r="B2875" s="292">
        <v>66</v>
      </c>
      <c r="C2875" s="292"/>
      <c r="D2875" s="292"/>
      <c r="F2875" s="283" t="s">
        <v>105</v>
      </c>
      <c r="G2875" s="283"/>
      <c r="J2875" s="293">
        <v>1</v>
      </c>
      <c r="K2875" s="293"/>
      <c r="L2875" s="293"/>
      <c r="M2875" s="293"/>
      <c r="N2875" s="293"/>
      <c r="P2875" s="42">
        <v>1150</v>
      </c>
      <c r="R2875" s="42">
        <v>0</v>
      </c>
      <c r="T2875" s="284">
        <v>1150</v>
      </c>
      <c r="U2875" s="284"/>
    </row>
    <row r="2876" spans="2:21" x14ac:dyDescent="0.25">
      <c r="B2876" s="292">
        <v>67</v>
      </c>
      <c r="C2876" s="292"/>
      <c r="D2876" s="292"/>
      <c r="F2876" s="283" t="s">
        <v>103</v>
      </c>
      <c r="G2876" s="283"/>
      <c r="J2876" s="293">
        <v>52</v>
      </c>
      <c r="K2876" s="293"/>
      <c r="L2876" s="293"/>
      <c r="M2876" s="293"/>
      <c r="N2876" s="293"/>
      <c r="P2876" s="42">
        <v>17160</v>
      </c>
      <c r="R2876" s="42">
        <v>6046</v>
      </c>
      <c r="T2876" s="284">
        <v>11114</v>
      </c>
      <c r="U2876" s="284"/>
    </row>
    <row r="2877" spans="2:21" x14ac:dyDescent="0.25">
      <c r="B2877" s="292">
        <v>68</v>
      </c>
      <c r="C2877" s="292"/>
      <c r="D2877" s="292"/>
      <c r="F2877" s="283" t="s">
        <v>102</v>
      </c>
      <c r="G2877" s="283"/>
      <c r="J2877" s="293">
        <v>9</v>
      </c>
      <c r="K2877" s="293"/>
      <c r="L2877" s="293"/>
      <c r="M2877" s="293"/>
      <c r="N2877" s="293"/>
      <c r="P2877" s="42">
        <v>7920</v>
      </c>
      <c r="R2877" s="42">
        <v>780</v>
      </c>
      <c r="T2877" s="284">
        <v>7140</v>
      </c>
      <c r="U2877" s="284"/>
    </row>
    <row r="2878" spans="2:21" x14ac:dyDescent="0.25">
      <c r="B2878" s="292">
        <v>69</v>
      </c>
      <c r="C2878" s="292"/>
      <c r="D2878" s="292"/>
      <c r="F2878" s="283" t="s">
        <v>101</v>
      </c>
      <c r="G2878" s="283"/>
      <c r="J2878" s="293">
        <v>1</v>
      </c>
      <c r="K2878" s="293"/>
      <c r="L2878" s="293"/>
      <c r="M2878" s="293"/>
      <c r="N2878" s="293"/>
      <c r="P2878" s="42">
        <v>460</v>
      </c>
      <c r="R2878" s="42">
        <v>140</v>
      </c>
      <c r="T2878" s="284">
        <v>320</v>
      </c>
      <c r="U2878" s="284"/>
    </row>
    <row r="2879" spans="2:21" x14ac:dyDescent="0.25">
      <c r="B2879" s="292">
        <v>70</v>
      </c>
      <c r="C2879" s="292"/>
      <c r="D2879" s="292"/>
      <c r="F2879" s="283" t="s">
        <v>100</v>
      </c>
      <c r="G2879" s="283"/>
      <c r="J2879" s="293">
        <v>3</v>
      </c>
      <c r="K2879" s="293"/>
      <c r="L2879" s="293"/>
      <c r="M2879" s="293"/>
      <c r="N2879" s="293"/>
      <c r="P2879" s="42">
        <v>540</v>
      </c>
      <c r="R2879" s="42">
        <v>0</v>
      </c>
      <c r="T2879" s="284">
        <v>540</v>
      </c>
      <c r="U2879" s="284"/>
    </row>
    <row r="2880" spans="2:21" x14ac:dyDescent="0.25">
      <c r="B2880" s="292">
        <v>71</v>
      </c>
      <c r="C2880" s="292"/>
      <c r="D2880" s="292"/>
      <c r="F2880" s="283" t="s">
        <v>178</v>
      </c>
      <c r="G2880" s="283"/>
      <c r="J2880" s="293">
        <v>3</v>
      </c>
      <c r="K2880" s="293"/>
      <c r="L2880" s="293"/>
      <c r="M2880" s="293"/>
      <c r="N2880" s="293"/>
      <c r="P2880" s="42">
        <v>4950</v>
      </c>
      <c r="R2880" s="42">
        <v>0</v>
      </c>
      <c r="T2880" s="284">
        <v>4950</v>
      </c>
      <c r="U2880" s="284"/>
    </row>
    <row r="2881" spans="2:21" x14ac:dyDescent="0.25">
      <c r="B2881" s="292">
        <v>72</v>
      </c>
      <c r="C2881" s="292"/>
      <c r="D2881" s="292"/>
      <c r="F2881" s="283" t="s">
        <v>99</v>
      </c>
      <c r="G2881" s="283"/>
      <c r="J2881" s="293">
        <v>3</v>
      </c>
      <c r="K2881" s="293"/>
      <c r="L2881" s="293"/>
      <c r="M2881" s="293"/>
      <c r="N2881" s="293"/>
      <c r="P2881" s="42">
        <v>1770</v>
      </c>
      <c r="R2881" s="42">
        <v>180</v>
      </c>
      <c r="T2881" s="284">
        <v>1590</v>
      </c>
      <c r="U2881" s="284"/>
    </row>
    <row r="2882" spans="2:21" x14ac:dyDescent="0.25">
      <c r="B2882" s="292">
        <v>73</v>
      </c>
      <c r="C2882" s="292"/>
      <c r="D2882" s="292"/>
      <c r="F2882" s="283" t="s">
        <v>98</v>
      </c>
      <c r="G2882" s="283"/>
      <c r="J2882" s="293">
        <v>3</v>
      </c>
      <c r="K2882" s="293"/>
      <c r="L2882" s="293"/>
      <c r="M2882" s="293"/>
      <c r="N2882" s="293"/>
      <c r="P2882" s="42">
        <v>1710</v>
      </c>
      <c r="R2882" s="42">
        <v>160</v>
      </c>
      <c r="T2882" s="284">
        <v>1550</v>
      </c>
      <c r="U2882" s="284"/>
    </row>
    <row r="2883" spans="2:21" x14ac:dyDescent="0.25">
      <c r="B2883" s="292">
        <v>74</v>
      </c>
      <c r="C2883" s="292"/>
      <c r="D2883" s="292"/>
      <c r="F2883" s="283" t="s">
        <v>97</v>
      </c>
      <c r="G2883" s="283"/>
      <c r="J2883" s="293">
        <v>5</v>
      </c>
      <c r="K2883" s="293"/>
      <c r="L2883" s="293"/>
      <c r="M2883" s="293"/>
      <c r="N2883" s="293"/>
      <c r="P2883" s="42">
        <v>7950</v>
      </c>
      <c r="R2883" s="42">
        <v>720</v>
      </c>
      <c r="T2883" s="284">
        <v>7230</v>
      </c>
      <c r="U2883" s="284"/>
    </row>
    <row r="2884" spans="2:21" x14ac:dyDescent="0.25">
      <c r="B2884" s="292">
        <v>75</v>
      </c>
      <c r="C2884" s="292"/>
      <c r="D2884" s="292"/>
      <c r="F2884" s="283" t="s">
        <v>324</v>
      </c>
      <c r="G2884" s="283"/>
      <c r="J2884" s="293">
        <v>1</v>
      </c>
      <c r="K2884" s="293"/>
      <c r="L2884" s="293"/>
      <c r="M2884" s="293"/>
      <c r="N2884" s="293"/>
      <c r="P2884" s="42">
        <v>350</v>
      </c>
      <c r="R2884" s="42">
        <v>160</v>
      </c>
      <c r="T2884" s="284">
        <v>190</v>
      </c>
      <c r="U2884" s="284"/>
    </row>
    <row r="2885" spans="2:21" x14ac:dyDescent="0.25">
      <c r="B2885" s="292">
        <v>76</v>
      </c>
      <c r="C2885" s="292"/>
      <c r="D2885" s="292"/>
      <c r="F2885" s="283" t="s">
        <v>253</v>
      </c>
      <c r="G2885" s="283"/>
      <c r="J2885" s="293">
        <v>1</v>
      </c>
      <c r="K2885" s="293"/>
      <c r="L2885" s="293"/>
      <c r="M2885" s="293"/>
      <c r="N2885" s="293"/>
      <c r="P2885" s="42">
        <v>290</v>
      </c>
      <c r="R2885" s="42">
        <v>0</v>
      </c>
      <c r="T2885" s="284">
        <v>290</v>
      </c>
      <c r="U2885" s="284"/>
    </row>
    <row r="2886" spans="2:21" x14ac:dyDescent="0.25">
      <c r="B2886" s="292">
        <v>77</v>
      </c>
      <c r="C2886" s="292"/>
      <c r="D2886" s="292"/>
      <c r="F2886" s="283" t="s">
        <v>93</v>
      </c>
      <c r="G2886" s="283"/>
      <c r="J2886" s="293">
        <v>21</v>
      </c>
      <c r="K2886" s="293"/>
      <c r="L2886" s="293"/>
      <c r="M2886" s="293"/>
      <c r="N2886" s="293"/>
      <c r="P2886" s="42">
        <v>12390</v>
      </c>
      <c r="R2886" s="42">
        <v>990</v>
      </c>
      <c r="T2886" s="284">
        <v>11400</v>
      </c>
      <c r="U2886" s="284"/>
    </row>
    <row r="2887" spans="2:21" x14ac:dyDescent="0.25">
      <c r="B2887" s="292">
        <v>78</v>
      </c>
      <c r="C2887" s="292"/>
      <c r="D2887" s="292"/>
      <c r="F2887" s="283" t="s">
        <v>92</v>
      </c>
      <c r="G2887" s="283"/>
      <c r="J2887" s="293">
        <v>66</v>
      </c>
      <c r="K2887" s="293"/>
      <c r="L2887" s="293"/>
      <c r="M2887" s="293"/>
      <c r="N2887" s="293"/>
      <c r="P2887" s="42">
        <v>56320</v>
      </c>
      <c r="R2887" s="42">
        <v>7000</v>
      </c>
      <c r="T2887" s="284">
        <v>49320</v>
      </c>
      <c r="U2887" s="284"/>
    </row>
    <row r="2888" spans="2:21" x14ac:dyDescent="0.25">
      <c r="B2888" s="292">
        <v>79</v>
      </c>
      <c r="C2888" s="292"/>
      <c r="D2888" s="292"/>
      <c r="F2888" s="283" t="s">
        <v>390</v>
      </c>
      <c r="G2888" s="283"/>
      <c r="J2888" s="293">
        <v>2</v>
      </c>
      <c r="K2888" s="293"/>
      <c r="L2888" s="293"/>
      <c r="M2888" s="293"/>
      <c r="N2888" s="293"/>
      <c r="P2888" s="42">
        <v>1200</v>
      </c>
      <c r="R2888" s="42">
        <v>180</v>
      </c>
      <c r="T2888" s="284">
        <v>1020</v>
      </c>
      <c r="U2888" s="284"/>
    </row>
    <row r="2889" spans="2:21" x14ac:dyDescent="0.25">
      <c r="B2889" s="292">
        <v>80</v>
      </c>
      <c r="C2889" s="292"/>
      <c r="D2889" s="292"/>
      <c r="F2889" s="283" t="s">
        <v>305</v>
      </c>
      <c r="G2889" s="283"/>
      <c r="J2889" s="293">
        <v>6</v>
      </c>
      <c r="K2889" s="293"/>
      <c r="L2889" s="293"/>
      <c r="M2889" s="293"/>
      <c r="N2889" s="293"/>
      <c r="P2889" s="42">
        <v>3600</v>
      </c>
      <c r="R2889" s="42">
        <v>180</v>
      </c>
      <c r="T2889" s="284">
        <v>3420</v>
      </c>
      <c r="U2889" s="284"/>
    </row>
    <row r="2890" spans="2:21" x14ac:dyDescent="0.25">
      <c r="B2890" s="292">
        <v>81</v>
      </c>
      <c r="C2890" s="292"/>
      <c r="D2890" s="292"/>
      <c r="F2890" s="283" t="s">
        <v>297</v>
      </c>
      <c r="G2890" s="283"/>
      <c r="J2890" s="293">
        <v>72</v>
      </c>
      <c r="K2890" s="293"/>
      <c r="L2890" s="293"/>
      <c r="M2890" s="293"/>
      <c r="N2890" s="293"/>
      <c r="P2890" s="42">
        <v>28800</v>
      </c>
      <c r="R2890" s="42">
        <v>600</v>
      </c>
      <c r="T2890" s="284">
        <v>28200</v>
      </c>
      <c r="U2890" s="284"/>
    </row>
    <row r="2891" spans="2:21" x14ac:dyDescent="0.25">
      <c r="B2891" s="292">
        <v>82</v>
      </c>
      <c r="C2891" s="292"/>
      <c r="D2891" s="292"/>
      <c r="F2891" s="283" t="s">
        <v>175</v>
      </c>
      <c r="G2891" s="283"/>
      <c r="J2891" s="293">
        <v>39</v>
      </c>
      <c r="K2891" s="293"/>
      <c r="L2891" s="293"/>
      <c r="M2891" s="293"/>
      <c r="N2891" s="293"/>
      <c r="P2891" s="42">
        <v>23400</v>
      </c>
      <c r="R2891" s="42">
        <v>3420</v>
      </c>
      <c r="T2891" s="284">
        <v>19980</v>
      </c>
      <c r="U2891" s="284"/>
    </row>
    <row r="2892" spans="2:21" x14ac:dyDescent="0.25">
      <c r="B2892" s="292">
        <v>83</v>
      </c>
      <c r="C2892" s="292"/>
      <c r="D2892" s="292"/>
      <c r="F2892" s="283" t="s">
        <v>174</v>
      </c>
      <c r="G2892" s="283"/>
      <c r="J2892" s="293">
        <v>55</v>
      </c>
      <c r="K2892" s="293"/>
      <c r="L2892" s="293"/>
      <c r="M2892" s="293"/>
      <c r="N2892" s="293"/>
      <c r="P2892" s="42">
        <v>22000</v>
      </c>
      <c r="R2892" s="42">
        <v>960</v>
      </c>
      <c r="T2892" s="284">
        <v>21040</v>
      </c>
      <c r="U2892" s="284"/>
    </row>
    <row r="2893" spans="2:21" x14ac:dyDescent="0.25">
      <c r="B2893" s="292">
        <v>84</v>
      </c>
      <c r="C2893" s="292"/>
      <c r="D2893" s="292"/>
      <c r="F2893" s="283" t="s">
        <v>356</v>
      </c>
      <c r="G2893" s="283"/>
      <c r="J2893" s="293">
        <v>6</v>
      </c>
      <c r="K2893" s="293"/>
      <c r="L2893" s="293"/>
      <c r="M2893" s="293"/>
      <c r="N2893" s="293"/>
      <c r="P2893" s="42">
        <v>4800</v>
      </c>
      <c r="R2893" s="42">
        <v>720</v>
      </c>
      <c r="T2893" s="284">
        <v>4080</v>
      </c>
      <c r="U2893" s="284"/>
    </row>
    <row r="2894" spans="2:21" x14ac:dyDescent="0.25">
      <c r="B2894" s="292">
        <v>85</v>
      </c>
      <c r="C2894" s="292"/>
      <c r="D2894" s="292"/>
      <c r="F2894" s="283" t="s">
        <v>355</v>
      </c>
      <c r="G2894" s="283"/>
      <c r="J2894" s="293">
        <v>28</v>
      </c>
      <c r="K2894" s="293"/>
      <c r="L2894" s="293"/>
      <c r="M2894" s="293"/>
      <c r="N2894" s="293"/>
      <c r="P2894" s="42">
        <v>16800</v>
      </c>
      <c r="R2894" s="42">
        <v>2340</v>
      </c>
      <c r="T2894" s="284">
        <v>14460</v>
      </c>
      <c r="U2894" s="284"/>
    </row>
    <row r="2895" spans="2:21" x14ac:dyDescent="0.25">
      <c r="B2895" s="292">
        <v>86</v>
      </c>
      <c r="C2895" s="292"/>
      <c r="D2895" s="292"/>
      <c r="F2895" s="283" t="s">
        <v>173</v>
      </c>
      <c r="G2895" s="283"/>
      <c r="J2895" s="293">
        <v>71</v>
      </c>
      <c r="K2895" s="293"/>
      <c r="L2895" s="293"/>
      <c r="M2895" s="293"/>
      <c r="N2895" s="293"/>
      <c r="P2895" s="42">
        <v>71000</v>
      </c>
      <c r="R2895" s="42">
        <v>10200</v>
      </c>
      <c r="T2895" s="284">
        <v>60800</v>
      </c>
      <c r="U2895" s="284"/>
    </row>
    <row r="2896" spans="2:21" x14ac:dyDescent="0.25">
      <c r="B2896" s="292">
        <v>87</v>
      </c>
      <c r="C2896" s="292"/>
      <c r="D2896" s="292"/>
      <c r="F2896" s="283" t="s">
        <v>296</v>
      </c>
      <c r="G2896" s="283"/>
      <c r="J2896" s="293">
        <v>8</v>
      </c>
      <c r="K2896" s="293"/>
      <c r="L2896" s="293"/>
      <c r="M2896" s="293"/>
      <c r="N2896" s="293"/>
      <c r="P2896" s="42">
        <v>9600</v>
      </c>
      <c r="R2896" s="42">
        <v>720</v>
      </c>
      <c r="T2896" s="284">
        <v>8880</v>
      </c>
      <c r="U2896" s="284"/>
    </row>
    <row r="2897" spans="1:21" x14ac:dyDescent="0.25">
      <c r="B2897" s="292">
        <v>88</v>
      </c>
      <c r="C2897" s="292"/>
      <c r="D2897" s="292"/>
      <c r="F2897" s="283" t="s">
        <v>91</v>
      </c>
      <c r="G2897" s="283"/>
      <c r="J2897" s="293">
        <v>108</v>
      </c>
      <c r="K2897" s="293"/>
      <c r="L2897" s="293"/>
      <c r="M2897" s="293"/>
      <c r="N2897" s="293"/>
      <c r="P2897" s="42">
        <v>27000</v>
      </c>
      <c r="R2897" s="42">
        <v>4690</v>
      </c>
      <c r="T2897" s="284">
        <v>22310</v>
      </c>
      <c r="U2897" s="284"/>
    </row>
    <row r="2898" spans="1:21" x14ac:dyDescent="0.25">
      <c r="B2898" s="292">
        <v>89</v>
      </c>
      <c r="C2898" s="292"/>
      <c r="D2898" s="292"/>
      <c r="F2898" s="283" t="s">
        <v>90</v>
      </c>
      <c r="G2898" s="283"/>
      <c r="J2898" s="293">
        <v>35</v>
      </c>
      <c r="K2898" s="293"/>
      <c r="L2898" s="293"/>
      <c r="M2898" s="293"/>
      <c r="N2898" s="293"/>
      <c r="P2898" s="42">
        <v>10150</v>
      </c>
      <c r="R2898" s="42">
        <v>1142</v>
      </c>
      <c r="T2898" s="284">
        <v>9008</v>
      </c>
      <c r="U2898" s="284"/>
    </row>
    <row r="2899" spans="1:21" x14ac:dyDescent="0.25">
      <c r="B2899" s="292">
        <v>90</v>
      </c>
      <c r="C2899" s="292"/>
      <c r="D2899" s="292"/>
      <c r="F2899" s="283" t="s">
        <v>89</v>
      </c>
      <c r="G2899" s="283"/>
      <c r="J2899" s="293">
        <v>14</v>
      </c>
      <c r="K2899" s="293"/>
      <c r="L2899" s="293"/>
      <c r="M2899" s="293"/>
      <c r="N2899" s="293"/>
      <c r="P2899" s="42">
        <v>12320</v>
      </c>
      <c r="R2899" s="42">
        <v>390</v>
      </c>
      <c r="T2899" s="284">
        <v>11930</v>
      </c>
      <c r="U2899" s="284"/>
    </row>
    <row r="2900" spans="1:21" x14ac:dyDescent="0.25">
      <c r="B2900" s="292">
        <v>91</v>
      </c>
      <c r="C2900" s="292"/>
      <c r="D2900" s="292"/>
      <c r="F2900" s="283" t="s">
        <v>88</v>
      </c>
      <c r="G2900" s="283"/>
      <c r="J2900" s="293">
        <v>151</v>
      </c>
      <c r="K2900" s="293"/>
      <c r="L2900" s="293"/>
      <c r="M2900" s="293"/>
      <c r="N2900" s="293"/>
      <c r="P2900" s="42">
        <v>27180</v>
      </c>
      <c r="R2900" s="42">
        <v>4066</v>
      </c>
      <c r="T2900" s="284">
        <v>23114</v>
      </c>
      <c r="U2900" s="284"/>
    </row>
    <row r="2901" spans="1:21" x14ac:dyDescent="0.25">
      <c r="B2901" s="292">
        <v>92</v>
      </c>
      <c r="C2901" s="292"/>
      <c r="D2901" s="292"/>
      <c r="F2901" s="283" t="s">
        <v>87</v>
      </c>
      <c r="G2901" s="283"/>
      <c r="J2901" s="293">
        <v>12</v>
      </c>
      <c r="K2901" s="293"/>
      <c r="L2901" s="293"/>
      <c r="M2901" s="293"/>
      <c r="N2901" s="293"/>
      <c r="P2901" s="42">
        <v>3480</v>
      </c>
      <c r="R2901" s="42">
        <v>160</v>
      </c>
      <c r="T2901" s="284">
        <v>3320</v>
      </c>
      <c r="U2901" s="284"/>
    </row>
    <row r="2902" spans="1:21" x14ac:dyDescent="0.25">
      <c r="B2902" s="292">
        <v>93</v>
      </c>
      <c r="C2902" s="292"/>
      <c r="D2902" s="292"/>
      <c r="F2902" s="283" t="s">
        <v>86</v>
      </c>
      <c r="G2902" s="283"/>
      <c r="J2902" s="293">
        <v>4</v>
      </c>
      <c r="K2902" s="293"/>
      <c r="L2902" s="293"/>
      <c r="M2902" s="293"/>
      <c r="N2902" s="293"/>
      <c r="P2902" s="42">
        <v>4560</v>
      </c>
      <c r="R2902" s="42">
        <v>340</v>
      </c>
      <c r="T2902" s="284">
        <v>4220</v>
      </c>
      <c r="U2902" s="284"/>
    </row>
    <row r="2903" spans="1:21" x14ac:dyDescent="0.25">
      <c r="B2903" s="292">
        <v>94</v>
      </c>
      <c r="C2903" s="292"/>
      <c r="D2903" s="292"/>
      <c r="F2903" s="283" t="s">
        <v>85</v>
      </c>
      <c r="G2903" s="283"/>
      <c r="J2903" s="293">
        <v>32</v>
      </c>
      <c r="K2903" s="293"/>
      <c r="L2903" s="293"/>
      <c r="M2903" s="293"/>
      <c r="N2903" s="293"/>
      <c r="P2903" s="42">
        <v>66560</v>
      </c>
      <c r="R2903" s="42">
        <v>4340</v>
      </c>
      <c r="T2903" s="284">
        <v>62220</v>
      </c>
      <c r="U2903" s="284"/>
    </row>
    <row r="2904" spans="1:21" x14ac:dyDescent="0.25">
      <c r="B2904" s="292">
        <v>95</v>
      </c>
      <c r="C2904" s="292"/>
      <c r="D2904" s="292"/>
      <c r="F2904" s="283" t="s">
        <v>84</v>
      </c>
      <c r="G2904" s="283"/>
      <c r="J2904" s="293">
        <v>13</v>
      </c>
      <c r="K2904" s="293"/>
      <c r="L2904" s="293"/>
      <c r="M2904" s="293"/>
      <c r="N2904" s="293"/>
      <c r="P2904" s="42">
        <v>7670</v>
      </c>
      <c r="R2904" s="42">
        <v>720</v>
      </c>
      <c r="T2904" s="284">
        <v>6950</v>
      </c>
      <c r="U2904" s="284"/>
    </row>
    <row r="2905" spans="1:21" x14ac:dyDescent="0.25">
      <c r="B2905" s="292">
        <v>96</v>
      </c>
      <c r="C2905" s="292"/>
      <c r="D2905" s="292"/>
      <c r="F2905" s="283" t="s">
        <v>83</v>
      </c>
      <c r="G2905" s="283"/>
      <c r="J2905" s="293">
        <v>2</v>
      </c>
      <c r="K2905" s="293"/>
      <c r="L2905" s="293"/>
      <c r="M2905" s="293"/>
      <c r="N2905" s="293"/>
      <c r="P2905" s="42">
        <v>1000</v>
      </c>
      <c r="R2905" s="42">
        <v>150</v>
      </c>
      <c r="T2905" s="284">
        <v>850</v>
      </c>
      <c r="U2905" s="284"/>
    </row>
    <row r="2906" spans="1:21" x14ac:dyDescent="0.25">
      <c r="B2906" s="292">
        <v>97</v>
      </c>
      <c r="C2906" s="292"/>
      <c r="D2906" s="292"/>
      <c r="F2906" s="283" t="s">
        <v>82</v>
      </c>
      <c r="G2906" s="283"/>
      <c r="J2906" s="293">
        <v>5</v>
      </c>
      <c r="K2906" s="293"/>
      <c r="L2906" s="293"/>
      <c r="M2906" s="293"/>
      <c r="N2906" s="293"/>
      <c r="P2906" s="42">
        <v>1450</v>
      </c>
      <c r="R2906" s="42">
        <v>1160</v>
      </c>
      <c r="T2906" s="284">
        <v>290</v>
      </c>
      <c r="U2906" s="284"/>
    </row>
    <row r="2907" spans="1:21" x14ac:dyDescent="0.25">
      <c r="B2907" s="292">
        <v>98</v>
      </c>
      <c r="C2907" s="292"/>
      <c r="D2907" s="292"/>
      <c r="F2907" s="283" t="s">
        <v>81</v>
      </c>
      <c r="G2907" s="283"/>
      <c r="J2907" s="293">
        <v>18</v>
      </c>
      <c r="K2907" s="293"/>
      <c r="L2907" s="293"/>
      <c r="M2907" s="293"/>
      <c r="N2907" s="293"/>
      <c r="P2907" s="42">
        <v>5220</v>
      </c>
      <c r="R2907" s="42">
        <v>980</v>
      </c>
      <c r="T2907" s="284">
        <v>4240</v>
      </c>
      <c r="U2907" s="284"/>
    </row>
    <row r="2908" spans="1:21" s="40" customFormat="1" x14ac:dyDescent="0.25">
      <c r="A2908" s="290" t="s">
        <v>389</v>
      </c>
      <c r="B2908" s="290"/>
      <c r="C2908" s="290"/>
      <c r="D2908" s="290"/>
      <c r="E2908" s="290"/>
      <c r="F2908" s="290"/>
      <c r="G2908" s="290"/>
      <c r="H2908" s="290"/>
      <c r="I2908" s="290"/>
      <c r="J2908" s="290"/>
      <c r="K2908" s="291">
        <v>3721</v>
      </c>
      <c r="L2908" s="291"/>
      <c r="M2908" s="291"/>
      <c r="N2908" s="291"/>
      <c r="O2908" s="291"/>
      <c r="P2908" s="41">
        <v>4281550</v>
      </c>
      <c r="R2908" s="41">
        <v>3629122</v>
      </c>
      <c r="T2908" s="287">
        <v>652428</v>
      </c>
      <c r="U2908" s="287"/>
    </row>
    <row r="2909" spans="1:21" x14ac:dyDescent="0.25">
      <c r="B2909" s="292">
        <v>1</v>
      </c>
      <c r="C2909" s="292"/>
      <c r="D2909" s="292"/>
      <c r="F2909" s="283" t="s">
        <v>78</v>
      </c>
      <c r="G2909" s="283"/>
      <c r="J2909" s="293">
        <v>118</v>
      </c>
      <c r="K2909" s="293"/>
      <c r="L2909" s="293"/>
      <c r="M2909" s="293"/>
      <c r="N2909" s="293"/>
      <c r="P2909" s="42">
        <v>34220</v>
      </c>
      <c r="R2909" s="42">
        <v>34220</v>
      </c>
      <c r="T2909" s="284">
        <v>0</v>
      </c>
      <c r="U2909" s="284"/>
    </row>
    <row r="2910" spans="1:21" x14ac:dyDescent="0.25">
      <c r="B2910" s="292">
        <v>2</v>
      </c>
      <c r="C2910" s="292"/>
      <c r="D2910" s="292"/>
      <c r="F2910" s="283" t="s">
        <v>268</v>
      </c>
      <c r="G2910" s="283"/>
      <c r="J2910" s="293">
        <v>2</v>
      </c>
      <c r="K2910" s="293"/>
      <c r="L2910" s="293"/>
      <c r="M2910" s="293"/>
      <c r="N2910" s="293"/>
      <c r="P2910" s="42">
        <v>500</v>
      </c>
      <c r="R2910" s="42">
        <v>70</v>
      </c>
      <c r="T2910" s="284">
        <v>430</v>
      </c>
      <c r="U2910" s="284"/>
    </row>
    <row r="2911" spans="1:21" x14ac:dyDescent="0.25">
      <c r="B2911" s="292">
        <v>3</v>
      </c>
      <c r="C2911" s="292"/>
      <c r="D2911" s="292"/>
      <c r="F2911" s="283" t="s">
        <v>249</v>
      </c>
      <c r="G2911" s="283"/>
      <c r="J2911" s="293">
        <v>1</v>
      </c>
      <c r="K2911" s="293"/>
      <c r="L2911" s="293"/>
      <c r="M2911" s="293"/>
      <c r="N2911" s="293"/>
      <c r="P2911" s="42">
        <v>1300</v>
      </c>
      <c r="R2911" s="42">
        <v>200</v>
      </c>
      <c r="T2911" s="284">
        <v>1100</v>
      </c>
      <c r="U2911" s="284"/>
    </row>
    <row r="2912" spans="1:21" x14ac:dyDescent="0.25">
      <c r="B2912" s="292">
        <v>4</v>
      </c>
      <c r="C2912" s="292"/>
      <c r="D2912" s="292"/>
      <c r="F2912" s="283" t="s">
        <v>294</v>
      </c>
      <c r="G2912" s="283"/>
      <c r="J2912" s="293">
        <v>1</v>
      </c>
      <c r="K2912" s="293"/>
      <c r="L2912" s="293"/>
      <c r="M2912" s="293"/>
      <c r="N2912" s="293"/>
      <c r="P2912" s="42">
        <v>500</v>
      </c>
      <c r="R2912" s="42">
        <v>150</v>
      </c>
      <c r="T2912" s="284">
        <v>350</v>
      </c>
      <c r="U2912" s="284"/>
    </row>
    <row r="2913" spans="2:21" x14ac:dyDescent="0.25">
      <c r="B2913" s="292">
        <v>5</v>
      </c>
      <c r="C2913" s="292"/>
      <c r="D2913" s="292"/>
      <c r="F2913" s="283" t="s">
        <v>165</v>
      </c>
      <c r="G2913" s="283"/>
      <c r="J2913" s="293">
        <v>7</v>
      </c>
      <c r="K2913" s="293"/>
      <c r="L2913" s="293"/>
      <c r="M2913" s="293"/>
      <c r="N2913" s="293"/>
      <c r="P2913" s="42">
        <v>4130</v>
      </c>
      <c r="R2913" s="42">
        <v>1260</v>
      </c>
      <c r="T2913" s="284">
        <v>2870</v>
      </c>
      <c r="U2913" s="284"/>
    </row>
    <row r="2914" spans="2:21" x14ac:dyDescent="0.25">
      <c r="B2914" s="292">
        <v>6</v>
      </c>
      <c r="C2914" s="292"/>
      <c r="D2914" s="292"/>
      <c r="F2914" s="283" t="s">
        <v>163</v>
      </c>
      <c r="G2914" s="283"/>
      <c r="J2914" s="293">
        <v>5</v>
      </c>
      <c r="K2914" s="293"/>
      <c r="L2914" s="293"/>
      <c r="M2914" s="293"/>
      <c r="N2914" s="293"/>
      <c r="P2914" s="42">
        <v>5950</v>
      </c>
      <c r="R2914" s="42">
        <v>900</v>
      </c>
      <c r="T2914" s="284">
        <v>5050</v>
      </c>
      <c r="U2914" s="284"/>
    </row>
    <row r="2915" spans="2:21" x14ac:dyDescent="0.25">
      <c r="B2915" s="292">
        <v>7</v>
      </c>
      <c r="C2915" s="292"/>
      <c r="D2915" s="292"/>
      <c r="F2915" s="283" t="s">
        <v>162</v>
      </c>
      <c r="G2915" s="283"/>
      <c r="J2915" s="293">
        <v>38</v>
      </c>
      <c r="K2915" s="293"/>
      <c r="L2915" s="293"/>
      <c r="M2915" s="293"/>
      <c r="N2915" s="293"/>
      <c r="P2915" s="42">
        <v>16340</v>
      </c>
      <c r="R2915" s="42">
        <v>7085</v>
      </c>
      <c r="T2915" s="284">
        <v>9255</v>
      </c>
      <c r="U2915" s="284"/>
    </row>
    <row r="2916" spans="2:21" x14ac:dyDescent="0.25">
      <c r="B2916" s="292">
        <v>8</v>
      </c>
      <c r="C2916" s="292"/>
      <c r="D2916" s="292"/>
      <c r="F2916" s="283" t="s">
        <v>160</v>
      </c>
      <c r="G2916" s="283"/>
      <c r="J2916" s="293">
        <v>21</v>
      </c>
      <c r="K2916" s="293"/>
      <c r="L2916" s="293"/>
      <c r="M2916" s="293"/>
      <c r="N2916" s="293"/>
      <c r="P2916" s="42">
        <v>6090</v>
      </c>
      <c r="R2916" s="42">
        <v>1520</v>
      </c>
      <c r="T2916" s="284">
        <v>4570</v>
      </c>
      <c r="U2916" s="284"/>
    </row>
    <row r="2917" spans="2:21" x14ac:dyDescent="0.25">
      <c r="B2917" s="292">
        <v>9</v>
      </c>
      <c r="C2917" s="292"/>
      <c r="D2917" s="292"/>
      <c r="F2917" s="283" t="s">
        <v>158</v>
      </c>
      <c r="G2917" s="283"/>
      <c r="J2917" s="293">
        <v>133</v>
      </c>
      <c r="K2917" s="293"/>
      <c r="L2917" s="293"/>
      <c r="M2917" s="293"/>
      <c r="N2917" s="293"/>
      <c r="P2917" s="42">
        <v>73150</v>
      </c>
      <c r="R2917" s="42">
        <v>21774</v>
      </c>
      <c r="T2917" s="284">
        <v>51376</v>
      </c>
      <c r="U2917" s="284"/>
    </row>
    <row r="2918" spans="2:21" x14ac:dyDescent="0.25">
      <c r="B2918" s="292">
        <v>10</v>
      </c>
      <c r="C2918" s="292"/>
      <c r="D2918" s="292"/>
      <c r="F2918" s="283" t="s">
        <v>157</v>
      </c>
      <c r="G2918" s="283"/>
      <c r="J2918" s="293">
        <v>190</v>
      </c>
      <c r="K2918" s="293"/>
      <c r="L2918" s="293"/>
      <c r="M2918" s="293"/>
      <c r="N2918" s="293"/>
      <c r="P2918" s="42">
        <v>93100</v>
      </c>
      <c r="R2918" s="42">
        <v>40668</v>
      </c>
      <c r="T2918" s="284">
        <v>52432</v>
      </c>
      <c r="U2918" s="284"/>
    </row>
    <row r="2919" spans="2:21" x14ac:dyDescent="0.25">
      <c r="B2919" s="292">
        <v>11</v>
      </c>
      <c r="C2919" s="292"/>
      <c r="D2919" s="292"/>
      <c r="F2919" s="283" t="s">
        <v>196</v>
      </c>
      <c r="G2919" s="283"/>
      <c r="J2919" s="293">
        <v>1</v>
      </c>
      <c r="K2919" s="293"/>
      <c r="L2919" s="293"/>
      <c r="M2919" s="293"/>
      <c r="N2919" s="293"/>
      <c r="P2919" s="42">
        <v>700</v>
      </c>
      <c r="R2919" s="42">
        <v>350</v>
      </c>
      <c r="T2919" s="284">
        <v>350</v>
      </c>
      <c r="U2919" s="284"/>
    </row>
    <row r="2920" spans="2:21" x14ac:dyDescent="0.25">
      <c r="B2920" s="292">
        <v>12</v>
      </c>
      <c r="C2920" s="292"/>
      <c r="D2920" s="292"/>
      <c r="F2920" s="283" t="s">
        <v>309</v>
      </c>
      <c r="G2920" s="283"/>
      <c r="J2920" s="293">
        <v>3</v>
      </c>
      <c r="K2920" s="293"/>
      <c r="L2920" s="293"/>
      <c r="M2920" s="293"/>
      <c r="N2920" s="293"/>
      <c r="P2920" s="42">
        <v>1500</v>
      </c>
      <c r="R2920" s="42">
        <v>450</v>
      </c>
      <c r="T2920" s="284">
        <v>1050</v>
      </c>
      <c r="U2920" s="284"/>
    </row>
    <row r="2921" spans="2:21" x14ac:dyDescent="0.25">
      <c r="B2921" s="292">
        <v>13</v>
      </c>
      <c r="C2921" s="292"/>
      <c r="D2921" s="292"/>
      <c r="F2921" s="283" t="s">
        <v>328</v>
      </c>
      <c r="G2921" s="283"/>
      <c r="J2921" s="293">
        <v>1</v>
      </c>
      <c r="K2921" s="293"/>
      <c r="L2921" s="293"/>
      <c r="M2921" s="293"/>
      <c r="N2921" s="293"/>
      <c r="P2921" s="42">
        <v>700</v>
      </c>
      <c r="R2921" s="42">
        <v>350</v>
      </c>
      <c r="T2921" s="284">
        <v>350</v>
      </c>
      <c r="U2921" s="284"/>
    </row>
    <row r="2922" spans="2:21" x14ac:dyDescent="0.25">
      <c r="B2922" s="292">
        <v>14</v>
      </c>
      <c r="C2922" s="292"/>
      <c r="D2922" s="292"/>
      <c r="F2922" s="283" t="s">
        <v>292</v>
      </c>
      <c r="G2922" s="283"/>
      <c r="J2922" s="293">
        <v>1</v>
      </c>
      <c r="K2922" s="293"/>
      <c r="L2922" s="293"/>
      <c r="M2922" s="293"/>
      <c r="N2922" s="293"/>
      <c r="P2922" s="42">
        <v>500</v>
      </c>
      <c r="R2922" s="42">
        <v>150</v>
      </c>
      <c r="T2922" s="284">
        <v>350</v>
      </c>
      <c r="U2922" s="284"/>
    </row>
    <row r="2923" spans="2:21" x14ac:dyDescent="0.25">
      <c r="B2923" s="292">
        <v>15</v>
      </c>
      <c r="C2923" s="292"/>
      <c r="D2923" s="292"/>
      <c r="F2923" s="283" t="s">
        <v>77</v>
      </c>
      <c r="G2923" s="283"/>
      <c r="J2923" s="293">
        <v>780</v>
      </c>
      <c r="K2923" s="293"/>
      <c r="L2923" s="293"/>
      <c r="M2923" s="293"/>
      <c r="N2923" s="293"/>
      <c r="P2923" s="42">
        <v>317800</v>
      </c>
      <c r="R2923" s="42">
        <v>317800</v>
      </c>
      <c r="T2923" s="284">
        <v>0</v>
      </c>
      <c r="U2923" s="284"/>
    </row>
    <row r="2924" spans="2:21" x14ac:dyDescent="0.25">
      <c r="B2924" s="292">
        <v>16</v>
      </c>
      <c r="C2924" s="292"/>
      <c r="D2924" s="292"/>
      <c r="F2924" s="283" t="s">
        <v>76</v>
      </c>
      <c r="G2924" s="283"/>
      <c r="J2924" s="293">
        <v>3</v>
      </c>
      <c r="K2924" s="293"/>
      <c r="L2924" s="293"/>
      <c r="M2924" s="293"/>
      <c r="N2924" s="293"/>
      <c r="P2924" s="42">
        <v>1700</v>
      </c>
      <c r="R2924" s="42">
        <v>1700</v>
      </c>
      <c r="T2924" s="284">
        <v>0</v>
      </c>
      <c r="U2924" s="284"/>
    </row>
    <row r="2925" spans="2:21" x14ac:dyDescent="0.25">
      <c r="B2925" s="292">
        <v>17</v>
      </c>
      <c r="C2925" s="292"/>
      <c r="D2925" s="292"/>
      <c r="F2925" s="283" t="s">
        <v>156</v>
      </c>
      <c r="G2925" s="283"/>
      <c r="J2925" s="293">
        <v>1</v>
      </c>
      <c r="K2925" s="293"/>
      <c r="L2925" s="293"/>
      <c r="M2925" s="293"/>
      <c r="N2925" s="293"/>
      <c r="P2925" s="42">
        <v>190</v>
      </c>
      <c r="R2925" s="42">
        <v>50</v>
      </c>
      <c r="T2925" s="284">
        <v>140</v>
      </c>
      <c r="U2925" s="284"/>
    </row>
    <row r="2926" spans="2:21" x14ac:dyDescent="0.25">
      <c r="B2926" s="292">
        <v>18</v>
      </c>
      <c r="C2926" s="292"/>
      <c r="D2926" s="292"/>
      <c r="F2926" s="283" t="s">
        <v>155</v>
      </c>
      <c r="G2926" s="283"/>
      <c r="J2926" s="293">
        <v>28</v>
      </c>
      <c r="K2926" s="293"/>
      <c r="L2926" s="293"/>
      <c r="M2926" s="293"/>
      <c r="N2926" s="293"/>
      <c r="P2926" s="42">
        <v>7000</v>
      </c>
      <c r="R2926" s="42">
        <v>2280</v>
      </c>
      <c r="T2926" s="284">
        <v>4720</v>
      </c>
      <c r="U2926" s="284"/>
    </row>
    <row r="2927" spans="2:21" x14ac:dyDescent="0.25">
      <c r="B2927" s="292">
        <v>19</v>
      </c>
      <c r="C2927" s="292"/>
      <c r="D2927" s="292"/>
      <c r="F2927" s="283" t="s">
        <v>154</v>
      </c>
      <c r="G2927" s="283"/>
      <c r="J2927" s="293">
        <v>1</v>
      </c>
      <c r="K2927" s="293"/>
      <c r="L2927" s="293"/>
      <c r="M2927" s="293"/>
      <c r="N2927" s="293"/>
      <c r="P2927" s="42">
        <v>890</v>
      </c>
      <c r="R2927" s="42">
        <v>130</v>
      </c>
      <c r="T2927" s="284">
        <v>760</v>
      </c>
      <c r="U2927" s="284"/>
    </row>
    <row r="2928" spans="2:21" x14ac:dyDescent="0.25">
      <c r="B2928" s="292">
        <v>20</v>
      </c>
      <c r="C2928" s="292"/>
      <c r="D2928" s="292"/>
      <c r="F2928" s="283" t="s">
        <v>153</v>
      </c>
      <c r="G2928" s="283"/>
      <c r="J2928" s="293">
        <v>1</v>
      </c>
      <c r="K2928" s="293"/>
      <c r="L2928" s="293"/>
      <c r="M2928" s="293"/>
      <c r="N2928" s="293"/>
      <c r="P2928" s="42">
        <v>1180</v>
      </c>
      <c r="R2928" s="42">
        <v>180</v>
      </c>
      <c r="T2928" s="284">
        <v>1000</v>
      </c>
      <c r="U2928" s="284"/>
    </row>
    <row r="2929" spans="2:21" x14ac:dyDescent="0.25">
      <c r="B2929" s="292">
        <v>21</v>
      </c>
      <c r="C2929" s="292"/>
      <c r="D2929" s="292"/>
      <c r="F2929" s="283" t="s">
        <v>289</v>
      </c>
      <c r="G2929" s="283"/>
      <c r="J2929" s="293">
        <v>1</v>
      </c>
      <c r="K2929" s="293"/>
      <c r="L2929" s="293"/>
      <c r="M2929" s="293"/>
      <c r="N2929" s="293"/>
      <c r="P2929" s="42">
        <v>500</v>
      </c>
      <c r="R2929" s="42">
        <v>150</v>
      </c>
      <c r="T2929" s="284">
        <v>350</v>
      </c>
      <c r="U2929" s="284"/>
    </row>
    <row r="2930" spans="2:21" x14ac:dyDescent="0.25">
      <c r="B2930" s="292">
        <v>22</v>
      </c>
      <c r="C2930" s="292"/>
      <c r="D2930" s="292"/>
      <c r="F2930" s="283" t="s">
        <v>320</v>
      </c>
      <c r="G2930" s="283"/>
      <c r="J2930" s="293">
        <v>1</v>
      </c>
      <c r="K2930" s="293"/>
      <c r="L2930" s="293"/>
      <c r="M2930" s="293"/>
      <c r="N2930" s="293"/>
      <c r="P2930" s="42">
        <v>500</v>
      </c>
      <c r="R2930" s="42">
        <v>150</v>
      </c>
      <c r="T2930" s="284">
        <v>350</v>
      </c>
      <c r="U2930" s="284"/>
    </row>
    <row r="2931" spans="2:21" x14ac:dyDescent="0.25">
      <c r="B2931" s="292">
        <v>23</v>
      </c>
      <c r="C2931" s="292"/>
      <c r="D2931" s="292"/>
      <c r="F2931" s="283" t="s">
        <v>152</v>
      </c>
      <c r="G2931" s="283"/>
      <c r="J2931" s="293">
        <v>17</v>
      </c>
      <c r="K2931" s="293"/>
      <c r="L2931" s="293"/>
      <c r="M2931" s="293"/>
      <c r="N2931" s="293"/>
      <c r="P2931" s="42">
        <v>10030</v>
      </c>
      <c r="R2931" s="42">
        <v>3060</v>
      </c>
      <c r="T2931" s="284">
        <v>6970</v>
      </c>
      <c r="U2931" s="284"/>
    </row>
    <row r="2932" spans="2:21" x14ac:dyDescent="0.25">
      <c r="B2932" s="292">
        <v>24</v>
      </c>
      <c r="C2932" s="292"/>
      <c r="D2932" s="292"/>
      <c r="F2932" s="283" t="s">
        <v>151</v>
      </c>
      <c r="G2932" s="283"/>
      <c r="J2932" s="293">
        <v>7</v>
      </c>
      <c r="K2932" s="293"/>
      <c r="L2932" s="293"/>
      <c r="M2932" s="293"/>
      <c r="N2932" s="293"/>
      <c r="P2932" s="42">
        <v>1610</v>
      </c>
      <c r="R2932" s="42">
        <v>530</v>
      </c>
      <c r="T2932" s="284">
        <v>1080</v>
      </c>
      <c r="U2932" s="284"/>
    </row>
    <row r="2933" spans="2:21" x14ac:dyDescent="0.25">
      <c r="B2933" s="292">
        <v>25</v>
      </c>
      <c r="C2933" s="292"/>
      <c r="D2933" s="292"/>
      <c r="F2933" s="283" t="s">
        <v>150</v>
      </c>
      <c r="G2933" s="283"/>
      <c r="J2933" s="293">
        <v>17</v>
      </c>
      <c r="K2933" s="293"/>
      <c r="L2933" s="293"/>
      <c r="M2933" s="293"/>
      <c r="N2933" s="293"/>
      <c r="P2933" s="42">
        <v>2890</v>
      </c>
      <c r="R2933" s="42">
        <v>850</v>
      </c>
      <c r="T2933" s="284">
        <v>2040</v>
      </c>
      <c r="U2933" s="284"/>
    </row>
    <row r="2934" spans="2:21" x14ac:dyDescent="0.25">
      <c r="B2934" s="292">
        <v>26</v>
      </c>
      <c r="C2934" s="292"/>
      <c r="D2934" s="292"/>
      <c r="F2934" s="283" t="s">
        <v>235</v>
      </c>
      <c r="G2934" s="283"/>
      <c r="J2934" s="293">
        <v>1</v>
      </c>
      <c r="K2934" s="293"/>
      <c r="L2934" s="293"/>
      <c r="M2934" s="293"/>
      <c r="N2934" s="293"/>
      <c r="P2934" s="42">
        <v>950</v>
      </c>
      <c r="R2934" s="42">
        <v>140</v>
      </c>
      <c r="T2934" s="284">
        <v>810</v>
      </c>
      <c r="U2934" s="284"/>
    </row>
    <row r="2935" spans="2:21" x14ac:dyDescent="0.25">
      <c r="B2935" s="292">
        <v>27</v>
      </c>
      <c r="C2935" s="292"/>
      <c r="D2935" s="292"/>
      <c r="F2935" s="283" t="s">
        <v>288</v>
      </c>
      <c r="G2935" s="283"/>
      <c r="J2935" s="293">
        <v>1</v>
      </c>
      <c r="K2935" s="293"/>
      <c r="L2935" s="293"/>
      <c r="M2935" s="293"/>
      <c r="N2935" s="293"/>
      <c r="P2935" s="42">
        <v>800</v>
      </c>
      <c r="R2935" s="42">
        <v>450</v>
      </c>
      <c r="T2935" s="284">
        <v>350</v>
      </c>
      <c r="U2935" s="284"/>
    </row>
    <row r="2936" spans="2:21" x14ac:dyDescent="0.25">
      <c r="B2936" s="292">
        <v>28</v>
      </c>
      <c r="C2936" s="292"/>
      <c r="D2936" s="292"/>
      <c r="F2936" s="283" t="s">
        <v>287</v>
      </c>
      <c r="G2936" s="283"/>
      <c r="J2936" s="293">
        <v>2</v>
      </c>
      <c r="K2936" s="293"/>
      <c r="L2936" s="293"/>
      <c r="M2936" s="293"/>
      <c r="N2936" s="293"/>
      <c r="P2936" s="42">
        <v>1600</v>
      </c>
      <c r="R2936" s="42">
        <v>900</v>
      </c>
      <c r="T2936" s="284">
        <v>700</v>
      </c>
      <c r="U2936" s="284"/>
    </row>
    <row r="2937" spans="2:21" x14ac:dyDescent="0.25">
      <c r="B2937" s="292">
        <v>29</v>
      </c>
      <c r="C2937" s="292"/>
      <c r="D2937" s="292"/>
      <c r="F2937" s="283" t="s">
        <v>233</v>
      </c>
      <c r="G2937" s="283"/>
      <c r="J2937" s="293">
        <v>1</v>
      </c>
      <c r="K2937" s="293"/>
      <c r="L2937" s="293"/>
      <c r="M2937" s="293"/>
      <c r="N2937" s="293"/>
      <c r="P2937" s="42">
        <v>980</v>
      </c>
      <c r="R2937" s="42">
        <v>150</v>
      </c>
      <c r="T2937" s="284">
        <v>830</v>
      </c>
      <c r="U2937" s="284"/>
    </row>
    <row r="2938" spans="2:21" x14ac:dyDescent="0.25">
      <c r="B2938" s="292">
        <v>30</v>
      </c>
      <c r="C2938" s="292"/>
      <c r="D2938" s="292"/>
      <c r="F2938" s="283" t="s">
        <v>232</v>
      </c>
      <c r="G2938" s="283"/>
      <c r="J2938" s="293">
        <v>1</v>
      </c>
      <c r="K2938" s="293"/>
      <c r="L2938" s="293"/>
      <c r="M2938" s="293"/>
      <c r="N2938" s="293"/>
      <c r="P2938" s="42">
        <v>980</v>
      </c>
      <c r="R2938" s="42">
        <v>150</v>
      </c>
      <c r="T2938" s="284">
        <v>830</v>
      </c>
      <c r="U2938" s="284"/>
    </row>
    <row r="2939" spans="2:21" x14ac:dyDescent="0.25">
      <c r="B2939" s="292">
        <v>31</v>
      </c>
      <c r="C2939" s="292"/>
      <c r="D2939" s="292"/>
      <c r="F2939" s="283" t="s">
        <v>75</v>
      </c>
      <c r="G2939" s="283"/>
      <c r="J2939" s="293">
        <v>1144</v>
      </c>
      <c r="K2939" s="293"/>
      <c r="L2939" s="293"/>
      <c r="M2939" s="293"/>
      <c r="N2939" s="293"/>
      <c r="P2939" s="42">
        <v>2860000</v>
      </c>
      <c r="R2939" s="42">
        <v>2860000</v>
      </c>
      <c r="T2939" s="284">
        <v>0</v>
      </c>
      <c r="U2939" s="284"/>
    </row>
    <row r="2940" spans="2:21" x14ac:dyDescent="0.25">
      <c r="B2940" s="292">
        <v>32</v>
      </c>
      <c r="C2940" s="292"/>
      <c r="D2940" s="292"/>
      <c r="F2940" s="283" t="s">
        <v>139</v>
      </c>
      <c r="G2940" s="283"/>
      <c r="J2940" s="293">
        <v>7</v>
      </c>
      <c r="K2940" s="293"/>
      <c r="L2940" s="293"/>
      <c r="M2940" s="293"/>
      <c r="N2940" s="293"/>
      <c r="P2940" s="42">
        <v>1890</v>
      </c>
      <c r="R2940" s="42">
        <v>502</v>
      </c>
      <c r="T2940" s="284">
        <v>1388</v>
      </c>
      <c r="U2940" s="284"/>
    </row>
    <row r="2941" spans="2:21" x14ac:dyDescent="0.25">
      <c r="B2941" s="292">
        <v>33</v>
      </c>
      <c r="C2941" s="292"/>
      <c r="D2941" s="292"/>
      <c r="F2941" s="283" t="s">
        <v>313</v>
      </c>
      <c r="G2941" s="283"/>
      <c r="J2941" s="293">
        <v>1</v>
      </c>
      <c r="K2941" s="293"/>
      <c r="L2941" s="293"/>
      <c r="M2941" s="293"/>
      <c r="N2941" s="293"/>
      <c r="P2941" s="42">
        <v>800</v>
      </c>
      <c r="R2941" s="42">
        <v>450</v>
      </c>
      <c r="T2941" s="284">
        <v>350</v>
      </c>
      <c r="U2941" s="284"/>
    </row>
    <row r="2942" spans="2:21" x14ac:dyDescent="0.25">
      <c r="B2942" s="292">
        <v>34</v>
      </c>
      <c r="C2942" s="292"/>
      <c r="D2942" s="292"/>
      <c r="F2942" s="283" t="s">
        <v>136</v>
      </c>
      <c r="G2942" s="283"/>
      <c r="J2942" s="293">
        <v>18</v>
      </c>
      <c r="K2942" s="293"/>
      <c r="L2942" s="293"/>
      <c r="M2942" s="293"/>
      <c r="N2942" s="293"/>
      <c r="P2942" s="42">
        <v>15300</v>
      </c>
      <c r="R2942" s="42">
        <v>2990</v>
      </c>
      <c r="T2942" s="284">
        <v>12310</v>
      </c>
      <c r="U2942" s="284"/>
    </row>
    <row r="2943" spans="2:21" x14ac:dyDescent="0.25">
      <c r="B2943" s="292">
        <v>35</v>
      </c>
      <c r="C2943" s="292"/>
      <c r="D2943" s="292"/>
      <c r="F2943" s="283" t="s">
        <v>74</v>
      </c>
      <c r="G2943" s="283"/>
      <c r="J2943" s="293">
        <v>83</v>
      </c>
      <c r="K2943" s="293"/>
      <c r="L2943" s="293"/>
      <c r="M2943" s="293"/>
      <c r="N2943" s="293"/>
      <c r="P2943" s="42">
        <v>70550</v>
      </c>
      <c r="R2943" s="42">
        <v>70550</v>
      </c>
      <c r="T2943" s="284">
        <v>0</v>
      </c>
      <c r="U2943" s="284"/>
    </row>
    <row r="2944" spans="2:21" x14ac:dyDescent="0.25">
      <c r="B2944" s="292">
        <v>36</v>
      </c>
      <c r="C2944" s="292"/>
      <c r="D2944" s="292"/>
      <c r="F2944" s="283" t="s">
        <v>190</v>
      </c>
      <c r="G2944" s="283"/>
      <c r="J2944" s="293">
        <v>5</v>
      </c>
      <c r="K2944" s="293"/>
      <c r="L2944" s="293"/>
      <c r="M2944" s="293"/>
      <c r="N2944" s="293"/>
      <c r="P2944" s="42">
        <v>7850</v>
      </c>
      <c r="R2944" s="42">
        <v>1200</v>
      </c>
      <c r="T2944" s="284">
        <v>6650</v>
      </c>
      <c r="U2944" s="284"/>
    </row>
    <row r="2945" spans="2:21" x14ac:dyDescent="0.25">
      <c r="B2945" s="292">
        <v>37</v>
      </c>
      <c r="C2945" s="292"/>
      <c r="D2945" s="292"/>
      <c r="F2945" s="283" t="s">
        <v>230</v>
      </c>
      <c r="G2945" s="283"/>
      <c r="J2945" s="293">
        <v>1</v>
      </c>
      <c r="K2945" s="293"/>
      <c r="L2945" s="293"/>
      <c r="M2945" s="293"/>
      <c r="N2945" s="293"/>
      <c r="P2945" s="42">
        <v>950</v>
      </c>
      <c r="R2945" s="42">
        <v>140</v>
      </c>
      <c r="T2945" s="284">
        <v>810</v>
      </c>
      <c r="U2945" s="284"/>
    </row>
    <row r="2946" spans="2:21" x14ac:dyDescent="0.25">
      <c r="B2946" s="292">
        <v>38</v>
      </c>
      <c r="C2946" s="292"/>
      <c r="D2946" s="292"/>
      <c r="F2946" s="283" t="s">
        <v>135</v>
      </c>
      <c r="G2946" s="283"/>
      <c r="J2946" s="293">
        <v>3</v>
      </c>
      <c r="K2946" s="293"/>
      <c r="L2946" s="293"/>
      <c r="M2946" s="293"/>
      <c r="N2946" s="293"/>
      <c r="P2946" s="42">
        <v>2850</v>
      </c>
      <c r="R2946" s="42">
        <v>840</v>
      </c>
      <c r="T2946" s="284">
        <v>2010</v>
      </c>
      <c r="U2946" s="284"/>
    </row>
    <row r="2947" spans="2:21" x14ac:dyDescent="0.25">
      <c r="B2947" s="292">
        <v>39</v>
      </c>
      <c r="C2947" s="292"/>
      <c r="D2947" s="292"/>
      <c r="F2947" s="283" t="s">
        <v>134</v>
      </c>
      <c r="G2947" s="283"/>
      <c r="J2947" s="293">
        <v>3</v>
      </c>
      <c r="K2947" s="293"/>
      <c r="L2947" s="293"/>
      <c r="M2947" s="293"/>
      <c r="N2947" s="293"/>
      <c r="P2947" s="42">
        <v>11100</v>
      </c>
      <c r="R2947" s="42">
        <v>2400</v>
      </c>
      <c r="T2947" s="284">
        <v>8700</v>
      </c>
      <c r="U2947" s="284"/>
    </row>
    <row r="2948" spans="2:21" x14ac:dyDescent="0.25">
      <c r="B2948" s="292">
        <v>40</v>
      </c>
      <c r="C2948" s="292"/>
      <c r="D2948" s="292"/>
      <c r="F2948" s="283" t="s">
        <v>229</v>
      </c>
      <c r="G2948" s="283"/>
      <c r="J2948" s="293">
        <v>5</v>
      </c>
      <c r="K2948" s="293"/>
      <c r="L2948" s="293"/>
      <c r="M2948" s="293"/>
      <c r="N2948" s="293"/>
      <c r="P2948" s="42">
        <v>35000</v>
      </c>
      <c r="R2948" s="42">
        <v>15500</v>
      </c>
      <c r="T2948" s="284">
        <v>19500</v>
      </c>
      <c r="U2948" s="284"/>
    </row>
    <row r="2949" spans="2:21" x14ac:dyDescent="0.25">
      <c r="B2949" s="292">
        <v>41</v>
      </c>
      <c r="C2949" s="292"/>
      <c r="D2949" s="292"/>
      <c r="F2949" s="283" t="s">
        <v>132</v>
      </c>
      <c r="G2949" s="283"/>
      <c r="J2949" s="293">
        <v>4</v>
      </c>
      <c r="K2949" s="293"/>
      <c r="L2949" s="293"/>
      <c r="M2949" s="293"/>
      <c r="N2949" s="293"/>
      <c r="P2949" s="42">
        <v>4960</v>
      </c>
      <c r="R2949" s="42">
        <v>1480</v>
      </c>
      <c r="T2949" s="284">
        <v>3480</v>
      </c>
      <c r="U2949" s="284"/>
    </row>
    <row r="2950" spans="2:21" x14ac:dyDescent="0.25">
      <c r="B2950" s="292">
        <v>42</v>
      </c>
      <c r="C2950" s="292"/>
      <c r="D2950" s="292"/>
      <c r="F2950" s="283" t="s">
        <v>131</v>
      </c>
      <c r="G2950" s="283"/>
      <c r="J2950" s="293">
        <v>25</v>
      </c>
      <c r="K2950" s="293"/>
      <c r="L2950" s="293"/>
      <c r="M2950" s="293"/>
      <c r="N2950" s="293"/>
      <c r="P2950" s="42">
        <v>92500</v>
      </c>
      <c r="R2950" s="42">
        <v>20000</v>
      </c>
      <c r="T2950" s="284">
        <v>72500</v>
      </c>
      <c r="U2950" s="284"/>
    </row>
    <row r="2951" spans="2:21" x14ac:dyDescent="0.25">
      <c r="B2951" s="292">
        <v>43</v>
      </c>
      <c r="C2951" s="292"/>
      <c r="D2951" s="292"/>
      <c r="F2951" s="283" t="s">
        <v>130</v>
      </c>
      <c r="G2951" s="283"/>
      <c r="J2951" s="293">
        <v>29</v>
      </c>
      <c r="K2951" s="293"/>
      <c r="L2951" s="293"/>
      <c r="M2951" s="293"/>
      <c r="N2951" s="293"/>
      <c r="P2951" s="42">
        <v>232000</v>
      </c>
      <c r="R2951" s="42">
        <v>118900</v>
      </c>
      <c r="T2951" s="284">
        <v>113100</v>
      </c>
      <c r="U2951" s="284"/>
    </row>
    <row r="2952" spans="2:21" x14ac:dyDescent="0.25">
      <c r="B2952" s="292">
        <v>44</v>
      </c>
      <c r="C2952" s="292"/>
      <c r="D2952" s="292"/>
      <c r="F2952" s="283" t="s">
        <v>388</v>
      </c>
      <c r="G2952" s="283"/>
      <c r="J2952" s="293">
        <v>1</v>
      </c>
      <c r="K2952" s="293"/>
      <c r="L2952" s="293"/>
      <c r="M2952" s="293"/>
      <c r="N2952" s="293"/>
      <c r="P2952" s="42">
        <v>1990</v>
      </c>
      <c r="R2952" s="42">
        <v>0</v>
      </c>
      <c r="T2952" s="284">
        <v>1990</v>
      </c>
      <c r="U2952" s="284"/>
    </row>
    <row r="2953" spans="2:21" x14ac:dyDescent="0.25">
      <c r="B2953" s="292">
        <v>45</v>
      </c>
      <c r="C2953" s="292"/>
      <c r="D2953" s="292"/>
      <c r="F2953" s="283" t="s">
        <v>387</v>
      </c>
      <c r="G2953" s="283"/>
      <c r="J2953" s="293">
        <v>1</v>
      </c>
      <c r="K2953" s="293"/>
      <c r="L2953" s="293"/>
      <c r="M2953" s="293"/>
      <c r="N2953" s="293"/>
      <c r="P2953" s="42">
        <v>7900</v>
      </c>
      <c r="R2953" s="42">
        <v>0</v>
      </c>
      <c r="T2953" s="284">
        <v>7900</v>
      </c>
      <c r="U2953" s="284"/>
    </row>
    <row r="2954" spans="2:21" x14ac:dyDescent="0.25">
      <c r="B2954" s="292">
        <v>46</v>
      </c>
      <c r="C2954" s="292"/>
      <c r="D2954" s="292"/>
      <c r="F2954" s="283" t="s">
        <v>187</v>
      </c>
      <c r="G2954" s="283"/>
      <c r="J2954" s="293">
        <v>1</v>
      </c>
      <c r="K2954" s="293"/>
      <c r="L2954" s="293"/>
      <c r="M2954" s="293"/>
      <c r="N2954" s="293"/>
      <c r="P2954" s="42">
        <v>100</v>
      </c>
      <c r="R2954" s="42">
        <v>0</v>
      </c>
      <c r="T2954" s="284">
        <v>100</v>
      </c>
      <c r="U2954" s="284"/>
    </row>
    <row r="2955" spans="2:21" x14ac:dyDescent="0.25">
      <c r="B2955" s="292">
        <v>47</v>
      </c>
      <c r="C2955" s="292"/>
      <c r="D2955" s="292"/>
      <c r="F2955" s="283" t="s">
        <v>127</v>
      </c>
      <c r="G2955" s="283"/>
      <c r="J2955" s="293">
        <v>48</v>
      </c>
      <c r="K2955" s="293"/>
      <c r="L2955" s="293"/>
      <c r="M2955" s="293"/>
      <c r="N2955" s="293"/>
      <c r="P2955" s="42">
        <v>14400</v>
      </c>
      <c r="R2955" s="42">
        <v>5347</v>
      </c>
      <c r="T2955" s="284">
        <v>9053</v>
      </c>
      <c r="U2955" s="284"/>
    </row>
    <row r="2956" spans="2:21" x14ac:dyDescent="0.25">
      <c r="B2956" s="292">
        <v>48</v>
      </c>
      <c r="C2956" s="292"/>
      <c r="D2956" s="292"/>
      <c r="F2956" s="283" t="s">
        <v>126</v>
      </c>
      <c r="G2956" s="283"/>
      <c r="J2956" s="293">
        <v>46</v>
      </c>
      <c r="K2956" s="293"/>
      <c r="L2956" s="293"/>
      <c r="M2956" s="293"/>
      <c r="N2956" s="293"/>
      <c r="P2956" s="42">
        <v>9200</v>
      </c>
      <c r="R2956" s="42">
        <v>3432</v>
      </c>
      <c r="T2956" s="284">
        <v>5768</v>
      </c>
      <c r="U2956" s="284"/>
    </row>
    <row r="2957" spans="2:21" x14ac:dyDescent="0.25">
      <c r="B2957" s="292">
        <v>49</v>
      </c>
      <c r="C2957" s="292"/>
      <c r="D2957" s="292"/>
      <c r="F2957" s="283" t="s">
        <v>125</v>
      </c>
      <c r="G2957" s="283"/>
      <c r="J2957" s="293">
        <v>12</v>
      </c>
      <c r="K2957" s="293"/>
      <c r="L2957" s="293"/>
      <c r="M2957" s="293"/>
      <c r="N2957" s="293"/>
      <c r="P2957" s="42">
        <v>4800</v>
      </c>
      <c r="R2957" s="42">
        <v>1440</v>
      </c>
      <c r="T2957" s="284">
        <v>3360</v>
      </c>
      <c r="U2957" s="284"/>
    </row>
    <row r="2958" spans="2:21" x14ac:dyDescent="0.25">
      <c r="B2958" s="292">
        <v>50</v>
      </c>
      <c r="C2958" s="292"/>
      <c r="D2958" s="292"/>
      <c r="F2958" s="283" t="s">
        <v>124</v>
      </c>
      <c r="G2958" s="283"/>
      <c r="J2958" s="293">
        <v>4</v>
      </c>
      <c r="K2958" s="293"/>
      <c r="L2958" s="293"/>
      <c r="M2958" s="293"/>
      <c r="N2958" s="293"/>
      <c r="P2958" s="42">
        <v>2360</v>
      </c>
      <c r="R2958" s="42">
        <v>700</v>
      </c>
      <c r="T2958" s="284">
        <v>1660</v>
      </c>
      <c r="U2958" s="284"/>
    </row>
    <row r="2959" spans="2:21" x14ac:dyDescent="0.25">
      <c r="B2959" s="292">
        <v>51</v>
      </c>
      <c r="C2959" s="292"/>
      <c r="D2959" s="292"/>
      <c r="F2959" s="283" t="s">
        <v>122</v>
      </c>
      <c r="G2959" s="283"/>
      <c r="J2959" s="293">
        <v>3</v>
      </c>
      <c r="K2959" s="293"/>
      <c r="L2959" s="293"/>
      <c r="M2959" s="293"/>
      <c r="N2959" s="293"/>
      <c r="P2959" s="42">
        <v>1900</v>
      </c>
      <c r="R2959" s="42">
        <v>570</v>
      </c>
      <c r="T2959" s="284">
        <v>1330</v>
      </c>
      <c r="U2959" s="284"/>
    </row>
    <row r="2960" spans="2:21" x14ac:dyDescent="0.25">
      <c r="B2960" s="292">
        <v>52</v>
      </c>
      <c r="C2960" s="292"/>
      <c r="D2960" s="292"/>
      <c r="F2960" s="283" t="s">
        <v>121</v>
      </c>
      <c r="G2960" s="283"/>
      <c r="J2960" s="293">
        <v>1</v>
      </c>
      <c r="K2960" s="293"/>
      <c r="L2960" s="293"/>
      <c r="M2960" s="293"/>
      <c r="N2960" s="293"/>
      <c r="P2960" s="42">
        <v>500</v>
      </c>
      <c r="R2960" s="42">
        <v>150</v>
      </c>
      <c r="T2960" s="284">
        <v>350</v>
      </c>
      <c r="U2960" s="284"/>
    </row>
    <row r="2961" spans="2:21" x14ac:dyDescent="0.25">
      <c r="B2961" s="292">
        <v>53</v>
      </c>
      <c r="C2961" s="292"/>
      <c r="D2961" s="292"/>
      <c r="F2961" s="283" t="s">
        <v>226</v>
      </c>
      <c r="G2961" s="283"/>
      <c r="J2961" s="293">
        <v>1</v>
      </c>
      <c r="K2961" s="293"/>
      <c r="L2961" s="293"/>
      <c r="M2961" s="293"/>
      <c r="N2961" s="293"/>
      <c r="P2961" s="42">
        <v>500</v>
      </c>
      <c r="R2961" s="42">
        <v>150</v>
      </c>
      <c r="T2961" s="284">
        <v>350</v>
      </c>
      <c r="U2961" s="284"/>
    </row>
    <row r="2962" spans="2:21" x14ac:dyDescent="0.25">
      <c r="B2962" s="292">
        <v>54</v>
      </c>
      <c r="C2962" s="292"/>
      <c r="D2962" s="292"/>
      <c r="F2962" s="283" t="s">
        <v>119</v>
      </c>
      <c r="G2962" s="283"/>
      <c r="J2962" s="293">
        <v>8</v>
      </c>
      <c r="K2962" s="293"/>
      <c r="L2962" s="293"/>
      <c r="M2962" s="293"/>
      <c r="N2962" s="293"/>
      <c r="P2962" s="42">
        <v>7120</v>
      </c>
      <c r="R2962" s="42">
        <v>2280</v>
      </c>
      <c r="T2962" s="284">
        <v>4840</v>
      </c>
      <c r="U2962" s="284"/>
    </row>
    <row r="2963" spans="2:21" x14ac:dyDescent="0.25">
      <c r="B2963" s="292">
        <v>55</v>
      </c>
      <c r="C2963" s="292"/>
      <c r="D2963" s="292"/>
      <c r="F2963" s="283" t="s">
        <v>118</v>
      </c>
      <c r="G2963" s="283"/>
      <c r="J2963" s="293">
        <v>85</v>
      </c>
      <c r="K2963" s="293"/>
      <c r="L2963" s="293"/>
      <c r="M2963" s="293"/>
      <c r="N2963" s="293"/>
      <c r="P2963" s="42">
        <v>84150</v>
      </c>
      <c r="R2963" s="42">
        <v>28490</v>
      </c>
      <c r="T2963" s="284">
        <v>55660</v>
      </c>
      <c r="U2963" s="284"/>
    </row>
    <row r="2964" spans="2:21" x14ac:dyDescent="0.25">
      <c r="B2964" s="292">
        <v>56</v>
      </c>
      <c r="C2964" s="292"/>
      <c r="D2964" s="292"/>
      <c r="F2964" s="283" t="s">
        <v>117</v>
      </c>
      <c r="G2964" s="283"/>
      <c r="J2964" s="293">
        <v>3</v>
      </c>
      <c r="K2964" s="293"/>
      <c r="L2964" s="293"/>
      <c r="M2964" s="293"/>
      <c r="N2964" s="293"/>
      <c r="P2964" s="42">
        <v>2400</v>
      </c>
      <c r="R2964" s="42">
        <v>600</v>
      </c>
      <c r="T2964" s="284">
        <v>1800</v>
      </c>
      <c r="U2964" s="284"/>
    </row>
    <row r="2965" spans="2:21" x14ac:dyDescent="0.25">
      <c r="B2965" s="292">
        <v>57</v>
      </c>
      <c r="C2965" s="292"/>
      <c r="D2965" s="292"/>
      <c r="F2965" s="283" t="s">
        <v>115</v>
      </c>
      <c r="G2965" s="283"/>
      <c r="J2965" s="293">
        <v>44</v>
      </c>
      <c r="K2965" s="293"/>
      <c r="L2965" s="293"/>
      <c r="M2965" s="293"/>
      <c r="N2965" s="293"/>
      <c r="P2965" s="42">
        <v>12760</v>
      </c>
      <c r="R2965" s="42">
        <v>4180</v>
      </c>
      <c r="T2965" s="284">
        <v>8580</v>
      </c>
      <c r="U2965" s="284"/>
    </row>
    <row r="2966" spans="2:21" x14ac:dyDescent="0.25">
      <c r="B2966" s="292">
        <v>58</v>
      </c>
      <c r="C2966" s="292"/>
      <c r="D2966" s="292"/>
      <c r="F2966" s="283" t="s">
        <v>281</v>
      </c>
      <c r="G2966" s="283"/>
      <c r="J2966" s="293">
        <v>1</v>
      </c>
      <c r="K2966" s="293"/>
      <c r="L2966" s="293"/>
      <c r="M2966" s="293"/>
      <c r="N2966" s="293"/>
      <c r="P2966" s="42">
        <v>500</v>
      </c>
      <c r="R2966" s="42">
        <v>150</v>
      </c>
      <c r="T2966" s="284">
        <v>350</v>
      </c>
      <c r="U2966" s="284"/>
    </row>
    <row r="2967" spans="2:21" x14ac:dyDescent="0.25">
      <c r="B2967" s="292">
        <v>59</v>
      </c>
      <c r="C2967" s="292"/>
      <c r="D2967" s="292"/>
      <c r="F2967" s="285" t="s">
        <v>386</v>
      </c>
      <c r="G2967" s="285"/>
      <c r="J2967" s="293">
        <v>42</v>
      </c>
      <c r="K2967" s="293"/>
      <c r="L2967" s="293"/>
      <c r="M2967" s="293"/>
      <c r="N2967" s="293"/>
      <c r="P2967" s="42">
        <v>3780</v>
      </c>
      <c r="R2967" s="42">
        <v>0</v>
      </c>
      <c r="T2967" s="284">
        <v>3780</v>
      </c>
      <c r="U2967" s="284"/>
    </row>
    <row r="2968" spans="2:21" x14ac:dyDescent="0.25">
      <c r="F2968" s="285"/>
      <c r="G2968" s="285"/>
    </row>
    <row r="2969" spans="2:21" x14ac:dyDescent="0.25">
      <c r="B2969" s="292">
        <v>60</v>
      </c>
      <c r="C2969" s="292"/>
      <c r="D2969" s="292"/>
      <c r="F2969" s="283" t="s">
        <v>301</v>
      </c>
      <c r="G2969" s="283"/>
      <c r="J2969" s="293">
        <v>1</v>
      </c>
      <c r="K2969" s="293"/>
      <c r="L2969" s="293"/>
      <c r="M2969" s="293"/>
      <c r="N2969" s="293"/>
      <c r="P2969" s="42">
        <v>800</v>
      </c>
      <c r="R2969" s="42">
        <v>200</v>
      </c>
      <c r="T2969" s="284">
        <v>600</v>
      </c>
      <c r="U2969" s="284"/>
    </row>
    <row r="2970" spans="2:21" x14ac:dyDescent="0.25">
      <c r="B2970" s="292">
        <v>61</v>
      </c>
      <c r="C2970" s="292"/>
      <c r="D2970" s="292"/>
      <c r="F2970" s="283" t="s">
        <v>300</v>
      </c>
      <c r="G2970" s="283"/>
      <c r="J2970" s="293">
        <v>4</v>
      </c>
      <c r="K2970" s="293"/>
      <c r="L2970" s="293"/>
      <c r="M2970" s="293"/>
      <c r="N2970" s="293"/>
      <c r="P2970" s="42">
        <v>1320</v>
      </c>
      <c r="R2970" s="42">
        <v>520</v>
      </c>
      <c r="T2970" s="284">
        <v>800</v>
      </c>
      <c r="U2970" s="284"/>
    </row>
    <row r="2971" spans="2:21" x14ac:dyDescent="0.25">
      <c r="B2971" s="292">
        <v>62</v>
      </c>
      <c r="C2971" s="292"/>
      <c r="D2971" s="292"/>
      <c r="F2971" s="283" t="s">
        <v>111</v>
      </c>
      <c r="G2971" s="283"/>
      <c r="J2971" s="293">
        <v>12</v>
      </c>
      <c r="K2971" s="293"/>
      <c r="L2971" s="293"/>
      <c r="M2971" s="293"/>
      <c r="N2971" s="293"/>
      <c r="P2971" s="42">
        <v>5160</v>
      </c>
      <c r="R2971" s="42">
        <v>1560</v>
      </c>
      <c r="T2971" s="284">
        <v>3600</v>
      </c>
      <c r="U2971" s="284"/>
    </row>
    <row r="2972" spans="2:21" x14ac:dyDescent="0.25">
      <c r="B2972" s="292">
        <v>63</v>
      </c>
      <c r="C2972" s="292"/>
      <c r="D2972" s="292"/>
      <c r="F2972" s="283" t="s">
        <v>110</v>
      </c>
      <c r="G2972" s="283"/>
      <c r="J2972" s="293">
        <v>1</v>
      </c>
      <c r="K2972" s="293"/>
      <c r="L2972" s="293"/>
      <c r="M2972" s="293"/>
      <c r="N2972" s="293"/>
      <c r="P2972" s="42">
        <v>1080</v>
      </c>
      <c r="R2972" s="42">
        <v>160</v>
      </c>
      <c r="T2972" s="284">
        <v>920</v>
      </c>
      <c r="U2972" s="284"/>
    </row>
    <row r="2973" spans="2:21" x14ac:dyDescent="0.25">
      <c r="B2973" s="292">
        <v>64</v>
      </c>
      <c r="C2973" s="292"/>
      <c r="D2973" s="292"/>
      <c r="F2973" s="283" t="s">
        <v>109</v>
      </c>
      <c r="G2973" s="283"/>
      <c r="J2973" s="293">
        <v>2</v>
      </c>
      <c r="K2973" s="293"/>
      <c r="L2973" s="293"/>
      <c r="M2973" s="293"/>
      <c r="N2973" s="293"/>
      <c r="P2973" s="42">
        <v>1560</v>
      </c>
      <c r="R2973" s="42">
        <v>230</v>
      </c>
      <c r="T2973" s="284">
        <v>1330</v>
      </c>
      <c r="U2973" s="284"/>
    </row>
    <row r="2974" spans="2:21" x14ac:dyDescent="0.25">
      <c r="B2974" s="292">
        <v>65</v>
      </c>
      <c r="C2974" s="292"/>
      <c r="D2974" s="292"/>
      <c r="F2974" s="283" t="s">
        <v>108</v>
      </c>
      <c r="G2974" s="283"/>
      <c r="J2974" s="293">
        <v>17</v>
      </c>
      <c r="K2974" s="293"/>
      <c r="L2974" s="293"/>
      <c r="M2974" s="293"/>
      <c r="N2974" s="293"/>
      <c r="P2974" s="42">
        <v>1700</v>
      </c>
      <c r="R2974" s="42">
        <v>60</v>
      </c>
      <c r="T2974" s="284">
        <v>1640</v>
      </c>
      <c r="U2974" s="284"/>
    </row>
    <row r="2975" spans="2:21" x14ac:dyDescent="0.25">
      <c r="B2975" s="292">
        <v>66</v>
      </c>
      <c r="C2975" s="292"/>
      <c r="D2975" s="292"/>
      <c r="F2975" s="283" t="s">
        <v>107</v>
      </c>
      <c r="G2975" s="283"/>
      <c r="J2975" s="293">
        <v>122</v>
      </c>
      <c r="K2975" s="293"/>
      <c r="L2975" s="293"/>
      <c r="M2975" s="293"/>
      <c r="N2975" s="293"/>
      <c r="P2975" s="42">
        <v>20740</v>
      </c>
      <c r="R2975" s="42">
        <v>6630</v>
      </c>
      <c r="T2975" s="284">
        <v>14110</v>
      </c>
      <c r="U2975" s="284"/>
    </row>
    <row r="2976" spans="2:21" x14ac:dyDescent="0.25">
      <c r="B2976" s="292">
        <v>67</v>
      </c>
      <c r="C2976" s="292"/>
      <c r="D2976" s="292"/>
      <c r="F2976" s="283" t="s">
        <v>106</v>
      </c>
      <c r="G2976" s="283"/>
      <c r="J2976" s="293">
        <v>252</v>
      </c>
      <c r="K2976" s="293"/>
      <c r="L2976" s="293"/>
      <c r="M2976" s="293"/>
      <c r="N2976" s="293"/>
      <c r="P2976" s="42">
        <v>25200</v>
      </c>
      <c r="R2976" s="42">
        <v>7560</v>
      </c>
      <c r="T2976" s="284">
        <v>17640</v>
      </c>
      <c r="U2976" s="284"/>
    </row>
    <row r="2977" spans="2:21" x14ac:dyDescent="0.25">
      <c r="B2977" s="292">
        <v>68</v>
      </c>
      <c r="C2977" s="292"/>
      <c r="D2977" s="292"/>
      <c r="F2977" s="283" t="s">
        <v>216</v>
      </c>
      <c r="G2977" s="283"/>
      <c r="J2977" s="293">
        <v>1</v>
      </c>
      <c r="K2977" s="293"/>
      <c r="L2977" s="293"/>
      <c r="M2977" s="293"/>
      <c r="N2977" s="293"/>
      <c r="P2977" s="42">
        <v>1080</v>
      </c>
      <c r="R2977" s="42">
        <v>165</v>
      </c>
      <c r="T2977" s="284">
        <v>915</v>
      </c>
      <c r="U2977" s="284"/>
    </row>
    <row r="2978" spans="2:21" x14ac:dyDescent="0.25">
      <c r="B2978" s="292">
        <v>69</v>
      </c>
      <c r="C2978" s="292"/>
      <c r="D2978" s="292"/>
      <c r="F2978" s="283" t="s">
        <v>105</v>
      </c>
      <c r="G2978" s="283"/>
      <c r="J2978" s="293">
        <v>7</v>
      </c>
      <c r="K2978" s="293"/>
      <c r="L2978" s="293"/>
      <c r="M2978" s="293"/>
      <c r="N2978" s="293"/>
      <c r="P2978" s="42">
        <v>8050</v>
      </c>
      <c r="R2978" s="42">
        <v>0</v>
      </c>
      <c r="T2978" s="284">
        <v>8050</v>
      </c>
      <c r="U2978" s="284"/>
    </row>
    <row r="2979" spans="2:21" x14ac:dyDescent="0.25">
      <c r="B2979" s="292">
        <v>70</v>
      </c>
      <c r="C2979" s="292"/>
      <c r="D2979" s="292"/>
      <c r="F2979" s="283" t="s">
        <v>103</v>
      </c>
      <c r="G2979" s="283"/>
      <c r="J2979" s="293">
        <v>24</v>
      </c>
      <c r="K2979" s="293"/>
      <c r="L2979" s="293"/>
      <c r="M2979" s="293"/>
      <c r="N2979" s="293"/>
      <c r="P2979" s="42">
        <v>7920</v>
      </c>
      <c r="R2979" s="42">
        <v>2940</v>
      </c>
      <c r="T2979" s="284">
        <v>4980</v>
      </c>
      <c r="U2979" s="284"/>
    </row>
    <row r="2980" spans="2:21" x14ac:dyDescent="0.25">
      <c r="B2980" s="292">
        <v>71</v>
      </c>
      <c r="C2980" s="292"/>
      <c r="D2980" s="292"/>
      <c r="F2980" s="283" t="s">
        <v>211</v>
      </c>
      <c r="G2980" s="283"/>
      <c r="J2980" s="293">
        <v>2</v>
      </c>
      <c r="K2980" s="293"/>
      <c r="L2980" s="293"/>
      <c r="M2980" s="293"/>
      <c r="N2980" s="293"/>
      <c r="P2980" s="42">
        <v>1000</v>
      </c>
      <c r="R2980" s="42">
        <v>300</v>
      </c>
      <c r="T2980" s="284">
        <v>700</v>
      </c>
      <c r="U2980" s="284"/>
    </row>
    <row r="2981" spans="2:21" x14ac:dyDescent="0.25">
      <c r="B2981" s="292">
        <v>72</v>
      </c>
      <c r="C2981" s="292"/>
      <c r="D2981" s="292"/>
      <c r="F2981" s="283" t="s">
        <v>102</v>
      </c>
      <c r="G2981" s="283"/>
      <c r="J2981" s="293">
        <v>2</v>
      </c>
      <c r="K2981" s="293"/>
      <c r="L2981" s="293"/>
      <c r="M2981" s="293"/>
      <c r="N2981" s="293"/>
      <c r="P2981" s="42">
        <v>1760</v>
      </c>
      <c r="R2981" s="42">
        <v>260</v>
      </c>
      <c r="T2981" s="284">
        <v>1500</v>
      </c>
      <c r="U2981" s="284"/>
    </row>
    <row r="2982" spans="2:21" x14ac:dyDescent="0.25">
      <c r="B2982" s="292">
        <v>73</v>
      </c>
      <c r="C2982" s="292"/>
      <c r="D2982" s="292"/>
      <c r="F2982" s="283" t="s">
        <v>179</v>
      </c>
      <c r="G2982" s="283"/>
      <c r="J2982" s="293">
        <v>1</v>
      </c>
      <c r="K2982" s="293"/>
      <c r="L2982" s="293"/>
      <c r="M2982" s="293"/>
      <c r="N2982" s="293"/>
      <c r="P2982" s="42">
        <v>880</v>
      </c>
      <c r="R2982" s="42">
        <v>130</v>
      </c>
      <c r="T2982" s="284">
        <v>750</v>
      </c>
      <c r="U2982" s="284"/>
    </row>
    <row r="2983" spans="2:21" x14ac:dyDescent="0.25">
      <c r="B2983" s="292">
        <v>74</v>
      </c>
      <c r="C2983" s="292"/>
      <c r="D2983" s="292"/>
      <c r="F2983" s="283" t="s">
        <v>100</v>
      </c>
      <c r="G2983" s="283"/>
      <c r="J2983" s="293">
        <v>5</v>
      </c>
      <c r="K2983" s="293"/>
      <c r="L2983" s="293"/>
      <c r="M2983" s="293"/>
      <c r="N2983" s="293"/>
      <c r="P2983" s="42">
        <v>900</v>
      </c>
      <c r="R2983" s="42">
        <v>200</v>
      </c>
      <c r="T2983" s="284">
        <v>700</v>
      </c>
      <c r="U2983" s="284"/>
    </row>
    <row r="2984" spans="2:21" x14ac:dyDescent="0.25">
      <c r="B2984" s="292">
        <v>75</v>
      </c>
      <c r="C2984" s="292"/>
      <c r="D2984" s="292"/>
      <c r="F2984" s="283" t="s">
        <v>178</v>
      </c>
      <c r="G2984" s="283"/>
      <c r="J2984" s="293">
        <v>1</v>
      </c>
      <c r="K2984" s="293"/>
      <c r="L2984" s="293"/>
      <c r="M2984" s="293"/>
      <c r="N2984" s="293"/>
      <c r="P2984" s="42">
        <v>1650</v>
      </c>
      <c r="R2984" s="42">
        <v>0</v>
      </c>
      <c r="T2984" s="284">
        <v>1650</v>
      </c>
      <c r="U2984" s="284"/>
    </row>
    <row r="2985" spans="2:21" x14ac:dyDescent="0.25">
      <c r="B2985" s="292">
        <v>76</v>
      </c>
      <c r="C2985" s="292"/>
      <c r="D2985" s="292"/>
      <c r="F2985" s="283" t="s">
        <v>99</v>
      </c>
      <c r="G2985" s="283"/>
      <c r="J2985" s="293">
        <v>2</v>
      </c>
      <c r="K2985" s="293"/>
      <c r="L2985" s="293"/>
      <c r="M2985" s="293"/>
      <c r="N2985" s="293"/>
      <c r="P2985" s="42">
        <v>1180</v>
      </c>
      <c r="R2985" s="42">
        <v>180</v>
      </c>
      <c r="T2985" s="284">
        <v>1000</v>
      </c>
      <c r="U2985" s="284"/>
    </row>
    <row r="2986" spans="2:21" x14ac:dyDescent="0.25">
      <c r="B2986" s="292">
        <v>77</v>
      </c>
      <c r="C2986" s="292"/>
      <c r="D2986" s="292"/>
      <c r="F2986" s="283" t="s">
        <v>98</v>
      </c>
      <c r="G2986" s="283"/>
      <c r="J2986" s="293">
        <v>2</v>
      </c>
      <c r="K2986" s="293"/>
      <c r="L2986" s="293"/>
      <c r="M2986" s="293"/>
      <c r="N2986" s="293"/>
      <c r="P2986" s="42">
        <v>1140</v>
      </c>
      <c r="R2986" s="42">
        <v>160</v>
      </c>
      <c r="T2986" s="284">
        <v>980</v>
      </c>
      <c r="U2986" s="284"/>
    </row>
    <row r="2987" spans="2:21" x14ac:dyDescent="0.25">
      <c r="B2987" s="292">
        <v>78</v>
      </c>
      <c r="C2987" s="292"/>
      <c r="D2987" s="292"/>
      <c r="F2987" s="283" t="s">
        <v>97</v>
      </c>
      <c r="G2987" s="283"/>
      <c r="J2987" s="293">
        <v>3</v>
      </c>
      <c r="K2987" s="293"/>
      <c r="L2987" s="293"/>
      <c r="M2987" s="293"/>
      <c r="N2987" s="293"/>
      <c r="P2987" s="42">
        <v>4770</v>
      </c>
      <c r="R2987" s="42">
        <v>720</v>
      </c>
      <c r="T2987" s="284">
        <v>4050</v>
      </c>
      <c r="U2987" s="284"/>
    </row>
    <row r="2988" spans="2:21" x14ac:dyDescent="0.25">
      <c r="B2988" s="292">
        <v>79</v>
      </c>
      <c r="C2988" s="292"/>
      <c r="D2988" s="292"/>
      <c r="F2988" s="283" t="s">
        <v>95</v>
      </c>
      <c r="G2988" s="283"/>
      <c r="J2988" s="293">
        <v>1</v>
      </c>
      <c r="K2988" s="293"/>
      <c r="L2988" s="293"/>
      <c r="M2988" s="293"/>
      <c r="N2988" s="293"/>
      <c r="P2988" s="42">
        <v>290</v>
      </c>
      <c r="R2988" s="42">
        <v>80</v>
      </c>
      <c r="T2988" s="284">
        <v>210</v>
      </c>
      <c r="U2988" s="284"/>
    </row>
    <row r="2989" spans="2:21" x14ac:dyDescent="0.25">
      <c r="B2989" s="292">
        <v>80</v>
      </c>
      <c r="C2989" s="292"/>
      <c r="D2989" s="292"/>
      <c r="F2989" s="283" t="s">
        <v>93</v>
      </c>
      <c r="G2989" s="283"/>
      <c r="J2989" s="293">
        <v>6</v>
      </c>
      <c r="K2989" s="293"/>
      <c r="L2989" s="293"/>
      <c r="M2989" s="293"/>
      <c r="N2989" s="293"/>
      <c r="P2989" s="42">
        <v>3540</v>
      </c>
      <c r="R2989" s="42">
        <v>540</v>
      </c>
      <c r="T2989" s="284">
        <v>3000</v>
      </c>
      <c r="U2989" s="284"/>
    </row>
    <row r="2990" spans="2:21" x14ac:dyDescent="0.25">
      <c r="B2990" s="292">
        <v>81</v>
      </c>
      <c r="C2990" s="292"/>
      <c r="D2990" s="292"/>
      <c r="F2990" s="283" t="s">
        <v>92</v>
      </c>
      <c r="G2990" s="283"/>
      <c r="J2990" s="293">
        <v>30</v>
      </c>
      <c r="K2990" s="293"/>
      <c r="L2990" s="293"/>
      <c r="M2990" s="293"/>
      <c r="N2990" s="293"/>
      <c r="P2990" s="42">
        <v>20840</v>
      </c>
      <c r="R2990" s="42">
        <v>6200</v>
      </c>
      <c r="T2990" s="284">
        <v>14640</v>
      </c>
      <c r="U2990" s="284"/>
    </row>
    <row r="2991" spans="2:21" x14ac:dyDescent="0.25">
      <c r="B2991" s="292">
        <v>82</v>
      </c>
      <c r="C2991" s="292"/>
      <c r="D2991" s="292"/>
      <c r="F2991" s="283" t="s">
        <v>174</v>
      </c>
      <c r="G2991" s="283"/>
      <c r="J2991" s="293">
        <v>2</v>
      </c>
      <c r="K2991" s="293"/>
      <c r="L2991" s="293"/>
      <c r="M2991" s="293"/>
      <c r="N2991" s="293"/>
      <c r="P2991" s="42">
        <v>800</v>
      </c>
      <c r="R2991" s="42">
        <v>240</v>
      </c>
      <c r="T2991" s="284">
        <v>560</v>
      </c>
      <c r="U2991" s="284"/>
    </row>
    <row r="2992" spans="2:21" x14ac:dyDescent="0.25">
      <c r="B2992" s="292">
        <v>83</v>
      </c>
      <c r="C2992" s="292"/>
      <c r="D2992" s="292"/>
      <c r="F2992" s="283" t="s">
        <v>173</v>
      </c>
      <c r="G2992" s="283"/>
      <c r="J2992" s="293">
        <v>3</v>
      </c>
      <c r="K2992" s="293"/>
      <c r="L2992" s="293"/>
      <c r="M2992" s="293"/>
      <c r="N2992" s="293"/>
      <c r="P2992" s="42">
        <v>3000</v>
      </c>
      <c r="R2992" s="42">
        <v>600</v>
      </c>
      <c r="T2992" s="284">
        <v>2400</v>
      </c>
      <c r="U2992" s="284"/>
    </row>
    <row r="2993" spans="1:21" x14ac:dyDescent="0.25">
      <c r="B2993" s="292">
        <v>84</v>
      </c>
      <c r="C2993" s="292"/>
      <c r="D2993" s="292"/>
      <c r="F2993" s="283" t="s">
        <v>91</v>
      </c>
      <c r="G2993" s="283"/>
      <c r="J2993" s="293">
        <v>28</v>
      </c>
      <c r="K2993" s="293"/>
      <c r="L2993" s="293"/>
      <c r="M2993" s="293"/>
      <c r="N2993" s="293"/>
      <c r="P2993" s="42">
        <v>7000</v>
      </c>
      <c r="R2993" s="42">
        <v>1890</v>
      </c>
      <c r="T2993" s="284">
        <v>5110</v>
      </c>
      <c r="U2993" s="284"/>
    </row>
    <row r="2994" spans="1:21" x14ac:dyDescent="0.25">
      <c r="B2994" s="292">
        <v>85</v>
      </c>
      <c r="C2994" s="292"/>
      <c r="D2994" s="292"/>
      <c r="F2994" s="283" t="s">
        <v>90</v>
      </c>
      <c r="G2994" s="283"/>
      <c r="J2994" s="293">
        <v>21</v>
      </c>
      <c r="K2994" s="293"/>
      <c r="L2994" s="293"/>
      <c r="M2994" s="293"/>
      <c r="N2994" s="293"/>
      <c r="P2994" s="42">
        <v>6090</v>
      </c>
      <c r="R2994" s="42">
        <v>1680</v>
      </c>
      <c r="T2994" s="284">
        <v>4410</v>
      </c>
      <c r="U2994" s="284"/>
    </row>
    <row r="2995" spans="1:21" x14ac:dyDescent="0.25">
      <c r="B2995" s="292">
        <v>86</v>
      </c>
      <c r="C2995" s="292"/>
      <c r="D2995" s="292"/>
      <c r="F2995" s="283" t="s">
        <v>89</v>
      </c>
      <c r="G2995" s="283"/>
      <c r="J2995" s="293">
        <v>4</v>
      </c>
      <c r="K2995" s="293"/>
      <c r="L2995" s="293"/>
      <c r="M2995" s="293"/>
      <c r="N2995" s="293"/>
      <c r="P2995" s="42">
        <v>3520</v>
      </c>
      <c r="R2995" s="42">
        <v>520</v>
      </c>
      <c r="T2995" s="284">
        <v>3000</v>
      </c>
      <c r="U2995" s="284"/>
    </row>
    <row r="2996" spans="1:21" x14ac:dyDescent="0.25">
      <c r="B2996" s="292">
        <v>87</v>
      </c>
      <c r="C2996" s="292"/>
      <c r="D2996" s="292"/>
      <c r="F2996" s="283" t="s">
        <v>88</v>
      </c>
      <c r="G2996" s="283"/>
      <c r="J2996" s="293">
        <v>99</v>
      </c>
      <c r="K2996" s="293"/>
      <c r="L2996" s="293"/>
      <c r="M2996" s="293"/>
      <c r="N2996" s="293"/>
      <c r="P2996" s="42">
        <v>17820</v>
      </c>
      <c r="R2996" s="42">
        <v>5885</v>
      </c>
      <c r="T2996" s="284">
        <v>11935</v>
      </c>
      <c r="U2996" s="284"/>
    </row>
    <row r="2997" spans="1:21" x14ac:dyDescent="0.25">
      <c r="B2997" s="292">
        <v>88</v>
      </c>
      <c r="C2997" s="292"/>
      <c r="D2997" s="292"/>
      <c r="F2997" s="283" t="s">
        <v>87</v>
      </c>
      <c r="G2997" s="283"/>
      <c r="J2997" s="293">
        <v>2</v>
      </c>
      <c r="K2997" s="293"/>
      <c r="L2997" s="293"/>
      <c r="M2997" s="293"/>
      <c r="N2997" s="293"/>
      <c r="P2997" s="42">
        <v>580</v>
      </c>
      <c r="R2997" s="42">
        <v>160</v>
      </c>
      <c r="T2997" s="284">
        <v>420</v>
      </c>
      <c r="U2997" s="284"/>
    </row>
    <row r="2998" spans="1:21" x14ac:dyDescent="0.25">
      <c r="B2998" s="292">
        <v>89</v>
      </c>
      <c r="C2998" s="292"/>
      <c r="D2998" s="292"/>
      <c r="F2998" s="283" t="s">
        <v>86</v>
      </c>
      <c r="G2998" s="283"/>
      <c r="J2998" s="293">
        <v>6</v>
      </c>
      <c r="K2998" s="293"/>
      <c r="L2998" s="293"/>
      <c r="M2998" s="293"/>
      <c r="N2998" s="293"/>
      <c r="P2998" s="42">
        <v>6840</v>
      </c>
      <c r="R2998" s="42">
        <v>454</v>
      </c>
      <c r="T2998" s="284">
        <v>6386</v>
      </c>
      <c r="U2998" s="284"/>
    </row>
    <row r="2999" spans="1:21" x14ac:dyDescent="0.25">
      <c r="B2999" s="292">
        <v>90</v>
      </c>
      <c r="C2999" s="292"/>
      <c r="D2999" s="292"/>
      <c r="F2999" s="283" t="s">
        <v>85</v>
      </c>
      <c r="G2999" s="283"/>
      <c r="J2999" s="293">
        <v>15</v>
      </c>
      <c r="K2999" s="293"/>
      <c r="L2999" s="293"/>
      <c r="M2999" s="293"/>
      <c r="N2999" s="293"/>
      <c r="P2999" s="42">
        <v>31200</v>
      </c>
      <c r="R2999" s="42">
        <v>4030</v>
      </c>
      <c r="T2999" s="284">
        <v>27170</v>
      </c>
      <c r="U2999" s="284"/>
    </row>
    <row r="3000" spans="1:21" x14ac:dyDescent="0.25">
      <c r="B3000" s="292">
        <v>91</v>
      </c>
      <c r="C3000" s="292"/>
      <c r="D3000" s="292"/>
      <c r="F3000" s="283" t="s">
        <v>84</v>
      </c>
      <c r="G3000" s="283"/>
      <c r="J3000" s="293">
        <v>15</v>
      </c>
      <c r="K3000" s="293"/>
      <c r="L3000" s="293"/>
      <c r="M3000" s="293"/>
      <c r="N3000" s="293"/>
      <c r="P3000" s="42">
        <v>8850</v>
      </c>
      <c r="R3000" s="42">
        <v>2160</v>
      </c>
      <c r="T3000" s="284">
        <v>6690</v>
      </c>
      <c r="U3000" s="284"/>
    </row>
    <row r="3001" spans="1:21" x14ac:dyDescent="0.25">
      <c r="B3001" s="292">
        <v>92</v>
      </c>
      <c r="C3001" s="292"/>
      <c r="D3001" s="292"/>
      <c r="F3001" s="283" t="s">
        <v>208</v>
      </c>
      <c r="G3001" s="283"/>
      <c r="J3001" s="293">
        <v>2</v>
      </c>
      <c r="K3001" s="293"/>
      <c r="L3001" s="293"/>
      <c r="M3001" s="293"/>
      <c r="N3001" s="293"/>
      <c r="P3001" s="42">
        <v>1000</v>
      </c>
      <c r="R3001" s="42">
        <v>300</v>
      </c>
      <c r="T3001" s="284">
        <v>700</v>
      </c>
      <c r="U3001" s="284"/>
    </row>
    <row r="3002" spans="1:21" x14ac:dyDescent="0.25">
      <c r="B3002" s="292">
        <v>93</v>
      </c>
      <c r="C3002" s="292"/>
      <c r="D3002" s="292"/>
      <c r="F3002" s="283" t="s">
        <v>83</v>
      </c>
      <c r="G3002" s="283"/>
      <c r="J3002" s="293">
        <v>1</v>
      </c>
      <c r="K3002" s="293"/>
      <c r="L3002" s="293"/>
      <c r="M3002" s="293"/>
      <c r="N3002" s="293"/>
      <c r="P3002" s="42">
        <v>500</v>
      </c>
      <c r="R3002" s="42">
        <v>150</v>
      </c>
      <c r="T3002" s="284">
        <v>350</v>
      </c>
      <c r="U3002" s="284"/>
    </row>
    <row r="3003" spans="1:21" x14ac:dyDescent="0.25">
      <c r="B3003" s="292">
        <v>94</v>
      </c>
      <c r="C3003" s="292"/>
      <c r="D3003" s="292"/>
      <c r="F3003" s="283" t="s">
        <v>271</v>
      </c>
      <c r="G3003" s="283"/>
      <c r="J3003" s="293">
        <v>1</v>
      </c>
      <c r="K3003" s="293"/>
      <c r="L3003" s="293"/>
      <c r="M3003" s="293"/>
      <c r="N3003" s="293"/>
      <c r="P3003" s="42">
        <v>500</v>
      </c>
      <c r="R3003" s="42">
        <v>150</v>
      </c>
      <c r="T3003" s="284">
        <v>350</v>
      </c>
      <c r="U3003" s="284"/>
    </row>
    <row r="3004" spans="1:21" x14ac:dyDescent="0.25">
      <c r="B3004" s="292">
        <v>95</v>
      </c>
      <c r="C3004" s="292"/>
      <c r="D3004" s="292"/>
      <c r="F3004" s="283" t="s">
        <v>82</v>
      </c>
      <c r="G3004" s="283"/>
      <c r="J3004" s="293">
        <v>5</v>
      </c>
      <c r="K3004" s="293"/>
      <c r="L3004" s="293"/>
      <c r="M3004" s="293"/>
      <c r="N3004" s="293"/>
      <c r="P3004" s="42">
        <v>1450</v>
      </c>
      <c r="R3004" s="42">
        <v>1450</v>
      </c>
      <c r="T3004" s="284">
        <v>0</v>
      </c>
      <c r="U3004" s="284"/>
    </row>
    <row r="3005" spans="1:21" x14ac:dyDescent="0.25">
      <c r="B3005" s="292">
        <v>96</v>
      </c>
      <c r="C3005" s="292"/>
      <c r="D3005" s="292"/>
      <c r="F3005" s="283" t="s">
        <v>81</v>
      </c>
      <c r="G3005" s="283"/>
      <c r="J3005" s="293">
        <v>5</v>
      </c>
      <c r="K3005" s="293"/>
      <c r="L3005" s="293"/>
      <c r="M3005" s="293"/>
      <c r="N3005" s="293"/>
      <c r="P3005" s="42">
        <v>1450</v>
      </c>
      <c r="R3005" s="42">
        <v>400</v>
      </c>
      <c r="T3005" s="284">
        <v>1050</v>
      </c>
      <c r="U3005" s="284"/>
    </row>
    <row r="3006" spans="1:21" s="40" customFormat="1" x14ac:dyDescent="0.25">
      <c r="A3006" s="290" t="s">
        <v>385</v>
      </c>
      <c r="B3006" s="290"/>
      <c r="C3006" s="290"/>
      <c r="D3006" s="290"/>
      <c r="E3006" s="290"/>
      <c r="F3006" s="290"/>
      <c r="G3006" s="290"/>
      <c r="H3006" s="290"/>
      <c r="I3006" s="290"/>
      <c r="J3006" s="290"/>
      <c r="K3006" s="291">
        <v>6263</v>
      </c>
      <c r="L3006" s="291"/>
      <c r="M3006" s="291"/>
      <c r="N3006" s="291"/>
      <c r="O3006" s="291"/>
      <c r="P3006" s="41">
        <v>6435630</v>
      </c>
      <c r="R3006" s="41">
        <v>5597540</v>
      </c>
      <c r="T3006" s="287">
        <v>838090</v>
      </c>
      <c r="U3006" s="287"/>
    </row>
    <row r="3007" spans="1:21" x14ac:dyDescent="0.25">
      <c r="B3007" s="292">
        <v>1</v>
      </c>
      <c r="C3007" s="292"/>
      <c r="D3007" s="292"/>
      <c r="F3007" s="283" t="s">
        <v>200</v>
      </c>
      <c r="G3007" s="283"/>
      <c r="J3007" s="293">
        <v>1</v>
      </c>
      <c r="K3007" s="293"/>
      <c r="L3007" s="293"/>
      <c r="M3007" s="293"/>
      <c r="N3007" s="293"/>
      <c r="P3007" s="42">
        <v>500</v>
      </c>
      <c r="R3007" s="42">
        <v>150</v>
      </c>
      <c r="T3007" s="284">
        <v>350</v>
      </c>
      <c r="U3007" s="284"/>
    </row>
    <row r="3008" spans="1:21" x14ac:dyDescent="0.25">
      <c r="B3008" s="292">
        <v>2</v>
      </c>
      <c r="C3008" s="292"/>
      <c r="D3008" s="292"/>
      <c r="F3008" s="283" t="s">
        <v>78</v>
      </c>
      <c r="G3008" s="283"/>
      <c r="J3008" s="293">
        <v>337</v>
      </c>
      <c r="K3008" s="293"/>
      <c r="L3008" s="293"/>
      <c r="M3008" s="293"/>
      <c r="N3008" s="293"/>
      <c r="P3008" s="42">
        <v>97730</v>
      </c>
      <c r="R3008" s="42">
        <v>97730</v>
      </c>
      <c r="T3008" s="284">
        <v>0</v>
      </c>
      <c r="U3008" s="284"/>
    </row>
    <row r="3009" spans="2:21" x14ac:dyDescent="0.25">
      <c r="B3009" s="292">
        <v>3</v>
      </c>
      <c r="C3009" s="292"/>
      <c r="D3009" s="292"/>
      <c r="F3009" s="283" t="s">
        <v>162</v>
      </c>
      <c r="G3009" s="283"/>
      <c r="J3009" s="293">
        <v>8</v>
      </c>
      <c r="K3009" s="293"/>
      <c r="L3009" s="293"/>
      <c r="M3009" s="293"/>
      <c r="N3009" s="293"/>
      <c r="P3009" s="42">
        <v>3440</v>
      </c>
      <c r="R3009" s="42">
        <v>1562</v>
      </c>
      <c r="T3009" s="284">
        <v>1878</v>
      </c>
      <c r="U3009" s="284"/>
    </row>
    <row r="3010" spans="2:21" x14ac:dyDescent="0.25">
      <c r="B3010" s="292">
        <v>4</v>
      </c>
      <c r="C3010" s="292"/>
      <c r="D3010" s="292"/>
      <c r="F3010" s="283" t="s">
        <v>384</v>
      </c>
      <c r="G3010" s="283"/>
      <c r="J3010" s="293">
        <v>1</v>
      </c>
      <c r="K3010" s="293"/>
      <c r="L3010" s="293"/>
      <c r="M3010" s="293"/>
      <c r="N3010" s="293"/>
      <c r="P3010" s="42">
        <v>4350</v>
      </c>
      <c r="R3010" s="42">
        <v>650</v>
      </c>
      <c r="T3010" s="284">
        <v>3700</v>
      </c>
      <c r="U3010" s="284"/>
    </row>
    <row r="3011" spans="2:21" x14ac:dyDescent="0.25">
      <c r="B3011" s="292">
        <v>5</v>
      </c>
      <c r="C3011" s="292"/>
      <c r="D3011" s="292"/>
      <c r="F3011" s="283" t="s">
        <v>159</v>
      </c>
      <c r="G3011" s="283"/>
      <c r="J3011" s="293">
        <v>111</v>
      </c>
      <c r="K3011" s="293"/>
      <c r="L3011" s="293"/>
      <c r="M3011" s="293"/>
      <c r="N3011" s="293"/>
      <c r="P3011" s="42">
        <v>0</v>
      </c>
      <c r="R3011" s="42">
        <v>0</v>
      </c>
      <c r="T3011" s="284">
        <v>0</v>
      </c>
      <c r="U3011" s="284"/>
    </row>
    <row r="3012" spans="2:21" x14ac:dyDescent="0.25">
      <c r="B3012" s="292">
        <v>6</v>
      </c>
      <c r="C3012" s="292"/>
      <c r="D3012" s="292"/>
      <c r="F3012" s="283" t="s">
        <v>158</v>
      </c>
      <c r="G3012" s="283"/>
      <c r="J3012" s="293">
        <v>1041</v>
      </c>
      <c r="K3012" s="293"/>
      <c r="L3012" s="293"/>
      <c r="M3012" s="293"/>
      <c r="N3012" s="293"/>
      <c r="P3012" s="42">
        <v>572550</v>
      </c>
      <c r="R3012" s="42">
        <v>172360</v>
      </c>
      <c r="T3012" s="284">
        <v>400190</v>
      </c>
      <c r="U3012" s="284"/>
    </row>
    <row r="3013" spans="2:21" x14ac:dyDescent="0.25">
      <c r="B3013" s="292">
        <v>7</v>
      </c>
      <c r="C3013" s="292"/>
      <c r="D3013" s="292"/>
      <c r="F3013" s="283" t="s">
        <v>157</v>
      </c>
      <c r="G3013" s="283"/>
      <c r="J3013" s="293">
        <v>37</v>
      </c>
      <c r="K3013" s="293"/>
      <c r="L3013" s="293"/>
      <c r="M3013" s="293"/>
      <c r="N3013" s="293"/>
      <c r="P3013" s="42">
        <v>18130</v>
      </c>
      <c r="R3013" s="42">
        <v>7878</v>
      </c>
      <c r="T3013" s="284">
        <v>10252</v>
      </c>
      <c r="U3013" s="284"/>
    </row>
    <row r="3014" spans="2:21" x14ac:dyDescent="0.25">
      <c r="B3014" s="292">
        <v>8</v>
      </c>
      <c r="C3014" s="292"/>
      <c r="D3014" s="292"/>
      <c r="F3014" s="283" t="s">
        <v>292</v>
      </c>
      <c r="G3014" s="283"/>
      <c r="J3014" s="293">
        <v>1</v>
      </c>
      <c r="K3014" s="293"/>
      <c r="L3014" s="293"/>
      <c r="M3014" s="293"/>
      <c r="N3014" s="293"/>
      <c r="P3014" s="42">
        <v>700</v>
      </c>
      <c r="R3014" s="42">
        <v>700</v>
      </c>
      <c r="T3014" s="284">
        <v>0</v>
      </c>
      <c r="U3014" s="284"/>
    </row>
    <row r="3015" spans="2:21" x14ac:dyDescent="0.25">
      <c r="B3015" s="292">
        <v>9</v>
      </c>
      <c r="C3015" s="292"/>
      <c r="D3015" s="292"/>
      <c r="F3015" s="283" t="s">
        <v>77</v>
      </c>
      <c r="G3015" s="283"/>
      <c r="J3015" s="293">
        <v>1636</v>
      </c>
      <c r="K3015" s="293"/>
      <c r="L3015" s="293"/>
      <c r="M3015" s="293"/>
      <c r="N3015" s="293"/>
      <c r="P3015" s="42">
        <v>659900</v>
      </c>
      <c r="R3015" s="42">
        <v>659900</v>
      </c>
      <c r="T3015" s="284">
        <v>0</v>
      </c>
      <c r="U3015" s="284"/>
    </row>
    <row r="3016" spans="2:21" x14ac:dyDescent="0.25">
      <c r="B3016" s="292">
        <v>10</v>
      </c>
      <c r="C3016" s="292"/>
      <c r="D3016" s="292"/>
      <c r="F3016" s="283" t="s">
        <v>76</v>
      </c>
      <c r="G3016" s="283"/>
      <c r="J3016" s="293">
        <v>2</v>
      </c>
      <c r="K3016" s="293"/>
      <c r="L3016" s="293"/>
      <c r="M3016" s="293"/>
      <c r="N3016" s="293"/>
      <c r="P3016" s="42">
        <v>1200</v>
      </c>
      <c r="R3016" s="42">
        <v>1200</v>
      </c>
      <c r="T3016" s="284">
        <v>0</v>
      </c>
      <c r="U3016" s="284"/>
    </row>
    <row r="3017" spans="2:21" x14ac:dyDescent="0.25">
      <c r="B3017" s="292">
        <v>11</v>
      </c>
      <c r="C3017" s="292"/>
      <c r="D3017" s="292"/>
      <c r="F3017" s="283" t="s">
        <v>156</v>
      </c>
      <c r="G3017" s="283"/>
      <c r="J3017" s="293">
        <v>1</v>
      </c>
      <c r="K3017" s="293"/>
      <c r="L3017" s="293"/>
      <c r="M3017" s="293"/>
      <c r="N3017" s="293"/>
      <c r="P3017" s="42">
        <v>190</v>
      </c>
      <c r="R3017" s="42">
        <v>50</v>
      </c>
      <c r="T3017" s="284">
        <v>140</v>
      </c>
      <c r="U3017" s="284"/>
    </row>
    <row r="3018" spans="2:21" x14ac:dyDescent="0.25">
      <c r="B3018" s="292">
        <v>12</v>
      </c>
      <c r="C3018" s="292"/>
      <c r="D3018" s="292"/>
      <c r="F3018" s="283" t="s">
        <v>155</v>
      </c>
      <c r="G3018" s="283"/>
      <c r="J3018" s="293">
        <v>4</v>
      </c>
      <c r="K3018" s="293"/>
      <c r="L3018" s="293"/>
      <c r="M3018" s="293"/>
      <c r="N3018" s="293"/>
      <c r="P3018" s="42">
        <v>1000</v>
      </c>
      <c r="R3018" s="42">
        <v>310</v>
      </c>
      <c r="T3018" s="284">
        <v>690</v>
      </c>
      <c r="U3018" s="284"/>
    </row>
    <row r="3019" spans="2:21" x14ac:dyDescent="0.25">
      <c r="B3019" s="292">
        <v>13</v>
      </c>
      <c r="C3019" s="292"/>
      <c r="D3019" s="292"/>
      <c r="F3019" s="283" t="s">
        <v>151</v>
      </c>
      <c r="G3019" s="283"/>
      <c r="J3019" s="293">
        <v>56</v>
      </c>
      <c r="K3019" s="293"/>
      <c r="L3019" s="293"/>
      <c r="M3019" s="293"/>
      <c r="N3019" s="293"/>
      <c r="P3019" s="42">
        <v>12880</v>
      </c>
      <c r="R3019" s="42">
        <v>4150</v>
      </c>
      <c r="T3019" s="284">
        <v>8730</v>
      </c>
      <c r="U3019" s="284"/>
    </row>
    <row r="3020" spans="2:21" x14ac:dyDescent="0.25">
      <c r="B3020" s="292">
        <v>14</v>
      </c>
      <c r="C3020" s="292"/>
      <c r="D3020" s="292"/>
      <c r="F3020" s="283" t="s">
        <v>150</v>
      </c>
      <c r="G3020" s="283"/>
      <c r="J3020" s="293">
        <v>3</v>
      </c>
      <c r="K3020" s="293"/>
      <c r="L3020" s="293"/>
      <c r="M3020" s="293"/>
      <c r="N3020" s="293"/>
      <c r="P3020" s="42">
        <v>510</v>
      </c>
      <c r="R3020" s="42">
        <v>150</v>
      </c>
      <c r="T3020" s="284">
        <v>360</v>
      </c>
      <c r="U3020" s="284"/>
    </row>
    <row r="3021" spans="2:21" x14ac:dyDescent="0.25">
      <c r="B3021" s="292">
        <v>15</v>
      </c>
      <c r="C3021" s="292"/>
      <c r="D3021" s="292"/>
      <c r="F3021" s="283" t="s">
        <v>233</v>
      </c>
      <c r="G3021" s="283"/>
      <c r="J3021" s="293">
        <v>1</v>
      </c>
      <c r="K3021" s="293"/>
      <c r="L3021" s="293"/>
      <c r="M3021" s="293"/>
      <c r="N3021" s="293"/>
      <c r="P3021" s="42">
        <v>980</v>
      </c>
      <c r="R3021" s="42">
        <v>150</v>
      </c>
      <c r="T3021" s="284">
        <v>830</v>
      </c>
      <c r="U3021" s="284"/>
    </row>
    <row r="3022" spans="2:21" x14ac:dyDescent="0.25">
      <c r="B3022" s="292">
        <v>16</v>
      </c>
      <c r="C3022" s="292"/>
      <c r="D3022" s="292"/>
      <c r="F3022" s="283" t="s">
        <v>232</v>
      </c>
      <c r="G3022" s="283"/>
      <c r="J3022" s="293">
        <v>1</v>
      </c>
      <c r="K3022" s="293"/>
      <c r="L3022" s="293"/>
      <c r="M3022" s="293"/>
      <c r="N3022" s="293"/>
      <c r="P3022" s="42">
        <v>980</v>
      </c>
      <c r="R3022" s="42">
        <v>150</v>
      </c>
      <c r="T3022" s="284">
        <v>830</v>
      </c>
      <c r="U3022" s="284"/>
    </row>
    <row r="3023" spans="2:21" x14ac:dyDescent="0.25">
      <c r="B3023" s="292">
        <v>17</v>
      </c>
      <c r="C3023" s="292"/>
      <c r="D3023" s="292"/>
      <c r="F3023" s="283" t="s">
        <v>193</v>
      </c>
      <c r="G3023" s="283"/>
      <c r="J3023" s="293">
        <v>1</v>
      </c>
      <c r="K3023" s="293"/>
      <c r="L3023" s="293"/>
      <c r="M3023" s="293"/>
      <c r="N3023" s="293"/>
      <c r="P3023" s="42">
        <v>890</v>
      </c>
      <c r="R3023" s="42">
        <v>130</v>
      </c>
      <c r="T3023" s="284">
        <v>760</v>
      </c>
      <c r="U3023" s="284"/>
    </row>
    <row r="3024" spans="2:21" x14ac:dyDescent="0.25">
      <c r="B3024" s="292">
        <v>18</v>
      </c>
      <c r="C3024" s="292"/>
      <c r="D3024" s="292"/>
      <c r="F3024" s="283" t="s">
        <v>75</v>
      </c>
      <c r="G3024" s="283"/>
      <c r="J3024" s="293">
        <v>1743</v>
      </c>
      <c r="K3024" s="293"/>
      <c r="L3024" s="293"/>
      <c r="M3024" s="293"/>
      <c r="N3024" s="293"/>
      <c r="P3024" s="42">
        <v>4357500</v>
      </c>
      <c r="R3024" s="42">
        <v>4357500</v>
      </c>
      <c r="T3024" s="284">
        <v>0</v>
      </c>
      <c r="U3024" s="284"/>
    </row>
    <row r="3025" spans="2:21" x14ac:dyDescent="0.25">
      <c r="B3025" s="292">
        <v>19</v>
      </c>
      <c r="C3025" s="292"/>
      <c r="D3025" s="292"/>
      <c r="F3025" s="283" t="s">
        <v>302</v>
      </c>
      <c r="G3025" s="283"/>
      <c r="J3025" s="293">
        <v>2</v>
      </c>
      <c r="K3025" s="293"/>
      <c r="L3025" s="293"/>
      <c r="M3025" s="293"/>
      <c r="N3025" s="293"/>
      <c r="P3025" s="42">
        <v>1600</v>
      </c>
      <c r="R3025" s="42">
        <v>900</v>
      </c>
      <c r="T3025" s="284">
        <v>700</v>
      </c>
      <c r="U3025" s="284"/>
    </row>
    <row r="3026" spans="2:21" x14ac:dyDescent="0.25">
      <c r="B3026" s="292">
        <v>20</v>
      </c>
      <c r="C3026" s="292"/>
      <c r="D3026" s="292"/>
      <c r="F3026" s="283" t="s">
        <v>137</v>
      </c>
      <c r="G3026" s="283"/>
      <c r="J3026" s="293">
        <v>1</v>
      </c>
      <c r="K3026" s="293"/>
      <c r="L3026" s="293"/>
      <c r="M3026" s="293"/>
      <c r="N3026" s="293"/>
      <c r="P3026" s="42">
        <v>800</v>
      </c>
      <c r="R3026" s="42">
        <v>450</v>
      </c>
      <c r="T3026" s="284">
        <v>350</v>
      </c>
      <c r="U3026" s="284"/>
    </row>
    <row r="3027" spans="2:21" x14ac:dyDescent="0.25">
      <c r="B3027" s="292">
        <v>21</v>
      </c>
      <c r="C3027" s="292"/>
      <c r="D3027" s="292"/>
      <c r="F3027" s="283" t="s">
        <v>136</v>
      </c>
      <c r="G3027" s="283"/>
      <c r="J3027" s="293">
        <v>8</v>
      </c>
      <c r="K3027" s="293"/>
      <c r="L3027" s="293"/>
      <c r="M3027" s="293"/>
      <c r="N3027" s="293"/>
      <c r="P3027" s="42">
        <v>6800</v>
      </c>
      <c r="R3027" s="42">
        <v>1950</v>
      </c>
      <c r="T3027" s="284">
        <v>4850</v>
      </c>
      <c r="U3027" s="284"/>
    </row>
    <row r="3028" spans="2:21" x14ac:dyDescent="0.25">
      <c r="B3028" s="292">
        <v>22</v>
      </c>
      <c r="C3028" s="292"/>
      <c r="D3028" s="292"/>
      <c r="F3028" s="283" t="s">
        <v>74</v>
      </c>
      <c r="G3028" s="283"/>
      <c r="J3028" s="293">
        <v>137</v>
      </c>
      <c r="K3028" s="293"/>
      <c r="L3028" s="293"/>
      <c r="M3028" s="293"/>
      <c r="N3028" s="293"/>
      <c r="P3028" s="42">
        <v>116450</v>
      </c>
      <c r="R3028" s="42">
        <v>116450</v>
      </c>
      <c r="T3028" s="284">
        <v>0</v>
      </c>
      <c r="U3028" s="284"/>
    </row>
    <row r="3029" spans="2:21" x14ac:dyDescent="0.25">
      <c r="B3029" s="292">
        <v>23</v>
      </c>
      <c r="C3029" s="292"/>
      <c r="D3029" s="292"/>
      <c r="F3029" s="283" t="s">
        <v>190</v>
      </c>
      <c r="G3029" s="283"/>
      <c r="J3029" s="293">
        <v>16</v>
      </c>
      <c r="K3029" s="293"/>
      <c r="L3029" s="293"/>
      <c r="M3029" s="293"/>
      <c r="N3029" s="293"/>
      <c r="P3029" s="42">
        <v>25120</v>
      </c>
      <c r="R3029" s="42">
        <v>3840</v>
      </c>
      <c r="T3029" s="284">
        <v>21280</v>
      </c>
      <c r="U3029" s="284"/>
    </row>
    <row r="3030" spans="2:21" x14ac:dyDescent="0.25">
      <c r="B3030" s="292">
        <v>24</v>
      </c>
      <c r="C3030" s="292"/>
      <c r="D3030" s="292"/>
      <c r="F3030" s="283" t="s">
        <v>230</v>
      </c>
      <c r="G3030" s="283"/>
      <c r="J3030" s="293">
        <v>1</v>
      </c>
      <c r="K3030" s="293"/>
      <c r="L3030" s="293"/>
      <c r="M3030" s="293"/>
      <c r="N3030" s="293"/>
      <c r="P3030" s="42">
        <v>950</v>
      </c>
      <c r="R3030" s="42">
        <v>140</v>
      </c>
      <c r="T3030" s="284">
        <v>810</v>
      </c>
      <c r="U3030" s="284"/>
    </row>
    <row r="3031" spans="2:21" x14ac:dyDescent="0.25">
      <c r="B3031" s="292">
        <v>25</v>
      </c>
      <c r="C3031" s="292"/>
      <c r="D3031" s="292"/>
      <c r="F3031" s="283" t="s">
        <v>229</v>
      </c>
      <c r="G3031" s="283"/>
      <c r="J3031" s="293">
        <v>4</v>
      </c>
      <c r="K3031" s="293"/>
      <c r="L3031" s="293"/>
      <c r="M3031" s="293"/>
      <c r="N3031" s="293"/>
      <c r="P3031" s="42">
        <v>28000</v>
      </c>
      <c r="R3031" s="42">
        <v>12400</v>
      </c>
      <c r="T3031" s="284">
        <v>15600</v>
      </c>
      <c r="U3031" s="284"/>
    </row>
    <row r="3032" spans="2:21" x14ac:dyDescent="0.25">
      <c r="B3032" s="292">
        <v>26</v>
      </c>
      <c r="C3032" s="292"/>
      <c r="D3032" s="292"/>
      <c r="F3032" s="283" t="s">
        <v>132</v>
      </c>
      <c r="G3032" s="283"/>
      <c r="J3032" s="293">
        <v>1</v>
      </c>
      <c r="K3032" s="293"/>
      <c r="L3032" s="293"/>
      <c r="M3032" s="293"/>
      <c r="N3032" s="293"/>
      <c r="P3032" s="42">
        <v>1240</v>
      </c>
      <c r="R3032" s="42">
        <v>370</v>
      </c>
      <c r="T3032" s="284">
        <v>870</v>
      </c>
      <c r="U3032" s="284"/>
    </row>
    <row r="3033" spans="2:21" x14ac:dyDescent="0.25">
      <c r="B3033" s="292">
        <v>27</v>
      </c>
      <c r="C3033" s="292"/>
      <c r="D3033" s="292"/>
      <c r="F3033" s="283" t="s">
        <v>131</v>
      </c>
      <c r="G3033" s="283"/>
      <c r="J3033" s="293">
        <v>10</v>
      </c>
      <c r="K3033" s="293"/>
      <c r="L3033" s="293"/>
      <c r="M3033" s="293"/>
      <c r="N3033" s="293"/>
      <c r="P3033" s="42">
        <v>37000</v>
      </c>
      <c r="R3033" s="42">
        <v>8000</v>
      </c>
      <c r="T3033" s="284">
        <v>29000</v>
      </c>
      <c r="U3033" s="284"/>
    </row>
    <row r="3034" spans="2:21" x14ac:dyDescent="0.25">
      <c r="B3034" s="292">
        <v>28</v>
      </c>
      <c r="C3034" s="292"/>
      <c r="D3034" s="292"/>
      <c r="F3034" s="283" t="s">
        <v>130</v>
      </c>
      <c r="G3034" s="283"/>
      <c r="J3034" s="293">
        <v>9</v>
      </c>
      <c r="K3034" s="293"/>
      <c r="L3034" s="293"/>
      <c r="M3034" s="293"/>
      <c r="N3034" s="293"/>
      <c r="P3034" s="42">
        <v>72000</v>
      </c>
      <c r="R3034" s="42">
        <v>36900</v>
      </c>
      <c r="T3034" s="284">
        <v>35100</v>
      </c>
      <c r="U3034" s="284"/>
    </row>
    <row r="3035" spans="2:21" x14ac:dyDescent="0.25">
      <c r="B3035" s="292">
        <v>29</v>
      </c>
      <c r="C3035" s="292"/>
      <c r="D3035" s="292"/>
      <c r="F3035" s="283" t="s">
        <v>127</v>
      </c>
      <c r="G3035" s="283"/>
      <c r="J3035" s="293">
        <v>85</v>
      </c>
      <c r="K3035" s="293"/>
      <c r="L3035" s="293"/>
      <c r="M3035" s="293"/>
      <c r="N3035" s="293"/>
      <c r="P3035" s="42">
        <v>25500</v>
      </c>
      <c r="R3035" s="42">
        <v>6186</v>
      </c>
      <c r="T3035" s="284">
        <v>19314</v>
      </c>
      <c r="U3035" s="284"/>
    </row>
    <row r="3036" spans="2:21" x14ac:dyDescent="0.25">
      <c r="B3036" s="292">
        <v>30</v>
      </c>
      <c r="C3036" s="292"/>
      <c r="D3036" s="292"/>
      <c r="F3036" s="283" t="s">
        <v>126</v>
      </c>
      <c r="G3036" s="283"/>
      <c r="J3036" s="293">
        <v>42</v>
      </c>
      <c r="K3036" s="293"/>
      <c r="L3036" s="293"/>
      <c r="M3036" s="293"/>
      <c r="N3036" s="293"/>
      <c r="P3036" s="42">
        <v>8400</v>
      </c>
      <c r="R3036" s="42">
        <v>1542</v>
      </c>
      <c r="T3036" s="284">
        <v>6858</v>
      </c>
      <c r="U3036" s="284"/>
    </row>
    <row r="3037" spans="2:21" x14ac:dyDescent="0.25">
      <c r="B3037" s="292">
        <v>31</v>
      </c>
      <c r="C3037" s="292"/>
      <c r="D3037" s="292"/>
      <c r="F3037" s="283" t="s">
        <v>125</v>
      </c>
      <c r="G3037" s="283"/>
      <c r="J3037" s="293">
        <v>3</v>
      </c>
      <c r="K3037" s="293"/>
      <c r="L3037" s="293"/>
      <c r="M3037" s="293"/>
      <c r="N3037" s="293"/>
      <c r="P3037" s="42">
        <v>1200</v>
      </c>
      <c r="R3037" s="42">
        <v>240</v>
      </c>
      <c r="T3037" s="284">
        <v>960</v>
      </c>
      <c r="U3037" s="284"/>
    </row>
    <row r="3038" spans="2:21" x14ac:dyDescent="0.25">
      <c r="B3038" s="292">
        <v>32</v>
      </c>
      <c r="C3038" s="292"/>
      <c r="D3038" s="292"/>
      <c r="F3038" s="283" t="s">
        <v>124</v>
      </c>
      <c r="G3038" s="283"/>
      <c r="J3038" s="293">
        <v>4</v>
      </c>
      <c r="K3038" s="293"/>
      <c r="L3038" s="293"/>
      <c r="M3038" s="293"/>
      <c r="N3038" s="293"/>
      <c r="P3038" s="42">
        <v>1600</v>
      </c>
      <c r="R3038" s="42">
        <v>480</v>
      </c>
      <c r="T3038" s="284">
        <v>1120</v>
      </c>
      <c r="U3038" s="284"/>
    </row>
    <row r="3039" spans="2:21" x14ac:dyDescent="0.25">
      <c r="B3039" s="292">
        <v>33</v>
      </c>
      <c r="C3039" s="292"/>
      <c r="D3039" s="292"/>
      <c r="F3039" s="283" t="s">
        <v>123</v>
      </c>
      <c r="G3039" s="283"/>
      <c r="J3039" s="293">
        <v>188</v>
      </c>
      <c r="K3039" s="293"/>
      <c r="L3039" s="293"/>
      <c r="M3039" s="293"/>
      <c r="N3039" s="293"/>
      <c r="P3039" s="42">
        <v>146640</v>
      </c>
      <c r="R3039" s="42">
        <v>43240</v>
      </c>
      <c r="T3039" s="284">
        <v>103400</v>
      </c>
      <c r="U3039" s="284"/>
    </row>
    <row r="3040" spans="2:21" x14ac:dyDescent="0.25">
      <c r="B3040" s="292">
        <v>34</v>
      </c>
      <c r="C3040" s="292"/>
      <c r="D3040" s="292"/>
      <c r="F3040" s="283" t="s">
        <v>122</v>
      </c>
      <c r="G3040" s="283"/>
      <c r="J3040" s="293">
        <v>2</v>
      </c>
      <c r="K3040" s="293"/>
      <c r="L3040" s="293"/>
      <c r="M3040" s="293"/>
      <c r="N3040" s="293"/>
      <c r="P3040" s="42">
        <v>1000</v>
      </c>
      <c r="R3040" s="42">
        <v>300</v>
      </c>
      <c r="T3040" s="284">
        <v>700</v>
      </c>
      <c r="U3040" s="284"/>
    </row>
    <row r="3041" spans="2:21" x14ac:dyDescent="0.25">
      <c r="B3041" s="292">
        <v>35</v>
      </c>
      <c r="C3041" s="292"/>
      <c r="D3041" s="292"/>
      <c r="F3041" s="283" t="s">
        <v>121</v>
      </c>
      <c r="G3041" s="283"/>
      <c r="J3041" s="293">
        <v>2</v>
      </c>
      <c r="K3041" s="293"/>
      <c r="L3041" s="293"/>
      <c r="M3041" s="293"/>
      <c r="N3041" s="293"/>
      <c r="P3041" s="42">
        <v>1000</v>
      </c>
      <c r="R3041" s="42">
        <v>300</v>
      </c>
      <c r="T3041" s="284">
        <v>700</v>
      </c>
      <c r="U3041" s="284"/>
    </row>
    <row r="3042" spans="2:21" x14ac:dyDescent="0.25">
      <c r="B3042" s="292">
        <v>36</v>
      </c>
      <c r="C3042" s="292"/>
      <c r="D3042" s="292"/>
      <c r="F3042" s="283" t="s">
        <v>182</v>
      </c>
      <c r="G3042" s="283"/>
      <c r="J3042" s="293">
        <v>1</v>
      </c>
      <c r="K3042" s="293"/>
      <c r="L3042" s="293"/>
      <c r="M3042" s="293"/>
      <c r="N3042" s="293"/>
      <c r="P3042" s="42">
        <v>790</v>
      </c>
      <c r="R3042" s="42">
        <v>120</v>
      </c>
      <c r="T3042" s="284">
        <v>670</v>
      </c>
      <c r="U3042" s="284"/>
    </row>
    <row r="3043" spans="2:21" x14ac:dyDescent="0.25">
      <c r="B3043" s="292">
        <v>37</v>
      </c>
      <c r="C3043" s="292"/>
      <c r="D3043" s="292"/>
      <c r="F3043" s="283" t="s">
        <v>118</v>
      </c>
      <c r="G3043" s="283"/>
      <c r="J3043" s="293">
        <v>118</v>
      </c>
      <c r="K3043" s="293"/>
      <c r="L3043" s="293"/>
      <c r="M3043" s="293"/>
      <c r="N3043" s="293"/>
      <c r="P3043" s="42">
        <v>116820</v>
      </c>
      <c r="R3043" s="42">
        <v>40580</v>
      </c>
      <c r="T3043" s="284">
        <v>76240</v>
      </c>
      <c r="U3043" s="284"/>
    </row>
    <row r="3044" spans="2:21" x14ac:dyDescent="0.25">
      <c r="B3044" s="292">
        <v>38</v>
      </c>
      <c r="C3044" s="292"/>
      <c r="D3044" s="292"/>
      <c r="F3044" s="283" t="s">
        <v>117</v>
      </c>
      <c r="G3044" s="283"/>
      <c r="J3044" s="293">
        <v>3</v>
      </c>
      <c r="K3044" s="293"/>
      <c r="L3044" s="293"/>
      <c r="M3044" s="293"/>
      <c r="N3044" s="293"/>
      <c r="P3044" s="42">
        <v>2400</v>
      </c>
      <c r="R3044" s="42">
        <v>600</v>
      </c>
      <c r="T3044" s="284">
        <v>1800</v>
      </c>
      <c r="U3044" s="284"/>
    </row>
    <row r="3045" spans="2:21" x14ac:dyDescent="0.25">
      <c r="B3045" s="292">
        <v>39</v>
      </c>
      <c r="C3045" s="292"/>
      <c r="D3045" s="292"/>
      <c r="F3045" s="283" t="s">
        <v>115</v>
      </c>
      <c r="G3045" s="283"/>
      <c r="J3045" s="293">
        <v>12</v>
      </c>
      <c r="K3045" s="293"/>
      <c r="L3045" s="293"/>
      <c r="M3045" s="293"/>
      <c r="N3045" s="293"/>
      <c r="P3045" s="42">
        <v>3480</v>
      </c>
      <c r="R3045" s="42">
        <v>1230</v>
      </c>
      <c r="T3045" s="284">
        <v>2250</v>
      </c>
      <c r="U3045" s="284"/>
    </row>
    <row r="3046" spans="2:21" x14ac:dyDescent="0.25">
      <c r="B3046" s="292">
        <v>40</v>
      </c>
      <c r="C3046" s="292"/>
      <c r="D3046" s="292"/>
      <c r="F3046" s="283" t="s">
        <v>383</v>
      </c>
      <c r="G3046" s="283"/>
      <c r="J3046" s="293">
        <v>4</v>
      </c>
      <c r="K3046" s="293"/>
      <c r="L3046" s="293"/>
      <c r="M3046" s="293"/>
      <c r="N3046" s="293"/>
      <c r="P3046" s="42">
        <v>320</v>
      </c>
      <c r="R3046" s="42">
        <v>0</v>
      </c>
      <c r="T3046" s="284">
        <v>320</v>
      </c>
      <c r="U3046" s="284"/>
    </row>
    <row r="3047" spans="2:21" x14ac:dyDescent="0.25">
      <c r="B3047" s="292">
        <v>41</v>
      </c>
      <c r="C3047" s="292"/>
      <c r="D3047" s="292"/>
      <c r="F3047" s="283" t="s">
        <v>219</v>
      </c>
      <c r="G3047" s="283"/>
      <c r="J3047" s="293">
        <v>2</v>
      </c>
      <c r="K3047" s="293"/>
      <c r="L3047" s="293"/>
      <c r="M3047" s="293"/>
      <c r="N3047" s="293"/>
      <c r="P3047" s="42">
        <v>1000</v>
      </c>
      <c r="R3047" s="42">
        <v>300</v>
      </c>
      <c r="T3047" s="284">
        <v>700</v>
      </c>
      <c r="U3047" s="284"/>
    </row>
    <row r="3048" spans="2:21" x14ac:dyDescent="0.25">
      <c r="B3048" s="292">
        <v>42</v>
      </c>
      <c r="C3048" s="292"/>
      <c r="D3048" s="292"/>
      <c r="F3048" s="283" t="s">
        <v>334</v>
      </c>
      <c r="G3048" s="283"/>
      <c r="J3048" s="293">
        <v>1</v>
      </c>
      <c r="K3048" s="293"/>
      <c r="L3048" s="293"/>
      <c r="M3048" s="293"/>
      <c r="N3048" s="293"/>
      <c r="P3048" s="42">
        <v>790</v>
      </c>
      <c r="R3048" s="42">
        <v>120</v>
      </c>
      <c r="T3048" s="284">
        <v>670</v>
      </c>
      <c r="U3048" s="284"/>
    </row>
    <row r="3049" spans="2:21" x14ac:dyDescent="0.25">
      <c r="B3049" s="292">
        <v>43</v>
      </c>
      <c r="C3049" s="292"/>
      <c r="D3049" s="292"/>
      <c r="F3049" s="283" t="s">
        <v>181</v>
      </c>
      <c r="G3049" s="283"/>
      <c r="J3049" s="293">
        <v>1</v>
      </c>
      <c r="K3049" s="293"/>
      <c r="L3049" s="293"/>
      <c r="M3049" s="293"/>
      <c r="N3049" s="293"/>
      <c r="P3049" s="42">
        <v>790</v>
      </c>
      <c r="R3049" s="42">
        <v>120</v>
      </c>
      <c r="T3049" s="284">
        <v>670</v>
      </c>
      <c r="U3049" s="284"/>
    </row>
    <row r="3050" spans="2:21" x14ac:dyDescent="0.25">
      <c r="B3050" s="292">
        <v>44</v>
      </c>
      <c r="C3050" s="292"/>
      <c r="D3050" s="292"/>
      <c r="F3050" s="283" t="s">
        <v>108</v>
      </c>
      <c r="G3050" s="283"/>
      <c r="J3050" s="293">
        <v>404</v>
      </c>
      <c r="K3050" s="293"/>
      <c r="L3050" s="293"/>
      <c r="M3050" s="293"/>
      <c r="N3050" s="293"/>
      <c r="P3050" s="42">
        <v>40400</v>
      </c>
      <c r="R3050" s="42">
        <v>1360</v>
      </c>
      <c r="T3050" s="284">
        <v>39040</v>
      </c>
      <c r="U3050" s="284"/>
    </row>
    <row r="3051" spans="2:21" x14ac:dyDescent="0.25">
      <c r="B3051" s="292">
        <v>45</v>
      </c>
      <c r="C3051" s="292"/>
      <c r="D3051" s="292"/>
      <c r="F3051" s="283" t="s">
        <v>107</v>
      </c>
      <c r="G3051" s="283"/>
      <c r="J3051" s="293">
        <v>18</v>
      </c>
      <c r="K3051" s="293"/>
      <c r="L3051" s="293"/>
      <c r="M3051" s="293"/>
      <c r="N3051" s="293"/>
      <c r="P3051" s="42">
        <v>3060</v>
      </c>
      <c r="R3051" s="42">
        <v>1044</v>
      </c>
      <c r="T3051" s="284">
        <v>2016</v>
      </c>
      <c r="U3051" s="284"/>
    </row>
    <row r="3052" spans="2:21" x14ac:dyDescent="0.25">
      <c r="B3052" s="292">
        <v>46</v>
      </c>
      <c r="C3052" s="292"/>
      <c r="D3052" s="292"/>
      <c r="F3052" s="283" t="s">
        <v>106</v>
      </c>
      <c r="G3052" s="283"/>
      <c r="J3052" s="293">
        <v>95</v>
      </c>
      <c r="K3052" s="293"/>
      <c r="L3052" s="293"/>
      <c r="M3052" s="293"/>
      <c r="N3052" s="293"/>
      <c r="P3052" s="42">
        <v>9500</v>
      </c>
      <c r="R3052" s="42">
        <v>2670</v>
      </c>
      <c r="T3052" s="284">
        <v>6830</v>
      </c>
      <c r="U3052" s="284"/>
    </row>
    <row r="3053" spans="2:21" x14ac:dyDescent="0.25">
      <c r="B3053" s="292">
        <v>47</v>
      </c>
      <c r="C3053" s="292"/>
      <c r="D3053" s="292"/>
      <c r="F3053" s="283" t="s">
        <v>255</v>
      </c>
      <c r="G3053" s="283"/>
      <c r="J3053" s="293">
        <v>2</v>
      </c>
      <c r="K3053" s="293"/>
      <c r="L3053" s="293"/>
      <c r="M3053" s="293"/>
      <c r="N3053" s="293"/>
      <c r="P3053" s="42">
        <v>1900</v>
      </c>
      <c r="R3053" s="42">
        <v>280</v>
      </c>
      <c r="T3053" s="284">
        <v>1620</v>
      </c>
      <c r="U3053" s="284"/>
    </row>
    <row r="3054" spans="2:21" x14ac:dyDescent="0.25">
      <c r="B3054" s="292">
        <v>48</v>
      </c>
      <c r="C3054" s="292"/>
      <c r="D3054" s="292"/>
      <c r="F3054" s="283" t="s">
        <v>103</v>
      </c>
      <c r="G3054" s="283"/>
      <c r="J3054" s="293">
        <v>6</v>
      </c>
      <c r="K3054" s="293"/>
      <c r="L3054" s="293"/>
      <c r="M3054" s="293"/>
      <c r="N3054" s="293"/>
      <c r="P3054" s="42">
        <v>1980</v>
      </c>
      <c r="R3054" s="42">
        <v>720</v>
      </c>
      <c r="T3054" s="284">
        <v>1260</v>
      </c>
      <c r="U3054" s="284"/>
    </row>
    <row r="3055" spans="2:21" x14ac:dyDescent="0.25">
      <c r="B3055" s="292">
        <v>49</v>
      </c>
      <c r="C3055" s="292"/>
      <c r="D3055" s="292"/>
      <c r="F3055" s="283" t="s">
        <v>211</v>
      </c>
      <c r="G3055" s="283"/>
      <c r="J3055" s="293">
        <v>1</v>
      </c>
      <c r="K3055" s="293"/>
      <c r="L3055" s="293"/>
      <c r="M3055" s="293"/>
      <c r="N3055" s="293"/>
      <c r="P3055" s="42">
        <v>500</v>
      </c>
      <c r="R3055" s="42">
        <v>150</v>
      </c>
      <c r="T3055" s="284">
        <v>350</v>
      </c>
      <c r="U3055" s="284"/>
    </row>
    <row r="3056" spans="2:21" x14ac:dyDescent="0.25">
      <c r="B3056" s="292">
        <v>50</v>
      </c>
      <c r="C3056" s="292"/>
      <c r="D3056" s="292"/>
      <c r="F3056" s="283" t="s">
        <v>100</v>
      </c>
      <c r="G3056" s="283"/>
      <c r="J3056" s="293">
        <v>1</v>
      </c>
      <c r="K3056" s="293"/>
      <c r="L3056" s="293"/>
      <c r="M3056" s="293"/>
      <c r="N3056" s="293"/>
      <c r="P3056" s="42">
        <v>180</v>
      </c>
      <c r="R3056" s="42">
        <v>50</v>
      </c>
      <c r="T3056" s="284">
        <v>130</v>
      </c>
      <c r="U3056" s="284"/>
    </row>
    <row r="3057" spans="1:21" x14ac:dyDescent="0.25">
      <c r="B3057" s="292">
        <v>51</v>
      </c>
      <c r="C3057" s="292"/>
      <c r="D3057" s="292"/>
      <c r="F3057" s="283" t="s">
        <v>99</v>
      </c>
      <c r="G3057" s="283"/>
      <c r="J3057" s="293">
        <v>1</v>
      </c>
      <c r="K3057" s="293"/>
      <c r="L3057" s="293"/>
      <c r="M3057" s="293"/>
      <c r="N3057" s="293"/>
      <c r="P3057" s="42">
        <v>590</v>
      </c>
      <c r="R3057" s="42">
        <v>90</v>
      </c>
      <c r="T3057" s="284">
        <v>500</v>
      </c>
      <c r="U3057" s="284"/>
    </row>
    <row r="3058" spans="1:21" x14ac:dyDescent="0.25">
      <c r="B3058" s="292">
        <v>52</v>
      </c>
      <c r="C3058" s="292"/>
      <c r="D3058" s="292"/>
      <c r="F3058" s="283" t="s">
        <v>98</v>
      </c>
      <c r="G3058" s="283"/>
      <c r="J3058" s="293">
        <v>1</v>
      </c>
      <c r="K3058" s="293"/>
      <c r="L3058" s="293"/>
      <c r="M3058" s="293"/>
      <c r="N3058" s="293"/>
      <c r="P3058" s="42">
        <v>570</v>
      </c>
      <c r="R3058" s="42">
        <v>80</v>
      </c>
      <c r="T3058" s="284">
        <v>490</v>
      </c>
      <c r="U3058" s="284"/>
    </row>
    <row r="3059" spans="1:21" x14ac:dyDescent="0.25">
      <c r="B3059" s="292">
        <v>53</v>
      </c>
      <c r="C3059" s="292"/>
      <c r="D3059" s="292"/>
      <c r="F3059" s="283" t="s">
        <v>95</v>
      </c>
      <c r="G3059" s="283"/>
      <c r="J3059" s="293">
        <v>2</v>
      </c>
      <c r="K3059" s="293"/>
      <c r="L3059" s="293"/>
      <c r="M3059" s="293"/>
      <c r="N3059" s="293"/>
      <c r="P3059" s="42">
        <v>580</v>
      </c>
      <c r="R3059" s="42">
        <v>160</v>
      </c>
      <c r="T3059" s="284">
        <v>420</v>
      </c>
      <c r="U3059" s="284"/>
    </row>
    <row r="3060" spans="1:21" x14ac:dyDescent="0.25">
      <c r="B3060" s="292">
        <v>54</v>
      </c>
      <c r="C3060" s="292"/>
      <c r="D3060" s="292"/>
      <c r="F3060" s="283" t="s">
        <v>93</v>
      </c>
      <c r="G3060" s="283"/>
      <c r="J3060" s="293">
        <v>5</v>
      </c>
      <c r="K3060" s="293"/>
      <c r="L3060" s="293"/>
      <c r="M3060" s="293"/>
      <c r="N3060" s="293"/>
      <c r="P3060" s="42">
        <v>2950</v>
      </c>
      <c r="R3060" s="42">
        <v>450</v>
      </c>
      <c r="T3060" s="284">
        <v>2500</v>
      </c>
      <c r="U3060" s="284"/>
    </row>
    <row r="3061" spans="1:21" x14ac:dyDescent="0.25">
      <c r="B3061" s="292">
        <v>55</v>
      </c>
      <c r="C3061" s="292"/>
      <c r="D3061" s="292"/>
      <c r="F3061" s="283" t="s">
        <v>92</v>
      </c>
      <c r="G3061" s="283"/>
      <c r="J3061" s="293">
        <v>45</v>
      </c>
      <c r="K3061" s="293"/>
      <c r="L3061" s="293"/>
      <c r="M3061" s="293"/>
      <c r="N3061" s="293"/>
      <c r="P3061" s="42">
        <v>26160</v>
      </c>
      <c r="R3061" s="42">
        <v>5400</v>
      </c>
      <c r="T3061" s="284">
        <v>20760</v>
      </c>
      <c r="U3061" s="284"/>
    </row>
    <row r="3062" spans="1:21" x14ac:dyDescent="0.25">
      <c r="B3062" s="292">
        <v>56</v>
      </c>
      <c r="C3062" s="292"/>
      <c r="D3062" s="292"/>
      <c r="F3062" s="283" t="s">
        <v>91</v>
      </c>
      <c r="G3062" s="283"/>
      <c r="J3062" s="293">
        <v>4</v>
      </c>
      <c r="K3062" s="293"/>
      <c r="L3062" s="293"/>
      <c r="M3062" s="293"/>
      <c r="N3062" s="293"/>
      <c r="P3062" s="42">
        <v>1000</v>
      </c>
      <c r="R3062" s="42">
        <v>280</v>
      </c>
      <c r="T3062" s="284">
        <v>720</v>
      </c>
      <c r="U3062" s="284"/>
    </row>
    <row r="3063" spans="1:21" x14ac:dyDescent="0.25">
      <c r="B3063" s="292">
        <v>57</v>
      </c>
      <c r="C3063" s="292"/>
      <c r="D3063" s="292"/>
      <c r="F3063" s="283" t="s">
        <v>90</v>
      </c>
      <c r="G3063" s="283"/>
      <c r="J3063" s="293">
        <v>2</v>
      </c>
      <c r="K3063" s="293"/>
      <c r="L3063" s="293"/>
      <c r="M3063" s="293"/>
      <c r="N3063" s="293"/>
      <c r="P3063" s="42">
        <v>580</v>
      </c>
      <c r="R3063" s="42">
        <v>160</v>
      </c>
      <c r="T3063" s="284">
        <v>420</v>
      </c>
      <c r="U3063" s="284"/>
    </row>
    <row r="3064" spans="1:21" x14ac:dyDescent="0.25">
      <c r="B3064" s="292">
        <v>58</v>
      </c>
      <c r="C3064" s="292"/>
      <c r="D3064" s="292"/>
      <c r="F3064" s="283" t="s">
        <v>88</v>
      </c>
      <c r="G3064" s="283"/>
      <c r="J3064" s="293">
        <v>20</v>
      </c>
      <c r="K3064" s="293"/>
      <c r="L3064" s="293"/>
      <c r="M3064" s="293"/>
      <c r="N3064" s="293"/>
      <c r="P3064" s="42">
        <v>3600</v>
      </c>
      <c r="R3064" s="42">
        <v>1288</v>
      </c>
      <c r="T3064" s="284">
        <v>2312</v>
      </c>
      <c r="U3064" s="284"/>
    </row>
    <row r="3065" spans="1:21" x14ac:dyDescent="0.25">
      <c r="B3065" s="292">
        <v>59</v>
      </c>
      <c r="C3065" s="292"/>
      <c r="D3065" s="292"/>
      <c r="F3065" s="283" t="s">
        <v>87</v>
      </c>
      <c r="G3065" s="283"/>
      <c r="J3065" s="293">
        <v>2</v>
      </c>
      <c r="K3065" s="293"/>
      <c r="L3065" s="293"/>
      <c r="M3065" s="293"/>
      <c r="N3065" s="293"/>
      <c r="P3065" s="42">
        <v>580</v>
      </c>
      <c r="R3065" s="42">
        <v>80</v>
      </c>
      <c r="T3065" s="284">
        <v>500</v>
      </c>
      <c r="U3065" s="284"/>
    </row>
    <row r="3066" spans="1:21" x14ac:dyDescent="0.25">
      <c r="B3066" s="292">
        <v>60</v>
      </c>
      <c r="C3066" s="292"/>
      <c r="D3066" s="292"/>
      <c r="F3066" s="283" t="s">
        <v>85</v>
      </c>
      <c r="G3066" s="283"/>
      <c r="J3066" s="293">
        <v>1</v>
      </c>
      <c r="K3066" s="293"/>
      <c r="L3066" s="293"/>
      <c r="M3066" s="293"/>
      <c r="N3066" s="293"/>
      <c r="P3066" s="42">
        <v>2080</v>
      </c>
      <c r="R3066" s="42">
        <v>310</v>
      </c>
      <c r="T3066" s="284">
        <v>1770</v>
      </c>
      <c r="U3066" s="284"/>
    </row>
    <row r="3067" spans="1:21" x14ac:dyDescent="0.25">
      <c r="B3067" s="292">
        <v>61</v>
      </c>
      <c r="C3067" s="292"/>
      <c r="D3067" s="292"/>
      <c r="F3067" s="283" t="s">
        <v>84</v>
      </c>
      <c r="G3067" s="283"/>
      <c r="J3067" s="293">
        <v>3</v>
      </c>
      <c r="K3067" s="293"/>
      <c r="L3067" s="293"/>
      <c r="M3067" s="293"/>
      <c r="N3067" s="293"/>
      <c r="P3067" s="42">
        <v>1770</v>
      </c>
      <c r="R3067" s="42">
        <v>360</v>
      </c>
      <c r="T3067" s="284">
        <v>1410</v>
      </c>
      <c r="U3067" s="284"/>
    </row>
    <row r="3068" spans="1:21" x14ac:dyDescent="0.25">
      <c r="B3068" s="292">
        <v>62</v>
      </c>
      <c r="C3068" s="292"/>
      <c r="D3068" s="292"/>
      <c r="F3068" s="283" t="s">
        <v>271</v>
      </c>
      <c r="G3068" s="283"/>
      <c r="J3068" s="293">
        <v>1</v>
      </c>
      <c r="K3068" s="293"/>
      <c r="L3068" s="293"/>
      <c r="M3068" s="293"/>
      <c r="N3068" s="293"/>
      <c r="P3068" s="42">
        <v>500</v>
      </c>
      <c r="R3068" s="42">
        <v>150</v>
      </c>
      <c r="T3068" s="284">
        <v>350</v>
      </c>
      <c r="U3068" s="284"/>
    </row>
    <row r="3069" spans="1:21" x14ac:dyDescent="0.25">
      <c r="B3069" s="292">
        <v>63</v>
      </c>
      <c r="C3069" s="292"/>
      <c r="D3069" s="292"/>
      <c r="F3069" s="283" t="s">
        <v>81</v>
      </c>
      <c r="G3069" s="283"/>
      <c r="J3069" s="293">
        <v>7</v>
      </c>
      <c r="K3069" s="293"/>
      <c r="L3069" s="293"/>
      <c r="M3069" s="293"/>
      <c r="N3069" s="293"/>
      <c r="P3069" s="42">
        <v>2030</v>
      </c>
      <c r="R3069" s="42">
        <v>980</v>
      </c>
      <c r="T3069" s="284">
        <v>1050</v>
      </c>
      <c r="U3069" s="284"/>
    </row>
    <row r="3070" spans="1:21" s="40" customFormat="1" x14ac:dyDescent="0.25">
      <c r="A3070" s="290" t="s">
        <v>382</v>
      </c>
      <c r="B3070" s="290"/>
      <c r="C3070" s="290"/>
      <c r="D3070" s="290"/>
      <c r="E3070" s="290"/>
      <c r="F3070" s="290"/>
      <c r="G3070" s="290"/>
      <c r="H3070" s="290"/>
      <c r="I3070" s="290"/>
      <c r="J3070" s="290"/>
      <c r="K3070" s="291">
        <v>2908</v>
      </c>
      <c r="L3070" s="291"/>
      <c r="M3070" s="291"/>
      <c r="N3070" s="291"/>
      <c r="O3070" s="291"/>
      <c r="P3070" s="41">
        <v>2922710</v>
      </c>
      <c r="R3070" s="41">
        <v>2590340</v>
      </c>
      <c r="T3070" s="287">
        <v>332370</v>
      </c>
      <c r="U3070" s="287"/>
    </row>
    <row r="3071" spans="1:21" x14ac:dyDescent="0.25">
      <c r="B3071" s="292">
        <v>1</v>
      </c>
      <c r="C3071" s="292"/>
      <c r="D3071" s="292"/>
      <c r="F3071" s="283" t="s">
        <v>169</v>
      </c>
      <c r="G3071" s="283"/>
      <c r="J3071" s="293">
        <v>1</v>
      </c>
      <c r="K3071" s="293"/>
      <c r="L3071" s="293"/>
      <c r="M3071" s="293"/>
      <c r="N3071" s="293"/>
      <c r="P3071" s="42">
        <v>1030</v>
      </c>
      <c r="R3071" s="42">
        <v>150</v>
      </c>
      <c r="T3071" s="284">
        <v>880</v>
      </c>
      <c r="U3071" s="284"/>
    </row>
    <row r="3072" spans="1:21" x14ac:dyDescent="0.25">
      <c r="B3072" s="292">
        <v>2</v>
      </c>
      <c r="C3072" s="292"/>
      <c r="D3072" s="292"/>
      <c r="F3072" s="283" t="s">
        <v>78</v>
      </c>
      <c r="G3072" s="283"/>
      <c r="J3072" s="293">
        <v>208</v>
      </c>
      <c r="K3072" s="293"/>
      <c r="L3072" s="293"/>
      <c r="M3072" s="293"/>
      <c r="N3072" s="293"/>
      <c r="P3072" s="42">
        <v>60320</v>
      </c>
      <c r="R3072" s="42">
        <v>60320</v>
      </c>
      <c r="T3072" s="284">
        <v>0</v>
      </c>
      <c r="U3072" s="284"/>
    </row>
    <row r="3073" spans="2:21" x14ac:dyDescent="0.25">
      <c r="B3073" s="292">
        <v>3</v>
      </c>
      <c r="C3073" s="292"/>
      <c r="D3073" s="292"/>
      <c r="F3073" s="283" t="s">
        <v>268</v>
      </c>
      <c r="G3073" s="283"/>
      <c r="J3073" s="293">
        <v>1</v>
      </c>
      <c r="K3073" s="293"/>
      <c r="L3073" s="293"/>
      <c r="M3073" s="293"/>
      <c r="N3073" s="293"/>
      <c r="P3073" s="42">
        <v>250</v>
      </c>
      <c r="R3073" s="42">
        <v>70</v>
      </c>
      <c r="T3073" s="284">
        <v>180</v>
      </c>
      <c r="U3073" s="284"/>
    </row>
    <row r="3074" spans="2:21" x14ac:dyDescent="0.25">
      <c r="B3074" s="292">
        <v>4</v>
      </c>
      <c r="C3074" s="292"/>
      <c r="D3074" s="292"/>
      <c r="F3074" s="283" t="s">
        <v>167</v>
      </c>
      <c r="G3074" s="283"/>
      <c r="J3074" s="293">
        <v>1</v>
      </c>
      <c r="K3074" s="293"/>
      <c r="L3074" s="293"/>
      <c r="M3074" s="293"/>
      <c r="N3074" s="293"/>
      <c r="P3074" s="42">
        <v>570</v>
      </c>
      <c r="R3074" s="42">
        <v>170</v>
      </c>
      <c r="T3074" s="284">
        <v>400</v>
      </c>
      <c r="U3074" s="284"/>
    </row>
    <row r="3075" spans="2:21" x14ac:dyDescent="0.25">
      <c r="B3075" s="292">
        <v>5</v>
      </c>
      <c r="C3075" s="292"/>
      <c r="D3075" s="292"/>
      <c r="F3075" s="283" t="s">
        <v>162</v>
      </c>
      <c r="G3075" s="283"/>
      <c r="J3075" s="293">
        <v>2</v>
      </c>
      <c r="K3075" s="293"/>
      <c r="L3075" s="293"/>
      <c r="M3075" s="293"/>
      <c r="N3075" s="293"/>
      <c r="P3075" s="42">
        <v>860</v>
      </c>
      <c r="R3075" s="42">
        <v>440</v>
      </c>
      <c r="T3075" s="284">
        <v>420</v>
      </c>
      <c r="U3075" s="284"/>
    </row>
    <row r="3076" spans="2:21" x14ac:dyDescent="0.25">
      <c r="B3076" s="292">
        <v>6</v>
      </c>
      <c r="C3076" s="292"/>
      <c r="D3076" s="292"/>
      <c r="F3076" s="283" t="s">
        <v>160</v>
      </c>
      <c r="G3076" s="283"/>
      <c r="J3076" s="293">
        <v>5</v>
      </c>
      <c r="K3076" s="293"/>
      <c r="L3076" s="293"/>
      <c r="M3076" s="293"/>
      <c r="N3076" s="293"/>
      <c r="P3076" s="42">
        <v>1450</v>
      </c>
      <c r="R3076" s="42">
        <v>400</v>
      </c>
      <c r="T3076" s="284">
        <v>1050</v>
      </c>
      <c r="U3076" s="284"/>
    </row>
    <row r="3077" spans="2:21" x14ac:dyDescent="0.25">
      <c r="B3077" s="292">
        <v>7</v>
      </c>
      <c r="C3077" s="292"/>
      <c r="D3077" s="292"/>
      <c r="F3077" s="283" t="s">
        <v>158</v>
      </c>
      <c r="G3077" s="283"/>
      <c r="J3077" s="293">
        <v>389</v>
      </c>
      <c r="K3077" s="293"/>
      <c r="L3077" s="293"/>
      <c r="M3077" s="293"/>
      <c r="N3077" s="293"/>
      <c r="P3077" s="42">
        <v>213950</v>
      </c>
      <c r="R3077" s="42">
        <v>79000</v>
      </c>
      <c r="T3077" s="284">
        <v>134950</v>
      </c>
      <c r="U3077" s="284"/>
    </row>
    <row r="3078" spans="2:21" x14ac:dyDescent="0.25">
      <c r="B3078" s="292">
        <v>8</v>
      </c>
      <c r="C3078" s="292"/>
      <c r="D3078" s="292"/>
      <c r="F3078" s="283" t="s">
        <v>157</v>
      </c>
      <c r="G3078" s="283"/>
      <c r="J3078" s="293">
        <v>24</v>
      </c>
      <c r="K3078" s="293"/>
      <c r="L3078" s="293"/>
      <c r="M3078" s="293"/>
      <c r="N3078" s="293"/>
      <c r="P3078" s="42">
        <v>11760</v>
      </c>
      <c r="R3078" s="42">
        <v>5160</v>
      </c>
      <c r="T3078" s="284">
        <v>6600</v>
      </c>
      <c r="U3078" s="284"/>
    </row>
    <row r="3079" spans="2:21" x14ac:dyDescent="0.25">
      <c r="B3079" s="292">
        <v>9</v>
      </c>
      <c r="C3079" s="292"/>
      <c r="D3079" s="292"/>
      <c r="F3079" s="283" t="s">
        <v>77</v>
      </c>
      <c r="G3079" s="283"/>
      <c r="J3079" s="293">
        <v>819</v>
      </c>
      <c r="K3079" s="293"/>
      <c r="L3079" s="293"/>
      <c r="M3079" s="293"/>
      <c r="N3079" s="293"/>
      <c r="P3079" s="42">
        <v>331300</v>
      </c>
      <c r="R3079" s="42">
        <v>331300</v>
      </c>
      <c r="T3079" s="284">
        <v>0</v>
      </c>
      <c r="U3079" s="284"/>
    </row>
    <row r="3080" spans="2:21" x14ac:dyDescent="0.25">
      <c r="B3080" s="292">
        <v>10</v>
      </c>
      <c r="C3080" s="292"/>
      <c r="D3080" s="292"/>
      <c r="F3080" s="283" t="s">
        <v>76</v>
      </c>
      <c r="G3080" s="283"/>
      <c r="J3080" s="293">
        <v>1</v>
      </c>
      <c r="K3080" s="293"/>
      <c r="L3080" s="293"/>
      <c r="M3080" s="293"/>
      <c r="N3080" s="293"/>
      <c r="P3080" s="42">
        <v>600</v>
      </c>
      <c r="R3080" s="42">
        <v>600</v>
      </c>
      <c r="T3080" s="284">
        <v>0</v>
      </c>
      <c r="U3080" s="284"/>
    </row>
    <row r="3081" spans="2:21" x14ac:dyDescent="0.25">
      <c r="B3081" s="292">
        <v>11</v>
      </c>
      <c r="C3081" s="292"/>
      <c r="D3081" s="292"/>
      <c r="F3081" s="283" t="s">
        <v>156</v>
      </c>
      <c r="G3081" s="283"/>
      <c r="J3081" s="293">
        <v>18</v>
      </c>
      <c r="K3081" s="293"/>
      <c r="L3081" s="293"/>
      <c r="M3081" s="293"/>
      <c r="N3081" s="293"/>
      <c r="P3081" s="42">
        <v>3420</v>
      </c>
      <c r="R3081" s="42">
        <v>1190</v>
      </c>
      <c r="T3081" s="284">
        <v>2230</v>
      </c>
      <c r="U3081" s="284"/>
    </row>
    <row r="3082" spans="2:21" x14ac:dyDescent="0.25">
      <c r="B3082" s="292">
        <v>12</v>
      </c>
      <c r="C3082" s="292"/>
      <c r="D3082" s="292"/>
      <c r="F3082" s="283" t="s">
        <v>155</v>
      </c>
      <c r="G3082" s="283"/>
      <c r="J3082" s="293">
        <v>130</v>
      </c>
      <c r="K3082" s="293"/>
      <c r="L3082" s="293"/>
      <c r="M3082" s="293"/>
      <c r="N3082" s="293"/>
      <c r="P3082" s="42">
        <v>32500</v>
      </c>
      <c r="R3082" s="42">
        <v>16200</v>
      </c>
      <c r="T3082" s="284">
        <v>16300</v>
      </c>
      <c r="U3082" s="284"/>
    </row>
    <row r="3083" spans="2:21" x14ac:dyDescent="0.25">
      <c r="B3083" s="292">
        <v>13</v>
      </c>
      <c r="C3083" s="292"/>
      <c r="D3083" s="292"/>
      <c r="F3083" s="283" t="s">
        <v>154</v>
      </c>
      <c r="G3083" s="283"/>
      <c r="J3083" s="293">
        <v>2</v>
      </c>
      <c r="K3083" s="293"/>
      <c r="L3083" s="293"/>
      <c r="M3083" s="293"/>
      <c r="N3083" s="293"/>
      <c r="P3083" s="42">
        <v>1780</v>
      </c>
      <c r="R3083" s="42">
        <v>260</v>
      </c>
      <c r="T3083" s="284">
        <v>1520</v>
      </c>
      <c r="U3083" s="284"/>
    </row>
    <row r="3084" spans="2:21" x14ac:dyDescent="0.25">
      <c r="B3084" s="292">
        <v>14</v>
      </c>
      <c r="C3084" s="292"/>
      <c r="D3084" s="292"/>
      <c r="F3084" s="283" t="s">
        <v>152</v>
      </c>
      <c r="G3084" s="283"/>
      <c r="J3084" s="293">
        <v>1</v>
      </c>
      <c r="K3084" s="293"/>
      <c r="L3084" s="293"/>
      <c r="M3084" s="293"/>
      <c r="N3084" s="293"/>
      <c r="P3084" s="42">
        <v>590</v>
      </c>
      <c r="R3084" s="42">
        <v>210</v>
      </c>
      <c r="T3084" s="284">
        <v>380</v>
      </c>
      <c r="U3084" s="284"/>
    </row>
    <row r="3085" spans="2:21" x14ac:dyDescent="0.25">
      <c r="B3085" s="292">
        <v>15</v>
      </c>
      <c r="C3085" s="292"/>
      <c r="D3085" s="292"/>
      <c r="F3085" s="283" t="s">
        <v>151</v>
      </c>
      <c r="G3085" s="283"/>
      <c r="J3085" s="293">
        <v>22</v>
      </c>
      <c r="K3085" s="293"/>
      <c r="L3085" s="293"/>
      <c r="M3085" s="293"/>
      <c r="N3085" s="293"/>
      <c r="P3085" s="42">
        <v>5060</v>
      </c>
      <c r="R3085" s="42">
        <v>1500</v>
      </c>
      <c r="T3085" s="284">
        <v>3560</v>
      </c>
      <c r="U3085" s="284"/>
    </row>
    <row r="3086" spans="2:21" x14ac:dyDescent="0.25">
      <c r="B3086" s="292">
        <v>16</v>
      </c>
      <c r="C3086" s="292"/>
      <c r="D3086" s="292"/>
      <c r="F3086" s="283" t="s">
        <v>150</v>
      </c>
      <c r="G3086" s="283"/>
      <c r="J3086" s="293">
        <v>5</v>
      </c>
      <c r="K3086" s="293"/>
      <c r="L3086" s="293"/>
      <c r="M3086" s="293"/>
      <c r="N3086" s="293"/>
      <c r="P3086" s="42">
        <v>850</v>
      </c>
      <c r="R3086" s="42">
        <v>250</v>
      </c>
      <c r="T3086" s="284">
        <v>600</v>
      </c>
      <c r="U3086" s="284"/>
    </row>
    <row r="3087" spans="2:21" x14ac:dyDescent="0.25">
      <c r="B3087" s="292">
        <v>17</v>
      </c>
      <c r="C3087" s="292"/>
      <c r="D3087" s="292"/>
      <c r="F3087" s="283" t="s">
        <v>148</v>
      </c>
      <c r="G3087" s="283"/>
      <c r="J3087" s="293">
        <v>1</v>
      </c>
      <c r="K3087" s="293"/>
      <c r="L3087" s="293"/>
      <c r="M3087" s="293"/>
      <c r="N3087" s="293"/>
      <c r="P3087" s="42">
        <v>980</v>
      </c>
      <c r="R3087" s="42">
        <v>150</v>
      </c>
      <c r="T3087" s="284">
        <v>830</v>
      </c>
      <c r="U3087" s="284"/>
    </row>
    <row r="3088" spans="2:21" x14ac:dyDescent="0.25">
      <c r="B3088" s="292">
        <v>18</v>
      </c>
      <c r="C3088" s="292"/>
      <c r="D3088" s="292"/>
      <c r="F3088" s="283" t="s">
        <v>142</v>
      </c>
      <c r="G3088" s="283"/>
      <c r="J3088" s="293">
        <v>1</v>
      </c>
      <c r="K3088" s="293"/>
      <c r="L3088" s="293"/>
      <c r="M3088" s="293"/>
      <c r="N3088" s="293"/>
      <c r="P3088" s="42">
        <v>350</v>
      </c>
      <c r="R3088" s="42">
        <v>150</v>
      </c>
      <c r="T3088" s="284">
        <v>200</v>
      </c>
      <c r="U3088" s="284"/>
    </row>
    <row r="3089" spans="2:21" x14ac:dyDescent="0.25">
      <c r="B3089" s="292">
        <v>19</v>
      </c>
      <c r="C3089" s="292"/>
      <c r="D3089" s="292"/>
      <c r="F3089" s="283" t="s">
        <v>75</v>
      </c>
      <c r="G3089" s="283"/>
      <c r="J3089" s="293">
        <v>792</v>
      </c>
      <c r="K3089" s="293"/>
      <c r="L3089" s="293"/>
      <c r="M3089" s="293"/>
      <c r="N3089" s="293"/>
      <c r="P3089" s="42">
        <v>1980000</v>
      </c>
      <c r="R3089" s="42">
        <v>1980000</v>
      </c>
      <c r="T3089" s="284">
        <v>0</v>
      </c>
      <c r="U3089" s="284"/>
    </row>
    <row r="3090" spans="2:21" x14ac:dyDescent="0.25">
      <c r="B3090" s="292">
        <v>20</v>
      </c>
      <c r="C3090" s="292"/>
      <c r="D3090" s="292"/>
      <c r="F3090" s="283" t="s">
        <v>192</v>
      </c>
      <c r="G3090" s="283"/>
      <c r="J3090" s="293">
        <v>1</v>
      </c>
      <c r="K3090" s="293"/>
      <c r="L3090" s="293"/>
      <c r="M3090" s="293"/>
      <c r="N3090" s="293"/>
      <c r="P3090" s="42">
        <v>1550</v>
      </c>
      <c r="R3090" s="42">
        <v>0</v>
      </c>
      <c r="T3090" s="284">
        <v>1550</v>
      </c>
      <c r="U3090" s="284"/>
    </row>
    <row r="3091" spans="2:21" x14ac:dyDescent="0.25">
      <c r="B3091" s="292">
        <v>21</v>
      </c>
      <c r="C3091" s="292"/>
      <c r="D3091" s="292"/>
      <c r="F3091" s="283" t="s">
        <v>136</v>
      </c>
      <c r="G3091" s="283"/>
      <c r="J3091" s="293">
        <v>6</v>
      </c>
      <c r="K3091" s="293"/>
      <c r="L3091" s="293"/>
      <c r="M3091" s="293"/>
      <c r="N3091" s="293"/>
      <c r="P3091" s="42">
        <v>5100</v>
      </c>
      <c r="R3091" s="42">
        <v>1430</v>
      </c>
      <c r="T3091" s="284">
        <v>3670</v>
      </c>
      <c r="U3091" s="284"/>
    </row>
    <row r="3092" spans="2:21" x14ac:dyDescent="0.25">
      <c r="B3092" s="292">
        <v>22</v>
      </c>
      <c r="C3092" s="292"/>
      <c r="D3092" s="292"/>
      <c r="F3092" s="283" t="s">
        <v>74</v>
      </c>
      <c r="G3092" s="283"/>
      <c r="J3092" s="293">
        <v>4</v>
      </c>
      <c r="K3092" s="293"/>
      <c r="L3092" s="293"/>
      <c r="M3092" s="293"/>
      <c r="N3092" s="293"/>
      <c r="P3092" s="42">
        <v>3400</v>
      </c>
      <c r="R3092" s="42">
        <v>3400</v>
      </c>
      <c r="T3092" s="284">
        <v>0</v>
      </c>
      <c r="U3092" s="284"/>
    </row>
    <row r="3093" spans="2:21" x14ac:dyDescent="0.25">
      <c r="B3093" s="292">
        <v>23</v>
      </c>
      <c r="C3093" s="292"/>
      <c r="D3093" s="292"/>
      <c r="F3093" s="283" t="s">
        <v>190</v>
      </c>
      <c r="G3093" s="283"/>
      <c r="J3093" s="293">
        <v>2</v>
      </c>
      <c r="K3093" s="293"/>
      <c r="L3093" s="293"/>
      <c r="M3093" s="293"/>
      <c r="N3093" s="293"/>
      <c r="P3093" s="42">
        <v>3140</v>
      </c>
      <c r="R3093" s="42">
        <v>480</v>
      </c>
      <c r="T3093" s="284">
        <v>2660</v>
      </c>
      <c r="U3093" s="284"/>
    </row>
    <row r="3094" spans="2:21" x14ac:dyDescent="0.25">
      <c r="B3094" s="292">
        <v>24</v>
      </c>
      <c r="C3094" s="292"/>
      <c r="D3094" s="292"/>
      <c r="F3094" s="283" t="s">
        <v>135</v>
      </c>
      <c r="G3094" s="283"/>
      <c r="J3094" s="293">
        <v>2</v>
      </c>
      <c r="K3094" s="293"/>
      <c r="L3094" s="293"/>
      <c r="M3094" s="293"/>
      <c r="N3094" s="293"/>
      <c r="P3094" s="42">
        <v>1900</v>
      </c>
      <c r="R3094" s="42">
        <v>560</v>
      </c>
      <c r="T3094" s="284">
        <v>1340</v>
      </c>
      <c r="U3094" s="284"/>
    </row>
    <row r="3095" spans="2:21" x14ac:dyDescent="0.25">
      <c r="B3095" s="292">
        <v>25</v>
      </c>
      <c r="C3095" s="292"/>
      <c r="D3095" s="292"/>
      <c r="F3095" s="283" t="s">
        <v>132</v>
      </c>
      <c r="G3095" s="283"/>
      <c r="J3095" s="293">
        <v>2</v>
      </c>
      <c r="K3095" s="293"/>
      <c r="L3095" s="293"/>
      <c r="M3095" s="293"/>
      <c r="N3095" s="293"/>
      <c r="P3095" s="42">
        <v>2480</v>
      </c>
      <c r="R3095" s="42">
        <v>740</v>
      </c>
      <c r="T3095" s="284">
        <v>1740</v>
      </c>
      <c r="U3095" s="284"/>
    </row>
    <row r="3096" spans="2:21" x14ac:dyDescent="0.25">
      <c r="B3096" s="292">
        <v>26</v>
      </c>
      <c r="C3096" s="292"/>
      <c r="D3096" s="292"/>
      <c r="F3096" s="283" t="s">
        <v>127</v>
      </c>
      <c r="G3096" s="283"/>
      <c r="J3096" s="293">
        <v>23</v>
      </c>
      <c r="K3096" s="293"/>
      <c r="L3096" s="293"/>
      <c r="M3096" s="293"/>
      <c r="N3096" s="293"/>
      <c r="P3096" s="42">
        <v>6900</v>
      </c>
      <c r="R3096" s="42">
        <v>2070</v>
      </c>
      <c r="T3096" s="284">
        <v>4830</v>
      </c>
      <c r="U3096" s="284"/>
    </row>
    <row r="3097" spans="2:21" x14ac:dyDescent="0.25">
      <c r="B3097" s="292">
        <v>27</v>
      </c>
      <c r="C3097" s="292"/>
      <c r="D3097" s="292"/>
      <c r="F3097" s="283" t="s">
        <v>126</v>
      </c>
      <c r="G3097" s="283"/>
      <c r="J3097" s="293">
        <v>22</v>
      </c>
      <c r="K3097" s="293"/>
      <c r="L3097" s="293"/>
      <c r="M3097" s="293"/>
      <c r="N3097" s="293"/>
      <c r="P3097" s="42">
        <v>4400</v>
      </c>
      <c r="R3097" s="42">
        <v>1320</v>
      </c>
      <c r="T3097" s="284">
        <v>3080</v>
      </c>
      <c r="U3097" s="284"/>
    </row>
    <row r="3098" spans="2:21" x14ac:dyDescent="0.25">
      <c r="B3098" s="292">
        <v>28</v>
      </c>
      <c r="C3098" s="292"/>
      <c r="D3098" s="292"/>
      <c r="F3098" s="283" t="s">
        <v>124</v>
      </c>
      <c r="G3098" s="283"/>
      <c r="J3098" s="293">
        <v>2</v>
      </c>
      <c r="K3098" s="293"/>
      <c r="L3098" s="293"/>
      <c r="M3098" s="293"/>
      <c r="N3098" s="293"/>
      <c r="P3098" s="42">
        <v>800</v>
      </c>
      <c r="R3098" s="42">
        <v>240</v>
      </c>
      <c r="T3098" s="284">
        <v>560</v>
      </c>
      <c r="U3098" s="284"/>
    </row>
    <row r="3099" spans="2:21" x14ac:dyDescent="0.25">
      <c r="B3099" s="292">
        <v>29</v>
      </c>
      <c r="C3099" s="292"/>
      <c r="D3099" s="292"/>
      <c r="F3099" s="283" t="s">
        <v>381</v>
      </c>
      <c r="G3099" s="283"/>
      <c r="J3099" s="293">
        <v>5</v>
      </c>
      <c r="K3099" s="293"/>
      <c r="L3099" s="293"/>
      <c r="M3099" s="293"/>
      <c r="N3099" s="293"/>
      <c r="P3099" s="42">
        <v>1950</v>
      </c>
      <c r="R3099" s="42">
        <v>600</v>
      </c>
      <c r="T3099" s="284">
        <v>1350</v>
      </c>
      <c r="U3099" s="284"/>
    </row>
    <row r="3100" spans="2:21" x14ac:dyDescent="0.25">
      <c r="B3100" s="292">
        <v>30</v>
      </c>
      <c r="C3100" s="292"/>
      <c r="D3100" s="292"/>
      <c r="F3100" s="283" t="s">
        <v>119</v>
      </c>
      <c r="G3100" s="283"/>
      <c r="J3100" s="293">
        <v>4</v>
      </c>
      <c r="K3100" s="293"/>
      <c r="L3100" s="293"/>
      <c r="M3100" s="293"/>
      <c r="N3100" s="293"/>
      <c r="P3100" s="42">
        <v>3560</v>
      </c>
      <c r="R3100" s="42">
        <v>1170</v>
      </c>
      <c r="T3100" s="284">
        <v>2390</v>
      </c>
      <c r="U3100" s="284"/>
    </row>
    <row r="3101" spans="2:21" x14ac:dyDescent="0.25">
      <c r="B3101" s="292">
        <v>31</v>
      </c>
      <c r="C3101" s="292"/>
      <c r="D3101" s="292"/>
      <c r="F3101" s="283" t="s">
        <v>118</v>
      </c>
      <c r="G3101" s="283"/>
      <c r="J3101" s="293">
        <v>149</v>
      </c>
      <c r="K3101" s="293"/>
      <c r="L3101" s="293"/>
      <c r="M3101" s="293"/>
      <c r="N3101" s="293"/>
      <c r="P3101" s="42">
        <v>147510</v>
      </c>
      <c r="R3101" s="42">
        <v>70980</v>
      </c>
      <c r="T3101" s="284">
        <v>76530</v>
      </c>
      <c r="U3101" s="284"/>
    </row>
    <row r="3102" spans="2:21" x14ac:dyDescent="0.25">
      <c r="B3102" s="292">
        <v>32</v>
      </c>
      <c r="C3102" s="292"/>
      <c r="D3102" s="292"/>
      <c r="F3102" s="283" t="s">
        <v>117</v>
      </c>
      <c r="G3102" s="283"/>
      <c r="J3102" s="293">
        <v>1</v>
      </c>
      <c r="K3102" s="293"/>
      <c r="L3102" s="293"/>
      <c r="M3102" s="293"/>
      <c r="N3102" s="293"/>
      <c r="P3102" s="42">
        <v>800</v>
      </c>
      <c r="R3102" s="42">
        <v>200</v>
      </c>
      <c r="T3102" s="284">
        <v>600</v>
      </c>
      <c r="U3102" s="284"/>
    </row>
    <row r="3103" spans="2:21" x14ac:dyDescent="0.25">
      <c r="B3103" s="292">
        <v>33</v>
      </c>
      <c r="C3103" s="292"/>
      <c r="D3103" s="292"/>
      <c r="F3103" s="283" t="s">
        <v>115</v>
      </c>
      <c r="G3103" s="283"/>
      <c r="J3103" s="293">
        <v>3</v>
      </c>
      <c r="K3103" s="293"/>
      <c r="L3103" s="293"/>
      <c r="M3103" s="293"/>
      <c r="N3103" s="293"/>
      <c r="P3103" s="42">
        <v>870</v>
      </c>
      <c r="R3103" s="42">
        <v>300</v>
      </c>
      <c r="T3103" s="284">
        <v>570</v>
      </c>
      <c r="U3103" s="284"/>
    </row>
    <row r="3104" spans="2:21" x14ac:dyDescent="0.25">
      <c r="B3104" s="292">
        <v>34</v>
      </c>
      <c r="C3104" s="292"/>
      <c r="D3104" s="292"/>
      <c r="F3104" s="283" t="s">
        <v>111</v>
      </c>
      <c r="G3104" s="283"/>
      <c r="J3104" s="293">
        <v>4</v>
      </c>
      <c r="K3104" s="293"/>
      <c r="L3104" s="293"/>
      <c r="M3104" s="293"/>
      <c r="N3104" s="293"/>
      <c r="P3104" s="42">
        <v>1720</v>
      </c>
      <c r="R3104" s="42">
        <v>520</v>
      </c>
      <c r="T3104" s="284">
        <v>1200</v>
      </c>
      <c r="U3104" s="284"/>
    </row>
    <row r="3105" spans="2:21" x14ac:dyDescent="0.25">
      <c r="B3105" s="292">
        <v>35</v>
      </c>
      <c r="C3105" s="292"/>
      <c r="D3105" s="292"/>
      <c r="F3105" s="283" t="s">
        <v>109</v>
      </c>
      <c r="G3105" s="283"/>
      <c r="J3105" s="293">
        <v>5</v>
      </c>
      <c r="K3105" s="293"/>
      <c r="L3105" s="293"/>
      <c r="M3105" s="293"/>
      <c r="N3105" s="293"/>
      <c r="P3105" s="42">
        <v>3900</v>
      </c>
      <c r="R3105" s="42">
        <v>1150</v>
      </c>
      <c r="T3105" s="284">
        <v>2750</v>
      </c>
      <c r="U3105" s="284"/>
    </row>
    <row r="3106" spans="2:21" x14ac:dyDescent="0.25">
      <c r="B3106" s="292">
        <v>36</v>
      </c>
      <c r="C3106" s="292"/>
      <c r="D3106" s="292"/>
      <c r="F3106" s="283" t="s">
        <v>108</v>
      </c>
      <c r="G3106" s="283"/>
      <c r="J3106" s="293">
        <v>21</v>
      </c>
      <c r="K3106" s="293"/>
      <c r="L3106" s="293"/>
      <c r="M3106" s="293"/>
      <c r="N3106" s="293"/>
      <c r="P3106" s="42">
        <v>2100</v>
      </c>
      <c r="R3106" s="42">
        <v>180</v>
      </c>
      <c r="T3106" s="284">
        <v>1920</v>
      </c>
      <c r="U3106" s="284"/>
    </row>
    <row r="3107" spans="2:21" x14ac:dyDescent="0.25">
      <c r="B3107" s="292">
        <v>37</v>
      </c>
      <c r="C3107" s="292"/>
      <c r="D3107" s="292"/>
      <c r="F3107" s="283" t="s">
        <v>107</v>
      </c>
      <c r="G3107" s="283"/>
      <c r="J3107" s="293">
        <v>12</v>
      </c>
      <c r="K3107" s="293"/>
      <c r="L3107" s="293"/>
      <c r="M3107" s="293"/>
      <c r="N3107" s="293"/>
      <c r="P3107" s="42">
        <v>2040</v>
      </c>
      <c r="R3107" s="42">
        <v>620</v>
      </c>
      <c r="T3107" s="284">
        <v>1420</v>
      </c>
      <c r="U3107" s="284"/>
    </row>
    <row r="3108" spans="2:21" x14ac:dyDescent="0.25">
      <c r="B3108" s="292">
        <v>38</v>
      </c>
      <c r="C3108" s="292"/>
      <c r="D3108" s="292"/>
      <c r="F3108" s="283" t="s">
        <v>214</v>
      </c>
      <c r="G3108" s="283"/>
      <c r="J3108" s="293">
        <v>1</v>
      </c>
      <c r="K3108" s="293"/>
      <c r="L3108" s="293"/>
      <c r="M3108" s="293"/>
      <c r="N3108" s="293"/>
      <c r="P3108" s="42">
        <v>990</v>
      </c>
      <c r="R3108" s="42">
        <v>150</v>
      </c>
      <c r="T3108" s="284">
        <v>840</v>
      </c>
      <c r="U3108" s="284"/>
    </row>
    <row r="3109" spans="2:21" x14ac:dyDescent="0.25">
      <c r="B3109" s="292">
        <v>39</v>
      </c>
      <c r="C3109" s="292"/>
      <c r="D3109" s="292"/>
      <c r="F3109" s="283" t="s">
        <v>103</v>
      </c>
      <c r="G3109" s="283"/>
      <c r="J3109" s="293">
        <v>3</v>
      </c>
      <c r="K3109" s="293"/>
      <c r="L3109" s="293"/>
      <c r="M3109" s="293"/>
      <c r="N3109" s="293"/>
      <c r="P3109" s="42">
        <v>990</v>
      </c>
      <c r="R3109" s="42">
        <v>360</v>
      </c>
      <c r="T3109" s="284">
        <v>630</v>
      </c>
      <c r="U3109" s="284"/>
    </row>
    <row r="3110" spans="2:21" x14ac:dyDescent="0.25">
      <c r="B3110" s="292">
        <v>40</v>
      </c>
      <c r="C3110" s="292"/>
      <c r="D3110" s="292"/>
      <c r="F3110" s="283" t="s">
        <v>97</v>
      </c>
      <c r="G3110" s="283"/>
      <c r="J3110" s="293">
        <v>12</v>
      </c>
      <c r="K3110" s="293"/>
      <c r="L3110" s="293"/>
      <c r="M3110" s="293"/>
      <c r="N3110" s="293"/>
      <c r="P3110" s="42">
        <v>19080</v>
      </c>
      <c r="R3110" s="42">
        <v>2880</v>
      </c>
      <c r="T3110" s="284">
        <v>16200</v>
      </c>
      <c r="U3110" s="284"/>
    </row>
    <row r="3111" spans="2:21" x14ac:dyDescent="0.25">
      <c r="B3111" s="292">
        <v>41</v>
      </c>
      <c r="C3111" s="292"/>
      <c r="D3111" s="292"/>
      <c r="F3111" s="283" t="s">
        <v>95</v>
      </c>
      <c r="G3111" s="283"/>
      <c r="J3111" s="293">
        <v>19</v>
      </c>
      <c r="K3111" s="293"/>
      <c r="L3111" s="293"/>
      <c r="M3111" s="293"/>
      <c r="N3111" s="293"/>
      <c r="P3111" s="42">
        <v>5510</v>
      </c>
      <c r="R3111" s="42">
        <v>1520</v>
      </c>
      <c r="T3111" s="284">
        <v>3990</v>
      </c>
      <c r="U3111" s="284"/>
    </row>
    <row r="3112" spans="2:21" x14ac:dyDescent="0.25">
      <c r="B3112" s="292">
        <v>42</v>
      </c>
      <c r="C3112" s="292"/>
      <c r="D3112" s="292"/>
      <c r="F3112" s="283" t="s">
        <v>253</v>
      </c>
      <c r="G3112" s="283"/>
      <c r="J3112" s="293">
        <v>1</v>
      </c>
      <c r="K3112" s="293"/>
      <c r="L3112" s="293"/>
      <c r="M3112" s="293"/>
      <c r="N3112" s="293"/>
      <c r="P3112" s="42">
        <v>290</v>
      </c>
      <c r="R3112" s="42">
        <v>130</v>
      </c>
      <c r="T3112" s="284">
        <v>160</v>
      </c>
      <c r="U3112" s="284"/>
    </row>
    <row r="3113" spans="2:21" x14ac:dyDescent="0.25">
      <c r="B3113" s="292">
        <v>43</v>
      </c>
      <c r="C3113" s="292"/>
      <c r="D3113" s="292"/>
      <c r="F3113" s="283" t="s">
        <v>93</v>
      </c>
      <c r="G3113" s="283"/>
      <c r="J3113" s="293">
        <v>1</v>
      </c>
      <c r="K3113" s="293"/>
      <c r="L3113" s="293"/>
      <c r="M3113" s="293"/>
      <c r="N3113" s="293"/>
      <c r="P3113" s="42">
        <v>590</v>
      </c>
      <c r="R3113" s="42">
        <v>90</v>
      </c>
      <c r="T3113" s="284">
        <v>500</v>
      </c>
      <c r="U3113" s="284"/>
    </row>
    <row r="3114" spans="2:21" x14ac:dyDescent="0.25">
      <c r="B3114" s="292">
        <v>44</v>
      </c>
      <c r="C3114" s="292"/>
      <c r="D3114" s="292"/>
      <c r="F3114" s="283" t="s">
        <v>92</v>
      </c>
      <c r="G3114" s="283"/>
      <c r="J3114" s="293">
        <v>7</v>
      </c>
      <c r="K3114" s="293"/>
      <c r="L3114" s="293"/>
      <c r="M3114" s="293"/>
      <c r="N3114" s="293"/>
      <c r="P3114" s="42">
        <v>4840</v>
      </c>
      <c r="R3114" s="42">
        <v>1440</v>
      </c>
      <c r="T3114" s="284">
        <v>3400</v>
      </c>
      <c r="U3114" s="284"/>
    </row>
    <row r="3115" spans="2:21" x14ac:dyDescent="0.25">
      <c r="B3115" s="292">
        <v>45</v>
      </c>
      <c r="C3115" s="292"/>
      <c r="D3115" s="292"/>
      <c r="F3115" s="283" t="s">
        <v>306</v>
      </c>
      <c r="G3115" s="283"/>
      <c r="J3115" s="293">
        <v>3</v>
      </c>
      <c r="K3115" s="293"/>
      <c r="L3115" s="293"/>
      <c r="M3115" s="293"/>
      <c r="N3115" s="293"/>
      <c r="P3115" s="42">
        <v>3240</v>
      </c>
      <c r="R3115" s="42">
        <v>960</v>
      </c>
      <c r="T3115" s="284">
        <v>2280</v>
      </c>
      <c r="U3115" s="284"/>
    </row>
    <row r="3116" spans="2:21" x14ac:dyDescent="0.25">
      <c r="B3116" s="292">
        <v>46</v>
      </c>
      <c r="C3116" s="292"/>
      <c r="D3116" s="292"/>
      <c r="F3116" s="283" t="s">
        <v>91</v>
      </c>
      <c r="G3116" s="283"/>
      <c r="J3116" s="293">
        <v>130</v>
      </c>
      <c r="K3116" s="293"/>
      <c r="L3116" s="293"/>
      <c r="M3116" s="293"/>
      <c r="N3116" s="293"/>
      <c r="P3116" s="42">
        <v>32500</v>
      </c>
      <c r="R3116" s="42">
        <v>15955</v>
      </c>
      <c r="T3116" s="284">
        <v>16545</v>
      </c>
      <c r="U3116" s="284"/>
    </row>
    <row r="3117" spans="2:21" x14ac:dyDescent="0.25">
      <c r="B3117" s="292">
        <v>47</v>
      </c>
      <c r="C3117" s="292"/>
      <c r="D3117" s="292"/>
      <c r="F3117" s="283" t="s">
        <v>90</v>
      </c>
      <c r="G3117" s="283"/>
      <c r="J3117" s="293">
        <v>32</v>
      </c>
      <c r="K3117" s="293"/>
      <c r="L3117" s="293"/>
      <c r="M3117" s="293"/>
      <c r="N3117" s="293"/>
      <c r="P3117" s="42">
        <v>9280</v>
      </c>
      <c r="R3117" s="42">
        <v>2560</v>
      </c>
      <c r="T3117" s="284">
        <v>6720</v>
      </c>
      <c r="U3117" s="284"/>
    </row>
    <row r="3118" spans="2:21" x14ac:dyDescent="0.25">
      <c r="B3118" s="292">
        <v>48</v>
      </c>
      <c r="C3118" s="292"/>
      <c r="D3118" s="292"/>
      <c r="F3118" s="283" t="s">
        <v>88</v>
      </c>
      <c r="G3118" s="283"/>
      <c r="J3118" s="293">
        <v>6</v>
      </c>
      <c r="K3118" s="293"/>
      <c r="L3118" s="293"/>
      <c r="M3118" s="293"/>
      <c r="N3118" s="293"/>
      <c r="P3118" s="42">
        <v>1080</v>
      </c>
      <c r="R3118" s="42">
        <v>355</v>
      </c>
      <c r="T3118" s="284">
        <v>725</v>
      </c>
      <c r="U3118" s="284"/>
    </row>
    <row r="3119" spans="2:21" x14ac:dyDescent="0.25">
      <c r="B3119" s="292">
        <v>49</v>
      </c>
      <c r="C3119" s="292"/>
      <c r="D3119" s="292"/>
      <c r="F3119" s="283" t="s">
        <v>85</v>
      </c>
      <c r="G3119" s="283"/>
      <c r="J3119" s="293">
        <v>1</v>
      </c>
      <c r="K3119" s="293"/>
      <c r="L3119" s="293"/>
      <c r="M3119" s="293"/>
      <c r="N3119" s="293"/>
      <c r="P3119" s="42">
        <v>2080</v>
      </c>
      <c r="R3119" s="42">
        <v>310</v>
      </c>
      <c r="T3119" s="284">
        <v>1770</v>
      </c>
      <c r="U3119" s="284"/>
    </row>
    <row r="3120" spans="2:21" x14ac:dyDescent="0.25">
      <c r="B3120" s="292">
        <v>50</v>
      </c>
      <c r="C3120" s="292"/>
      <c r="D3120" s="292"/>
      <c r="F3120" s="283" t="s">
        <v>271</v>
      </c>
      <c r="G3120" s="283"/>
      <c r="J3120" s="293">
        <v>1</v>
      </c>
      <c r="K3120" s="293"/>
      <c r="L3120" s="293"/>
      <c r="M3120" s="293"/>
      <c r="N3120" s="293"/>
      <c r="P3120" s="42">
        <v>500</v>
      </c>
      <c r="R3120" s="42">
        <v>150</v>
      </c>
      <c r="T3120" s="284">
        <v>350</v>
      </c>
      <c r="U3120" s="284"/>
    </row>
    <row r="3121" spans="1:21" s="40" customFormat="1" x14ac:dyDescent="0.25">
      <c r="A3121" s="290" t="s">
        <v>380</v>
      </c>
      <c r="B3121" s="290"/>
      <c r="C3121" s="290"/>
      <c r="D3121" s="290"/>
      <c r="E3121" s="290"/>
      <c r="F3121" s="290"/>
      <c r="G3121" s="290"/>
      <c r="H3121" s="290"/>
      <c r="I3121" s="290"/>
      <c r="J3121" s="290"/>
      <c r="K3121" s="291">
        <v>655</v>
      </c>
      <c r="L3121" s="291"/>
      <c r="M3121" s="291"/>
      <c r="N3121" s="291"/>
      <c r="O3121" s="291"/>
      <c r="P3121" s="41">
        <v>681740</v>
      </c>
      <c r="R3121" s="41">
        <v>681020</v>
      </c>
      <c r="T3121" s="287">
        <v>720</v>
      </c>
      <c r="U3121" s="287"/>
    </row>
    <row r="3122" spans="1:21" x14ac:dyDescent="0.25">
      <c r="B3122" s="292">
        <v>1</v>
      </c>
      <c r="C3122" s="292"/>
      <c r="D3122" s="292"/>
      <c r="F3122" s="283" t="s">
        <v>78</v>
      </c>
      <c r="G3122" s="283"/>
      <c r="J3122" s="293">
        <v>231</v>
      </c>
      <c r="K3122" s="293"/>
      <c r="L3122" s="293"/>
      <c r="M3122" s="293"/>
      <c r="N3122" s="293"/>
      <c r="P3122" s="42">
        <v>66990</v>
      </c>
      <c r="R3122" s="42">
        <v>66990</v>
      </c>
      <c r="T3122" s="284">
        <v>0</v>
      </c>
      <c r="U3122" s="284"/>
    </row>
    <row r="3123" spans="1:21" x14ac:dyDescent="0.25">
      <c r="B3123" s="292">
        <v>2</v>
      </c>
      <c r="C3123" s="292"/>
      <c r="D3123" s="292"/>
      <c r="F3123" s="283" t="s">
        <v>77</v>
      </c>
      <c r="G3123" s="283"/>
      <c r="J3123" s="293">
        <v>211</v>
      </c>
      <c r="K3123" s="293"/>
      <c r="L3123" s="293"/>
      <c r="M3123" s="293"/>
      <c r="N3123" s="293"/>
      <c r="P3123" s="42">
        <v>91200</v>
      </c>
      <c r="R3123" s="42">
        <v>91200</v>
      </c>
      <c r="T3123" s="284">
        <v>0</v>
      </c>
      <c r="U3123" s="284"/>
    </row>
    <row r="3124" spans="1:21" x14ac:dyDescent="0.25">
      <c r="B3124" s="292">
        <v>3</v>
      </c>
      <c r="C3124" s="292"/>
      <c r="D3124" s="292"/>
      <c r="F3124" s="283" t="s">
        <v>75</v>
      </c>
      <c r="G3124" s="283"/>
      <c r="J3124" s="293">
        <v>208</v>
      </c>
      <c r="K3124" s="293"/>
      <c r="L3124" s="293"/>
      <c r="M3124" s="293"/>
      <c r="N3124" s="293"/>
      <c r="P3124" s="42">
        <v>520000</v>
      </c>
      <c r="R3124" s="42">
        <v>520000</v>
      </c>
      <c r="T3124" s="284">
        <v>0</v>
      </c>
      <c r="U3124" s="284"/>
    </row>
    <row r="3125" spans="1:21" x14ac:dyDescent="0.25">
      <c r="B3125" s="292">
        <v>4</v>
      </c>
      <c r="C3125" s="292"/>
      <c r="D3125" s="292"/>
      <c r="F3125" s="283" t="s">
        <v>74</v>
      </c>
      <c r="G3125" s="283"/>
      <c r="J3125" s="293">
        <v>3</v>
      </c>
      <c r="K3125" s="293"/>
      <c r="L3125" s="293"/>
      <c r="M3125" s="293"/>
      <c r="N3125" s="293"/>
      <c r="P3125" s="42">
        <v>2550</v>
      </c>
      <c r="R3125" s="42">
        <v>2550</v>
      </c>
      <c r="T3125" s="284">
        <v>0</v>
      </c>
      <c r="U3125" s="284"/>
    </row>
    <row r="3126" spans="1:21" x14ac:dyDescent="0.25">
      <c r="B3126" s="292">
        <v>5</v>
      </c>
      <c r="C3126" s="292"/>
      <c r="D3126" s="292"/>
      <c r="F3126" s="283" t="s">
        <v>83</v>
      </c>
      <c r="G3126" s="283"/>
      <c r="J3126" s="293">
        <v>1</v>
      </c>
      <c r="K3126" s="293"/>
      <c r="L3126" s="293"/>
      <c r="M3126" s="293"/>
      <c r="N3126" s="293"/>
      <c r="P3126" s="42">
        <v>500</v>
      </c>
      <c r="R3126" s="42">
        <v>150</v>
      </c>
      <c r="T3126" s="284">
        <v>350</v>
      </c>
      <c r="U3126" s="284"/>
    </row>
    <row r="3127" spans="1:21" x14ac:dyDescent="0.25">
      <c r="B3127" s="292">
        <v>6</v>
      </c>
      <c r="C3127" s="292"/>
      <c r="D3127" s="292"/>
      <c r="F3127" s="283" t="s">
        <v>202</v>
      </c>
      <c r="G3127" s="283"/>
      <c r="J3127" s="293">
        <v>1</v>
      </c>
      <c r="K3127" s="293"/>
      <c r="L3127" s="293"/>
      <c r="M3127" s="293"/>
      <c r="N3127" s="293"/>
      <c r="P3127" s="42">
        <v>500</v>
      </c>
      <c r="R3127" s="42">
        <v>130</v>
      </c>
      <c r="T3127" s="284">
        <v>370</v>
      </c>
      <c r="U3127" s="284"/>
    </row>
    <row r="3128" spans="1:21" s="40" customFormat="1" x14ac:dyDescent="0.25">
      <c r="A3128" s="290" t="s">
        <v>379</v>
      </c>
      <c r="B3128" s="290"/>
      <c r="C3128" s="290"/>
      <c r="D3128" s="290"/>
      <c r="E3128" s="290"/>
      <c r="F3128" s="290"/>
      <c r="G3128" s="290"/>
      <c r="H3128" s="290"/>
      <c r="I3128" s="290"/>
      <c r="J3128" s="290"/>
      <c r="K3128" s="291">
        <v>11712</v>
      </c>
      <c r="L3128" s="291"/>
      <c r="M3128" s="291"/>
      <c r="N3128" s="291"/>
      <c r="O3128" s="291"/>
      <c r="P3128" s="41">
        <v>11070800</v>
      </c>
      <c r="R3128" s="41">
        <v>10087302</v>
      </c>
      <c r="T3128" s="287">
        <v>983498</v>
      </c>
      <c r="U3128" s="287"/>
    </row>
    <row r="3129" spans="1:21" x14ac:dyDescent="0.25">
      <c r="B3129" s="292">
        <v>1</v>
      </c>
      <c r="C3129" s="292"/>
      <c r="D3129" s="292"/>
      <c r="F3129" s="283" t="s">
        <v>371</v>
      </c>
      <c r="G3129" s="283"/>
      <c r="J3129" s="293">
        <v>1</v>
      </c>
      <c r="K3129" s="293"/>
      <c r="L3129" s="293"/>
      <c r="M3129" s="293"/>
      <c r="N3129" s="293"/>
      <c r="P3129" s="42">
        <v>390</v>
      </c>
      <c r="R3129" s="42">
        <v>390</v>
      </c>
      <c r="T3129" s="284">
        <v>0</v>
      </c>
      <c r="U3129" s="284"/>
    </row>
    <row r="3130" spans="1:21" x14ac:dyDescent="0.25">
      <c r="B3130" s="292">
        <v>2</v>
      </c>
      <c r="C3130" s="292"/>
      <c r="D3130" s="292"/>
      <c r="F3130" s="283" t="s">
        <v>79</v>
      </c>
      <c r="G3130" s="283"/>
      <c r="J3130" s="293">
        <v>1</v>
      </c>
      <c r="K3130" s="293"/>
      <c r="L3130" s="293"/>
      <c r="M3130" s="293"/>
      <c r="N3130" s="293"/>
      <c r="P3130" s="42">
        <v>500</v>
      </c>
      <c r="R3130" s="42">
        <v>150</v>
      </c>
      <c r="T3130" s="284">
        <v>350</v>
      </c>
      <c r="U3130" s="284"/>
    </row>
    <row r="3131" spans="1:21" x14ac:dyDescent="0.25">
      <c r="B3131" s="292">
        <v>3</v>
      </c>
      <c r="C3131" s="292"/>
      <c r="D3131" s="292"/>
      <c r="F3131" s="283" t="s">
        <v>78</v>
      </c>
      <c r="G3131" s="283"/>
      <c r="J3131" s="293">
        <v>707</v>
      </c>
      <c r="K3131" s="293"/>
      <c r="L3131" s="293"/>
      <c r="M3131" s="293"/>
      <c r="N3131" s="293"/>
      <c r="P3131" s="42">
        <v>205030</v>
      </c>
      <c r="R3131" s="42">
        <v>205030</v>
      </c>
      <c r="T3131" s="284">
        <v>0</v>
      </c>
      <c r="U3131" s="284"/>
    </row>
    <row r="3132" spans="1:21" x14ac:dyDescent="0.25">
      <c r="B3132" s="292">
        <v>4</v>
      </c>
      <c r="C3132" s="292"/>
      <c r="D3132" s="292"/>
      <c r="F3132" s="283" t="s">
        <v>294</v>
      </c>
      <c r="G3132" s="283"/>
      <c r="J3132" s="293">
        <v>1</v>
      </c>
      <c r="K3132" s="293"/>
      <c r="L3132" s="293"/>
      <c r="M3132" s="293"/>
      <c r="N3132" s="293"/>
      <c r="P3132" s="42">
        <v>500</v>
      </c>
      <c r="R3132" s="42">
        <v>150</v>
      </c>
      <c r="T3132" s="284">
        <v>350</v>
      </c>
      <c r="U3132" s="284"/>
    </row>
    <row r="3133" spans="1:21" x14ac:dyDescent="0.25">
      <c r="B3133" s="292">
        <v>5</v>
      </c>
      <c r="C3133" s="292"/>
      <c r="D3133" s="292"/>
      <c r="F3133" s="283" t="s">
        <v>165</v>
      </c>
      <c r="G3133" s="283"/>
      <c r="J3133" s="293">
        <v>4</v>
      </c>
      <c r="K3133" s="293"/>
      <c r="L3133" s="293"/>
      <c r="M3133" s="293"/>
      <c r="N3133" s="293"/>
      <c r="P3133" s="42">
        <v>2360</v>
      </c>
      <c r="R3133" s="42">
        <v>720</v>
      </c>
      <c r="T3133" s="284">
        <v>1640</v>
      </c>
      <c r="U3133" s="284"/>
    </row>
    <row r="3134" spans="1:21" x14ac:dyDescent="0.25">
      <c r="B3134" s="292">
        <v>6</v>
      </c>
      <c r="C3134" s="292"/>
      <c r="D3134" s="292"/>
      <c r="F3134" s="283" t="s">
        <v>164</v>
      </c>
      <c r="G3134" s="283"/>
      <c r="J3134" s="293">
        <v>1</v>
      </c>
      <c r="K3134" s="293"/>
      <c r="L3134" s="293"/>
      <c r="M3134" s="293"/>
      <c r="N3134" s="293"/>
      <c r="P3134" s="42">
        <v>590</v>
      </c>
      <c r="R3134" s="42">
        <v>180</v>
      </c>
      <c r="T3134" s="284">
        <v>410</v>
      </c>
      <c r="U3134" s="284"/>
    </row>
    <row r="3135" spans="1:21" x14ac:dyDescent="0.25">
      <c r="B3135" s="292">
        <v>7</v>
      </c>
      <c r="C3135" s="292"/>
      <c r="D3135" s="292"/>
      <c r="F3135" s="283" t="s">
        <v>162</v>
      </c>
      <c r="G3135" s="283"/>
      <c r="J3135" s="293">
        <v>8</v>
      </c>
      <c r="K3135" s="293"/>
      <c r="L3135" s="293"/>
      <c r="M3135" s="293"/>
      <c r="N3135" s="293"/>
      <c r="P3135" s="42">
        <v>3440</v>
      </c>
      <c r="R3135" s="42">
        <v>1694</v>
      </c>
      <c r="T3135" s="284">
        <v>1746</v>
      </c>
      <c r="U3135" s="284"/>
    </row>
    <row r="3136" spans="1:21" x14ac:dyDescent="0.25">
      <c r="B3136" s="292">
        <v>8</v>
      </c>
      <c r="C3136" s="292"/>
      <c r="D3136" s="292"/>
      <c r="F3136" s="283" t="s">
        <v>198</v>
      </c>
      <c r="G3136" s="283"/>
      <c r="J3136" s="293">
        <v>1</v>
      </c>
      <c r="K3136" s="293"/>
      <c r="L3136" s="293"/>
      <c r="M3136" s="293"/>
      <c r="N3136" s="293"/>
      <c r="P3136" s="42">
        <v>290</v>
      </c>
      <c r="R3136" s="42">
        <v>80</v>
      </c>
      <c r="T3136" s="284">
        <v>210</v>
      </c>
      <c r="U3136" s="284"/>
    </row>
    <row r="3137" spans="2:21" x14ac:dyDescent="0.25">
      <c r="B3137" s="292">
        <v>9</v>
      </c>
      <c r="C3137" s="292"/>
      <c r="D3137" s="292"/>
      <c r="F3137" s="283" t="s">
        <v>160</v>
      </c>
      <c r="G3137" s="283"/>
      <c r="J3137" s="293">
        <v>7</v>
      </c>
      <c r="K3137" s="293"/>
      <c r="L3137" s="293"/>
      <c r="M3137" s="293"/>
      <c r="N3137" s="293"/>
      <c r="P3137" s="42">
        <v>2030</v>
      </c>
      <c r="R3137" s="42">
        <v>560</v>
      </c>
      <c r="T3137" s="284">
        <v>1470</v>
      </c>
      <c r="U3137" s="284"/>
    </row>
    <row r="3138" spans="2:21" x14ac:dyDescent="0.25">
      <c r="B3138" s="292">
        <v>10</v>
      </c>
      <c r="C3138" s="292"/>
      <c r="D3138" s="292"/>
      <c r="F3138" s="283" t="s">
        <v>158</v>
      </c>
      <c r="G3138" s="283"/>
      <c r="J3138" s="293">
        <v>1071</v>
      </c>
      <c r="K3138" s="293"/>
      <c r="L3138" s="293"/>
      <c r="M3138" s="293"/>
      <c r="N3138" s="293"/>
      <c r="P3138" s="42">
        <v>589050</v>
      </c>
      <c r="R3138" s="42">
        <v>240001</v>
      </c>
      <c r="T3138" s="284">
        <v>349049</v>
      </c>
      <c r="U3138" s="284"/>
    </row>
    <row r="3139" spans="2:21" x14ac:dyDescent="0.25">
      <c r="B3139" s="292">
        <v>11</v>
      </c>
      <c r="C3139" s="292"/>
      <c r="D3139" s="292"/>
      <c r="F3139" s="283" t="s">
        <v>157</v>
      </c>
      <c r="G3139" s="283"/>
      <c r="J3139" s="293">
        <v>13</v>
      </c>
      <c r="K3139" s="293"/>
      <c r="L3139" s="293"/>
      <c r="M3139" s="293"/>
      <c r="N3139" s="293"/>
      <c r="P3139" s="42">
        <v>6370</v>
      </c>
      <c r="R3139" s="42">
        <v>2466</v>
      </c>
      <c r="T3139" s="284">
        <v>3904</v>
      </c>
      <c r="U3139" s="284"/>
    </row>
    <row r="3140" spans="2:21" x14ac:dyDescent="0.25">
      <c r="B3140" s="292">
        <v>12</v>
      </c>
      <c r="C3140" s="292"/>
      <c r="D3140" s="292"/>
      <c r="F3140" s="283" t="s">
        <v>197</v>
      </c>
      <c r="G3140" s="283"/>
      <c r="J3140" s="293">
        <v>1</v>
      </c>
      <c r="K3140" s="293"/>
      <c r="L3140" s="293"/>
      <c r="M3140" s="293"/>
      <c r="N3140" s="293"/>
      <c r="P3140" s="42">
        <v>500</v>
      </c>
      <c r="R3140" s="42">
        <v>150</v>
      </c>
      <c r="T3140" s="284">
        <v>350</v>
      </c>
      <c r="U3140" s="284"/>
    </row>
    <row r="3141" spans="2:21" x14ac:dyDescent="0.25">
      <c r="B3141" s="292">
        <v>13</v>
      </c>
      <c r="C3141" s="292"/>
      <c r="D3141" s="292"/>
      <c r="F3141" s="283" t="s">
        <v>196</v>
      </c>
      <c r="G3141" s="283"/>
      <c r="J3141" s="293">
        <v>3</v>
      </c>
      <c r="K3141" s="293"/>
      <c r="L3141" s="293"/>
      <c r="M3141" s="293"/>
      <c r="N3141" s="293"/>
      <c r="P3141" s="42">
        <v>2100</v>
      </c>
      <c r="R3141" s="42">
        <v>1050</v>
      </c>
      <c r="T3141" s="284">
        <v>1050</v>
      </c>
      <c r="U3141" s="284"/>
    </row>
    <row r="3142" spans="2:21" x14ac:dyDescent="0.25">
      <c r="B3142" s="292">
        <v>14</v>
      </c>
      <c r="C3142" s="292"/>
      <c r="D3142" s="292"/>
      <c r="F3142" s="283" t="s">
        <v>328</v>
      </c>
      <c r="G3142" s="283"/>
      <c r="J3142" s="293">
        <v>1</v>
      </c>
      <c r="K3142" s="293"/>
      <c r="L3142" s="293"/>
      <c r="M3142" s="293"/>
      <c r="N3142" s="293"/>
      <c r="P3142" s="42">
        <v>700</v>
      </c>
      <c r="R3142" s="42">
        <v>350</v>
      </c>
      <c r="T3142" s="284">
        <v>350</v>
      </c>
      <c r="U3142" s="284"/>
    </row>
    <row r="3143" spans="2:21" x14ac:dyDescent="0.25">
      <c r="B3143" s="292">
        <v>15</v>
      </c>
      <c r="C3143" s="292"/>
      <c r="D3143" s="292"/>
      <c r="F3143" s="283" t="s">
        <v>244</v>
      </c>
      <c r="G3143" s="283"/>
      <c r="J3143" s="293">
        <v>2</v>
      </c>
      <c r="K3143" s="293"/>
      <c r="L3143" s="293"/>
      <c r="M3143" s="293"/>
      <c r="N3143" s="293"/>
      <c r="P3143" s="42">
        <v>600</v>
      </c>
      <c r="R3143" s="42">
        <v>160</v>
      </c>
      <c r="T3143" s="284">
        <v>440</v>
      </c>
      <c r="U3143" s="284"/>
    </row>
    <row r="3144" spans="2:21" x14ac:dyDescent="0.25">
      <c r="B3144" s="292">
        <v>16</v>
      </c>
      <c r="C3144" s="292"/>
      <c r="D3144" s="292"/>
      <c r="F3144" s="283" t="s">
        <v>77</v>
      </c>
      <c r="G3144" s="283"/>
      <c r="J3144" s="293">
        <v>4690</v>
      </c>
      <c r="K3144" s="293"/>
      <c r="L3144" s="293"/>
      <c r="M3144" s="293"/>
      <c r="N3144" s="293"/>
      <c r="P3144" s="42">
        <v>1893100</v>
      </c>
      <c r="R3144" s="42">
        <v>1893100</v>
      </c>
      <c r="T3144" s="284">
        <v>0</v>
      </c>
      <c r="U3144" s="284"/>
    </row>
    <row r="3145" spans="2:21" x14ac:dyDescent="0.25">
      <c r="B3145" s="292">
        <v>17</v>
      </c>
      <c r="C3145" s="292"/>
      <c r="D3145" s="292"/>
      <c r="F3145" s="283" t="s">
        <v>343</v>
      </c>
      <c r="G3145" s="283"/>
      <c r="J3145" s="293">
        <v>20</v>
      </c>
      <c r="K3145" s="293"/>
      <c r="L3145" s="293"/>
      <c r="M3145" s="293"/>
      <c r="N3145" s="293"/>
      <c r="P3145" s="42">
        <v>4200</v>
      </c>
      <c r="R3145" s="42">
        <v>1407</v>
      </c>
      <c r="T3145" s="284">
        <v>2793</v>
      </c>
      <c r="U3145" s="284"/>
    </row>
    <row r="3146" spans="2:21" x14ac:dyDescent="0.25">
      <c r="B3146" s="292">
        <v>18</v>
      </c>
      <c r="C3146" s="292"/>
      <c r="D3146" s="292"/>
      <c r="F3146" s="283" t="s">
        <v>156</v>
      </c>
      <c r="G3146" s="283"/>
      <c r="J3146" s="293">
        <v>16</v>
      </c>
      <c r="K3146" s="293"/>
      <c r="L3146" s="293"/>
      <c r="M3146" s="293"/>
      <c r="N3146" s="293"/>
      <c r="P3146" s="42">
        <v>3040</v>
      </c>
      <c r="R3146" s="42">
        <v>940</v>
      </c>
      <c r="T3146" s="284">
        <v>2100</v>
      </c>
      <c r="U3146" s="284"/>
    </row>
    <row r="3147" spans="2:21" x14ac:dyDescent="0.25">
      <c r="B3147" s="292">
        <v>19</v>
      </c>
      <c r="C3147" s="292"/>
      <c r="D3147" s="292"/>
      <c r="F3147" s="283" t="s">
        <v>342</v>
      </c>
      <c r="G3147" s="283"/>
      <c r="J3147" s="293">
        <v>1</v>
      </c>
      <c r="K3147" s="293"/>
      <c r="L3147" s="293"/>
      <c r="M3147" s="293"/>
      <c r="N3147" s="293"/>
      <c r="P3147" s="42">
        <v>500</v>
      </c>
      <c r="R3147" s="42">
        <v>150</v>
      </c>
      <c r="T3147" s="284">
        <v>350</v>
      </c>
      <c r="U3147" s="284"/>
    </row>
    <row r="3148" spans="2:21" x14ac:dyDescent="0.25">
      <c r="B3148" s="292">
        <v>20</v>
      </c>
      <c r="C3148" s="292"/>
      <c r="D3148" s="292"/>
      <c r="F3148" s="283" t="s">
        <v>155</v>
      </c>
      <c r="G3148" s="283"/>
      <c r="J3148" s="293">
        <v>543</v>
      </c>
      <c r="K3148" s="293"/>
      <c r="L3148" s="293"/>
      <c r="M3148" s="293"/>
      <c r="N3148" s="293"/>
      <c r="P3148" s="42">
        <v>135750</v>
      </c>
      <c r="R3148" s="42">
        <v>68587</v>
      </c>
      <c r="T3148" s="284">
        <v>67163</v>
      </c>
      <c r="U3148" s="284"/>
    </row>
    <row r="3149" spans="2:21" x14ac:dyDescent="0.25">
      <c r="B3149" s="292">
        <v>21</v>
      </c>
      <c r="C3149" s="292"/>
      <c r="D3149" s="292"/>
      <c r="F3149" s="283" t="s">
        <v>154</v>
      </c>
      <c r="G3149" s="283"/>
      <c r="J3149" s="293">
        <v>2</v>
      </c>
      <c r="K3149" s="293"/>
      <c r="L3149" s="293"/>
      <c r="M3149" s="293"/>
      <c r="N3149" s="293"/>
      <c r="P3149" s="42">
        <v>1780</v>
      </c>
      <c r="R3149" s="42">
        <v>260</v>
      </c>
      <c r="T3149" s="284">
        <v>1520</v>
      </c>
      <c r="U3149" s="284"/>
    </row>
    <row r="3150" spans="2:21" x14ac:dyDescent="0.25">
      <c r="B3150" s="292">
        <v>22</v>
      </c>
      <c r="C3150" s="292"/>
      <c r="D3150" s="292"/>
      <c r="F3150" s="283" t="s">
        <v>194</v>
      </c>
      <c r="G3150" s="283"/>
      <c r="J3150" s="293">
        <v>1</v>
      </c>
      <c r="K3150" s="293"/>
      <c r="L3150" s="293"/>
      <c r="M3150" s="293"/>
      <c r="N3150" s="293"/>
      <c r="P3150" s="42">
        <v>700</v>
      </c>
      <c r="R3150" s="42">
        <v>180</v>
      </c>
      <c r="T3150" s="284">
        <v>520</v>
      </c>
      <c r="U3150" s="284"/>
    </row>
    <row r="3151" spans="2:21" x14ac:dyDescent="0.25">
      <c r="B3151" s="292">
        <v>23</v>
      </c>
      <c r="C3151" s="292"/>
      <c r="D3151" s="292"/>
      <c r="F3151" s="283" t="s">
        <v>289</v>
      </c>
      <c r="G3151" s="283"/>
      <c r="J3151" s="293">
        <v>3</v>
      </c>
      <c r="K3151" s="293"/>
      <c r="L3151" s="293"/>
      <c r="M3151" s="293"/>
      <c r="N3151" s="293"/>
      <c r="P3151" s="42">
        <v>1500</v>
      </c>
      <c r="R3151" s="42">
        <v>450</v>
      </c>
      <c r="T3151" s="284">
        <v>1050</v>
      </c>
      <c r="U3151" s="284"/>
    </row>
    <row r="3152" spans="2:21" x14ac:dyDescent="0.25">
      <c r="B3152" s="292">
        <v>24</v>
      </c>
      <c r="C3152" s="292"/>
      <c r="D3152" s="292"/>
      <c r="F3152" s="283" t="s">
        <v>152</v>
      </c>
      <c r="G3152" s="283"/>
      <c r="J3152" s="293">
        <v>3</v>
      </c>
      <c r="K3152" s="293"/>
      <c r="L3152" s="293"/>
      <c r="M3152" s="293"/>
      <c r="N3152" s="293"/>
      <c r="P3152" s="42">
        <v>1770</v>
      </c>
      <c r="R3152" s="42">
        <v>600</v>
      </c>
      <c r="T3152" s="284">
        <v>1170</v>
      </c>
      <c r="U3152" s="284"/>
    </row>
    <row r="3153" spans="2:21" x14ac:dyDescent="0.25">
      <c r="B3153" s="292">
        <v>25</v>
      </c>
      <c r="C3153" s="292"/>
      <c r="D3153" s="292"/>
      <c r="F3153" s="283" t="s">
        <v>151</v>
      </c>
      <c r="G3153" s="283"/>
      <c r="J3153" s="293">
        <v>10</v>
      </c>
      <c r="K3153" s="293"/>
      <c r="L3153" s="293"/>
      <c r="M3153" s="293"/>
      <c r="N3153" s="293"/>
      <c r="P3153" s="42">
        <v>2300</v>
      </c>
      <c r="R3153" s="42">
        <v>740</v>
      </c>
      <c r="T3153" s="284">
        <v>1560</v>
      </c>
      <c r="U3153" s="284"/>
    </row>
    <row r="3154" spans="2:21" x14ac:dyDescent="0.25">
      <c r="B3154" s="292">
        <v>26</v>
      </c>
      <c r="C3154" s="292"/>
      <c r="D3154" s="292"/>
      <c r="F3154" s="283" t="s">
        <v>150</v>
      </c>
      <c r="G3154" s="283"/>
      <c r="J3154" s="293">
        <v>3</v>
      </c>
      <c r="K3154" s="293"/>
      <c r="L3154" s="293"/>
      <c r="M3154" s="293"/>
      <c r="N3154" s="293"/>
      <c r="P3154" s="42">
        <v>510</v>
      </c>
      <c r="R3154" s="42">
        <v>150</v>
      </c>
      <c r="T3154" s="284">
        <v>360</v>
      </c>
      <c r="U3154" s="284"/>
    </row>
    <row r="3155" spans="2:21" x14ac:dyDescent="0.25">
      <c r="B3155" s="292">
        <v>27</v>
      </c>
      <c r="C3155" s="292"/>
      <c r="D3155" s="292"/>
      <c r="F3155" s="283" t="s">
        <v>149</v>
      </c>
      <c r="G3155" s="283"/>
      <c r="J3155" s="293">
        <v>3</v>
      </c>
      <c r="K3155" s="293"/>
      <c r="L3155" s="293"/>
      <c r="M3155" s="293"/>
      <c r="N3155" s="293"/>
      <c r="P3155" s="42">
        <v>150</v>
      </c>
      <c r="R3155" s="42">
        <v>30</v>
      </c>
      <c r="T3155" s="284">
        <v>120</v>
      </c>
      <c r="U3155" s="284"/>
    </row>
    <row r="3156" spans="2:21" x14ac:dyDescent="0.25">
      <c r="B3156" s="292">
        <v>28</v>
      </c>
      <c r="C3156" s="292"/>
      <c r="D3156" s="292"/>
      <c r="F3156" s="283" t="s">
        <v>236</v>
      </c>
      <c r="G3156" s="283"/>
      <c r="J3156" s="293">
        <v>2</v>
      </c>
      <c r="K3156" s="293"/>
      <c r="L3156" s="293"/>
      <c r="M3156" s="293"/>
      <c r="N3156" s="293"/>
      <c r="P3156" s="42">
        <v>1600</v>
      </c>
      <c r="R3156" s="42">
        <v>400</v>
      </c>
      <c r="T3156" s="284">
        <v>1200</v>
      </c>
      <c r="U3156" s="284"/>
    </row>
    <row r="3157" spans="2:21" x14ac:dyDescent="0.25">
      <c r="B3157" s="292">
        <v>29</v>
      </c>
      <c r="C3157" s="292"/>
      <c r="D3157" s="292"/>
      <c r="F3157" s="283" t="s">
        <v>148</v>
      </c>
      <c r="G3157" s="283"/>
      <c r="J3157" s="293">
        <v>1</v>
      </c>
      <c r="K3157" s="293"/>
      <c r="L3157" s="293"/>
      <c r="M3157" s="293"/>
      <c r="N3157" s="293"/>
      <c r="P3157" s="42">
        <v>980</v>
      </c>
      <c r="R3157" s="42">
        <v>150</v>
      </c>
      <c r="T3157" s="284">
        <v>830</v>
      </c>
      <c r="U3157" s="284"/>
    </row>
    <row r="3158" spans="2:21" x14ac:dyDescent="0.25">
      <c r="B3158" s="292">
        <v>30</v>
      </c>
      <c r="C3158" s="292"/>
      <c r="D3158" s="292"/>
      <c r="F3158" s="283" t="s">
        <v>287</v>
      </c>
      <c r="G3158" s="283"/>
      <c r="J3158" s="293">
        <v>2</v>
      </c>
      <c r="K3158" s="293"/>
      <c r="L3158" s="293"/>
      <c r="M3158" s="293"/>
      <c r="N3158" s="293"/>
      <c r="P3158" s="42">
        <v>1600</v>
      </c>
      <c r="R3158" s="42">
        <v>900</v>
      </c>
      <c r="T3158" s="284">
        <v>700</v>
      </c>
      <c r="U3158" s="284"/>
    </row>
    <row r="3159" spans="2:21" x14ac:dyDescent="0.25">
      <c r="B3159" s="292">
        <v>31</v>
      </c>
      <c r="C3159" s="292"/>
      <c r="D3159" s="292"/>
      <c r="F3159" s="283" t="s">
        <v>142</v>
      </c>
      <c r="G3159" s="283"/>
      <c r="J3159" s="293">
        <v>2</v>
      </c>
      <c r="K3159" s="293"/>
      <c r="L3159" s="293"/>
      <c r="M3159" s="293"/>
      <c r="N3159" s="293"/>
      <c r="P3159" s="42">
        <v>700</v>
      </c>
      <c r="R3159" s="42">
        <v>300</v>
      </c>
      <c r="T3159" s="284">
        <v>400</v>
      </c>
      <c r="U3159" s="284"/>
    </row>
    <row r="3160" spans="2:21" x14ac:dyDescent="0.25">
      <c r="B3160" s="292">
        <v>32</v>
      </c>
      <c r="C3160" s="292"/>
      <c r="D3160" s="292"/>
      <c r="F3160" s="283" t="s">
        <v>75</v>
      </c>
      <c r="G3160" s="283"/>
      <c r="J3160" s="293">
        <v>2895</v>
      </c>
      <c r="K3160" s="293"/>
      <c r="L3160" s="293"/>
      <c r="M3160" s="293"/>
      <c r="N3160" s="293"/>
      <c r="P3160" s="42">
        <v>7237500</v>
      </c>
      <c r="R3160" s="42">
        <v>7237500</v>
      </c>
      <c r="T3160" s="284">
        <v>0</v>
      </c>
      <c r="U3160" s="284"/>
    </row>
    <row r="3161" spans="2:21" x14ac:dyDescent="0.25">
      <c r="B3161" s="292">
        <v>33</v>
      </c>
      <c r="C3161" s="292"/>
      <c r="D3161" s="292"/>
      <c r="F3161" s="283" t="s">
        <v>139</v>
      </c>
      <c r="G3161" s="283"/>
      <c r="J3161" s="293">
        <v>2</v>
      </c>
      <c r="K3161" s="293"/>
      <c r="L3161" s="293"/>
      <c r="M3161" s="293"/>
      <c r="N3161" s="293"/>
      <c r="P3161" s="42">
        <v>540</v>
      </c>
      <c r="R3161" s="42">
        <v>160</v>
      </c>
      <c r="T3161" s="284">
        <v>380</v>
      </c>
      <c r="U3161" s="284"/>
    </row>
    <row r="3162" spans="2:21" x14ac:dyDescent="0.25">
      <c r="B3162" s="292">
        <v>34</v>
      </c>
      <c r="C3162" s="292"/>
      <c r="D3162" s="292"/>
      <c r="F3162" s="283" t="s">
        <v>231</v>
      </c>
      <c r="G3162" s="283"/>
      <c r="J3162" s="293">
        <v>1</v>
      </c>
      <c r="K3162" s="293"/>
      <c r="L3162" s="293"/>
      <c r="M3162" s="293"/>
      <c r="N3162" s="293"/>
      <c r="P3162" s="42">
        <v>500</v>
      </c>
      <c r="R3162" s="42">
        <v>150</v>
      </c>
      <c r="T3162" s="284">
        <v>350</v>
      </c>
      <c r="U3162" s="284"/>
    </row>
    <row r="3163" spans="2:21" x14ac:dyDescent="0.25">
      <c r="B3163" s="292">
        <v>35</v>
      </c>
      <c r="C3163" s="292"/>
      <c r="D3163" s="292"/>
      <c r="F3163" s="283" t="s">
        <v>302</v>
      </c>
      <c r="G3163" s="283"/>
      <c r="J3163" s="293">
        <v>1</v>
      </c>
      <c r="K3163" s="293"/>
      <c r="L3163" s="293"/>
      <c r="M3163" s="293"/>
      <c r="N3163" s="293"/>
      <c r="P3163" s="42">
        <v>800</v>
      </c>
      <c r="R3163" s="42">
        <v>450</v>
      </c>
      <c r="T3163" s="284">
        <v>350</v>
      </c>
      <c r="U3163" s="284"/>
    </row>
    <row r="3164" spans="2:21" x14ac:dyDescent="0.25">
      <c r="B3164" s="292">
        <v>36</v>
      </c>
      <c r="C3164" s="292"/>
      <c r="D3164" s="292"/>
      <c r="F3164" s="283" t="s">
        <v>137</v>
      </c>
      <c r="G3164" s="283"/>
      <c r="J3164" s="293">
        <v>2</v>
      </c>
      <c r="K3164" s="293"/>
      <c r="L3164" s="293"/>
      <c r="M3164" s="293"/>
      <c r="N3164" s="293"/>
      <c r="P3164" s="42">
        <v>1600</v>
      </c>
      <c r="R3164" s="42">
        <v>900</v>
      </c>
      <c r="T3164" s="284">
        <v>700</v>
      </c>
      <c r="U3164" s="284"/>
    </row>
    <row r="3165" spans="2:21" x14ac:dyDescent="0.25">
      <c r="B3165" s="292">
        <v>37</v>
      </c>
      <c r="C3165" s="292"/>
      <c r="D3165" s="292"/>
      <c r="F3165" s="283" t="s">
        <v>313</v>
      </c>
      <c r="G3165" s="283"/>
      <c r="J3165" s="293">
        <v>1</v>
      </c>
      <c r="K3165" s="293"/>
      <c r="L3165" s="293"/>
      <c r="M3165" s="293"/>
      <c r="N3165" s="293"/>
      <c r="P3165" s="42">
        <v>800</v>
      </c>
      <c r="R3165" s="42">
        <v>450</v>
      </c>
      <c r="T3165" s="284">
        <v>350</v>
      </c>
      <c r="U3165" s="284"/>
    </row>
    <row r="3166" spans="2:21" x14ac:dyDescent="0.25">
      <c r="B3166" s="292">
        <v>38</v>
      </c>
      <c r="C3166" s="292"/>
      <c r="D3166" s="292"/>
      <c r="F3166" s="283" t="s">
        <v>192</v>
      </c>
      <c r="G3166" s="283"/>
      <c r="J3166" s="293">
        <v>2</v>
      </c>
      <c r="K3166" s="293"/>
      <c r="L3166" s="293"/>
      <c r="M3166" s="293"/>
      <c r="N3166" s="293"/>
      <c r="P3166" s="42">
        <v>3100</v>
      </c>
      <c r="R3166" s="42">
        <v>0</v>
      </c>
      <c r="T3166" s="284">
        <v>3100</v>
      </c>
      <c r="U3166" s="284"/>
    </row>
    <row r="3167" spans="2:21" x14ac:dyDescent="0.25">
      <c r="B3167" s="292">
        <v>39</v>
      </c>
      <c r="C3167" s="292"/>
      <c r="D3167" s="292"/>
      <c r="F3167" s="283" t="s">
        <v>136</v>
      </c>
      <c r="G3167" s="283"/>
      <c r="J3167" s="293">
        <v>40</v>
      </c>
      <c r="K3167" s="293"/>
      <c r="L3167" s="293"/>
      <c r="M3167" s="293"/>
      <c r="N3167" s="293"/>
      <c r="P3167" s="42">
        <v>34000</v>
      </c>
      <c r="R3167" s="42">
        <v>8840</v>
      </c>
      <c r="T3167" s="284">
        <v>25160</v>
      </c>
      <c r="U3167" s="284"/>
    </row>
    <row r="3168" spans="2:21" x14ac:dyDescent="0.25">
      <c r="B3168" s="292">
        <v>40</v>
      </c>
      <c r="C3168" s="292"/>
      <c r="D3168" s="292"/>
      <c r="F3168" s="283" t="s">
        <v>74</v>
      </c>
      <c r="G3168" s="283"/>
      <c r="J3168" s="293">
        <v>13</v>
      </c>
      <c r="K3168" s="293"/>
      <c r="L3168" s="293"/>
      <c r="M3168" s="293"/>
      <c r="N3168" s="293"/>
      <c r="P3168" s="42">
        <v>11050</v>
      </c>
      <c r="R3168" s="42">
        <v>11050</v>
      </c>
      <c r="T3168" s="284">
        <v>0</v>
      </c>
      <c r="U3168" s="284"/>
    </row>
    <row r="3169" spans="2:21" x14ac:dyDescent="0.25">
      <c r="B3169" s="292">
        <v>41</v>
      </c>
      <c r="C3169" s="292"/>
      <c r="D3169" s="292"/>
      <c r="F3169" s="283" t="s">
        <v>135</v>
      </c>
      <c r="G3169" s="283"/>
      <c r="J3169" s="293">
        <v>3</v>
      </c>
      <c r="K3169" s="293"/>
      <c r="L3169" s="293"/>
      <c r="M3169" s="293"/>
      <c r="N3169" s="293"/>
      <c r="P3169" s="42">
        <v>2850</v>
      </c>
      <c r="R3169" s="42">
        <v>840</v>
      </c>
      <c r="T3169" s="284">
        <v>2010</v>
      </c>
      <c r="U3169" s="284"/>
    </row>
    <row r="3170" spans="2:21" x14ac:dyDescent="0.25">
      <c r="B3170" s="292">
        <v>42</v>
      </c>
      <c r="C3170" s="292"/>
      <c r="D3170" s="292"/>
      <c r="F3170" s="283" t="s">
        <v>229</v>
      </c>
      <c r="G3170" s="283"/>
      <c r="J3170" s="293">
        <v>1</v>
      </c>
      <c r="K3170" s="293"/>
      <c r="L3170" s="293"/>
      <c r="M3170" s="293"/>
      <c r="N3170" s="293"/>
      <c r="P3170" s="42">
        <v>7000</v>
      </c>
      <c r="R3170" s="42">
        <v>3100</v>
      </c>
      <c r="T3170" s="284">
        <v>3900</v>
      </c>
      <c r="U3170" s="284"/>
    </row>
    <row r="3171" spans="2:21" x14ac:dyDescent="0.25">
      <c r="B3171" s="292">
        <v>43</v>
      </c>
      <c r="C3171" s="292"/>
      <c r="D3171" s="292"/>
      <c r="F3171" s="283" t="s">
        <v>132</v>
      </c>
      <c r="G3171" s="283"/>
      <c r="J3171" s="293">
        <v>3</v>
      </c>
      <c r="K3171" s="293"/>
      <c r="L3171" s="293"/>
      <c r="M3171" s="293"/>
      <c r="N3171" s="293"/>
      <c r="P3171" s="42">
        <v>3720</v>
      </c>
      <c r="R3171" s="42">
        <v>1110</v>
      </c>
      <c r="T3171" s="284">
        <v>2610</v>
      </c>
      <c r="U3171" s="284"/>
    </row>
    <row r="3172" spans="2:21" x14ac:dyDescent="0.25">
      <c r="B3172" s="292">
        <v>44</v>
      </c>
      <c r="C3172" s="292"/>
      <c r="D3172" s="292"/>
      <c r="F3172" s="283" t="s">
        <v>131</v>
      </c>
      <c r="G3172" s="283"/>
      <c r="J3172" s="293">
        <v>1</v>
      </c>
      <c r="K3172" s="293"/>
      <c r="L3172" s="293"/>
      <c r="M3172" s="293"/>
      <c r="N3172" s="293"/>
      <c r="P3172" s="42">
        <v>3700</v>
      </c>
      <c r="R3172" s="42">
        <v>800</v>
      </c>
      <c r="T3172" s="284">
        <v>2900</v>
      </c>
      <c r="U3172" s="284"/>
    </row>
    <row r="3173" spans="2:21" x14ac:dyDescent="0.25">
      <c r="B3173" s="292">
        <v>45</v>
      </c>
      <c r="C3173" s="292"/>
      <c r="D3173" s="292"/>
      <c r="F3173" s="283" t="s">
        <v>130</v>
      </c>
      <c r="G3173" s="283"/>
      <c r="J3173" s="293">
        <v>1</v>
      </c>
      <c r="K3173" s="293"/>
      <c r="L3173" s="293"/>
      <c r="M3173" s="293"/>
      <c r="N3173" s="293"/>
      <c r="P3173" s="42">
        <v>8000</v>
      </c>
      <c r="R3173" s="42">
        <v>4100</v>
      </c>
      <c r="T3173" s="284">
        <v>3900</v>
      </c>
      <c r="U3173" s="284"/>
    </row>
    <row r="3174" spans="2:21" x14ac:dyDescent="0.25">
      <c r="B3174" s="292">
        <v>46</v>
      </c>
      <c r="C3174" s="292"/>
      <c r="D3174" s="292"/>
      <c r="F3174" s="285" t="s">
        <v>188</v>
      </c>
      <c r="G3174" s="285"/>
      <c r="J3174" s="293">
        <v>1</v>
      </c>
      <c r="K3174" s="293"/>
      <c r="L3174" s="293"/>
      <c r="M3174" s="293"/>
      <c r="N3174" s="293"/>
      <c r="P3174" s="42">
        <v>8000</v>
      </c>
      <c r="R3174" s="42">
        <v>4000</v>
      </c>
      <c r="T3174" s="284">
        <v>4000</v>
      </c>
      <c r="U3174" s="284"/>
    </row>
    <row r="3175" spans="2:21" x14ac:dyDescent="0.25">
      <c r="F3175" s="285"/>
      <c r="G3175" s="285"/>
    </row>
    <row r="3176" spans="2:21" x14ac:dyDescent="0.25">
      <c r="B3176" s="292">
        <v>47</v>
      </c>
      <c r="C3176" s="292"/>
      <c r="D3176" s="292"/>
      <c r="F3176" s="283" t="s">
        <v>128</v>
      </c>
      <c r="G3176" s="283"/>
      <c r="J3176" s="293">
        <v>1</v>
      </c>
      <c r="K3176" s="293"/>
      <c r="L3176" s="293"/>
      <c r="M3176" s="293"/>
      <c r="N3176" s="293"/>
      <c r="P3176" s="42">
        <v>1150</v>
      </c>
      <c r="R3176" s="42">
        <v>170</v>
      </c>
      <c r="T3176" s="284">
        <v>980</v>
      </c>
      <c r="U3176" s="284"/>
    </row>
    <row r="3177" spans="2:21" x14ac:dyDescent="0.25">
      <c r="B3177" s="292">
        <v>48</v>
      </c>
      <c r="C3177" s="292"/>
      <c r="D3177" s="292"/>
      <c r="F3177" s="283" t="s">
        <v>378</v>
      </c>
      <c r="G3177" s="283"/>
      <c r="J3177" s="293">
        <v>1</v>
      </c>
      <c r="K3177" s="293"/>
      <c r="L3177" s="293"/>
      <c r="M3177" s="293"/>
      <c r="N3177" s="293"/>
      <c r="P3177" s="42">
        <v>800</v>
      </c>
      <c r="R3177" s="42">
        <v>450</v>
      </c>
      <c r="T3177" s="284">
        <v>350</v>
      </c>
      <c r="U3177" s="284"/>
    </row>
    <row r="3178" spans="2:21" x14ac:dyDescent="0.25">
      <c r="B3178" s="292">
        <v>49</v>
      </c>
      <c r="C3178" s="292"/>
      <c r="D3178" s="292"/>
      <c r="F3178" s="283" t="s">
        <v>127</v>
      </c>
      <c r="G3178" s="283"/>
      <c r="J3178" s="293">
        <v>41</v>
      </c>
      <c r="K3178" s="293"/>
      <c r="L3178" s="293"/>
      <c r="M3178" s="293"/>
      <c r="N3178" s="293"/>
      <c r="P3178" s="42">
        <v>12300</v>
      </c>
      <c r="R3178" s="42">
        <v>3772</v>
      </c>
      <c r="T3178" s="284">
        <v>8528</v>
      </c>
      <c r="U3178" s="284"/>
    </row>
    <row r="3179" spans="2:21" x14ac:dyDescent="0.25">
      <c r="B3179" s="292">
        <v>50</v>
      </c>
      <c r="C3179" s="292"/>
      <c r="D3179" s="292"/>
      <c r="F3179" s="283" t="s">
        <v>126</v>
      </c>
      <c r="G3179" s="283"/>
      <c r="J3179" s="293">
        <v>9</v>
      </c>
      <c r="K3179" s="293"/>
      <c r="L3179" s="293"/>
      <c r="M3179" s="293"/>
      <c r="N3179" s="293"/>
      <c r="P3179" s="42">
        <v>1800</v>
      </c>
      <c r="R3179" s="42">
        <v>594</v>
      </c>
      <c r="T3179" s="284">
        <v>1206</v>
      </c>
      <c r="U3179" s="284"/>
    </row>
    <row r="3180" spans="2:21" x14ac:dyDescent="0.25">
      <c r="B3180" s="292">
        <v>51</v>
      </c>
      <c r="C3180" s="292"/>
      <c r="D3180" s="292"/>
      <c r="F3180" s="283" t="s">
        <v>336</v>
      </c>
      <c r="G3180" s="283"/>
      <c r="J3180" s="293">
        <v>6</v>
      </c>
      <c r="K3180" s="293"/>
      <c r="L3180" s="293"/>
      <c r="M3180" s="293"/>
      <c r="N3180" s="293"/>
      <c r="P3180" s="42">
        <v>3600</v>
      </c>
      <c r="R3180" s="42">
        <v>1500</v>
      </c>
      <c r="T3180" s="284">
        <v>2100</v>
      </c>
      <c r="U3180" s="284"/>
    </row>
    <row r="3181" spans="2:21" x14ac:dyDescent="0.25">
      <c r="B3181" s="292">
        <v>52</v>
      </c>
      <c r="C3181" s="292"/>
      <c r="D3181" s="292"/>
      <c r="F3181" s="283" t="s">
        <v>122</v>
      </c>
      <c r="G3181" s="283"/>
      <c r="J3181" s="293">
        <v>3</v>
      </c>
      <c r="K3181" s="293"/>
      <c r="L3181" s="293"/>
      <c r="M3181" s="293"/>
      <c r="N3181" s="293"/>
      <c r="P3181" s="42">
        <v>1500</v>
      </c>
      <c r="R3181" s="42">
        <v>450</v>
      </c>
      <c r="T3181" s="284">
        <v>1050</v>
      </c>
      <c r="U3181" s="284"/>
    </row>
    <row r="3182" spans="2:21" x14ac:dyDescent="0.25">
      <c r="B3182" s="292">
        <v>53</v>
      </c>
      <c r="C3182" s="292"/>
      <c r="D3182" s="292"/>
      <c r="F3182" s="283" t="s">
        <v>121</v>
      </c>
      <c r="G3182" s="283"/>
      <c r="J3182" s="293">
        <v>3</v>
      </c>
      <c r="K3182" s="293"/>
      <c r="L3182" s="293"/>
      <c r="M3182" s="293"/>
      <c r="N3182" s="293"/>
      <c r="P3182" s="42">
        <v>1500</v>
      </c>
      <c r="R3182" s="42">
        <v>450</v>
      </c>
      <c r="T3182" s="284">
        <v>1050</v>
      </c>
      <c r="U3182" s="284"/>
    </row>
    <row r="3183" spans="2:21" x14ac:dyDescent="0.25">
      <c r="B3183" s="292">
        <v>54</v>
      </c>
      <c r="C3183" s="292"/>
      <c r="D3183" s="292"/>
      <c r="F3183" s="283" t="s">
        <v>282</v>
      </c>
      <c r="G3183" s="283"/>
      <c r="J3183" s="293">
        <v>1</v>
      </c>
      <c r="K3183" s="293"/>
      <c r="L3183" s="293"/>
      <c r="M3183" s="293"/>
      <c r="N3183" s="293"/>
      <c r="P3183" s="42">
        <v>500</v>
      </c>
      <c r="R3183" s="42">
        <v>150</v>
      </c>
      <c r="T3183" s="284">
        <v>350</v>
      </c>
      <c r="U3183" s="284"/>
    </row>
    <row r="3184" spans="2:21" x14ac:dyDescent="0.25">
      <c r="B3184" s="292">
        <v>55</v>
      </c>
      <c r="C3184" s="292"/>
      <c r="D3184" s="292"/>
      <c r="F3184" s="283" t="s">
        <v>226</v>
      </c>
      <c r="G3184" s="283"/>
      <c r="J3184" s="293">
        <v>2</v>
      </c>
      <c r="K3184" s="293"/>
      <c r="L3184" s="293"/>
      <c r="M3184" s="293"/>
      <c r="N3184" s="293"/>
      <c r="P3184" s="42">
        <v>1000</v>
      </c>
      <c r="R3184" s="42">
        <v>300</v>
      </c>
      <c r="T3184" s="284">
        <v>700</v>
      </c>
      <c r="U3184" s="284"/>
    </row>
    <row r="3185" spans="2:21" x14ac:dyDescent="0.25">
      <c r="B3185" s="292">
        <v>56</v>
      </c>
      <c r="C3185" s="292"/>
      <c r="D3185" s="292"/>
      <c r="F3185" s="283" t="s">
        <v>119</v>
      </c>
      <c r="G3185" s="283"/>
      <c r="J3185" s="293">
        <v>13</v>
      </c>
      <c r="K3185" s="293"/>
      <c r="L3185" s="293"/>
      <c r="M3185" s="293"/>
      <c r="N3185" s="293"/>
      <c r="P3185" s="42">
        <v>11570</v>
      </c>
      <c r="R3185" s="42">
        <v>3750</v>
      </c>
      <c r="T3185" s="284">
        <v>7820</v>
      </c>
      <c r="U3185" s="284"/>
    </row>
    <row r="3186" spans="2:21" x14ac:dyDescent="0.25">
      <c r="B3186" s="292">
        <v>57</v>
      </c>
      <c r="C3186" s="292"/>
      <c r="D3186" s="292"/>
      <c r="F3186" s="283" t="s">
        <v>118</v>
      </c>
      <c r="G3186" s="283"/>
      <c r="J3186" s="293">
        <v>567</v>
      </c>
      <c r="K3186" s="293"/>
      <c r="L3186" s="293"/>
      <c r="M3186" s="293"/>
      <c r="N3186" s="293"/>
      <c r="P3186" s="42">
        <v>561330</v>
      </c>
      <c r="R3186" s="42">
        <v>280275</v>
      </c>
      <c r="T3186" s="284">
        <v>281055</v>
      </c>
      <c r="U3186" s="284"/>
    </row>
    <row r="3187" spans="2:21" x14ac:dyDescent="0.25">
      <c r="B3187" s="292">
        <v>58</v>
      </c>
      <c r="C3187" s="292"/>
      <c r="D3187" s="292"/>
      <c r="F3187" s="283" t="s">
        <v>117</v>
      </c>
      <c r="G3187" s="283"/>
      <c r="J3187" s="293">
        <v>14</v>
      </c>
      <c r="K3187" s="293"/>
      <c r="L3187" s="293"/>
      <c r="M3187" s="293"/>
      <c r="N3187" s="293"/>
      <c r="P3187" s="42">
        <v>11300</v>
      </c>
      <c r="R3187" s="42">
        <v>2870</v>
      </c>
      <c r="T3187" s="284">
        <v>8430</v>
      </c>
      <c r="U3187" s="284"/>
    </row>
    <row r="3188" spans="2:21" x14ac:dyDescent="0.25">
      <c r="B3188" s="292">
        <v>59</v>
      </c>
      <c r="C3188" s="292"/>
      <c r="D3188" s="292"/>
      <c r="F3188" s="283" t="s">
        <v>115</v>
      </c>
      <c r="G3188" s="283"/>
      <c r="J3188" s="293">
        <v>2</v>
      </c>
      <c r="K3188" s="293"/>
      <c r="L3188" s="293"/>
      <c r="M3188" s="293"/>
      <c r="N3188" s="293"/>
      <c r="P3188" s="42">
        <v>580</v>
      </c>
      <c r="R3188" s="42">
        <v>190</v>
      </c>
      <c r="T3188" s="284">
        <v>390</v>
      </c>
      <c r="U3188" s="284"/>
    </row>
    <row r="3189" spans="2:21" x14ac:dyDescent="0.25">
      <c r="B3189" s="292">
        <v>60</v>
      </c>
      <c r="C3189" s="292"/>
      <c r="D3189" s="292"/>
      <c r="F3189" s="283" t="s">
        <v>280</v>
      </c>
      <c r="G3189" s="283"/>
      <c r="J3189" s="293">
        <v>1</v>
      </c>
      <c r="K3189" s="293"/>
      <c r="L3189" s="293"/>
      <c r="M3189" s="293"/>
      <c r="N3189" s="293"/>
      <c r="P3189" s="42">
        <v>700</v>
      </c>
      <c r="R3189" s="42">
        <v>350</v>
      </c>
      <c r="T3189" s="284">
        <v>350</v>
      </c>
      <c r="U3189" s="284"/>
    </row>
    <row r="3190" spans="2:21" x14ac:dyDescent="0.25">
      <c r="B3190" s="292">
        <v>61</v>
      </c>
      <c r="C3190" s="292"/>
      <c r="D3190" s="292"/>
      <c r="F3190" s="285" t="s">
        <v>375</v>
      </c>
      <c r="G3190" s="285"/>
      <c r="J3190" s="293">
        <v>1</v>
      </c>
      <c r="K3190" s="293"/>
      <c r="L3190" s="293"/>
      <c r="M3190" s="293"/>
      <c r="N3190" s="293"/>
      <c r="P3190" s="42">
        <v>120</v>
      </c>
      <c r="R3190" s="42">
        <v>0</v>
      </c>
      <c r="T3190" s="284">
        <v>120</v>
      </c>
      <c r="U3190" s="284"/>
    </row>
    <row r="3191" spans="2:21" x14ac:dyDescent="0.25">
      <c r="F3191" s="285"/>
      <c r="G3191" s="285"/>
    </row>
    <row r="3192" spans="2:21" x14ac:dyDescent="0.25">
      <c r="B3192" s="292">
        <v>62</v>
      </c>
      <c r="C3192" s="292"/>
      <c r="D3192" s="292"/>
      <c r="F3192" s="283" t="s">
        <v>222</v>
      </c>
      <c r="G3192" s="283"/>
      <c r="J3192" s="293">
        <v>3</v>
      </c>
      <c r="K3192" s="293"/>
      <c r="L3192" s="293"/>
      <c r="M3192" s="293"/>
      <c r="N3192" s="293"/>
      <c r="P3192" s="42">
        <v>1500</v>
      </c>
      <c r="R3192" s="42">
        <v>450</v>
      </c>
      <c r="T3192" s="284">
        <v>1050</v>
      </c>
      <c r="U3192" s="284"/>
    </row>
    <row r="3193" spans="2:21" x14ac:dyDescent="0.25">
      <c r="B3193" s="292">
        <v>63</v>
      </c>
      <c r="C3193" s="292"/>
      <c r="D3193" s="292"/>
      <c r="F3193" s="283" t="s">
        <v>300</v>
      </c>
      <c r="G3193" s="283"/>
      <c r="J3193" s="293">
        <v>1</v>
      </c>
      <c r="K3193" s="293"/>
      <c r="L3193" s="293"/>
      <c r="M3193" s="293"/>
      <c r="N3193" s="293"/>
      <c r="P3193" s="42">
        <v>330</v>
      </c>
      <c r="R3193" s="42">
        <v>100</v>
      </c>
      <c r="T3193" s="284">
        <v>230</v>
      </c>
      <c r="U3193" s="284"/>
    </row>
    <row r="3194" spans="2:21" x14ac:dyDescent="0.25">
      <c r="B3194" s="292">
        <v>64</v>
      </c>
      <c r="C3194" s="292"/>
      <c r="D3194" s="292"/>
      <c r="F3194" s="283" t="s">
        <v>219</v>
      </c>
      <c r="G3194" s="283"/>
      <c r="J3194" s="293">
        <v>3</v>
      </c>
      <c r="K3194" s="293"/>
      <c r="L3194" s="293"/>
      <c r="M3194" s="293"/>
      <c r="N3194" s="293"/>
      <c r="P3194" s="42">
        <v>1500</v>
      </c>
      <c r="R3194" s="42">
        <v>450</v>
      </c>
      <c r="T3194" s="284">
        <v>1050</v>
      </c>
      <c r="U3194" s="284"/>
    </row>
    <row r="3195" spans="2:21" x14ac:dyDescent="0.25">
      <c r="B3195" s="292">
        <v>65</v>
      </c>
      <c r="C3195" s="292"/>
      <c r="D3195" s="292"/>
      <c r="F3195" s="283" t="s">
        <v>111</v>
      </c>
      <c r="G3195" s="283"/>
      <c r="J3195" s="293">
        <v>1</v>
      </c>
      <c r="K3195" s="293"/>
      <c r="L3195" s="293"/>
      <c r="M3195" s="293"/>
      <c r="N3195" s="293"/>
      <c r="P3195" s="42">
        <v>430</v>
      </c>
      <c r="R3195" s="42">
        <v>130</v>
      </c>
      <c r="T3195" s="284">
        <v>300</v>
      </c>
      <c r="U3195" s="284"/>
    </row>
    <row r="3196" spans="2:21" x14ac:dyDescent="0.25">
      <c r="B3196" s="292">
        <v>66</v>
      </c>
      <c r="C3196" s="292"/>
      <c r="D3196" s="292"/>
      <c r="F3196" s="283" t="s">
        <v>110</v>
      </c>
      <c r="G3196" s="283"/>
      <c r="J3196" s="293">
        <v>1</v>
      </c>
      <c r="K3196" s="293"/>
      <c r="L3196" s="293"/>
      <c r="M3196" s="293"/>
      <c r="N3196" s="293"/>
      <c r="P3196" s="42">
        <v>1080</v>
      </c>
      <c r="R3196" s="42">
        <v>160</v>
      </c>
      <c r="T3196" s="284">
        <v>920</v>
      </c>
      <c r="U3196" s="284"/>
    </row>
    <row r="3197" spans="2:21" x14ac:dyDescent="0.25">
      <c r="B3197" s="292">
        <v>67</v>
      </c>
      <c r="C3197" s="292"/>
      <c r="D3197" s="292"/>
      <c r="F3197" s="283" t="s">
        <v>109</v>
      </c>
      <c r="G3197" s="283"/>
      <c r="J3197" s="293">
        <v>4</v>
      </c>
      <c r="K3197" s="293"/>
      <c r="L3197" s="293"/>
      <c r="M3197" s="293"/>
      <c r="N3197" s="293"/>
      <c r="P3197" s="42">
        <v>3120</v>
      </c>
      <c r="R3197" s="42">
        <v>920</v>
      </c>
      <c r="T3197" s="284">
        <v>2200</v>
      </c>
      <c r="U3197" s="284"/>
    </row>
    <row r="3198" spans="2:21" x14ac:dyDescent="0.25">
      <c r="B3198" s="292">
        <v>68</v>
      </c>
      <c r="C3198" s="292"/>
      <c r="D3198" s="292"/>
      <c r="F3198" s="283" t="s">
        <v>108</v>
      </c>
      <c r="G3198" s="283"/>
      <c r="J3198" s="293">
        <v>193</v>
      </c>
      <c r="K3198" s="293"/>
      <c r="L3198" s="293"/>
      <c r="M3198" s="293"/>
      <c r="N3198" s="293"/>
      <c r="P3198" s="42">
        <v>19300</v>
      </c>
      <c r="R3198" s="42">
        <v>60</v>
      </c>
      <c r="T3198" s="284">
        <v>19240</v>
      </c>
      <c r="U3198" s="284"/>
    </row>
    <row r="3199" spans="2:21" x14ac:dyDescent="0.25">
      <c r="B3199" s="292">
        <v>69</v>
      </c>
      <c r="C3199" s="292"/>
      <c r="D3199" s="292"/>
      <c r="F3199" s="283" t="s">
        <v>107</v>
      </c>
      <c r="G3199" s="283"/>
      <c r="J3199" s="293">
        <v>24</v>
      </c>
      <c r="K3199" s="293"/>
      <c r="L3199" s="293"/>
      <c r="M3199" s="293"/>
      <c r="N3199" s="293"/>
      <c r="P3199" s="42">
        <v>4080</v>
      </c>
      <c r="R3199" s="42">
        <v>1288</v>
      </c>
      <c r="T3199" s="284">
        <v>2792</v>
      </c>
      <c r="U3199" s="284"/>
    </row>
    <row r="3200" spans="2:21" x14ac:dyDescent="0.25">
      <c r="B3200" s="292">
        <v>70</v>
      </c>
      <c r="C3200" s="292"/>
      <c r="D3200" s="292"/>
      <c r="F3200" s="283" t="s">
        <v>106</v>
      </c>
      <c r="G3200" s="283"/>
      <c r="J3200" s="293">
        <v>3</v>
      </c>
      <c r="K3200" s="293"/>
      <c r="L3200" s="293"/>
      <c r="M3200" s="293"/>
      <c r="N3200" s="293"/>
      <c r="P3200" s="42">
        <v>300</v>
      </c>
      <c r="R3200" s="42">
        <v>90</v>
      </c>
      <c r="T3200" s="284">
        <v>210</v>
      </c>
      <c r="U3200" s="284"/>
    </row>
    <row r="3201" spans="2:21" x14ac:dyDescent="0.25">
      <c r="B3201" s="292">
        <v>71</v>
      </c>
      <c r="C3201" s="292"/>
      <c r="D3201" s="292"/>
      <c r="F3201" s="283" t="s">
        <v>180</v>
      </c>
      <c r="G3201" s="283"/>
      <c r="J3201" s="293">
        <v>1</v>
      </c>
      <c r="K3201" s="293"/>
      <c r="L3201" s="293"/>
      <c r="M3201" s="293"/>
      <c r="N3201" s="293"/>
      <c r="P3201" s="42">
        <v>590</v>
      </c>
      <c r="R3201" s="42">
        <v>180</v>
      </c>
      <c r="T3201" s="284">
        <v>410</v>
      </c>
      <c r="U3201" s="284"/>
    </row>
    <row r="3202" spans="2:21" x14ac:dyDescent="0.25">
      <c r="B3202" s="292">
        <v>72</v>
      </c>
      <c r="C3202" s="292"/>
      <c r="D3202" s="292"/>
      <c r="F3202" s="283" t="s">
        <v>105</v>
      </c>
      <c r="G3202" s="283"/>
      <c r="J3202" s="293">
        <v>15</v>
      </c>
      <c r="K3202" s="293"/>
      <c r="L3202" s="293"/>
      <c r="M3202" s="293"/>
      <c r="N3202" s="293"/>
      <c r="P3202" s="42">
        <v>17250</v>
      </c>
      <c r="R3202" s="42">
        <v>0</v>
      </c>
      <c r="T3202" s="284">
        <v>17250</v>
      </c>
      <c r="U3202" s="284"/>
    </row>
    <row r="3203" spans="2:21" x14ac:dyDescent="0.25">
      <c r="B3203" s="292">
        <v>73</v>
      </c>
      <c r="C3203" s="292"/>
      <c r="D3203" s="292"/>
      <c r="F3203" s="283" t="s">
        <v>377</v>
      </c>
      <c r="G3203" s="283"/>
      <c r="J3203" s="293">
        <v>1</v>
      </c>
      <c r="K3203" s="293"/>
      <c r="L3203" s="293"/>
      <c r="M3203" s="293"/>
      <c r="N3203" s="293"/>
      <c r="P3203" s="42">
        <v>2020</v>
      </c>
      <c r="R3203" s="42">
        <v>0</v>
      </c>
      <c r="T3203" s="284">
        <v>2020</v>
      </c>
      <c r="U3203" s="284"/>
    </row>
    <row r="3204" spans="2:21" x14ac:dyDescent="0.25">
      <c r="B3204" s="292">
        <v>74</v>
      </c>
      <c r="C3204" s="292"/>
      <c r="D3204" s="292"/>
      <c r="F3204" s="283" t="s">
        <v>104</v>
      </c>
      <c r="G3204" s="283"/>
      <c r="J3204" s="293">
        <v>1</v>
      </c>
      <c r="K3204" s="293"/>
      <c r="L3204" s="293"/>
      <c r="M3204" s="293"/>
      <c r="N3204" s="293"/>
      <c r="P3204" s="42">
        <v>330</v>
      </c>
      <c r="R3204" s="42">
        <v>135</v>
      </c>
      <c r="T3204" s="284">
        <v>195</v>
      </c>
      <c r="U3204" s="284"/>
    </row>
    <row r="3205" spans="2:21" x14ac:dyDescent="0.25">
      <c r="B3205" s="292">
        <v>75</v>
      </c>
      <c r="C3205" s="292"/>
      <c r="D3205" s="292"/>
      <c r="F3205" s="283" t="s">
        <v>103</v>
      </c>
      <c r="G3205" s="283"/>
      <c r="J3205" s="293">
        <v>5</v>
      </c>
      <c r="K3205" s="293"/>
      <c r="L3205" s="293"/>
      <c r="M3205" s="293"/>
      <c r="N3205" s="293"/>
      <c r="P3205" s="42">
        <v>1650</v>
      </c>
      <c r="R3205" s="42">
        <v>700</v>
      </c>
      <c r="T3205" s="284">
        <v>950</v>
      </c>
      <c r="U3205" s="284"/>
    </row>
    <row r="3206" spans="2:21" x14ac:dyDescent="0.25">
      <c r="B3206" s="292">
        <v>76</v>
      </c>
      <c r="C3206" s="292"/>
      <c r="D3206" s="292"/>
      <c r="F3206" s="283" t="s">
        <v>213</v>
      </c>
      <c r="G3206" s="283"/>
      <c r="J3206" s="293">
        <v>1</v>
      </c>
      <c r="K3206" s="293"/>
      <c r="L3206" s="293"/>
      <c r="M3206" s="293"/>
      <c r="N3206" s="293"/>
      <c r="P3206" s="42">
        <v>700</v>
      </c>
      <c r="R3206" s="42">
        <v>350</v>
      </c>
      <c r="T3206" s="284">
        <v>350</v>
      </c>
      <c r="U3206" s="284"/>
    </row>
    <row r="3207" spans="2:21" x14ac:dyDescent="0.25">
      <c r="B3207" s="292">
        <v>77</v>
      </c>
      <c r="C3207" s="292"/>
      <c r="D3207" s="292"/>
      <c r="F3207" s="283" t="s">
        <v>212</v>
      </c>
      <c r="G3207" s="283"/>
      <c r="J3207" s="293">
        <v>1</v>
      </c>
      <c r="K3207" s="293"/>
      <c r="L3207" s="293"/>
      <c r="M3207" s="293"/>
      <c r="N3207" s="293"/>
      <c r="P3207" s="42">
        <v>500</v>
      </c>
      <c r="R3207" s="42">
        <v>150</v>
      </c>
      <c r="T3207" s="284">
        <v>350</v>
      </c>
      <c r="U3207" s="284"/>
    </row>
    <row r="3208" spans="2:21" x14ac:dyDescent="0.25">
      <c r="B3208" s="292">
        <v>78</v>
      </c>
      <c r="C3208" s="292"/>
      <c r="D3208" s="292"/>
      <c r="F3208" s="283" t="s">
        <v>211</v>
      </c>
      <c r="G3208" s="283"/>
      <c r="J3208" s="293">
        <v>6</v>
      </c>
      <c r="K3208" s="293"/>
      <c r="L3208" s="293"/>
      <c r="M3208" s="293"/>
      <c r="N3208" s="293"/>
      <c r="P3208" s="42">
        <v>3000</v>
      </c>
      <c r="R3208" s="42">
        <v>900</v>
      </c>
      <c r="T3208" s="284">
        <v>2100</v>
      </c>
      <c r="U3208" s="284"/>
    </row>
    <row r="3209" spans="2:21" x14ac:dyDescent="0.25">
      <c r="B3209" s="292">
        <v>79</v>
      </c>
      <c r="C3209" s="292"/>
      <c r="D3209" s="292"/>
      <c r="F3209" s="283" t="s">
        <v>276</v>
      </c>
      <c r="G3209" s="283"/>
      <c r="J3209" s="293">
        <v>3</v>
      </c>
      <c r="K3209" s="293"/>
      <c r="L3209" s="293"/>
      <c r="M3209" s="293"/>
      <c r="N3209" s="293"/>
      <c r="P3209" s="42">
        <v>1500</v>
      </c>
      <c r="R3209" s="42">
        <v>430</v>
      </c>
      <c r="T3209" s="284">
        <v>1070</v>
      </c>
      <c r="U3209" s="284"/>
    </row>
    <row r="3210" spans="2:21" x14ac:dyDescent="0.25">
      <c r="B3210" s="292">
        <v>80</v>
      </c>
      <c r="C3210" s="292"/>
      <c r="D3210" s="292"/>
      <c r="F3210" s="283" t="s">
        <v>275</v>
      </c>
      <c r="G3210" s="283"/>
      <c r="J3210" s="293">
        <v>1</v>
      </c>
      <c r="K3210" s="293"/>
      <c r="L3210" s="293"/>
      <c r="M3210" s="293"/>
      <c r="N3210" s="293"/>
      <c r="P3210" s="42">
        <v>700</v>
      </c>
      <c r="R3210" s="42">
        <v>350</v>
      </c>
      <c r="T3210" s="284">
        <v>350</v>
      </c>
      <c r="U3210" s="284"/>
    </row>
    <row r="3211" spans="2:21" x14ac:dyDescent="0.25">
      <c r="B3211" s="292">
        <v>81</v>
      </c>
      <c r="C3211" s="292"/>
      <c r="D3211" s="292"/>
      <c r="F3211" s="283" t="s">
        <v>307</v>
      </c>
      <c r="G3211" s="283"/>
      <c r="J3211" s="293">
        <v>3</v>
      </c>
      <c r="K3211" s="293"/>
      <c r="L3211" s="293"/>
      <c r="M3211" s="293"/>
      <c r="N3211" s="293"/>
      <c r="P3211" s="42">
        <v>2300</v>
      </c>
      <c r="R3211" s="42">
        <v>970</v>
      </c>
      <c r="T3211" s="284">
        <v>1330</v>
      </c>
      <c r="U3211" s="284"/>
    </row>
    <row r="3212" spans="2:21" x14ac:dyDescent="0.25">
      <c r="B3212" s="292">
        <v>82</v>
      </c>
      <c r="C3212" s="292"/>
      <c r="D3212" s="292"/>
      <c r="F3212" s="283" t="s">
        <v>97</v>
      </c>
      <c r="G3212" s="283"/>
      <c r="J3212" s="293">
        <v>3</v>
      </c>
      <c r="K3212" s="293"/>
      <c r="L3212" s="293"/>
      <c r="M3212" s="293"/>
      <c r="N3212" s="293"/>
      <c r="P3212" s="42">
        <v>4770</v>
      </c>
      <c r="R3212" s="42">
        <v>720</v>
      </c>
      <c r="T3212" s="284">
        <v>4050</v>
      </c>
      <c r="U3212" s="284"/>
    </row>
    <row r="3213" spans="2:21" x14ac:dyDescent="0.25">
      <c r="B3213" s="292">
        <v>83</v>
      </c>
      <c r="C3213" s="292"/>
      <c r="D3213" s="292"/>
      <c r="F3213" s="283" t="s">
        <v>93</v>
      </c>
      <c r="G3213" s="283"/>
      <c r="J3213" s="293">
        <v>3</v>
      </c>
      <c r="K3213" s="293"/>
      <c r="L3213" s="293"/>
      <c r="M3213" s="293"/>
      <c r="N3213" s="293"/>
      <c r="P3213" s="42">
        <v>1770</v>
      </c>
      <c r="R3213" s="42">
        <v>270</v>
      </c>
      <c r="T3213" s="284">
        <v>1500</v>
      </c>
      <c r="U3213" s="284"/>
    </row>
    <row r="3214" spans="2:21" x14ac:dyDescent="0.25">
      <c r="B3214" s="292">
        <v>84</v>
      </c>
      <c r="C3214" s="292"/>
      <c r="D3214" s="292"/>
      <c r="F3214" s="283" t="s">
        <v>92</v>
      </c>
      <c r="G3214" s="283"/>
      <c r="J3214" s="293">
        <v>50</v>
      </c>
      <c r="K3214" s="293"/>
      <c r="L3214" s="293"/>
      <c r="M3214" s="293"/>
      <c r="N3214" s="293"/>
      <c r="P3214" s="42">
        <v>32920</v>
      </c>
      <c r="R3214" s="42">
        <v>9800</v>
      </c>
      <c r="T3214" s="284">
        <v>23120</v>
      </c>
      <c r="U3214" s="284"/>
    </row>
    <row r="3215" spans="2:21" x14ac:dyDescent="0.25">
      <c r="B3215" s="292">
        <v>85</v>
      </c>
      <c r="C3215" s="292"/>
      <c r="D3215" s="292"/>
      <c r="F3215" s="283" t="s">
        <v>306</v>
      </c>
      <c r="G3215" s="283"/>
      <c r="J3215" s="293">
        <v>6</v>
      </c>
      <c r="K3215" s="293"/>
      <c r="L3215" s="293"/>
      <c r="M3215" s="293"/>
      <c r="N3215" s="293"/>
      <c r="P3215" s="42">
        <v>6480</v>
      </c>
      <c r="R3215" s="42">
        <v>1920</v>
      </c>
      <c r="T3215" s="284">
        <v>4560</v>
      </c>
      <c r="U3215" s="284"/>
    </row>
    <row r="3216" spans="2:21" x14ac:dyDescent="0.25">
      <c r="B3216" s="292">
        <v>86</v>
      </c>
      <c r="C3216" s="292"/>
      <c r="D3216" s="292"/>
      <c r="F3216" s="283" t="s">
        <v>91</v>
      </c>
      <c r="G3216" s="283"/>
      <c r="J3216" s="293">
        <v>541</v>
      </c>
      <c r="K3216" s="293"/>
      <c r="L3216" s="293"/>
      <c r="M3216" s="293"/>
      <c r="N3216" s="293"/>
      <c r="P3216" s="42">
        <v>135250</v>
      </c>
      <c r="R3216" s="42">
        <v>68167</v>
      </c>
      <c r="T3216" s="284">
        <v>67083</v>
      </c>
      <c r="U3216" s="284"/>
    </row>
    <row r="3217" spans="1:21" x14ac:dyDescent="0.25">
      <c r="B3217" s="292">
        <v>87</v>
      </c>
      <c r="C3217" s="292"/>
      <c r="D3217" s="292"/>
      <c r="F3217" s="283" t="s">
        <v>90</v>
      </c>
      <c r="G3217" s="283"/>
      <c r="J3217" s="293">
        <v>51</v>
      </c>
      <c r="K3217" s="293"/>
      <c r="L3217" s="293"/>
      <c r="M3217" s="293"/>
      <c r="N3217" s="293"/>
      <c r="P3217" s="42">
        <v>14790</v>
      </c>
      <c r="R3217" s="42">
        <v>4080</v>
      </c>
      <c r="T3217" s="284">
        <v>10710</v>
      </c>
      <c r="U3217" s="284"/>
    </row>
    <row r="3218" spans="1:21" x14ac:dyDescent="0.25">
      <c r="B3218" s="292">
        <v>88</v>
      </c>
      <c r="C3218" s="292"/>
      <c r="D3218" s="292"/>
      <c r="F3218" s="283" t="s">
        <v>88</v>
      </c>
      <c r="G3218" s="283"/>
      <c r="J3218" s="293">
        <v>9</v>
      </c>
      <c r="K3218" s="293"/>
      <c r="L3218" s="293"/>
      <c r="M3218" s="293"/>
      <c r="N3218" s="293"/>
      <c r="P3218" s="42">
        <v>1620</v>
      </c>
      <c r="R3218" s="42">
        <v>576</v>
      </c>
      <c r="T3218" s="284">
        <v>1044</v>
      </c>
      <c r="U3218" s="284"/>
    </row>
    <row r="3219" spans="1:21" x14ac:dyDescent="0.25">
      <c r="B3219" s="292">
        <v>89</v>
      </c>
      <c r="C3219" s="292"/>
      <c r="D3219" s="292"/>
      <c r="F3219" s="283" t="s">
        <v>85</v>
      </c>
      <c r="G3219" s="283"/>
      <c r="J3219" s="293">
        <v>1</v>
      </c>
      <c r="K3219" s="293"/>
      <c r="L3219" s="293"/>
      <c r="M3219" s="293"/>
      <c r="N3219" s="293"/>
      <c r="P3219" s="42">
        <v>2080</v>
      </c>
      <c r="R3219" s="42">
        <v>310</v>
      </c>
      <c r="T3219" s="284">
        <v>1770</v>
      </c>
      <c r="U3219" s="284"/>
    </row>
    <row r="3220" spans="1:21" x14ac:dyDescent="0.25">
      <c r="B3220" s="292">
        <v>90</v>
      </c>
      <c r="C3220" s="292"/>
      <c r="D3220" s="292"/>
      <c r="F3220" s="283" t="s">
        <v>84</v>
      </c>
      <c r="G3220" s="283"/>
      <c r="J3220" s="293">
        <v>10</v>
      </c>
      <c r="K3220" s="293"/>
      <c r="L3220" s="293"/>
      <c r="M3220" s="293"/>
      <c r="N3220" s="293"/>
      <c r="P3220" s="42">
        <v>5900</v>
      </c>
      <c r="R3220" s="42">
        <v>1800</v>
      </c>
      <c r="T3220" s="284">
        <v>4100</v>
      </c>
      <c r="U3220" s="284"/>
    </row>
    <row r="3221" spans="1:21" x14ac:dyDescent="0.25">
      <c r="B3221" s="292">
        <v>91</v>
      </c>
      <c r="C3221" s="292"/>
      <c r="D3221" s="292"/>
      <c r="F3221" s="283" t="s">
        <v>331</v>
      </c>
      <c r="G3221" s="283"/>
      <c r="J3221" s="293">
        <v>1</v>
      </c>
      <c r="K3221" s="293"/>
      <c r="L3221" s="293"/>
      <c r="M3221" s="293"/>
      <c r="N3221" s="293"/>
      <c r="P3221" s="42">
        <v>500</v>
      </c>
      <c r="R3221" s="42">
        <v>150</v>
      </c>
      <c r="T3221" s="284">
        <v>350</v>
      </c>
      <c r="U3221" s="284"/>
    </row>
    <row r="3222" spans="1:21" x14ac:dyDescent="0.25">
      <c r="B3222" s="292">
        <v>92</v>
      </c>
      <c r="C3222" s="292"/>
      <c r="D3222" s="292"/>
      <c r="F3222" s="283" t="s">
        <v>273</v>
      </c>
      <c r="G3222" s="283"/>
      <c r="J3222" s="293">
        <v>1</v>
      </c>
      <c r="K3222" s="293"/>
      <c r="L3222" s="293"/>
      <c r="M3222" s="293"/>
      <c r="N3222" s="293"/>
      <c r="P3222" s="42">
        <v>500</v>
      </c>
      <c r="R3222" s="42">
        <v>150</v>
      </c>
      <c r="T3222" s="284">
        <v>350</v>
      </c>
      <c r="U3222" s="284"/>
    </row>
    <row r="3223" spans="1:21" x14ac:dyDescent="0.25">
      <c r="B3223" s="292">
        <v>93</v>
      </c>
      <c r="C3223" s="292"/>
      <c r="D3223" s="292"/>
      <c r="F3223" s="283" t="s">
        <v>206</v>
      </c>
      <c r="G3223" s="283"/>
      <c r="J3223" s="293">
        <v>2</v>
      </c>
      <c r="K3223" s="293"/>
      <c r="L3223" s="293"/>
      <c r="M3223" s="293"/>
      <c r="N3223" s="293"/>
      <c r="P3223" s="42">
        <v>1000</v>
      </c>
      <c r="R3223" s="42">
        <v>300</v>
      </c>
      <c r="T3223" s="284">
        <v>700</v>
      </c>
      <c r="U3223" s="284"/>
    </row>
    <row r="3224" spans="1:21" x14ac:dyDescent="0.25">
      <c r="B3224" s="292">
        <v>94</v>
      </c>
      <c r="C3224" s="292"/>
      <c r="D3224" s="292"/>
      <c r="F3224" s="283" t="s">
        <v>205</v>
      </c>
      <c r="G3224" s="283"/>
      <c r="J3224" s="293">
        <v>1</v>
      </c>
      <c r="K3224" s="293"/>
      <c r="L3224" s="293"/>
      <c r="M3224" s="293"/>
      <c r="N3224" s="293"/>
      <c r="P3224" s="42">
        <v>500</v>
      </c>
      <c r="R3224" s="42">
        <v>150</v>
      </c>
      <c r="T3224" s="284">
        <v>350</v>
      </c>
      <c r="U3224" s="284"/>
    </row>
    <row r="3225" spans="1:21" x14ac:dyDescent="0.25">
      <c r="B3225" s="292">
        <v>95</v>
      </c>
      <c r="C3225" s="292"/>
      <c r="D3225" s="292"/>
      <c r="F3225" s="283" t="s">
        <v>204</v>
      </c>
      <c r="G3225" s="283"/>
      <c r="J3225" s="293">
        <v>3</v>
      </c>
      <c r="K3225" s="293"/>
      <c r="L3225" s="293"/>
      <c r="M3225" s="293"/>
      <c r="N3225" s="293"/>
      <c r="P3225" s="42">
        <v>1500</v>
      </c>
      <c r="R3225" s="42">
        <v>450</v>
      </c>
      <c r="T3225" s="284">
        <v>1050</v>
      </c>
      <c r="U3225" s="284"/>
    </row>
    <row r="3226" spans="1:21" x14ac:dyDescent="0.25">
      <c r="B3226" s="292">
        <v>96</v>
      </c>
      <c r="C3226" s="292"/>
      <c r="D3226" s="292"/>
      <c r="F3226" s="283" t="s">
        <v>271</v>
      </c>
      <c r="G3226" s="283"/>
      <c r="J3226" s="293">
        <v>2</v>
      </c>
      <c r="K3226" s="293"/>
      <c r="L3226" s="293"/>
      <c r="M3226" s="293"/>
      <c r="N3226" s="293"/>
      <c r="P3226" s="42">
        <v>1000</v>
      </c>
      <c r="R3226" s="42">
        <v>300</v>
      </c>
      <c r="T3226" s="284">
        <v>700</v>
      </c>
      <c r="U3226" s="284"/>
    </row>
    <row r="3227" spans="1:21" x14ac:dyDescent="0.25">
      <c r="B3227" s="292">
        <v>97</v>
      </c>
      <c r="C3227" s="292"/>
      <c r="D3227" s="292"/>
      <c r="F3227" s="283" t="s">
        <v>363</v>
      </c>
      <c r="G3227" s="283"/>
      <c r="J3227" s="293">
        <v>1</v>
      </c>
      <c r="K3227" s="293"/>
      <c r="L3227" s="293"/>
      <c r="M3227" s="293"/>
      <c r="N3227" s="293"/>
      <c r="P3227" s="42">
        <v>500</v>
      </c>
      <c r="R3227" s="42">
        <v>150</v>
      </c>
      <c r="T3227" s="284">
        <v>350</v>
      </c>
      <c r="U3227" s="284"/>
    </row>
    <row r="3228" spans="1:21" s="40" customFormat="1" x14ac:dyDescent="0.25">
      <c r="A3228" s="290" t="s">
        <v>376</v>
      </c>
      <c r="B3228" s="290"/>
      <c r="C3228" s="290"/>
      <c r="D3228" s="290"/>
      <c r="E3228" s="290"/>
      <c r="F3228" s="290"/>
      <c r="G3228" s="290"/>
      <c r="H3228" s="290"/>
      <c r="I3228" s="290"/>
      <c r="J3228" s="290"/>
      <c r="K3228" s="291">
        <v>2009</v>
      </c>
      <c r="L3228" s="291"/>
      <c r="M3228" s="291"/>
      <c r="N3228" s="291"/>
      <c r="O3228" s="291"/>
      <c r="P3228" s="41">
        <v>2005080</v>
      </c>
      <c r="R3228" s="41">
        <v>1720813</v>
      </c>
      <c r="T3228" s="287">
        <v>284267</v>
      </c>
      <c r="U3228" s="287"/>
    </row>
    <row r="3229" spans="1:21" x14ac:dyDescent="0.25">
      <c r="B3229" s="292">
        <v>1</v>
      </c>
      <c r="C3229" s="292"/>
      <c r="D3229" s="292"/>
      <c r="F3229" s="283" t="s">
        <v>78</v>
      </c>
      <c r="G3229" s="283"/>
      <c r="J3229" s="293">
        <v>102</v>
      </c>
      <c r="K3229" s="293"/>
      <c r="L3229" s="293"/>
      <c r="M3229" s="293"/>
      <c r="N3229" s="293"/>
      <c r="P3229" s="42">
        <v>29580</v>
      </c>
      <c r="R3229" s="42">
        <v>29580</v>
      </c>
      <c r="T3229" s="284">
        <v>0</v>
      </c>
      <c r="U3229" s="284"/>
    </row>
    <row r="3230" spans="1:21" x14ac:dyDescent="0.25">
      <c r="B3230" s="292">
        <v>2</v>
      </c>
      <c r="C3230" s="292"/>
      <c r="D3230" s="292"/>
      <c r="F3230" s="283" t="s">
        <v>268</v>
      </c>
      <c r="G3230" s="283"/>
      <c r="J3230" s="293">
        <v>1</v>
      </c>
      <c r="K3230" s="293"/>
      <c r="L3230" s="293"/>
      <c r="M3230" s="293"/>
      <c r="N3230" s="293"/>
      <c r="P3230" s="42">
        <v>250</v>
      </c>
      <c r="R3230" s="42">
        <v>70</v>
      </c>
      <c r="T3230" s="284">
        <v>180</v>
      </c>
      <c r="U3230" s="284"/>
    </row>
    <row r="3231" spans="1:21" x14ac:dyDescent="0.25">
      <c r="B3231" s="292">
        <v>3</v>
      </c>
      <c r="C3231" s="292"/>
      <c r="D3231" s="292"/>
      <c r="F3231" s="283" t="s">
        <v>162</v>
      </c>
      <c r="G3231" s="283"/>
      <c r="J3231" s="293">
        <v>5</v>
      </c>
      <c r="K3231" s="293"/>
      <c r="L3231" s="293"/>
      <c r="M3231" s="293"/>
      <c r="N3231" s="293"/>
      <c r="P3231" s="42">
        <v>2150</v>
      </c>
      <c r="R3231" s="42">
        <v>1010</v>
      </c>
      <c r="T3231" s="284">
        <v>1140</v>
      </c>
      <c r="U3231" s="284"/>
    </row>
    <row r="3232" spans="1:21" x14ac:dyDescent="0.25">
      <c r="B3232" s="292">
        <v>4</v>
      </c>
      <c r="C3232" s="292"/>
      <c r="D3232" s="292"/>
      <c r="F3232" s="283" t="s">
        <v>160</v>
      </c>
      <c r="G3232" s="283"/>
      <c r="J3232" s="293">
        <v>6</v>
      </c>
      <c r="K3232" s="293"/>
      <c r="L3232" s="293"/>
      <c r="M3232" s="293"/>
      <c r="N3232" s="293"/>
      <c r="P3232" s="42">
        <v>1740</v>
      </c>
      <c r="R3232" s="42">
        <v>480</v>
      </c>
      <c r="T3232" s="284">
        <v>1260</v>
      </c>
      <c r="U3232" s="284"/>
    </row>
    <row r="3233" spans="2:21" x14ac:dyDescent="0.25">
      <c r="B3233" s="292">
        <v>5</v>
      </c>
      <c r="C3233" s="292"/>
      <c r="D3233" s="292"/>
      <c r="F3233" s="283" t="s">
        <v>158</v>
      </c>
      <c r="G3233" s="283"/>
      <c r="J3233" s="293">
        <v>186</v>
      </c>
      <c r="K3233" s="293"/>
      <c r="L3233" s="293"/>
      <c r="M3233" s="293"/>
      <c r="N3233" s="293"/>
      <c r="P3233" s="42">
        <v>102300</v>
      </c>
      <c r="R3233" s="42">
        <v>22380</v>
      </c>
      <c r="T3233" s="284">
        <v>79920</v>
      </c>
      <c r="U3233" s="284"/>
    </row>
    <row r="3234" spans="2:21" x14ac:dyDescent="0.25">
      <c r="B3234" s="292">
        <v>6</v>
      </c>
      <c r="C3234" s="292"/>
      <c r="D3234" s="292"/>
      <c r="F3234" s="283" t="s">
        <v>157</v>
      </c>
      <c r="G3234" s="283"/>
      <c r="J3234" s="293">
        <v>158</v>
      </c>
      <c r="K3234" s="293"/>
      <c r="L3234" s="293"/>
      <c r="M3234" s="293"/>
      <c r="N3234" s="293"/>
      <c r="P3234" s="42">
        <v>77420</v>
      </c>
      <c r="R3234" s="42">
        <v>31085</v>
      </c>
      <c r="T3234" s="284">
        <v>46335</v>
      </c>
      <c r="U3234" s="284"/>
    </row>
    <row r="3235" spans="2:21" x14ac:dyDescent="0.25">
      <c r="B3235" s="292">
        <v>7</v>
      </c>
      <c r="C3235" s="292"/>
      <c r="D3235" s="292"/>
      <c r="F3235" s="283" t="s">
        <v>77</v>
      </c>
      <c r="G3235" s="283"/>
      <c r="J3235" s="293">
        <v>574</v>
      </c>
      <c r="K3235" s="293"/>
      <c r="L3235" s="293"/>
      <c r="M3235" s="293"/>
      <c r="N3235" s="293"/>
      <c r="P3235" s="42">
        <v>229600</v>
      </c>
      <c r="R3235" s="42">
        <v>229600</v>
      </c>
      <c r="T3235" s="284">
        <v>0</v>
      </c>
      <c r="U3235" s="284"/>
    </row>
    <row r="3236" spans="2:21" x14ac:dyDescent="0.25">
      <c r="B3236" s="292">
        <v>8</v>
      </c>
      <c r="C3236" s="292"/>
      <c r="D3236" s="292"/>
      <c r="F3236" s="283" t="s">
        <v>156</v>
      </c>
      <c r="G3236" s="283"/>
      <c r="J3236" s="293">
        <v>2</v>
      </c>
      <c r="K3236" s="293"/>
      <c r="L3236" s="293"/>
      <c r="M3236" s="293"/>
      <c r="N3236" s="293"/>
      <c r="P3236" s="42">
        <v>380</v>
      </c>
      <c r="R3236" s="42">
        <v>140</v>
      </c>
      <c r="T3236" s="284">
        <v>240</v>
      </c>
      <c r="U3236" s="284"/>
    </row>
    <row r="3237" spans="2:21" x14ac:dyDescent="0.25">
      <c r="B3237" s="292">
        <v>9</v>
      </c>
      <c r="C3237" s="292"/>
      <c r="D3237" s="292"/>
      <c r="F3237" s="283" t="s">
        <v>155</v>
      </c>
      <c r="G3237" s="283"/>
      <c r="J3237" s="293">
        <v>24</v>
      </c>
      <c r="K3237" s="293"/>
      <c r="L3237" s="293"/>
      <c r="M3237" s="293"/>
      <c r="N3237" s="293"/>
      <c r="P3237" s="42">
        <v>6000</v>
      </c>
      <c r="R3237" s="42">
        <v>1990</v>
      </c>
      <c r="T3237" s="284">
        <v>4010</v>
      </c>
      <c r="U3237" s="284"/>
    </row>
    <row r="3238" spans="2:21" x14ac:dyDescent="0.25">
      <c r="B3238" s="292">
        <v>10</v>
      </c>
      <c r="C3238" s="292"/>
      <c r="D3238" s="292"/>
      <c r="F3238" s="283" t="s">
        <v>152</v>
      </c>
      <c r="G3238" s="283"/>
      <c r="J3238" s="293">
        <v>10</v>
      </c>
      <c r="K3238" s="293"/>
      <c r="L3238" s="293"/>
      <c r="M3238" s="293"/>
      <c r="N3238" s="293"/>
      <c r="P3238" s="42">
        <v>5900</v>
      </c>
      <c r="R3238" s="42">
        <v>1440</v>
      </c>
      <c r="T3238" s="284">
        <v>4460</v>
      </c>
      <c r="U3238" s="284"/>
    </row>
    <row r="3239" spans="2:21" x14ac:dyDescent="0.25">
      <c r="B3239" s="292">
        <v>11</v>
      </c>
      <c r="C3239" s="292"/>
      <c r="D3239" s="292"/>
      <c r="F3239" s="283" t="s">
        <v>150</v>
      </c>
      <c r="G3239" s="283"/>
      <c r="J3239" s="293">
        <v>19</v>
      </c>
      <c r="K3239" s="293"/>
      <c r="L3239" s="293"/>
      <c r="M3239" s="293"/>
      <c r="N3239" s="293"/>
      <c r="P3239" s="42">
        <v>3230</v>
      </c>
      <c r="R3239" s="42">
        <v>550</v>
      </c>
      <c r="T3239" s="284">
        <v>2680</v>
      </c>
      <c r="U3239" s="284"/>
    </row>
    <row r="3240" spans="2:21" x14ac:dyDescent="0.25">
      <c r="B3240" s="292">
        <v>12</v>
      </c>
      <c r="C3240" s="292"/>
      <c r="D3240" s="292"/>
      <c r="F3240" s="283" t="s">
        <v>149</v>
      </c>
      <c r="G3240" s="283"/>
      <c r="J3240" s="293">
        <v>1</v>
      </c>
      <c r="K3240" s="293"/>
      <c r="L3240" s="293"/>
      <c r="M3240" s="293"/>
      <c r="N3240" s="293"/>
      <c r="P3240" s="42">
        <v>50</v>
      </c>
      <c r="R3240" s="42">
        <v>50</v>
      </c>
      <c r="T3240" s="284">
        <v>0</v>
      </c>
      <c r="U3240" s="284"/>
    </row>
    <row r="3241" spans="2:21" x14ac:dyDescent="0.25">
      <c r="B3241" s="292">
        <v>13</v>
      </c>
      <c r="C3241" s="292"/>
      <c r="D3241" s="292"/>
      <c r="F3241" s="283" t="s">
        <v>233</v>
      </c>
      <c r="G3241" s="283"/>
      <c r="J3241" s="293">
        <v>1</v>
      </c>
      <c r="K3241" s="293"/>
      <c r="L3241" s="293"/>
      <c r="M3241" s="293"/>
      <c r="N3241" s="293"/>
      <c r="P3241" s="42">
        <v>980</v>
      </c>
      <c r="R3241" s="42">
        <v>150</v>
      </c>
      <c r="T3241" s="284">
        <v>830</v>
      </c>
      <c r="U3241" s="284"/>
    </row>
    <row r="3242" spans="2:21" x14ac:dyDescent="0.25">
      <c r="B3242" s="292">
        <v>14</v>
      </c>
      <c r="C3242" s="292"/>
      <c r="D3242" s="292"/>
      <c r="F3242" s="283" t="s">
        <v>232</v>
      </c>
      <c r="G3242" s="283"/>
      <c r="J3242" s="293">
        <v>1</v>
      </c>
      <c r="K3242" s="293"/>
      <c r="L3242" s="293"/>
      <c r="M3242" s="293"/>
      <c r="N3242" s="293"/>
      <c r="P3242" s="42">
        <v>980</v>
      </c>
      <c r="R3242" s="42">
        <v>150</v>
      </c>
      <c r="T3242" s="284">
        <v>830</v>
      </c>
      <c r="U3242" s="284"/>
    </row>
    <row r="3243" spans="2:21" x14ac:dyDescent="0.25">
      <c r="B3243" s="292">
        <v>15</v>
      </c>
      <c r="C3243" s="292"/>
      <c r="D3243" s="292"/>
      <c r="F3243" s="283" t="s">
        <v>193</v>
      </c>
      <c r="G3243" s="283"/>
      <c r="J3243" s="293">
        <v>1</v>
      </c>
      <c r="K3243" s="293"/>
      <c r="L3243" s="293"/>
      <c r="M3243" s="293"/>
      <c r="N3243" s="293"/>
      <c r="P3243" s="42">
        <v>890</v>
      </c>
      <c r="R3243" s="42">
        <v>130</v>
      </c>
      <c r="T3243" s="284">
        <v>760</v>
      </c>
      <c r="U3243" s="284"/>
    </row>
    <row r="3244" spans="2:21" x14ac:dyDescent="0.25">
      <c r="B3244" s="292">
        <v>16</v>
      </c>
      <c r="C3244" s="292"/>
      <c r="D3244" s="292"/>
      <c r="F3244" s="283" t="s">
        <v>75</v>
      </c>
      <c r="G3244" s="283"/>
      <c r="J3244" s="293">
        <v>527</v>
      </c>
      <c r="K3244" s="293"/>
      <c r="L3244" s="293"/>
      <c r="M3244" s="293"/>
      <c r="N3244" s="293"/>
      <c r="P3244" s="42">
        <v>1317500</v>
      </c>
      <c r="R3244" s="42">
        <v>1317500</v>
      </c>
      <c r="T3244" s="284">
        <v>0</v>
      </c>
      <c r="U3244" s="284"/>
    </row>
    <row r="3245" spans="2:21" x14ac:dyDescent="0.25">
      <c r="B3245" s="292">
        <v>17</v>
      </c>
      <c r="C3245" s="292"/>
      <c r="D3245" s="292"/>
      <c r="F3245" s="283" t="s">
        <v>136</v>
      </c>
      <c r="G3245" s="283"/>
      <c r="J3245" s="293">
        <v>10</v>
      </c>
      <c r="K3245" s="293"/>
      <c r="L3245" s="293"/>
      <c r="M3245" s="293"/>
      <c r="N3245" s="293"/>
      <c r="P3245" s="42">
        <v>8500</v>
      </c>
      <c r="R3245" s="42">
        <v>1690</v>
      </c>
      <c r="T3245" s="284">
        <v>6810</v>
      </c>
      <c r="U3245" s="284"/>
    </row>
    <row r="3246" spans="2:21" x14ac:dyDescent="0.25">
      <c r="B3246" s="292">
        <v>18</v>
      </c>
      <c r="C3246" s="292"/>
      <c r="D3246" s="292"/>
      <c r="F3246" s="283" t="s">
        <v>74</v>
      </c>
      <c r="G3246" s="283"/>
      <c r="J3246" s="293">
        <v>44</v>
      </c>
      <c r="K3246" s="293"/>
      <c r="L3246" s="293"/>
      <c r="M3246" s="293"/>
      <c r="N3246" s="293"/>
      <c r="P3246" s="42">
        <v>37400</v>
      </c>
      <c r="R3246" s="42">
        <v>37400</v>
      </c>
      <c r="T3246" s="284">
        <v>0</v>
      </c>
      <c r="U3246" s="284"/>
    </row>
    <row r="3247" spans="2:21" x14ac:dyDescent="0.25">
      <c r="B3247" s="292">
        <v>19</v>
      </c>
      <c r="C3247" s="292"/>
      <c r="D3247" s="292"/>
      <c r="F3247" s="283" t="s">
        <v>190</v>
      </c>
      <c r="G3247" s="283"/>
      <c r="J3247" s="293">
        <v>3</v>
      </c>
      <c r="K3247" s="293"/>
      <c r="L3247" s="293"/>
      <c r="M3247" s="293"/>
      <c r="N3247" s="293"/>
      <c r="P3247" s="42">
        <v>4710</v>
      </c>
      <c r="R3247" s="42">
        <v>720</v>
      </c>
      <c r="T3247" s="284">
        <v>3990</v>
      </c>
      <c r="U3247" s="284"/>
    </row>
    <row r="3248" spans="2:21" x14ac:dyDescent="0.25">
      <c r="B3248" s="292">
        <v>20</v>
      </c>
      <c r="C3248" s="292"/>
      <c r="D3248" s="292"/>
      <c r="F3248" s="283" t="s">
        <v>230</v>
      </c>
      <c r="G3248" s="283"/>
      <c r="J3248" s="293">
        <v>4</v>
      </c>
      <c r="K3248" s="293"/>
      <c r="L3248" s="293"/>
      <c r="M3248" s="293"/>
      <c r="N3248" s="293"/>
      <c r="P3248" s="42">
        <v>3800</v>
      </c>
      <c r="R3248" s="42">
        <v>560</v>
      </c>
      <c r="T3248" s="284">
        <v>3240</v>
      </c>
      <c r="U3248" s="284"/>
    </row>
    <row r="3249" spans="2:21" x14ac:dyDescent="0.25">
      <c r="B3249" s="292">
        <v>21</v>
      </c>
      <c r="C3249" s="292"/>
      <c r="D3249" s="292"/>
      <c r="F3249" s="283" t="s">
        <v>135</v>
      </c>
      <c r="G3249" s="283"/>
      <c r="J3249" s="293">
        <v>3</v>
      </c>
      <c r="K3249" s="293"/>
      <c r="L3249" s="293"/>
      <c r="M3249" s="293"/>
      <c r="N3249" s="293"/>
      <c r="P3249" s="42">
        <v>2850</v>
      </c>
      <c r="R3249" s="42">
        <v>840</v>
      </c>
      <c r="T3249" s="284">
        <v>2010</v>
      </c>
      <c r="U3249" s="284"/>
    </row>
    <row r="3250" spans="2:21" x14ac:dyDescent="0.25">
      <c r="B3250" s="292">
        <v>22</v>
      </c>
      <c r="C3250" s="292"/>
      <c r="D3250" s="292"/>
      <c r="F3250" s="283" t="s">
        <v>133</v>
      </c>
      <c r="G3250" s="283"/>
      <c r="J3250" s="293">
        <v>1</v>
      </c>
      <c r="K3250" s="293"/>
      <c r="L3250" s="293"/>
      <c r="M3250" s="293"/>
      <c r="N3250" s="293"/>
      <c r="P3250" s="42">
        <v>1090</v>
      </c>
      <c r="R3250" s="42">
        <v>0</v>
      </c>
      <c r="T3250" s="284">
        <v>1090</v>
      </c>
      <c r="U3250" s="284"/>
    </row>
    <row r="3251" spans="2:21" x14ac:dyDescent="0.25">
      <c r="B3251" s="292">
        <v>23</v>
      </c>
      <c r="C3251" s="292"/>
      <c r="D3251" s="292"/>
      <c r="F3251" s="283" t="s">
        <v>132</v>
      </c>
      <c r="G3251" s="283"/>
      <c r="J3251" s="293">
        <v>7</v>
      </c>
      <c r="K3251" s="293"/>
      <c r="L3251" s="293"/>
      <c r="M3251" s="293"/>
      <c r="N3251" s="293"/>
      <c r="P3251" s="42">
        <v>8680</v>
      </c>
      <c r="R3251" s="42">
        <v>2590</v>
      </c>
      <c r="T3251" s="284">
        <v>6090</v>
      </c>
      <c r="U3251" s="284"/>
    </row>
    <row r="3252" spans="2:21" x14ac:dyDescent="0.25">
      <c r="B3252" s="292">
        <v>24</v>
      </c>
      <c r="C3252" s="292"/>
      <c r="D3252" s="292"/>
      <c r="F3252" s="283" t="s">
        <v>127</v>
      </c>
      <c r="G3252" s="283"/>
      <c r="J3252" s="293">
        <v>10</v>
      </c>
      <c r="K3252" s="293"/>
      <c r="L3252" s="293"/>
      <c r="M3252" s="293"/>
      <c r="N3252" s="293"/>
      <c r="P3252" s="42">
        <v>3000</v>
      </c>
      <c r="R3252" s="42">
        <v>720</v>
      </c>
      <c r="T3252" s="284">
        <v>2280</v>
      </c>
      <c r="U3252" s="284"/>
    </row>
    <row r="3253" spans="2:21" x14ac:dyDescent="0.25">
      <c r="B3253" s="292">
        <v>25</v>
      </c>
      <c r="C3253" s="292"/>
      <c r="D3253" s="292"/>
      <c r="F3253" s="283" t="s">
        <v>126</v>
      </c>
      <c r="G3253" s="283"/>
      <c r="J3253" s="293">
        <v>10</v>
      </c>
      <c r="K3253" s="293"/>
      <c r="L3253" s="293"/>
      <c r="M3253" s="293"/>
      <c r="N3253" s="293"/>
      <c r="P3253" s="42">
        <v>2000</v>
      </c>
      <c r="R3253" s="42">
        <v>480</v>
      </c>
      <c r="T3253" s="284">
        <v>1520</v>
      </c>
      <c r="U3253" s="284"/>
    </row>
    <row r="3254" spans="2:21" x14ac:dyDescent="0.25">
      <c r="B3254" s="292">
        <v>26</v>
      </c>
      <c r="C3254" s="292"/>
      <c r="D3254" s="292"/>
      <c r="F3254" s="283" t="s">
        <v>182</v>
      </c>
      <c r="G3254" s="283"/>
      <c r="J3254" s="293">
        <v>1</v>
      </c>
      <c r="K3254" s="293"/>
      <c r="L3254" s="293"/>
      <c r="M3254" s="293"/>
      <c r="N3254" s="293"/>
      <c r="P3254" s="42">
        <v>790</v>
      </c>
      <c r="R3254" s="42">
        <v>120</v>
      </c>
      <c r="T3254" s="284">
        <v>670</v>
      </c>
      <c r="U3254" s="284"/>
    </row>
    <row r="3255" spans="2:21" x14ac:dyDescent="0.25">
      <c r="B3255" s="292">
        <v>27</v>
      </c>
      <c r="C3255" s="292"/>
      <c r="D3255" s="292"/>
      <c r="F3255" s="283" t="s">
        <v>119</v>
      </c>
      <c r="G3255" s="283"/>
      <c r="J3255" s="293">
        <v>18</v>
      </c>
      <c r="K3255" s="293"/>
      <c r="L3255" s="293"/>
      <c r="M3255" s="293"/>
      <c r="N3255" s="293"/>
      <c r="P3255" s="42">
        <v>16020</v>
      </c>
      <c r="R3255" s="42">
        <v>5280</v>
      </c>
      <c r="T3255" s="284">
        <v>10740</v>
      </c>
      <c r="U3255" s="284"/>
    </row>
    <row r="3256" spans="2:21" x14ac:dyDescent="0.25">
      <c r="B3256" s="292">
        <v>28</v>
      </c>
      <c r="C3256" s="292"/>
      <c r="D3256" s="292"/>
      <c r="F3256" s="283" t="s">
        <v>118</v>
      </c>
      <c r="G3256" s="283"/>
      <c r="J3256" s="293">
        <v>68</v>
      </c>
      <c r="K3256" s="293"/>
      <c r="L3256" s="293"/>
      <c r="M3256" s="293"/>
      <c r="N3256" s="293"/>
      <c r="P3256" s="42">
        <v>67320</v>
      </c>
      <c r="R3256" s="42">
        <v>21608</v>
      </c>
      <c r="T3256" s="284">
        <v>45712</v>
      </c>
      <c r="U3256" s="284"/>
    </row>
    <row r="3257" spans="2:21" x14ac:dyDescent="0.25">
      <c r="B3257" s="292">
        <v>29</v>
      </c>
      <c r="C3257" s="292"/>
      <c r="D3257" s="292"/>
      <c r="F3257" s="283" t="s">
        <v>115</v>
      </c>
      <c r="G3257" s="283"/>
      <c r="J3257" s="293">
        <v>12</v>
      </c>
      <c r="K3257" s="293"/>
      <c r="L3257" s="293"/>
      <c r="M3257" s="293"/>
      <c r="N3257" s="293"/>
      <c r="P3257" s="42">
        <v>3480</v>
      </c>
      <c r="R3257" s="42">
        <v>570</v>
      </c>
      <c r="T3257" s="284">
        <v>2910</v>
      </c>
      <c r="U3257" s="284"/>
    </row>
    <row r="3258" spans="2:21" x14ac:dyDescent="0.25">
      <c r="B3258" s="292">
        <v>30</v>
      </c>
      <c r="C3258" s="292"/>
      <c r="D3258" s="292"/>
      <c r="F3258" s="285" t="s">
        <v>375</v>
      </c>
      <c r="G3258" s="285"/>
      <c r="J3258" s="293">
        <v>44</v>
      </c>
      <c r="K3258" s="293"/>
      <c r="L3258" s="293"/>
      <c r="M3258" s="293"/>
      <c r="N3258" s="293"/>
      <c r="P3258" s="42">
        <v>5280</v>
      </c>
      <c r="R3258" s="42">
        <v>0</v>
      </c>
      <c r="T3258" s="284">
        <v>5280</v>
      </c>
      <c r="U3258" s="284"/>
    </row>
    <row r="3259" spans="2:21" x14ac:dyDescent="0.25">
      <c r="F3259" s="285"/>
      <c r="G3259" s="285"/>
    </row>
    <row r="3260" spans="2:21" x14ac:dyDescent="0.25">
      <c r="B3260" s="292">
        <v>31</v>
      </c>
      <c r="C3260" s="292"/>
      <c r="D3260" s="292"/>
      <c r="F3260" s="283" t="s">
        <v>300</v>
      </c>
      <c r="G3260" s="283"/>
      <c r="J3260" s="293">
        <v>1</v>
      </c>
      <c r="K3260" s="293"/>
      <c r="L3260" s="293"/>
      <c r="M3260" s="293"/>
      <c r="N3260" s="293"/>
      <c r="P3260" s="42">
        <v>330</v>
      </c>
      <c r="R3260" s="42">
        <v>140</v>
      </c>
      <c r="T3260" s="284">
        <v>190</v>
      </c>
      <c r="U3260" s="284"/>
    </row>
    <row r="3261" spans="2:21" x14ac:dyDescent="0.25">
      <c r="B3261" s="292">
        <v>32</v>
      </c>
      <c r="C3261" s="292"/>
      <c r="D3261" s="292"/>
      <c r="F3261" s="283" t="s">
        <v>181</v>
      </c>
      <c r="G3261" s="283"/>
      <c r="J3261" s="293">
        <v>1</v>
      </c>
      <c r="K3261" s="293"/>
      <c r="L3261" s="293"/>
      <c r="M3261" s="293"/>
      <c r="N3261" s="293"/>
      <c r="P3261" s="42">
        <v>790</v>
      </c>
      <c r="R3261" s="42">
        <v>120</v>
      </c>
      <c r="T3261" s="284">
        <v>670</v>
      </c>
      <c r="U3261" s="284"/>
    </row>
    <row r="3262" spans="2:21" x14ac:dyDescent="0.25">
      <c r="B3262" s="292">
        <v>33</v>
      </c>
      <c r="C3262" s="292"/>
      <c r="D3262" s="292"/>
      <c r="F3262" s="283" t="s">
        <v>109</v>
      </c>
      <c r="G3262" s="283"/>
      <c r="J3262" s="293">
        <v>1</v>
      </c>
      <c r="K3262" s="293"/>
      <c r="L3262" s="293"/>
      <c r="M3262" s="293"/>
      <c r="N3262" s="293"/>
      <c r="P3262" s="42">
        <v>780</v>
      </c>
      <c r="R3262" s="42">
        <v>230</v>
      </c>
      <c r="T3262" s="284">
        <v>550</v>
      </c>
      <c r="U3262" s="284"/>
    </row>
    <row r="3263" spans="2:21" x14ac:dyDescent="0.25">
      <c r="B3263" s="292">
        <v>34</v>
      </c>
      <c r="C3263" s="292"/>
      <c r="D3263" s="292"/>
      <c r="F3263" s="283" t="s">
        <v>108</v>
      </c>
      <c r="G3263" s="283"/>
      <c r="J3263" s="293">
        <v>14</v>
      </c>
      <c r="K3263" s="293"/>
      <c r="L3263" s="293"/>
      <c r="M3263" s="293"/>
      <c r="N3263" s="293"/>
      <c r="P3263" s="42">
        <v>1400</v>
      </c>
      <c r="R3263" s="42">
        <v>360</v>
      </c>
      <c r="T3263" s="284">
        <v>1040</v>
      </c>
      <c r="U3263" s="284"/>
    </row>
    <row r="3264" spans="2:21" x14ac:dyDescent="0.25">
      <c r="B3264" s="292">
        <v>35</v>
      </c>
      <c r="C3264" s="292"/>
      <c r="D3264" s="292"/>
      <c r="F3264" s="283" t="s">
        <v>107</v>
      </c>
      <c r="G3264" s="283"/>
      <c r="J3264" s="293">
        <v>39</v>
      </c>
      <c r="K3264" s="293"/>
      <c r="L3264" s="293"/>
      <c r="M3264" s="293"/>
      <c r="N3264" s="293"/>
      <c r="P3264" s="42">
        <v>6630</v>
      </c>
      <c r="R3264" s="42">
        <v>1250</v>
      </c>
      <c r="T3264" s="284">
        <v>5380</v>
      </c>
      <c r="U3264" s="284"/>
    </row>
    <row r="3265" spans="1:21" x14ac:dyDescent="0.25">
      <c r="B3265" s="292">
        <v>36</v>
      </c>
      <c r="C3265" s="292"/>
      <c r="D3265" s="292"/>
      <c r="F3265" s="283" t="s">
        <v>255</v>
      </c>
      <c r="G3265" s="283"/>
      <c r="J3265" s="293">
        <v>1</v>
      </c>
      <c r="K3265" s="293"/>
      <c r="L3265" s="293"/>
      <c r="M3265" s="293"/>
      <c r="N3265" s="293"/>
      <c r="P3265" s="42">
        <v>950</v>
      </c>
      <c r="R3265" s="42">
        <v>140</v>
      </c>
      <c r="T3265" s="284">
        <v>810</v>
      </c>
      <c r="U3265" s="284"/>
    </row>
    <row r="3266" spans="1:21" x14ac:dyDescent="0.25">
      <c r="B3266" s="292">
        <v>37</v>
      </c>
      <c r="C3266" s="292"/>
      <c r="D3266" s="292"/>
      <c r="F3266" s="283" t="s">
        <v>103</v>
      </c>
      <c r="G3266" s="283"/>
      <c r="J3266" s="293">
        <v>5</v>
      </c>
      <c r="K3266" s="293"/>
      <c r="L3266" s="293"/>
      <c r="M3266" s="293"/>
      <c r="N3266" s="293"/>
      <c r="P3266" s="42">
        <v>1650</v>
      </c>
      <c r="R3266" s="42">
        <v>560</v>
      </c>
      <c r="T3266" s="284">
        <v>1090</v>
      </c>
      <c r="U3266" s="284"/>
    </row>
    <row r="3267" spans="1:21" x14ac:dyDescent="0.25">
      <c r="B3267" s="292">
        <v>38</v>
      </c>
      <c r="C3267" s="292"/>
      <c r="D3267" s="292"/>
      <c r="F3267" s="283" t="s">
        <v>178</v>
      </c>
      <c r="G3267" s="283"/>
      <c r="J3267" s="293">
        <v>1</v>
      </c>
      <c r="K3267" s="293"/>
      <c r="L3267" s="293"/>
      <c r="M3267" s="293"/>
      <c r="N3267" s="293"/>
      <c r="P3267" s="42">
        <v>1650</v>
      </c>
      <c r="R3267" s="42">
        <v>0</v>
      </c>
      <c r="T3267" s="284">
        <v>1650</v>
      </c>
      <c r="U3267" s="284"/>
    </row>
    <row r="3268" spans="1:21" x14ac:dyDescent="0.25">
      <c r="B3268" s="292">
        <v>39</v>
      </c>
      <c r="C3268" s="292"/>
      <c r="D3268" s="292"/>
      <c r="F3268" s="283" t="s">
        <v>97</v>
      </c>
      <c r="G3268" s="283"/>
      <c r="J3268" s="293">
        <v>1</v>
      </c>
      <c r="K3268" s="293"/>
      <c r="L3268" s="293"/>
      <c r="M3268" s="293"/>
      <c r="N3268" s="293"/>
      <c r="P3268" s="42">
        <v>1590</v>
      </c>
      <c r="R3268" s="42">
        <v>240</v>
      </c>
      <c r="T3268" s="284">
        <v>1350</v>
      </c>
      <c r="U3268" s="284"/>
    </row>
    <row r="3269" spans="1:21" x14ac:dyDescent="0.25">
      <c r="B3269" s="292">
        <v>40</v>
      </c>
      <c r="C3269" s="292"/>
      <c r="D3269" s="292"/>
      <c r="F3269" s="283" t="s">
        <v>93</v>
      </c>
      <c r="G3269" s="283"/>
      <c r="J3269" s="293">
        <v>7</v>
      </c>
      <c r="K3269" s="293"/>
      <c r="L3269" s="293"/>
      <c r="M3269" s="293"/>
      <c r="N3269" s="293"/>
      <c r="P3269" s="42">
        <v>4130</v>
      </c>
      <c r="R3269" s="42">
        <v>450</v>
      </c>
      <c r="T3269" s="284">
        <v>3680</v>
      </c>
      <c r="U3269" s="284"/>
    </row>
    <row r="3270" spans="1:21" x14ac:dyDescent="0.25">
      <c r="B3270" s="292">
        <v>41</v>
      </c>
      <c r="C3270" s="292"/>
      <c r="D3270" s="292"/>
      <c r="F3270" s="283" t="s">
        <v>92</v>
      </c>
      <c r="G3270" s="283"/>
      <c r="J3270" s="293">
        <v>6</v>
      </c>
      <c r="K3270" s="293"/>
      <c r="L3270" s="293"/>
      <c r="M3270" s="293"/>
      <c r="N3270" s="293"/>
      <c r="P3270" s="42">
        <v>6480</v>
      </c>
      <c r="R3270" s="42">
        <v>1920</v>
      </c>
      <c r="T3270" s="284">
        <v>4560</v>
      </c>
      <c r="U3270" s="284"/>
    </row>
    <row r="3271" spans="1:21" x14ac:dyDescent="0.25">
      <c r="B3271" s="292">
        <v>42</v>
      </c>
      <c r="C3271" s="292"/>
      <c r="D3271" s="292"/>
      <c r="F3271" s="283" t="s">
        <v>91</v>
      </c>
      <c r="G3271" s="283"/>
      <c r="J3271" s="293">
        <v>10</v>
      </c>
      <c r="K3271" s="293"/>
      <c r="L3271" s="293"/>
      <c r="M3271" s="293"/>
      <c r="N3271" s="293"/>
      <c r="P3271" s="42">
        <v>2500</v>
      </c>
      <c r="R3271" s="42">
        <v>490</v>
      </c>
      <c r="T3271" s="284">
        <v>2010</v>
      </c>
      <c r="U3271" s="284"/>
    </row>
    <row r="3272" spans="1:21" x14ac:dyDescent="0.25">
      <c r="B3272" s="292">
        <v>43</v>
      </c>
      <c r="C3272" s="292"/>
      <c r="D3272" s="292"/>
      <c r="F3272" s="283" t="s">
        <v>90</v>
      </c>
      <c r="G3272" s="283"/>
      <c r="J3272" s="293">
        <v>16</v>
      </c>
      <c r="K3272" s="293"/>
      <c r="L3272" s="293"/>
      <c r="M3272" s="293"/>
      <c r="N3272" s="293"/>
      <c r="P3272" s="42">
        <v>4640</v>
      </c>
      <c r="R3272" s="42">
        <v>1120</v>
      </c>
      <c r="T3272" s="284">
        <v>3520</v>
      </c>
      <c r="U3272" s="284"/>
    </row>
    <row r="3273" spans="1:21" x14ac:dyDescent="0.25">
      <c r="B3273" s="292">
        <v>44</v>
      </c>
      <c r="C3273" s="292"/>
      <c r="D3273" s="292"/>
      <c r="F3273" s="283" t="s">
        <v>88</v>
      </c>
      <c r="G3273" s="283"/>
      <c r="J3273" s="293">
        <v>33</v>
      </c>
      <c r="K3273" s="293"/>
      <c r="L3273" s="293"/>
      <c r="M3273" s="293"/>
      <c r="N3273" s="293"/>
      <c r="P3273" s="42">
        <v>5940</v>
      </c>
      <c r="R3273" s="42">
        <v>1430</v>
      </c>
      <c r="T3273" s="284">
        <v>4510</v>
      </c>
      <c r="U3273" s="284"/>
    </row>
    <row r="3274" spans="1:21" x14ac:dyDescent="0.25">
      <c r="B3274" s="292">
        <v>45</v>
      </c>
      <c r="C3274" s="292"/>
      <c r="D3274" s="292"/>
      <c r="F3274" s="283" t="s">
        <v>86</v>
      </c>
      <c r="G3274" s="283"/>
      <c r="J3274" s="293">
        <v>2</v>
      </c>
      <c r="K3274" s="293"/>
      <c r="L3274" s="293"/>
      <c r="M3274" s="293"/>
      <c r="N3274" s="293"/>
      <c r="P3274" s="42">
        <v>2280</v>
      </c>
      <c r="R3274" s="42">
        <v>340</v>
      </c>
      <c r="T3274" s="284">
        <v>1940</v>
      </c>
      <c r="U3274" s="284"/>
    </row>
    <row r="3275" spans="1:21" x14ac:dyDescent="0.25">
      <c r="B3275" s="292">
        <v>46</v>
      </c>
      <c r="C3275" s="292"/>
      <c r="D3275" s="292"/>
      <c r="F3275" s="283" t="s">
        <v>85</v>
      </c>
      <c r="G3275" s="283"/>
      <c r="J3275" s="293">
        <v>6</v>
      </c>
      <c r="K3275" s="293"/>
      <c r="L3275" s="293"/>
      <c r="M3275" s="293"/>
      <c r="N3275" s="293"/>
      <c r="P3275" s="42">
        <v>12480</v>
      </c>
      <c r="R3275" s="42">
        <v>1550</v>
      </c>
      <c r="T3275" s="284">
        <v>10930</v>
      </c>
      <c r="U3275" s="284"/>
    </row>
    <row r="3276" spans="1:21" x14ac:dyDescent="0.25">
      <c r="B3276" s="292">
        <v>47</v>
      </c>
      <c r="C3276" s="292"/>
      <c r="D3276" s="292"/>
      <c r="F3276" s="283" t="s">
        <v>84</v>
      </c>
      <c r="G3276" s="283"/>
      <c r="J3276" s="293">
        <v>11</v>
      </c>
      <c r="K3276" s="293"/>
      <c r="L3276" s="293"/>
      <c r="M3276" s="293"/>
      <c r="N3276" s="293"/>
      <c r="P3276" s="42">
        <v>6490</v>
      </c>
      <c r="R3276" s="42">
        <v>1440</v>
      </c>
      <c r="T3276" s="284">
        <v>5050</v>
      </c>
      <c r="U3276" s="284"/>
    </row>
    <row r="3277" spans="1:21" x14ac:dyDescent="0.25">
      <c r="B3277" s="292">
        <v>48</v>
      </c>
      <c r="C3277" s="292"/>
      <c r="D3277" s="292"/>
      <c r="F3277" s="283" t="s">
        <v>83</v>
      </c>
      <c r="G3277" s="283"/>
      <c r="J3277" s="293">
        <v>1</v>
      </c>
      <c r="K3277" s="293"/>
      <c r="L3277" s="293"/>
      <c r="M3277" s="293"/>
      <c r="N3277" s="293"/>
      <c r="P3277" s="42">
        <v>500</v>
      </c>
      <c r="R3277" s="42">
        <v>150</v>
      </c>
      <c r="T3277" s="284">
        <v>350</v>
      </c>
      <c r="U3277" s="284"/>
    </row>
    <row r="3278" spans="1:21" s="40" customFormat="1" x14ac:dyDescent="0.25">
      <c r="A3278" s="290" t="s">
        <v>374</v>
      </c>
      <c r="B3278" s="290"/>
      <c r="C3278" s="290"/>
      <c r="D3278" s="290"/>
      <c r="E3278" s="290"/>
      <c r="F3278" s="290"/>
      <c r="G3278" s="290"/>
      <c r="H3278" s="290"/>
      <c r="I3278" s="290"/>
      <c r="J3278" s="290"/>
      <c r="K3278" s="291">
        <v>4005</v>
      </c>
      <c r="L3278" s="291"/>
      <c r="M3278" s="291"/>
      <c r="N3278" s="291"/>
      <c r="O3278" s="291"/>
      <c r="P3278" s="41">
        <v>4558280</v>
      </c>
      <c r="R3278" s="41">
        <v>4192034</v>
      </c>
      <c r="T3278" s="287">
        <v>366246</v>
      </c>
      <c r="U3278" s="287"/>
    </row>
    <row r="3279" spans="1:21" x14ac:dyDescent="0.25">
      <c r="B3279" s="292">
        <v>1</v>
      </c>
      <c r="C3279" s="292"/>
      <c r="D3279" s="292"/>
      <c r="F3279" s="283" t="s">
        <v>78</v>
      </c>
      <c r="G3279" s="283"/>
      <c r="J3279" s="293">
        <v>760</v>
      </c>
      <c r="K3279" s="293"/>
      <c r="L3279" s="293"/>
      <c r="M3279" s="293"/>
      <c r="N3279" s="293"/>
      <c r="P3279" s="42">
        <v>220400</v>
      </c>
      <c r="R3279" s="42">
        <v>220400</v>
      </c>
      <c r="T3279" s="284">
        <v>0</v>
      </c>
      <c r="U3279" s="284"/>
    </row>
    <row r="3280" spans="1:21" x14ac:dyDescent="0.25">
      <c r="B3280" s="292">
        <v>2</v>
      </c>
      <c r="C3280" s="292"/>
      <c r="D3280" s="292"/>
      <c r="F3280" s="283" t="s">
        <v>164</v>
      </c>
      <c r="G3280" s="283"/>
      <c r="J3280" s="293">
        <v>2</v>
      </c>
      <c r="K3280" s="293"/>
      <c r="L3280" s="293"/>
      <c r="M3280" s="293"/>
      <c r="N3280" s="293"/>
      <c r="P3280" s="42">
        <v>1180</v>
      </c>
      <c r="R3280" s="42">
        <v>360</v>
      </c>
      <c r="T3280" s="284">
        <v>820</v>
      </c>
      <c r="U3280" s="284"/>
    </row>
    <row r="3281" spans="2:21" x14ac:dyDescent="0.25">
      <c r="B3281" s="292">
        <v>3</v>
      </c>
      <c r="C3281" s="292"/>
      <c r="D3281" s="292"/>
      <c r="F3281" s="283" t="s">
        <v>163</v>
      </c>
      <c r="G3281" s="283"/>
      <c r="J3281" s="293">
        <v>1</v>
      </c>
      <c r="K3281" s="293"/>
      <c r="L3281" s="293"/>
      <c r="M3281" s="293"/>
      <c r="N3281" s="293"/>
      <c r="P3281" s="42">
        <v>1190</v>
      </c>
      <c r="R3281" s="42">
        <v>180</v>
      </c>
      <c r="T3281" s="284">
        <v>1010</v>
      </c>
      <c r="U3281" s="284"/>
    </row>
    <row r="3282" spans="2:21" x14ac:dyDescent="0.25">
      <c r="B3282" s="292">
        <v>4</v>
      </c>
      <c r="C3282" s="292"/>
      <c r="D3282" s="292"/>
      <c r="F3282" s="283" t="s">
        <v>162</v>
      </c>
      <c r="G3282" s="283"/>
      <c r="J3282" s="293">
        <v>5</v>
      </c>
      <c r="K3282" s="293"/>
      <c r="L3282" s="293"/>
      <c r="M3282" s="293"/>
      <c r="N3282" s="293"/>
      <c r="P3282" s="42">
        <v>2150</v>
      </c>
      <c r="R3282" s="42">
        <v>1010</v>
      </c>
      <c r="T3282" s="284">
        <v>1140</v>
      </c>
      <c r="U3282" s="284"/>
    </row>
    <row r="3283" spans="2:21" x14ac:dyDescent="0.25">
      <c r="B3283" s="292">
        <v>5</v>
      </c>
      <c r="C3283" s="292"/>
      <c r="D3283" s="292"/>
      <c r="F3283" s="283" t="s">
        <v>198</v>
      </c>
      <c r="G3283" s="283"/>
      <c r="J3283" s="293">
        <v>10</v>
      </c>
      <c r="K3283" s="293"/>
      <c r="L3283" s="293"/>
      <c r="M3283" s="293"/>
      <c r="N3283" s="293"/>
      <c r="P3283" s="42">
        <v>2900</v>
      </c>
      <c r="R3283" s="42">
        <v>800</v>
      </c>
      <c r="T3283" s="284">
        <v>2100</v>
      </c>
      <c r="U3283" s="284"/>
    </row>
    <row r="3284" spans="2:21" x14ac:dyDescent="0.25">
      <c r="B3284" s="292">
        <v>6</v>
      </c>
      <c r="C3284" s="292"/>
      <c r="D3284" s="292"/>
      <c r="F3284" s="283" t="s">
        <v>160</v>
      </c>
      <c r="G3284" s="283"/>
      <c r="J3284" s="293">
        <v>1</v>
      </c>
      <c r="K3284" s="293"/>
      <c r="L3284" s="293"/>
      <c r="M3284" s="293"/>
      <c r="N3284" s="293"/>
      <c r="P3284" s="42">
        <v>290</v>
      </c>
      <c r="R3284" s="42">
        <v>80</v>
      </c>
      <c r="T3284" s="284">
        <v>210</v>
      </c>
      <c r="U3284" s="284"/>
    </row>
    <row r="3285" spans="2:21" x14ac:dyDescent="0.25">
      <c r="B3285" s="292">
        <v>7</v>
      </c>
      <c r="C3285" s="292"/>
      <c r="D3285" s="292"/>
      <c r="F3285" s="283" t="s">
        <v>158</v>
      </c>
      <c r="G3285" s="283"/>
      <c r="J3285" s="293">
        <v>403</v>
      </c>
      <c r="K3285" s="293"/>
      <c r="L3285" s="293"/>
      <c r="M3285" s="293"/>
      <c r="N3285" s="293"/>
      <c r="P3285" s="42">
        <v>221650</v>
      </c>
      <c r="R3285" s="42">
        <v>68490</v>
      </c>
      <c r="T3285" s="284">
        <v>153160</v>
      </c>
      <c r="U3285" s="284"/>
    </row>
    <row r="3286" spans="2:21" x14ac:dyDescent="0.25">
      <c r="B3286" s="292">
        <v>8</v>
      </c>
      <c r="C3286" s="292"/>
      <c r="D3286" s="292"/>
      <c r="F3286" s="283" t="s">
        <v>157</v>
      </c>
      <c r="G3286" s="283"/>
      <c r="J3286" s="293">
        <v>84</v>
      </c>
      <c r="K3286" s="293"/>
      <c r="L3286" s="293"/>
      <c r="M3286" s="293"/>
      <c r="N3286" s="293"/>
      <c r="P3286" s="42">
        <v>41160</v>
      </c>
      <c r="R3286" s="42">
        <v>19313</v>
      </c>
      <c r="T3286" s="284">
        <v>21847</v>
      </c>
      <c r="U3286" s="284"/>
    </row>
    <row r="3287" spans="2:21" x14ac:dyDescent="0.25">
      <c r="B3287" s="292">
        <v>9</v>
      </c>
      <c r="C3287" s="292"/>
      <c r="D3287" s="292"/>
      <c r="F3287" s="283" t="s">
        <v>77</v>
      </c>
      <c r="G3287" s="283"/>
      <c r="J3287" s="293">
        <v>756</v>
      </c>
      <c r="K3287" s="293"/>
      <c r="L3287" s="293"/>
      <c r="M3287" s="293"/>
      <c r="N3287" s="293"/>
      <c r="P3287" s="42">
        <v>309900</v>
      </c>
      <c r="R3287" s="42">
        <v>309900</v>
      </c>
      <c r="T3287" s="284">
        <v>0</v>
      </c>
      <c r="U3287" s="284"/>
    </row>
    <row r="3288" spans="2:21" x14ac:dyDescent="0.25">
      <c r="B3288" s="292">
        <v>10</v>
      </c>
      <c r="C3288" s="292"/>
      <c r="D3288" s="292"/>
      <c r="F3288" s="283" t="s">
        <v>76</v>
      </c>
      <c r="G3288" s="283"/>
      <c r="J3288" s="293">
        <v>1</v>
      </c>
      <c r="K3288" s="293"/>
      <c r="L3288" s="293"/>
      <c r="M3288" s="293"/>
      <c r="N3288" s="293"/>
      <c r="P3288" s="42">
        <v>600</v>
      </c>
      <c r="R3288" s="42">
        <v>600</v>
      </c>
      <c r="T3288" s="284">
        <v>0</v>
      </c>
      <c r="U3288" s="284"/>
    </row>
    <row r="3289" spans="2:21" x14ac:dyDescent="0.25">
      <c r="B3289" s="292">
        <v>11</v>
      </c>
      <c r="C3289" s="292"/>
      <c r="D3289" s="292"/>
      <c r="F3289" s="283" t="s">
        <v>156</v>
      </c>
      <c r="G3289" s="283"/>
      <c r="J3289" s="293">
        <v>1</v>
      </c>
      <c r="K3289" s="293"/>
      <c r="L3289" s="293"/>
      <c r="M3289" s="293"/>
      <c r="N3289" s="293"/>
      <c r="P3289" s="42">
        <v>190</v>
      </c>
      <c r="R3289" s="42">
        <v>70</v>
      </c>
      <c r="T3289" s="284">
        <v>120</v>
      </c>
      <c r="U3289" s="284"/>
    </row>
    <row r="3290" spans="2:21" x14ac:dyDescent="0.25">
      <c r="B3290" s="292">
        <v>12</v>
      </c>
      <c r="C3290" s="292"/>
      <c r="D3290" s="292"/>
      <c r="F3290" s="283" t="s">
        <v>155</v>
      </c>
      <c r="G3290" s="283"/>
      <c r="J3290" s="293">
        <v>24</v>
      </c>
      <c r="K3290" s="293"/>
      <c r="L3290" s="293"/>
      <c r="M3290" s="293"/>
      <c r="N3290" s="293"/>
      <c r="P3290" s="42">
        <v>6000</v>
      </c>
      <c r="R3290" s="42">
        <v>2310</v>
      </c>
      <c r="T3290" s="284">
        <v>3690</v>
      </c>
      <c r="U3290" s="284"/>
    </row>
    <row r="3291" spans="2:21" x14ac:dyDescent="0.25">
      <c r="B3291" s="292">
        <v>13</v>
      </c>
      <c r="C3291" s="292"/>
      <c r="D3291" s="292"/>
      <c r="F3291" s="283" t="s">
        <v>239</v>
      </c>
      <c r="G3291" s="283"/>
      <c r="J3291" s="293">
        <v>1</v>
      </c>
      <c r="K3291" s="293"/>
      <c r="L3291" s="293"/>
      <c r="M3291" s="293"/>
      <c r="N3291" s="293"/>
      <c r="P3291" s="42">
        <v>1090</v>
      </c>
      <c r="R3291" s="42">
        <v>0</v>
      </c>
      <c r="T3291" s="284">
        <v>1090</v>
      </c>
      <c r="U3291" s="284"/>
    </row>
    <row r="3292" spans="2:21" x14ac:dyDescent="0.25">
      <c r="B3292" s="292">
        <v>14</v>
      </c>
      <c r="C3292" s="292"/>
      <c r="D3292" s="292"/>
      <c r="F3292" s="283" t="s">
        <v>152</v>
      </c>
      <c r="G3292" s="283"/>
      <c r="J3292" s="293">
        <v>6</v>
      </c>
      <c r="K3292" s="293"/>
      <c r="L3292" s="293"/>
      <c r="M3292" s="293"/>
      <c r="N3292" s="293"/>
      <c r="P3292" s="42">
        <v>3540</v>
      </c>
      <c r="R3292" s="42">
        <v>1080</v>
      </c>
      <c r="T3292" s="284">
        <v>2460</v>
      </c>
      <c r="U3292" s="284"/>
    </row>
    <row r="3293" spans="2:21" x14ac:dyDescent="0.25">
      <c r="B3293" s="292">
        <v>15</v>
      </c>
      <c r="C3293" s="292"/>
      <c r="D3293" s="292"/>
      <c r="F3293" s="283" t="s">
        <v>151</v>
      </c>
      <c r="G3293" s="283"/>
      <c r="J3293" s="293">
        <v>35</v>
      </c>
      <c r="K3293" s="293"/>
      <c r="L3293" s="293"/>
      <c r="M3293" s="293"/>
      <c r="N3293" s="293"/>
      <c r="P3293" s="42">
        <v>8050</v>
      </c>
      <c r="R3293" s="42">
        <v>2790</v>
      </c>
      <c r="T3293" s="284">
        <v>5260</v>
      </c>
      <c r="U3293" s="284"/>
    </row>
    <row r="3294" spans="2:21" x14ac:dyDescent="0.25">
      <c r="B3294" s="292">
        <v>16</v>
      </c>
      <c r="C3294" s="292"/>
      <c r="D3294" s="292"/>
      <c r="F3294" s="283" t="s">
        <v>149</v>
      </c>
      <c r="G3294" s="283"/>
      <c r="J3294" s="293">
        <v>12</v>
      </c>
      <c r="K3294" s="293"/>
      <c r="L3294" s="293"/>
      <c r="M3294" s="293"/>
      <c r="N3294" s="293"/>
      <c r="P3294" s="42">
        <v>600</v>
      </c>
      <c r="R3294" s="42">
        <v>120</v>
      </c>
      <c r="T3294" s="284">
        <v>480</v>
      </c>
      <c r="U3294" s="284"/>
    </row>
    <row r="3295" spans="2:21" x14ac:dyDescent="0.25">
      <c r="B3295" s="292">
        <v>17</v>
      </c>
      <c r="C3295" s="292"/>
      <c r="D3295" s="292"/>
      <c r="F3295" s="283" t="s">
        <v>75</v>
      </c>
      <c r="G3295" s="283"/>
      <c r="J3295" s="293">
        <v>1374</v>
      </c>
      <c r="K3295" s="293"/>
      <c r="L3295" s="293"/>
      <c r="M3295" s="293"/>
      <c r="N3295" s="293"/>
      <c r="P3295" s="42">
        <v>3435000</v>
      </c>
      <c r="R3295" s="42">
        <v>3435000</v>
      </c>
      <c r="T3295" s="284">
        <v>0</v>
      </c>
      <c r="U3295" s="284"/>
    </row>
    <row r="3296" spans="2:21" x14ac:dyDescent="0.25">
      <c r="B3296" s="292">
        <v>18</v>
      </c>
      <c r="C3296" s="292"/>
      <c r="D3296" s="292"/>
      <c r="F3296" s="283" t="s">
        <v>373</v>
      </c>
      <c r="G3296" s="283"/>
      <c r="J3296" s="293">
        <v>1</v>
      </c>
      <c r="K3296" s="293"/>
      <c r="L3296" s="293"/>
      <c r="M3296" s="293"/>
      <c r="N3296" s="293"/>
      <c r="P3296" s="42">
        <v>960</v>
      </c>
      <c r="R3296" s="42">
        <v>360</v>
      </c>
      <c r="T3296" s="284">
        <v>600</v>
      </c>
      <c r="U3296" s="284"/>
    </row>
    <row r="3297" spans="2:21" x14ac:dyDescent="0.25">
      <c r="B3297" s="292">
        <v>19</v>
      </c>
      <c r="C3297" s="292"/>
      <c r="D3297" s="292"/>
      <c r="F3297" s="283" t="s">
        <v>136</v>
      </c>
      <c r="G3297" s="283"/>
      <c r="J3297" s="293">
        <v>41</v>
      </c>
      <c r="K3297" s="293"/>
      <c r="L3297" s="293"/>
      <c r="M3297" s="293"/>
      <c r="N3297" s="293"/>
      <c r="P3297" s="42">
        <v>34850</v>
      </c>
      <c r="R3297" s="42">
        <v>8580</v>
      </c>
      <c r="T3297" s="284">
        <v>26270</v>
      </c>
      <c r="U3297" s="284"/>
    </row>
    <row r="3298" spans="2:21" x14ac:dyDescent="0.25">
      <c r="B3298" s="292">
        <v>20</v>
      </c>
      <c r="C3298" s="292"/>
      <c r="D3298" s="292"/>
      <c r="F3298" s="283" t="s">
        <v>74</v>
      </c>
      <c r="G3298" s="283"/>
      <c r="J3298" s="293">
        <v>18</v>
      </c>
      <c r="K3298" s="293"/>
      <c r="L3298" s="293"/>
      <c r="M3298" s="293"/>
      <c r="N3298" s="293"/>
      <c r="P3298" s="42">
        <v>15300</v>
      </c>
      <c r="R3298" s="42">
        <v>15300</v>
      </c>
      <c r="T3298" s="284">
        <v>0</v>
      </c>
      <c r="U3298" s="284"/>
    </row>
    <row r="3299" spans="2:21" x14ac:dyDescent="0.25">
      <c r="B3299" s="292">
        <v>21</v>
      </c>
      <c r="C3299" s="292"/>
      <c r="D3299" s="292"/>
      <c r="F3299" s="283" t="s">
        <v>190</v>
      </c>
      <c r="G3299" s="283"/>
      <c r="J3299" s="293">
        <v>1</v>
      </c>
      <c r="K3299" s="293"/>
      <c r="L3299" s="293"/>
      <c r="M3299" s="293"/>
      <c r="N3299" s="293"/>
      <c r="P3299" s="42">
        <v>1570</v>
      </c>
      <c r="R3299" s="42">
        <v>240</v>
      </c>
      <c r="T3299" s="284">
        <v>1330</v>
      </c>
      <c r="U3299" s="284"/>
    </row>
    <row r="3300" spans="2:21" x14ac:dyDescent="0.25">
      <c r="B3300" s="292">
        <v>22</v>
      </c>
      <c r="C3300" s="292"/>
      <c r="D3300" s="292"/>
      <c r="F3300" s="283" t="s">
        <v>135</v>
      </c>
      <c r="G3300" s="283"/>
      <c r="J3300" s="293">
        <v>12</v>
      </c>
      <c r="K3300" s="293"/>
      <c r="L3300" s="293"/>
      <c r="M3300" s="293"/>
      <c r="N3300" s="293"/>
      <c r="P3300" s="42">
        <v>11400</v>
      </c>
      <c r="R3300" s="42">
        <v>3360</v>
      </c>
      <c r="T3300" s="284">
        <v>8040</v>
      </c>
      <c r="U3300" s="284"/>
    </row>
    <row r="3301" spans="2:21" x14ac:dyDescent="0.25">
      <c r="B3301" s="292">
        <v>23</v>
      </c>
      <c r="C3301" s="292"/>
      <c r="D3301" s="292"/>
      <c r="F3301" s="283" t="s">
        <v>229</v>
      </c>
      <c r="G3301" s="283"/>
      <c r="J3301" s="293">
        <v>2</v>
      </c>
      <c r="K3301" s="293"/>
      <c r="L3301" s="293"/>
      <c r="M3301" s="293"/>
      <c r="N3301" s="293"/>
      <c r="P3301" s="42">
        <v>14000</v>
      </c>
      <c r="R3301" s="42">
        <v>14000</v>
      </c>
      <c r="T3301" s="284">
        <v>0</v>
      </c>
      <c r="U3301" s="284"/>
    </row>
    <row r="3302" spans="2:21" x14ac:dyDescent="0.25">
      <c r="B3302" s="292">
        <v>24</v>
      </c>
      <c r="C3302" s="292"/>
      <c r="D3302" s="292"/>
      <c r="F3302" s="283" t="s">
        <v>132</v>
      </c>
      <c r="G3302" s="283"/>
      <c r="J3302" s="293">
        <v>12</v>
      </c>
      <c r="K3302" s="293"/>
      <c r="L3302" s="293"/>
      <c r="M3302" s="293"/>
      <c r="N3302" s="293"/>
      <c r="P3302" s="42">
        <v>14880</v>
      </c>
      <c r="R3302" s="42">
        <v>4440</v>
      </c>
      <c r="T3302" s="284">
        <v>10440</v>
      </c>
      <c r="U3302" s="284"/>
    </row>
    <row r="3303" spans="2:21" x14ac:dyDescent="0.25">
      <c r="B3303" s="292">
        <v>25</v>
      </c>
      <c r="C3303" s="292"/>
      <c r="D3303" s="292"/>
      <c r="F3303" s="283" t="s">
        <v>131</v>
      </c>
      <c r="G3303" s="283"/>
      <c r="J3303" s="293">
        <v>1</v>
      </c>
      <c r="K3303" s="293"/>
      <c r="L3303" s="293"/>
      <c r="M3303" s="293"/>
      <c r="N3303" s="293"/>
      <c r="P3303" s="42">
        <v>3700</v>
      </c>
      <c r="R3303" s="42">
        <v>0</v>
      </c>
      <c r="T3303" s="284">
        <v>3700</v>
      </c>
      <c r="U3303" s="284"/>
    </row>
    <row r="3304" spans="2:21" x14ac:dyDescent="0.25">
      <c r="B3304" s="292">
        <v>26</v>
      </c>
      <c r="C3304" s="292"/>
      <c r="D3304" s="292"/>
      <c r="F3304" s="285" t="s">
        <v>284</v>
      </c>
      <c r="G3304" s="285"/>
      <c r="J3304" s="293">
        <v>1</v>
      </c>
      <c r="K3304" s="293"/>
      <c r="L3304" s="293"/>
      <c r="M3304" s="293"/>
      <c r="N3304" s="293"/>
      <c r="P3304" s="42">
        <v>3700</v>
      </c>
      <c r="R3304" s="42">
        <v>1850</v>
      </c>
      <c r="T3304" s="284">
        <v>1850</v>
      </c>
      <c r="U3304" s="284"/>
    </row>
    <row r="3305" spans="2:21" x14ac:dyDescent="0.25">
      <c r="F3305" s="285"/>
      <c r="G3305" s="285"/>
    </row>
    <row r="3306" spans="2:21" x14ac:dyDescent="0.25">
      <c r="B3306" s="292">
        <v>27</v>
      </c>
      <c r="C3306" s="292"/>
      <c r="D3306" s="292"/>
      <c r="F3306" s="283" t="s">
        <v>130</v>
      </c>
      <c r="G3306" s="283"/>
      <c r="J3306" s="293">
        <v>3</v>
      </c>
      <c r="K3306" s="293"/>
      <c r="L3306" s="293"/>
      <c r="M3306" s="293"/>
      <c r="N3306" s="293"/>
      <c r="P3306" s="42">
        <v>24000</v>
      </c>
      <c r="R3306" s="42">
        <v>24000</v>
      </c>
      <c r="T3306" s="284">
        <v>0</v>
      </c>
      <c r="U3306" s="284"/>
    </row>
    <row r="3307" spans="2:21" x14ac:dyDescent="0.25">
      <c r="B3307" s="292">
        <v>28</v>
      </c>
      <c r="C3307" s="292"/>
      <c r="D3307" s="292"/>
      <c r="F3307" s="283" t="s">
        <v>127</v>
      </c>
      <c r="G3307" s="283"/>
      <c r="J3307" s="293">
        <v>77</v>
      </c>
      <c r="K3307" s="293"/>
      <c r="L3307" s="293"/>
      <c r="M3307" s="293"/>
      <c r="N3307" s="293"/>
      <c r="P3307" s="42">
        <v>23100</v>
      </c>
      <c r="R3307" s="42">
        <v>6930</v>
      </c>
      <c r="T3307" s="284">
        <v>16170</v>
      </c>
      <c r="U3307" s="284"/>
    </row>
    <row r="3308" spans="2:21" x14ac:dyDescent="0.25">
      <c r="B3308" s="292">
        <v>29</v>
      </c>
      <c r="C3308" s="292"/>
      <c r="D3308" s="292"/>
      <c r="F3308" s="283" t="s">
        <v>126</v>
      </c>
      <c r="G3308" s="283"/>
      <c r="J3308" s="293">
        <v>77</v>
      </c>
      <c r="K3308" s="293"/>
      <c r="L3308" s="293"/>
      <c r="M3308" s="293"/>
      <c r="N3308" s="293"/>
      <c r="P3308" s="42">
        <v>15400</v>
      </c>
      <c r="R3308" s="42">
        <v>4620</v>
      </c>
      <c r="T3308" s="284">
        <v>10780</v>
      </c>
      <c r="U3308" s="284"/>
    </row>
    <row r="3309" spans="2:21" x14ac:dyDescent="0.25">
      <c r="B3309" s="292">
        <v>30</v>
      </c>
      <c r="C3309" s="292"/>
      <c r="D3309" s="292"/>
      <c r="F3309" s="283" t="s">
        <v>125</v>
      </c>
      <c r="G3309" s="283"/>
      <c r="J3309" s="293">
        <v>1</v>
      </c>
      <c r="K3309" s="293"/>
      <c r="L3309" s="293"/>
      <c r="M3309" s="293"/>
      <c r="N3309" s="293"/>
      <c r="P3309" s="42">
        <v>400</v>
      </c>
      <c r="R3309" s="42">
        <v>120</v>
      </c>
      <c r="T3309" s="284">
        <v>280</v>
      </c>
      <c r="U3309" s="284"/>
    </row>
    <row r="3310" spans="2:21" x14ac:dyDescent="0.25">
      <c r="B3310" s="292">
        <v>31</v>
      </c>
      <c r="C3310" s="292"/>
      <c r="D3310" s="292"/>
      <c r="F3310" s="283" t="s">
        <v>124</v>
      </c>
      <c r="G3310" s="283"/>
      <c r="J3310" s="293">
        <v>4</v>
      </c>
      <c r="K3310" s="293"/>
      <c r="L3310" s="293"/>
      <c r="M3310" s="293"/>
      <c r="N3310" s="293"/>
      <c r="P3310" s="42">
        <v>1980</v>
      </c>
      <c r="R3310" s="42">
        <v>590</v>
      </c>
      <c r="T3310" s="284">
        <v>1390</v>
      </c>
      <c r="U3310" s="284"/>
    </row>
    <row r="3311" spans="2:21" x14ac:dyDescent="0.25">
      <c r="B3311" s="292">
        <v>32</v>
      </c>
      <c r="C3311" s="292"/>
      <c r="D3311" s="292"/>
      <c r="F3311" s="283" t="s">
        <v>120</v>
      </c>
      <c r="G3311" s="283"/>
      <c r="J3311" s="293">
        <v>1</v>
      </c>
      <c r="K3311" s="293"/>
      <c r="L3311" s="293"/>
      <c r="M3311" s="293"/>
      <c r="N3311" s="293"/>
      <c r="P3311" s="42">
        <v>350</v>
      </c>
      <c r="R3311" s="42">
        <v>60</v>
      </c>
      <c r="T3311" s="284">
        <v>290</v>
      </c>
      <c r="U3311" s="284"/>
    </row>
    <row r="3312" spans="2:21" x14ac:dyDescent="0.25">
      <c r="B3312" s="292">
        <v>33</v>
      </c>
      <c r="C3312" s="292"/>
      <c r="D3312" s="292"/>
      <c r="F3312" s="283" t="s">
        <v>119</v>
      </c>
      <c r="G3312" s="283"/>
      <c r="J3312" s="293">
        <v>10</v>
      </c>
      <c r="K3312" s="293"/>
      <c r="L3312" s="293"/>
      <c r="M3312" s="293"/>
      <c r="N3312" s="293"/>
      <c r="P3312" s="42">
        <v>8900</v>
      </c>
      <c r="R3312" s="42">
        <v>2880</v>
      </c>
      <c r="T3312" s="284">
        <v>6020</v>
      </c>
      <c r="U3312" s="284"/>
    </row>
    <row r="3313" spans="2:21" x14ac:dyDescent="0.25">
      <c r="B3313" s="292">
        <v>34</v>
      </c>
      <c r="C3313" s="292"/>
      <c r="D3313" s="292"/>
      <c r="F3313" s="283" t="s">
        <v>118</v>
      </c>
      <c r="G3313" s="283"/>
      <c r="J3313" s="293">
        <v>54</v>
      </c>
      <c r="K3313" s="293"/>
      <c r="L3313" s="293"/>
      <c r="M3313" s="293"/>
      <c r="N3313" s="293"/>
      <c r="P3313" s="42">
        <v>53460</v>
      </c>
      <c r="R3313" s="42">
        <v>22310</v>
      </c>
      <c r="T3313" s="284">
        <v>31150</v>
      </c>
      <c r="U3313" s="284"/>
    </row>
    <row r="3314" spans="2:21" x14ac:dyDescent="0.25">
      <c r="B3314" s="292">
        <v>35</v>
      </c>
      <c r="C3314" s="292"/>
      <c r="D3314" s="292"/>
      <c r="F3314" s="283" t="s">
        <v>115</v>
      </c>
      <c r="G3314" s="283"/>
      <c r="J3314" s="293">
        <v>39</v>
      </c>
      <c r="K3314" s="293"/>
      <c r="L3314" s="293"/>
      <c r="M3314" s="293"/>
      <c r="N3314" s="293"/>
      <c r="P3314" s="42">
        <v>11310</v>
      </c>
      <c r="R3314" s="42">
        <v>4087</v>
      </c>
      <c r="T3314" s="284">
        <v>7223</v>
      </c>
      <c r="U3314" s="284"/>
    </row>
    <row r="3315" spans="2:21" x14ac:dyDescent="0.25">
      <c r="B3315" s="292">
        <v>36</v>
      </c>
      <c r="C3315" s="292"/>
      <c r="D3315" s="292"/>
      <c r="F3315" s="283" t="s">
        <v>300</v>
      </c>
      <c r="G3315" s="283"/>
      <c r="J3315" s="293">
        <v>1</v>
      </c>
      <c r="K3315" s="293"/>
      <c r="L3315" s="293"/>
      <c r="M3315" s="293"/>
      <c r="N3315" s="293"/>
      <c r="P3315" s="42">
        <v>330</v>
      </c>
      <c r="R3315" s="42">
        <v>100</v>
      </c>
      <c r="T3315" s="284">
        <v>230</v>
      </c>
      <c r="U3315" s="284"/>
    </row>
    <row r="3316" spans="2:21" x14ac:dyDescent="0.25">
      <c r="B3316" s="292">
        <v>37</v>
      </c>
      <c r="C3316" s="292"/>
      <c r="D3316" s="292"/>
      <c r="F3316" s="283" t="s">
        <v>171</v>
      </c>
      <c r="G3316" s="283"/>
      <c r="J3316" s="293">
        <v>1</v>
      </c>
      <c r="K3316" s="293"/>
      <c r="L3316" s="293"/>
      <c r="M3316" s="293"/>
      <c r="N3316" s="293"/>
      <c r="P3316" s="42">
        <v>530</v>
      </c>
      <c r="R3316" s="42">
        <v>160</v>
      </c>
      <c r="T3316" s="284">
        <v>370</v>
      </c>
      <c r="U3316" s="284"/>
    </row>
    <row r="3317" spans="2:21" x14ac:dyDescent="0.25">
      <c r="B3317" s="292">
        <v>38</v>
      </c>
      <c r="C3317" s="292"/>
      <c r="D3317" s="292"/>
      <c r="F3317" s="283" t="s">
        <v>111</v>
      </c>
      <c r="G3317" s="283"/>
      <c r="J3317" s="293">
        <v>2</v>
      </c>
      <c r="K3317" s="293"/>
      <c r="L3317" s="293"/>
      <c r="M3317" s="293"/>
      <c r="N3317" s="293"/>
      <c r="P3317" s="42">
        <v>860</v>
      </c>
      <c r="R3317" s="42">
        <v>260</v>
      </c>
      <c r="T3317" s="284">
        <v>600</v>
      </c>
      <c r="U3317" s="284"/>
    </row>
    <row r="3318" spans="2:21" x14ac:dyDescent="0.25">
      <c r="B3318" s="292">
        <v>39</v>
      </c>
      <c r="C3318" s="292"/>
      <c r="D3318" s="292"/>
      <c r="F3318" s="283" t="s">
        <v>109</v>
      </c>
      <c r="G3318" s="283"/>
      <c r="J3318" s="293">
        <v>5</v>
      </c>
      <c r="K3318" s="293"/>
      <c r="L3318" s="293"/>
      <c r="M3318" s="293"/>
      <c r="N3318" s="293"/>
      <c r="P3318" s="42">
        <v>3900</v>
      </c>
      <c r="R3318" s="42">
        <v>1150</v>
      </c>
      <c r="T3318" s="284">
        <v>2750</v>
      </c>
      <c r="U3318" s="284"/>
    </row>
    <row r="3319" spans="2:21" x14ac:dyDescent="0.25">
      <c r="B3319" s="292">
        <v>40</v>
      </c>
      <c r="C3319" s="292"/>
      <c r="D3319" s="292"/>
      <c r="F3319" s="283" t="s">
        <v>107</v>
      </c>
      <c r="G3319" s="283"/>
      <c r="J3319" s="293">
        <v>85</v>
      </c>
      <c r="K3319" s="293"/>
      <c r="L3319" s="293"/>
      <c r="M3319" s="293"/>
      <c r="N3319" s="293"/>
      <c r="P3319" s="42">
        <v>14450</v>
      </c>
      <c r="R3319" s="42">
        <v>4250</v>
      </c>
      <c r="T3319" s="284">
        <v>10200</v>
      </c>
      <c r="U3319" s="284"/>
    </row>
    <row r="3320" spans="2:21" x14ac:dyDescent="0.25">
      <c r="B3320" s="292">
        <v>41</v>
      </c>
      <c r="C3320" s="292"/>
      <c r="D3320" s="292"/>
      <c r="F3320" s="283" t="s">
        <v>102</v>
      </c>
      <c r="G3320" s="283"/>
      <c r="J3320" s="293">
        <v>3</v>
      </c>
      <c r="K3320" s="293"/>
      <c r="L3320" s="293"/>
      <c r="M3320" s="293"/>
      <c r="N3320" s="293"/>
      <c r="P3320" s="42">
        <v>2640</v>
      </c>
      <c r="R3320" s="42">
        <v>390</v>
      </c>
      <c r="T3320" s="284">
        <v>2250</v>
      </c>
      <c r="U3320" s="284"/>
    </row>
    <row r="3321" spans="2:21" x14ac:dyDescent="0.25">
      <c r="B3321" s="292">
        <v>42</v>
      </c>
      <c r="C3321" s="292"/>
      <c r="D3321" s="292"/>
      <c r="F3321" s="283" t="s">
        <v>97</v>
      </c>
      <c r="G3321" s="283"/>
      <c r="J3321" s="293">
        <v>5</v>
      </c>
      <c r="K3321" s="293"/>
      <c r="L3321" s="293"/>
      <c r="M3321" s="293"/>
      <c r="N3321" s="293"/>
      <c r="P3321" s="42">
        <v>7950</v>
      </c>
      <c r="R3321" s="42">
        <v>1200</v>
      </c>
      <c r="T3321" s="284">
        <v>6750</v>
      </c>
      <c r="U3321" s="284"/>
    </row>
    <row r="3322" spans="2:21" x14ac:dyDescent="0.25">
      <c r="B3322" s="292">
        <v>43</v>
      </c>
      <c r="C3322" s="292"/>
      <c r="D3322" s="292"/>
      <c r="F3322" s="283" t="s">
        <v>95</v>
      </c>
      <c r="G3322" s="283"/>
      <c r="J3322" s="293">
        <v>12</v>
      </c>
      <c r="K3322" s="293"/>
      <c r="L3322" s="293"/>
      <c r="M3322" s="293"/>
      <c r="N3322" s="293"/>
      <c r="P3322" s="42">
        <v>3480</v>
      </c>
      <c r="R3322" s="42">
        <v>960</v>
      </c>
      <c r="T3322" s="284">
        <v>2520</v>
      </c>
      <c r="U3322" s="284"/>
    </row>
    <row r="3323" spans="2:21" x14ac:dyDescent="0.25">
      <c r="B3323" s="292">
        <v>44</v>
      </c>
      <c r="C3323" s="292"/>
      <c r="D3323" s="292"/>
      <c r="F3323" s="283" t="s">
        <v>93</v>
      </c>
      <c r="G3323" s="283"/>
      <c r="J3323" s="293">
        <v>10</v>
      </c>
      <c r="K3323" s="293"/>
      <c r="L3323" s="293"/>
      <c r="M3323" s="293"/>
      <c r="N3323" s="293"/>
      <c r="P3323" s="42">
        <v>5900</v>
      </c>
      <c r="R3323" s="42">
        <v>900</v>
      </c>
      <c r="T3323" s="284">
        <v>5000</v>
      </c>
      <c r="U3323" s="284"/>
    </row>
    <row r="3324" spans="2:21" x14ac:dyDescent="0.25">
      <c r="B3324" s="292">
        <v>45</v>
      </c>
      <c r="C3324" s="292"/>
      <c r="D3324" s="292"/>
      <c r="F3324" s="283" t="s">
        <v>92</v>
      </c>
      <c r="G3324" s="283"/>
      <c r="J3324" s="293">
        <v>9</v>
      </c>
      <c r="K3324" s="293"/>
      <c r="L3324" s="293"/>
      <c r="M3324" s="293"/>
      <c r="N3324" s="293"/>
      <c r="P3324" s="42">
        <v>7680</v>
      </c>
      <c r="R3324" s="42">
        <v>2280</v>
      </c>
      <c r="T3324" s="284">
        <v>5400</v>
      </c>
      <c r="U3324" s="284"/>
    </row>
    <row r="3325" spans="2:21" x14ac:dyDescent="0.25">
      <c r="B3325" s="292">
        <v>46</v>
      </c>
      <c r="C3325" s="292"/>
      <c r="D3325" s="292"/>
      <c r="F3325" s="283" t="s">
        <v>91</v>
      </c>
      <c r="G3325" s="283"/>
      <c r="J3325" s="293">
        <v>8</v>
      </c>
      <c r="K3325" s="293"/>
      <c r="L3325" s="293"/>
      <c r="M3325" s="293"/>
      <c r="N3325" s="293"/>
      <c r="P3325" s="42">
        <v>2000</v>
      </c>
      <c r="R3325" s="42">
        <v>560</v>
      </c>
      <c r="T3325" s="284">
        <v>1440</v>
      </c>
      <c r="U3325" s="284"/>
    </row>
    <row r="3326" spans="2:21" x14ac:dyDescent="0.25">
      <c r="B3326" s="292">
        <v>47</v>
      </c>
      <c r="C3326" s="292"/>
      <c r="D3326" s="292"/>
      <c r="F3326" s="283" t="s">
        <v>90</v>
      </c>
      <c r="G3326" s="283"/>
      <c r="J3326" s="293">
        <v>10</v>
      </c>
      <c r="K3326" s="293"/>
      <c r="L3326" s="293"/>
      <c r="M3326" s="293"/>
      <c r="N3326" s="293"/>
      <c r="P3326" s="42">
        <v>2900</v>
      </c>
      <c r="R3326" s="42">
        <v>800</v>
      </c>
      <c r="T3326" s="284">
        <v>2100</v>
      </c>
      <c r="U3326" s="284"/>
    </row>
    <row r="3327" spans="2:21" x14ac:dyDescent="0.25">
      <c r="B3327" s="292">
        <v>48</v>
      </c>
      <c r="C3327" s="292"/>
      <c r="D3327" s="292"/>
      <c r="F3327" s="283" t="s">
        <v>88</v>
      </c>
      <c r="G3327" s="283"/>
      <c r="J3327" s="293">
        <v>14</v>
      </c>
      <c r="K3327" s="293"/>
      <c r="L3327" s="293"/>
      <c r="M3327" s="293"/>
      <c r="N3327" s="293"/>
      <c r="P3327" s="42">
        <v>2520</v>
      </c>
      <c r="R3327" s="42">
        <v>804</v>
      </c>
      <c r="T3327" s="284">
        <v>1716</v>
      </c>
      <c r="U3327" s="284"/>
    </row>
    <row r="3328" spans="2:21" x14ac:dyDescent="0.25">
      <c r="B3328" s="292">
        <v>49</v>
      </c>
      <c r="C3328" s="292"/>
      <c r="D3328" s="292"/>
      <c r="F3328" s="283" t="s">
        <v>85</v>
      </c>
      <c r="G3328" s="283"/>
      <c r="J3328" s="293">
        <v>2</v>
      </c>
      <c r="K3328" s="293"/>
      <c r="L3328" s="293"/>
      <c r="M3328" s="293"/>
      <c r="N3328" s="293"/>
      <c r="P3328" s="42">
        <v>4160</v>
      </c>
      <c r="R3328" s="42">
        <v>620</v>
      </c>
      <c r="T3328" s="284">
        <v>3540</v>
      </c>
      <c r="U3328" s="284"/>
    </row>
    <row r="3329" spans="1:21" x14ac:dyDescent="0.25">
      <c r="B3329" s="292">
        <v>50</v>
      </c>
      <c r="C3329" s="292"/>
      <c r="D3329" s="292"/>
      <c r="F3329" s="283" t="s">
        <v>84</v>
      </c>
      <c r="G3329" s="283"/>
      <c r="J3329" s="293">
        <v>6</v>
      </c>
      <c r="K3329" s="293"/>
      <c r="L3329" s="293"/>
      <c r="M3329" s="293"/>
      <c r="N3329" s="293"/>
      <c r="P3329" s="42">
        <v>3540</v>
      </c>
      <c r="R3329" s="42">
        <v>1080</v>
      </c>
      <c r="T3329" s="284">
        <v>2460</v>
      </c>
      <c r="U3329" s="284"/>
    </row>
    <row r="3330" spans="1:21" x14ac:dyDescent="0.25">
      <c r="B3330" s="292">
        <v>51</v>
      </c>
      <c r="C3330" s="292"/>
      <c r="D3330" s="292"/>
      <c r="F3330" s="283" t="s">
        <v>82</v>
      </c>
      <c r="G3330" s="283"/>
      <c r="J3330" s="293">
        <v>1</v>
      </c>
      <c r="K3330" s="293"/>
      <c r="L3330" s="293"/>
      <c r="M3330" s="293"/>
      <c r="N3330" s="293"/>
      <c r="P3330" s="42">
        <v>290</v>
      </c>
      <c r="R3330" s="42">
        <v>290</v>
      </c>
      <c r="T3330" s="284">
        <v>0</v>
      </c>
      <c r="U3330" s="284"/>
    </row>
    <row r="3331" spans="1:21" s="40" customFormat="1" x14ac:dyDescent="0.25">
      <c r="A3331" s="290" t="s">
        <v>66</v>
      </c>
      <c r="B3331" s="290"/>
      <c r="C3331" s="290"/>
      <c r="D3331" s="290"/>
      <c r="E3331" s="290"/>
      <c r="F3331" s="290"/>
      <c r="G3331" s="290"/>
      <c r="H3331" s="290"/>
      <c r="I3331" s="290"/>
      <c r="J3331" s="290"/>
      <c r="K3331" s="291">
        <v>19258</v>
      </c>
      <c r="L3331" s="291"/>
      <c r="M3331" s="291"/>
      <c r="N3331" s="291"/>
      <c r="O3331" s="291"/>
      <c r="P3331" s="41">
        <v>17496700</v>
      </c>
      <c r="R3331" s="41">
        <v>14318713</v>
      </c>
      <c r="T3331" s="287">
        <v>3177987</v>
      </c>
      <c r="U3331" s="287"/>
    </row>
    <row r="3332" spans="1:21" x14ac:dyDescent="0.25">
      <c r="B3332" s="292">
        <v>1</v>
      </c>
      <c r="C3332" s="292"/>
      <c r="D3332" s="292"/>
      <c r="F3332" s="283" t="s">
        <v>200</v>
      </c>
      <c r="G3332" s="283"/>
      <c r="J3332" s="293">
        <v>7</v>
      </c>
      <c r="K3332" s="293"/>
      <c r="L3332" s="293"/>
      <c r="M3332" s="293"/>
      <c r="N3332" s="293"/>
      <c r="P3332" s="42">
        <v>3900</v>
      </c>
      <c r="R3332" s="42">
        <v>900</v>
      </c>
      <c r="T3332" s="284">
        <v>3000</v>
      </c>
      <c r="U3332" s="284"/>
    </row>
    <row r="3333" spans="1:21" x14ac:dyDescent="0.25">
      <c r="B3333" s="292">
        <v>2</v>
      </c>
      <c r="C3333" s="292"/>
      <c r="D3333" s="292"/>
      <c r="F3333" s="283" t="s">
        <v>250</v>
      </c>
      <c r="G3333" s="283"/>
      <c r="J3333" s="293">
        <v>6</v>
      </c>
      <c r="K3333" s="293"/>
      <c r="L3333" s="293"/>
      <c r="M3333" s="293"/>
      <c r="N3333" s="293"/>
      <c r="P3333" s="42">
        <v>3000</v>
      </c>
      <c r="R3333" s="42">
        <v>300</v>
      </c>
      <c r="T3333" s="284">
        <v>2700</v>
      </c>
      <c r="U3333" s="284"/>
    </row>
    <row r="3334" spans="1:21" x14ac:dyDescent="0.25">
      <c r="B3334" s="292">
        <v>3</v>
      </c>
      <c r="C3334" s="292"/>
      <c r="D3334" s="292"/>
      <c r="F3334" s="283" t="s">
        <v>79</v>
      </c>
      <c r="G3334" s="283"/>
      <c r="J3334" s="293">
        <v>4</v>
      </c>
      <c r="K3334" s="293"/>
      <c r="L3334" s="293"/>
      <c r="M3334" s="293"/>
      <c r="N3334" s="293"/>
      <c r="P3334" s="42">
        <v>2000</v>
      </c>
      <c r="R3334" s="42">
        <v>600</v>
      </c>
      <c r="T3334" s="284">
        <v>1400</v>
      </c>
      <c r="U3334" s="284"/>
    </row>
    <row r="3335" spans="1:21" x14ac:dyDescent="0.25">
      <c r="B3335" s="292">
        <v>4</v>
      </c>
      <c r="C3335" s="292"/>
      <c r="D3335" s="292"/>
      <c r="F3335" s="283" t="s">
        <v>168</v>
      </c>
      <c r="G3335" s="283"/>
      <c r="J3335" s="293">
        <v>21</v>
      </c>
      <c r="K3335" s="293"/>
      <c r="L3335" s="293"/>
      <c r="M3335" s="293"/>
      <c r="N3335" s="293"/>
      <c r="P3335" s="42">
        <v>46200</v>
      </c>
      <c r="R3335" s="42">
        <v>4950</v>
      </c>
      <c r="T3335" s="284">
        <v>41250</v>
      </c>
      <c r="U3335" s="284"/>
    </row>
    <row r="3336" spans="1:21" x14ac:dyDescent="0.25">
      <c r="B3336" s="292">
        <v>5</v>
      </c>
      <c r="C3336" s="292"/>
      <c r="D3336" s="292"/>
      <c r="F3336" s="283" t="s">
        <v>78</v>
      </c>
      <c r="G3336" s="283"/>
      <c r="J3336" s="293">
        <v>867</v>
      </c>
      <c r="K3336" s="293"/>
      <c r="L3336" s="293"/>
      <c r="M3336" s="293"/>
      <c r="N3336" s="293"/>
      <c r="P3336" s="42">
        <v>251430</v>
      </c>
      <c r="R3336" s="42">
        <v>251430</v>
      </c>
      <c r="T3336" s="284">
        <v>0</v>
      </c>
      <c r="U3336" s="284"/>
    </row>
    <row r="3337" spans="1:21" x14ac:dyDescent="0.25">
      <c r="B3337" s="292">
        <v>6</v>
      </c>
      <c r="C3337" s="292"/>
      <c r="D3337" s="292"/>
      <c r="F3337" s="283" t="s">
        <v>268</v>
      </c>
      <c r="G3337" s="283"/>
      <c r="J3337" s="293">
        <v>4</v>
      </c>
      <c r="K3337" s="293"/>
      <c r="L3337" s="293"/>
      <c r="M3337" s="293"/>
      <c r="N3337" s="293"/>
      <c r="P3337" s="42">
        <v>1000</v>
      </c>
      <c r="R3337" s="42">
        <v>280</v>
      </c>
      <c r="T3337" s="284">
        <v>720</v>
      </c>
      <c r="U3337" s="284"/>
    </row>
    <row r="3338" spans="1:21" x14ac:dyDescent="0.25">
      <c r="B3338" s="292">
        <v>7</v>
      </c>
      <c r="C3338" s="292"/>
      <c r="D3338" s="292"/>
      <c r="F3338" s="283" t="s">
        <v>199</v>
      </c>
      <c r="G3338" s="283"/>
      <c r="J3338" s="293">
        <v>3</v>
      </c>
      <c r="K3338" s="293"/>
      <c r="L3338" s="293"/>
      <c r="M3338" s="293"/>
      <c r="N3338" s="293"/>
      <c r="P3338" s="42">
        <v>870</v>
      </c>
      <c r="R3338" s="42">
        <v>180</v>
      </c>
      <c r="T3338" s="284">
        <v>690</v>
      </c>
      <c r="U3338" s="284"/>
    </row>
    <row r="3339" spans="1:21" x14ac:dyDescent="0.25">
      <c r="B3339" s="292">
        <v>8</v>
      </c>
      <c r="C3339" s="292"/>
      <c r="D3339" s="292"/>
      <c r="F3339" s="283" t="s">
        <v>310</v>
      </c>
      <c r="G3339" s="283"/>
      <c r="J3339" s="293">
        <v>1</v>
      </c>
      <c r="K3339" s="293"/>
      <c r="L3339" s="293"/>
      <c r="M3339" s="293"/>
      <c r="N3339" s="293"/>
      <c r="P3339" s="42">
        <v>2900</v>
      </c>
      <c r="R3339" s="42">
        <v>430</v>
      </c>
      <c r="T3339" s="284">
        <v>2470</v>
      </c>
      <c r="U3339" s="284"/>
    </row>
    <row r="3340" spans="1:21" x14ac:dyDescent="0.25">
      <c r="B3340" s="292">
        <v>9</v>
      </c>
      <c r="C3340" s="292"/>
      <c r="D3340" s="292"/>
      <c r="F3340" s="283" t="s">
        <v>167</v>
      </c>
      <c r="G3340" s="283"/>
      <c r="J3340" s="293">
        <v>2</v>
      </c>
      <c r="K3340" s="293"/>
      <c r="L3340" s="293"/>
      <c r="M3340" s="293"/>
      <c r="N3340" s="293"/>
      <c r="P3340" s="42">
        <v>1140</v>
      </c>
      <c r="R3340" s="42">
        <v>340</v>
      </c>
      <c r="T3340" s="284">
        <v>800</v>
      </c>
      <c r="U3340" s="284"/>
    </row>
    <row r="3341" spans="1:21" x14ac:dyDescent="0.25">
      <c r="B3341" s="292">
        <v>10</v>
      </c>
      <c r="C3341" s="292"/>
      <c r="D3341" s="292"/>
      <c r="F3341" s="283" t="s">
        <v>249</v>
      </c>
      <c r="G3341" s="283"/>
      <c r="J3341" s="293">
        <v>2</v>
      </c>
      <c r="K3341" s="293"/>
      <c r="L3341" s="293"/>
      <c r="M3341" s="293"/>
      <c r="N3341" s="293"/>
      <c r="P3341" s="42">
        <v>2600</v>
      </c>
      <c r="R3341" s="42">
        <v>400</v>
      </c>
      <c r="T3341" s="284">
        <v>2200</v>
      </c>
      <c r="U3341" s="284"/>
    </row>
    <row r="3342" spans="1:21" x14ac:dyDescent="0.25">
      <c r="B3342" s="292">
        <v>11</v>
      </c>
      <c r="C3342" s="292"/>
      <c r="D3342" s="292"/>
      <c r="F3342" s="283" t="s">
        <v>294</v>
      </c>
      <c r="G3342" s="283"/>
      <c r="J3342" s="293">
        <v>5</v>
      </c>
      <c r="K3342" s="293"/>
      <c r="L3342" s="293"/>
      <c r="M3342" s="293"/>
      <c r="N3342" s="293"/>
      <c r="P3342" s="42">
        <v>2500</v>
      </c>
      <c r="R3342" s="42">
        <v>600</v>
      </c>
      <c r="T3342" s="284">
        <v>1900</v>
      </c>
      <c r="U3342" s="284"/>
    </row>
    <row r="3343" spans="1:21" x14ac:dyDescent="0.25">
      <c r="B3343" s="292">
        <v>12</v>
      </c>
      <c r="C3343" s="292"/>
      <c r="D3343" s="292"/>
      <c r="F3343" s="283" t="s">
        <v>345</v>
      </c>
      <c r="G3343" s="283"/>
      <c r="J3343" s="293">
        <v>1</v>
      </c>
      <c r="K3343" s="293"/>
      <c r="L3343" s="293"/>
      <c r="M3343" s="293"/>
      <c r="N3343" s="293"/>
      <c r="P3343" s="42">
        <v>1880</v>
      </c>
      <c r="R3343" s="42">
        <v>280</v>
      </c>
      <c r="T3343" s="284">
        <v>1600</v>
      </c>
      <c r="U3343" s="284"/>
    </row>
    <row r="3344" spans="1:21" x14ac:dyDescent="0.25">
      <c r="B3344" s="292">
        <v>13</v>
      </c>
      <c r="C3344" s="292"/>
      <c r="D3344" s="292"/>
      <c r="F3344" s="283" t="s">
        <v>165</v>
      </c>
      <c r="G3344" s="283"/>
      <c r="J3344" s="293">
        <v>14</v>
      </c>
      <c r="K3344" s="293"/>
      <c r="L3344" s="293"/>
      <c r="M3344" s="293"/>
      <c r="N3344" s="293"/>
      <c r="P3344" s="42">
        <v>8260</v>
      </c>
      <c r="R3344" s="42">
        <v>1800</v>
      </c>
      <c r="T3344" s="284">
        <v>6460</v>
      </c>
      <c r="U3344" s="284"/>
    </row>
    <row r="3345" spans="2:21" x14ac:dyDescent="0.25">
      <c r="B3345" s="292">
        <v>14</v>
      </c>
      <c r="C3345" s="292"/>
      <c r="D3345" s="292"/>
      <c r="F3345" s="283" t="s">
        <v>246</v>
      </c>
      <c r="G3345" s="283"/>
      <c r="J3345" s="293">
        <v>1</v>
      </c>
      <c r="K3345" s="293"/>
      <c r="L3345" s="293"/>
      <c r="M3345" s="293"/>
      <c r="N3345" s="293"/>
      <c r="P3345" s="42">
        <v>990</v>
      </c>
      <c r="R3345" s="42">
        <v>0</v>
      </c>
      <c r="T3345" s="284">
        <v>990</v>
      </c>
      <c r="U3345" s="284"/>
    </row>
    <row r="3346" spans="2:21" x14ac:dyDescent="0.25">
      <c r="B3346" s="292">
        <v>15</v>
      </c>
      <c r="C3346" s="292"/>
      <c r="D3346" s="292"/>
      <c r="F3346" s="283" t="s">
        <v>344</v>
      </c>
      <c r="G3346" s="283"/>
      <c r="J3346" s="293">
        <v>2</v>
      </c>
      <c r="K3346" s="293"/>
      <c r="L3346" s="293"/>
      <c r="M3346" s="293"/>
      <c r="N3346" s="293"/>
      <c r="P3346" s="42">
        <v>700</v>
      </c>
      <c r="R3346" s="42">
        <v>138</v>
      </c>
      <c r="T3346" s="284">
        <v>562</v>
      </c>
      <c r="U3346" s="284"/>
    </row>
    <row r="3347" spans="2:21" x14ac:dyDescent="0.25">
      <c r="B3347" s="292">
        <v>16</v>
      </c>
      <c r="C3347" s="292"/>
      <c r="D3347" s="292"/>
      <c r="F3347" s="283" t="s">
        <v>164</v>
      </c>
      <c r="G3347" s="283"/>
      <c r="J3347" s="293">
        <v>2</v>
      </c>
      <c r="K3347" s="293"/>
      <c r="L3347" s="293"/>
      <c r="M3347" s="293"/>
      <c r="N3347" s="293"/>
      <c r="P3347" s="42">
        <v>1290</v>
      </c>
      <c r="R3347" s="42">
        <v>383</v>
      </c>
      <c r="T3347" s="284">
        <v>907</v>
      </c>
      <c r="U3347" s="284"/>
    </row>
    <row r="3348" spans="2:21" x14ac:dyDescent="0.25">
      <c r="B3348" s="292">
        <v>17</v>
      </c>
      <c r="C3348" s="292"/>
      <c r="D3348" s="292"/>
      <c r="F3348" s="283" t="s">
        <v>245</v>
      </c>
      <c r="G3348" s="283"/>
      <c r="J3348" s="293">
        <v>2</v>
      </c>
      <c r="K3348" s="293"/>
      <c r="L3348" s="293"/>
      <c r="M3348" s="293"/>
      <c r="N3348" s="293"/>
      <c r="P3348" s="42">
        <v>6000</v>
      </c>
      <c r="R3348" s="42">
        <v>1500</v>
      </c>
      <c r="T3348" s="284">
        <v>4500</v>
      </c>
      <c r="U3348" s="284"/>
    </row>
    <row r="3349" spans="2:21" x14ac:dyDescent="0.25">
      <c r="B3349" s="292">
        <v>18</v>
      </c>
      <c r="C3349" s="292"/>
      <c r="D3349" s="292"/>
      <c r="F3349" s="283" t="s">
        <v>163</v>
      </c>
      <c r="G3349" s="283"/>
      <c r="J3349" s="293">
        <v>17</v>
      </c>
      <c r="K3349" s="293"/>
      <c r="L3349" s="293"/>
      <c r="M3349" s="293"/>
      <c r="N3349" s="293"/>
      <c r="P3349" s="42">
        <v>20230</v>
      </c>
      <c r="R3349" s="42">
        <v>2520</v>
      </c>
      <c r="T3349" s="284">
        <v>17710</v>
      </c>
      <c r="U3349" s="284"/>
    </row>
    <row r="3350" spans="2:21" x14ac:dyDescent="0.25">
      <c r="B3350" s="292">
        <v>19</v>
      </c>
      <c r="C3350" s="292"/>
      <c r="D3350" s="292"/>
      <c r="F3350" s="283" t="s">
        <v>162</v>
      </c>
      <c r="G3350" s="283"/>
      <c r="J3350" s="293">
        <v>24</v>
      </c>
      <c r="K3350" s="293"/>
      <c r="L3350" s="293"/>
      <c r="M3350" s="293"/>
      <c r="N3350" s="293"/>
      <c r="P3350" s="42">
        <v>10320</v>
      </c>
      <c r="R3350" s="42">
        <v>4691</v>
      </c>
      <c r="T3350" s="284">
        <v>5629</v>
      </c>
      <c r="U3350" s="284"/>
    </row>
    <row r="3351" spans="2:21" x14ac:dyDescent="0.25">
      <c r="B3351" s="292">
        <v>20</v>
      </c>
      <c r="C3351" s="292"/>
      <c r="D3351" s="292"/>
      <c r="F3351" s="283" t="s">
        <v>160</v>
      </c>
      <c r="G3351" s="283"/>
      <c r="J3351" s="293">
        <v>17</v>
      </c>
      <c r="K3351" s="293"/>
      <c r="L3351" s="293"/>
      <c r="M3351" s="293"/>
      <c r="N3351" s="293"/>
      <c r="P3351" s="42">
        <v>4930</v>
      </c>
      <c r="R3351" s="42">
        <v>1120</v>
      </c>
      <c r="T3351" s="284">
        <v>3810</v>
      </c>
      <c r="U3351" s="284"/>
    </row>
    <row r="3352" spans="2:21" x14ac:dyDescent="0.25">
      <c r="B3352" s="292">
        <v>21</v>
      </c>
      <c r="C3352" s="292"/>
      <c r="D3352" s="292"/>
      <c r="F3352" s="283" t="s">
        <v>159</v>
      </c>
      <c r="G3352" s="283"/>
      <c r="J3352" s="293">
        <v>5</v>
      </c>
      <c r="K3352" s="293"/>
      <c r="L3352" s="293"/>
      <c r="M3352" s="293"/>
      <c r="N3352" s="293"/>
      <c r="P3352" s="42">
        <v>0</v>
      </c>
      <c r="R3352" s="42">
        <v>0</v>
      </c>
      <c r="T3352" s="284">
        <v>0</v>
      </c>
      <c r="U3352" s="284"/>
    </row>
    <row r="3353" spans="2:21" x14ac:dyDescent="0.25">
      <c r="B3353" s="292">
        <v>22</v>
      </c>
      <c r="C3353" s="292"/>
      <c r="D3353" s="292"/>
      <c r="F3353" s="283" t="s">
        <v>266</v>
      </c>
      <c r="G3353" s="283"/>
      <c r="J3353" s="293">
        <v>1</v>
      </c>
      <c r="K3353" s="293"/>
      <c r="L3353" s="293"/>
      <c r="M3353" s="293"/>
      <c r="N3353" s="293"/>
      <c r="P3353" s="42">
        <v>1350</v>
      </c>
      <c r="R3353" s="42">
        <v>400</v>
      </c>
      <c r="T3353" s="284">
        <v>950</v>
      </c>
      <c r="U3353" s="284"/>
    </row>
    <row r="3354" spans="2:21" x14ac:dyDescent="0.25">
      <c r="B3354" s="292">
        <v>23</v>
      </c>
      <c r="C3354" s="292"/>
      <c r="D3354" s="292"/>
      <c r="F3354" s="283" t="s">
        <v>158</v>
      </c>
      <c r="G3354" s="283"/>
      <c r="J3354" s="293">
        <v>2304</v>
      </c>
      <c r="K3354" s="293"/>
      <c r="L3354" s="293"/>
      <c r="M3354" s="293"/>
      <c r="N3354" s="293"/>
      <c r="P3354" s="42">
        <v>1267200</v>
      </c>
      <c r="R3354" s="42">
        <v>311092</v>
      </c>
      <c r="T3354" s="284">
        <v>956108</v>
      </c>
      <c r="U3354" s="284"/>
    </row>
    <row r="3355" spans="2:21" x14ac:dyDescent="0.25">
      <c r="B3355" s="292">
        <v>24</v>
      </c>
      <c r="C3355" s="292"/>
      <c r="D3355" s="292"/>
      <c r="F3355" s="283" t="s">
        <v>157</v>
      </c>
      <c r="G3355" s="283"/>
      <c r="J3355" s="293">
        <v>149</v>
      </c>
      <c r="K3355" s="293"/>
      <c r="L3355" s="293"/>
      <c r="M3355" s="293"/>
      <c r="N3355" s="293"/>
      <c r="P3355" s="42">
        <v>73010</v>
      </c>
      <c r="R3355" s="42">
        <v>27976</v>
      </c>
      <c r="T3355" s="284">
        <v>45034</v>
      </c>
      <c r="U3355" s="284"/>
    </row>
    <row r="3356" spans="2:21" x14ac:dyDescent="0.25">
      <c r="B3356" s="292">
        <v>25</v>
      </c>
      <c r="C3356" s="292"/>
      <c r="D3356" s="292"/>
      <c r="F3356" s="283" t="s">
        <v>293</v>
      </c>
      <c r="G3356" s="283"/>
      <c r="J3356" s="293">
        <v>1</v>
      </c>
      <c r="K3356" s="293"/>
      <c r="L3356" s="293"/>
      <c r="M3356" s="293"/>
      <c r="N3356" s="293"/>
      <c r="P3356" s="42">
        <v>700</v>
      </c>
      <c r="R3356" s="42">
        <v>180</v>
      </c>
      <c r="T3356" s="284">
        <v>520</v>
      </c>
      <c r="U3356" s="284"/>
    </row>
    <row r="3357" spans="2:21" x14ac:dyDescent="0.25">
      <c r="B3357" s="292">
        <v>26</v>
      </c>
      <c r="C3357" s="292"/>
      <c r="D3357" s="292"/>
      <c r="F3357" s="283" t="s">
        <v>196</v>
      </c>
      <c r="G3357" s="283"/>
      <c r="J3357" s="293">
        <v>26</v>
      </c>
      <c r="K3357" s="293"/>
      <c r="L3357" s="293"/>
      <c r="M3357" s="293"/>
      <c r="N3357" s="293"/>
      <c r="P3357" s="42">
        <v>18400</v>
      </c>
      <c r="R3357" s="42">
        <v>7718</v>
      </c>
      <c r="T3357" s="284">
        <v>10682</v>
      </c>
      <c r="U3357" s="284"/>
    </row>
    <row r="3358" spans="2:21" x14ac:dyDescent="0.25">
      <c r="B3358" s="292">
        <v>27</v>
      </c>
      <c r="C3358" s="292"/>
      <c r="D3358" s="292"/>
      <c r="F3358" s="283" t="s">
        <v>328</v>
      </c>
      <c r="G3358" s="283"/>
      <c r="J3358" s="293">
        <v>1</v>
      </c>
      <c r="K3358" s="293"/>
      <c r="L3358" s="293"/>
      <c r="M3358" s="293"/>
      <c r="N3358" s="293"/>
      <c r="P3358" s="42">
        <v>700</v>
      </c>
      <c r="R3358" s="42">
        <v>350</v>
      </c>
      <c r="T3358" s="284">
        <v>350</v>
      </c>
      <c r="U3358" s="284"/>
    </row>
    <row r="3359" spans="2:21" x14ac:dyDescent="0.25">
      <c r="B3359" s="292">
        <v>28</v>
      </c>
      <c r="C3359" s="292"/>
      <c r="D3359" s="292"/>
      <c r="F3359" s="283" t="s">
        <v>77</v>
      </c>
      <c r="G3359" s="283"/>
      <c r="J3359" s="293">
        <v>5636</v>
      </c>
      <c r="K3359" s="293"/>
      <c r="L3359" s="293"/>
      <c r="M3359" s="293"/>
      <c r="N3359" s="293"/>
      <c r="P3359" s="42">
        <v>2258700</v>
      </c>
      <c r="R3359" s="42">
        <v>2258700</v>
      </c>
      <c r="T3359" s="284">
        <v>0</v>
      </c>
      <c r="U3359" s="284"/>
    </row>
    <row r="3360" spans="2:21" x14ac:dyDescent="0.25">
      <c r="B3360" s="292">
        <v>29</v>
      </c>
      <c r="C3360" s="292"/>
      <c r="D3360" s="292"/>
      <c r="F3360" s="283" t="s">
        <v>242</v>
      </c>
      <c r="G3360" s="283"/>
      <c r="J3360" s="293">
        <v>1</v>
      </c>
      <c r="K3360" s="293"/>
      <c r="L3360" s="293"/>
      <c r="M3360" s="293"/>
      <c r="N3360" s="293"/>
      <c r="P3360" s="42">
        <v>500</v>
      </c>
      <c r="R3360" s="42">
        <v>500</v>
      </c>
      <c r="T3360" s="284">
        <v>0</v>
      </c>
      <c r="U3360" s="284"/>
    </row>
    <row r="3361" spans="2:21" x14ac:dyDescent="0.25">
      <c r="B3361" s="292">
        <v>30</v>
      </c>
      <c r="C3361" s="292"/>
      <c r="D3361" s="292"/>
      <c r="F3361" s="283" t="s">
        <v>76</v>
      </c>
      <c r="G3361" s="283"/>
      <c r="J3361" s="293">
        <v>9</v>
      </c>
      <c r="K3361" s="293"/>
      <c r="L3361" s="293"/>
      <c r="M3361" s="293"/>
      <c r="N3361" s="293"/>
      <c r="P3361" s="42">
        <v>5400</v>
      </c>
      <c r="R3361" s="42">
        <v>5400</v>
      </c>
      <c r="T3361" s="284">
        <v>0</v>
      </c>
      <c r="U3361" s="284"/>
    </row>
    <row r="3362" spans="2:21" x14ac:dyDescent="0.25">
      <c r="B3362" s="292">
        <v>31</v>
      </c>
      <c r="C3362" s="292"/>
      <c r="D3362" s="292"/>
      <c r="F3362" s="283" t="s">
        <v>156</v>
      </c>
      <c r="G3362" s="283"/>
      <c r="J3362" s="293">
        <v>21</v>
      </c>
      <c r="K3362" s="293"/>
      <c r="L3362" s="293"/>
      <c r="M3362" s="293"/>
      <c r="N3362" s="293"/>
      <c r="P3362" s="42">
        <v>3990</v>
      </c>
      <c r="R3362" s="42">
        <v>1510</v>
      </c>
      <c r="T3362" s="284">
        <v>2480</v>
      </c>
      <c r="U3362" s="284"/>
    </row>
    <row r="3363" spans="2:21" x14ac:dyDescent="0.25">
      <c r="B3363" s="292">
        <v>32</v>
      </c>
      <c r="C3363" s="292"/>
      <c r="D3363" s="292"/>
      <c r="F3363" s="283" t="s">
        <v>155</v>
      </c>
      <c r="G3363" s="283"/>
      <c r="J3363" s="293">
        <v>428</v>
      </c>
      <c r="K3363" s="293"/>
      <c r="L3363" s="293"/>
      <c r="M3363" s="293"/>
      <c r="N3363" s="293"/>
      <c r="P3363" s="42">
        <v>107000</v>
      </c>
      <c r="R3363" s="42">
        <v>33838</v>
      </c>
      <c r="T3363" s="284">
        <v>73162</v>
      </c>
      <c r="U3363" s="284"/>
    </row>
    <row r="3364" spans="2:21" x14ac:dyDescent="0.25">
      <c r="B3364" s="292">
        <v>33</v>
      </c>
      <c r="C3364" s="292"/>
      <c r="D3364" s="292"/>
      <c r="F3364" s="283" t="s">
        <v>154</v>
      </c>
      <c r="G3364" s="283"/>
      <c r="J3364" s="293">
        <v>3</v>
      </c>
      <c r="K3364" s="293"/>
      <c r="L3364" s="293"/>
      <c r="M3364" s="293"/>
      <c r="N3364" s="293"/>
      <c r="P3364" s="42">
        <v>2670</v>
      </c>
      <c r="R3364" s="42">
        <v>260</v>
      </c>
      <c r="T3364" s="284">
        <v>2410</v>
      </c>
      <c r="U3364" s="284"/>
    </row>
    <row r="3365" spans="2:21" x14ac:dyDescent="0.25">
      <c r="B3365" s="292">
        <v>34</v>
      </c>
      <c r="C3365" s="292"/>
      <c r="D3365" s="292"/>
      <c r="F3365" s="283" t="s">
        <v>239</v>
      </c>
      <c r="G3365" s="283"/>
      <c r="J3365" s="293">
        <v>8</v>
      </c>
      <c r="K3365" s="293"/>
      <c r="L3365" s="293"/>
      <c r="M3365" s="293"/>
      <c r="N3365" s="293"/>
      <c r="P3365" s="42">
        <v>8720</v>
      </c>
      <c r="R3365" s="42">
        <v>0</v>
      </c>
      <c r="T3365" s="284">
        <v>8720</v>
      </c>
      <c r="U3365" s="284"/>
    </row>
    <row r="3366" spans="2:21" x14ac:dyDescent="0.25">
      <c r="B3366" s="292">
        <v>35</v>
      </c>
      <c r="C3366" s="292"/>
      <c r="D3366" s="292"/>
      <c r="F3366" s="283" t="s">
        <v>153</v>
      </c>
      <c r="G3366" s="283"/>
      <c r="J3366" s="293">
        <v>2</v>
      </c>
      <c r="K3366" s="293"/>
      <c r="L3366" s="293"/>
      <c r="M3366" s="293"/>
      <c r="N3366" s="293"/>
      <c r="P3366" s="42">
        <v>2360</v>
      </c>
      <c r="R3366" s="42">
        <v>360</v>
      </c>
      <c r="T3366" s="284">
        <v>2000</v>
      </c>
      <c r="U3366" s="284"/>
    </row>
    <row r="3367" spans="2:21" x14ac:dyDescent="0.25">
      <c r="B3367" s="292">
        <v>36</v>
      </c>
      <c r="C3367" s="292"/>
      <c r="D3367" s="292"/>
      <c r="F3367" s="283" t="s">
        <v>322</v>
      </c>
      <c r="G3367" s="283"/>
      <c r="J3367" s="293">
        <v>1</v>
      </c>
      <c r="K3367" s="293"/>
      <c r="L3367" s="293"/>
      <c r="M3367" s="293"/>
      <c r="N3367" s="293"/>
      <c r="P3367" s="42">
        <v>1180</v>
      </c>
      <c r="R3367" s="42">
        <v>180</v>
      </c>
      <c r="T3367" s="284">
        <v>1000</v>
      </c>
      <c r="U3367" s="284"/>
    </row>
    <row r="3368" spans="2:21" x14ac:dyDescent="0.25">
      <c r="B3368" s="292">
        <v>37</v>
      </c>
      <c r="C3368" s="292"/>
      <c r="D3368" s="292"/>
      <c r="F3368" s="283" t="s">
        <v>195</v>
      </c>
      <c r="G3368" s="283"/>
      <c r="J3368" s="293">
        <v>2</v>
      </c>
      <c r="K3368" s="293"/>
      <c r="L3368" s="293"/>
      <c r="M3368" s="293"/>
      <c r="N3368" s="293"/>
      <c r="P3368" s="42">
        <v>2000</v>
      </c>
      <c r="R3368" s="42">
        <v>350</v>
      </c>
      <c r="T3368" s="284">
        <v>1650</v>
      </c>
      <c r="U3368" s="284"/>
    </row>
    <row r="3369" spans="2:21" x14ac:dyDescent="0.25">
      <c r="B3369" s="292">
        <v>38</v>
      </c>
      <c r="C3369" s="292"/>
      <c r="D3369" s="292"/>
      <c r="F3369" s="283" t="s">
        <v>194</v>
      </c>
      <c r="G3369" s="283"/>
      <c r="J3369" s="293">
        <v>1</v>
      </c>
      <c r="K3369" s="293"/>
      <c r="L3369" s="293"/>
      <c r="M3369" s="293"/>
      <c r="N3369" s="293"/>
      <c r="P3369" s="42">
        <v>700</v>
      </c>
      <c r="R3369" s="42">
        <v>180</v>
      </c>
      <c r="T3369" s="284">
        <v>520</v>
      </c>
      <c r="U3369" s="284"/>
    </row>
    <row r="3370" spans="2:21" x14ac:dyDescent="0.25">
      <c r="B3370" s="292">
        <v>39</v>
      </c>
      <c r="C3370" s="292"/>
      <c r="D3370" s="292"/>
      <c r="F3370" s="283" t="s">
        <v>265</v>
      </c>
      <c r="G3370" s="283"/>
      <c r="J3370" s="293">
        <v>1</v>
      </c>
      <c r="K3370" s="293"/>
      <c r="L3370" s="293"/>
      <c r="M3370" s="293"/>
      <c r="N3370" s="293"/>
      <c r="P3370" s="42">
        <v>300</v>
      </c>
      <c r="R3370" s="42">
        <v>0</v>
      </c>
      <c r="T3370" s="284">
        <v>300</v>
      </c>
      <c r="U3370" s="284"/>
    </row>
    <row r="3371" spans="2:21" x14ac:dyDescent="0.25">
      <c r="B3371" s="292">
        <v>40</v>
      </c>
      <c r="C3371" s="292"/>
      <c r="D3371" s="292"/>
      <c r="F3371" s="283" t="s">
        <v>289</v>
      </c>
      <c r="G3371" s="283"/>
      <c r="J3371" s="293">
        <v>8</v>
      </c>
      <c r="K3371" s="293"/>
      <c r="L3371" s="293"/>
      <c r="M3371" s="293"/>
      <c r="N3371" s="293"/>
      <c r="P3371" s="42">
        <v>4000</v>
      </c>
      <c r="R3371" s="42">
        <v>1150</v>
      </c>
      <c r="T3371" s="284">
        <v>2850</v>
      </c>
      <c r="U3371" s="284"/>
    </row>
    <row r="3372" spans="2:21" x14ac:dyDescent="0.25">
      <c r="B3372" s="292">
        <v>41</v>
      </c>
      <c r="C3372" s="292"/>
      <c r="D3372" s="292"/>
      <c r="F3372" s="283" t="s">
        <v>320</v>
      </c>
      <c r="G3372" s="283"/>
      <c r="J3372" s="293">
        <v>4</v>
      </c>
      <c r="K3372" s="293"/>
      <c r="L3372" s="293"/>
      <c r="M3372" s="293"/>
      <c r="N3372" s="293"/>
      <c r="P3372" s="42">
        <v>2000</v>
      </c>
      <c r="R3372" s="42">
        <v>600</v>
      </c>
      <c r="T3372" s="284">
        <v>1400</v>
      </c>
      <c r="U3372" s="284"/>
    </row>
    <row r="3373" spans="2:21" x14ac:dyDescent="0.25">
      <c r="B3373" s="292">
        <v>42</v>
      </c>
      <c r="C3373" s="292"/>
      <c r="D3373" s="292"/>
      <c r="F3373" s="283" t="s">
        <v>152</v>
      </c>
      <c r="G3373" s="283"/>
      <c r="J3373" s="293">
        <v>354</v>
      </c>
      <c r="K3373" s="293"/>
      <c r="L3373" s="293"/>
      <c r="M3373" s="293"/>
      <c r="N3373" s="293"/>
      <c r="P3373" s="42">
        <v>208860</v>
      </c>
      <c r="R3373" s="42">
        <v>62013</v>
      </c>
      <c r="T3373" s="284">
        <v>146847</v>
      </c>
      <c r="U3373" s="284"/>
    </row>
    <row r="3374" spans="2:21" x14ac:dyDescent="0.25">
      <c r="B3374" s="292">
        <v>43</v>
      </c>
      <c r="C3374" s="292"/>
      <c r="D3374" s="292"/>
      <c r="F3374" s="283" t="s">
        <v>151</v>
      </c>
      <c r="G3374" s="283"/>
      <c r="J3374" s="293">
        <v>62</v>
      </c>
      <c r="K3374" s="293"/>
      <c r="L3374" s="293"/>
      <c r="M3374" s="293"/>
      <c r="N3374" s="293"/>
      <c r="P3374" s="42">
        <v>14260</v>
      </c>
      <c r="R3374" s="42">
        <v>3980</v>
      </c>
      <c r="T3374" s="284">
        <v>10280</v>
      </c>
      <c r="U3374" s="284"/>
    </row>
    <row r="3375" spans="2:21" x14ac:dyDescent="0.25">
      <c r="B3375" s="292">
        <v>44</v>
      </c>
      <c r="C3375" s="292"/>
      <c r="D3375" s="292"/>
      <c r="F3375" s="283" t="s">
        <v>150</v>
      </c>
      <c r="G3375" s="283"/>
      <c r="J3375" s="293">
        <v>47</v>
      </c>
      <c r="K3375" s="293"/>
      <c r="L3375" s="293"/>
      <c r="M3375" s="293"/>
      <c r="N3375" s="293"/>
      <c r="P3375" s="42">
        <v>7990</v>
      </c>
      <c r="R3375" s="42">
        <v>2000</v>
      </c>
      <c r="T3375" s="284">
        <v>5990</v>
      </c>
      <c r="U3375" s="284"/>
    </row>
    <row r="3376" spans="2:21" x14ac:dyDescent="0.25">
      <c r="B3376" s="292">
        <v>45</v>
      </c>
      <c r="C3376" s="292"/>
      <c r="D3376" s="292"/>
      <c r="F3376" s="283" t="s">
        <v>149</v>
      </c>
      <c r="G3376" s="283"/>
      <c r="J3376" s="293">
        <v>3</v>
      </c>
      <c r="K3376" s="293"/>
      <c r="L3376" s="293"/>
      <c r="M3376" s="293"/>
      <c r="N3376" s="293"/>
      <c r="P3376" s="42">
        <v>150</v>
      </c>
      <c r="R3376" s="42">
        <v>10</v>
      </c>
      <c r="T3376" s="284">
        <v>140</v>
      </c>
      <c r="U3376" s="284"/>
    </row>
    <row r="3377" spans="2:21" x14ac:dyDescent="0.25">
      <c r="B3377" s="292">
        <v>46</v>
      </c>
      <c r="C3377" s="292"/>
      <c r="D3377" s="292"/>
      <c r="F3377" s="283" t="s">
        <v>237</v>
      </c>
      <c r="G3377" s="283"/>
      <c r="J3377" s="293">
        <v>1</v>
      </c>
      <c r="K3377" s="293"/>
      <c r="L3377" s="293"/>
      <c r="M3377" s="293"/>
      <c r="N3377" s="293"/>
      <c r="P3377" s="42">
        <v>800</v>
      </c>
      <c r="R3377" s="42">
        <v>200</v>
      </c>
      <c r="T3377" s="284">
        <v>600</v>
      </c>
      <c r="U3377" s="284"/>
    </row>
    <row r="3378" spans="2:21" x14ac:dyDescent="0.25">
      <c r="B3378" s="292">
        <v>47</v>
      </c>
      <c r="C3378" s="292"/>
      <c r="D3378" s="292"/>
      <c r="F3378" s="283" t="s">
        <v>288</v>
      </c>
      <c r="G3378" s="283"/>
      <c r="J3378" s="293">
        <v>6</v>
      </c>
      <c r="K3378" s="293"/>
      <c r="L3378" s="293"/>
      <c r="M3378" s="293"/>
      <c r="N3378" s="293"/>
      <c r="P3378" s="42">
        <v>4900</v>
      </c>
      <c r="R3378" s="42">
        <v>2520</v>
      </c>
      <c r="T3378" s="284">
        <v>2380</v>
      </c>
      <c r="U3378" s="284"/>
    </row>
    <row r="3379" spans="2:21" x14ac:dyDescent="0.25">
      <c r="B3379" s="292">
        <v>48</v>
      </c>
      <c r="C3379" s="292"/>
      <c r="D3379" s="292"/>
      <c r="F3379" s="283" t="s">
        <v>234</v>
      </c>
      <c r="G3379" s="283"/>
      <c r="J3379" s="293">
        <v>4</v>
      </c>
      <c r="K3379" s="293"/>
      <c r="L3379" s="293"/>
      <c r="M3379" s="293"/>
      <c r="N3379" s="293"/>
      <c r="P3379" s="42">
        <v>3200</v>
      </c>
      <c r="R3379" s="42">
        <v>1800</v>
      </c>
      <c r="T3379" s="284">
        <v>1400</v>
      </c>
      <c r="U3379" s="284"/>
    </row>
    <row r="3380" spans="2:21" x14ac:dyDescent="0.25">
      <c r="B3380" s="292">
        <v>49</v>
      </c>
      <c r="C3380" s="292"/>
      <c r="D3380" s="292"/>
      <c r="F3380" s="283" t="s">
        <v>287</v>
      </c>
      <c r="G3380" s="283"/>
      <c r="J3380" s="293">
        <v>4</v>
      </c>
      <c r="K3380" s="293"/>
      <c r="L3380" s="293"/>
      <c r="M3380" s="293"/>
      <c r="N3380" s="293"/>
      <c r="P3380" s="42">
        <v>3200</v>
      </c>
      <c r="R3380" s="42">
        <v>1484</v>
      </c>
      <c r="T3380" s="284">
        <v>1716</v>
      </c>
      <c r="U3380" s="284"/>
    </row>
    <row r="3381" spans="2:21" x14ac:dyDescent="0.25">
      <c r="B3381" s="292">
        <v>50</v>
      </c>
      <c r="C3381" s="292"/>
      <c r="D3381" s="292"/>
      <c r="F3381" s="283" t="s">
        <v>286</v>
      </c>
      <c r="G3381" s="283"/>
      <c r="J3381" s="293">
        <v>1</v>
      </c>
      <c r="K3381" s="293"/>
      <c r="L3381" s="293"/>
      <c r="M3381" s="293"/>
      <c r="N3381" s="293"/>
      <c r="P3381" s="42">
        <v>900</v>
      </c>
      <c r="R3381" s="42">
        <v>0</v>
      </c>
      <c r="T3381" s="284">
        <v>900</v>
      </c>
      <c r="U3381" s="284"/>
    </row>
    <row r="3382" spans="2:21" x14ac:dyDescent="0.25">
      <c r="B3382" s="292">
        <v>51</v>
      </c>
      <c r="C3382" s="292"/>
      <c r="D3382" s="292"/>
      <c r="F3382" s="283" t="s">
        <v>232</v>
      </c>
      <c r="G3382" s="283"/>
      <c r="J3382" s="293">
        <v>1</v>
      </c>
      <c r="K3382" s="293"/>
      <c r="L3382" s="293"/>
      <c r="M3382" s="293"/>
      <c r="N3382" s="293"/>
      <c r="P3382" s="42">
        <v>980</v>
      </c>
      <c r="R3382" s="42">
        <v>150</v>
      </c>
      <c r="T3382" s="284">
        <v>830</v>
      </c>
      <c r="U3382" s="284"/>
    </row>
    <row r="3383" spans="2:21" x14ac:dyDescent="0.25">
      <c r="B3383" s="292">
        <v>52</v>
      </c>
      <c r="C3383" s="292"/>
      <c r="D3383" s="292"/>
      <c r="F3383" s="283" t="s">
        <v>193</v>
      </c>
      <c r="G3383" s="283"/>
      <c r="J3383" s="293">
        <v>2</v>
      </c>
      <c r="K3383" s="293"/>
      <c r="L3383" s="293"/>
      <c r="M3383" s="293"/>
      <c r="N3383" s="293"/>
      <c r="P3383" s="42">
        <v>1780</v>
      </c>
      <c r="R3383" s="42">
        <v>260</v>
      </c>
      <c r="T3383" s="284">
        <v>1520</v>
      </c>
      <c r="U3383" s="284"/>
    </row>
    <row r="3384" spans="2:21" x14ac:dyDescent="0.25">
      <c r="B3384" s="292">
        <v>53</v>
      </c>
      <c r="C3384" s="292"/>
      <c r="D3384" s="292"/>
      <c r="F3384" s="283" t="s">
        <v>142</v>
      </c>
      <c r="G3384" s="283"/>
      <c r="J3384" s="293">
        <v>15</v>
      </c>
      <c r="K3384" s="293"/>
      <c r="L3384" s="293"/>
      <c r="M3384" s="293"/>
      <c r="N3384" s="293"/>
      <c r="P3384" s="42">
        <v>5250</v>
      </c>
      <c r="R3384" s="42">
        <v>2250</v>
      </c>
      <c r="T3384" s="284">
        <v>3000</v>
      </c>
      <c r="U3384" s="284"/>
    </row>
    <row r="3385" spans="2:21" x14ac:dyDescent="0.25">
      <c r="B3385" s="292">
        <v>54</v>
      </c>
      <c r="C3385" s="292"/>
      <c r="D3385" s="292"/>
      <c r="F3385" s="283" t="s">
        <v>75</v>
      </c>
      <c r="G3385" s="283"/>
      <c r="J3385" s="293">
        <v>4178</v>
      </c>
      <c r="K3385" s="293"/>
      <c r="L3385" s="293"/>
      <c r="M3385" s="293"/>
      <c r="N3385" s="293"/>
      <c r="P3385" s="42">
        <v>10445000</v>
      </c>
      <c r="R3385" s="42">
        <v>10444860</v>
      </c>
      <c r="T3385" s="284">
        <v>140</v>
      </c>
      <c r="U3385" s="284"/>
    </row>
    <row r="3386" spans="2:21" x14ac:dyDescent="0.25">
      <c r="B3386" s="292">
        <v>55</v>
      </c>
      <c r="C3386" s="292"/>
      <c r="D3386" s="292"/>
      <c r="F3386" s="283" t="s">
        <v>140</v>
      </c>
      <c r="G3386" s="283"/>
      <c r="J3386" s="293">
        <v>1</v>
      </c>
      <c r="K3386" s="293"/>
      <c r="L3386" s="293"/>
      <c r="M3386" s="293"/>
      <c r="N3386" s="293"/>
      <c r="P3386" s="42">
        <v>290</v>
      </c>
      <c r="R3386" s="42">
        <v>80</v>
      </c>
      <c r="T3386" s="284">
        <v>210</v>
      </c>
      <c r="U3386" s="284"/>
    </row>
    <row r="3387" spans="2:21" x14ac:dyDescent="0.25">
      <c r="B3387" s="292">
        <v>56</v>
      </c>
      <c r="C3387" s="292"/>
      <c r="D3387" s="292"/>
      <c r="F3387" s="283" t="s">
        <v>302</v>
      </c>
      <c r="G3387" s="283"/>
      <c r="J3387" s="293">
        <v>9</v>
      </c>
      <c r="K3387" s="293"/>
      <c r="L3387" s="293"/>
      <c r="M3387" s="293"/>
      <c r="N3387" s="293"/>
      <c r="P3387" s="42">
        <v>7200</v>
      </c>
      <c r="R3387" s="42">
        <v>3501</v>
      </c>
      <c r="T3387" s="284">
        <v>3699</v>
      </c>
      <c r="U3387" s="284"/>
    </row>
    <row r="3388" spans="2:21" x14ac:dyDescent="0.25">
      <c r="B3388" s="292">
        <v>57</v>
      </c>
      <c r="C3388" s="292"/>
      <c r="D3388" s="292"/>
      <c r="F3388" s="283" t="s">
        <v>138</v>
      </c>
      <c r="G3388" s="283"/>
      <c r="J3388" s="293">
        <v>4</v>
      </c>
      <c r="K3388" s="293"/>
      <c r="L3388" s="293"/>
      <c r="M3388" s="293"/>
      <c r="N3388" s="293"/>
      <c r="P3388" s="42">
        <v>3200</v>
      </c>
      <c r="R3388" s="42">
        <v>1800</v>
      </c>
      <c r="T3388" s="284">
        <v>1400</v>
      </c>
      <c r="U3388" s="284"/>
    </row>
    <row r="3389" spans="2:21" x14ac:dyDescent="0.25">
      <c r="B3389" s="292">
        <v>58</v>
      </c>
      <c r="C3389" s="292"/>
      <c r="D3389" s="292"/>
      <c r="F3389" s="283" t="s">
        <v>137</v>
      </c>
      <c r="G3389" s="283"/>
      <c r="J3389" s="293">
        <v>6</v>
      </c>
      <c r="K3389" s="293"/>
      <c r="L3389" s="293"/>
      <c r="M3389" s="293"/>
      <c r="N3389" s="293"/>
      <c r="P3389" s="42">
        <v>4800</v>
      </c>
      <c r="R3389" s="42">
        <v>2400</v>
      </c>
      <c r="T3389" s="284">
        <v>2400</v>
      </c>
      <c r="U3389" s="284"/>
    </row>
    <row r="3390" spans="2:21" x14ac:dyDescent="0.25">
      <c r="B3390" s="292">
        <v>59</v>
      </c>
      <c r="C3390" s="292"/>
      <c r="D3390" s="292"/>
      <c r="F3390" s="283" t="s">
        <v>136</v>
      </c>
      <c r="G3390" s="283"/>
      <c r="J3390" s="293">
        <v>130</v>
      </c>
      <c r="K3390" s="293"/>
      <c r="L3390" s="293"/>
      <c r="M3390" s="293"/>
      <c r="N3390" s="293"/>
      <c r="P3390" s="42">
        <v>110500</v>
      </c>
      <c r="R3390" s="42">
        <v>20356</v>
      </c>
      <c r="T3390" s="284">
        <v>90144</v>
      </c>
      <c r="U3390" s="284"/>
    </row>
    <row r="3391" spans="2:21" x14ac:dyDescent="0.25">
      <c r="B3391" s="292">
        <v>60</v>
      </c>
      <c r="C3391" s="292"/>
      <c r="D3391" s="292"/>
      <c r="F3391" s="283" t="s">
        <v>74</v>
      </c>
      <c r="G3391" s="283"/>
      <c r="J3391" s="293">
        <v>377</v>
      </c>
      <c r="K3391" s="293"/>
      <c r="L3391" s="293"/>
      <c r="M3391" s="293"/>
      <c r="N3391" s="293"/>
      <c r="P3391" s="42">
        <v>320450</v>
      </c>
      <c r="R3391" s="42">
        <v>320450</v>
      </c>
      <c r="T3391" s="284">
        <v>0</v>
      </c>
      <c r="U3391" s="284"/>
    </row>
    <row r="3392" spans="2:21" x14ac:dyDescent="0.25">
      <c r="B3392" s="292">
        <v>61</v>
      </c>
      <c r="C3392" s="292"/>
      <c r="D3392" s="292"/>
      <c r="F3392" s="283" t="s">
        <v>352</v>
      </c>
      <c r="G3392" s="283"/>
      <c r="J3392" s="293">
        <v>1</v>
      </c>
      <c r="K3392" s="293"/>
      <c r="L3392" s="293"/>
      <c r="M3392" s="293"/>
      <c r="N3392" s="293"/>
      <c r="P3392" s="42">
        <v>800</v>
      </c>
      <c r="R3392" s="42">
        <v>450</v>
      </c>
      <c r="T3392" s="284">
        <v>350</v>
      </c>
      <c r="U3392" s="284"/>
    </row>
    <row r="3393" spans="2:21" x14ac:dyDescent="0.25">
      <c r="B3393" s="292">
        <v>62</v>
      </c>
      <c r="C3393" s="292"/>
      <c r="D3393" s="292"/>
      <c r="F3393" s="283" t="s">
        <v>190</v>
      </c>
      <c r="G3393" s="283"/>
      <c r="J3393" s="293">
        <v>18</v>
      </c>
      <c r="K3393" s="293"/>
      <c r="L3393" s="293"/>
      <c r="M3393" s="293"/>
      <c r="N3393" s="293"/>
      <c r="P3393" s="42">
        <v>28260</v>
      </c>
      <c r="R3393" s="42">
        <v>3600</v>
      </c>
      <c r="T3393" s="284">
        <v>24660</v>
      </c>
      <c r="U3393" s="284"/>
    </row>
    <row r="3394" spans="2:21" x14ac:dyDescent="0.25">
      <c r="B3394" s="292">
        <v>63</v>
      </c>
      <c r="C3394" s="292"/>
      <c r="D3394" s="292"/>
      <c r="F3394" s="283" t="s">
        <v>230</v>
      </c>
      <c r="G3394" s="283"/>
      <c r="J3394" s="293">
        <v>2</v>
      </c>
      <c r="K3394" s="293"/>
      <c r="L3394" s="293"/>
      <c r="M3394" s="293"/>
      <c r="N3394" s="293"/>
      <c r="P3394" s="42">
        <v>1900</v>
      </c>
      <c r="R3394" s="42">
        <v>280</v>
      </c>
      <c r="T3394" s="284">
        <v>1620</v>
      </c>
      <c r="U3394" s="284"/>
    </row>
    <row r="3395" spans="2:21" x14ac:dyDescent="0.25">
      <c r="B3395" s="292">
        <v>64</v>
      </c>
      <c r="C3395" s="292"/>
      <c r="D3395" s="292"/>
      <c r="F3395" s="283" t="s">
        <v>135</v>
      </c>
      <c r="G3395" s="283"/>
      <c r="J3395" s="293">
        <v>44</v>
      </c>
      <c r="K3395" s="293"/>
      <c r="L3395" s="293"/>
      <c r="M3395" s="293"/>
      <c r="N3395" s="293"/>
      <c r="P3395" s="42">
        <v>41800</v>
      </c>
      <c r="R3395" s="42">
        <v>12093</v>
      </c>
      <c r="T3395" s="284">
        <v>29707</v>
      </c>
      <c r="U3395" s="284"/>
    </row>
    <row r="3396" spans="2:21" x14ac:dyDescent="0.25">
      <c r="B3396" s="292">
        <v>65</v>
      </c>
      <c r="C3396" s="292"/>
      <c r="D3396" s="292"/>
      <c r="F3396" s="283" t="s">
        <v>229</v>
      </c>
      <c r="G3396" s="283"/>
      <c r="J3396" s="293">
        <v>4</v>
      </c>
      <c r="K3396" s="293"/>
      <c r="L3396" s="293"/>
      <c r="M3396" s="293"/>
      <c r="N3396" s="293"/>
      <c r="P3396" s="42">
        <v>28000</v>
      </c>
      <c r="R3396" s="42">
        <v>9300</v>
      </c>
      <c r="T3396" s="284">
        <v>18700</v>
      </c>
      <c r="U3396" s="284"/>
    </row>
    <row r="3397" spans="2:21" x14ac:dyDescent="0.25">
      <c r="B3397" s="292">
        <v>66</v>
      </c>
      <c r="C3397" s="292"/>
      <c r="D3397" s="292"/>
      <c r="F3397" s="283" t="s">
        <v>132</v>
      </c>
      <c r="G3397" s="283"/>
      <c r="J3397" s="293">
        <v>41</v>
      </c>
      <c r="K3397" s="293"/>
      <c r="L3397" s="293"/>
      <c r="M3397" s="293"/>
      <c r="N3397" s="293"/>
      <c r="P3397" s="42">
        <v>50840</v>
      </c>
      <c r="R3397" s="42">
        <v>14864</v>
      </c>
      <c r="T3397" s="284">
        <v>35976</v>
      </c>
      <c r="U3397" s="284"/>
    </row>
    <row r="3398" spans="2:21" x14ac:dyDescent="0.25">
      <c r="B3398" s="292">
        <v>67</v>
      </c>
      <c r="C3398" s="292"/>
      <c r="D3398" s="292"/>
      <c r="F3398" s="283" t="s">
        <v>131</v>
      </c>
      <c r="G3398" s="283"/>
      <c r="J3398" s="293">
        <v>8</v>
      </c>
      <c r="K3398" s="293"/>
      <c r="L3398" s="293"/>
      <c r="M3398" s="293"/>
      <c r="N3398" s="293"/>
      <c r="P3398" s="42">
        <v>29600</v>
      </c>
      <c r="R3398" s="42">
        <v>5600</v>
      </c>
      <c r="T3398" s="284">
        <v>24000</v>
      </c>
      <c r="U3398" s="284"/>
    </row>
    <row r="3399" spans="2:21" x14ac:dyDescent="0.25">
      <c r="B3399" s="292">
        <v>68</v>
      </c>
      <c r="C3399" s="292"/>
      <c r="D3399" s="292"/>
      <c r="F3399" s="283" t="s">
        <v>130</v>
      </c>
      <c r="G3399" s="283"/>
      <c r="J3399" s="293">
        <v>7</v>
      </c>
      <c r="K3399" s="293"/>
      <c r="L3399" s="293"/>
      <c r="M3399" s="293"/>
      <c r="N3399" s="293"/>
      <c r="P3399" s="42">
        <v>56000</v>
      </c>
      <c r="R3399" s="42">
        <v>28700</v>
      </c>
      <c r="T3399" s="284">
        <v>27300</v>
      </c>
      <c r="U3399" s="284"/>
    </row>
    <row r="3400" spans="2:21" x14ac:dyDescent="0.25">
      <c r="B3400" s="292">
        <v>69</v>
      </c>
      <c r="C3400" s="292"/>
      <c r="D3400" s="292"/>
      <c r="F3400" s="283" t="s">
        <v>185</v>
      </c>
      <c r="G3400" s="283"/>
      <c r="J3400" s="293">
        <v>3</v>
      </c>
      <c r="K3400" s="293"/>
      <c r="L3400" s="293"/>
      <c r="M3400" s="293"/>
      <c r="N3400" s="293"/>
      <c r="P3400" s="42">
        <v>2400</v>
      </c>
      <c r="R3400" s="42">
        <v>1350</v>
      </c>
      <c r="T3400" s="284">
        <v>1050</v>
      </c>
      <c r="U3400" s="284"/>
    </row>
    <row r="3401" spans="2:21" x14ac:dyDescent="0.25">
      <c r="B3401" s="292">
        <v>70</v>
      </c>
      <c r="C3401" s="292"/>
      <c r="D3401" s="292"/>
      <c r="F3401" s="283" t="s">
        <v>283</v>
      </c>
      <c r="G3401" s="283"/>
      <c r="J3401" s="293">
        <v>5</v>
      </c>
      <c r="K3401" s="293"/>
      <c r="L3401" s="293"/>
      <c r="M3401" s="293"/>
      <c r="N3401" s="293"/>
      <c r="P3401" s="42">
        <v>4000</v>
      </c>
      <c r="R3401" s="42">
        <v>1790</v>
      </c>
      <c r="T3401" s="284">
        <v>2210</v>
      </c>
      <c r="U3401" s="284"/>
    </row>
    <row r="3402" spans="2:21" x14ac:dyDescent="0.25">
      <c r="B3402" s="292">
        <v>71</v>
      </c>
      <c r="C3402" s="292"/>
      <c r="D3402" s="292"/>
      <c r="F3402" s="283" t="s">
        <v>128</v>
      </c>
      <c r="G3402" s="283"/>
      <c r="J3402" s="293">
        <v>6</v>
      </c>
      <c r="K3402" s="293"/>
      <c r="L3402" s="293"/>
      <c r="M3402" s="293"/>
      <c r="N3402" s="293"/>
      <c r="P3402" s="42">
        <v>6900</v>
      </c>
      <c r="R3402" s="42">
        <v>1020</v>
      </c>
      <c r="T3402" s="284">
        <v>5880</v>
      </c>
      <c r="U3402" s="284"/>
    </row>
    <row r="3403" spans="2:21" x14ac:dyDescent="0.25">
      <c r="B3403" s="292">
        <v>72</v>
      </c>
      <c r="C3403" s="292"/>
      <c r="D3403" s="292"/>
      <c r="F3403" s="283" t="s">
        <v>127</v>
      </c>
      <c r="G3403" s="283"/>
      <c r="J3403" s="293">
        <v>47</v>
      </c>
      <c r="K3403" s="293"/>
      <c r="L3403" s="293"/>
      <c r="M3403" s="293"/>
      <c r="N3403" s="293"/>
      <c r="P3403" s="42">
        <v>14100</v>
      </c>
      <c r="R3403" s="42">
        <v>3813</v>
      </c>
      <c r="T3403" s="284">
        <v>10287</v>
      </c>
      <c r="U3403" s="284"/>
    </row>
    <row r="3404" spans="2:21" x14ac:dyDescent="0.25">
      <c r="B3404" s="292">
        <v>73</v>
      </c>
      <c r="C3404" s="292"/>
      <c r="D3404" s="292"/>
      <c r="F3404" s="283" t="s">
        <v>126</v>
      </c>
      <c r="G3404" s="283"/>
      <c r="J3404" s="293">
        <v>46</v>
      </c>
      <c r="K3404" s="293"/>
      <c r="L3404" s="293"/>
      <c r="M3404" s="293"/>
      <c r="N3404" s="293"/>
      <c r="P3404" s="42">
        <v>9200</v>
      </c>
      <c r="R3404" s="42">
        <v>2541</v>
      </c>
      <c r="T3404" s="284">
        <v>6659</v>
      </c>
      <c r="U3404" s="284"/>
    </row>
    <row r="3405" spans="2:21" x14ac:dyDescent="0.25">
      <c r="B3405" s="292">
        <v>74</v>
      </c>
      <c r="C3405" s="292"/>
      <c r="D3405" s="292"/>
      <c r="F3405" s="283" t="s">
        <v>125</v>
      </c>
      <c r="G3405" s="283"/>
      <c r="J3405" s="293">
        <v>3</v>
      </c>
      <c r="K3405" s="293"/>
      <c r="L3405" s="293"/>
      <c r="M3405" s="293"/>
      <c r="N3405" s="293"/>
      <c r="P3405" s="42">
        <v>1200</v>
      </c>
      <c r="R3405" s="42">
        <v>360</v>
      </c>
      <c r="T3405" s="284">
        <v>840</v>
      </c>
      <c r="U3405" s="284"/>
    </row>
    <row r="3406" spans="2:21" x14ac:dyDescent="0.25">
      <c r="B3406" s="292">
        <v>75</v>
      </c>
      <c r="C3406" s="292"/>
      <c r="D3406" s="292"/>
      <c r="F3406" s="283" t="s">
        <v>124</v>
      </c>
      <c r="G3406" s="283"/>
      <c r="J3406" s="293">
        <v>8</v>
      </c>
      <c r="K3406" s="293"/>
      <c r="L3406" s="293"/>
      <c r="M3406" s="293"/>
      <c r="N3406" s="293"/>
      <c r="P3406" s="42">
        <v>5480</v>
      </c>
      <c r="R3406" s="42">
        <v>1500</v>
      </c>
      <c r="T3406" s="284">
        <v>3980</v>
      </c>
      <c r="U3406" s="284"/>
    </row>
    <row r="3407" spans="2:21" x14ac:dyDescent="0.25">
      <c r="B3407" s="292">
        <v>76</v>
      </c>
      <c r="C3407" s="292"/>
      <c r="D3407" s="292"/>
      <c r="F3407" s="283" t="s">
        <v>123</v>
      </c>
      <c r="G3407" s="283"/>
      <c r="J3407" s="293">
        <v>31</v>
      </c>
      <c r="K3407" s="293"/>
      <c r="L3407" s="293"/>
      <c r="M3407" s="293"/>
      <c r="N3407" s="293"/>
      <c r="P3407" s="42">
        <v>24180</v>
      </c>
      <c r="R3407" s="42">
        <v>7130</v>
      </c>
      <c r="T3407" s="284">
        <v>17050</v>
      </c>
      <c r="U3407" s="284"/>
    </row>
    <row r="3408" spans="2:21" x14ac:dyDescent="0.25">
      <c r="B3408" s="292">
        <v>77</v>
      </c>
      <c r="C3408" s="292"/>
      <c r="D3408" s="292"/>
      <c r="F3408" s="283" t="s">
        <v>184</v>
      </c>
      <c r="G3408" s="283"/>
      <c r="J3408" s="293">
        <v>3</v>
      </c>
      <c r="K3408" s="293"/>
      <c r="L3408" s="293"/>
      <c r="M3408" s="293"/>
      <c r="N3408" s="293"/>
      <c r="P3408" s="42">
        <v>3240</v>
      </c>
      <c r="R3408" s="42">
        <v>480</v>
      </c>
      <c r="T3408" s="284">
        <v>2760</v>
      </c>
      <c r="U3408" s="284"/>
    </row>
    <row r="3409" spans="2:21" x14ac:dyDescent="0.25">
      <c r="B3409" s="292">
        <v>78</v>
      </c>
      <c r="C3409" s="292"/>
      <c r="D3409" s="292"/>
      <c r="F3409" s="283" t="s">
        <v>183</v>
      </c>
      <c r="G3409" s="283"/>
      <c r="J3409" s="293">
        <v>6</v>
      </c>
      <c r="K3409" s="293"/>
      <c r="L3409" s="293"/>
      <c r="M3409" s="293"/>
      <c r="N3409" s="293"/>
      <c r="P3409" s="42">
        <v>2640</v>
      </c>
      <c r="R3409" s="42">
        <v>520</v>
      </c>
      <c r="T3409" s="284">
        <v>2120</v>
      </c>
      <c r="U3409" s="284"/>
    </row>
    <row r="3410" spans="2:21" x14ac:dyDescent="0.25">
      <c r="B3410" s="292">
        <v>79</v>
      </c>
      <c r="C3410" s="292"/>
      <c r="D3410" s="292"/>
      <c r="F3410" s="283" t="s">
        <v>227</v>
      </c>
      <c r="G3410" s="283"/>
      <c r="J3410" s="293">
        <v>4</v>
      </c>
      <c r="K3410" s="293"/>
      <c r="L3410" s="293"/>
      <c r="M3410" s="293"/>
      <c r="N3410" s="293"/>
      <c r="P3410" s="42">
        <v>2000</v>
      </c>
      <c r="R3410" s="42">
        <v>500</v>
      </c>
      <c r="T3410" s="284">
        <v>1500</v>
      </c>
      <c r="U3410" s="284"/>
    </row>
    <row r="3411" spans="2:21" x14ac:dyDescent="0.25">
      <c r="B3411" s="292">
        <v>80</v>
      </c>
      <c r="C3411" s="292"/>
      <c r="D3411" s="292"/>
      <c r="F3411" s="283" t="s">
        <v>122</v>
      </c>
      <c r="G3411" s="283"/>
      <c r="J3411" s="293">
        <v>17</v>
      </c>
      <c r="K3411" s="293"/>
      <c r="L3411" s="293"/>
      <c r="M3411" s="293"/>
      <c r="N3411" s="293"/>
      <c r="P3411" s="42">
        <v>8900</v>
      </c>
      <c r="R3411" s="42">
        <v>2470</v>
      </c>
      <c r="T3411" s="284">
        <v>6430</v>
      </c>
      <c r="U3411" s="284"/>
    </row>
    <row r="3412" spans="2:21" x14ac:dyDescent="0.25">
      <c r="B3412" s="292">
        <v>81</v>
      </c>
      <c r="C3412" s="292"/>
      <c r="D3412" s="292"/>
      <c r="F3412" s="283" t="s">
        <v>121</v>
      </c>
      <c r="G3412" s="283"/>
      <c r="J3412" s="293">
        <v>18</v>
      </c>
      <c r="K3412" s="293"/>
      <c r="L3412" s="293"/>
      <c r="M3412" s="293"/>
      <c r="N3412" s="293"/>
      <c r="P3412" s="42">
        <v>9000</v>
      </c>
      <c r="R3412" s="42">
        <v>2045</v>
      </c>
      <c r="T3412" s="284">
        <v>6955</v>
      </c>
      <c r="U3412" s="284"/>
    </row>
    <row r="3413" spans="2:21" x14ac:dyDescent="0.25">
      <c r="B3413" s="292">
        <v>82</v>
      </c>
      <c r="C3413" s="292"/>
      <c r="D3413" s="292"/>
      <c r="F3413" s="283" t="s">
        <v>120</v>
      </c>
      <c r="G3413" s="283"/>
      <c r="J3413" s="293">
        <v>1</v>
      </c>
      <c r="K3413" s="293"/>
      <c r="L3413" s="293"/>
      <c r="M3413" s="293"/>
      <c r="N3413" s="293"/>
      <c r="P3413" s="42">
        <v>350</v>
      </c>
      <c r="R3413" s="42">
        <v>60</v>
      </c>
      <c r="T3413" s="284">
        <v>290</v>
      </c>
      <c r="U3413" s="284"/>
    </row>
    <row r="3414" spans="2:21" x14ac:dyDescent="0.25">
      <c r="B3414" s="292">
        <v>83</v>
      </c>
      <c r="C3414" s="292"/>
      <c r="D3414" s="292"/>
      <c r="F3414" s="283" t="s">
        <v>282</v>
      </c>
      <c r="G3414" s="283"/>
      <c r="J3414" s="293">
        <v>3</v>
      </c>
      <c r="K3414" s="293"/>
      <c r="L3414" s="293"/>
      <c r="M3414" s="293"/>
      <c r="N3414" s="293"/>
      <c r="P3414" s="42">
        <v>1500</v>
      </c>
      <c r="R3414" s="42">
        <v>300</v>
      </c>
      <c r="T3414" s="284">
        <v>1200</v>
      </c>
      <c r="U3414" s="284"/>
    </row>
    <row r="3415" spans="2:21" x14ac:dyDescent="0.25">
      <c r="B3415" s="292">
        <v>84</v>
      </c>
      <c r="C3415" s="292"/>
      <c r="D3415" s="292"/>
      <c r="F3415" s="283" t="s">
        <v>226</v>
      </c>
      <c r="G3415" s="283"/>
      <c r="J3415" s="293">
        <v>1</v>
      </c>
      <c r="K3415" s="293"/>
      <c r="L3415" s="293"/>
      <c r="M3415" s="293"/>
      <c r="N3415" s="293"/>
      <c r="P3415" s="42">
        <v>500</v>
      </c>
      <c r="R3415" s="42">
        <v>150</v>
      </c>
      <c r="T3415" s="284">
        <v>350</v>
      </c>
      <c r="U3415" s="284"/>
    </row>
    <row r="3416" spans="2:21" x14ac:dyDescent="0.25">
      <c r="B3416" s="292">
        <v>85</v>
      </c>
      <c r="C3416" s="292"/>
      <c r="D3416" s="292"/>
      <c r="F3416" s="283" t="s">
        <v>182</v>
      </c>
      <c r="G3416" s="283"/>
      <c r="J3416" s="293">
        <v>2</v>
      </c>
      <c r="K3416" s="293"/>
      <c r="L3416" s="293"/>
      <c r="M3416" s="293"/>
      <c r="N3416" s="293"/>
      <c r="P3416" s="42">
        <v>1580</v>
      </c>
      <c r="R3416" s="42">
        <v>240</v>
      </c>
      <c r="T3416" s="284">
        <v>1340</v>
      </c>
      <c r="U3416" s="284"/>
    </row>
    <row r="3417" spans="2:21" x14ac:dyDescent="0.25">
      <c r="B3417" s="292">
        <v>86</v>
      </c>
      <c r="C3417" s="292"/>
      <c r="D3417" s="292"/>
      <c r="F3417" s="283" t="s">
        <v>119</v>
      </c>
      <c r="G3417" s="283"/>
      <c r="J3417" s="293">
        <v>81</v>
      </c>
      <c r="K3417" s="293"/>
      <c r="L3417" s="293"/>
      <c r="M3417" s="293"/>
      <c r="N3417" s="293"/>
      <c r="P3417" s="42">
        <v>72090</v>
      </c>
      <c r="R3417" s="42">
        <v>20907</v>
      </c>
      <c r="T3417" s="284">
        <v>51183</v>
      </c>
      <c r="U3417" s="284"/>
    </row>
    <row r="3418" spans="2:21" x14ac:dyDescent="0.25">
      <c r="B3418" s="292">
        <v>87</v>
      </c>
      <c r="C3418" s="292"/>
      <c r="D3418" s="292"/>
      <c r="F3418" s="283" t="s">
        <v>118</v>
      </c>
      <c r="G3418" s="283"/>
      <c r="J3418" s="293">
        <v>644</v>
      </c>
      <c r="K3418" s="293"/>
      <c r="L3418" s="293"/>
      <c r="M3418" s="293"/>
      <c r="N3418" s="293"/>
      <c r="P3418" s="42">
        <v>637560</v>
      </c>
      <c r="R3418" s="42">
        <v>196437</v>
      </c>
      <c r="T3418" s="284">
        <v>441123</v>
      </c>
      <c r="U3418" s="284"/>
    </row>
    <row r="3419" spans="2:21" x14ac:dyDescent="0.25">
      <c r="B3419" s="292">
        <v>88</v>
      </c>
      <c r="C3419" s="292"/>
      <c r="D3419" s="292"/>
      <c r="F3419" s="283" t="s">
        <v>117</v>
      </c>
      <c r="G3419" s="283"/>
      <c r="J3419" s="293">
        <v>42</v>
      </c>
      <c r="K3419" s="293"/>
      <c r="L3419" s="293"/>
      <c r="M3419" s="293"/>
      <c r="N3419" s="293"/>
      <c r="P3419" s="42">
        <v>34100</v>
      </c>
      <c r="R3419" s="42">
        <v>7350</v>
      </c>
      <c r="T3419" s="284">
        <v>26750</v>
      </c>
      <c r="U3419" s="284"/>
    </row>
    <row r="3420" spans="2:21" x14ac:dyDescent="0.25">
      <c r="B3420" s="292">
        <v>89</v>
      </c>
      <c r="C3420" s="292"/>
      <c r="D3420" s="292"/>
      <c r="F3420" s="283" t="s">
        <v>262</v>
      </c>
      <c r="G3420" s="283"/>
      <c r="J3420" s="293">
        <v>1</v>
      </c>
      <c r="K3420" s="293"/>
      <c r="L3420" s="293"/>
      <c r="M3420" s="293"/>
      <c r="N3420" s="293"/>
      <c r="P3420" s="42">
        <v>450</v>
      </c>
      <c r="R3420" s="42">
        <v>70</v>
      </c>
      <c r="T3420" s="284">
        <v>380</v>
      </c>
      <c r="U3420" s="284"/>
    </row>
    <row r="3421" spans="2:21" x14ac:dyDescent="0.25">
      <c r="B3421" s="292">
        <v>90</v>
      </c>
      <c r="C3421" s="292"/>
      <c r="D3421" s="292"/>
      <c r="F3421" s="283" t="s">
        <v>115</v>
      </c>
      <c r="G3421" s="283"/>
      <c r="J3421" s="293">
        <v>28</v>
      </c>
      <c r="K3421" s="293"/>
      <c r="L3421" s="293"/>
      <c r="M3421" s="293"/>
      <c r="N3421" s="293"/>
      <c r="P3421" s="42">
        <v>8120</v>
      </c>
      <c r="R3421" s="42">
        <v>2270</v>
      </c>
      <c r="T3421" s="284">
        <v>5850</v>
      </c>
      <c r="U3421" s="284"/>
    </row>
    <row r="3422" spans="2:21" x14ac:dyDescent="0.25">
      <c r="B3422" s="292">
        <v>91</v>
      </c>
      <c r="C3422" s="292"/>
      <c r="D3422" s="292"/>
      <c r="F3422" s="283" t="s">
        <v>279</v>
      </c>
      <c r="G3422" s="283"/>
      <c r="J3422" s="293">
        <v>3</v>
      </c>
      <c r="K3422" s="293"/>
      <c r="L3422" s="293"/>
      <c r="M3422" s="293"/>
      <c r="N3422" s="293"/>
      <c r="P3422" s="42">
        <v>1500</v>
      </c>
      <c r="R3422" s="42">
        <v>300</v>
      </c>
      <c r="T3422" s="284">
        <v>1200</v>
      </c>
      <c r="U3422" s="284"/>
    </row>
    <row r="3423" spans="2:21" x14ac:dyDescent="0.25">
      <c r="B3423" s="292">
        <v>92</v>
      </c>
      <c r="C3423" s="292"/>
      <c r="D3423" s="292"/>
      <c r="F3423" s="283" t="s">
        <v>222</v>
      </c>
      <c r="G3423" s="283"/>
      <c r="J3423" s="293">
        <v>1</v>
      </c>
      <c r="K3423" s="293"/>
      <c r="L3423" s="293"/>
      <c r="M3423" s="293"/>
      <c r="N3423" s="293"/>
      <c r="P3423" s="42">
        <v>500</v>
      </c>
      <c r="R3423" s="42">
        <v>100</v>
      </c>
      <c r="T3423" s="284">
        <v>400</v>
      </c>
      <c r="U3423" s="284"/>
    </row>
    <row r="3424" spans="2:21" x14ac:dyDescent="0.25">
      <c r="B3424" s="292">
        <v>93</v>
      </c>
      <c r="C3424" s="292"/>
      <c r="D3424" s="292"/>
      <c r="F3424" s="283" t="s">
        <v>301</v>
      </c>
      <c r="G3424" s="283"/>
      <c r="J3424" s="293">
        <v>2</v>
      </c>
      <c r="K3424" s="293"/>
      <c r="L3424" s="293"/>
      <c r="M3424" s="293"/>
      <c r="N3424" s="293"/>
      <c r="P3424" s="42">
        <v>1600</v>
      </c>
      <c r="R3424" s="42">
        <v>200</v>
      </c>
      <c r="T3424" s="284">
        <v>1400</v>
      </c>
      <c r="U3424" s="284"/>
    </row>
    <row r="3425" spans="2:21" x14ac:dyDescent="0.25">
      <c r="B3425" s="292">
        <v>94</v>
      </c>
      <c r="C3425" s="292"/>
      <c r="D3425" s="292"/>
      <c r="F3425" s="283" t="s">
        <v>221</v>
      </c>
      <c r="G3425" s="283"/>
      <c r="J3425" s="293">
        <v>26</v>
      </c>
      <c r="K3425" s="293"/>
      <c r="L3425" s="293"/>
      <c r="M3425" s="293"/>
      <c r="N3425" s="293"/>
      <c r="P3425" s="42">
        <v>25740</v>
      </c>
      <c r="R3425" s="42">
        <v>5947</v>
      </c>
      <c r="T3425" s="284">
        <v>19793</v>
      </c>
      <c r="U3425" s="284"/>
    </row>
    <row r="3426" spans="2:21" x14ac:dyDescent="0.25">
      <c r="B3426" s="292">
        <v>95</v>
      </c>
      <c r="C3426" s="292"/>
      <c r="D3426" s="292"/>
      <c r="F3426" s="283" t="s">
        <v>327</v>
      </c>
      <c r="G3426" s="283"/>
      <c r="J3426" s="293">
        <v>15</v>
      </c>
      <c r="K3426" s="293"/>
      <c r="L3426" s="293"/>
      <c r="M3426" s="293"/>
      <c r="N3426" s="293"/>
      <c r="P3426" s="42">
        <v>13200</v>
      </c>
      <c r="R3426" s="42">
        <v>1498</v>
      </c>
      <c r="T3426" s="284">
        <v>11702</v>
      </c>
      <c r="U3426" s="284"/>
    </row>
    <row r="3427" spans="2:21" x14ac:dyDescent="0.25">
      <c r="B3427" s="292">
        <v>96</v>
      </c>
      <c r="C3427" s="292"/>
      <c r="D3427" s="292"/>
      <c r="F3427" s="283" t="s">
        <v>220</v>
      </c>
      <c r="G3427" s="283"/>
      <c r="J3427" s="293">
        <v>3</v>
      </c>
      <c r="K3427" s="293"/>
      <c r="L3427" s="293"/>
      <c r="M3427" s="293"/>
      <c r="N3427" s="293"/>
      <c r="P3427" s="42">
        <v>1050</v>
      </c>
      <c r="R3427" s="42">
        <v>200</v>
      </c>
      <c r="T3427" s="284">
        <v>850</v>
      </c>
      <c r="U3427" s="284"/>
    </row>
    <row r="3428" spans="2:21" x14ac:dyDescent="0.25">
      <c r="B3428" s="292">
        <v>97</v>
      </c>
      <c r="C3428" s="292"/>
      <c r="D3428" s="292"/>
      <c r="F3428" s="283" t="s">
        <v>219</v>
      </c>
      <c r="G3428" s="283"/>
      <c r="J3428" s="293">
        <v>23</v>
      </c>
      <c r="K3428" s="293"/>
      <c r="L3428" s="293"/>
      <c r="M3428" s="293"/>
      <c r="N3428" s="293"/>
      <c r="P3428" s="42">
        <v>11500</v>
      </c>
      <c r="R3428" s="42">
        <v>1750</v>
      </c>
      <c r="T3428" s="284">
        <v>9750</v>
      </c>
      <c r="U3428" s="284"/>
    </row>
    <row r="3429" spans="2:21" x14ac:dyDescent="0.25">
      <c r="B3429" s="292">
        <v>98</v>
      </c>
      <c r="C3429" s="292"/>
      <c r="D3429" s="292"/>
      <c r="F3429" s="283" t="s">
        <v>258</v>
      </c>
      <c r="G3429" s="283"/>
      <c r="J3429" s="293">
        <v>1</v>
      </c>
      <c r="K3429" s="293"/>
      <c r="L3429" s="293"/>
      <c r="M3429" s="293"/>
      <c r="N3429" s="293"/>
      <c r="P3429" s="42">
        <v>330</v>
      </c>
      <c r="R3429" s="42">
        <v>100</v>
      </c>
      <c r="T3429" s="284">
        <v>230</v>
      </c>
      <c r="U3429" s="284"/>
    </row>
    <row r="3430" spans="2:21" x14ac:dyDescent="0.25">
      <c r="B3430" s="292">
        <v>99</v>
      </c>
      <c r="C3430" s="292"/>
      <c r="D3430" s="292"/>
      <c r="F3430" s="283" t="s">
        <v>181</v>
      </c>
      <c r="G3430" s="283"/>
      <c r="J3430" s="293">
        <v>3</v>
      </c>
      <c r="K3430" s="293"/>
      <c r="L3430" s="293"/>
      <c r="M3430" s="293"/>
      <c r="N3430" s="293"/>
      <c r="P3430" s="42">
        <v>2370</v>
      </c>
      <c r="R3430" s="42">
        <v>360</v>
      </c>
      <c r="T3430" s="284">
        <v>2010</v>
      </c>
      <c r="U3430" s="284"/>
    </row>
    <row r="3431" spans="2:21" x14ac:dyDescent="0.25">
      <c r="B3431" s="292">
        <v>100</v>
      </c>
      <c r="C3431" s="292"/>
      <c r="D3431" s="292"/>
      <c r="F3431" s="283" t="s">
        <v>171</v>
      </c>
      <c r="G3431" s="283"/>
      <c r="J3431" s="293">
        <v>2</v>
      </c>
      <c r="K3431" s="293"/>
      <c r="L3431" s="293"/>
      <c r="M3431" s="293"/>
      <c r="N3431" s="293"/>
      <c r="P3431" s="42">
        <v>1060</v>
      </c>
      <c r="R3431" s="42">
        <v>320</v>
      </c>
      <c r="T3431" s="284">
        <v>740</v>
      </c>
      <c r="U3431" s="284"/>
    </row>
    <row r="3432" spans="2:21" x14ac:dyDescent="0.25">
      <c r="B3432" s="292">
        <v>101</v>
      </c>
      <c r="C3432" s="292"/>
      <c r="D3432" s="292"/>
      <c r="F3432" s="283" t="s">
        <v>111</v>
      </c>
      <c r="G3432" s="283"/>
      <c r="J3432" s="293">
        <v>18</v>
      </c>
      <c r="K3432" s="293"/>
      <c r="L3432" s="293"/>
      <c r="M3432" s="293"/>
      <c r="N3432" s="293"/>
      <c r="P3432" s="42">
        <v>7740</v>
      </c>
      <c r="R3432" s="42">
        <v>1950</v>
      </c>
      <c r="T3432" s="284">
        <v>5790</v>
      </c>
      <c r="U3432" s="284"/>
    </row>
    <row r="3433" spans="2:21" x14ac:dyDescent="0.25">
      <c r="B3433" s="292">
        <v>102</v>
      </c>
      <c r="C3433" s="292"/>
      <c r="D3433" s="292"/>
      <c r="F3433" s="283" t="s">
        <v>110</v>
      </c>
      <c r="G3433" s="283"/>
      <c r="J3433" s="293">
        <v>1</v>
      </c>
      <c r="K3433" s="293"/>
      <c r="L3433" s="293"/>
      <c r="M3433" s="293"/>
      <c r="N3433" s="293"/>
      <c r="P3433" s="42">
        <v>1080</v>
      </c>
      <c r="R3433" s="42">
        <v>160</v>
      </c>
      <c r="T3433" s="284">
        <v>920</v>
      </c>
      <c r="U3433" s="284"/>
    </row>
    <row r="3434" spans="2:21" x14ac:dyDescent="0.25">
      <c r="B3434" s="292">
        <v>103</v>
      </c>
      <c r="C3434" s="292"/>
      <c r="D3434" s="292"/>
      <c r="F3434" s="283" t="s">
        <v>257</v>
      </c>
      <c r="G3434" s="283"/>
      <c r="J3434" s="293">
        <v>1</v>
      </c>
      <c r="K3434" s="293"/>
      <c r="L3434" s="293"/>
      <c r="M3434" s="293"/>
      <c r="N3434" s="293"/>
      <c r="P3434" s="42">
        <v>990</v>
      </c>
      <c r="R3434" s="42">
        <v>150</v>
      </c>
      <c r="T3434" s="284">
        <v>840</v>
      </c>
      <c r="U3434" s="284"/>
    </row>
    <row r="3435" spans="2:21" x14ac:dyDescent="0.25">
      <c r="B3435" s="292">
        <v>104</v>
      </c>
      <c r="C3435" s="292"/>
      <c r="D3435" s="292"/>
      <c r="F3435" s="283" t="s">
        <v>109</v>
      </c>
      <c r="G3435" s="283"/>
      <c r="J3435" s="293">
        <v>11</v>
      </c>
      <c r="K3435" s="293"/>
      <c r="L3435" s="293"/>
      <c r="M3435" s="293"/>
      <c r="N3435" s="293"/>
      <c r="P3435" s="42">
        <v>8580</v>
      </c>
      <c r="R3435" s="42">
        <v>2530</v>
      </c>
      <c r="T3435" s="284">
        <v>6050</v>
      </c>
      <c r="U3435" s="284"/>
    </row>
    <row r="3436" spans="2:21" x14ac:dyDescent="0.25">
      <c r="B3436" s="292">
        <v>105</v>
      </c>
      <c r="C3436" s="292"/>
      <c r="D3436" s="292"/>
      <c r="F3436" s="283" t="s">
        <v>108</v>
      </c>
      <c r="G3436" s="283"/>
      <c r="J3436" s="293">
        <v>1075</v>
      </c>
      <c r="K3436" s="293"/>
      <c r="L3436" s="293"/>
      <c r="M3436" s="293"/>
      <c r="N3436" s="293"/>
      <c r="P3436" s="42">
        <v>107500</v>
      </c>
      <c r="R3436" s="42">
        <v>9180</v>
      </c>
      <c r="T3436" s="284">
        <v>98320</v>
      </c>
      <c r="U3436" s="284"/>
    </row>
    <row r="3437" spans="2:21" x14ac:dyDescent="0.25">
      <c r="B3437" s="292">
        <v>106</v>
      </c>
      <c r="C3437" s="292"/>
      <c r="D3437" s="292"/>
      <c r="F3437" s="283" t="s">
        <v>107</v>
      </c>
      <c r="G3437" s="283"/>
      <c r="J3437" s="293">
        <v>136</v>
      </c>
      <c r="K3437" s="293"/>
      <c r="L3437" s="293"/>
      <c r="M3437" s="293"/>
      <c r="N3437" s="293"/>
      <c r="P3437" s="42">
        <v>23120</v>
      </c>
      <c r="R3437" s="42">
        <v>6072</v>
      </c>
      <c r="T3437" s="284">
        <v>17048</v>
      </c>
      <c r="U3437" s="284"/>
    </row>
    <row r="3438" spans="2:21" x14ac:dyDescent="0.25">
      <c r="B3438" s="292">
        <v>107</v>
      </c>
      <c r="C3438" s="292"/>
      <c r="D3438" s="292"/>
      <c r="F3438" s="283" t="s">
        <v>216</v>
      </c>
      <c r="G3438" s="283"/>
      <c r="J3438" s="293">
        <v>4</v>
      </c>
      <c r="K3438" s="293"/>
      <c r="L3438" s="293"/>
      <c r="M3438" s="293"/>
      <c r="N3438" s="293"/>
      <c r="P3438" s="42">
        <v>4320</v>
      </c>
      <c r="R3438" s="42">
        <v>495</v>
      </c>
      <c r="T3438" s="284">
        <v>3825</v>
      </c>
      <c r="U3438" s="284"/>
    </row>
    <row r="3439" spans="2:21" x14ac:dyDescent="0.25">
      <c r="B3439" s="292">
        <v>108</v>
      </c>
      <c r="C3439" s="292"/>
      <c r="D3439" s="292"/>
      <c r="F3439" s="283" t="s">
        <v>105</v>
      </c>
      <c r="G3439" s="283"/>
      <c r="J3439" s="293">
        <v>51</v>
      </c>
      <c r="K3439" s="293"/>
      <c r="L3439" s="293"/>
      <c r="M3439" s="293"/>
      <c r="N3439" s="293"/>
      <c r="P3439" s="42">
        <v>58650</v>
      </c>
      <c r="R3439" s="42">
        <v>0</v>
      </c>
      <c r="T3439" s="284">
        <v>58650</v>
      </c>
      <c r="U3439" s="284"/>
    </row>
    <row r="3440" spans="2:21" x14ac:dyDescent="0.25">
      <c r="B3440" s="292">
        <v>109</v>
      </c>
      <c r="C3440" s="292"/>
      <c r="D3440" s="292"/>
      <c r="F3440" s="283" t="s">
        <v>103</v>
      </c>
      <c r="G3440" s="283"/>
      <c r="J3440" s="293">
        <v>33</v>
      </c>
      <c r="K3440" s="293"/>
      <c r="L3440" s="293"/>
      <c r="M3440" s="293"/>
      <c r="N3440" s="293"/>
      <c r="P3440" s="42">
        <v>10890</v>
      </c>
      <c r="R3440" s="42">
        <v>4400</v>
      </c>
      <c r="T3440" s="284">
        <v>6490</v>
      </c>
      <c r="U3440" s="284"/>
    </row>
    <row r="3441" spans="2:21" x14ac:dyDescent="0.25">
      <c r="B3441" s="292">
        <v>110</v>
      </c>
      <c r="C3441" s="292"/>
      <c r="D3441" s="292"/>
      <c r="F3441" s="283" t="s">
        <v>213</v>
      </c>
      <c r="G3441" s="283"/>
      <c r="J3441" s="293">
        <v>1</v>
      </c>
      <c r="K3441" s="293"/>
      <c r="L3441" s="293"/>
      <c r="M3441" s="293"/>
      <c r="N3441" s="293"/>
      <c r="P3441" s="42">
        <v>700</v>
      </c>
      <c r="R3441" s="42">
        <v>203</v>
      </c>
      <c r="T3441" s="284">
        <v>497</v>
      </c>
      <c r="U3441" s="284"/>
    </row>
    <row r="3442" spans="2:21" x14ac:dyDescent="0.25">
      <c r="B3442" s="292">
        <v>111</v>
      </c>
      <c r="C3442" s="292"/>
      <c r="D3442" s="292"/>
      <c r="F3442" s="283" t="s">
        <v>212</v>
      </c>
      <c r="G3442" s="283"/>
      <c r="J3442" s="293">
        <v>1</v>
      </c>
      <c r="K3442" s="293"/>
      <c r="L3442" s="293"/>
      <c r="M3442" s="293"/>
      <c r="N3442" s="293"/>
      <c r="P3442" s="42">
        <v>500</v>
      </c>
      <c r="R3442" s="42">
        <v>150</v>
      </c>
      <c r="T3442" s="284">
        <v>350</v>
      </c>
      <c r="U3442" s="284"/>
    </row>
    <row r="3443" spans="2:21" x14ac:dyDescent="0.25">
      <c r="B3443" s="292">
        <v>112</v>
      </c>
      <c r="C3443" s="292"/>
      <c r="D3443" s="292"/>
      <c r="F3443" s="283" t="s">
        <v>211</v>
      </c>
      <c r="G3443" s="283"/>
      <c r="J3443" s="293">
        <v>2</v>
      </c>
      <c r="K3443" s="293"/>
      <c r="L3443" s="293"/>
      <c r="M3443" s="293"/>
      <c r="N3443" s="293"/>
      <c r="P3443" s="42">
        <v>1000</v>
      </c>
      <c r="R3443" s="42">
        <v>280</v>
      </c>
      <c r="T3443" s="284">
        <v>720</v>
      </c>
      <c r="U3443" s="284"/>
    </row>
    <row r="3444" spans="2:21" x14ac:dyDescent="0.25">
      <c r="B3444" s="292">
        <v>113</v>
      </c>
      <c r="C3444" s="292"/>
      <c r="D3444" s="292"/>
      <c r="F3444" s="283" t="s">
        <v>276</v>
      </c>
      <c r="G3444" s="283"/>
      <c r="J3444" s="293">
        <v>8</v>
      </c>
      <c r="K3444" s="293"/>
      <c r="L3444" s="293"/>
      <c r="M3444" s="293"/>
      <c r="N3444" s="293"/>
      <c r="P3444" s="42">
        <v>4000</v>
      </c>
      <c r="R3444" s="42">
        <v>1200</v>
      </c>
      <c r="T3444" s="284">
        <v>2800</v>
      </c>
      <c r="U3444" s="284"/>
    </row>
    <row r="3445" spans="2:21" x14ac:dyDescent="0.25">
      <c r="B3445" s="292">
        <v>114</v>
      </c>
      <c r="C3445" s="292"/>
      <c r="D3445" s="292"/>
      <c r="F3445" s="283" t="s">
        <v>275</v>
      </c>
      <c r="G3445" s="283"/>
      <c r="J3445" s="293">
        <v>2</v>
      </c>
      <c r="K3445" s="293"/>
      <c r="L3445" s="293"/>
      <c r="M3445" s="293"/>
      <c r="N3445" s="293"/>
      <c r="P3445" s="42">
        <v>1400</v>
      </c>
      <c r="R3445" s="42">
        <v>546</v>
      </c>
      <c r="T3445" s="284">
        <v>854</v>
      </c>
      <c r="U3445" s="284"/>
    </row>
    <row r="3446" spans="2:21" x14ac:dyDescent="0.25">
      <c r="B3446" s="292">
        <v>115</v>
      </c>
      <c r="C3446" s="292"/>
      <c r="D3446" s="292"/>
      <c r="F3446" s="283" t="s">
        <v>307</v>
      </c>
      <c r="G3446" s="283"/>
      <c r="J3446" s="293">
        <v>3</v>
      </c>
      <c r="K3446" s="293"/>
      <c r="L3446" s="293"/>
      <c r="M3446" s="293"/>
      <c r="N3446" s="293"/>
      <c r="P3446" s="42">
        <v>2100</v>
      </c>
      <c r="R3446" s="42">
        <v>1050</v>
      </c>
      <c r="T3446" s="284">
        <v>1050</v>
      </c>
      <c r="U3446" s="284"/>
    </row>
    <row r="3447" spans="2:21" x14ac:dyDescent="0.25">
      <c r="B3447" s="292">
        <v>116</v>
      </c>
      <c r="C3447" s="292"/>
      <c r="D3447" s="292"/>
      <c r="F3447" s="283" t="s">
        <v>102</v>
      </c>
      <c r="G3447" s="283"/>
      <c r="J3447" s="293">
        <v>306</v>
      </c>
      <c r="K3447" s="293"/>
      <c r="L3447" s="293"/>
      <c r="M3447" s="293"/>
      <c r="N3447" s="293"/>
      <c r="P3447" s="42">
        <v>269280</v>
      </c>
      <c r="R3447" s="42">
        <v>33923</v>
      </c>
      <c r="T3447" s="284">
        <v>235357</v>
      </c>
      <c r="U3447" s="284"/>
    </row>
    <row r="3448" spans="2:21" x14ac:dyDescent="0.25">
      <c r="B3448" s="292">
        <v>117</v>
      </c>
      <c r="C3448" s="292"/>
      <c r="D3448" s="292"/>
      <c r="F3448" s="283" t="s">
        <v>101</v>
      </c>
      <c r="G3448" s="283"/>
      <c r="J3448" s="293">
        <v>282</v>
      </c>
      <c r="K3448" s="293"/>
      <c r="L3448" s="293"/>
      <c r="M3448" s="293"/>
      <c r="N3448" s="293"/>
      <c r="P3448" s="42">
        <v>129720</v>
      </c>
      <c r="R3448" s="42">
        <v>33700</v>
      </c>
      <c r="T3448" s="284">
        <v>96020</v>
      </c>
      <c r="U3448" s="284"/>
    </row>
    <row r="3449" spans="2:21" x14ac:dyDescent="0.25">
      <c r="B3449" s="292">
        <v>118</v>
      </c>
      <c r="C3449" s="292"/>
      <c r="D3449" s="292"/>
      <c r="F3449" s="283" t="s">
        <v>254</v>
      </c>
      <c r="G3449" s="283"/>
      <c r="J3449" s="293">
        <v>5</v>
      </c>
      <c r="K3449" s="293"/>
      <c r="L3449" s="293"/>
      <c r="M3449" s="293"/>
      <c r="N3449" s="293"/>
      <c r="P3449" s="42">
        <v>1450</v>
      </c>
      <c r="R3449" s="42">
        <v>160</v>
      </c>
      <c r="T3449" s="284">
        <v>1290</v>
      </c>
      <c r="U3449" s="284"/>
    </row>
    <row r="3450" spans="2:21" x14ac:dyDescent="0.25">
      <c r="B3450" s="292">
        <v>119</v>
      </c>
      <c r="C3450" s="292"/>
      <c r="D3450" s="292"/>
      <c r="F3450" s="283" t="s">
        <v>179</v>
      </c>
      <c r="G3450" s="283"/>
      <c r="J3450" s="293">
        <v>1</v>
      </c>
      <c r="K3450" s="293"/>
      <c r="L3450" s="293"/>
      <c r="M3450" s="293"/>
      <c r="N3450" s="293"/>
      <c r="P3450" s="42">
        <v>880</v>
      </c>
      <c r="R3450" s="42">
        <v>0</v>
      </c>
      <c r="T3450" s="284">
        <v>880</v>
      </c>
      <c r="U3450" s="284"/>
    </row>
    <row r="3451" spans="2:21" x14ac:dyDescent="0.25">
      <c r="B3451" s="292">
        <v>120</v>
      </c>
      <c r="C3451" s="292"/>
      <c r="D3451" s="292"/>
      <c r="F3451" s="283" t="s">
        <v>100</v>
      </c>
      <c r="G3451" s="283"/>
      <c r="J3451" s="293">
        <v>7</v>
      </c>
      <c r="K3451" s="293"/>
      <c r="L3451" s="293"/>
      <c r="M3451" s="293"/>
      <c r="N3451" s="293"/>
      <c r="P3451" s="42">
        <v>1260</v>
      </c>
      <c r="R3451" s="42">
        <v>350</v>
      </c>
      <c r="T3451" s="284">
        <v>910</v>
      </c>
      <c r="U3451" s="284"/>
    </row>
    <row r="3452" spans="2:21" x14ac:dyDescent="0.25">
      <c r="B3452" s="292">
        <v>121</v>
      </c>
      <c r="C3452" s="292"/>
      <c r="D3452" s="292"/>
      <c r="F3452" s="283" t="s">
        <v>178</v>
      </c>
      <c r="G3452" s="283"/>
      <c r="J3452" s="293">
        <v>3</v>
      </c>
      <c r="K3452" s="293"/>
      <c r="L3452" s="293"/>
      <c r="M3452" s="293"/>
      <c r="N3452" s="293"/>
      <c r="P3452" s="42">
        <v>4950</v>
      </c>
      <c r="R3452" s="42">
        <v>0</v>
      </c>
      <c r="T3452" s="284">
        <v>4950</v>
      </c>
      <c r="U3452" s="284"/>
    </row>
    <row r="3453" spans="2:21" x14ac:dyDescent="0.25">
      <c r="B3453" s="292">
        <v>122</v>
      </c>
      <c r="C3453" s="292"/>
      <c r="D3453" s="292"/>
      <c r="F3453" s="283" t="s">
        <v>274</v>
      </c>
      <c r="G3453" s="283"/>
      <c r="J3453" s="293">
        <v>1</v>
      </c>
      <c r="K3453" s="293"/>
      <c r="L3453" s="293"/>
      <c r="M3453" s="293"/>
      <c r="N3453" s="293"/>
      <c r="P3453" s="42">
        <v>180</v>
      </c>
      <c r="R3453" s="42">
        <v>0</v>
      </c>
      <c r="T3453" s="284">
        <v>180</v>
      </c>
      <c r="U3453" s="284"/>
    </row>
    <row r="3454" spans="2:21" x14ac:dyDescent="0.25">
      <c r="B3454" s="292">
        <v>123</v>
      </c>
      <c r="C3454" s="292"/>
      <c r="D3454" s="292"/>
      <c r="F3454" s="283" t="s">
        <v>177</v>
      </c>
      <c r="G3454" s="283"/>
      <c r="J3454" s="293">
        <v>1</v>
      </c>
      <c r="K3454" s="293"/>
      <c r="L3454" s="293"/>
      <c r="M3454" s="293"/>
      <c r="N3454" s="293"/>
      <c r="P3454" s="42">
        <v>960</v>
      </c>
      <c r="R3454" s="42">
        <v>290</v>
      </c>
      <c r="T3454" s="284">
        <v>670</v>
      </c>
      <c r="U3454" s="284"/>
    </row>
    <row r="3455" spans="2:21" x14ac:dyDescent="0.25">
      <c r="B3455" s="292">
        <v>124</v>
      </c>
      <c r="C3455" s="292"/>
      <c r="D3455" s="292"/>
      <c r="F3455" s="283" t="s">
        <v>99</v>
      </c>
      <c r="G3455" s="283"/>
      <c r="J3455" s="293">
        <v>4</v>
      </c>
      <c r="K3455" s="293"/>
      <c r="L3455" s="293"/>
      <c r="M3455" s="293"/>
      <c r="N3455" s="293"/>
      <c r="P3455" s="42">
        <v>2360</v>
      </c>
      <c r="R3455" s="42">
        <v>360</v>
      </c>
      <c r="T3455" s="284">
        <v>2000</v>
      </c>
      <c r="U3455" s="284"/>
    </row>
    <row r="3456" spans="2:21" x14ac:dyDescent="0.25">
      <c r="B3456" s="292">
        <v>125</v>
      </c>
      <c r="C3456" s="292"/>
      <c r="D3456" s="292"/>
      <c r="F3456" s="283" t="s">
        <v>98</v>
      </c>
      <c r="G3456" s="283"/>
      <c r="J3456" s="293">
        <v>4</v>
      </c>
      <c r="K3456" s="293"/>
      <c r="L3456" s="293"/>
      <c r="M3456" s="293"/>
      <c r="N3456" s="293"/>
      <c r="P3456" s="42">
        <v>2280</v>
      </c>
      <c r="R3456" s="42">
        <v>320</v>
      </c>
      <c r="T3456" s="284">
        <v>1960</v>
      </c>
      <c r="U3456" s="284"/>
    </row>
    <row r="3457" spans="2:21" x14ac:dyDescent="0.25">
      <c r="B3457" s="292">
        <v>126</v>
      </c>
      <c r="C3457" s="292"/>
      <c r="D3457" s="292"/>
      <c r="F3457" s="283" t="s">
        <v>97</v>
      </c>
      <c r="G3457" s="283"/>
      <c r="J3457" s="293">
        <v>7</v>
      </c>
      <c r="K3457" s="293"/>
      <c r="L3457" s="293"/>
      <c r="M3457" s="293"/>
      <c r="N3457" s="293"/>
      <c r="P3457" s="42">
        <v>11130</v>
      </c>
      <c r="R3457" s="42">
        <v>1680</v>
      </c>
      <c r="T3457" s="284">
        <v>9450</v>
      </c>
      <c r="U3457" s="284"/>
    </row>
    <row r="3458" spans="2:21" x14ac:dyDescent="0.25">
      <c r="B3458" s="292">
        <v>127</v>
      </c>
      <c r="C3458" s="292"/>
      <c r="D3458" s="292"/>
      <c r="F3458" s="283" t="s">
        <v>95</v>
      </c>
      <c r="G3458" s="283"/>
      <c r="J3458" s="293">
        <v>4</v>
      </c>
      <c r="K3458" s="293"/>
      <c r="L3458" s="293"/>
      <c r="M3458" s="293"/>
      <c r="N3458" s="293"/>
      <c r="P3458" s="42">
        <v>1400</v>
      </c>
      <c r="R3458" s="42">
        <v>426</v>
      </c>
      <c r="T3458" s="284">
        <v>974</v>
      </c>
      <c r="U3458" s="284"/>
    </row>
    <row r="3459" spans="2:21" x14ac:dyDescent="0.25">
      <c r="B3459" s="292">
        <v>128</v>
      </c>
      <c r="C3459" s="292"/>
      <c r="D3459" s="292"/>
      <c r="F3459" s="283" t="s">
        <v>93</v>
      </c>
      <c r="G3459" s="283"/>
      <c r="J3459" s="293">
        <v>25</v>
      </c>
      <c r="K3459" s="293"/>
      <c r="L3459" s="293"/>
      <c r="M3459" s="293"/>
      <c r="N3459" s="293"/>
      <c r="P3459" s="42">
        <v>14750</v>
      </c>
      <c r="R3459" s="42">
        <v>1980</v>
      </c>
      <c r="T3459" s="284">
        <v>12770</v>
      </c>
      <c r="U3459" s="284"/>
    </row>
    <row r="3460" spans="2:21" x14ac:dyDescent="0.25">
      <c r="B3460" s="292">
        <v>129</v>
      </c>
      <c r="C3460" s="292"/>
      <c r="D3460" s="292"/>
      <c r="F3460" s="283" t="s">
        <v>92</v>
      </c>
      <c r="G3460" s="283"/>
      <c r="J3460" s="293">
        <v>38</v>
      </c>
      <c r="K3460" s="293"/>
      <c r="L3460" s="293"/>
      <c r="M3460" s="293"/>
      <c r="N3460" s="293"/>
      <c r="P3460" s="42">
        <v>25400</v>
      </c>
      <c r="R3460" s="42">
        <v>7320</v>
      </c>
      <c r="T3460" s="284">
        <v>18080</v>
      </c>
      <c r="U3460" s="284"/>
    </row>
    <row r="3461" spans="2:21" x14ac:dyDescent="0.25">
      <c r="B3461" s="292">
        <v>130</v>
      </c>
      <c r="C3461" s="292"/>
      <c r="D3461" s="292"/>
      <c r="F3461" s="283" t="s">
        <v>297</v>
      </c>
      <c r="G3461" s="283"/>
      <c r="J3461" s="293">
        <v>1</v>
      </c>
      <c r="K3461" s="293"/>
      <c r="L3461" s="293"/>
      <c r="M3461" s="293"/>
      <c r="N3461" s="293"/>
      <c r="P3461" s="42">
        <v>400</v>
      </c>
      <c r="R3461" s="42">
        <v>100</v>
      </c>
      <c r="T3461" s="284">
        <v>300</v>
      </c>
      <c r="U3461" s="284"/>
    </row>
    <row r="3462" spans="2:21" x14ac:dyDescent="0.25">
      <c r="B3462" s="292">
        <v>131</v>
      </c>
      <c r="C3462" s="292"/>
      <c r="D3462" s="292"/>
      <c r="F3462" s="283" t="s">
        <v>175</v>
      </c>
      <c r="G3462" s="283"/>
      <c r="J3462" s="293">
        <v>10</v>
      </c>
      <c r="K3462" s="293"/>
      <c r="L3462" s="293"/>
      <c r="M3462" s="293"/>
      <c r="N3462" s="293"/>
      <c r="P3462" s="42">
        <v>6000</v>
      </c>
      <c r="R3462" s="42">
        <v>1182</v>
      </c>
      <c r="T3462" s="284">
        <v>4818</v>
      </c>
      <c r="U3462" s="284"/>
    </row>
    <row r="3463" spans="2:21" x14ac:dyDescent="0.25">
      <c r="B3463" s="292">
        <v>132</v>
      </c>
      <c r="C3463" s="292"/>
      <c r="D3463" s="292"/>
      <c r="F3463" s="283" t="s">
        <v>174</v>
      </c>
      <c r="G3463" s="283"/>
      <c r="J3463" s="293">
        <v>9</v>
      </c>
      <c r="K3463" s="293"/>
      <c r="L3463" s="293"/>
      <c r="M3463" s="293"/>
      <c r="N3463" s="293"/>
      <c r="P3463" s="42">
        <v>3600</v>
      </c>
      <c r="R3463" s="42">
        <v>120</v>
      </c>
      <c r="T3463" s="284">
        <v>3480</v>
      </c>
      <c r="U3463" s="284"/>
    </row>
    <row r="3464" spans="2:21" x14ac:dyDescent="0.25">
      <c r="B3464" s="292">
        <v>133</v>
      </c>
      <c r="C3464" s="292"/>
      <c r="D3464" s="292"/>
      <c r="F3464" s="283" t="s">
        <v>356</v>
      </c>
      <c r="G3464" s="283"/>
      <c r="J3464" s="293">
        <v>2</v>
      </c>
      <c r="K3464" s="293"/>
      <c r="L3464" s="293"/>
      <c r="M3464" s="293"/>
      <c r="N3464" s="293"/>
      <c r="P3464" s="42">
        <v>1600</v>
      </c>
      <c r="R3464" s="42">
        <v>480</v>
      </c>
      <c r="T3464" s="284">
        <v>1120</v>
      </c>
      <c r="U3464" s="284"/>
    </row>
    <row r="3465" spans="2:21" x14ac:dyDescent="0.25">
      <c r="B3465" s="292">
        <v>134</v>
      </c>
      <c r="C3465" s="292"/>
      <c r="D3465" s="292"/>
      <c r="F3465" s="283" t="s">
        <v>355</v>
      </c>
      <c r="G3465" s="283"/>
      <c r="J3465" s="293">
        <v>1</v>
      </c>
      <c r="K3465" s="293"/>
      <c r="L3465" s="293"/>
      <c r="M3465" s="293"/>
      <c r="N3465" s="293"/>
      <c r="P3465" s="42">
        <v>600</v>
      </c>
      <c r="R3465" s="42">
        <v>180</v>
      </c>
      <c r="T3465" s="284">
        <v>420</v>
      </c>
      <c r="U3465" s="284"/>
    </row>
    <row r="3466" spans="2:21" x14ac:dyDescent="0.25">
      <c r="B3466" s="292">
        <v>135</v>
      </c>
      <c r="C3466" s="292"/>
      <c r="D3466" s="292"/>
      <c r="F3466" s="283" t="s">
        <v>173</v>
      </c>
      <c r="G3466" s="283"/>
      <c r="J3466" s="293">
        <v>19</v>
      </c>
      <c r="K3466" s="293"/>
      <c r="L3466" s="293"/>
      <c r="M3466" s="293"/>
      <c r="N3466" s="293"/>
      <c r="P3466" s="42">
        <v>19000</v>
      </c>
      <c r="R3466" s="42">
        <v>4400</v>
      </c>
      <c r="T3466" s="284">
        <v>14600</v>
      </c>
      <c r="U3466" s="284"/>
    </row>
    <row r="3467" spans="2:21" x14ac:dyDescent="0.25">
      <c r="B3467" s="292">
        <v>136</v>
      </c>
      <c r="C3467" s="292"/>
      <c r="D3467" s="292"/>
      <c r="F3467" s="283" t="s">
        <v>91</v>
      </c>
      <c r="G3467" s="283"/>
      <c r="J3467" s="293">
        <v>411</v>
      </c>
      <c r="K3467" s="293"/>
      <c r="L3467" s="293"/>
      <c r="M3467" s="293"/>
      <c r="N3467" s="293"/>
      <c r="P3467" s="42">
        <v>102750</v>
      </c>
      <c r="R3467" s="42">
        <v>27605</v>
      </c>
      <c r="T3467" s="284">
        <v>75145</v>
      </c>
      <c r="U3467" s="284"/>
    </row>
    <row r="3468" spans="2:21" x14ac:dyDescent="0.25">
      <c r="B3468" s="292">
        <v>137</v>
      </c>
      <c r="C3468" s="292"/>
      <c r="D3468" s="292"/>
      <c r="F3468" s="283" t="s">
        <v>90</v>
      </c>
      <c r="G3468" s="283"/>
      <c r="J3468" s="293">
        <v>33</v>
      </c>
      <c r="K3468" s="293"/>
      <c r="L3468" s="293"/>
      <c r="M3468" s="293"/>
      <c r="N3468" s="293"/>
      <c r="P3468" s="42">
        <v>9570</v>
      </c>
      <c r="R3468" s="42">
        <v>2160</v>
      </c>
      <c r="T3468" s="284">
        <v>7410</v>
      </c>
      <c r="U3468" s="284"/>
    </row>
    <row r="3469" spans="2:21" x14ac:dyDescent="0.25">
      <c r="B3469" s="292">
        <v>138</v>
      </c>
      <c r="C3469" s="292"/>
      <c r="D3469" s="292"/>
      <c r="F3469" s="283" t="s">
        <v>89</v>
      </c>
      <c r="G3469" s="283"/>
      <c r="J3469" s="293">
        <v>7</v>
      </c>
      <c r="K3469" s="293"/>
      <c r="L3469" s="293"/>
      <c r="M3469" s="293"/>
      <c r="N3469" s="293"/>
      <c r="P3469" s="42">
        <v>6160</v>
      </c>
      <c r="R3469" s="42">
        <v>780</v>
      </c>
      <c r="T3469" s="284">
        <v>5380</v>
      </c>
      <c r="U3469" s="284"/>
    </row>
    <row r="3470" spans="2:21" x14ac:dyDescent="0.25">
      <c r="B3470" s="292">
        <v>139</v>
      </c>
      <c r="C3470" s="292"/>
      <c r="D3470" s="292"/>
      <c r="F3470" s="283" t="s">
        <v>88</v>
      </c>
      <c r="G3470" s="283"/>
      <c r="J3470" s="293">
        <v>165</v>
      </c>
      <c r="K3470" s="293"/>
      <c r="L3470" s="293"/>
      <c r="M3470" s="293"/>
      <c r="N3470" s="293"/>
      <c r="P3470" s="42">
        <v>29700</v>
      </c>
      <c r="R3470" s="42">
        <v>8442</v>
      </c>
      <c r="T3470" s="284">
        <v>21258</v>
      </c>
      <c r="U3470" s="284"/>
    </row>
    <row r="3471" spans="2:21" x14ac:dyDescent="0.25">
      <c r="B3471" s="292">
        <v>140</v>
      </c>
      <c r="C3471" s="292"/>
      <c r="D3471" s="292"/>
      <c r="F3471" s="283" t="s">
        <v>87</v>
      </c>
      <c r="G3471" s="283"/>
      <c r="J3471" s="293">
        <v>2</v>
      </c>
      <c r="K3471" s="293"/>
      <c r="L3471" s="293"/>
      <c r="M3471" s="293"/>
      <c r="N3471" s="293"/>
      <c r="P3471" s="42">
        <v>580</v>
      </c>
      <c r="R3471" s="42">
        <v>80</v>
      </c>
      <c r="T3471" s="284">
        <v>500</v>
      </c>
      <c r="U3471" s="284"/>
    </row>
    <row r="3472" spans="2:21" x14ac:dyDescent="0.25">
      <c r="B3472" s="292">
        <v>141</v>
      </c>
      <c r="C3472" s="292"/>
      <c r="D3472" s="292"/>
      <c r="F3472" s="283" t="s">
        <v>86</v>
      </c>
      <c r="G3472" s="283"/>
      <c r="J3472" s="293">
        <v>3</v>
      </c>
      <c r="K3472" s="293"/>
      <c r="L3472" s="293"/>
      <c r="M3472" s="293"/>
      <c r="N3472" s="293"/>
      <c r="P3472" s="42">
        <v>3420</v>
      </c>
      <c r="R3472" s="42">
        <v>510</v>
      </c>
      <c r="T3472" s="284">
        <v>2910</v>
      </c>
      <c r="U3472" s="284"/>
    </row>
    <row r="3473" spans="1:21" x14ac:dyDescent="0.25">
      <c r="B3473" s="292">
        <v>142</v>
      </c>
      <c r="C3473" s="292"/>
      <c r="D3473" s="292"/>
      <c r="F3473" s="283" t="s">
        <v>85</v>
      </c>
      <c r="G3473" s="283"/>
      <c r="J3473" s="293">
        <v>15</v>
      </c>
      <c r="K3473" s="293"/>
      <c r="L3473" s="293"/>
      <c r="M3473" s="293"/>
      <c r="N3473" s="293"/>
      <c r="P3473" s="42">
        <v>31200</v>
      </c>
      <c r="R3473" s="42">
        <v>4650</v>
      </c>
      <c r="T3473" s="284">
        <v>26550</v>
      </c>
      <c r="U3473" s="284"/>
    </row>
    <row r="3474" spans="1:21" x14ac:dyDescent="0.25">
      <c r="B3474" s="292">
        <v>143</v>
      </c>
      <c r="C3474" s="292"/>
      <c r="D3474" s="292"/>
      <c r="F3474" s="283" t="s">
        <v>84</v>
      </c>
      <c r="G3474" s="283"/>
      <c r="J3474" s="293">
        <v>12</v>
      </c>
      <c r="K3474" s="293"/>
      <c r="L3474" s="293"/>
      <c r="M3474" s="293"/>
      <c r="N3474" s="293"/>
      <c r="P3474" s="42">
        <v>7080</v>
      </c>
      <c r="R3474" s="42">
        <v>1980</v>
      </c>
      <c r="T3474" s="284">
        <v>5100</v>
      </c>
      <c r="U3474" s="284"/>
    </row>
    <row r="3475" spans="1:21" x14ac:dyDescent="0.25">
      <c r="B3475" s="292">
        <v>144</v>
      </c>
      <c r="C3475" s="292"/>
      <c r="D3475" s="292"/>
      <c r="F3475" s="283" t="s">
        <v>331</v>
      </c>
      <c r="G3475" s="283"/>
      <c r="J3475" s="293">
        <v>1</v>
      </c>
      <c r="K3475" s="293"/>
      <c r="L3475" s="293"/>
      <c r="M3475" s="293"/>
      <c r="N3475" s="293"/>
      <c r="P3475" s="42">
        <v>500</v>
      </c>
      <c r="R3475" s="42">
        <v>150</v>
      </c>
      <c r="T3475" s="284">
        <v>350</v>
      </c>
      <c r="U3475" s="284"/>
    </row>
    <row r="3476" spans="1:21" x14ac:dyDescent="0.25">
      <c r="B3476" s="292">
        <v>145</v>
      </c>
      <c r="C3476" s="292"/>
      <c r="D3476" s="292"/>
      <c r="F3476" s="283" t="s">
        <v>208</v>
      </c>
      <c r="G3476" s="283"/>
      <c r="J3476" s="293">
        <v>3</v>
      </c>
      <c r="K3476" s="293"/>
      <c r="L3476" s="293"/>
      <c r="M3476" s="293"/>
      <c r="N3476" s="293"/>
      <c r="P3476" s="42">
        <v>1500</v>
      </c>
      <c r="R3476" s="42">
        <v>300</v>
      </c>
      <c r="T3476" s="284">
        <v>1200</v>
      </c>
      <c r="U3476" s="284"/>
    </row>
    <row r="3477" spans="1:21" x14ac:dyDescent="0.25">
      <c r="B3477" s="292">
        <v>146</v>
      </c>
      <c r="C3477" s="292"/>
      <c r="D3477" s="292"/>
      <c r="F3477" s="283" t="s">
        <v>273</v>
      </c>
      <c r="G3477" s="283"/>
      <c r="J3477" s="293">
        <v>4</v>
      </c>
      <c r="K3477" s="293"/>
      <c r="L3477" s="293"/>
      <c r="M3477" s="293"/>
      <c r="N3477" s="293"/>
      <c r="P3477" s="42">
        <v>2000</v>
      </c>
      <c r="R3477" s="42">
        <v>450</v>
      </c>
      <c r="T3477" s="284">
        <v>1550</v>
      </c>
      <c r="U3477" s="284"/>
    </row>
    <row r="3478" spans="1:21" x14ac:dyDescent="0.25">
      <c r="B3478" s="292">
        <v>147</v>
      </c>
      <c r="C3478" s="292"/>
      <c r="D3478" s="292"/>
      <c r="F3478" s="283" t="s">
        <v>272</v>
      </c>
      <c r="G3478" s="283"/>
      <c r="J3478" s="293">
        <v>1</v>
      </c>
      <c r="K3478" s="293"/>
      <c r="L3478" s="293"/>
      <c r="M3478" s="293"/>
      <c r="N3478" s="293"/>
      <c r="P3478" s="42">
        <v>500</v>
      </c>
      <c r="R3478" s="42">
        <v>150</v>
      </c>
      <c r="T3478" s="284">
        <v>350</v>
      </c>
      <c r="U3478" s="284"/>
    </row>
    <row r="3479" spans="1:21" x14ac:dyDescent="0.25">
      <c r="B3479" s="292">
        <v>148</v>
      </c>
      <c r="C3479" s="292"/>
      <c r="D3479" s="292"/>
      <c r="F3479" s="283" t="s">
        <v>205</v>
      </c>
      <c r="G3479" s="283"/>
      <c r="J3479" s="293">
        <v>12</v>
      </c>
      <c r="K3479" s="293"/>
      <c r="L3479" s="293"/>
      <c r="M3479" s="293"/>
      <c r="N3479" s="293"/>
      <c r="P3479" s="42">
        <v>6000</v>
      </c>
      <c r="R3479" s="42">
        <v>1300</v>
      </c>
      <c r="T3479" s="284">
        <v>4700</v>
      </c>
      <c r="U3479" s="284"/>
    </row>
    <row r="3480" spans="1:21" x14ac:dyDescent="0.25">
      <c r="B3480" s="292">
        <v>149</v>
      </c>
      <c r="C3480" s="292"/>
      <c r="D3480" s="292"/>
      <c r="F3480" s="283" t="s">
        <v>204</v>
      </c>
      <c r="G3480" s="283"/>
      <c r="J3480" s="293">
        <v>1</v>
      </c>
      <c r="K3480" s="293"/>
      <c r="L3480" s="293"/>
      <c r="M3480" s="293"/>
      <c r="N3480" s="293"/>
      <c r="P3480" s="42">
        <v>500</v>
      </c>
      <c r="R3480" s="42">
        <v>150</v>
      </c>
      <c r="T3480" s="284">
        <v>350</v>
      </c>
      <c r="U3480" s="284"/>
    </row>
    <row r="3481" spans="1:21" x14ac:dyDescent="0.25">
      <c r="B3481" s="292">
        <v>150</v>
      </c>
      <c r="C3481" s="292"/>
      <c r="D3481" s="292"/>
      <c r="F3481" s="283" t="s">
        <v>83</v>
      </c>
      <c r="G3481" s="283"/>
      <c r="J3481" s="293">
        <v>2</v>
      </c>
      <c r="K3481" s="293"/>
      <c r="L3481" s="293"/>
      <c r="M3481" s="293"/>
      <c r="N3481" s="293"/>
      <c r="P3481" s="42">
        <v>1000</v>
      </c>
      <c r="R3481" s="42">
        <v>150</v>
      </c>
      <c r="T3481" s="284">
        <v>850</v>
      </c>
      <c r="U3481" s="284"/>
    </row>
    <row r="3482" spans="1:21" x14ac:dyDescent="0.25">
      <c r="B3482" s="292">
        <v>151</v>
      </c>
      <c r="C3482" s="292"/>
      <c r="D3482" s="292"/>
      <c r="F3482" s="283" t="s">
        <v>271</v>
      </c>
      <c r="G3482" s="283"/>
      <c r="J3482" s="293">
        <v>3</v>
      </c>
      <c r="K3482" s="293"/>
      <c r="L3482" s="293"/>
      <c r="M3482" s="293"/>
      <c r="N3482" s="293"/>
      <c r="P3482" s="42">
        <v>1500</v>
      </c>
      <c r="R3482" s="42">
        <v>195</v>
      </c>
      <c r="T3482" s="284">
        <v>1305</v>
      </c>
      <c r="U3482" s="284"/>
    </row>
    <row r="3483" spans="1:21" x14ac:dyDescent="0.25">
      <c r="B3483" s="292">
        <v>152</v>
      </c>
      <c r="C3483" s="292"/>
      <c r="D3483" s="292"/>
      <c r="F3483" s="283" t="s">
        <v>363</v>
      </c>
      <c r="G3483" s="283"/>
      <c r="J3483" s="293">
        <v>3</v>
      </c>
      <c r="K3483" s="293"/>
      <c r="L3483" s="293"/>
      <c r="M3483" s="293"/>
      <c r="N3483" s="293"/>
      <c r="P3483" s="42">
        <v>1500</v>
      </c>
      <c r="R3483" s="42">
        <v>400</v>
      </c>
      <c r="T3483" s="284">
        <v>1100</v>
      </c>
      <c r="U3483" s="284"/>
    </row>
    <row r="3484" spans="1:21" x14ac:dyDescent="0.25">
      <c r="B3484" s="292">
        <v>153</v>
      </c>
      <c r="C3484" s="292"/>
      <c r="D3484" s="292"/>
      <c r="F3484" s="283" t="s">
        <v>82</v>
      </c>
      <c r="G3484" s="283"/>
      <c r="J3484" s="293">
        <v>2</v>
      </c>
      <c r="K3484" s="293"/>
      <c r="L3484" s="293"/>
      <c r="M3484" s="293"/>
      <c r="N3484" s="293"/>
      <c r="P3484" s="42">
        <v>580</v>
      </c>
      <c r="R3484" s="42">
        <v>290</v>
      </c>
      <c r="T3484" s="284">
        <v>290</v>
      </c>
      <c r="U3484" s="284"/>
    </row>
    <row r="3485" spans="1:21" x14ac:dyDescent="0.25">
      <c r="B3485" s="292">
        <v>154</v>
      </c>
      <c r="C3485" s="292"/>
      <c r="D3485" s="292"/>
      <c r="F3485" s="283" t="s">
        <v>81</v>
      </c>
      <c r="G3485" s="283"/>
      <c r="J3485" s="293">
        <v>478</v>
      </c>
      <c r="K3485" s="293"/>
      <c r="L3485" s="293"/>
      <c r="M3485" s="293"/>
      <c r="N3485" s="293"/>
      <c r="P3485" s="42">
        <v>138620</v>
      </c>
      <c r="R3485" s="42">
        <v>20969</v>
      </c>
      <c r="T3485" s="284">
        <v>117651</v>
      </c>
      <c r="U3485" s="284"/>
    </row>
    <row r="3486" spans="1:21" s="40" customFormat="1" x14ac:dyDescent="0.25">
      <c r="A3486" s="290" t="s">
        <v>372</v>
      </c>
      <c r="B3486" s="290"/>
      <c r="C3486" s="290"/>
      <c r="D3486" s="290"/>
      <c r="E3486" s="290"/>
      <c r="F3486" s="290"/>
      <c r="G3486" s="290"/>
      <c r="H3486" s="290"/>
      <c r="I3486" s="290"/>
      <c r="J3486" s="290"/>
      <c r="K3486" s="291">
        <v>7500</v>
      </c>
      <c r="L3486" s="291"/>
      <c r="M3486" s="291"/>
      <c r="N3486" s="291"/>
      <c r="O3486" s="291"/>
      <c r="P3486" s="41">
        <v>6652135</v>
      </c>
      <c r="R3486" s="41">
        <v>5790390</v>
      </c>
      <c r="T3486" s="287">
        <v>861745</v>
      </c>
      <c r="U3486" s="287"/>
    </row>
    <row r="3487" spans="1:21" x14ac:dyDescent="0.25">
      <c r="B3487" s="292">
        <v>1</v>
      </c>
      <c r="C3487" s="292"/>
      <c r="D3487" s="292"/>
      <c r="F3487" s="283" t="s">
        <v>371</v>
      </c>
      <c r="G3487" s="283"/>
      <c r="J3487" s="293">
        <v>1</v>
      </c>
      <c r="K3487" s="293"/>
      <c r="L3487" s="293"/>
      <c r="M3487" s="293"/>
      <c r="N3487" s="293"/>
      <c r="P3487" s="42">
        <v>390</v>
      </c>
      <c r="R3487" s="42">
        <v>120</v>
      </c>
      <c r="T3487" s="284">
        <v>270</v>
      </c>
      <c r="U3487" s="284"/>
    </row>
    <row r="3488" spans="1:21" x14ac:dyDescent="0.25">
      <c r="B3488" s="292">
        <v>2</v>
      </c>
      <c r="C3488" s="292"/>
      <c r="D3488" s="292"/>
      <c r="F3488" s="283" t="s">
        <v>251</v>
      </c>
      <c r="G3488" s="283"/>
      <c r="J3488" s="293">
        <v>1</v>
      </c>
      <c r="K3488" s="293"/>
      <c r="L3488" s="293"/>
      <c r="M3488" s="293"/>
      <c r="N3488" s="293"/>
      <c r="P3488" s="42">
        <v>800</v>
      </c>
      <c r="R3488" s="42">
        <v>0</v>
      </c>
      <c r="T3488" s="284">
        <v>800</v>
      </c>
      <c r="U3488" s="284"/>
    </row>
    <row r="3489" spans="2:21" x14ac:dyDescent="0.25">
      <c r="B3489" s="292">
        <v>3</v>
      </c>
      <c r="C3489" s="292"/>
      <c r="D3489" s="292"/>
      <c r="F3489" s="283" t="s">
        <v>79</v>
      </c>
      <c r="G3489" s="283"/>
      <c r="J3489" s="293">
        <v>1</v>
      </c>
      <c r="K3489" s="293"/>
      <c r="L3489" s="293"/>
      <c r="M3489" s="293"/>
      <c r="N3489" s="293"/>
      <c r="P3489" s="42">
        <v>500</v>
      </c>
      <c r="R3489" s="42">
        <v>150</v>
      </c>
      <c r="T3489" s="284">
        <v>350</v>
      </c>
      <c r="U3489" s="284"/>
    </row>
    <row r="3490" spans="2:21" x14ac:dyDescent="0.25">
      <c r="B3490" s="292">
        <v>4</v>
      </c>
      <c r="C3490" s="292"/>
      <c r="D3490" s="292"/>
      <c r="F3490" s="283" t="s">
        <v>168</v>
      </c>
      <c r="G3490" s="283"/>
      <c r="J3490" s="293">
        <v>1</v>
      </c>
      <c r="K3490" s="293"/>
      <c r="L3490" s="293"/>
      <c r="M3490" s="293"/>
      <c r="N3490" s="293"/>
      <c r="P3490" s="42">
        <v>2200</v>
      </c>
      <c r="R3490" s="42">
        <v>330</v>
      </c>
      <c r="T3490" s="284">
        <v>1870</v>
      </c>
      <c r="U3490" s="284"/>
    </row>
    <row r="3491" spans="2:21" x14ac:dyDescent="0.25">
      <c r="B3491" s="292">
        <v>5</v>
      </c>
      <c r="C3491" s="292"/>
      <c r="D3491" s="292"/>
      <c r="F3491" s="283" t="s">
        <v>78</v>
      </c>
      <c r="G3491" s="283"/>
      <c r="J3491" s="293">
        <v>356</v>
      </c>
      <c r="K3491" s="293"/>
      <c r="L3491" s="293"/>
      <c r="M3491" s="293"/>
      <c r="N3491" s="293"/>
      <c r="P3491" s="42">
        <v>103240</v>
      </c>
      <c r="R3491" s="42">
        <v>103240</v>
      </c>
      <c r="T3491" s="284">
        <v>0</v>
      </c>
      <c r="U3491" s="284"/>
    </row>
    <row r="3492" spans="2:21" x14ac:dyDescent="0.25">
      <c r="B3492" s="292">
        <v>6</v>
      </c>
      <c r="C3492" s="292"/>
      <c r="D3492" s="292"/>
      <c r="F3492" s="283" t="s">
        <v>294</v>
      </c>
      <c r="G3492" s="283"/>
      <c r="J3492" s="293">
        <v>1</v>
      </c>
      <c r="K3492" s="293"/>
      <c r="L3492" s="293"/>
      <c r="M3492" s="293"/>
      <c r="N3492" s="293"/>
      <c r="P3492" s="42">
        <v>500</v>
      </c>
      <c r="R3492" s="42">
        <v>150</v>
      </c>
      <c r="T3492" s="284">
        <v>350</v>
      </c>
      <c r="U3492" s="284"/>
    </row>
    <row r="3493" spans="2:21" x14ac:dyDescent="0.25">
      <c r="B3493" s="292">
        <v>7</v>
      </c>
      <c r="C3493" s="292"/>
      <c r="D3493" s="292"/>
      <c r="F3493" s="283" t="s">
        <v>165</v>
      </c>
      <c r="G3493" s="283"/>
      <c r="J3493" s="293">
        <v>1</v>
      </c>
      <c r="K3493" s="293"/>
      <c r="L3493" s="293"/>
      <c r="M3493" s="293"/>
      <c r="N3493" s="293"/>
      <c r="P3493" s="42">
        <v>590</v>
      </c>
      <c r="R3493" s="42">
        <v>180</v>
      </c>
      <c r="T3493" s="284">
        <v>410</v>
      </c>
      <c r="U3493" s="284"/>
    </row>
    <row r="3494" spans="2:21" x14ac:dyDescent="0.25">
      <c r="B3494" s="292">
        <v>8</v>
      </c>
      <c r="C3494" s="292"/>
      <c r="D3494" s="292"/>
      <c r="F3494" s="283" t="s">
        <v>163</v>
      </c>
      <c r="G3494" s="283"/>
      <c r="J3494" s="293">
        <v>2</v>
      </c>
      <c r="K3494" s="293"/>
      <c r="L3494" s="293"/>
      <c r="M3494" s="293"/>
      <c r="N3494" s="293"/>
      <c r="P3494" s="42">
        <v>2380</v>
      </c>
      <c r="R3494" s="42">
        <v>360</v>
      </c>
      <c r="T3494" s="284">
        <v>2020</v>
      </c>
      <c r="U3494" s="284"/>
    </row>
    <row r="3495" spans="2:21" x14ac:dyDescent="0.25">
      <c r="B3495" s="292">
        <v>9</v>
      </c>
      <c r="C3495" s="292"/>
      <c r="D3495" s="292"/>
      <c r="F3495" s="283" t="s">
        <v>162</v>
      </c>
      <c r="G3495" s="283"/>
      <c r="J3495" s="293">
        <v>19</v>
      </c>
      <c r="K3495" s="293"/>
      <c r="L3495" s="293"/>
      <c r="M3495" s="293"/>
      <c r="N3495" s="293"/>
      <c r="P3495" s="42">
        <v>8170</v>
      </c>
      <c r="R3495" s="42">
        <v>3481</v>
      </c>
      <c r="T3495" s="284">
        <v>4689</v>
      </c>
      <c r="U3495" s="284"/>
    </row>
    <row r="3496" spans="2:21" x14ac:dyDescent="0.25">
      <c r="B3496" s="292">
        <v>10</v>
      </c>
      <c r="C3496" s="292"/>
      <c r="D3496" s="292"/>
      <c r="F3496" s="283" t="s">
        <v>198</v>
      </c>
      <c r="G3496" s="283"/>
      <c r="J3496" s="293">
        <v>1</v>
      </c>
      <c r="K3496" s="293"/>
      <c r="L3496" s="293"/>
      <c r="M3496" s="293"/>
      <c r="N3496" s="293"/>
      <c r="P3496" s="42">
        <v>290</v>
      </c>
      <c r="R3496" s="42">
        <v>80</v>
      </c>
      <c r="T3496" s="284">
        <v>210</v>
      </c>
      <c r="U3496" s="284"/>
    </row>
    <row r="3497" spans="2:21" x14ac:dyDescent="0.25">
      <c r="B3497" s="292">
        <v>11</v>
      </c>
      <c r="C3497" s="292"/>
      <c r="D3497" s="292"/>
      <c r="F3497" s="283" t="s">
        <v>161</v>
      </c>
      <c r="G3497" s="283"/>
      <c r="J3497" s="293">
        <v>5</v>
      </c>
      <c r="K3497" s="293"/>
      <c r="L3497" s="293"/>
      <c r="M3497" s="293"/>
      <c r="N3497" s="293"/>
      <c r="P3497" s="42">
        <v>125</v>
      </c>
      <c r="R3497" s="42">
        <v>25</v>
      </c>
      <c r="T3497" s="284">
        <v>100</v>
      </c>
      <c r="U3497" s="284"/>
    </row>
    <row r="3498" spans="2:21" x14ac:dyDescent="0.25">
      <c r="B3498" s="292">
        <v>12</v>
      </c>
      <c r="C3498" s="292"/>
      <c r="D3498" s="292"/>
      <c r="F3498" s="283" t="s">
        <v>160</v>
      </c>
      <c r="G3498" s="283"/>
      <c r="J3498" s="293">
        <v>23</v>
      </c>
      <c r="K3498" s="293"/>
      <c r="L3498" s="293"/>
      <c r="M3498" s="293"/>
      <c r="N3498" s="293"/>
      <c r="P3498" s="42">
        <v>6670</v>
      </c>
      <c r="R3498" s="42">
        <v>1840</v>
      </c>
      <c r="T3498" s="284">
        <v>4830</v>
      </c>
      <c r="U3498" s="284"/>
    </row>
    <row r="3499" spans="2:21" x14ac:dyDescent="0.25">
      <c r="B3499" s="292">
        <v>13</v>
      </c>
      <c r="C3499" s="292"/>
      <c r="D3499" s="292"/>
      <c r="F3499" s="283" t="s">
        <v>159</v>
      </c>
      <c r="G3499" s="283"/>
      <c r="J3499" s="293">
        <v>249</v>
      </c>
      <c r="K3499" s="293"/>
      <c r="L3499" s="293"/>
      <c r="M3499" s="293"/>
      <c r="N3499" s="293"/>
      <c r="P3499" s="42">
        <v>0</v>
      </c>
      <c r="R3499" s="42">
        <v>0</v>
      </c>
      <c r="T3499" s="284">
        <v>0</v>
      </c>
      <c r="U3499" s="284"/>
    </row>
    <row r="3500" spans="2:21" x14ac:dyDescent="0.25">
      <c r="B3500" s="292">
        <v>14</v>
      </c>
      <c r="C3500" s="292"/>
      <c r="D3500" s="292"/>
      <c r="F3500" s="283" t="s">
        <v>158</v>
      </c>
      <c r="G3500" s="283"/>
      <c r="J3500" s="293">
        <v>812</v>
      </c>
      <c r="K3500" s="293"/>
      <c r="L3500" s="293"/>
      <c r="M3500" s="293"/>
      <c r="N3500" s="293"/>
      <c r="P3500" s="42">
        <v>446600</v>
      </c>
      <c r="R3500" s="42">
        <v>131310</v>
      </c>
      <c r="T3500" s="284">
        <v>315290</v>
      </c>
      <c r="U3500" s="284"/>
    </row>
    <row r="3501" spans="2:21" x14ac:dyDescent="0.25">
      <c r="B3501" s="292">
        <v>15</v>
      </c>
      <c r="C3501" s="292"/>
      <c r="D3501" s="292"/>
      <c r="F3501" s="283" t="s">
        <v>157</v>
      </c>
      <c r="G3501" s="283"/>
      <c r="J3501" s="293">
        <v>133</v>
      </c>
      <c r="K3501" s="293"/>
      <c r="L3501" s="293"/>
      <c r="M3501" s="293"/>
      <c r="N3501" s="293"/>
      <c r="P3501" s="42">
        <v>65170</v>
      </c>
      <c r="R3501" s="42">
        <v>24969</v>
      </c>
      <c r="T3501" s="284">
        <v>40201</v>
      </c>
      <c r="U3501" s="284"/>
    </row>
    <row r="3502" spans="2:21" x14ac:dyDescent="0.25">
      <c r="B3502" s="292">
        <v>16</v>
      </c>
      <c r="C3502" s="292"/>
      <c r="D3502" s="292"/>
      <c r="F3502" s="283" t="s">
        <v>196</v>
      </c>
      <c r="G3502" s="283"/>
      <c r="J3502" s="293">
        <v>2</v>
      </c>
      <c r="K3502" s="293"/>
      <c r="L3502" s="293"/>
      <c r="M3502" s="293"/>
      <c r="N3502" s="293"/>
      <c r="P3502" s="42">
        <v>1400</v>
      </c>
      <c r="R3502" s="42">
        <v>700</v>
      </c>
      <c r="T3502" s="284">
        <v>700</v>
      </c>
      <c r="U3502" s="284"/>
    </row>
    <row r="3503" spans="2:21" x14ac:dyDescent="0.25">
      <c r="B3503" s="292">
        <v>17</v>
      </c>
      <c r="C3503" s="292"/>
      <c r="D3503" s="292"/>
      <c r="F3503" s="283" t="s">
        <v>292</v>
      </c>
      <c r="G3503" s="283"/>
      <c r="J3503" s="293">
        <v>1</v>
      </c>
      <c r="K3503" s="293"/>
      <c r="L3503" s="293"/>
      <c r="M3503" s="293"/>
      <c r="N3503" s="293"/>
      <c r="P3503" s="42">
        <v>700</v>
      </c>
      <c r="R3503" s="42">
        <v>700</v>
      </c>
      <c r="T3503" s="284">
        <v>0</v>
      </c>
      <c r="U3503" s="284"/>
    </row>
    <row r="3504" spans="2:21" x14ac:dyDescent="0.25">
      <c r="B3504" s="292">
        <v>18</v>
      </c>
      <c r="C3504" s="292"/>
      <c r="D3504" s="292"/>
      <c r="F3504" s="283" t="s">
        <v>77</v>
      </c>
      <c r="G3504" s="283"/>
      <c r="J3504" s="293">
        <v>2389</v>
      </c>
      <c r="K3504" s="293"/>
      <c r="L3504" s="293"/>
      <c r="M3504" s="293"/>
      <c r="N3504" s="293"/>
      <c r="P3504" s="42">
        <v>962400</v>
      </c>
      <c r="R3504" s="42">
        <v>962400</v>
      </c>
      <c r="T3504" s="284">
        <v>0</v>
      </c>
      <c r="U3504" s="284"/>
    </row>
    <row r="3505" spans="2:21" x14ac:dyDescent="0.25">
      <c r="B3505" s="292">
        <v>19</v>
      </c>
      <c r="C3505" s="292"/>
      <c r="D3505" s="292"/>
      <c r="F3505" s="283" t="s">
        <v>76</v>
      </c>
      <c r="G3505" s="283"/>
      <c r="J3505" s="293">
        <v>4</v>
      </c>
      <c r="K3505" s="293"/>
      <c r="L3505" s="293"/>
      <c r="M3505" s="293"/>
      <c r="N3505" s="293"/>
      <c r="P3505" s="42">
        <v>2400</v>
      </c>
      <c r="R3505" s="42">
        <v>2400</v>
      </c>
      <c r="T3505" s="284">
        <v>0</v>
      </c>
      <c r="U3505" s="284"/>
    </row>
    <row r="3506" spans="2:21" x14ac:dyDescent="0.25">
      <c r="B3506" s="292">
        <v>20</v>
      </c>
      <c r="C3506" s="292"/>
      <c r="D3506" s="292"/>
      <c r="F3506" s="283" t="s">
        <v>156</v>
      </c>
      <c r="G3506" s="283"/>
      <c r="J3506" s="293">
        <v>8</v>
      </c>
      <c r="K3506" s="293"/>
      <c r="L3506" s="293"/>
      <c r="M3506" s="293"/>
      <c r="N3506" s="293"/>
      <c r="P3506" s="42">
        <v>1520</v>
      </c>
      <c r="R3506" s="42">
        <v>540</v>
      </c>
      <c r="T3506" s="284">
        <v>980</v>
      </c>
      <c r="U3506" s="284"/>
    </row>
    <row r="3507" spans="2:21" x14ac:dyDescent="0.25">
      <c r="B3507" s="292">
        <v>21</v>
      </c>
      <c r="C3507" s="292"/>
      <c r="D3507" s="292"/>
      <c r="F3507" s="283" t="s">
        <v>155</v>
      </c>
      <c r="G3507" s="283"/>
      <c r="J3507" s="293">
        <v>57</v>
      </c>
      <c r="K3507" s="293"/>
      <c r="L3507" s="293"/>
      <c r="M3507" s="293"/>
      <c r="N3507" s="293"/>
      <c r="P3507" s="42">
        <v>14250</v>
      </c>
      <c r="R3507" s="42">
        <v>4540</v>
      </c>
      <c r="T3507" s="284">
        <v>9710</v>
      </c>
      <c r="U3507" s="284"/>
    </row>
    <row r="3508" spans="2:21" x14ac:dyDescent="0.25">
      <c r="B3508" s="292">
        <v>22</v>
      </c>
      <c r="C3508" s="292"/>
      <c r="D3508" s="292"/>
      <c r="F3508" s="283" t="s">
        <v>154</v>
      </c>
      <c r="G3508" s="283"/>
      <c r="J3508" s="293">
        <v>3</v>
      </c>
      <c r="K3508" s="293"/>
      <c r="L3508" s="293"/>
      <c r="M3508" s="293"/>
      <c r="N3508" s="293"/>
      <c r="P3508" s="42">
        <v>2670</v>
      </c>
      <c r="R3508" s="42">
        <v>390</v>
      </c>
      <c r="T3508" s="284">
        <v>2280</v>
      </c>
      <c r="U3508" s="284"/>
    </row>
    <row r="3509" spans="2:21" x14ac:dyDescent="0.25">
      <c r="B3509" s="292">
        <v>23</v>
      </c>
      <c r="C3509" s="292"/>
      <c r="D3509" s="292"/>
      <c r="F3509" s="283" t="s">
        <v>308</v>
      </c>
      <c r="G3509" s="283"/>
      <c r="J3509" s="293">
        <v>1</v>
      </c>
      <c r="K3509" s="293"/>
      <c r="L3509" s="293"/>
      <c r="M3509" s="293"/>
      <c r="N3509" s="293"/>
      <c r="P3509" s="42">
        <v>10000</v>
      </c>
      <c r="R3509" s="42">
        <v>9700</v>
      </c>
      <c r="T3509" s="284">
        <v>300</v>
      </c>
      <c r="U3509" s="284"/>
    </row>
    <row r="3510" spans="2:21" x14ac:dyDescent="0.25">
      <c r="B3510" s="292">
        <v>24</v>
      </c>
      <c r="C3510" s="292"/>
      <c r="D3510" s="292"/>
      <c r="F3510" s="283" t="s">
        <v>152</v>
      </c>
      <c r="G3510" s="283"/>
      <c r="J3510" s="293">
        <v>23</v>
      </c>
      <c r="K3510" s="293"/>
      <c r="L3510" s="293"/>
      <c r="M3510" s="293"/>
      <c r="N3510" s="293"/>
      <c r="P3510" s="42">
        <v>13570</v>
      </c>
      <c r="R3510" s="42">
        <v>4020</v>
      </c>
      <c r="T3510" s="284">
        <v>9550</v>
      </c>
      <c r="U3510" s="284"/>
    </row>
    <row r="3511" spans="2:21" x14ac:dyDescent="0.25">
      <c r="B3511" s="292">
        <v>25</v>
      </c>
      <c r="C3511" s="292"/>
      <c r="D3511" s="292"/>
      <c r="F3511" s="283" t="s">
        <v>151</v>
      </c>
      <c r="G3511" s="283"/>
      <c r="J3511" s="293">
        <v>26</v>
      </c>
      <c r="K3511" s="293"/>
      <c r="L3511" s="293"/>
      <c r="M3511" s="293"/>
      <c r="N3511" s="293"/>
      <c r="P3511" s="42">
        <v>5980</v>
      </c>
      <c r="R3511" s="42">
        <v>1830</v>
      </c>
      <c r="T3511" s="284">
        <v>4150</v>
      </c>
      <c r="U3511" s="284"/>
    </row>
    <row r="3512" spans="2:21" x14ac:dyDescent="0.25">
      <c r="B3512" s="292">
        <v>26</v>
      </c>
      <c r="C3512" s="292"/>
      <c r="D3512" s="292"/>
      <c r="F3512" s="283" t="s">
        <v>150</v>
      </c>
      <c r="G3512" s="283"/>
      <c r="J3512" s="293">
        <v>24</v>
      </c>
      <c r="K3512" s="293"/>
      <c r="L3512" s="293"/>
      <c r="M3512" s="293"/>
      <c r="N3512" s="293"/>
      <c r="P3512" s="42">
        <v>4080</v>
      </c>
      <c r="R3512" s="42">
        <v>1050</v>
      </c>
      <c r="T3512" s="284">
        <v>3030</v>
      </c>
      <c r="U3512" s="284"/>
    </row>
    <row r="3513" spans="2:21" x14ac:dyDescent="0.25">
      <c r="B3513" s="292">
        <v>27</v>
      </c>
      <c r="C3513" s="292"/>
      <c r="D3513" s="292"/>
      <c r="F3513" s="283" t="s">
        <v>149</v>
      </c>
      <c r="G3513" s="283"/>
      <c r="J3513" s="293">
        <v>1</v>
      </c>
      <c r="K3513" s="293"/>
      <c r="L3513" s="293"/>
      <c r="M3513" s="293"/>
      <c r="N3513" s="293"/>
      <c r="P3513" s="42">
        <v>50</v>
      </c>
      <c r="R3513" s="42">
        <v>10</v>
      </c>
      <c r="T3513" s="284">
        <v>40</v>
      </c>
      <c r="U3513" s="284"/>
    </row>
    <row r="3514" spans="2:21" x14ac:dyDescent="0.25">
      <c r="B3514" s="292">
        <v>28</v>
      </c>
      <c r="C3514" s="292"/>
      <c r="D3514" s="292"/>
      <c r="F3514" s="283" t="s">
        <v>148</v>
      </c>
      <c r="G3514" s="283"/>
      <c r="J3514" s="293">
        <v>1</v>
      </c>
      <c r="K3514" s="293"/>
      <c r="L3514" s="293"/>
      <c r="M3514" s="293"/>
      <c r="N3514" s="293"/>
      <c r="P3514" s="42">
        <v>980</v>
      </c>
      <c r="R3514" s="42">
        <v>0</v>
      </c>
      <c r="T3514" s="284">
        <v>980</v>
      </c>
      <c r="U3514" s="284"/>
    </row>
    <row r="3515" spans="2:21" x14ac:dyDescent="0.25">
      <c r="B3515" s="292">
        <v>29</v>
      </c>
      <c r="C3515" s="292"/>
      <c r="D3515" s="292"/>
      <c r="F3515" s="283" t="s">
        <v>146</v>
      </c>
      <c r="G3515" s="283"/>
      <c r="J3515" s="293">
        <v>1</v>
      </c>
      <c r="K3515" s="293"/>
      <c r="L3515" s="293"/>
      <c r="M3515" s="293"/>
      <c r="N3515" s="293"/>
      <c r="P3515" s="42">
        <v>50</v>
      </c>
      <c r="R3515" s="42">
        <v>0</v>
      </c>
      <c r="T3515" s="284">
        <v>50</v>
      </c>
      <c r="U3515" s="284"/>
    </row>
    <row r="3516" spans="2:21" x14ac:dyDescent="0.25">
      <c r="B3516" s="292">
        <v>30</v>
      </c>
      <c r="C3516" s="292"/>
      <c r="D3516" s="292"/>
      <c r="F3516" s="283" t="s">
        <v>288</v>
      </c>
      <c r="G3516" s="283"/>
      <c r="J3516" s="293">
        <v>1</v>
      </c>
      <c r="K3516" s="293"/>
      <c r="L3516" s="293"/>
      <c r="M3516" s="293"/>
      <c r="N3516" s="293"/>
      <c r="P3516" s="42">
        <v>800</v>
      </c>
      <c r="R3516" s="42">
        <v>450</v>
      </c>
      <c r="T3516" s="284">
        <v>350</v>
      </c>
      <c r="U3516" s="284"/>
    </row>
    <row r="3517" spans="2:21" x14ac:dyDescent="0.25">
      <c r="B3517" s="292">
        <v>31</v>
      </c>
      <c r="C3517" s="292"/>
      <c r="D3517" s="292"/>
      <c r="F3517" s="283" t="s">
        <v>234</v>
      </c>
      <c r="G3517" s="283"/>
      <c r="J3517" s="293">
        <v>1</v>
      </c>
      <c r="K3517" s="293"/>
      <c r="L3517" s="293"/>
      <c r="M3517" s="293"/>
      <c r="N3517" s="293"/>
      <c r="P3517" s="42">
        <v>800</v>
      </c>
      <c r="R3517" s="42">
        <v>450</v>
      </c>
      <c r="T3517" s="284">
        <v>350</v>
      </c>
      <c r="U3517" s="284"/>
    </row>
    <row r="3518" spans="2:21" x14ac:dyDescent="0.25">
      <c r="B3518" s="292">
        <v>32</v>
      </c>
      <c r="C3518" s="292"/>
      <c r="D3518" s="292"/>
      <c r="F3518" s="283" t="s">
        <v>232</v>
      </c>
      <c r="G3518" s="283"/>
      <c r="J3518" s="293">
        <v>1</v>
      </c>
      <c r="K3518" s="293"/>
      <c r="L3518" s="293"/>
      <c r="M3518" s="293"/>
      <c r="N3518" s="293"/>
      <c r="P3518" s="42">
        <v>980</v>
      </c>
      <c r="R3518" s="42">
        <v>150</v>
      </c>
      <c r="T3518" s="284">
        <v>830</v>
      </c>
      <c r="U3518" s="284"/>
    </row>
    <row r="3519" spans="2:21" x14ac:dyDescent="0.25">
      <c r="B3519" s="292">
        <v>33</v>
      </c>
      <c r="C3519" s="292"/>
      <c r="D3519" s="292"/>
      <c r="F3519" s="283" t="s">
        <v>193</v>
      </c>
      <c r="G3519" s="283"/>
      <c r="J3519" s="293">
        <v>1</v>
      </c>
      <c r="K3519" s="293"/>
      <c r="L3519" s="293"/>
      <c r="M3519" s="293"/>
      <c r="N3519" s="293"/>
      <c r="P3519" s="42">
        <v>890</v>
      </c>
      <c r="R3519" s="42">
        <v>130</v>
      </c>
      <c r="T3519" s="284">
        <v>760</v>
      </c>
      <c r="U3519" s="284"/>
    </row>
    <row r="3520" spans="2:21" x14ac:dyDescent="0.25">
      <c r="B3520" s="292">
        <v>34</v>
      </c>
      <c r="C3520" s="292"/>
      <c r="D3520" s="292"/>
      <c r="F3520" s="283" t="s">
        <v>142</v>
      </c>
      <c r="G3520" s="283"/>
      <c r="J3520" s="293">
        <v>2</v>
      </c>
      <c r="K3520" s="293"/>
      <c r="L3520" s="293"/>
      <c r="M3520" s="293"/>
      <c r="N3520" s="293"/>
      <c r="P3520" s="42">
        <v>700</v>
      </c>
      <c r="R3520" s="42">
        <v>300</v>
      </c>
      <c r="T3520" s="284">
        <v>400</v>
      </c>
      <c r="U3520" s="284"/>
    </row>
    <row r="3521" spans="2:21" x14ac:dyDescent="0.25">
      <c r="B3521" s="292">
        <v>35</v>
      </c>
      <c r="C3521" s="292"/>
      <c r="D3521" s="292"/>
      <c r="F3521" s="283" t="s">
        <v>75</v>
      </c>
      <c r="G3521" s="283"/>
      <c r="J3521" s="293">
        <v>1725</v>
      </c>
      <c r="K3521" s="293"/>
      <c r="L3521" s="293"/>
      <c r="M3521" s="293"/>
      <c r="N3521" s="293"/>
      <c r="P3521" s="42">
        <v>4312500</v>
      </c>
      <c r="R3521" s="42">
        <v>4312500</v>
      </c>
      <c r="T3521" s="284">
        <v>0</v>
      </c>
      <c r="U3521" s="284"/>
    </row>
    <row r="3522" spans="2:21" x14ac:dyDescent="0.25">
      <c r="B3522" s="292">
        <v>36</v>
      </c>
      <c r="C3522" s="292"/>
      <c r="D3522" s="292"/>
      <c r="F3522" s="283" t="s">
        <v>139</v>
      </c>
      <c r="G3522" s="283"/>
      <c r="J3522" s="293">
        <v>4</v>
      </c>
      <c r="K3522" s="293"/>
      <c r="L3522" s="293"/>
      <c r="M3522" s="293"/>
      <c r="N3522" s="293"/>
      <c r="P3522" s="42">
        <v>1080</v>
      </c>
      <c r="R3522" s="42">
        <v>320</v>
      </c>
      <c r="T3522" s="284">
        <v>760</v>
      </c>
      <c r="U3522" s="284"/>
    </row>
    <row r="3523" spans="2:21" x14ac:dyDescent="0.25">
      <c r="B3523" s="292">
        <v>37</v>
      </c>
      <c r="C3523" s="292"/>
      <c r="D3523" s="292"/>
      <c r="F3523" s="283" t="s">
        <v>138</v>
      </c>
      <c r="G3523" s="283"/>
      <c r="J3523" s="293">
        <v>1</v>
      </c>
      <c r="K3523" s="293"/>
      <c r="L3523" s="293"/>
      <c r="M3523" s="293"/>
      <c r="N3523" s="293"/>
      <c r="P3523" s="42">
        <v>800</v>
      </c>
      <c r="R3523" s="42">
        <v>450</v>
      </c>
      <c r="T3523" s="284">
        <v>350</v>
      </c>
      <c r="U3523" s="284"/>
    </row>
    <row r="3524" spans="2:21" x14ac:dyDescent="0.25">
      <c r="B3524" s="292">
        <v>38</v>
      </c>
      <c r="C3524" s="292"/>
      <c r="D3524" s="292"/>
      <c r="F3524" s="283" t="s">
        <v>137</v>
      </c>
      <c r="G3524" s="283"/>
      <c r="J3524" s="293">
        <v>2</v>
      </c>
      <c r="K3524" s="293"/>
      <c r="L3524" s="293"/>
      <c r="M3524" s="293"/>
      <c r="N3524" s="293"/>
      <c r="P3524" s="42">
        <v>1600</v>
      </c>
      <c r="R3524" s="42">
        <v>900</v>
      </c>
      <c r="T3524" s="284">
        <v>700</v>
      </c>
      <c r="U3524" s="284"/>
    </row>
    <row r="3525" spans="2:21" x14ac:dyDescent="0.25">
      <c r="B3525" s="292">
        <v>39</v>
      </c>
      <c r="C3525" s="292"/>
      <c r="D3525" s="292"/>
      <c r="F3525" s="283" t="s">
        <v>313</v>
      </c>
      <c r="G3525" s="283"/>
      <c r="J3525" s="293">
        <v>1</v>
      </c>
      <c r="K3525" s="293"/>
      <c r="L3525" s="293"/>
      <c r="M3525" s="293"/>
      <c r="N3525" s="293"/>
      <c r="P3525" s="42">
        <v>800</v>
      </c>
      <c r="R3525" s="42">
        <v>450</v>
      </c>
      <c r="T3525" s="284">
        <v>350</v>
      </c>
      <c r="U3525" s="284"/>
    </row>
    <row r="3526" spans="2:21" x14ac:dyDescent="0.25">
      <c r="B3526" s="292">
        <v>40</v>
      </c>
      <c r="C3526" s="292"/>
      <c r="D3526" s="292"/>
      <c r="F3526" s="283" t="s">
        <v>136</v>
      </c>
      <c r="G3526" s="283"/>
      <c r="J3526" s="293">
        <v>85</v>
      </c>
      <c r="K3526" s="293"/>
      <c r="L3526" s="293"/>
      <c r="M3526" s="293"/>
      <c r="N3526" s="293"/>
      <c r="P3526" s="42">
        <v>72250</v>
      </c>
      <c r="R3526" s="42">
        <v>13000</v>
      </c>
      <c r="T3526" s="284">
        <v>59250</v>
      </c>
      <c r="U3526" s="284"/>
    </row>
    <row r="3527" spans="2:21" x14ac:dyDescent="0.25">
      <c r="B3527" s="292">
        <v>41</v>
      </c>
      <c r="C3527" s="292"/>
      <c r="D3527" s="292"/>
      <c r="F3527" s="283" t="s">
        <v>74</v>
      </c>
      <c r="G3527" s="283"/>
      <c r="J3527" s="293">
        <v>94</v>
      </c>
      <c r="K3527" s="293"/>
      <c r="L3527" s="293"/>
      <c r="M3527" s="293"/>
      <c r="N3527" s="293"/>
      <c r="P3527" s="42">
        <v>79900</v>
      </c>
      <c r="R3527" s="42">
        <v>79900</v>
      </c>
      <c r="T3527" s="284">
        <v>0</v>
      </c>
      <c r="U3527" s="284"/>
    </row>
    <row r="3528" spans="2:21" x14ac:dyDescent="0.25">
      <c r="B3528" s="292">
        <v>42</v>
      </c>
      <c r="C3528" s="292"/>
      <c r="D3528" s="292"/>
      <c r="F3528" s="283" t="s">
        <v>352</v>
      </c>
      <c r="G3528" s="283"/>
      <c r="J3528" s="293">
        <v>1</v>
      </c>
      <c r="K3528" s="293"/>
      <c r="L3528" s="293"/>
      <c r="M3528" s="293"/>
      <c r="N3528" s="293"/>
      <c r="P3528" s="42">
        <v>800</v>
      </c>
      <c r="R3528" s="42">
        <v>450</v>
      </c>
      <c r="T3528" s="284">
        <v>350</v>
      </c>
      <c r="U3528" s="284"/>
    </row>
    <row r="3529" spans="2:21" x14ac:dyDescent="0.25">
      <c r="B3529" s="292">
        <v>43</v>
      </c>
      <c r="C3529" s="292"/>
      <c r="D3529" s="292"/>
      <c r="F3529" s="283" t="s">
        <v>351</v>
      </c>
      <c r="G3529" s="283"/>
      <c r="J3529" s="293">
        <v>1</v>
      </c>
      <c r="K3529" s="293"/>
      <c r="L3529" s="293"/>
      <c r="M3529" s="293"/>
      <c r="N3529" s="293"/>
      <c r="P3529" s="42">
        <v>800</v>
      </c>
      <c r="R3529" s="42">
        <v>450</v>
      </c>
      <c r="T3529" s="284">
        <v>350</v>
      </c>
      <c r="U3529" s="284"/>
    </row>
    <row r="3530" spans="2:21" x14ac:dyDescent="0.25">
      <c r="B3530" s="292">
        <v>44</v>
      </c>
      <c r="C3530" s="292"/>
      <c r="D3530" s="292"/>
      <c r="F3530" s="283" t="s">
        <v>190</v>
      </c>
      <c r="G3530" s="283"/>
      <c r="J3530" s="293">
        <v>9</v>
      </c>
      <c r="K3530" s="293"/>
      <c r="L3530" s="293"/>
      <c r="M3530" s="293"/>
      <c r="N3530" s="293"/>
      <c r="P3530" s="42">
        <v>14130</v>
      </c>
      <c r="R3530" s="42">
        <v>2160</v>
      </c>
      <c r="T3530" s="284">
        <v>11970</v>
      </c>
      <c r="U3530" s="284"/>
    </row>
    <row r="3531" spans="2:21" x14ac:dyDescent="0.25">
      <c r="B3531" s="292">
        <v>45</v>
      </c>
      <c r="C3531" s="292"/>
      <c r="D3531" s="292"/>
      <c r="F3531" s="283" t="s">
        <v>135</v>
      </c>
      <c r="G3531" s="283"/>
      <c r="J3531" s="293">
        <v>8</v>
      </c>
      <c r="K3531" s="293"/>
      <c r="L3531" s="293"/>
      <c r="M3531" s="293"/>
      <c r="N3531" s="293"/>
      <c r="P3531" s="42">
        <v>7600</v>
      </c>
      <c r="R3531" s="42">
        <v>2240</v>
      </c>
      <c r="T3531" s="284">
        <v>5360</v>
      </c>
      <c r="U3531" s="284"/>
    </row>
    <row r="3532" spans="2:21" x14ac:dyDescent="0.25">
      <c r="B3532" s="292">
        <v>46</v>
      </c>
      <c r="C3532" s="292"/>
      <c r="D3532" s="292"/>
      <c r="F3532" s="283" t="s">
        <v>132</v>
      </c>
      <c r="G3532" s="283"/>
      <c r="J3532" s="293">
        <v>3</v>
      </c>
      <c r="K3532" s="293"/>
      <c r="L3532" s="293"/>
      <c r="M3532" s="293"/>
      <c r="N3532" s="293"/>
      <c r="P3532" s="42">
        <v>3720</v>
      </c>
      <c r="R3532" s="42">
        <v>1110</v>
      </c>
      <c r="T3532" s="284">
        <v>2610</v>
      </c>
      <c r="U3532" s="284"/>
    </row>
    <row r="3533" spans="2:21" x14ac:dyDescent="0.25">
      <c r="B3533" s="292">
        <v>47</v>
      </c>
      <c r="C3533" s="292"/>
      <c r="D3533" s="292"/>
      <c r="F3533" s="283" t="s">
        <v>131</v>
      </c>
      <c r="G3533" s="283"/>
      <c r="J3533" s="293">
        <v>2</v>
      </c>
      <c r="K3533" s="293"/>
      <c r="L3533" s="293"/>
      <c r="M3533" s="293"/>
      <c r="N3533" s="293"/>
      <c r="P3533" s="42">
        <v>7400</v>
      </c>
      <c r="R3533" s="42">
        <v>1600</v>
      </c>
      <c r="T3533" s="284">
        <v>5800</v>
      </c>
      <c r="U3533" s="284"/>
    </row>
    <row r="3534" spans="2:21" x14ac:dyDescent="0.25">
      <c r="B3534" s="292">
        <v>48</v>
      </c>
      <c r="C3534" s="292"/>
      <c r="D3534" s="292"/>
      <c r="F3534" s="283" t="s">
        <v>130</v>
      </c>
      <c r="G3534" s="283"/>
      <c r="J3534" s="293">
        <v>1</v>
      </c>
      <c r="K3534" s="293"/>
      <c r="L3534" s="293"/>
      <c r="M3534" s="293"/>
      <c r="N3534" s="293"/>
      <c r="P3534" s="42">
        <v>8000</v>
      </c>
      <c r="R3534" s="42">
        <v>4100</v>
      </c>
      <c r="T3534" s="284">
        <v>3900</v>
      </c>
      <c r="U3534" s="284"/>
    </row>
    <row r="3535" spans="2:21" x14ac:dyDescent="0.25">
      <c r="B3535" s="292">
        <v>49</v>
      </c>
      <c r="C3535" s="292"/>
      <c r="D3535" s="292"/>
      <c r="F3535" s="283" t="s">
        <v>127</v>
      </c>
      <c r="G3535" s="283"/>
      <c r="J3535" s="293">
        <v>32</v>
      </c>
      <c r="K3535" s="293"/>
      <c r="L3535" s="293"/>
      <c r="M3535" s="293"/>
      <c r="N3535" s="293"/>
      <c r="P3535" s="42">
        <v>9600</v>
      </c>
      <c r="R3535" s="42">
        <v>3323</v>
      </c>
      <c r="T3535" s="284">
        <v>6277</v>
      </c>
      <c r="U3535" s="284"/>
    </row>
    <row r="3536" spans="2:21" x14ac:dyDescent="0.25">
      <c r="B3536" s="292">
        <v>50</v>
      </c>
      <c r="C3536" s="292"/>
      <c r="D3536" s="292"/>
      <c r="F3536" s="283" t="s">
        <v>126</v>
      </c>
      <c r="G3536" s="283"/>
      <c r="J3536" s="293">
        <v>25</v>
      </c>
      <c r="K3536" s="293"/>
      <c r="L3536" s="293"/>
      <c r="M3536" s="293"/>
      <c r="N3536" s="293"/>
      <c r="P3536" s="42">
        <v>5000</v>
      </c>
      <c r="R3536" s="42">
        <v>1791</v>
      </c>
      <c r="T3536" s="284">
        <v>3209</v>
      </c>
      <c r="U3536" s="284"/>
    </row>
    <row r="3537" spans="2:21" x14ac:dyDescent="0.25">
      <c r="B3537" s="292">
        <v>51</v>
      </c>
      <c r="C3537" s="292"/>
      <c r="D3537" s="292"/>
      <c r="F3537" s="283" t="s">
        <v>125</v>
      </c>
      <c r="G3537" s="283"/>
      <c r="J3537" s="293">
        <v>9</v>
      </c>
      <c r="K3537" s="293"/>
      <c r="L3537" s="293"/>
      <c r="M3537" s="293"/>
      <c r="N3537" s="293"/>
      <c r="P3537" s="42">
        <v>3600</v>
      </c>
      <c r="R3537" s="42">
        <v>840</v>
      </c>
      <c r="T3537" s="284">
        <v>2760</v>
      </c>
      <c r="U3537" s="284"/>
    </row>
    <row r="3538" spans="2:21" x14ac:dyDescent="0.25">
      <c r="B3538" s="292">
        <v>52</v>
      </c>
      <c r="C3538" s="292"/>
      <c r="D3538" s="292"/>
      <c r="F3538" s="283" t="s">
        <v>124</v>
      </c>
      <c r="G3538" s="283"/>
      <c r="J3538" s="293">
        <v>3</v>
      </c>
      <c r="K3538" s="293"/>
      <c r="L3538" s="293"/>
      <c r="M3538" s="293"/>
      <c r="N3538" s="293"/>
      <c r="P3538" s="42">
        <v>1580</v>
      </c>
      <c r="R3538" s="42">
        <v>470</v>
      </c>
      <c r="T3538" s="284">
        <v>1110</v>
      </c>
      <c r="U3538" s="284"/>
    </row>
    <row r="3539" spans="2:21" x14ac:dyDescent="0.25">
      <c r="B3539" s="292">
        <v>53</v>
      </c>
      <c r="C3539" s="292"/>
      <c r="D3539" s="292"/>
      <c r="F3539" s="283" t="s">
        <v>123</v>
      </c>
      <c r="G3539" s="283"/>
      <c r="J3539" s="293">
        <v>2</v>
      </c>
      <c r="K3539" s="293"/>
      <c r="L3539" s="293"/>
      <c r="M3539" s="293"/>
      <c r="N3539" s="293"/>
      <c r="P3539" s="42">
        <v>1560</v>
      </c>
      <c r="R3539" s="42">
        <v>460</v>
      </c>
      <c r="T3539" s="284">
        <v>1100</v>
      </c>
      <c r="U3539" s="284"/>
    </row>
    <row r="3540" spans="2:21" x14ac:dyDescent="0.25">
      <c r="B3540" s="292">
        <v>54</v>
      </c>
      <c r="C3540" s="292"/>
      <c r="D3540" s="292"/>
      <c r="F3540" s="283" t="s">
        <v>227</v>
      </c>
      <c r="G3540" s="283"/>
      <c r="J3540" s="293">
        <v>2</v>
      </c>
      <c r="K3540" s="293"/>
      <c r="L3540" s="293"/>
      <c r="M3540" s="293"/>
      <c r="N3540" s="293"/>
      <c r="P3540" s="42">
        <v>1000</v>
      </c>
      <c r="R3540" s="42">
        <v>171</v>
      </c>
      <c r="T3540" s="284">
        <v>829</v>
      </c>
      <c r="U3540" s="284"/>
    </row>
    <row r="3541" spans="2:21" x14ac:dyDescent="0.25">
      <c r="B3541" s="292">
        <v>55</v>
      </c>
      <c r="C3541" s="292"/>
      <c r="D3541" s="292"/>
      <c r="F3541" s="283" t="s">
        <v>122</v>
      </c>
      <c r="G3541" s="283"/>
      <c r="J3541" s="293">
        <v>2</v>
      </c>
      <c r="K3541" s="293"/>
      <c r="L3541" s="293"/>
      <c r="M3541" s="293"/>
      <c r="N3541" s="293"/>
      <c r="P3541" s="42">
        <v>1000</v>
      </c>
      <c r="R3541" s="42">
        <v>300</v>
      </c>
      <c r="T3541" s="284">
        <v>700</v>
      </c>
      <c r="U3541" s="284"/>
    </row>
    <row r="3542" spans="2:21" x14ac:dyDescent="0.25">
      <c r="B3542" s="292">
        <v>56</v>
      </c>
      <c r="C3542" s="292"/>
      <c r="D3542" s="292"/>
      <c r="F3542" s="283" t="s">
        <v>121</v>
      </c>
      <c r="G3542" s="283"/>
      <c r="J3542" s="293">
        <v>2</v>
      </c>
      <c r="K3542" s="293"/>
      <c r="L3542" s="293"/>
      <c r="M3542" s="293"/>
      <c r="N3542" s="293"/>
      <c r="P3542" s="42">
        <v>1000</v>
      </c>
      <c r="R3542" s="42">
        <v>300</v>
      </c>
      <c r="T3542" s="284">
        <v>700</v>
      </c>
      <c r="U3542" s="284"/>
    </row>
    <row r="3543" spans="2:21" x14ac:dyDescent="0.25">
      <c r="B3543" s="292">
        <v>57</v>
      </c>
      <c r="C3543" s="292"/>
      <c r="D3543" s="292"/>
      <c r="F3543" s="283" t="s">
        <v>226</v>
      </c>
      <c r="G3543" s="283"/>
      <c r="J3543" s="293">
        <v>1</v>
      </c>
      <c r="K3543" s="293"/>
      <c r="L3543" s="293"/>
      <c r="M3543" s="293"/>
      <c r="N3543" s="293"/>
      <c r="P3543" s="42">
        <v>500</v>
      </c>
      <c r="R3543" s="42">
        <v>150</v>
      </c>
      <c r="T3543" s="284">
        <v>350</v>
      </c>
      <c r="U3543" s="284"/>
    </row>
    <row r="3544" spans="2:21" x14ac:dyDescent="0.25">
      <c r="B3544" s="292">
        <v>58</v>
      </c>
      <c r="C3544" s="292"/>
      <c r="D3544" s="292"/>
      <c r="F3544" s="283" t="s">
        <v>119</v>
      </c>
      <c r="G3544" s="283"/>
      <c r="J3544" s="293">
        <v>30</v>
      </c>
      <c r="K3544" s="293"/>
      <c r="L3544" s="293"/>
      <c r="M3544" s="293"/>
      <c r="N3544" s="293"/>
      <c r="P3544" s="42">
        <v>26700</v>
      </c>
      <c r="R3544" s="42">
        <v>7980</v>
      </c>
      <c r="T3544" s="284">
        <v>18720</v>
      </c>
      <c r="U3544" s="284"/>
    </row>
    <row r="3545" spans="2:21" x14ac:dyDescent="0.25">
      <c r="B3545" s="292">
        <v>59</v>
      </c>
      <c r="C3545" s="292"/>
      <c r="D3545" s="292"/>
      <c r="F3545" s="283" t="s">
        <v>118</v>
      </c>
      <c r="G3545" s="283"/>
      <c r="J3545" s="293">
        <v>140</v>
      </c>
      <c r="K3545" s="293"/>
      <c r="L3545" s="293"/>
      <c r="M3545" s="293"/>
      <c r="N3545" s="293"/>
      <c r="P3545" s="42">
        <v>138600</v>
      </c>
      <c r="R3545" s="42">
        <v>43190</v>
      </c>
      <c r="T3545" s="284">
        <v>95410</v>
      </c>
      <c r="U3545" s="284"/>
    </row>
    <row r="3546" spans="2:21" x14ac:dyDescent="0.25">
      <c r="B3546" s="292">
        <v>60</v>
      </c>
      <c r="C3546" s="292"/>
      <c r="D3546" s="292"/>
      <c r="F3546" s="283" t="s">
        <v>117</v>
      </c>
      <c r="G3546" s="283"/>
      <c r="J3546" s="293">
        <v>6</v>
      </c>
      <c r="K3546" s="293"/>
      <c r="L3546" s="293"/>
      <c r="M3546" s="293"/>
      <c r="N3546" s="293"/>
      <c r="P3546" s="42">
        <v>4800</v>
      </c>
      <c r="R3546" s="42">
        <v>1200</v>
      </c>
      <c r="T3546" s="284">
        <v>3600</v>
      </c>
      <c r="U3546" s="284"/>
    </row>
    <row r="3547" spans="2:21" x14ac:dyDescent="0.25">
      <c r="B3547" s="292">
        <v>61</v>
      </c>
      <c r="C3547" s="292"/>
      <c r="D3547" s="292"/>
      <c r="F3547" s="283" t="s">
        <v>115</v>
      </c>
      <c r="G3547" s="283"/>
      <c r="J3547" s="293">
        <v>15</v>
      </c>
      <c r="K3547" s="293"/>
      <c r="L3547" s="293"/>
      <c r="M3547" s="293"/>
      <c r="N3547" s="293"/>
      <c r="P3547" s="42">
        <v>4350</v>
      </c>
      <c r="R3547" s="42">
        <v>1280</v>
      </c>
      <c r="T3547" s="284">
        <v>3070</v>
      </c>
      <c r="U3547" s="284"/>
    </row>
    <row r="3548" spans="2:21" x14ac:dyDescent="0.25">
      <c r="B3548" s="292">
        <v>62</v>
      </c>
      <c r="C3548" s="292"/>
      <c r="D3548" s="292"/>
      <c r="F3548" s="283" t="s">
        <v>279</v>
      </c>
      <c r="G3548" s="283"/>
      <c r="J3548" s="293">
        <v>1</v>
      </c>
      <c r="K3548" s="293"/>
      <c r="L3548" s="293"/>
      <c r="M3548" s="293"/>
      <c r="N3548" s="293"/>
      <c r="P3548" s="42">
        <v>500</v>
      </c>
      <c r="R3548" s="42">
        <v>150</v>
      </c>
      <c r="T3548" s="284">
        <v>350</v>
      </c>
      <c r="U3548" s="284"/>
    </row>
    <row r="3549" spans="2:21" x14ac:dyDescent="0.25">
      <c r="B3549" s="292">
        <v>63</v>
      </c>
      <c r="C3549" s="292"/>
      <c r="D3549" s="292"/>
      <c r="F3549" s="283" t="s">
        <v>370</v>
      </c>
      <c r="G3549" s="283"/>
      <c r="J3549" s="293">
        <v>1</v>
      </c>
      <c r="K3549" s="293"/>
      <c r="L3549" s="293"/>
      <c r="M3549" s="293"/>
      <c r="N3549" s="293"/>
      <c r="P3549" s="42">
        <v>90</v>
      </c>
      <c r="R3549" s="42">
        <v>0</v>
      </c>
      <c r="T3549" s="284">
        <v>90</v>
      </c>
      <c r="U3549" s="284"/>
    </row>
    <row r="3550" spans="2:21" x14ac:dyDescent="0.25">
      <c r="B3550" s="292">
        <v>64</v>
      </c>
      <c r="C3550" s="292"/>
      <c r="D3550" s="292"/>
      <c r="F3550" s="283" t="s">
        <v>219</v>
      </c>
      <c r="G3550" s="283"/>
      <c r="J3550" s="293">
        <v>2</v>
      </c>
      <c r="K3550" s="293"/>
      <c r="L3550" s="293"/>
      <c r="M3550" s="293"/>
      <c r="N3550" s="293"/>
      <c r="P3550" s="42">
        <v>1000</v>
      </c>
      <c r="R3550" s="42">
        <v>150</v>
      </c>
      <c r="T3550" s="284">
        <v>850</v>
      </c>
      <c r="U3550" s="284"/>
    </row>
    <row r="3551" spans="2:21" x14ac:dyDescent="0.25">
      <c r="B3551" s="292">
        <v>65</v>
      </c>
      <c r="C3551" s="292"/>
      <c r="D3551" s="292"/>
      <c r="F3551" s="283" t="s">
        <v>111</v>
      </c>
      <c r="G3551" s="283"/>
      <c r="J3551" s="293">
        <v>1</v>
      </c>
      <c r="K3551" s="293"/>
      <c r="L3551" s="293"/>
      <c r="M3551" s="293"/>
      <c r="N3551" s="293"/>
      <c r="P3551" s="42">
        <v>430</v>
      </c>
      <c r="R3551" s="42">
        <v>130</v>
      </c>
      <c r="T3551" s="284">
        <v>300</v>
      </c>
      <c r="U3551" s="284"/>
    </row>
    <row r="3552" spans="2:21" x14ac:dyDescent="0.25">
      <c r="B3552" s="292">
        <v>66</v>
      </c>
      <c r="C3552" s="292"/>
      <c r="D3552" s="292"/>
      <c r="F3552" s="283" t="s">
        <v>108</v>
      </c>
      <c r="G3552" s="283"/>
      <c r="J3552" s="293">
        <v>359</v>
      </c>
      <c r="K3552" s="293"/>
      <c r="L3552" s="293"/>
      <c r="M3552" s="293"/>
      <c r="N3552" s="293"/>
      <c r="P3552" s="42">
        <v>35900</v>
      </c>
      <c r="R3552" s="42">
        <v>150</v>
      </c>
      <c r="T3552" s="284">
        <v>35750</v>
      </c>
      <c r="U3552" s="284"/>
    </row>
    <row r="3553" spans="2:21" x14ac:dyDescent="0.25">
      <c r="B3553" s="292">
        <v>67</v>
      </c>
      <c r="C3553" s="292"/>
      <c r="D3553" s="292"/>
      <c r="F3553" s="283" t="s">
        <v>107</v>
      </c>
      <c r="G3553" s="283"/>
      <c r="J3553" s="293">
        <v>58</v>
      </c>
      <c r="K3553" s="293"/>
      <c r="L3553" s="293"/>
      <c r="M3553" s="293"/>
      <c r="N3553" s="293"/>
      <c r="P3553" s="42">
        <v>9860</v>
      </c>
      <c r="R3553" s="42">
        <v>3102</v>
      </c>
      <c r="T3553" s="284">
        <v>6758</v>
      </c>
      <c r="U3553" s="284"/>
    </row>
    <row r="3554" spans="2:21" x14ac:dyDescent="0.25">
      <c r="B3554" s="292">
        <v>68</v>
      </c>
      <c r="C3554" s="292"/>
      <c r="D3554" s="292"/>
      <c r="F3554" s="283" t="s">
        <v>106</v>
      </c>
      <c r="G3554" s="283"/>
      <c r="J3554" s="293">
        <v>389</v>
      </c>
      <c r="K3554" s="293"/>
      <c r="L3554" s="293"/>
      <c r="M3554" s="293"/>
      <c r="N3554" s="293"/>
      <c r="P3554" s="42">
        <v>38900</v>
      </c>
      <c r="R3554" s="42">
        <v>11580</v>
      </c>
      <c r="T3554" s="284">
        <v>27320</v>
      </c>
      <c r="U3554" s="284"/>
    </row>
    <row r="3555" spans="2:21" x14ac:dyDescent="0.25">
      <c r="B3555" s="292">
        <v>69</v>
      </c>
      <c r="C3555" s="292"/>
      <c r="D3555" s="292"/>
      <c r="F3555" s="283" t="s">
        <v>255</v>
      </c>
      <c r="G3555" s="283"/>
      <c r="J3555" s="293">
        <v>1</v>
      </c>
      <c r="K3555" s="293"/>
      <c r="L3555" s="293"/>
      <c r="M3555" s="293"/>
      <c r="N3555" s="293"/>
      <c r="P3555" s="42">
        <v>950</v>
      </c>
      <c r="R3555" s="42">
        <v>140</v>
      </c>
      <c r="T3555" s="284">
        <v>810</v>
      </c>
      <c r="U3555" s="284"/>
    </row>
    <row r="3556" spans="2:21" x14ac:dyDescent="0.25">
      <c r="B3556" s="292">
        <v>70</v>
      </c>
      <c r="C3556" s="292"/>
      <c r="D3556" s="292"/>
      <c r="F3556" s="283" t="s">
        <v>216</v>
      </c>
      <c r="G3556" s="283"/>
      <c r="J3556" s="293">
        <v>1</v>
      </c>
      <c r="K3556" s="293"/>
      <c r="L3556" s="293"/>
      <c r="M3556" s="293"/>
      <c r="N3556" s="293"/>
      <c r="P3556" s="42">
        <v>1080</v>
      </c>
      <c r="R3556" s="42">
        <v>165</v>
      </c>
      <c r="T3556" s="284">
        <v>915</v>
      </c>
      <c r="U3556" s="284"/>
    </row>
    <row r="3557" spans="2:21" x14ac:dyDescent="0.25">
      <c r="B3557" s="292">
        <v>71</v>
      </c>
      <c r="C3557" s="292"/>
      <c r="D3557" s="292"/>
      <c r="F3557" s="283" t="s">
        <v>105</v>
      </c>
      <c r="G3557" s="283"/>
      <c r="J3557" s="293">
        <v>8</v>
      </c>
      <c r="K3557" s="293"/>
      <c r="L3557" s="293"/>
      <c r="M3557" s="293"/>
      <c r="N3557" s="293"/>
      <c r="P3557" s="42">
        <v>9200</v>
      </c>
      <c r="R3557" s="42">
        <v>0</v>
      </c>
      <c r="T3557" s="284">
        <v>9200</v>
      </c>
      <c r="U3557" s="284"/>
    </row>
    <row r="3558" spans="2:21" x14ac:dyDescent="0.25">
      <c r="B3558" s="292">
        <v>72</v>
      </c>
      <c r="C3558" s="292"/>
      <c r="D3558" s="292"/>
      <c r="F3558" s="283" t="s">
        <v>369</v>
      </c>
      <c r="G3558" s="283"/>
      <c r="J3558" s="293">
        <v>1</v>
      </c>
      <c r="K3558" s="293"/>
      <c r="L3558" s="293"/>
      <c r="M3558" s="293"/>
      <c r="N3558" s="293"/>
      <c r="P3558" s="42">
        <v>1150</v>
      </c>
      <c r="R3558" s="42">
        <v>0</v>
      </c>
      <c r="T3558" s="284">
        <v>1150</v>
      </c>
      <c r="U3558" s="284"/>
    </row>
    <row r="3559" spans="2:21" x14ac:dyDescent="0.25">
      <c r="B3559" s="292">
        <v>73</v>
      </c>
      <c r="C3559" s="292"/>
      <c r="D3559" s="292"/>
      <c r="F3559" s="283" t="s">
        <v>103</v>
      </c>
      <c r="G3559" s="283"/>
      <c r="J3559" s="293">
        <v>11</v>
      </c>
      <c r="K3559" s="293"/>
      <c r="L3559" s="293"/>
      <c r="M3559" s="293"/>
      <c r="N3559" s="293"/>
      <c r="P3559" s="42">
        <v>3630</v>
      </c>
      <c r="R3559" s="42">
        <v>1180</v>
      </c>
      <c r="T3559" s="284">
        <v>2450</v>
      </c>
      <c r="U3559" s="284"/>
    </row>
    <row r="3560" spans="2:21" x14ac:dyDescent="0.25">
      <c r="B3560" s="292">
        <v>74</v>
      </c>
      <c r="C3560" s="292"/>
      <c r="D3560" s="292"/>
      <c r="F3560" s="283" t="s">
        <v>213</v>
      </c>
      <c r="G3560" s="283"/>
      <c r="J3560" s="293">
        <v>1</v>
      </c>
      <c r="K3560" s="293"/>
      <c r="L3560" s="293"/>
      <c r="M3560" s="293"/>
      <c r="N3560" s="293"/>
      <c r="P3560" s="42">
        <v>700</v>
      </c>
      <c r="R3560" s="42">
        <v>350</v>
      </c>
      <c r="T3560" s="284">
        <v>350</v>
      </c>
      <c r="U3560" s="284"/>
    </row>
    <row r="3561" spans="2:21" x14ac:dyDescent="0.25">
      <c r="B3561" s="292">
        <v>75</v>
      </c>
      <c r="C3561" s="292"/>
      <c r="D3561" s="292"/>
      <c r="F3561" s="283" t="s">
        <v>211</v>
      </c>
      <c r="G3561" s="283"/>
      <c r="J3561" s="293">
        <v>1</v>
      </c>
      <c r="K3561" s="293"/>
      <c r="L3561" s="293"/>
      <c r="M3561" s="293"/>
      <c r="N3561" s="293"/>
      <c r="P3561" s="42">
        <v>500</v>
      </c>
      <c r="R3561" s="42">
        <v>150</v>
      </c>
      <c r="T3561" s="284">
        <v>350</v>
      </c>
      <c r="U3561" s="284"/>
    </row>
    <row r="3562" spans="2:21" x14ac:dyDescent="0.25">
      <c r="B3562" s="292">
        <v>76</v>
      </c>
      <c r="C3562" s="292"/>
      <c r="D3562" s="292"/>
      <c r="F3562" s="283" t="s">
        <v>102</v>
      </c>
      <c r="G3562" s="283"/>
      <c r="J3562" s="293">
        <v>16</v>
      </c>
      <c r="K3562" s="293"/>
      <c r="L3562" s="293"/>
      <c r="M3562" s="293"/>
      <c r="N3562" s="293"/>
      <c r="P3562" s="42">
        <v>14080</v>
      </c>
      <c r="R3562" s="42">
        <v>1980</v>
      </c>
      <c r="T3562" s="284">
        <v>12100</v>
      </c>
      <c r="U3562" s="284"/>
    </row>
    <row r="3563" spans="2:21" x14ac:dyDescent="0.25">
      <c r="B3563" s="292">
        <v>77</v>
      </c>
      <c r="C3563" s="292"/>
      <c r="D3563" s="292"/>
      <c r="F3563" s="283" t="s">
        <v>101</v>
      </c>
      <c r="G3563" s="283"/>
      <c r="J3563" s="293">
        <v>2</v>
      </c>
      <c r="K3563" s="293"/>
      <c r="L3563" s="293"/>
      <c r="M3563" s="293"/>
      <c r="N3563" s="293"/>
      <c r="P3563" s="42">
        <v>920</v>
      </c>
      <c r="R3563" s="42">
        <v>280</v>
      </c>
      <c r="T3563" s="284">
        <v>640</v>
      </c>
      <c r="U3563" s="284"/>
    </row>
    <row r="3564" spans="2:21" x14ac:dyDescent="0.25">
      <c r="B3564" s="292">
        <v>78</v>
      </c>
      <c r="C3564" s="292"/>
      <c r="D3564" s="292"/>
      <c r="F3564" s="283" t="s">
        <v>254</v>
      </c>
      <c r="G3564" s="283"/>
      <c r="J3564" s="293">
        <v>1</v>
      </c>
      <c r="K3564" s="293"/>
      <c r="L3564" s="293"/>
      <c r="M3564" s="293"/>
      <c r="N3564" s="293"/>
      <c r="P3564" s="42">
        <v>290</v>
      </c>
      <c r="R3564" s="42">
        <v>80</v>
      </c>
      <c r="T3564" s="284">
        <v>210</v>
      </c>
      <c r="U3564" s="284"/>
    </row>
    <row r="3565" spans="2:21" x14ac:dyDescent="0.25">
      <c r="B3565" s="292">
        <v>79</v>
      </c>
      <c r="C3565" s="292"/>
      <c r="D3565" s="292"/>
      <c r="F3565" s="283" t="s">
        <v>100</v>
      </c>
      <c r="G3565" s="283"/>
      <c r="J3565" s="293">
        <v>4</v>
      </c>
      <c r="K3565" s="293"/>
      <c r="L3565" s="293"/>
      <c r="M3565" s="293"/>
      <c r="N3565" s="293"/>
      <c r="P3565" s="42">
        <v>720</v>
      </c>
      <c r="R3565" s="42">
        <v>200</v>
      </c>
      <c r="T3565" s="284">
        <v>520</v>
      </c>
      <c r="U3565" s="284"/>
    </row>
    <row r="3566" spans="2:21" x14ac:dyDescent="0.25">
      <c r="B3566" s="292">
        <v>80</v>
      </c>
      <c r="C3566" s="292"/>
      <c r="D3566" s="292"/>
      <c r="F3566" s="283" t="s">
        <v>178</v>
      </c>
      <c r="G3566" s="283"/>
      <c r="J3566" s="293">
        <v>2</v>
      </c>
      <c r="K3566" s="293"/>
      <c r="L3566" s="293"/>
      <c r="M3566" s="293"/>
      <c r="N3566" s="293"/>
      <c r="P3566" s="42">
        <v>3300</v>
      </c>
      <c r="R3566" s="42">
        <v>0</v>
      </c>
      <c r="T3566" s="284">
        <v>3300</v>
      </c>
      <c r="U3566" s="284"/>
    </row>
    <row r="3567" spans="2:21" x14ac:dyDescent="0.25">
      <c r="B3567" s="292">
        <v>81</v>
      </c>
      <c r="C3567" s="292"/>
      <c r="D3567" s="292"/>
      <c r="F3567" s="283" t="s">
        <v>99</v>
      </c>
      <c r="G3567" s="283"/>
      <c r="J3567" s="293">
        <v>1</v>
      </c>
      <c r="K3567" s="293"/>
      <c r="L3567" s="293"/>
      <c r="M3567" s="293"/>
      <c r="N3567" s="293"/>
      <c r="P3567" s="42">
        <v>590</v>
      </c>
      <c r="R3567" s="42">
        <v>90</v>
      </c>
      <c r="T3567" s="284">
        <v>500</v>
      </c>
      <c r="U3567" s="284"/>
    </row>
    <row r="3568" spans="2:21" x14ac:dyDescent="0.25">
      <c r="B3568" s="292">
        <v>82</v>
      </c>
      <c r="C3568" s="292"/>
      <c r="D3568" s="292"/>
      <c r="F3568" s="283" t="s">
        <v>98</v>
      </c>
      <c r="G3568" s="283"/>
      <c r="J3568" s="293">
        <v>1</v>
      </c>
      <c r="K3568" s="293"/>
      <c r="L3568" s="293"/>
      <c r="M3568" s="293"/>
      <c r="N3568" s="293"/>
      <c r="P3568" s="42">
        <v>570</v>
      </c>
      <c r="R3568" s="42">
        <v>80</v>
      </c>
      <c r="T3568" s="284">
        <v>490</v>
      </c>
      <c r="U3568" s="284"/>
    </row>
    <row r="3569" spans="2:21" x14ac:dyDescent="0.25">
      <c r="B3569" s="292">
        <v>83</v>
      </c>
      <c r="C3569" s="292"/>
      <c r="D3569" s="292"/>
      <c r="F3569" s="283" t="s">
        <v>97</v>
      </c>
      <c r="G3569" s="283"/>
      <c r="J3569" s="293">
        <v>6</v>
      </c>
      <c r="K3569" s="293"/>
      <c r="L3569" s="293"/>
      <c r="M3569" s="293"/>
      <c r="N3569" s="293"/>
      <c r="P3569" s="42">
        <v>9540</v>
      </c>
      <c r="R3569" s="42">
        <v>1440</v>
      </c>
      <c r="T3569" s="284">
        <v>8100</v>
      </c>
      <c r="U3569" s="284"/>
    </row>
    <row r="3570" spans="2:21" x14ac:dyDescent="0.25">
      <c r="B3570" s="292">
        <v>84</v>
      </c>
      <c r="C3570" s="292"/>
      <c r="D3570" s="292"/>
      <c r="F3570" s="283" t="s">
        <v>93</v>
      </c>
      <c r="G3570" s="283"/>
      <c r="J3570" s="293">
        <v>7</v>
      </c>
      <c r="K3570" s="293"/>
      <c r="L3570" s="293"/>
      <c r="M3570" s="293"/>
      <c r="N3570" s="293"/>
      <c r="P3570" s="42">
        <v>4130</v>
      </c>
      <c r="R3570" s="42">
        <v>630</v>
      </c>
      <c r="T3570" s="284">
        <v>3500</v>
      </c>
      <c r="U3570" s="284"/>
    </row>
    <row r="3571" spans="2:21" x14ac:dyDescent="0.25">
      <c r="B3571" s="292">
        <v>85</v>
      </c>
      <c r="C3571" s="292"/>
      <c r="D3571" s="292"/>
      <c r="F3571" s="283" t="s">
        <v>92</v>
      </c>
      <c r="G3571" s="283"/>
      <c r="J3571" s="293">
        <v>18</v>
      </c>
      <c r="K3571" s="293"/>
      <c r="L3571" s="293"/>
      <c r="M3571" s="293"/>
      <c r="N3571" s="293"/>
      <c r="P3571" s="42">
        <v>13320</v>
      </c>
      <c r="R3571" s="42">
        <v>3960</v>
      </c>
      <c r="T3571" s="284">
        <v>9360</v>
      </c>
      <c r="U3571" s="284"/>
    </row>
    <row r="3572" spans="2:21" x14ac:dyDescent="0.25">
      <c r="B3572" s="292">
        <v>86</v>
      </c>
      <c r="C3572" s="292"/>
      <c r="D3572" s="292"/>
      <c r="F3572" s="283" t="s">
        <v>91</v>
      </c>
      <c r="G3572" s="283"/>
      <c r="J3572" s="293">
        <v>53</v>
      </c>
      <c r="K3572" s="293"/>
      <c r="L3572" s="293"/>
      <c r="M3572" s="293"/>
      <c r="N3572" s="293"/>
      <c r="P3572" s="42">
        <v>13250</v>
      </c>
      <c r="R3572" s="42">
        <v>3600</v>
      </c>
      <c r="T3572" s="284">
        <v>9650</v>
      </c>
      <c r="U3572" s="284"/>
    </row>
    <row r="3573" spans="2:21" x14ac:dyDescent="0.25">
      <c r="B3573" s="292">
        <v>87</v>
      </c>
      <c r="C3573" s="292"/>
      <c r="D3573" s="292"/>
      <c r="F3573" s="283" t="s">
        <v>90</v>
      </c>
      <c r="G3573" s="283"/>
      <c r="J3573" s="293">
        <v>17</v>
      </c>
      <c r="K3573" s="293"/>
      <c r="L3573" s="293"/>
      <c r="M3573" s="293"/>
      <c r="N3573" s="293"/>
      <c r="P3573" s="42">
        <v>4930</v>
      </c>
      <c r="R3573" s="42">
        <v>1280</v>
      </c>
      <c r="T3573" s="284">
        <v>3650</v>
      </c>
      <c r="U3573" s="284"/>
    </row>
    <row r="3574" spans="2:21" x14ac:dyDescent="0.25">
      <c r="B3574" s="292">
        <v>88</v>
      </c>
      <c r="C3574" s="292"/>
      <c r="D3574" s="292"/>
      <c r="F3574" s="283" t="s">
        <v>89</v>
      </c>
      <c r="G3574" s="283"/>
      <c r="J3574" s="293">
        <v>1</v>
      </c>
      <c r="K3574" s="293"/>
      <c r="L3574" s="293"/>
      <c r="M3574" s="293"/>
      <c r="N3574" s="293"/>
      <c r="P3574" s="42">
        <v>880</v>
      </c>
      <c r="R3574" s="42">
        <v>130</v>
      </c>
      <c r="T3574" s="284">
        <v>750</v>
      </c>
      <c r="U3574" s="284"/>
    </row>
    <row r="3575" spans="2:21" x14ac:dyDescent="0.25">
      <c r="B3575" s="292">
        <v>89</v>
      </c>
      <c r="C3575" s="292"/>
      <c r="D3575" s="292"/>
      <c r="F3575" s="283" t="s">
        <v>88</v>
      </c>
      <c r="G3575" s="283"/>
      <c r="J3575" s="293">
        <v>86</v>
      </c>
      <c r="K3575" s="293"/>
      <c r="L3575" s="293"/>
      <c r="M3575" s="293"/>
      <c r="N3575" s="293"/>
      <c r="P3575" s="42">
        <v>15480</v>
      </c>
      <c r="R3575" s="42">
        <v>4683</v>
      </c>
      <c r="T3575" s="284">
        <v>10797</v>
      </c>
      <c r="U3575" s="284"/>
    </row>
    <row r="3576" spans="2:21" x14ac:dyDescent="0.25">
      <c r="B3576" s="292">
        <v>90</v>
      </c>
      <c r="C3576" s="292"/>
      <c r="D3576" s="292"/>
      <c r="F3576" s="283" t="s">
        <v>86</v>
      </c>
      <c r="G3576" s="283"/>
      <c r="J3576" s="293">
        <v>1</v>
      </c>
      <c r="K3576" s="293"/>
      <c r="L3576" s="293"/>
      <c r="M3576" s="293"/>
      <c r="N3576" s="293"/>
      <c r="P3576" s="42">
        <v>1140</v>
      </c>
      <c r="R3576" s="42">
        <v>170</v>
      </c>
      <c r="T3576" s="284">
        <v>970</v>
      </c>
      <c r="U3576" s="284"/>
    </row>
    <row r="3577" spans="2:21" x14ac:dyDescent="0.25">
      <c r="B3577" s="292">
        <v>91</v>
      </c>
      <c r="C3577" s="292"/>
      <c r="D3577" s="292"/>
      <c r="F3577" s="283" t="s">
        <v>85</v>
      </c>
      <c r="G3577" s="283"/>
      <c r="J3577" s="293">
        <v>35</v>
      </c>
      <c r="K3577" s="293"/>
      <c r="L3577" s="293"/>
      <c r="M3577" s="293"/>
      <c r="N3577" s="293"/>
      <c r="P3577" s="42">
        <v>72800</v>
      </c>
      <c r="R3577" s="42">
        <v>10850</v>
      </c>
      <c r="T3577" s="284">
        <v>61950</v>
      </c>
      <c r="U3577" s="284"/>
    </row>
    <row r="3578" spans="2:21" x14ac:dyDescent="0.25">
      <c r="B3578" s="292">
        <v>92</v>
      </c>
      <c r="C3578" s="292"/>
      <c r="D3578" s="292"/>
      <c r="F3578" s="283" t="s">
        <v>84</v>
      </c>
      <c r="G3578" s="283"/>
      <c r="J3578" s="293">
        <v>10</v>
      </c>
      <c r="K3578" s="293"/>
      <c r="L3578" s="293"/>
      <c r="M3578" s="293"/>
      <c r="N3578" s="293"/>
      <c r="P3578" s="42">
        <v>5900</v>
      </c>
      <c r="R3578" s="42">
        <v>1260</v>
      </c>
      <c r="T3578" s="284">
        <v>4640</v>
      </c>
      <c r="U3578" s="284"/>
    </row>
    <row r="3579" spans="2:21" x14ac:dyDescent="0.25">
      <c r="B3579" s="292">
        <v>93</v>
      </c>
      <c r="C3579" s="292"/>
      <c r="D3579" s="292"/>
      <c r="F3579" s="283" t="s">
        <v>331</v>
      </c>
      <c r="G3579" s="283"/>
      <c r="J3579" s="293">
        <v>1</v>
      </c>
      <c r="K3579" s="293"/>
      <c r="L3579" s="293"/>
      <c r="M3579" s="293"/>
      <c r="N3579" s="293"/>
      <c r="P3579" s="42">
        <v>500</v>
      </c>
      <c r="R3579" s="42">
        <v>150</v>
      </c>
      <c r="T3579" s="284">
        <v>350</v>
      </c>
      <c r="U3579" s="284"/>
    </row>
    <row r="3580" spans="2:21" x14ac:dyDescent="0.25">
      <c r="B3580" s="292">
        <v>94</v>
      </c>
      <c r="C3580" s="292"/>
      <c r="D3580" s="292"/>
      <c r="F3580" s="283" t="s">
        <v>208</v>
      </c>
      <c r="G3580" s="283"/>
      <c r="J3580" s="293">
        <v>1</v>
      </c>
      <c r="K3580" s="293"/>
      <c r="L3580" s="293"/>
      <c r="M3580" s="293"/>
      <c r="N3580" s="293"/>
      <c r="P3580" s="42">
        <v>500</v>
      </c>
      <c r="R3580" s="42">
        <v>150</v>
      </c>
      <c r="T3580" s="284">
        <v>350</v>
      </c>
      <c r="U3580" s="284"/>
    </row>
    <row r="3581" spans="2:21" x14ac:dyDescent="0.25">
      <c r="B3581" s="292">
        <v>95</v>
      </c>
      <c r="C3581" s="292"/>
      <c r="D3581" s="292"/>
      <c r="F3581" s="283" t="s">
        <v>205</v>
      </c>
      <c r="G3581" s="283"/>
      <c r="J3581" s="293">
        <v>1</v>
      </c>
      <c r="K3581" s="293"/>
      <c r="L3581" s="293"/>
      <c r="M3581" s="293"/>
      <c r="N3581" s="293"/>
      <c r="P3581" s="42">
        <v>500</v>
      </c>
      <c r="R3581" s="42">
        <v>150</v>
      </c>
      <c r="T3581" s="284">
        <v>350</v>
      </c>
      <c r="U3581" s="284"/>
    </row>
    <row r="3582" spans="2:21" x14ac:dyDescent="0.25">
      <c r="B3582" s="292">
        <v>96</v>
      </c>
      <c r="C3582" s="292"/>
      <c r="D3582" s="292"/>
      <c r="F3582" s="283" t="s">
        <v>271</v>
      </c>
      <c r="G3582" s="283"/>
      <c r="J3582" s="293">
        <v>1</v>
      </c>
      <c r="K3582" s="293"/>
      <c r="L3582" s="293"/>
      <c r="M3582" s="293"/>
      <c r="N3582" s="293"/>
      <c r="P3582" s="42">
        <v>500</v>
      </c>
      <c r="R3582" s="42">
        <v>150</v>
      </c>
      <c r="T3582" s="284">
        <v>350</v>
      </c>
      <c r="U3582" s="284"/>
    </row>
    <row r="3583" spans="2:21" x14ac:dyDescent="0.25">
      <c r="B3583" s="292">
        <v>97</v>
      </c>
      <c r="C3583" s="292"/>
      <c r="D3583" s="292"/>
      <c r="F3583" s="283" t="s">
        <v>82</v>
      </c>
      <c r="G3583" s="283"/>
      <c r="J3583" s="293">
        <v>6</v>
      </c>
      <c r="K3583" s="293"/>
      <c r="L3583" s="293"/>
      <c r="M3583" s="293"/>
      <c r="N3583" s="293"/>
      <c r="P3583" s="42">
        <v>1740</v>
      </c>
      <c r="R3583" s="42">
        <v>1740</v>
      </c>
      <c r="T3583" s="284">
        <v>0</v>
      </c>
      <c r="U3583" s="284"/>
    </row>
    <row r="3584" spans="2:21" x14ac:dyDescent="0.25">
      <c r="B3584" s="292">
        <v>98</v>
      </c>
      <c r="C3584" s="292"/>
      <c r="D3584" s="292"/>
      <c r="F3584" s="283" t="s">
        <v>81</v>
      </c>
      <c r="G3584" s="283"/>
      <c r="J3584" s="293">
        <v>35</v>
      </c>
      <c r="K3584" s="293"/>
      <c r="L3584" s="293"/>
      <c r="M3584" s="293"/>
      <c r="N3584" s="293"/>
      <c r="P3584" s="42">
        <v>10150</v>
      </c>
      <c r="R3584" s="42">
        <v>3010</v>
      </c>
      <c r="T3584" s="284">
        <v>7140</v>
      </c>
      <c r="U3584" s="284"/>
    </row>
    <row r="3585" spans="1:21" s="40" customFormat="1" x14ac:dyDescent="0.25">
      <c r="A3585" s="290" t="s">
        <v>368</v>
      </c>
      <c r="B3585" s="290"/>
      <c r="C3585" s="290"/>
      <c r="D3585" s="290"/>
      <c r="E3585" s="290"/>
      <c r="F3585" s="290"/>
      <c r="G3585" s="290"/>
      <c r="H3585" s="290"/>
      <c r="I3585" s="290"/>
      <c r="J3585" s="290"/>
      <c r="K3585" s="291">
        <v>6491</v>
      </c>
      <c r="L3585" s="291"/>
      <c r="M3585" s="291"/>
      <c r="N3585" s="291"/>
      <c r="O3585" s="291"/>
      <c r="P3585" s="41">
        <v>6272070</v>
      </c>
      <c r="R3585" s="41">
        <v>5498985</v>
      </c>
      <c r="T3585" s="287">
        <v>773085</v>
      </c>
      <c r="U3585" s="287"/>
    </row>
    <row r="3586" spans="1:21" x14ac:dyDescent="0.25">
      <c r="B3586" s="292">
        <v>1</v>
      </c>
      <c r="C3586" s="292"/>
      <c r="D3586" s="292"/>
      <c r="F3586" s="283" t="s">
        <v>200</v>
      </c>
      <c r="G3586" s="283"/>
      <c r="J3586" s="293">
        <v>3</v>
      </c>
      <c r="K3586" s="293"/>
      <c r="L3586" s="293"/>
      <c r="M3586" s="293"/>
      <c r="N3586" s="293"/>
      <c r="P3586" s="42">
        <v>1500</v>
      </c>
      <c r="R3586" s="42">
        <v>450</v>
      </c>
      <c r="T3586" s="284">
        <v>1050</v>
      </c>
      <c r="U3586" s="284"/>
    </row>
    <row r="3587" spans="1:21" x14ac:dyDescent="0.25">
      <c r="B3587" s="292">
        <v>2</v>
      </c>
      <c r="C3587" s="292"/>
      <c r="D3587" s="292"/>
      <c r="F3587" s="283" t="s">
        <v>250</v>
      </c>
      <c r="G3587" s="283"/>
      <c r="J3587" s="293">
        <v>3</v>
      </c>
      <c r="K3587" s="293"/>
      <c r="L3587" s="293"/>
      <c r="M3587" s="293"/>
      <c r="N3587" s="293"/>
      <c r="P3587" s="42">
        <v>1500</v>
      </c>
      <c r="R3587" s="42">
        <v>450</v>
      </c>
      <c r="T3587" s="284">
        <v>1050</v>
      </c>
      <c r="U3587" s="284"/>
    </row>
    <row r="3588" spans="1:21" x14ac:dyDescent="0.25">
      <c r="B3588" s="292">
        <v>3</v>
      </c>
      <c r="C3588" s="292"/>
      <c r="D3588" s="292"/>
      <c r="F3588" s="283" t="s">
        <v>79</v>
      </c>
      <c r="G3588" s="283"/>
      <c r="J3588" s="293">
        <v>4</v>
      </c>
      <c r="K3588" s="293"/>
      <c r="L3588" s="293"/>
      <c r="M3588" s="293"/>
      <c r="N3588" s="293"/>
      <c r="P3588" s="42">
        <v>2000</v>
      </c>
      <c r="R3588" s="42">
        <v>600</v>
      </c>
      <c r="T3588" s="284">
        <v>1400</v>
      </c>
      <c r="U3588" s="284"/>
    </row>
    <row r="3589" spans="1:21" x14ac:dyDescent="0.25">
      <c r="B3589" s="292">
        <v>4</v>
      </c>
      <c r="C3589" s="292"/>
      <c r="D3589" s="292"/>
      <c r="F3589" s="283" t="s">
        <v>367</v>
      </c>
      <c r="G3589" s="283"/>
      <c r="J3589" s="293">
        <v>1</v>
      </c>
      <c r="K3589" s="293"/>
      <c r="L3589" s="293"/>
      <c r="M3589" s="293"/>
      <c r="N3589" s="293"/>
      <c r="P3589" s="42">
        <v>100</v>
      </c>
      <c r="R3589" s="42">
        <v>0</v>
      </c>
      <c r="T3589" s="284">
        <v>100</v>
      </c>
      <c r="U3589" s="284"/>
    </row>
    <row r="3590" spans="1:21" x14ac:dyDescent="0.25">
      <c r="B3590" s="292">
        <v>5</v>
      </c>
      <c r="C3590" s="292"/>
      <c r="D3590" s="292"/>
      <c r="F3590" s="283" t="s">
        <v>78</v>
      </c>
      <c r="G3590" s="283"/>
      <c r="J3590" s="293">
        <v>211</v>
      </c>
      <c r="K3590" s="293"/>
      <c r="L3590" s="293"/>
      <c r="M3590" s="293"/>
      <c r="N3590" s="293"/>
      <c r="P3590" s="42">
        <v>61190</v>
      </c>
      <c r="R3590" s="42">
        <v>61190</v>
      </c>
      <c r="T3590" s="284">
        <v>0</v>
      </c>
      <c r="U3590" s="284"/>
    </row>
    <row r="3591" spans="1:21" x14ac:dyDescent="0.25">
      <c r="B3591" s="292">
        <v>6</v>
      </c>
      <c r="C3591" s="292"/>
      <c r="D3591" s="292"/>
      <c r="F3591" s="283" t="s">
        <v>268</v>
      </c>
      <c r="G3591" s="283"/>
      <c r="J3591" s="293">
        <v>1</v>
      </c>
      <c r="K3591" s="293"/>
      <c r="L3591" s="293"/>
      <c r="M3591" s="293"/>
      <c r="N3591" s="293"/>
      <c r="P3591" s="42">
        <v>250</v>
      </c>
      <c r="R3591" s="42">
        <v>70</v>
      </c>
      <c r="T3591" s="284">
        <v>180</v>
      </c>
      <c r="U3591" s="284"/>
    </row>
    <row r="3592" spans="1:21" x14ac:dyDescent="0.25">
      <c r="B3592" s="292">
        <v>7</v>
      </c>
      <c r="C3592" s="292"/>
      <c r="D3592" s="292"/>
      <c r="F3592" s="283" t="s">
        <v>199</v>
      </c>
      <c r="G3592" s="283"/>
      <c r="J3592" s="293">
        <v>8</v>
      </c>
      <c r="K3592" s="293"/>
      <c r="L3592" s="293"/>
      <c r="M3592" s="293"/>
      <c r="N3592" s="293"/>
      <c r="P3592" s="42">
        <v>2320</v>
      </c>
      <c r="R3592" s="42">
        <v>760</v>
      </c>
      <c r="T3592" s="284">
        <v>1560</v>
      </c>
      <c r="U3592" s="284"/>
    </row>
    <row r="3593" spans="1:21" x14ac:dyDescent="0.25">
      <c r="B3593" s="292">
        <v>8</v>
      </c>
      <c r="C3593" s="292"/>
      <c r="D3593" s="292"/>
      <c r="F3593" s="283" t="s">
        <v>166</v>
      </c>
      <c r="G3593" s="283"/>
      <c r="J3593" s="293">
        <v>1</v>
      </c>
      <c r="K3593" s="293"/>
      <c r="L3593" s="293"/>
      <c r="M3593" s="293"/>
      <c r="N3593" s="293"/>
      <c r="P3593" s="42">
        <v>1900</v>
      </c>
      <c r="R3593" s="42">
        <v>280</v>
      </c>
      <c r="T3593" s="284">
        <v>1620</v>
      </c>
      <c r="U3593" s="284"/>
    </row>
    <row r="3594" spans="1:21" x14ac:dyDescent="0.25">
      <c r="B3594" s="292">
        <v>9</v>
      </c>
      <c r="C3594" s="292"/>
      <c r="D3594" s="292"/>
      <c r="F3594" s="283" t="s">
        <v>294</v>
      </c>
      <c r="G3594" s="283"/>
      <c r="J3594" s="293">
        <v>1</v>
      </c>
      <c r="K3594" s="293"/>
      <c r="L3594" s="293"/>
      <c r="M3594" s="293"/>
      <c r="N3594" s="293"/>
      <c r="P3594" s="42">
        <v>500</v>
      </c>
      <c r="R3594" s="42">
        <v>150</v>
      </c>
      <c r="T3594" s="284">
        <v>350</v>
      </c>
      <c r="U3594" s="284"/>
    </row>
    <row r="3595" spans="1:21" x14ac:dyDescent="0.25">
      <c r="B3595" s="292">
        <v>10</v>
      </c>
      <c r="C3595" s="292"/>
      <c r="D3595" s="292"/>
      <c r="F3595" s="283" t="s">
        <v>164</v>
      </c>
      <c r="G3595" s="283"/>
      <c r="J3595" s="293">
        <v>2</v>
      </c>
      <c r="K3595" s="293"/>
      <c r="L3595" s="293"/>
      <c r="M3595" s="293"/>
      <c r="N3595" s="293"/>
      <c r="P3595" s="42">
        <v>1180</v>
      </c>
      <c r="R3595" s="42">
        <v>360</v>
      </c>
      <c r="T3595" s="284">
        <v>820</v>
      </c>
      <c r="U3595" s="284"/>
    </row>
    <row r="3596" spans="1:21" x14ac:dyDescent="0.25">
      <c r="B3596" s="292">
        <v>11</v>
      </c>
      <c r="C3596" s="292"/>
      <c r="D3596" s="292"/>
      <c r="F3596" s="283" t="s">
        <v>163</v>
      </c>
      <c r="G3596" s="283"/>
      <c r="J3596" s="293">
        <v>4</v>
      </c>
      <c r="K3596" s="293"/>
      <c r="L3596" s="293"/>
      <c r="M3596" s="293"/>
      <c r="N3596" s="293"/>
      <c r="P3596" s="42">
        <v>4760</v>
      </c>
      <c r="R3596" s="42">
        <v>720</v>
      </c>
      <c r="T3596" s="284">
        <v>4040</v>
      </c>
      <c r="U3596" s="284"/>
    </row>
    <row r="3597" spans="1:21" x14ac:dyDescent="0.25">
      <c r="B3597" s="292">
        <v>12</v>
      </c>
      <c r="C3597" s="292"/>
      <c r="D3597" s="292"/>
      <c r="F3597" s="283" t="s">
        <v>162</v>
      </c>
      <c r="G3597" s="283"/>
      <c r="J3597" s="293">
        <v>5</v>
      </c>
      <c r="K3597" s="293"/>
      <c r="L3597" s="293"/>
      <c r="M3597" s="293"/>
      <c r="N3597" s="293"/>
      <c r="P3597" s="42">
        <v>2150</v>
      </c>
      <c r="R3597" s="42">
        <v>1067</v>
      </c>
      <c r="T3597" s="284">
        <v>1083</v>
      </c>
      <c r="U3597" s="284"/>
    </row>
    <row r="3598" spans="1:21" x14ac:dyDescent="0.25">
      <c r="B3598" s="292">
        <v>13</v>
      </c>
      <c r="C3598" s="292"/>
      <c r="D3598" s="292"/>
      <c r="F3598" s="283" t="s">
        <v>160</v>
      </c>
      <c r="G3598" s="283"/>
      <c r="J3598" s="293">
        <v>16</v>
      </c>
      <c r="K3598" s="293"/>
      <c r="L3598" s="293"/>
      <c r="M3598" s="293"/>
      <c r="N3598" s="293"/>
      <c r="P3598" s="42">
        <v>4640</v>
      </c>
      <c r="R3598" s="42">
        <v>1280</v>
      </c>
      <c r="T3598" s="284">
        <v>3360</v>
      </c>
      <c r="U3598" s="284"/>
    </row>
    <row r="3599" spans="1:21" x14ac:dyDescent="0.25">
      <c r="B3599" s="292">
        <v>14</v>
      </c>
      <c r="C3599" s="292"/>
      <c r="D3599" s="292"/>
      <c r="F3599" s="283" t="s">
        <v>159</v>
      </c>
      <c r="G3599" s="283"/>
      <c r="J3599" s="293">
        <v>300</v>
      </c>
      <c r="K3599" s="293"/>
      <c r="L3599" s="293"/>
      <c r="M3599" s="293"/>
      <c r="N3599" s="293"/>
      <c r="P3599" s="42">
        <v>0</v>
      </c>
      <c r="R3599" s="42">
        <v>0</v>
      </c>
      <c r="T3599" s="284">
        <v>0</v>
      </c>
      <c r="U3599" s="284"/>
    </row>
    <row r="3600" spans="1:21" x14ac:dyDescent="0.25">
      <c r="B3600" s="292">
        <v>15</v>
      </c>
      <c r="C3600" s="292"/>
      <c r="D3600" s="292"/>
      <c r="F3600" s="283" t="s">
        <v>158</v>
      </c>
      <c r="G3600" s="283"/>
      <c r="J3600" s="293">
        <v>998</v>
      </c>
      <c r="K3600" s="293"/>
      <c r="L3600" s="293"/>
      <c r="M3600" s="293"/>
      <c r="N3600" s="293"/>
      <c r="P3600" s="42">
        <v>548900</v>
      </c>
      <c r="R3600" s="42">
        <v>165552</v>
      </c>
      <c r="T3600" s="284">
        <v>383348</v>
      </c>
      <c r="U3600" s="284"/>
    </row>
    <row r="3601" spans="2:21" x14ac:dyDescent="0.25">
      <c r="B3601" s="292">
        <v>16</v>
      </c>
      <c r="C3601" s="292"/>
      <c r="D3601" s="292"/>
      <c r="F3601" s="283" t="s">
        <v>157</v>
      </c>
      <c r="G3601" s="283"/>
      <c r="J3601" s="293">
        <v>219</v>
      </c>
      <c r="K3601" s="293"/>
      <c r="L3601" s="293"/>
      <c r="M3601" s="293"/>
      <c r="N3601" s="293"/>
      <c r="P3601" s="42">
        <v>107310</v>
      </c>
      <c r="R3601" s="42">
        <v>46803</v>
      </c>
      <c r="T3601" s="284">
        <v>60507</v>
      </c>
      <c r="U3601" s="284"/>
    </row>
    <row r="3602" spans="2:21" x14ac:dyDescent="0.25">
      <c r="B3602" s="292">
        <v>17</v>
      </c>
      <c r="C3602" s="292"/>
      <c r="D3602" s="292"/>
      <c r="F3602" s="283" t="s">
        <v>77</v>
      </c>
      <c r="G3602" s="283"/>
      <c r="J3602" s="293">
        <v>1688</v>
      </c>
      <c r="K3602" s="293"/>
      <c r="L3602" s="293"/>
      <c r="M3602" s="293"/>
      <c r="N3602" s="293"/>
      <c r="P3602" s="42">
        <v>681400</v>
      </c>
      <c r="R3602" s="42">
        <v>681400</v>
      </c>
      <c r="T3602" s="284">
        <v>0</v>
      </c>
      <c r="U3602" s="284"/>
    </row>
    <row r="3603" spans="2:21" x14ac:dyDescent="0.25">
      <c r="B3603" s="292">
        <v>18</v>
      </c>
      <c r="C3603" s="292"/>
      <c r="D3603" s="292"/>
      <c r="F3603" s="283" t="s">
        <v>76</v>
      </c>
      <c r="G3603" s="283"/>
      <c r="J3603" s="293">
        <v>1</v>
      </c>
      <c r="K3603" s="293"/>
      <c r="L3603" s="293"/>
      <c r="M3603" s="293"/>
      <c r="N3603" s="293"/>
      <c r="P3603" s="42">
        <v>600</v>
      </c>
      <c r="R3603" s="42">
        <v>600</v>
      </c>
      <c r="T3603" s="284">
        <v>0</v>
      </c>
      <c r="U3603" s="284"/>
    </row>
    <row r="3604" spans="2:21" x14ac:dyDescent="0.25">
      <c r="B3604" s="292">
        <v>19</v>
      </c>
      <c r="C3604" s="292"/>
      <c r="D3604" s="292"/>
      <c r="F3604" s="283" t="s">
        <v>156</v>
      </c>
      <c r="G3604" s="283"/>
      <c r="J3604" s="293">
        <v>4</v>
      </c>
      <c r="K3604" s="293"/>
      <c r="L3604" s="293"/>
      <c r="M3604" s="293"/>
      <c r="N3604" s="293"/>
      <c r="P3604" s="42">
        <v>760</v>
      </c>
      <c r="R3604" s="42">
        <v>182</v>
      </c>
      <c r="T3604" s="284">
        <v>578</v>
      </c>
      <c r="U3604" s="284"/>
    </row>
    <row r="3605" spans="2:21" x14ac:dyDescent="0.25">
      <c r="B3605" s="292">
        <v>20</v>
      </c>
      <c r="C3605" s="292"/>
      <c r="D3605" s="292"/>
      <c r="F3605" s="283" t="s">
        <v>155</v>
      </c>
      <c r="G3605" s="283"/>
      <c r="J3605" s="293">
        <v>37</v>
      </c>
      <c r="K3605" s="293"/>
      <c r="L3605" s="293"/>
      <c r="M3605" s="293"/>
      <c r="N3605" s="293"/>
      <c r="P3605" s="42">
        <v>9250</v>
      </c>
      <c r="R3605" s="42">
        <v>3148</v>
      </c>
      <c r="T3605" s="284">
        <v>6102</v>
      </c>
      <c r="U3605" s="284"/>
    </row>
    <row r="3606" spans="2:21" x14ac:dyDescent="0.25">
      <c r="B3606" s="292">
        <v>21</v>
      </c>
      <c r="C3606" s="292"/>
      <c r="D3606" s="292"/>
      <c r="F3606" s="283" t="s">
        <v>154</v>
      </c>
      <c r="G3606" s="283"/>
      <c r="J3606" s="293">
        <v>2</v>
      </c>
      <c r="K3606" s="293"/>
      <c r="L3606" s="293"/>
      <c r="M3606" s="293"/>
      <c r="N3606" s="293"/>
      <c r="P3606" s="42">
        <v>1780</v>
      </c>
      <c r="R3606" s="42">
        <v>260</v>
      </c>
      <c r="T3606" s="284">
        <v>1520</v>
      </c>
      <c r="U3606" s="284"/>
    </row>
    <row r="3607" spans="2:21" x14ac:dyDescent="0.25">
      <c r="B3607" s="292">
        <v>22</v>
      </c>
      <c r="C3607" s="292"/>
      <c r="D3607" s="292"/>
      <c r="F3607" s="283" t="s">
        <v>194</v>
      </c>
      <c r="G3607" s="283"/>
      <c r="J3607" s="293">
        <v>1</v>
      </c>
      <c r="K3607" s="293"/>
      <c r="L3607" s="293"/>
      <c r="M3607" s="293"/>
      <c r="N3607" s="293"/>
      <c r="P3607" s="42">
        <v>700</v>
      </c>
      <c r="R3607" s="42">
        <v>180</v>
      </c>
      <c r="T3607" s="284">
        <v>520</v>
      </c>
      <c r="U3607" s="284"/>
    </row>
    <row r="3608" spans="2:21" x14ac:dyDescent="0.25">
      <c r="B3608" s="292">
        <v>23</v>
      </c>
      <c r="C3608" s="292"/>
      <c r="D3608" s="292"/>
      <c r="F3608" s="283" t="s">
        <v>289</v>
      </c>
      <c r="G3608" s="283"/>
      <c r="J3608" s="293">
        <v>2</v>
      </c>
      <c r="K3608" s="293"/>
      <c r="L3608" s="293"/>
      <c r="M3608" s="293"/>
      <c r="N3608" s="293"/>
      <c r="P3608" s="42">
        <v>1000</v>
      </c>
      <c r="R3608" s="42">
        <v>300</v>
      </c>
      <c r="T3608" s="284">
        <v>700</v>
      </c>
      <c r="U3608" s="284"/>
    </row>
    <row r="3609" spans="2:21" x14ac:dyDescent="0.25">
      <c r="B3609" s="292">
        <v>24</v>
      </c>
      <c r="C3609" s="292"/>
      <c r="D3609" s="292"/>
      <c r="F3609" s="283" t="s">
        <v>152</v>
      </c>
      <c r="G3609" s="283"/>
      <c r="J3609" s="293">
        <v>19</v>
      </c>
      <c r="K3609" s="293"/>
      <c r="L3609" s="293"/>
      <c r="M3609" s="293"/>
      <c r="N3609" s="293"/>
      <c r="P3609" s="42">
        <v>11210</v>
      </c>
      <c r="R3609" s="42">
        <v>3328</v>
      </c>
      <c r="T3609" s="284">
        <v>7882</v>
      </c>
      <c r="U3609" s="284"/>
    </row>
    <row r="3610" spans="2:21" x14ac:dyDescent="0.25">
      <c r="B3610" s="292">
        <v>25</v>
      </c>
      <c r="C3610" s="292"/>
      <c r="D3610" s="292"/>
      <c r="F3610" s="283" t="s">
        <v>151</v>
      </c>
      <c r="G3610" s="283"/>
      <c r="J3610" s="293">
        <v>19</v>
      </c>
      <c r="K3610" s="293"/>
      <c r="L3610" s="293"/>
      <c r="M3610" s="293"/>
      <c r="N3610" s="293"/>
      <c r="P3610" s="42">
        <v>4370</v>
      </c>
      <c r="R3610" s="42">
        <v>1400</v>
      </c>
      <c r="T3610" s="284">
        <v>2970</v>
      </c>
      <c r="U3610" s="284"/>
    </row>
    <row r="3611" spans="2:21" x14ac:dyDescent="0.25">
      <c r="B3611" s="292">
        <v>26</v>
      </c>
      <c r="C3611" s="292"/>
      <c r="D3611" s="292"/>
      <c r="F3611" s="283" t="s">
        <v>150</v>
      </c>
      <c r="G3611" s="283"/>
      <c r="J3611" s="293">
        <v>13</v>
      </c>
      <c r="K3611" s="293"/>
      <c r="L3611" s="293"/>
      <c r="M3611" s="293"/>
      <c r="N3611" s="293"/>
      <c r="P3611" s="42">
        <v>2210</v>
      </c>
      <c r="R3611" s="42">
        <v>650</v>
      </c>
      <c r="T3611" s="284">
        <v>1560</v>
      </c>
      <c r="U3611" s="284"/>
    </row>
    <row r="3612" spans="2:21" x14ac:dyDescent="0.25">
      <c r="B3612" s="292">
        <v>27</v>
      </c>
      <c r="C3612" s="292"/>
      <c r="D3612" s="292"/>
      <c r="F3612" s="283" t="s">
        <v>149</v>
      </c>
      <c r="G3612" s="283"/>
      <c r="J3612" s="293">
        <v>1</v>
      </c>
      <c r="K3612" s="293"/>
      <c r="L3612" s="293"/>
      <c r="M3612" s="293"/>
      <c r="N3612" s="293"/>
      <c r="P3612" s="42">
        <v>50</v>
      </c>
      <c r="R3612" s="42">
        <v>10</v>
      </c>
      <c r="T3612" s="284">
        <v>40</v>
      </c>
      <c r="U3612" s="284"/>
    </row>
    <row r="3613" spans="2:21" x14ac:dyDescent="0.25">
      <c r="B3613" s="292">
        <v>28</v>
      </c>
      <c r="C3613" s="292"/>
      <c r="D3613" s="292"/>
      <c r="F3613" s="283" t="s">
        <v>235</v>
      </c>
      <c r="G3613" s="283"/>
      <c r="J3613" s="293">
        <v>1</v>
      </c>
      <c r="K3613" s="293"/>
      <c r="L3613" s="293"/>
      <c r="M3613" s="293"/>
      <c r="N3613" s="293"/>
      <c r="P3613" s="42">
        <v>950</v>
      </c>
      <c r="R3613" s="42">
        <v>140</v>
      </c>
      <c r="T3613" s="284">
        <v>810</v>
      </c>
      <c r="U3613" s="284"/>
    </row>
    <row r="3614" spans="2:21" x14ac:dyDescent="0.25">
      <c r="B3614" s="292">
        <v>29</v>
      </c>
      <c r="C3614" s="292"/>
      <c r="D3614" s="292"/>
      <c r="F3614" s="283" t="s">
        <v>193</v>
      </c>
      <c r="G3614" s="283"/>
      <c r="J3614" s="293">
        <v>1</v>
      </c>
      <c r="K3614" s="293"/>
      <c r="L3614" s="293"/>
      <c r="M3614" s="293"/>
      <c r="N3614" s="293"/>
      <c r="P3614" s="42">
        <v>890</v>
      </c>
      <c r="R3614" s="42">
        <v>130</v>
      </c>
      <c r="T3614" s="284">
        <v>760</v>
      </c>
      <c r="U3614" s="284"/>
    </row>
    <row r="3615" spans="2:21" x14ac:dyDescent="0.25">
      <c r="B3615" s="292">
        <v>30</v>
      </c>
      <c r="C3615" s="292"/>
      <c r="D3615" s="292"/>
      <c r="F3615" s="283" t="s">
        <v>75</v>
      </c>
      <c r="G3615" s="283"/>
      <c r="J3615" s="293">
        <v>1725</v>
      </c>
      <c r="K3615" s="293"/>
      <c r="L3615" s="293"/>
      <c r="M3615" s="293"/>
      <c r="N3615" s="293"/>
      <c r="P3615" s="42">
        <v>4312500</v>
      </c>
      <c r="R3615" s="42">
        <v>4312500</v>
      </c>
      <c r="T3615" s="284">
        <v>0</v>
      </c>
      <c r="U3615" s="284"/>
    </row>
    <row r="3616" spans="2:21" x14ac:dyDescent="0.25">
      <c r="B3616" s="292">
        <v>31</v>
      </c>
      <c r="C3616" s="292"/>
      <c r="D3616" s="292"/>
      <c r="F3616" s="283" t="s">
        <v>138</v>
      </c>
      <c r="G3616" s="283"/>
      <c r="J3616" s="293">
        <v>1</v>
      </c>
      <c r="K3616" s="293"/>
      <c r="L3616" s="293"/>
      <c r="M3616" s="293"/>
      <c r="N3616" s="293"/>
      <c r="P3616" s="42">
        <v>800</v>
      </c>
      <c r="R3616" s="42">
        <v>450</v>
      </c>
      <c r="T3616" s="284">
        <v>350</v>
      </c>
      <c r="U3616" s="284"/>
    </row>
    <row r="3617" spans="2:21" x14ac:dyDescent="0.25">
      <c r="B3617" s="292">
        <v>32</v>
      </c>
      <c r="C3617" s="292"/>
      <c r="D3617" s="292"/>
      <c r="F3617" s="283" t="s">
        <v>137</v>
      </c>
      <c r="G3617" s="283"/>
      <c r="J3617" s="293">
        <v>2</v>
      </c>
      <c r="K3617" s="293"/>
      <c r="L3617" s="293"/>
      <c r="M3617" s="293"/>
      <c r="N3617" s="293"/>
      <c r="P3617" s="42">
        <v>1600</v>
      </c>
      <c r="R3617" s="42">
        <v>900</v>
      </c>
      <c r="T3617" s="284">
        <v>700</v>
      </c>
      <c r="U3617" s="284"/>
    </row>
    <row r="3618" spans="2:21" x14ac:dyDescent="0.25">
      <c r="B3618" s="292">
        <v>33</v>
      </c>
      <c r="C3618" s="292"/>
      <c r="D3618" s="292"/>
      <c r="F3618" s="283" t="s">
        <v>136</v>
      </c>
      <c r="G3618" s="283"/>
      <c r="J3618" s="293">
        <v>18</v>
      </c>
      <c r="K3618" s="293"/>
      <c r="L3618" s="293"/>
      <c r="M3618" s="293"/>
      <c r="N3618" s="293"/>
      <c r="P3618" s="42">
        <v>15300</v>
      </c>
      <c r="R3618" s="42">
        <v>3640</v>
      </c>
      <c r="T3618" s="284">
        <v>11660</v>
      </c>
      <c r="U3618" s="284"/>
    </row>
    <row r="3619" spans="2:21" x14ac:dyDescent="0.25">
      <c r="B3619" s="292">
        <v>34</v>
      </c>
      <c r="C3619" s="292"/>
      <c r="D3619" s="292"/>
      <c r="F3619" s="283" t="s">
        <v>74</v>
      </c>
      <c r="G3619" s="283"/>
      <c r="J3619" s="293">
        <v>113</v>
      </c>
      <c r="K3619" s="293"/>
      <c r="L3619" s="293"/>
      <c r="M3619" s="293"/>
      <c r="N3619" s="293"/>
      <c r="P3619" s="42">
        <v>96050</v>
      </c>
      <c r="R3619" s="42">
        <v>96050</v>
      </c>
      <c r="T3619" s="284">
        <v>0</v>
      </c>
      <c r="U3619" s="284"/>
    </row>
    <row r="3620" spans="2:21" x14ac:dyDescent="0.25">
      <c r="B3620" s="292">
        <v>35</v>
      </c>
      <c r="C3620" s="292"/>
      <c r="D3620" s="292"/>
      <c r="F3620" s="283" t="s">
        <v>190</v>
      </c>
      <c r="G3620" s="283"/>
      <c r="J3620" s="293">
        <v>3</v>
      </c>
      <c r="K3620" s="293"/>
      <c r="L3620" s="293"/>
      <c r="M3620" s="293"/>
      <c r="N3620" s="293"/>
      <c r="P3620" s="42">
        <v>4710</v>
      </c>
      <c r="R3620" s="42">
        <v>480</v>
      </c>
      <c r="T3620" s="284">
        <v>4230</v>
      </c>
      <c r="U3620" s="284"/>
    </row>
    <row r="3621" spans="2:21" x14ac:dyDescent="0.25">
      <c r="B3621" s="292">
        <v>36</v>
      </c>
      <c r="C3621" s="292"/>
      <c r="D3621" s="292"/>
      <c r="F3621" s="283" t="s">
        <v>134</v>
      </c>
      <c r="G3621" s="283"/>
      <c r="J3621" s="293">
        <v>2</v>
      </c>
      <c r="K3621" s="293"/>
      <c r="L3621" s="293"/>
      <c r="M3621" s="293"/>
      <c r="N3621" s="293"/>
      <c r="P3621" s="42">
        <v>7400</v>
      </c>
      <c r="R3621" s="42">
        <v>1600</v>
      </c>
      <c r="T3621" s="284">
        <v>5800</v>
      </c>
      <c r="U3621" s="284"/>
    </row>
    <row r="3622" spans="2:21" x14ac:dyDescent="0.25">
      <c r="B3622" s="292">
        <v>37</v>
      </c>
      <c r="C3622" s="292"/>
      <c r="D3622" s="292"/>
      <c r="F3622" s="283" t="s">
        <v>130</v>
      </c>
      <c r="G3622" s="283"/>
      <c r="J3622" s="293">
        <v>1</v>
      </c>
      <c r="K3622" s="293"/>
      <c r="L3622" s="293"/>
      <c r="M3622" s="293"/>
      <c r="N3622" s="293"/>
      <c r="P3622" s="42">
        <v>8000</v>
      </c>
      <c r="R3622" s="42">
        <v>4100</v>
      </c>
      <c r="T3622" s="284">
        <v>3900</v>
      </c>
      <c r="U3622" s="284"/>
    </row>
    <row r="3623" spans="2:21" x14ac:dyDescent="0.25">
      <c r="B3623" s="292">
        <v>38</v>
      </c>
      <c r="C3623" s="292"/>
      <c r="D3623" s="292"/>
      <c r="F3623" s="283" t="s">
        <v>366</v>
      </c>
      <c r="G3623" s="283"/>
      <c r="J3623" s="293">
        <v>1</v>
      </c>
      <c r="K3623" s="293"/>
      <c r="L3623" s="293"/>
      <c r="M3623" s="293"/>
      <c r="N3623" s="293"/>
      <c r="P3623" s="42">
        <v>800</v>
      </c>
      <c r="R3623" s="42">
        <v>450</v>
      </c>
      <c r="T3623" s="284">
        <v>350</v>
      </c>
      <c r="U3623" s="284"/>
    </row>
    <row r="3624" spans="2:21" x14ac:dyDescent="0.25">
      <c r="B3624" s="292">
        <v>39</v>
      </c>
      <c r="C3624" s="292"/>
      <c r="D3624" s="292"/>
      <c r="F3624" s="283" t="s">
        <v>127</v>
      </c>
      <c r="G3624" s="283"/>
      <c r="J3624" s="293">
        <v>4</v>
      </c>
      <c r="K3624" s="293"/>
      <c r="L3624" s="293"/>
      <c r="M3624" s="293"/>
      <c r="N3624" s="293"/>
      <c r="P3624" s="42">
        <v>1200</v>
      </c>
      <c r="R3624" s="42">
        <v>401</v>
      </c>
      <c r="T3624" s="284">
        <v>799</v>
      </c>
      <c r="U3624" s="284"/>
    </row>
    <row r="3625" spans="2:21" x14ac:dyDescent="0.25">
      <c r="B3625" s="292">
        <v>40</v>
      </c>
      <c r="C3625" s="292"/>
      <c r="D3625" s="292"/>
      <c r="F3625" s="283" t="s">
        <v>126</v>
      </c>
      <c r="G3625" s="283"/>
      <c r="J3625" s="293">
        <v>7</v>
      </c>
      <c r="K3625" s="293"/>
      <c r="L3625" s="293"/>
      <c r="M3625" s="293"/>
      <c r="N3625" s="293"/>
      <c r="P3625" s="42">
        <v>1400</v>
      </c>
      <c r="R3625" s="42">
        <v>447</v>
      </c>
      <c r="T3625" s="284">
        <v>953</v>
      </c>
      <c r="U3625" s="284"/>
    </row>
    <row r="3626" spans="2:21" x14ac:dyDescent="0.25">
      <c r="B3626" s="292">
        <v>41</v>
      </c>
      <c r="C3626" s="292"/>
      <c r="D3626" s="292"/>
      <c r="F3626" s="283" t="s">
        <v>125</v>
      </c>
      <c r="G3626" s="283"/>
      <c r="J3626" s="293">
        <v>2</v>
      </c>
      <c r="K3626" s="293"/>
      <c r="L3626" s="293"/>
      <c r="M3626" s="293"/>
      <c r="N3626" s="293"/>
      <c r="P3626" s="42">
        <v>800</v>
      </c>
      <c r="R3626" s="42">
        <v>240</v>
      </c>
      <c r="T3626" s="284">
        <v>560</v>
      </c>
      <c r="U3626" s="284"/>
    </row>
    <row r="3627" spans="2:21" x14ac:dyDescent="0.25">
      <c r="B3627" s="292">
        <v>42</v>
      </c>
      <c r="C3627" s="292"/>
      <c r="D3627" s="292"/>
      <c r="F3627" s="283" t="s">
        <v>124</v>
      </c>
      <c r="G3627" s="283"/>
      <c r="J3627" s="293">
        <v>9</v>
      </c>
      <c r="K3627" s="293"/>
      <c r="L3627" s="293"/>
      <c r="M3627" s="293"/>
      <c r="N3627" s="293"/>
      <c r="P3627" s="42">
        <v>6260</v>
      </c>
      <c r="R3627" s="42">
        <v>1850</v>
      </c>
      <c r="T3627" s="284">
        <v>4410</v>
      </c>
      <c r="U3627" s="284"/>
    </row>
    <row r="3628" spans="2:21" x14ac:dyDescent="0.25">
      <c r="B3628" s="292">
        <v>43</v>
      </c>
      <c r="C3628" s="292"/>
      <c r="D3628" s="292"/>
      <c r="F3628" s="283" t="s">
        <v>123</v>
      </c>
      <c r="G3628" s="283"/>
      <c r="J3628" s="293">
        <v>13</v>
      </c>
      <c r="K3628" s="293"/>
      <c r="L3628" s="293"/>
      <c r="M3628" s="293"/>
      <c r="N3628" s="293"/>
      <c r="P3628" s="42">
        <v>10140</v>
      </c>
      <c r="R3628" s="42">
        <v>2990</v>
      </c>
      <c r="T3628" s="284">
        <v>7150</v>
      </c>
      <c r="U3628" s="284"/>
    </row>
    <row r="3629" spans="2:21" x14ac:dyDescent="0.25">
      <c r="B3629" s="292">
        <v>44</v>
      </c>
      <c r="C3629" s="292"/>
      <c r="D3629" s="292"/>
      <c r="F3629" s="283" t="s">
        <v>227</v>
      </c>
      <c r="G3629" s="283"/>
      <c r="J3629" s="293">
        <v>1</v>
      </c>
      <c r="K3629" s="293"/>
      <c r="L3629" s="293"/>
      <c r="M3629" s="293"/>
      <c r="N3629" s="293"/>
      <c r="P3629" s="42">
        <v>500</v>
      </c>
      <c r="R3629" s="42">
        <v>150</v>
      </c>
      <c r="T3629" s="284">
        <v>350</v>
      </c>
      <c r="U3629" s="284"/>
    </row>
    <row r="3630" spans="2:21" x14ac:dyDescent="0.25">
      <c r="B3630" s="292">
        <v>45</v>
      </c>
      <c r="C3630" s="292"/>
      <c r="D3630" s="292"/>
      <c r="F3630" s="283" t="s">
        <v>122</v>
      </c>
      <c r="G3630" s="283"/>
      <c r="J3630" s="293">
        <v>5</v>
      </c>
      <c r="K3630" s="293"/>
      <c r="L3630" s="293"/>
      <c r="M3630" s="293"/>
      <c r="N3630" s="293"/>
      <c r="P3630" s="42">
        <v>2500</v>
      </c>
      <c r="R3630" s="42">
        <v>750</v>
      </c>
      <c r="T3630" s="284">
        <v>1750</v>
      </c>
      <c r="U3630" s="284"/>
    </row>
    <row r="3631" spans="2:21" x14ac:dyDescent="0.25">
      <c r="B3631" s="292">
        <v>46</v>
      </c>
      <c r="C3631" s="292"/>
      <c r="D3631" s="292"/>
      <c r="F3631" s="283" t="s">
        <v>182</v>
      </c>
      <c r="G3631" s="283"/>
      <c r="J3631" s="293">
        <v>1</v>
      </c>
      <c r="K3631" s="293"/>
      <c r="L3631" s="293"/>
      <c r="M3631" s="293"/>
      <c r="N3631" s="293"/>
      <c r="P3631" s="42">
        <v>790</v>
      </c>
      <c r="R3631" s="42">
        <v>120</v>
      </c>
      <c r="T3631" s="284">
        <v>670</v>
      </c>
      <c r="U3631" s="284"/>
    </row>
    <row r="3632" spans="2:21" x14ac:dyDescent="0.25">
      <c r="B3632" s="292">
        <v>47</v>
      </c>
      <c r="C3632" s="292"/>
      <c r="D3632" s="292"/>
      <c r="F3632" s="283" t="s">
        <v>119</v>
      </c>
      <c r="G3632" s="283"/>
      <c r="J3632" s="293">
        <v>26</v>
      </c>
      <c r="K3632" s="293"/>
      <c r="L3632" s="293"/>
      <c r="M3632" s="293"/>
      <c r="N3632" s="293"/>
      <c r="P3632" s="42">
        <v>23140</v>
      </c>
      <c r="R3632" s="42">
        <v>7560</v>
      </c>
      <c r="T3632" s="284">
        <v>15580</v>
      </c>
      <c r="U3632" s="284"/>
    </row>
    <row r="3633" spans="2:21" x14ac:dyDescent="0.25">
      <c r="B3633" s="292">
        <v>48</v>
      </c>
      <c r="C3633" s="292"/>
      <c r="D3633" s="292"/>
      <c r="F3633" s="283" t="s">
        <v>118</v>
      </c>
      <c r="G3633" s="283"/>
      <c r="J3633" s="293">
        <v>106</v>
      </c>
      <c r="K3633" s="293"/>
      <c r="L3633" s="293"/>
      <c r="M3633" s="293"/>
      <c r="N3633" s="293"/>
      <c r="P3633" s="42">
        <v>104940</v>
      </c>
      <c r="R3633" s="42">
        <v>35463</v>
      </c>
      <c r="T3633" s="284">
        <v>69477</v>
      </c>
      <c r="U3633" s="284"/>
    </row>
    <row r="3634" spans="2:21" x14ac:dyDescent="0.25">
      <c r="B3634" s="292">
        <v>49</v>
      </c>
      <c r="C3634" s="292"/>
      <c r="D3634" s="292"/>
      <c r="F3634" s="283" t="s">
        <v>117</v>
      </c>
      <c r="G3634" s="283"/>
      <c r="J3634" s="293">
        <v>8</v>
      </c>
      <c r="K3634" s="293"/>
      <c r="L3634" s="293"/>
      <c r="M3634" s="293"/>
      <c r="N3634" s="293"/>
      <c r="P3634" s="42">
        <v>6400</v>
      </c>
      <c r="R3634" s="42">
        <v>1600</v>
      </c>
      <c r="T3634" s="284">
        <v>4800</v>
      </c>
      <c r="U3634" s="284"/>
    </row>
    <row r="3635" spans="2:21" x14ac:dyDescent="0.25">
      <c r="B3635" s="292">
        <v>50</v>
      </c>
      <c r="C3635" s="292"/>
      <c r="D3635" s="292"/>
      <c r="F3635" s="285" t="s">
        <v>116</v>
      </c>
      <c r="G3635" s="285"/>
      <c r="J3635" s="293">
        <v>1</v>
      </c>
      <c r="K3635" s="293"/>
      <c r="L3635" s="293"/>
      <c r="M3635" s="293"/>
      <c r="N3635" s="293"/>
      <c r="P3635" s="42">
        <v>800</v>
      </c>
      <c r="R3635" s="42">
        <v>200</v>
      </c>
      <c r="T3635" s="284">
        <v>600</v>
      </c>
      <c r="U3635" s="284"/>
    </row>
    <row r="3636" spans="2:21" x14ac:dyDescent="0.25">
      <c r="F3636" s="285"/>
      <c r="G3636" s="285"/>
    </row>
    <row r="3637" spans="2:21" x14ac:dyDescent="0.25">
      <c r="B3637" s="292">
        <v>51</v>
      </c>
      <c r="C3637" s="292"/>
      <c r="D3637" s="292"/>
      <c r="F3637" s="283" t="s">
        <v>262</v>
      </c>
      <c r="G3637" s="283"/>
      <c r="J3637" s="293">
        <v>1</v>
      </c>
      <c r="K3637" s="293"/>
      <c r="L3637" s="293"/>
      <c r="M3637" s="293"/>
      <c r="N3637" s="293"/>
      <c r="P3637" s="42">
        <v>450</v>
      </c>
      <c r="R3637" s="42">
        <v>70</v>
      </c>
      <c r="T3637" s="284">
        <v>380</v>
      </c>
      <c r="U3637" s="284"/>
    </row>
    <row r="3638" spans="2:21" x14ac:dyDescent="0.25">
      <c r="B3638" s="292">
        <v>52</v>
      </c>
      <c r="C3638" s="292"/>
      <c r="D3638" s="292"/>
      <c r="F3638" s="283" t="s">
        <v>115</v>
      </c>
      <c r="G3638" s="283"/>
      <c r="J3638" s="293">
        <v>12</v>
      </c>
      <c r="K3638" s="293"/>
      <c r="L3638" s="293"/>
      <c r="M3638" s="293"/>
      <c r="N3638" s="293"/>
      <c r="P3638" s="42">
        <v>3480</v>
      </c>
      <c r="R3638" s="42">
        <v>1070</v>
      </c>
      <c r="T3638" s="284">
        <v>2410</v>
      </c>
      <c r="U3638" s="284"/>
    </row>
    <row r="3639" spans="2:21" x14ac:dyDescent="0.25">
      <c r="B3639" s="292">
        <v>53</v>
      </c>
      <c r="C3639" s="292"/>
      <c r="D3639" s="292"/>
      <c r="F3639" s="283" t="s">
        <v>114</v>
      </c>
      <c r="G3639" s="283"/>
      <c r="J3639" s="293">
        <v>2</v>
      </c>
      <c r="K3639" s="293"/>
      <c r="L3639" s="293"/>
      <c r="M3639" s="293"/>
      <c r="N3639" s="293"/>
      <c r="P3639" s="42">
        <v>1100</v>
      </c>
      <c r="R3639" s="42">
        <v>160</v>
      </c>
      <c r="T3639" s="284">
        <v>940</v>
      </c>
      <c r="U3639" s="284"/>
    </row>
    <row r="3640" spans="2:21" x14ac:dyDescent="0.25">
      <c r="B3640" s="292">
        <v>54</v>
      </c>
      <c r="C3640" s="292"/>
      <c r="D3640" s="292"/>
      <c r="F3640" s="283" t="s">
        <v>222</v>
      </c>
      <c r="G3640" s="283"/>
      <c r="J3640" s="293">
        <v>1</v>
      </c>
      <c r="K3640" s="293"/>
      <c r="L3640" s="293"/>
      <c r="M3640" s="293"/>
      <c r="N3640" s="293"/>
      <c r="P3640" s="42">
        <v>500</v>
      </c>
      <c r="R3640" s="42">
        <v>150</v>
      </c>
      <c r="T3640" s="284">
        <v>350</v>
      </c>
      <c r="U3640" s="284"/>
    </row>
    <row r="3641" spans="2:21" x14ac:dyDescent="0.25">
      <c r="B3641" s="292">
        <v>55</v>
      </c>
      <c r="C3641" s="292"/>
      <c r="D3641" s="292"/>
      <c r="F3641" s="283" t="s">
        <v>219</v>
      </c>
      <c r="G3641" s="283"/>
      <c r="J3641" s="293">
        <v>2</v>
      </c>
      <c r="K3641" s="293"/>
      <c r="L3641" s="293"/>
      <c r="M3641" s="293"/>
      <c r="N3641" s="293"/>
      <c r="P3641" s="42">
        <v>1000</v>
      </c>
      <c r="R3641" s="42">
        <v>300</v>
      </c>
      <c r="T3641" s="284">
        <v>700</v>
      </c>
      <c r="U3641" s="284"/>
    </row>
    <row r="3642" spans="2:21" x14ac:dyDescent="0.25">
      <c r="B3642" s="292">
        <v>56</v>
      </c>
      <c r="C3642" s="292"/>
      <c r="D3642" s="292"/>
      <c r="F3642" s="283" t="s">
        <v>109</v>
      </c>
      <c r="G3642" s="283"/>
      <c r="J3642" s="293">
        <v>5</v>
      </c>
      <c r="K3642" s="293"/>
      <c r="L3642" s="293"/>
      <c r="M3642" s="293"/>
      <c r="N3642" s="293"/>
      <c r="P3642" s="42">
        <v>3900</v>
      </c>
      <c r="R3642" s="42">
        <v>1150</v>
      </c>
      <c r="T3642" s="284">
        <v>2750</v>
      </c>
      <c r="U3642" s="284"/>
    </row>
    <row r="3643" spans="2:21" x14ac:dyDescent="0.25">
      <c r="B3643" s="292">
        <v>57</v>
      </c>
      <c r="C3643" s="292"/>
      <c r="D3643" s="292"/>
      <c r="F3643" s="283" t="s">
        <v>108</v>
      </c>
      <c r="G3643" s="283"/>
      <c r="J3643" s="293">
        <v>413</v>
      </c>
      <c r="K3643" s="293"/>
      <c r="L3643" s="293"/>
      <c r="M3643" s="293"/>
      <c r="N3643" s="293"/>
      <c r="P3643" s="42">
        <v>41300</v>
      </c>
      <c r="R3643" s="42">
        <v>9180</v>
      </c>
      <c r="T3643" s="284">
        <v>32120</v>
      </c>
      <c r="U3643" s="284"/>
    </row>
    <row r="3644" spans="2:21" x14ac:dyDescent="0.25">
      <c r="B3644" s="292">
        <v>58</v>
      </c>
      <c r="C3644" s="292"/>
      <c r="D3644" s="292"/>
      <c r="F3644" s="283" t="s">
        <v>107</v>
      </c>
      <c r="G3644" s="283"/>
      <c r="J3644" s="293">
        <v>35</v>
      </c>
      <c r="K3644" s="293"/>
      <c r="L3644" s="293"/>
      <c r="M3644" s="293"/>
      <c r="N3644" s="293"/>
      <c r="P3644" s="42">
        <v>5950</v>
      </c>
      <c r="R3644" s="42">
        <v>1774</v>
      </c>
      <c r="T3644" s="284">
        <v>4176</v>
      </c>
      <c r="U3644" s="284"/>
    </row>
    <row r="3645" spans="2:21" x14ac:dyDescent="0.25">
      <c r="B3645" s="292">
        <v>59</v>
      </c>
      <c r="C3645" s="292"/>
      <c r="D3645" s="292"/>
      <c r="F3645" s="283" t="s">
        <v>106</v>
      </c>
      <c r="G3645" s="283"/>
      <c r="J3645" s="293">
        <v>5</v>
      </c>
      <c r="K3645" s="293"/>
      <c r="L3645" s="293"/>
      <c r="M3645" s="293"/>
      <c r="N3645" s="293"/>
      <c r="P3645" s="42">
        <v>500</v>
      </c>
      <c r="R3645" s="42">
        <v>150</v>
      </c>
      <c r="T3645" s="284">
        <v>350</v>
      </c>
      <c r="U3645" s="284"/>
    </row>
    <row r="3646" spans="2:21" x14ac:dyDescent="0.25">
      <c r="B3646" s="292">
        <v>60</v>
      </c>
      <c r="C3646" s="292"/>
      <c r="D3646" s="292"/>
      <c r="F3646" s="283" t="s">
        <v>365</v>
      </c>
      <c r="G3646" s="283"/>
      <c r="J3646" s="293">
        <v>1</v>
      </c>
      <c r="K3646" s="293"/>
      <c r="L3646" s="293"/>
      <c r="M3646" s="293"/>
      <c r="N3646" s="293"/>
      <c r="P3646" s="42">
        <v>-5000</v>
      </c>
      <c r="R3646" s="42">
        <v>-4250</v>
      </c>
      <c r="T3646" s="284">
        <v>-750</v>
      </c>
      <c r="U3646" s="284"/>
    </row>
    <row r="3647" spans="2:21" x14ac:dyDescent="0.25">
      <c r="B3647" s="292">
        <v>61</v>
      </c>
      <c r="C3647" s="292"/>
      <c r="D3647" s="292"/>
      <c r="F3647" s="283" t="s">
        <v>180</v>
      </c>
      <c r="G3647" s="283"/>
      <c r="J3647" s="293">
        <v>1</v>
      </c>
      <c r="K3647" s="293"/>
      <c r="L3647" s="293"/>
      <c r="M3647" s="293"/>
      <c r="N3647" s="293"/>
      <c r="P3647" s="42">
        <v>590</v>
      </c>
      <c r="R3647" s="42">
        <v>180</v>
      </c>
      <c r="T3647" s="284">
        <v>410</v>
      </c>
      <c r="U3647" s="284"/>
    </row>
    <row r="3648" spans="2:21" x14ac:dyDescent="0.25">
      <c r="B3648" s="292">
        <v>62</v>
      </c>
      <c r="C3648" s="292"/>
      <c r="D3648" s="292"/>
      <c r="F3648" s="283" t="s">
        <v>364</v>
      </c>
      <c r="G3648" s="283"/>
      <c r="J3648" s="293">
        <v>1</v>
      </c>
      <c r="K3648" s="293"/>
      <c r="L3648" s="293"/>
      <c r="M3648" s="293"/>
      <c r="N3648" s="293"/>
      <c r="P3648" s="42">
        <v>500</v>
      </c>
      <c r="R3648" s="42">
        <v>150</v>
      </c>
      <c r="T3648" s="284">
        <v>350</v>
      </c>
      <c r="U3648" s="284"/>
    </row>
    <row r="3649" spans="2:21" x14ac:dyDescent="0.25">
      <c r="B3649" s="292">
        <v>63</v>
      </c>
      <c r="C3649" s="292"/>
      <c r="D3649" s="292"/>
      <c r="F3649" s="283" t="s">
        <v>105</v>
      </c>
      <c r="G3649" s="283"/>
      <c r="J3649" s="293">
        <v>2</v>
      </c>
      <c r="K3649" s="293"/>
      <c r="L3649" s="293"/>
      <c r="M3649" s="293"/>
      <c r="N3649" s="293"/>
      <c r="P3649" s="42">
        <v>2300</v>
      </c>
      <c r="R3649" s="42">
        <v>0</v>
      </c>
      <c r="T3649" s="284">
        <v>2300</v>
      </c>
      <c r="U3649" s="284"/>
    </row>
    <row r="3650" spans="2:21" x14ac:dyDescent="0.25">
      <c r="B3650" s="292">
        <v>64</v>
      </c>
      <c r="C3650" s="292"/>
      <c r="D3650" s="292"/>
      <c r="F3650" s="283" t="s">
        <v>103</v>
      </c>
      <c r="G3650" s="283"/>
      <c r="J3650" s="293">
        <v>177</v>
      </c>
      <c r="K3650" s="293"/>
      <c r="L3650" s="293"/>
      <c r="M3650" s="293"/>
      <c r="N3650" s="293"/>
      <c r="P3650" s="42">
        <v>58410</v>
      </c>
      <c r="R3650" s="42">
        <v>20320</v>
      </c>
      <c r="T3650" s="284">
        <v>38090</v>
      </c>
      <c r="U3650" s="284"/>
    </row>
    <row r="3651" spans="2:21" x14ac:dyDescent="0.25">
      <c r="B3651" s="292">
        <v>65</v>
      </c>
      <c r="C3651" s="292"/>
      <c r="D3651" s="292"/>
      <c r="F3651" s="283" t="s">
        <v>213</v>
      </c>
      <c r="G3651" s="283"/>
      <c r="J3651" s="293">
        <v>1</v>
      </c>
      <c r="K3651" s="293"/>
      <c r="L3651" s="293"/>
      <c r="M3651" s="293"/>
      <c r="N3651" s="293"/>
      <c r="P3651" s="42">
        <v>700</v>
      </c>
      <c r="R3651" s="42">
        <v>350</v>
      </c>
      <c r="T3651" s="284">
        <v>350</v>
      </c>
      <c r="U3651" s="284"/>
    </row>
    <row r="3652" spans="2:21" x14ac:dyDescent="0.25">
      <c r="B3652" s="292">
        <v>66</v>
      </c>
      <c r="C3652" s="292"/>
      <c r="D3652" s="292"/>
      <c r="F3652" s="283" t="s">
        <v>211</v>
      </c>
      <c r="G3652" s="283"/>
      <c r="J3652" s="293">
        <v>2</v>
      </c>
      <c r="K3652" s="293"/>
      <c r="L3652" s="293"/>
      <c r="M3652" s="293"/>
      <c r="N3652" s="293"/>
      <c r="P3652" s="42">
        <v>1000</v>
      </c>
      <c r="R3652" s="42">
        <v>300</v>
      </c>
      <c r="T3652" s="284">
        <v>700</v>
      </c>
      <c r="U3652" s="284"/>
    </row>
    <row r="3653" spans="2:21" x14ac:dyDescent="0.25">
      <c r="B3653" s="292">
        <v>67</v>
      </c>
      <c r="C3653" s="292"/>
      <c r="D3653" s="292"/>
      <c r="F3653" s="283" t="s">
        <v>275</v>
      </c>
      <c r="G3653" s="283"/>
      <c r="J3653" s="293">
        <v>1</v>
      </c>
      <c r="K3653" s="293"/>
      <c r="L3653" s="293"/>
      <c r="M3653" s="293"/>
      <c r="N3653" s="293"/>
      <c r="P3653" s="42">
        <v>700</v>
      </c>
      <c r="R3653" s="42">
        <v>350</v>
      </c>
      <c r="T3653" s="284">
        <v>350</v>
      </c>
      <c r="U3653" s="284"/>
    </row>
    <row r="3654" spans="2:21" x14ac:dyDescent="0.25">
      <c r="B3654" s="292">
        <v>68</v>
      </c>
      <c r="C3654" s="292"/>
      <c r="D3654" s="292"/>
      <c r="F3654" s="283" t="s">
        <v>307</v>
      </c>
      <c r="G3654" s="283"/>
      <c r="J3654" s="293">
        <v>1</v>
      </c>
      <c r="K3654" s="293"/>
      <c r="L3654" s="293"/>
      <c r="M3654" s="293"/>
      <c r="N3654" s="293"/>
      <c r="P3654" s="42">
        <v>700</v>
      </c>
      <c r="R3654" s="42">
        <v>350</v>
      </c>
      <c r="T3654" s="284">
        <v>350</v>
      </c>
      <c r="U3654" s="284"/>
    </row>
    <row r="3655" spans="2:21" x14ac:dyDescent="0.25">
      <c r="B3655" s="292">
        <v>69</v>
      </c>
      <c r="C3655" s="292"/>
      <c r="D3655" s="292"/>
      <c r="F3655" s="283" t="s">
        <v>102</v>
      </c>
      <c r="G3655" s="283"/>
      <c r="J3655" s="293">
        <v>4</v>
      </c>
      <c r="K3655" s="293"/>
      <c r="L3655" s="293"/>
      <c r="M3655" s="293"/>
      <c r="N3655" s="293"/>
      <c r="P3655" s="42">
        <v>3520</v>
      </c>
      <c r="R3655" s="42">
        <v>520</v>
      </c>
      <c r="T3655" s="284">
        <v>3000</v>
      </c>
      <c r="U3655" s="284"/>
    </row>
    <row r="3656" spans="2:21" x14ac:dyDescent="0.25">
      <c r="B3656" s="292">
        <v>70</v>
      </c>
      <c r="C3656" s="292"/>
      <c r="D3656" s="292"/>
      <c r="F3656" s="283" t="s">
        <v>254</v>
      </c>
      <c r="G3656" s="283"/>
      <c r="J3656" s="293">
        <v>2</v>
      </c>
      <c r="K3656" s="293"/>
      <c r="L3656" s="293"/>
      <c r="M3656" s="293"/>
      <c r="N3656" s="293"/>
      <c r="P3656" s="42">
        <v>580</v>
      </c>
      <c r="R3656" s="42">
        <v>160</v>
      </c>
      <c r="T3656" s="284">
        <v>420</v>
      </c>
      <c r="U3656" s="284"/>
    </row>
    <row r="3657" spans="2:21" x14ac:dyDescent="0.25">
      <c r="B3657" s="292">
        <v>71</v>
      </c>
      <c r="C3657" s="292"/>
      <c r="D3657" s="292"/>
      <c r="F3657" s="283" t="s">
        <v>100</v>
      </c>
      <c r="G3657" s="283"/>
      <c r="J3657" s="293">
        <v>4</v>
      </c>
      <c r="K3657" s="293"/>
      <c r="L3657" s="293"/>
      <c r="M3657" s="293"/>
      <c r="N3657" s="293"/>
      <c r="P3657" s="42">
        <v>720</v>
      </c>
      <c r="R3657" s="42">
        <v>127</v>
      </c>
      <c r="T3657" s="284">
        <v>593</v>
      </c>
      <c r="U3657" s="284"/>
    </row>
    <row r="3658" spans="2:21" x14ac:dyDescent="0.25">
      <c r="B3658" s="292">
        <v>72</v>
      </c>
      <c r="C3658" s="292"/>
      <c r="D3658" s="292"/>
      <c r="F3658" s="283" t="s">
        <v>178</v>
      </c>
      <c r="G3658" s="283"/>
      <c r="J3658" s="293">
        <v>1</v>
      </c>
      <c r="K3658" s="293"/>
      <c r="L3658" s="293"/>
      <c r="M3658" s="293"/>
      <c r="N3658" s="293"/>
      <c r="P3658" s="42">
        <v>1650</v>
      </c>
      <c r="R3658" s="42">
        <v>0</v>
      </c>
      <c r="T3658" s="284">
        <v>1650</v>
      </c>
      <c r="U3658" s="284"/>
    </row>
    <row r="3659" spans="2:21" x14ac:dyDescent="0.25">
      <c r="B3659" s="292">
        <v>73</v>
      </c>
      <c r="C3659" s="292"/>
      <c r="D3659" s="292"/>
      <c r="F3659" s="283" t="s">
        <v>97</v>
      </c>
      <c r="G3659" s="283"/>
      <c r="J3659" s="293">
        <v>1</v>
      </c>
      <c r="K3659" s="293"/>
      <c r="L3659" s="293"/>
      <c r="M3659" s="293"/>
      <c r="N3659" s="293"/>
      <c r="P3659" s="42">
        <v>1590</v>
      </c>
      <c r="R3659" s="42">
        <v>240</v>
      </c>
      <c r="T3659" s="284">
        <v>1350</v>
      </c>
      <c r="U3659" s="284"/>
    </row>
    <row r="3660" spans="2:21" x14ac:dyDescent="0.25">
      <c r="B3660" s="292">
        <v>74</v>
      </c>
      <c r="C3660" s="292"/>
      <c r="D3660" s="292"/>
      <c r="F3660" s="283" t="s">
        <v>96</v>
      </c>
      <c r="G3660" s="283"/>
      <c r="J3660" s="293">
        <v>2</v>
      </c>
      <c r="K3660" s="293"/>
      <c r="L3660" s="293"/>
      <c r="M3660" s="293"/>
      <c r="N3660" s="293"/>
      <c r="P3660" s="42">
        <v>880</v>
      </c>
      <c r="R3660" s="42">
        <v>260</v>
      </c>
      <c r="T3660" s="284">
        <v>620</v>
      </c>
      <c r="U3660" s="284"/>
    </row>
    <row r="3661" spans="2:21" x14ac:dyDescent="0.25">
      <c r="B3661" s="292">
        <v>75</v>
      </c>
      <c r="C3661" s="292"/>
      <c r="D3661" s="292"/>
      <c r="F3661" s="283" t="s">
        <v>324</v>
      </c>
      <c r="G3661" s="283"/>
      <c r="J3661" s="293">
        <v>1</v>
      </c>
      <c r="K3661" s="293"/>
      <c r="L3661" s="293"/>
      <c r="M3661" s="293"/>
      <c r="N3661" s="293"/>
      <c r="P3661" s="42">
        <v>350</v>
      </c>
      <c r="R3661" s="42">
        <v>160</v>
      </c>
      <c r="T3661" s="284">
        <v>190</v>
      </c>
      <c r="U3661" s="284"/>
    </row>
    <row r="3662" spans="2:21" x14ac:dyDescent="0.25">
      <c r="B3662" s="292">
        <v>76</v>
      </c>
      <c r="C3662" s="292"/>
      <c r="D3662" s="292"/>
      <c r="F3662" s="283" t="s">
        <v>93</v>
      </c>
      <c r="G3662" s="283"/>
      <c r="J3662" s="293">
        <v>1</v>
      </c>
      <c r="K3662" s="293"/>
      <c r="L3662" s="293"/>
      <c r="M3662" s="293"/>
      <c r="N3662" s="293"/>
      <c r="P3662" s="42">
        <v>590</v>
      </c>
      <c r="R3662" s="42">
        <v>90</v>
      </c>
      <c r="T3662" s="284">
        <v>500</v>
      </c>
      <c r="U3662" s="284"/>
    </row>
    <row r="3663" spans="2:21" x14ac:dyDescent="0.25">
      <c r="B3663" s="292">
        <v>77</v>
      </c>
      <c r="C3663" s="292"/>
      <c r="D3663" s="292"/>
      <c r="F3663" s="283" t="s">
        <v>92</v>
      </c>
      <c r="G3663" s="283"/>
      <c r="J3663" s="293">
        <v>17</v>
      </c>
      <c r="K3663" s="293"/>
      <c r="L3663" s="293"/>
      <c r="M3663" s="293"/>
      <c r="N3663" s="293"/>
      <c r="P3663" s="42">
        <v>14280</v>
      </c>
      <c r="R3663" s="42">
        <v>4240</v>
      </c>
      <c r="T3663" s="284">
        <v>10040</v>
      </c>
      <c r="U3663" s="284"/>
    </row>
    <row r="3664" spans="2:21" x14ac:dyDescent="0.25">
      <c r="B3664" s="292">
        <v>78</v>
      </c>
      <c r="C3664" s="292"/>
      <c r="D3664" s="292"/>
      <c r="F3664" s="283" t="s">
        <v>175</v>
      </c>
      <c r="G3664" s="283"/>
      <c r="J3664" s="293">
        <v>1</v>
      </c>
      <c r="K3664" s="293"/>
      <c r="L3664" s="293"/>
      <c r="M3664" s="293"/>
      <c r="N3664" s="293"/>
      <c r="P3664" s="42">
        <v>600</v>
      </c>
      <c r="R3664" s="42">
        <v>180</v>
      </c>
      <c r="T3664" s="284">
        <v>420</v>
      </c>
      <c r="U3664" s="284"/>
    </row>
    <row r="3665" spans="1:21" x14ac:dyDescent="0.25">
      <c r="B3665" s="292">
        <v>79</v>
      </c>
      <c r="C3665" s="292"/>
      <c r="D3665" s="292"/>
      <c r="F3665" s="283" t="s">
        <v>173</v>
      </c>
      <c r="G3665" s="283"/>
      <c r="J3665" s="293">
        <v>6</v>
      </c>
      <c r="K3665" s="293"/>
      <c r="L3665" s="293"/>
      <c r="M3665" s="293"/>
      <c r="N3665" s="293"/>
      <c r="P3665" s="42">
        <v>6000</v>
      </c>
      <c r="R3665" s="42">
        <v>1800</v>
      </c>
      <c r="T3665" s="284">
        <v>4200</v>
      </c>
      <c r="U3665" s="284"/>
    </row>
    <row r="3666" spans="1:21" x14ac:dyDescent="0.25">
      <c r="B3666" s="292">
        <v>80</v>
      </c>
      <c r="C3666" s="292"/>
      <c r="D3666" s="292"/>
      <c r="F3666" s="283" t="s">
        <v>296</v>
      </c>
      <c r="G3666" s="283"/>
      <c r="J3666" s="293">
        <v>1</v>
      </c>
      <c r="K3666" s="293"/>
      <c r="L3666" s="293"/>
      <c r="M3666" s="293"/>
      <c r="N3666" s="293"/>
      <c r="P3666" s="42">
        <v>1200</v>
      </c>
      <c r="R3666" s="42">
        <v>360</v>
      </c>
      <c r="T3666" s="284">
        <v>840</v>
      </c>
      <c r="U3666" s="284"/>
    </row>
    <row r="3667" spans="1:21" x14ac:dyDescent="0.25">
      <c r="B3667" s="292">
        <v>81</v>
      </c>
      <c r="C3667" s="292"/>
      <c r="D3667" s="292"/>
      <c r="F3667" s="283" t="s">
        <v>91</v>
      </c>
      <c r="G3667" s="283"/>
      <c r="J3667" s="293">
        <v>34</v>
      </c>
      <c r="K3667" s="293"/>
      <c r="L3667" s="293"/>
      <c r="M3667" s="293"/>
      <c r="N3667" s="293"/>
      <c r="P3667" s="42">
        <v>8500</v>
      </c>
      <c r="R3667" s="42">
        <v>2278</v>
      </c>
      <c r="T3667" s="284">
        <v>6222</v>
      </c>
      <c r="U3667" s="284"/>
    </row>
    <row r="3668" spans="1:21" x14ac:dyDescent="0.25">
      <c r="B3668" s="292">
        <v>82</v>
      </c>
      <c r="C3668" s="292"/>
      <c r="D3668" s="292"/>
      <c r="F3668" s="283" t="s">
        <v>90</v>
      </c>
      <c r="G3668" s="283"/>
      <c r="J3668" s="293">
        <v>10</v>
      </c>
      <c r="K3668" s="293"/>
      <c r="L3668" s="293"/>
      <c r="M3668" s="293"/>
      <c r="N3668" s="293"/>
      <c r="P3668" s="42">
        <v>2900</v>
      </c>
      <c r="R3668" s="42">
        <v>800</v>
      </c>
      <c r="T3668" s="284">
        <v>2100</v>
      </c>
      <c r="U3668" s="284"/>
    </row>
    <row r="3669" spans="1:21" x14ac:dyDescent="0.25">
      <c r="B3669" s="292">
        <v>83</v>
      </c>
      <c r="C3669" s="292"/>
      <c r="D3669" s="292"/>
      <c r="F3669" s="283" t="s">
        <v>89</v>
      </c>
      <c r="G3669" s="283"/>
      <c r="J3669" s="293">
        <v>1</v>
      </c>
      <c r="K3669" s="293"/>
      <c r="L3669" s="293"/>
      <c r="M3669" s="293"/>
      <c r="N3669" s="293"/>
      <c r="P3669" s="42">
        <v>880</v>
      </c>
      <c r="R3669" s="42">
        <v>130</v>
      </c>
      <c r="T3669" s="284">
        <v>750</v>
      </c>
      <c r="U3669" s="284"/>
    </row>
    <row r="3670" spans="1:21" x14ac:dyDescent="0.25">
      <c r="B3670" s="292">
        <v>84</v>
      </c>
      <c r="C3670" s="292"/>
      <c r="D3670" s="292"/>
      <c r="F3670" s="283" t="s">
        <v>88</v>
      </c>
      <c r="G3670" s="283"/>
      <c r="J3670" s="293">
        <v>74</v>
      </c>
      <c r="K3670" s="293"/>
      <c r="L3670" s="293"/>
      <c r="M3670" s="293"/>
      <c r="N3670" s="293"/>
      <c r="P3670" s="42">
        <v>13320</v>
      </c>
      <c r="R3670" s="42">
        <v>3995</v>
      </c>
      <c r="T3670" s="284">
        <v>9325</v>
      </c>
      <c r="U3670" s="284"/>
    </row>
    <row r="3671" spans="1:21" x14ac:dyDescent="0.25">
      <c r="B3671" s="292">
        <v>85</v>
      </c>
      <c r="C3671" s="292"/>
      <c r="D3671" s="292"/>
      <c r="F3671" s="283" t="s">
        <v>86</v>
      </c>
      <c r="G3671" s="283"/>
      <c r="J3671" s="293">
        <v>1</v>
      </c>
      <c r="K3671" s="293"/>
      <c r="L3671" s="293"/>
      <c r="M3671" s="293"/>
      <c r="N3671" s="293"/>
      <c r="P3671" s="42">
        <v>1140</v>
      </c>
      <c r="R3671" s="42">
        <v>170</v>
      </c>
      <c r="T3671" s="284">
        <v>970</v>
      </c>
      <c r="U3671" s="284"/>
    </row>
    <row r="3672" spans="1:21" x14ac:dyDescent="0.25">
      <c r="B3672" s="292">
        <v>86</v>
      </c>
      <c r="C3672" s="292"/>
      <c r="D3672" s="292"/>
      <c r="F3672" s="283" t="s">
        <v>85</v>
      </c>
      <c r="G3672" s="283"/>
      <c r="J3672" s="293">
        <v>6</v>
      </c>
      <c r="K3672" s="293"/>
      <c r="L3672" s="293"/>
      <c r="M3672" s="293"/>
      <c r="N3672" s="293"/>
      <c r="P3672" s="42">
        <v>12480</v>
      </c>
      <c r="R3672" s="42">
        <v>1860</v>
      </c>
      <c r="T3672" s="284">
        <v>10620</v>
      </c>
      <c r="U3672" s="284"/>
    </row>
    <row r="3673" spans="1:21" x14ac:dyDescent="0.25">
      <c r="B3673" s="292">
        <v>87</v>
      </c>
      <c r="C3673" s="292"/>
      <c r="D3673" s="292"/>
      <c r="F3673" s="283" t="s">
        <v>84</v>
      </c>
      <c r="G3673" s="283"/>
      <c r="J3673" s="293">
        <v>22</v>
      </c>
      <c r="K3673" s="293"/>
      <c r="L3673" s="293"/>
      <c r="M3673" s="293"/>
      <c r="N3673" s="293"/>
      <c r="P3673" s="42">
        <v>12980</v>
      </c>
      <c r="R3673" s="42">
        <v>3420</v>
      </c>
      <c r="T3673" s="284">
        <v>9560</v>
      </c>
      <c r="U3673" s="284"/>
    </row>
    <row r="3674" spans="1:21" x14ac:dyDescent="0.25">
      <c r="B3674" s="292">
        <v>88</v>
      </c>
      <c r="C3674" s="292"/>
      <c r="D3674" s="292"/>
      <c r="F3674" s="283" t="s">
        <v>273</v>
      </c>
      <c r="G3674" s="283"/>
      <c r="J3674" s="293">
        <v>1</v>
      </c>
      <c r="K3674" s="293"/>
      <c r="L3674" s="293"/>
      <c r="M3674" s="293"/>
      <c r="N3674" s="293"/>
      <c r="P3674" s="42">
        <v>500</v>
      </c>
      <c r="R3674" s="42">
        <v>150</v>
      </c>
      <c r="T3674" s="284">
        <v>350</v>
      </c>
      <c r="U3674" s="284"/>
    </row>
    <row r="3675" spans="1:21" x14ac:dyDescent="0.25">
      <c r="B3675" s="292">
        <v>89</v>
      </c>
      <c r="C3675" s="292"/>
      <c r="D3675" s="292"/>
      <c r="F3675" s="283" t="s">
        <v>205</v>
      </c>
      <c r="G3675" s="283"/>
      <c r="J3675" s="293">
        <v>1</v>
      </c>
      <c r="K3675" s="293"/>
      <c r="L3675" s="293"/>
      <c r="M3675" s="293"/>
      <c r="N3675" s="293"/>
      <c r="P3675" s="42">
        <v>500</v>
      </c>
      <c r="R3675" s="42">
        <v>150</v>
      </c>
      <c r="T3675" s="284">
        <v>350</v>
      </c>
      <c r="U3675" s="284"/>
    </row>
    <row r="3676" spans="1:21" x14ac:dyDescent="0.25">
      <c r="B3676" s="292">
        <v>90</v>
      </c>
      <c r="C3676" s="292"/>
      <c r="D3676" s="292"/>
      <c r="F3676" s="283" t="s">
        <v>83</v>
      </c>
      <c r="G3676" s="283"/>
      <c r="J3676" s="293">
        <v>4</v>
      </c>
      <c r="K3676" s="293"/>
      <c r="L3676" s="293"/>
      <c r="M3676" s="293"/>
      <c r="N3676" s="293"/>
      <c r="P3676" s="42">
        <v>2000</v>
      </c>
      <c r="R3676" s="42">
        <v>600</v>
      </c>
      <c r="T3676" s="284">
        <v>1400</v>
      </c>
      <c r="U3676" s="284"/>
    </row>
    <row r="3677" spans="1:21" x14ac:dyDescent="0.25">
      <c r="B3677" s="292">
        <v>91</v>
      </c>
      <c r="C3677" s="292"/>
      <c r="D3677" s="292"/>
      <c r="F3677" s="283" t="s">
        <v>363</v>
      </c>
      <c r="G3677" s="283"/>
      <c r="J3677" s="293">
        <v>1</v>
      </c>
      <c r="K3677" s="293"/>
      <c r="L3677" s="293"/>
      <c r="M3677" s="293"/>
      <c r="N3677" s="293"/>
      <c r="P3677" s="42">
        <v>500</v>
      </c>
      <c r="R3677" s="42">
        <v>150</v>
      </c>
      <c r="T3677" s="284">
        <v>350</v>
      </c>
      <c r="U3677" s="284"/>
    </row>
    <row r="3678" spans="1:21" x14ac:dyDescent="0.25">
      <c r="B3678" s="292">
        <v>92</v>
      </c>
      <c r="C3678" s="292"/>
      <c r="D3678" s="292"/>
      <c r="F3678" s="283" t="s">
        <v>81</v>
      </c>
      <c r="G3678" s="283"/>
      <c r="J3678" s="293">
        <v>17</v>
      </c>
      <c r="K3678" s="293"/>
      <c r="L3678" s="293"/>
      <c r="M3678" s="293"/>
      <c r="N3678" s="293"/>
      <c r="P3678" s="42">
        <v>4930</v>
      </c>
      <c r="R3678" s="42">
        <v>1990</v>
      </c>
      <c r="T3678" s="284">
        <v>2940</v>
      </c>
      <c r="U3678" s="284"/>
    </row>
    <row r="3679" spans="1:21" s="40" customFormat="1" x14ac:dyDescent="0.25">
      <c r="A3679" s="290" t="s">
        <v>362</v>
      </c>
      <c r="B3679" s="290"/>
      <c r="C3679" s="290"/>
      <c r="D3679" s="290"/>
      <c r="E3679" s="290"/>
      <c r="F3679" s="290"/>
      <c r="G3679" s="290"/>
      <c r="H3679" s="290"/>
      <c r="I3679" s="290"/>
      <c r="J3679" s="290"/>
      <c r="K3679" s="291">
        <v>8533</v>
      </c>
      <c r="L3679" s="291"/>
      <c r="M3679" s="291"/>
      <c r="N3679" s="291"/>
      <c r="O3679" s="291"/>
      <c r="P3679" s="41">
        <v>7597820</v>
      </c>
      <c r="R3679" s="41">
        <v>6414913</v>
      </c>
      <c r="T3679" s="287">
        <v>1182907</v>
      </c>
      <c r="U3679" s="287"/>
    </row>
    <row r="3680" spans="1:21" x14ac:dyDescent="0.25">
      <c r="B3680" s="292">
        <v>1</v>
      </c>
      <c r="C3680" s="292"/>
      <c r="D3680" s="292"/>
      <c r="F3680" s="283" t="s">
        <v>200</v>
      </c>
      <c r="G3680" s="283"/>
      <c r="J3680" s="293">
        <v>3</v>
      </c>
      <c r="K3680" s="293"/>
      <c r="L3680" s="293"/>
      <c r="M3680" s="293"/>
      <c r="N3680" s="293"/>
      <c r="P3680" s="42">
        <v>1500</v>
      </c>
      <c r="R3680" s="42">
        <v>450</v>
      </c>
      <c r="T3680" s="284">
        <v>1050</v>
      </c>
      <c r="U3680" s="284"/>
    </row>
    <row r="3681" spans="2:21" x14ac:dyDescent="0.25">
      <c r="B3681" s="292">
        <v>2</v>
      </c>
      <c r="C3681" s="292"/>
      <c r="D3681" s="292"/>
      <c r="F3681" s="283" t="s">
        <v>251</v>
      </c>
      <c r="G3681" s="283"/>
      <c r="J3681" s="293">
        <v>1</v>
      </c>
      <c r="K3681" s="293"/>
      <c r="L3681" s="293"/>
      <c r="M3681" s="293"/>
      <c r="N3681" s="293"/>
      <c r="P3681" s="42">
        <v>800</v>
      </c>
      <c r="R3681" s="42">
        <v>200</v>
      </c>
      <c r="T3681" s="284">
        <v>600</v>
      </c>
      <c r="U3681" s="284"/>
    </row>
    <row r="3682" spans="2:21" x14ac:dyDescent="0.25">
      <c r="B3682" s="292">
        <v>3</v>
      </c>
      <c r="C3682" s="292"/>
      <c r="D3682" s="292"/>
      <c r="F3682" s="283" t="s">
        <v>250</v>
      </c>
      <c r="G3682" s="283"/>
      <c r="J3682" s="293">
        <v>6</v>
      </c>
      <c r="K3682" s="293"/>
      <c r="L3682" s="293"/>
      <c r="M3682" s="293"/>
      <c r="N3682" s="293"/>
      <c r="P3682" s="42">
        <v>3000</v>
      </c>
      <c r="R3682" s="42">
        <v>750</v>
      </c>
      <c r="T3682" s="284">
        <v>2250</v>
      </c>
      <c r="U3682" s="284"/>
    </row>
    <row r="3683" spans="2:21" x14ac:dyDescent="0.25">
      <c r="B3683" s="292">
        <v>4</v>
      </c>
      <c r="C3683" s="292"/>
      <c r="D3683" s="292"/>
      <c r="F3683" s="283" t="s">
        <v>78</v>
      </c>
      <c r="G3683" s="283"/>
      <c r="J3683" s="293">
        <v>317</v>
      </c>
      <c r="K3683" s="293"/>
      <c r="L3683" s="293"/>
      <c r="M3683" s="293"/>
      <c r="N3683" s="293"/>
      <c r="P3683" s="42">
        <v>91930</v>
      </c>
      <c r="R3683" s="42">
        <v>91930</v>
      </c>
      <c r="T3683" s="284">
        <v>0</v>
      </c>
      <c r="U3683" s="284"/>
    </row>
    <row r="3684" spans="2:21" x14ac:dyDescent="0.25">
      <c r="B3684" s="292">
        <v>5</v>
      </c>
      <c r="C3684" s="292"/>
      <c r="D3684" s="292"/>
      <c r="F3684" s="283" t="s">
        <v>268</v>
      </c>
      <c r="G3684" s="283"/>
      <c r="J3684" s="293">
        <v>1</v>
      </c>
      <c r="K3684" s="293"/>
      <c r="L3684" s="293"/>
      <c r="M3684" s="293"/>
      <c r="N3684" s="293"/>
      <c r="P3684" s="42">
        <v>250</v>
      </c>
      <c r="R3684" s="42">
        <v>70</v>
      </c>
      <c r="T3684" s="284">
        <v>180</v>
      </c>
      <c r="U3684" s="284"/>
    </row>
    <row r="3685" spans="2:21" x14ac:dyDescent="0.25">
      <c r="B3685" s="292">
        <v>6</v>
      </c>
      <c r="C3685" s="292"/>
      <c r="D3685" s="292"/>
      <c r="F3685" s="283" t="s">
        <v>199</v>
      </c>
      <c r="G3685" s="283"/>
      <c r="J3685" s="293">
        <v>1</v>
      </c>
      <c r="K3685" s="293"/>
      <c r="L3685" s="293"/>
      <c r="M3685" s="293"/>
      <c r="N3685" s="293"/>
      <c r="P3685" s="42">
        <v>290</v>
      </c>
      <c r="R3685" s="42">
        <v>100</v>
      </c>
      <c r="T3685" s="284">
        <v>190</v>
      </c>
      <c r="U3685" s="284"/>
    </row>
    <row r="3686" spans="2:21" x14ac:dyDescent="0.25">
      <c r="B3686" s="292">
        <v>7</v>
      </c>
      <c r="C3686" s="292"/>
      <c r="D3686" s="292"/>
      <c r="F3686" s="283" t="s">
        <v>164</v>
      </c>
      <c r="G3686" s="283"/>
      <c r="J3686" s="293">
        <v>4</v>
      </c>
      <c r="K3686" s="293"/>
      <c r="L3686" s="293"/>
      <c r="M3686" s="293"/>
      <c r="N3686" s="293"/>
      <c r="P3686" s="42">
        <v>2360</v>
      </c>
      <c r="R3686" s="42">
        <v>628</v>
      </c>
      <c r="T3686" s="284">
        <v>1732</v>
      </c>
      <c r="U3686" s="284"/>
    </row>
    <row r="3687" spans="2:21" x14ac:dyDescent="0.25">
      <c r="B3687" s="292">
        <v>8</v>
      </c>
      <c r="C3687" s="292"/>
      <c r="D3687" s="292"/>
      <c r="F3687" s="283" t="s">
        <v>163</v>
      </c>
      <c r="G3687" s="283"/>
      <c r="J3687" s="293">
        <v>3</v>
      </c>
      <c r="K3687" s="293"/>
      <c r="L3687" s="293"/>
      <c r="M3687" s="293"/>
      <c r="N3687" s="293"/>
      <c r="P3687" s="42">
        <v>3570</v>
      </c>
      <c r="R3687" s="42">
        <v>540</v>
      </c>
      <c r="T3687" s="284">
        <v>3030</v>
      </c>
      <c r="U3687" s="284"/>
    </row>
    <row r="3688" spans="2:21" x14ac:dyDescent="0.25">
      <c r="B3688" s="292">
        <v>9</v>
      </c>
      <c r="C3688" s="292"/>
      <c r="D3688" s="292"/>
      <c r="F3688" s="283" t="s">
        <v>162</v>
      </c>
      <c r="G3688" s="283"/>
      <c r="J3688" s="293">
        <v>6</v>
      </c>
      <c r="K3688" s="293"/>
      <c r="L3688" s="293"/>
      <c r="M3688" s="293"/>
      <c r="N3688" s="293"/>
      <c r="P3688" s="42">
        <v>2580</v>
      </c>
      <c r="R3688" s="42">
        <v>1230</v>
      </c>
      <c r="T3688" s="284">
        <v>1350</v>
      </c>
      <c r="U3688" s="284"/>
    </row>
    <row r="3689" spans="2:21" x14ac:dyDescent="0.25">
      <c r="B3689" s="292">
        <v>10</v>
      </c>
      <c r="C3689" s="292"/>
      <c r="D3689" s="292"/>
      <c r="F3689" s="283" t="s">
        <v>198</v>
      </c>
      <c r="G3689" s="283"/>
      <c r="J3689" s="293">
        <v>4</v>
      </c>
      <c r="K3689" s="293"/>
      <c r="L3689" s="293"/>
      <c r="M3689" s="293"/>
      <c r="N3689" s="293"/>
      <c r="P3689" s="42">
        <v>1160</v>
      </c>
      <c r="R3689" s="42">
        <v>320</v>
      </c>
      <c r="T3689" s="284">
        <v>840</v>
      </c>
      <c r="U3689" s="284"/>
    </row>
    <row r="3690" spans="2:21" x14ac:dyDescent="0.25">
      <c r="B3690" s="292">
        <v>11</v>
      </c>
      <c r="C3690" s="292"/>
      <c r="D3690" s="292"/>
      <c r="F3690" s="283" t="s">
        <v>160</v>
      </c>
      <c r="G3690" s="283"/>
      <c r="J3690" s="293">
        <v>24</v>
      </c>
      <c r="K3690" s="293"/>
      <c r="L3690" s="293"/>
      <c r="M3690" s="293"/>
      <c r="N3690" s="293"/>
      <c r="P3690" s="42">
        <v>6960</v>
      </c>
      <c r="R3690" s="42">
        <v>1860</v>
      </c>
      <c r="T3690" s="284">
        <v>5100</v>
      </c>
      <c r="U3690" s="284"/>
    </row>
    <row r="3691" spans="2:21" x14ac:dyDescent="0.25">
      <c r="B3691" s="292">
        <v>12</v>
      </c>
      <c r="C3691" s="292"/>
      <c r="D3691" s="292"/>
      <c r="F3691" s="283" t="s">
        <v>159</v>
      </c>
      <c r="G3691" s="283"/>
      <c r="J3691" s="293">
        <v>267</v>
      </c>
      <c r="K3691" s="293"/>
      <c r="L3691" s="293"/>
      <c r="M3691" s="293"/>
      <c r="N3691" s="293"/>
      <c r="P3691" s="42">
        <v>0</v>
      </c>
      <c r="R3691" s="42">
        <v>0</v>
      </c>
      <c r="T3691" s="284">
        <v>0</v>
      </c>
      <c r="U3691" s="284"/>
    </row>
    <row r="3692" spans="2:21" x14ac:dyDescent="0.25">
      <c r="B3692" s="292">
        <v>13</v>
      </c>
      <c r="C3692" s="292"/>
      <c r="D3692" s="292"/>
      <c r="F3692" s="283" t="s">
        <v>158</v>
      </c>
      <c r="G3692" s="283"/>
      <c r="J3692" s="293">
        <v>533</v>
      </c>
      <c r="K3692" s="293"/>
      <c r="L3692" s="293"/>
      <c r="M3692" s="293"/>
      <c r="N3692" s="293"/>
      <c r="P3692" s="42">
        <v>293150</v>
      </c>
      <c r="R3692" s="42">
        <v>89821</v>
      </c>
      <c r="T3692" s="284">
        <v>203329</v>
      </c>
      <c r="U3692" s="284"/>
    </row>
    <row r="3693" spans="2:21" x14ac:dyDescent="0.25">
      <c r="B3693" s="292">
        <v>14</v>
      </c>
      <c r="C3693" s="292"/>
      <c r="D3693" s="292"/>
      <c r="F3693" s="283" t="s">
        <v>157</v>
      </c>
      <c r="G3693" s="283"/>
      <c r="J3693" s="293">
        <v>908</v>
      </c>
      <c r="K3693" s="293"/>
      <c r="L3693" s="293"/>
      <c r="M3693" s="293"/>
      <c r="N3693" s="293"/>
      <c r="P3693" s="42">
        <v>444920</v>
      </c>
      <c r="R3693" s="42">
        <v>195155</v>
      </c>
      <c r="T3693" s="284">
        <v>249765</v>
      </c>
      <c r="U3693" s="284"/>
    </row>
    <row r="3694" spans="2:21" x14ac:dyDescent="0.25">
      <c r="B3694" s="292">
        <v>15</v>
      </c>
      <c r="C3694" s="292"/>
      <c r="D3694" s="292"/>
      <c r="F3694" s="283" t="s">
        <v>197</v>
      </c>
      <c r="G3694" s="283"/>
      <c r="J3694" s="293">
        <v>10</v>
      </c>
      <c r="K3694" s="293"/>
      <c r="L3694" s="293"/>
      <c r="M3694" s="293"/>
      <c r="N3694" s="293"/>
      <c r="P3694" s="42">
        <v>5000</v>
      </c>
      <c r="R3694" s="42">
        <v>1350</v>
      </c>
      <c r="T3694" s="284">
        <v>3650</v>
      </c>
      <c r="U3694" s="284"/>
    </row>
    <row r="3695" spans="2:21" x14ac:dyDescent="0.25">
      <c r="B3695" s="292">
        <v>16</v>
      </c>
      <c r="C3695" s="292"/>
      <c r="D3695" s="292"/>
      <c r="F3695" s="283" t="s">
        <v>196</v>
      </c>
      <c r="G3695" s="283"/>
      <c r="J3695" s="293">
        <v>12</v>
      </c>
      <c r="K3695" s="293"/>
      <c r="L3695" s="293"/>
      <c r="M3695" s="293"/>
      <c r="N3695" s="293"/>
      <c r="P3695" s="42">
        <v>8400</v>
      </c>
      <c r="R3695" s="42">
        <v>3997</v>
      </c>
      <c r="T3695" s="284">
        <v>4403</v>
      </c>
      <c r="U3695" s="284"/>
    </row>
    <row r="3696" spans="2:21" x14ac:dyDescent="0.25">
      <c r="B3696" s="292">
        <v>17</v>
      </c>
      <c r="C3696" s="292"/>
      <c r="D3696" s="292"/>
      <c r="F3696" s="283" t="s">
        <v>77</v>
      </c>
      <c r="G3696" s="283"/>
      <c r="J3696" s="293">
        <v>2356</v>
      </c>
      <c r="K3696" s="293"/>
      <c r="L3696" s="293"/>
      <c r="M3696" s="293"/>
      <c r="N3696" s="293"/>
      <c r="P3696" s="42">
        <v>959100</v>
      </c>
      <c r="R3696" s="42">
        <v>959100</v>
      </c>
      <c r="T3696" s="284">
        <v>0</v>
      </c>
      <c r="U3696" s="284"/>
    </row>
    <row r="3697" spans="2:21" x14ac:dyDescent="0.25">
      <c r="B3697" s="292">
        <v>18</v>
      </c>
      <c r="C3697" s="292"/>
      <c r="D3697" s="292"/>
      <c r="F3697" s="283" t="s">
        <v>156</v>
      </c>
      <c r="G3697" s="283"/>
      <c r="J3697" s="293">
        <v>3</v>
      </c>
      <c r="K3697" s="293"/>
      <c r="L3697" s="293"/>
      <c r="M3697" s="293"/>
      <c r="N3697" s="293"/>
      <c r="P3697" s="42">
        <v>570</v>
      </c>
      <c r="R3697" s="42">
        <v>110</v>
      </c>
      <c r="T3697" s="284">
        <v>460</v>
      </c>
      <c r="U3697" s="284"/>
    </row>
    <row r="3698" spans="2:21" x14ac:dyDescent="0.25">
      <c r="B3698" s="292">
        <v>19</v>
      </c>
      <c r="C3698" s="292"/>
      <c r="D3698" s="292"/>
      <c r="F3698" s="283" t="s">
        <v>155</v>
      </c>
      <c r="G3698" s="283"/>
      <c r="J3698" s="293">
        <v>76</v>
      </c>
      <c r="K3698" s="293"/>
      <c r="L3698" s="293"/>
      <c r="M3698" s="293"/>
      <c r="N3698" s="293"/>
      <c r="P3698" s="42">
        <v>19000</v>
      </c>
      <c r="R3698" s="42">
        <v>6478</v>
      </c>
      <c r="T3698" s="284">
        <v>12522</v>
      </c>
      <c r="U3698" s="284"/>
    </row>
    <row r="3699" spans="2:21" x14ac:dyDescent="0.25">
      <c r="B3699" s="292">
        <v>20</v>
      </c>
      <c r="C3699" s="292"/>
      <c r="D3699" s="292"/>
      <c r="F3699" s="283" t="s">
        <v>154</v>
      </c>
      <c r="G3699" s="283"/>
      <c r="J3699" s="293">
        <v>5</v>
      </c>
      <c r="K3699" s="293"/>
      <c r="L3699" s="293"/>
      <c r="M3699" s="293"/>
      <c r="N3699" s="293"/>
      <c r="P3699" s="42">
        <v>4450</v>
      </c>
      <c r="R3699" s="42">
        <v>650</v>
      </c>
      <c r="T3699" s="284">
        <v>3800</v>
      </c>
      <c r="U3699" s="284"/>
    </row>
    <row r="3700" spans="2:21" x14ac:dyDescent="0.25">
      <c r="B3700" s="292">
        <v>21</v>
      </c>
      <c r="C3700" s="292"/>
      <c r="D3700" s="292"/>
      <c r="F3700" s="283" t="s">
        <v>289</v>
      </c>
      <c r="G3700" s="283"/>
      <c r="J3700" s="293">
        <v>1</v>
      </c>
      <c r="K3700" s="293"/>
      <c r="L3700" s="293"/>
      <c r="M3700" s="293"/>
      <c r="N3700" s="293"/>
      <c r="P3700" s="42">
        <v>500</v>
      </c>
      <c r="R3700" s="42">
        <v>150</v>
      </c>
      <c r="T3700" s="284">
        <v>350</v>
      </c>
      <c r="U3700" s="284"/>
    </row>
    <row r="3701" spans="2:21" x14ac:dyDescent="0.25">
      <c r="B3701" s="292">
        <v>22</v>
      </c>
      <c r="C3701" s="292"/>
      <c r="D3701" s="292"/>
      <c r="F3701" s="283" t="s">
        <v>320</v>
      </c>
      <c r="G3701" s="283"/>
      <c r="J3701" s="293">
        <v>3</v>
      </c>
      <c r="K3701" s="293"/>
      <c r="L3701" s="293"/>
      <c r="M3701" s="293"/>
      <c r="N3701" s="293"/>
      <c r="P3701" s="42">
        <v>1500</v>
      </c>
      <c r="R3701" s="42">
        <v>300</v>
      </c>
      <c r="T3701" s="284">
        <v>1200</v>
      </c>
      <c r="U3701" s="284"/>
    </row>
    <row r="3702" spans="2:21" x14ac:dyDescent="0.25">
      <c r="B3702" s="292">
        <v>23</v>
      </c>
      <c r="C3702" s="292"/>
      <c r="D3702" s="292"/>
      <c r="F3702" s="283" t="s">
        <v>152</v>
      </c>
      <c r="G3702" s="283"/>
      <c r="J3702" s="293">
        <v>18</v>
      </c>
      <c r="K3702" s="293"/>
      <c r="L3702" s="293"/>
      <c r="M3702" s="293"/>
      <c r="N3702" s="293"/>
      <c r="P3702" s="42">
        <v>10620</v>
      </c>
      <c r="R3702" s="42">
        <v>3240</v>
      </c>
      <c r="T3702" s="284">
        <v>7380</v>
      </c>
      <c r="U3702" s="284"/>
    </row>
    <row r="3703" spans="2:21" x14ac:dyDescent="0.25">
      <c r="B3703" s="292">
        <v>24</v>
      </c>
      <c r="C3703" s="292"/>
      <c r="D3703" s="292"/>
      <c r="F3703" s="283" t="s">
        <v>151</v>
      </c>
      <c r="G3703" s="283"/>
      <c r="J3703" s="293">
        <v>182</v>
      </c>
      <c r="K3703" s="293"/>
      <c r="L3703" s="293"/>
      <c r="M3703" s="293"/>
      <c r="N3703" s="293"/>
      <c r="P3703" s="42">
        <v>41860</v>
      </c>
      <c r="R3703" s="42">
        <v>13040</v>
      </c>
      <c r="T3703" s="284">
        <v>28820</v>
      </c>
      <c r="U3703" s="284"/>
    </row>
    <row r="3704" spans="2:21" x14ac:dyDescent="0.25">
      <c r="B3704" s="292">
        <v>25</v>
      </c>
      <c r="C3704" s="292"/>
      <c r="D3704" s="292"/>
      <c r="F3704" s="283" t="s">
        <v>150</v>
      </c>
      <c r="G3704" s="283"/>
      <c r="J3704" s="293">
        <v>24</v>
      </c>
      <c r="K3704" s="293"/>
      <c r="L3704" s="293"/>
      <c r="M3704" s="293"/>
      <c r="N3704" s="293"/>
      <c r="P3704" s="42">
        <v>4080</v>
      </c>
      <c r="R3704" s="42">
        <v>1200</v>
      </c>
      <c r="T3704" s="284">
        <v>2880</v>
      </c>
      <c r="U3704" s="284"/>
    </row>
    <row r="3705" spans="2:21" x14ac:dyDescent="0.25">
      <c r="B3705" s="292">
        <v>26</v>
      </c>
      <c r="C3705" s="292"/>
      <c r="D3705" s="292"/>
      <c r="F3705" s="283" t="s">
        <v>149</v>
      </c>
      <c r="G3705" s="283"/>
      <c r="J3705" s="293">
        <v>1</v>
      </c>
      <c r="K3705" s="293"/>
      <c r="L3705" s="293"/>
      <c r="M3705" s="293"/>
      <c r="N3705" s="293"/>
      <c r="P3705" s="42">
        <v>50</v>
      </c>
      <c r="R3705" s="42">
        <v>10</v>
      </c>
      <c r="T3705" s="284">
        <v>40</v>
      </c>
      <c r="U3705" s="284"/>
    </row>
    <row r="3706" spans="2:21" x14ac:dyDescent="0.25">
      <c r="B3706" s="292">
        <v>27</v>
      </c>
      <c r="C3706" s="292"/>
      <c r="D3706" s="292"/>
      <c r="F3706" s="283" t="s">
        <v>288</v>
      </c>
      <c r="G3706" s="283"/>
      <c r="J3706" s="293">
        <v>8</v>
      </c>
      <c r="K3706" s="293"/>
      <c r="L3706" s="293"/>
      <c r="M3706" s="293"/>
      <c r="N3706" s="293"/>
      <c r="P3706" s="42">
        <v>6400</v>
      </c>
      <c r="R3706" s="42">
        <v>3600</v>
      </c>
      <c r="T3706" s="284">
        <v>2800</v>
      </c>
      <c r="U3706" s="284"/>
    </row>
    <row r="3707" spans="2:21" x14ac:dyDescent="0.25">
      <c r="B3707" s="292">
        <v>28</v>
      </c>
      <c r="C3707" s="292"/>
      <c r="D3707" s="292"/>
      <c r="F3707" s="283" t="s">
        <v>234</v>
      </c>
      <c r="G3707" s="283"/>
      <c r="J3707" s="293">
        <v>2</v>
      </c>
      <c r="K3707" s="293"/>
      <c r="L3707" s="293"/>
      <c r="M3707" s="293"/>
      <c r="N3707" s="293"/>
      <c r="P3707" s="42">
        <v>1600</v>
      </c>
      <c r="R3707" s="42">
        <v>850</v>
      </c>
      <c r="T3707" s="284">
        <v>750</v>
      </c>
      <c r="U3707" s="284"/>
    </row>
    <row r="3708" spans="2:21" x14ac:dyDescent="0.25">
      <c r="B3708" s="292">
        <v>29</v>
      </c>
      <c r="C3708" s="292"/>
      <c r="D3708" s="292"/>
      <c r="F3708" s="283" t="s">
        <v>287</v>
      </c>
      <c r="G3708" s="283"/>
      <c r="J3708" s="293">
        <v>2</v>
      </c>
      <c r="K3708" s="293"/>
      <c r="L3708" s="293"/>
      <c r="M3708" s="293"/>
      <c r="N3708" s="293"/>
      <c r="P3708" s="42">
        <v>1600</v>
      </c>
      <c r="R3708" s="42">
        <v>608</v>
      </c>
      <c r="T3708" s="284">
        <v>992</v>
      </c>
      <c r="U3708" s="284"/>
    </row>
    <row r="3709" spans="2:21" x14ac:dyDescent="0.25">
      <c r="B3709" s="292">
        <v>30</v>
      </c>
      <c r="C3709" s="292"/>
      <c r="D3709" s="292"/>
      <c r="F3709" s="283" t="s">
        <v>233</v>
      </c>
      <c r="G3709" s="283"/>
      <c r="J3709" s="293">
        <v>1</v>
      </c>
      <c r="K3709" s="293"/>
      <c r="L3709" s="293"/>
      <c r="M3709" s="293"/>
      <c r="N3709" s="293"/>
      <c r="P3709" s="42">
        <v>980</v>
      </c>
      <c r="R3709" s="42">
        <v>150</v>
      </c>
      <c r="T3709" s="284">
        <v>830</v>
      </c>
      <c r="U3709" s="284"/>
    </row>
    <row r="3710" spans="2:21" x14ac:dyDescent="0.25">
      <c r="B3710" s="292">
        <v>31</v>
      </c>
      <c r="C3710" s="292"/>
      <c r="D3710" s="292"/>
      <c r="F3710" s="283" t="s">
        <v>232</v>
      </c>
      <c r="G3710" s="283"/>
      <c r="J3710" s="293">
        <v>1</v>
      </c>
      <c r="K3710" s="293"/>
      <c r="L3710" s="293"/>
      <c r="M3710" s="293"/>
      <c r="N3710" s="293"/>
      <c r="P3710" s="42">
        <v>980</v>
      </c>
      <c r="R3710" s="42">
        <v>150</v>
      </c>
      <c r="T3710" s="284">
        <v>830</v>
      </c>
      <c r="U3710" s="284"/>
    </row>
    <row r="3711" spans="2:21" x14ac:dyDescent="0.25">
      <c r="B3711" s="292">
        <v>32</v>
      </c>
      <c r="C3711" s="292"/>
      <c r="D3711" s="292"/>
      <c r="F3711" s="283" t="s">
        <v>193</v>
      </c>
      <c r="G3711" s="283"/>
      <c r="J3711" s="293">
        <v>1</v>
      </c>
      <c r="K3711" s="293"/>
      <c r="L3711" s="293"/>
      <c r="M3711" s="293"/>
      <c r="N3711" s="293"/>
      <c r="P3711" s="42">
        <v>890</v>
      </c>
      <c r="R3711" s="42">
        <v>130</v>
      </c>
      <c r="T3711" s="284">
        <v>760</v>
      </c>
      <c r="U3711" s="284"/>
    </row>
    <row r="3712" spans="2:21" x14ac:dyDescent="0.25">
      <c r="B3712" s="292">
        <v>33</v>
      </c>
      <c r="C3712" s="292"/>
      <c r="D3712" s="292"/>
      <c r="F3712" s="283" t="s">
        <v>75</v>
      </c>
      <c r="G3712" s="283"/>
      <c r="J3712" s="293">
        <v>1882</v>
      </c>
      <c r="K3712" s="293"/>
      <c r="L3712" s="293"/>
      <c r="M3712" s="293"/>
      <c r="N3712" s="293"/>
      <c r="P3712" s="42">
        <v>4702500</v>
      </c>
      <c r="R3712" s="42">
        <v>4702500</v>
      </c>
      <c r="T3712" s="284">
        <v>0</v>
      </c>
      <c r="U3712" s="284"/>
    </row>
    <row r="3713" spans="2:21" x14ac:dyDescent="0.25">
      <c r="B3713" s="292">
        <v>34</v>
      </c>
      <c r="C3713" s="292"/>
      <c r="D3713" s="292"/>
      <c r="F3713" s="283" t="s">
        <v>231</v>
      </c>
      <c r="G3713" s="283"/>
      <c r="J3713" s="293">
        <v>5</v>
      </c>
      <c r="K3713" s="293"/>
      <c r="L3713" s="293"/>
      <c r="M3713" s="293"/>
      <c r="N3713" s="293"/>
      <c r="P3713" s="42">
        <v>2500</v>
      </c>
      <c r="R3713" s="42">
        <v>750</v>
      </c>
      <c r="T3713" s="284">
        <v>1750</v>
      </c>
      <c r="U3713" s="284"/>
    </row>
    <row r="3714" spans="2:21" x14ac:dyDescent="0.25">
      <c r="B3714" s="292">
        <v>35</v>
      </c>
      <c r="C3714" s="292"/>
      <c r="D3714" s="292"/>
      <c r="F3714" s="283" t="s">
        <v>302</v>
      </c>
      <c r="G3714" s="283"/>
      <c r="J3714" s="293">
        <v>3</v>
      </c>
      <c r="K3714" s="293"/>
      <c r="L3714" s="293"/>
      <c r="M3714" s="293"/>
      <c r="N3714" s="293"/>
      <c r="P3714" s="42">
        <v>2400</v>
      </c>
      <c r="R3714" s="42">
        <v>1350</v>
      </c>
      <c r="T3714" s="284">
        <v>1050</v>
      </c>
      <c r="U3714" s="284"/>
    </row>
    <row r="3715" spans="2:21" x14ac:dyDescent="0.25">
      <c r="B3715" s="292">
        <v>36</v>
      </c>
      <c r="C3715" s="292"/>
      <c r="D3715" s="292"/>
      <c r="F3715" s="283" t="s">
        <v>138</v>
      </c>
      <c r="G3715" s="283"/>
      <c r="J3715" s="293">
        <v>1</v>
      </c>
      <c r="K3715" s="293"/>
      <c r="L3715" s="293"/>
      <c r="M3715" s="293"/>
      <c r="N3715" s="293"/>
      <c r="P3715" s="42">
        <v>800</v>
      </c>
      <c r="R3715" s="42">
        <v>400</v>
      </c>
      <c r="T3715" s="284">
        <v>400</v>
      </c>
      <c r="U3715" s="284"/>
    </row>
    <row r="3716" spans="2:21" x14ac:dyDescent="0.25">
      <c r="B3716" s="292">
        <v>37</v>
      </c>
      <c r="C3716" s="292"/>
      <c r="D3716" s="292"/>
      <c r="F3716" s="283" t="s">
        <v>137</v>
      </c>
      <c r="G3716" s="283"/>
      <c r="J3716" s="293">
        <v>4</v>
      </c>
      <c r="K3716" s="293"/>
      <c r="L3716" s="293"/>
      <c r="M3716" s="293"/>
      <c r="N3716" s="293"/>
      <c r="P3716" s="42">
        <v>3200</v>
      </c>
      <c r="R3716" s="42">
        <v>1800</v>
      </c>
      <c r="T3716" s="284">
        <v>1400</v>
      </c>
      <c r="U3716" s="284"/>
    </row>
    <row r="3717" spans="2:21" x14ac:dyDescent="0.25">
      <c r="B3717" s="292">
        <v>38</v>
      </c>
      <c r="C3717" s="292"/>
      <c r="D3717" s="292"/>
      <c r="F3717" s="283" t="s">
        <v>313</v>
      </c>
      <c r="G3717" s="283"/>
      <c r="J3717" s="293">
        <v>2</v>
      </c>
      <c r="K3717" s="293"/>
      <c r="L3717" s="293"/>
      <c r="M3717" s="293"/>
      <c r="N3717" s="293"/>
      <c r="P3717" s="42">
        <v>1600</v>
      </c>
      <c r="R3717" s="42">
        <v>900</v>
      </c>
      <c r="T3717" s="284">
        <v>700</v>
      </c>
      <c r="U3717" s="284"/>
    </row>
    <row r="3718" spans="2:21" x14ac:dyDescent="0.25">
      <c r="B3718" s="292">
        <v>39</v>
      </c>
      <c r="C3718" s="292"/>
      <c r="D3718" s="292"/>
      <c r="F3718" s="283" t="s">
        <v>192</v>
      </c>
      <c r="G3718" s="283"/>
      <c r="J3718" s="293">
        <v>1</v>
      </c>
      <c r="K3718" s="293"/>
      <c r="L3718" s="293"/>
      <c r="M3718" s="293"/>
      <c r="N3718" s="293"/>
      <c r="P3718" s="42">
        <v>1550</v>
      </c>
      <c r="R3718" s="42">
        <v>0</v>
      </c>
      <c r="T3718" s="284">
        <v>1550</v>
      </c>
      <c r="U3718" s="284"/>
    </row>
    <row r="3719" spans="2:21" x14ac:dyDescent="0.25">
      <c r="B3719" s="292">
        <v>40</v>
      </c>
      <c r="C3719" s="292"/>
      <c r="D3719" s="292"/>
      <c r="F3719" s="283" t="s">
        <v>136</v>
      </c>
      <c r="G3719" s="283"/>
      <c r="J3719" s="293">
        <v>23</v>
      </c>
      <c r="K3719" s="293"/>
      <c r="L3719" s="293"/>
      <c r="M3719" s="293"/>
      <c r="N3719" s="293"/>
      <c r="P3719" s="42">
        <v>19550</v>
      </c>
      <c r="R3719" s="42">
        <v>4325</v>
      </c>
      <c r="T3719" s="284">
        <v>15225</v>
      </c>
      <c r="U3719" s="284"/>
    </row>
    <row r="3720" spans="2:21" x14ac:dyDescent="0.25">
      <c r="B3720" s="292">
        <v>41</v>
      </c>
      <c r="C3720" s="292"/>
      <c r="D3720" s="292"/>
      <c r="F3720" s="283" t="s">
        <v>74</v>
      </c>
      <c r="G3720" s="283"/>
      <c r="J3720" s="293">
        <v>122</v>
      </c>
      <c r="K3720" s="293"/>
      <c r="L3720" s="293"/>
      <c r="M3720" s="293"/>
      <c r="N3720" s="293"/>
      <c r="P3720" s="42">
        <v>103700</v>
      </c>
      <c r="R3720" s="42">
        <v>103700</v>
      </c>
      <c r="T3720" s="284">
        <v>0</v>
      </c>
      <c r="U3720" s="284"/>
    </row>
    <row r="3721" spans="2:21" x14ac:dyDescent="0.25">
      <c r="B3721" s="292">
        <v>42</v>
      </c>
      <c r="C3721" s="292"/>
      <c r="D3721" s="292"/>
      <c r="F3721" s="283" t="s">
        <v>190</v>
      </c>
      <c r="G3721" s="283"/>
      <c r="J3721" s="293">
        <v>3</v>
      </c>
      <c r="K3721" s="293"/>
      <c r="L3721" s="293"/>
      <c r="M3721" s="293"/>
      <c r="N3721" s="293"/>
      <c r="P3721" s="42">
        <v>4710</v>
      </c>
      <c r="R3721" s="42">
        <v>653</v>
      </c>
      <c r="T3721" s="284">
        <v>4057</v>
      </c>
      <c r="U3721" s="284"/>
    </row>
    <row r="3722" spans="2:21" x14ac:dyDescent="0.25">
      <c r="B3722" s="292">
        <v>43</v>
      </c>
      <c r="C3722" s="292"/>
      <c r="D3722" s="292"/>
      <c r="F3722" s="283" t="s">
        <v>230</v>
      </c>
      <c r="G3722" s="283"/>
      <c r="J3722" s="293">
        <v>1</v>
      </c>
      <c r="K3722" s="293"/>
      <c r="L3722" s="293"/>
      <c r="M3722" s="293"/>
      <c r="N3722" s="293"/>
      <c r="P3722" s="42">
        <v>950</v>
      </c>
      <c r="R3722" s="42">
        <v>140</v>
      </c>
      <c r="T3722" s="284">
        <v>810</v>
      </c>
      <c r="U3722" s="284"/>
    </row>
    <row r="3723" spans="2:21" x14ac:dyDescent="0.25">
      <c r="B3723" s="292">
        <v>44</v>
      </c>
      <c r="C3723" s="292"/>
      <c r="D3723" s="292"/>
      <c r="F3723" s="283" t="s">
        <v>135</v>
      </c>
      <c r="G3723" s="283"/>
      <c r="J3723" s="293">
        <v>1</v>
      </c>
      <c r="K3723" s="293"/>
      <c r="L3723" s="293"/>
      <c r="M3723" s="293"/>
      <c r="N3723" s="293"/>
      <c r="P3723" s="42">
        <v>950</v>
      </c>
      <c r="R3723" s="42">
        <v>280</v>
      </c>
      <c r="T3723" s="284">
        <v>670</v>
      </c>
      <c r="U3723" s="284"/>
    </row>
    <row r="3724" spans="2:21" x14ac:dyDescent="0.25">
      <c r="B3724" s="292">
        <v>45</v>
      </c>
      <c r="C3724" s="292"/>
      <c r="D3724" s="292"/>
      <c r="F3724" s="283" t="s">
        <v>134</v>
      </c>
      <c r="G3724" s="283"/>
      <c r="J3724" s="293">
        <v>7</v>
      </c>
      <c r="K3724" s="293"/>
      <c r="L3724" s="293"/>
      <c r="M3724" s="293"/>
      <c r="N3724" s="293"/>
      <c r="P3724" s="42">
        <v>25900</v>
      </c>
      <c r="R3724" s="42">
        <v>5600</v>
      </c>
      <c r="T3724" s="284">
        <v>20300</v>
      </c>
      <c r="U3724" s="284"/>
    </row>
    <row r="3725" spans="2:21" x14ac:dyDescent="0.25">
      <c r="B3725" s="292">
        <v>46</v>
      </c>
      <c r="C3725" s="292"/>
      <c r="D3725" s="292"/>
      <c r="F3725" s="283" t="s">
        <v>133</v>
      </c>
      <c r="G3725" s="283"/>
      <c r="J3725" s="293">
        <v>1</v>
      </c>
      <c r="K3725" s="293"/>
      <c r="L3725" s="293"/>
      <c r="M3725" s="293"/>
      <c r="N3725" s="293"/>
      <c r="P3725" s="42">
        <v>1090</v>
      </c>
      <c r="R3725" s="42">
        <v>0</v>
      </c>
      <c r="T3725" s="284">
        <v>1090</v>
      </c>
      <c r="U3725" s="284"/>
    </row>
    <row r="3726" spans="2:21" x14ac:dyDescent="0.25">
      <c r="B3726" s="292">
        <v>47</v>
      </c>
      <c r="C3726" s="292"/>
      <c r="D3726" s="292"/>
      <c r="F3726" s="283" t="s">
        <v>132</v>
      </c>
      <c r="G3726" s="283"/>
      <c r="J3726" s="293">
        <v>3</v>
      </c>
      <c r="K3726" s="293"/>
      <c r="L3726" s="293"/>
      <c r="M3726" s="293"/>
      <c r="N3726" s="293"/>
      <c r="P3726" s="42">
        <v>3720</v>
      </c>
      <c r="R3726" s="42">
        <v>1110</v>
      </c>
      <c r="T3726" s="284">
        <v>2610</v>
      </c>
      <c r="U3726" s="284"/>
    </row>
    <row r="3727" spans="2:21" x14ac:dyDescent="0.25">
      <c r="B3727" s="292">
        <v>48</v>
      </c>
      <c r="C3727" s="292"/>
      <c r="D3727" s="292"/>
      <c r="F3727" s="283" t="s">
        <v>131</v>
      </c>
      <c r="G3727" s="283"/>
      <c r="J3727" s="293">
        <v>6</v>
      </c>
      <c r="K3727" s="293"/>
      <c r="L3727" s="293"/>
      <c r="M3727" s="293"/>
      <c r="N3727" s="293"/>
      <c r="P3727" s="42">
        <v>22200</v>
      </c>
      <c r="R3727" s="42">
        <v>4800</v>
      </c>
      <c r="T3727" s="284">
        <v>17400</v>
      </c>
      <c r="U3727" s="284"/>
    </row>
    <row r="3728" spans="2:21" x14ac:dyDescent="0.25">
      <c r="B3728" s="292">
        <v>49</v>
      </c>
      <c r="C3728" s="292"/>
      <c r="D3728" s="292"/>
      <c r="F3728" s="283" t="s">
        <v>130</v>
      </c>
      <c r="G3728" s="283"/>
      <c r="J3728" s="293">
        <v>2</v>
      </c>
      <c r="K3728" s="293"/>
      <c r="L3728" s="293"/>
      <c r="M3728" s="293"/>
      <c r="N3728" s="293"/>
      <c r="P3728" s="42">
        <v>16000</v>
      </c>
      <c r="R3728" s="42">
        <v>8200</v>
      </c>
      <c r="T3728" s="284">
        <v>7800</v>
      </c>
      <c r="U3728" s="284"/>
    </row>
    <row r="3729" spans="2:21" x14ac:dyDescent="0.25">
      <c r="B3729" s="292">
        <v>50</v>
      </c>
      <c r="C3729" s="292"/>
      <c r="D3729" s="292"/>
      <c r="F3729" s="283" t="s">
        <v>361</v>
      </c>
      <c r="G3729" s="283"/>
      <c r="J3729" s="293">
        <v>1</v>
      </c>
      <c r="K3729" s="293"/>
      <c r="L3729" s="293"/>
      <c r="M3729" s="293"/>
      <c r="N3729" s="293"/>
      <c r="P3729" s="42">
        <v>2790</v>
      </c>
      <c r="R3729" s="42">
        <v>0</v>
      </c>
      <c r="T3729" s="284">
        <v>2790</v>
      </c>
      <c r="U3729" s="284"/>
    </row>
    <row r="3730" spans="2:21" x14ac:dyDescent="0.25">
      <c r="B3730" s="292">
        <v>51</v>
      </c>
      <c r="C3730" s="292"/>
      <c r="D3730" s="292"/>
      <c r="F3730" s="283" t="s">
        <v>185</v>
      </c>
      <c r="G3730" s="283"/>
      <c r="J3730" s="293">
        <v>2</v>
      </c>
      <c r="K3730" s="293"/>
      <c r="L3730" s="293"/>
      <c r="M3730" s="293"/>
      <c r="N3730" s="293"/>
      <c r="P3730" s="42">
        <v>1600</v>
      </c>
      <c r="R3730" s="42">
        <v>900</v>
      </c>
      <c r="T3730" s="284">
        <v>700</v>
      </c>
      <c r="U3730" s="284"/>
    </row>
    <row r="3731" spans="2:21" x14ac:dyDescent="0.25">
      <c r="B3731" s="292">
        <v>52</v>
      </c>
      <c r="C3731" s="292"/>
      <c r="D3731" s="292"/>
      <c r="F3731" s="283" t="s">
        <v>283</v>
      </c>
      <c r="G3731" s="283"/>
      <c r="J3731" s="293">
        <v>1</v>
      </c>
      <c r="K3731" s="293"/>
      <c r="L3731" s="293"/>
      <c r="M3731" s="293"/>
      <c r="N3731" s="293"/>
      <c r="P3731" s="42">
        <v>800</v>
      </c>
      <c r="R3731" s="42">
        <v>450</v>
      </c>
      <c r="T3731" s="284">
        <v>350</v>
      </c>
      <c r="U3731" s="284"/>
    </row>
    <row r="3732" spans="2:21" x14ac:dyDescent="0.25">
      <c r="B3732" s="292">
        <v>53</v>
      </c>
      <c r="C3732" s="292"/>
      <c r="D3732" s="292"/>
      <c r="F3732" s="283" t="s">
        <v>128</v>
      </c>
      <c r="G3732" s="283"/>
      <c r="J3732" s="293">
        <v>2</v>
      </c>
      <c r="K3732" s="293"/>
      <c r="L3732" s="293"/>
      <c r="M3732" s="293"/>
      <c r="N3732" s="293"/>
      <c r="P3732" s="42">
        <v>2300</v>
      </c>
      <c r="R3732" s="42">
        <v>340</v>
      </c>
      <c r="T3732" s="284">
        <v>1960</v>
      </c>
      <c r="U3732" s="284"/>
    </row>
    <row r="3733" spans="2:21" x14ac:dyDescent="0.25">
      <c r="B3733" s="292">
        <v>54</v>
      </c>
      <c r="C3733" s="292"/>
      <c r="D3733" s="292"/>
      <c r="F3733" s="283" t="s">
        <v>127</v>
      </c>
      <c r="G3733" s="283"/>
      <c r="J3733" s="293">
        <v>31</v>
      </c>
      <c r="K3733" s="293"/>
      <c r="L3733" s="293"/>
      <c r="M3733" s="293"/>
      <c r="N3733" s="293"/>
      <c r="P3733" s="42">
        <v>9300</v>
      </c>
      <c r="R3733" s="42">
        <v>2613</v>
      </c>
      <c r="T3733" s="284">
        <v>6687</v>
      </c>
      <c r="U3733" s="284"/>
    </row>
    <row r="3734" spans="2:21" x14ac:dyDescent="0.25">
      <c r="B3734" s="292">
        <v>55</v>
      </c>
      <c r="C3734" s="292"/>
      <c r="D3734" s="292"/>
      <c r="F3734" s="283" t="s">
        <v>126</v>
      </c>
      <c r="G3734" s="283"/>
      <c r="J3734" s="293">
        <v>16</v>
      </c>
      <c r="K3734" s="293"/>
      <c r="L3734" s="293"/>
      <c r="M3734" s="293"/>
      <c r="N3734" s="293"/>
      <c r="P3734" s="42">
        <v>3200</v>
      </c>
      <c r="R3734" s="42">
        <v>596</v>
      </c>
      <c r="T3734" s="284">
        <v>2604</v>
      </c>
      <c r="U3734" s="284"/>
    </row>
    <row r="3735" spans="2:21" x14ac:dyDescent="0.25">
      <c r="B3735" s="292">
        <v>56</v>
      </c>
      <c r="C3735" s="292"/>
      <c r="D3735" s="292"/>
      <c r="F3735" s="283" t="s">
        <v>124</v>
      </c>
      <c r="G3735" s="283"/>
      <c r="J3735" s="293">
        <v>11</v>
      </c>
      <c r="K3735" s="293"/>
      <c r="L3735" s="293"/>
      <c r="M3735" s="293"/>
      <c r="N3735" s="293"/>
      <c r="P3735" s="42">
        <v>5920</v>
      </c>
      <c r="R3735" s="42">
        <v>1760</v>
      </c>
      <c r="T3735" s="284">
        <v>4160</v>
      </c>
      <c r="U3735" s="284"/>
    </row>
    <row r="3736" spans="2:21" x14ac:dyDescent="0.25">
      <c r="B3736" s="292">
        <v>57</v>
      </c>
      <c r="C3736" s="292"/>
      <c r="D3736" s="292"/>
      <c r="F3736" s="283" t="s">
        <v>123</v>
      </c>
      <c r="G3736" s="283"/>
      <c r="J3736" s="293">
        <v>96</v>
      </c>
      <c r="K3736" s="293"/>
      <c r="L3736" s="293"/>
      <c r="M3736" s="293"/>
      <c r="N3736" s="293"/>
      <c r="P3736" s="42">
        <v>74880</v>
      </c>
      <c r="R3736" s="42">
        <v>14081</v>
      </c>
      <c r="T3736" s="284">
        <v>60799</v>
      </c>
      <c r="U3736" s="284"/>
    </row>
    <row r="3737" spans="2:21" x14ac:dyDescent="0.25">
      <c r="B3737" s="292">
        <v>58</v>
      </c>
      <c r="C3737" s="292"/>
      <c r="D3737" s="292"/>
      <c r="F3737" s="283" t="s">
        <v>227</v>
      </c>
      <c r="G3737" s="283"/>
      <c r="J3737" s="293">
        <v>9</v>
      </c>
      <c r="K3737" s="293"/>
      <c r="L3737" s="293"/>
      <c r="M3737" s="293"/>
      <c r="N3737" s="293"/>
      <c r="P3737" s="42">
        <v>4500</v>
      </c>
      <c r="R3737" s="42">
        <v>800</v>
      </c>
      <c r="T3737" s="284">
        <v>3700</v>
      </c>
      <c r="U3737" s="284"/>
    </row>
    <row r="3738" spans="2:21" x14ac:dyDescent="0.25">
      <c r="B3738" s="292">
        <v>59</v>
      </c>
      <c r="C3738" s="292"/>
      <c r="D3738" s="292"/>
      <c r="F3738" s="283" t="s">
        <v>122</v>
      </c>
      <c r="G3738" s="283"/>
      <c r="J3738" s="293">
        <v>4</v>
      </c>
      <c r="K3738" s="293"/>
      <c r="L3738" s="293"/>
      <c r="M3738" s="293"/>
      <c r="N3738" s="293"/>
      <c r="P3738" s="42">
        <v>2000</v>
      </c>
      <c r="R3738" s="42">
        <v>600</v>
      </c>
      <c r="T3738" s="284">
        <v>1400</v>
      </c>
      <c r="U3738" s="284"/>
    </row>
    <row r="3739" spans="2:21" x14ac:dyDescent="0.25">
      <c r="B3739" s="292">
        <v>60</v>
      </c>
      <c r="C3739" s="292"/>
      <c r="D3739" s="292"/>
      <c r="F3739" s="283" t="s">
        <v>121</v>
      </c>
      <c r="G3739" s="283"/>
      <c r="J3739" s="293">
        <v>8</v>
      </c>
      <c r="K3739" s="293"/>
      <c r="L3739" s="293"/>
      <c r="M3739" s="293"/>
      <c r="N3739" s="293"/>
      <c r="P3739" s="42">
        <v>4000</v>
      </c>
      <c r="R3739" s="42">
        <v>1100</v>
      </c>
      <c r="T3739" s="284">
        <v>2900</v>
      </c>
      <c r="U3739" s="284"/>
    </row>
    <row r="3740" spans="2:21" x14ac:dyDescent="0.25">
      <c r="B3740" s="292">
        <v>61</v>
      </c>
      <c r="C3740" s="292"/>
      <c r="D3740" s="292"/>
      <c r="F3740" s="283" t="s">
        <v>282</v>
      </c>
      <c r="G3740" s="283"/>
      <c r="J3740" s="293">
        <v>3</v>
      </c>
      <c r="K3740" s="293"/>
      <c r="L3740" s="293"/>
      <c r="M3740" s="293"/>
      <c r="N3740" s="293"/>
      <c r="P3740" s="42">
        <v>1500</v>
      </c>
      <c r="R3740" s="42">
        <v>450</v>
      </c>
      <c r="T3740" s="284">
        <v>1050</v>
      </c>
      <c r="U3740" s="284"/>
    </row>
    <row r="3741" spans="2:21" x14ac:dyDescent="0.25">
      <c r="B3741" s="292">
        <v>62</v>
      </c>
      <c r="C3741" s="292"/>
      <c r="D3741" s="292"/>
      <c r="F3741" s="283" t="s">
        <v>226</v>
      </c>
      <c r="G3741" s="283"/>
      <c r="J3741" s="293">
        <v>1</v>
      </c>
      <c r="K3741" s="293"/>
      <c r="L3741" s="293"/>
      <c r="M3741" s="293"/>
      <c r="N3741" s="293"/>
      <c r="P3741" s="42">
        <v>500</v>
      </c>
      <c r="R3741" s="42">
        <v>150</v>
      </c>
      <c r="T3741" s="284">
        <v>350</v>
      </c>
      <c r="U3741" s="284"/>
    </row>
    <row r="3742" spans="2:21" x14ac:dyDescent="0.25">
      <c r="B3742" s="292">
        <v>63</v>
      </c>
      <c r="C3742" s="292"/>
      <c r="D3742" s="292"/>
      <c r="F3742" s="283" t="s">
        <v>182</v>
      </c>
      <c r="G3742" s="283"/>
      <c r="J3742" s="293">
        <v>1</v>
      </c>
      <c r="K3742" s="293"/>
      <c r="L3742" s="293"/>
      <c r="M3742" s="293"/>
      <c r="N3742" s="293"/>
      <c r="P3742" s="42">
        <v>790</v>
      </c>
      <c r="R3742" s="42">
        <v>120</v>
      </c>
      <c r="T3742" s="284">
        <v>670</v>
      </c>
      <c r="U3742" s="284"/>
    </row>
    <row r="3743" spans="2:21" x14ac:dyDescent="0.25">
      <c r="B3743" s="292">
        <v>64</v>
      </c>
      <c r="C3743" s="292"/>
      <c r="D3743" s="292"/>
      <c r="F3743" s="283" t="s">
        <v>119</v>
      </c>
      <c r="G3743" s="283"/>
      <c r="J3743" s="293">
        <v>22</v>
      </c>
      <c r="K3743" s="293"/>
      <c r="L3743" s="293"/>
      <c r="M3743" s="293"/>
      <c r="N3743" s="293"/>
      <c r="P3743" s="42">
        <v>19580</v>
      </c>
      <c r="R3743" s="42">
        <v>6210</v>
      </c>
      <c r="T3743" s="284">
        <v>13370</v>
      </c>
      <c r="U3743" s="284"/>
    </row>
    <row r="3744" spans="2:21" x14ac:dyDescent="0.25">
      <c r="B3744" s="292">
        <v>65</v>
      </c>
      <c r="C3744" s="292"/>
      <c r="D3744" s="292"/>
      <c r="F3744" s="283" t="s">
        <v>118</v>
      </c>
      <c r="G3744" s="283"/>
      <c r="J3744" s="293">
        <v>223</v>
      </c>
      <c r="K3744" s="293"/>
      <c r="L3744" s="293"/>
      <c r="M3744" s="293"/>
      <c r="N3744" s="293"/>
      <c r="P3744" s="42">
        <v>220770</v>
      </c>
      <c r="R3744" s="42">
        <v>74515</v>
      </c>
      <c r="T3744" s="284">
        <v>146255</v>
      </c>
      <c r="U3744" s="284"/>
    </row>
    <row r="3745" spans="2:21" x14ac:dyDescent="0.25">
      <c r="B3745" s="292">
        <v>66</v>
      </c>
      <c r="C3745" s="292"/>
      <c r="D3745" s="292"/>
      <c r="F3745" s="283" t="s">
        <v>117</v>
      </c>
      <c r="G3745" s="283"/>
      <c r="J3745" s="293">
        <v>29</v>
      </c>
      <c r="K3745" s="293"/>
      <c r="L3745" s="293"/>
      <c r="M3745" s="293"/>
      <c r="N3745" s="293"/>
      <c r="P3745" s="42">
        <v>23300</v>
      </c>
      <c r="R3745" s="42">
        <v>5670</v>
      </c>
      <c r="T3745" s="284">
        <v>17630</v>
      </c>
      <c r="U3745" s="284"/>
    </row>
    <row r="3746" spans="2:21" x14ac:dyDescent="0.25">
      <c r="B3746" s="292">
        <v>67</v>
      </c>
      <c r="C3746" s="292"/>
      <c r="D3746" s="292"/>
      <c r="F3746" s="285" t="s">
        <v>116</v>
      </c>
      <c r="G3746" s="285"/>
      <c r="J3746" s="293">
        <v>1</v>
      </c>
      <c r="K3746" s="293"/>
      <c r="L3746" s="293"/>
      <c r="M3746" s="293"/>
      <c r="N3746" s="293"/>
      <c r="P3746" s="42">
        <v>800</v>
      </c>
      <c r="R3746" s="42">
        <v>200</v>
      </c>
      <c r="T3746" s="284">
        <v>600</v>
      </c>
      <c r="U3746" s="284"/>
    </row>
    <row r="3747" spans="2:21" x14ac:dyDescent="0.25">
      <c r="F3747" s="285"/>
      <c r="G3747" s="285"/>
    </row>
    <row r="3748" spans="2:21" x14ac:dyDescent="0.25">
      <c r="B3748" s="292">
        <v>68</v>
      </c>
      <c r="C3748" s="292"/>
      <c r="D3748" s="292"/>
      <c r="F3748" s="283" t="s">
        <v>115</v>
      </c>
      <c r="G3748" s="283"/>
      <c r="J3748" s="293">
        <v>45</v>
      </c>
      <c r="K3748" s="293"/>
      <c r="L3748" s="293"/>
      <c r="M3748" s="293"/>
      <c r="N3748" s="293"/>
      <c r="P3748" s="42">
        <v>13050</v>
      </c>
      <c r="R3748" s="42">
        <v>4135</v>
      </c>
      <c r="T3748" s="284">
        <v>8915</v>
      </c>
      <c r="U3748" s="284"/>
    </row>
    <row r="3749" spans="2:21" x14ac:dyDescent="0.25">
      <c r="B3749" s="292">
        <v>69</v>
      </c>
      <c r="C3749" s="292"/>
      <c r="D3749" s="292"/>
      <c r="F3749" s="283" t="s">
        <v>360</v>
      </c>
      <c r="G3749" s="283"/>
      <c r="J3749" s="293">
        <v>1</v>
      </c>
      <c r="K3749" s="293"/>
      <c r="L3749" s="293"/>
      <c r="M3749" s="293"/>
      <c r="N3749" s="293"/>
      <c r="P3749" s="42">
        <v>500</v>
      </c>
      <c r="R3749" s="42">
        <v>150</v>
      </c>
      <c r="T3749" s="284">
        <v>350</v>
      </c>
      <c r="U3749" s="284"/>
    </row>
    <row r="3750" spans="2:21" x14ac:dyDescent="0.25">
      <c r="B3750" s="292">
        <v>70</v>
      </c>
      <c r="C3750" s="292"/>
      <c r="D3750" s="292"/>
      <c r="F3750" s="283" t="s">
        <v>359</v>
      </c>
      <c r="G3750" s="283"/>
      <c r="J3750" s="293">
        <v>1</v>
      </c>
      <c r="K3750" s="293"/>
      <c r="L3750" s="293"/>
      <c r="M3750" s="293"/>
      <c r="N3750" s="293"/>
      <c r="P3750" s="42">
        <v>700</v>
      </c>
      <c r="R3750" s="42">
        <v>350</v>
      </c>
      <c r="T3750" s="284">
        <v>350</v>
      </c>
      <c r="U3750" s="284"/>
    </row>
    <row r="3751" spans="2:21" x14ac:dyDescent="0.25">
      <c r="B3751" s="292">
        <v>71</v>
      </c>
      <c r="C3751" s="292"/>
      <c r="D3751" s="292"/>
      <c r="F3751" s="283" t="s">
        <v>279</v>
      </c>
      <c r="G3751" s="283"/>
      <c r="J3751" s="293">
        <v>4</v>
      </c>
      <c r="K3751" s="293"/>
      <c r="L3751" s="293"/>
      <c r="M3751" s="293"/>
      <c r="N3751" s="293"/>
      <c r="P3751" s="42">
        <v>2000</v>
      </c>
      <c r="R3751" s="42">
        <v>400</v>
      </c>
      <c r="T3751" s="284">
        <v>1600</v>
      </c>
      <c r="U3751" s="284"/>
    </row>
    <row r="3752" spans="2:21" x14ac:dyDescent="0.25">
      <c r="B3752" s="292">
        <v>72</v>
      </c>
      <c r="C3752" s="292"/>
      <c r="D3752" s="292"/>
      <c r="F3752" s="283" t="s">
        <v>222</v>
      </c>
      <c r="G3752" s="283"/>
      <c r="J3752" s="293">
        <v>2</v>
      </c>
      <c r="K3752" s="293"/>
      <c r="L3752" s="293"/>
      <c r="M3752" s="293"/>
      <c r="N3752" s="293"/>
      <c r="P3752" s="42">
        <v>1000</v>
      </c>
      <c r="R3752" s="42">
        <v>300</v>
      </c>
      <c r="T3752" s="284">
        <v>700</v>
      </c>
      <c r="U3752" s="284"/>
    </row>
    <row r="3753" spans="2:21" x14ac:dyDescent="0.25">
      <c r="B3753" s="292">
        <v>73</v>
      </c>
      <c r="C3753" s="292"/>
      <c r="D3753" s="292"/>
      <c r="F3753" s="283" t="s">
        <v>278</v>
      </c>
      <c r="G3753" s="283"/>
      <c r="J3753" s="293">
        <v>1</v>
      </c>
      <c r="K3753" s="293"/>
      <c r="L3753" s="293"/>
      <c r="M3753" s="293"/>
      <c r="N3753" s="293"/>
      <c r="P3753" s="42">
        <v>330</v>
      </c>
      <c r="R3753" s="42">
        <v>100</v>
      </c>
      <c r="T3753" s="284">
        <v>230</v>
      </c>
      <c r="U3753" s="284"/>
    </row>
    <row r="3754" spans="2:21" x14ac:dyDescent="0.25">
      <c r="B3754" s="292">
        <v>74</v>
      </c>
      <c r="C3754" s="292"/>
      <c r="D3754" s="292"/>
      <c r="F3754" s="283" t="s">
        <v>221</v>
      </c>
      <c r="G3754" s="283"/>
      <c r="J3754" s="293">
        <v>3</v>
      </c>
      <c r="K3754" s="293"/>
      <c r="L3754" s="293"/>
      <c r="M3754" s="293"/>
      <c r="N3754" s="293"/>
      <c r="P3754" s="42">
        <v>2970</v>
      </c>
      <c r="R3754" s="42">
        <v>900</v>
      </c>
      <c r="T3754" s="284">
        <v>2070</v>
      </c>
      <c r="U3754" s="284"/>
    </row>
    <row r="3755" spans="2:21" x14ac:dyDescent="0.25">
      <c r="B3755" s="292">
        <v>75</v>
      </c>
      <c r="C3755" s="292"/>
      <c r="D3755" s="292"/>
      <c r="F3755" s="283" t="s">
        <v>327</v>
      </c>
      <c r="G3755" s="283"/>
      <c r="J3755" s="293">
        <v>1</v>
      </c>
      <c r="K3755" s="293"/>
      <c r="L3755" s="293"/>
      <c r="M3755" s="293"/>
      <c r="N3755" s="293"/>
      <c r="P3755" s="42">
        <v>880</v>
      </c>
      <c r="R3755" s="42">
        <v>130</v>
      </c>
      <c r="T3755" s="284">
        <v>750</v>
      </c>
      <c r="U3755" s="284"/>
    </row>
    <row r="3756" spans="2:21" x14ac:dyDescent="0.25">
      <c r="B3756" s="292">
        <v>76</v>
      </c>
      <c r="C3756" s="292"/>
      <c r="D3756" s="292"/>
      <c r="F3756" s="283" t="s">
        <v>219</v>
      </c>
      <c r="G3756" s="283"/>
      <c r="J3756" s="293">
        <v>12</v>
      </c>
      <c r="K3756" s="293"/>
      <c r="L3756" s="293"/>
      <c r="M3756" s="293"/>
      <c r="N3756" s="293"/>
      <c r="P3756" s="42">
        <v>6000</v>
      </c>
      <c r="R3756" s="42">
        <v>1400</v>
      </c>
      <c r="T3756" s="284">
        <v>4600</v>
      </c>
      <c r="U3756" s="284"/>
    </row>
    <row r="3757" spans="2:21" x14ac:dyDescent="0.25">
      <c r="B3757" s="292">
        <v>77</v>
      </c>
      <c r="C3757" s="292"/>
      <c r="D3757" s="292"/>
      <c r="F3757" s="283" t="s">
        <v>181</v>
      </c>
      <c r="G3757" s="283"/>
      <c r="J3757" s="293">
        <v>2</v>
      </c>
      <c r="K3757" s="293"/>
      <c r="L3757" s="293"/>
      <c r="M3757" s="293"/>
      <c r="N3757" s="293"/>
      <c r="P3757" s="42">
        <v>1580</v>
      </c>
      <c r="R3757" s="42">
        <v>240</v>
      </c>
      <c r="T3757" s="284">
        <v>1340</v>
      </c>
      <c r="U3757" s="284"/>
    </row>
    <row r="3758" spans="2:21" x14ac:dyDescent="0.25">
      <c r="B3758" s="292">
        <v>78</v>
      </c>
      <c r="C3758" s="292"/>
      <c r="D3758" s="292"/>
      <c r="F3758" s="283" t="s">
        <v>171</v>
      </c>
      <c r="G3758" s="283"/>
      <c r="J3758" s="293">
        <v>2</v>
      </c>
      <c r="K3758" s="293"/>
      <c r="L3758" s="293"/>
      <c r="M3758" s="293"/>
      <c r="N3758" s="293"/>
      <c r="P3758" s="42">
        <v>1060</v>
      </c>
      <c r="R3758" s="42">
        <v>320</v>
      </c>
      <c r="T3758" s="284">
        <v>740</v>
      </c>
      <c r="U3758" s="284"/>
    </row>
    <row r="3759" spans="2:21" x14ac:dyDescent="0.25">
      <c r="B3759" s="292">
        <v>79</v>
      </c>
      <c r="C3759" s="292"/>
      <c r="D3759" s="292"/>
      <c r="F3759" s="283" t="s">
        <v>111</v>
      </c>
      <c r="G3759" s="283"/>
      <c r="J3759" s="293">
        <v>1</v>
      </c>
      <c r="K3759" s="293"/>
      <c r="L3759" s="293"/>
      <c r="M3759" s="293"/>
      <c r="N3759" s="293"/>
      <c r="P3759" s="42">
        <v>430</v>
      </c>
      <c r="R3759" s="42">
        <v>130</v>
      </c>
      <c r="T3759" s="284">
        <v>300</v>
      </c>
      <c r="U3759" s="284"/>
    </row>
    <row r="3760" spans="2:21" x14ac:dyDescent="0.25">
      <c r="B3760" s="292">
        <v>80</v>
      </c>
      <c r="C3760" s="292"/>
      <c r="D3760" s="292"/>
      <c r="F3760" s="283" t="s">
        <v>109</v>
      </c>
      <c r="G3760" s="283"/>
      <c r="J3760" s="293">
        <v>5</v>
      </c>
      <c r="K3760" s="293"/>
      <c r="L3760" s="293"/>
      <c r="M3760" s="293"/>
      <c r="N3760" s="293"/>
      <c r="P3760" s="42">
        <v>3900</v>
      </c>
      <c r="R3760" s="42">
        <v>1150</v>
      </c>
      <c r="T3760" s="284">
        <v>2750</v>
      </c>
      <c r="U3760" s="284"/>
    </row>
    <row r="3761" spans="2:21" x14ac:dyDescent="0.25">
      <c r="B3761" s="292">
        <v>81</v>
      </c>
      <c r="C3761" s="292"/>
      <c r="D3761" s="292"/>
      <c r="F3761" s="283" t="s">
        <v>108</v>
      </c>
      <c r="G3761" s="283"/>
      <c r="J3761" s="293">
        <v>408</v>
      </c>
      <c r="K3761" s="293"/>
      <c r="L3761" s="293"/>
      <c r="M3761" s="293"/>
      <c r="N3761" s="293"/>
      <c r="P3761" s="42">
        <v>40800</v>
      </c>
      <c r="R3761" s="42">
        <v>8960</v>
      </c>
      <c r="T3761" s="284">
        <v>31840</v>
      </c>
      <c r="U3761" s="284"/>
    </row>
    <row r="3762" spans="2:21" x14ac:dyDescent="0.25">
      <c r="B3762" s="292">
        <v>82</v>
      </c>
      <c r="C3762" s="292"/>
      <c r="D3762" s="292"/>
      <c r="F3762" s="283" t="s">
        <v>107</v>
      </c>
      <c r="G3762" s="283"/>
      <c r="J3762" s="293">
        <v>28</v>
      </c>
      <c r="K3762" s="293"/>
      <c r="L3762" s="293"/>
      <c r="M3762" s="293"/>
      <c r="N3762" s="293"/>
      <c r="P3762" s="42">
        <v>4760</v>
      </c>
      <c r="R3762" s="42">
        <v>1400</v>
      </c>
      <c r="T3762" s="284">
        <v>3360</v>
      </c>
      <c r="U3762" s="284"/>
    </row>
    <row r="3763" spans="2:21" x14ac:dyDescent="0.25">
      <c r="B3763" s="292">
        <v>83</v>
      </c>
      <c r="C3763" s="292"/>
      <c r="D3763" s="292"/>
      <c r="F3763" s="283" t="s">
        <v>255</v>
      </c>
      <c r="G3763" s="283"/>
      <c r="J3763" s="293">
        <v>1</v>
      </c>
      <c r="K3763" s="293"/>
      <c r="L3763" s="293"/>
      <c r="M3763" s="293"/>
      <c r="N3763" s="293"/>
      <c r="P3763" s="42">
        <v>950</v>
      </c>
      <c r="R3763" s="42">
        <v>140</v>
      </c>
      <c r="T3763" s="284">
        <v>810</v>
      </c>
      <c r="U3763" s="284"/>
    </row>
    <row r="3764" spans="2:21" x14ac:dyDescent="0.25">
      <c r="B3764" s="292">
        <v>84</v>
      </c>
      <c r="C3764" s="292"/>
      <c r="D3764" s="292"/>
      <c r="F3764" s="283" t="s">
        <v>105</v>
      </c>
      <c r="G3764" s="283"/>
      <c r="J3764" s="293">
        <v>1</v>
      </c>
      <c r="K3764" s="293"/>
      <c r="L3764" s="293"/>
      <c r="M3764" s="293"/>
      <c r="N3764" s="293"/>
      <c r="P3764" s="42">
        <v>1150</v>
      </c>
      <c r="R3764" s="42">
        <v>0</v>
      </c>
      <c r="T3764" s="284">
        <v>1150</v>
      </c>
      <c r="U3764" s="284"/>
    </row>
    <row r="3765" spans="2:21" x14ac:dyDescent="0.25">
      <c r="B3765" s="292">
        <v>85</v>
      </c>
      <c r="C3765" s="292"/>
      <c r="D3765" s="292"/>
      <c r="F3765" s="283" t="s">
        <v>103</v>
      </c>
      <c r="G3765" s="283"/>
      <c r="J3765" s="293">
        <v>211</v>
      </c>
      <c r="K3765" s="293"/>
      <c r="L3765" s="293"/>
      <c r="M3765" s="293"/>
      <c r="N3765" s="293"/>
      <c r="P3765" s="42">
        <v>69630</v>
      </c>
      <c r="R3765" s="42">
        <v>14119</v>
      </c>
      <c r="T3765" s="284">
        <v>55511</v>
      </c>
      <c r="U3765" s="284"/>
    </row>
    <row r="3766" spans="2:21" x14ac:dyDescent="0.25">
      <c r="B3766" s="292">
        <v>86</v>
      </c>
      <c r="C3766" s="292"/>
      <c r="D3766" s="292"/>
      <c r="F3766" s="283" t="s">
        <v>212</v>
      </c>
      <c r="G3766" s="283"/>
      <c r="J3766" s="293">
        <v>3</v>
      </c>
      <c r="K3766" s="293"/>
      <c r="L3766" s="293"/>
      <c r="M3766" s="293"/>
      <c r="N3766" s="293"/>
      <c r="P3766" s="42">
        <v>1500</v>
      </c>
      <c r="R3766" s="42">
        <v>300</v>
      </c>
      <c r="T3766" s="284">
        <v>1200</v>
      </c>
      <c r="U3766" s="284"/>
    </row>
    <row r="3767" spans="2:21" x14ac:dyDescent="0.25">
      <c r="B3767" s="292">
        <v>87</v>
      </c>
      <c r="C3767" s="292"/>
      <c r="D3767" s="292"/>
      <c r="F3767" s="283" t="s">
        <v>211</v>
      </c>
      <c r="G3767" s="283"/>
      <c r="J3767" s="293">
        <v>2</v>
      </c>
      <c r="K3767" s="293"/>
      <c r="L3767" s="293"/>
      <c r="M3767" s="293"/>
      <c r="N3767" s="293"/>
      <c r="P3767" s="42">
        <v>1000</v>
      </c>
      <c r="R3767" s="42">
        <v>300</v>
      </c>
      <c r="T3767" s="284">
        <v>700</v>
      </c>
      <c r="U3767" s="284"/>
    </row>
    <row r="3768" spans="2:21" x14ac:dyDescent="0.25">
      <c r="B3768" s="292">
        <v>88</v>
      </c>
      <c r="C3768" s="292"/>
      <c r="D3768" s="292"/>
      <c r="F3768" s="283" t="s">
        <v>275</v>
      </c>
      <c r="G3768" s="283"/>
      <c r="J3768" s="293">
        <v>1</v>
      </c>
      <c r="K3768" s="293"/>
      <c r="L3768" s="293"/>
      <c r="M3768" s="293"/>
      <c r="N3768" s="293"/>
      <c r="P3768" s="42">
        <v>500</v>
      </c>
      <c r="R3768" s="42">
        <v>150</v>
      </c>
      <c r="T3768" s="284">
        <v>350</v>
      </c>
      <c r="U3768" s="284"/>
    </row>
    <row r="3769" spans="2:21" x14ac:dyDescent="0.25">
      <c r="B3769" s="292">
        <v>89</v>
      </c>
      <c r="C3769" s="292"/>
      <c r="D3769" s="292"/>
      <c r="F3769" s="283" t="s">
        <v>307</v>
      </c>
      <c r="G3769" s="283"/>
      <c r="J3769" s="293">
        <v>5</v>
      </c>
      <c r="K3769" s="293"/>
      <c r="L3769" s="293"/>
      <c r="M3769" s="293"/>
      <c r="N3769" s="293"/>
      <c r="P3769" s="42">
        <v>3700</v>
      </c>
      <c r="R3769" s="42">
        <v>1621</v>
      </c>
      <c r="T3769" s="284">
        <v>2079</v>
      </c>
      <c r="U3769" s="284"/>
    </row>
    <row r="3770" spans="2:21" x14ac:dyDescent="0.25">
      <c r="B3770" s="292">
        <v>90</v>
      </c>
      <c r="C3770" s="292"/>
      <c r="D3770" s="292"/>
      <c r="F3770" s="283" t="s">
        <v>358</v>
      </c>
      <c r="G3770" s="283"/>
      <c r="J3770" s="293">
        <v>1</v>
      </c>
      <c r="K3770" s="293"/>
      <c r="L3770" s="293"/>
      <c r="M3770" s="293"/>
      <c r="N3770" s="293"/>
      <c r="P3770" s="42">
        <v>390</v>
      </c>
      <c r="R3770" s="42">
        <v>200</v>
      </c>
      <c r="T3770" s="284">
        <v>190</v>
      </c>
      <c r="U3770" s="284"/>
    </row>
    <row r="3771" spans="2:21" x14ac:dyDescent="0.25">
      <c r="B3771" s="292">
        <v>91</v>
      </c>
      <c r="C3771" s="292"/>
      <c r="D3771" s="292"/>
      <c r="F3771" s="283" t="s">
        <v>102</v>
      </c>
      <c r="G3771" s="283"/>
      <c r="J3771" s="293">
        <v>7</v>
      </c>
      <c r="K3771" s="293"/>
      <c r="L3771" s="293"/>
      <c r="M3771" s="293"/>
      <c r="N3771" s="293"/>
      <c r="P3771" s="42">
        <v>6160</v>
      </c>
      <c r="R3771" s="42">
        <v>910</v>
      </c>
      <c r="T3771" s="284">
        <v>5250</v>
      </c>
      <c r="U3771" s="284"/>
    </row>
    <row r="3772" spans="2:21" x14ac:dyDescent="0.25">
      <c r="B3772" s="292">
        <v>92</v>
      </c>
      <c r="C3772" s="292"/>
      <c r="D3772" s="292"/>
      <c r="F3772" s="283" t="s">
        <v>101</v>
      </c>
      <c r="G3772" s="283"/>
      <c r="J3772" s="293">
        <v>2</v>
      </c>
      <c r="K3772" s="293"/>
      <c r="L3772" s="293"/>
      <c r="M3772" s="293"/>
      <c r="N3772" s="293"/>
      <c r="P3772" s="42">
        <v>920</v>
      </c>
      <c r="R3772" s="42">
        <v>280</v>
      </c>
      <c r="T3772" s="284">
        <v>640</v>
      </c>
      <c r="U3772" s="284"/>
    </row>
    <row r="3773" spans="2:21" x14ac:dyDescent="0.25">
      <c r="B3773" s="292">
        <v>93</v>
      </c>
      <c r="C3773" s="292"/>
      <c r="D3773" s="292"/>
      <c r="F3773" s="283" t="s">
        <v>254</v>
      </c>
      <c r="G3773" s="283"/>
      <c r="J3773" s="293">
        <v>2</v>
      </c>
      <c r="K3773" s="293"/>
      <c r="L3773" s="293"/>
      <c r="M3773" s="293"/>
      <c r="N3773" s="293"/>
      <c r="P3773" s="42">
        <v>580</v>
      </c>
      <c r="R3773" s="42">
        <v>160</v>
      </c>
      <c r="T3773" s="284">
        <v>420</v>
      </c>
      <c r="U3773" s="284"/>
    </row>
    <row r="3774" spans="2:21" x14ac:dyDescent="0.25">
      <c r="B3774" s="292">
        <v>94</v>
      </c>
      <c r="C3774" s="292"/>
      <c r="D3774" s="292"/>
      <c r="F3774" s="283" t="s">
        <v>100</v>
      </c>
      <c r="G3774" s="283"/>
      <c r="J3774" s="293">
        <v>4</v>
      </c>
      <c r="K3774" s="293"/>
      <c r="L3774" s="293"/>
      <c r="M3774" s="293"/>
      <c r="N3774" s="293"/>
      <c r="P3774" s="42">
        <v>720</v>
      </c>
      <c r="R3774" s="42">
        <v>200</v>
      </c>
      <c r="T3774" s="284">
        <v>520</v>
      </c>
      <c r="U3774" s="284"/>
    </row>
    <row r="3775" spans="2:21" x14ac:dyDescent="0.25">
      <c r="B3775" s="292">
        <v>95</v>
      </c>
      <c r="C3775" s="292"/>
      <c r="D3775" s="292"/>
      <c r="F3775" s="283" t="s">
        <v>178</v>
      </c>
      <c r="G3775" s="283"/>
      <c r="J3775" s="293">
        <v>4</v>
      </c>
      <c r="K3775" s="293"/>
      <c r="L3775" s="293"/>
      <c r="M3775" s="293"/>
      <c r="N3775" s="293"/>
      <c r="P3775" s="42">
        <v>6600</v>
      </c>
      <c r="R3775" s="42">
        <v>0</v>
      </c>
      <c r="T3775" s="284">
        <v>6600</v>
      </c>
      <c r="U3775" s="284"/>
    </row>
    <row r="3776" spans="2:21" x14ac:dyDescent="0.25">
      <c r="B3776" s="292">
        <v>96</v>
      </c>
      <c r="C3776" s="292"/>
      <c r="D3776" s="292"/>
      <c r="F3776" s="283" t="s">
        <v>99</v>
      </c>
      <c r="G3776" s="283"/>
      <c r="J3776" s="293">
        <v>2</v>
      </c>
      <c r="K3776" s="293"/>
      <c r="L3776" s="293"/>
      <c r="M3776" s="293"/>
      <c r="N3776" s="293"/>
      <c r="P3776" s="42">
        <v>1180</v>
      </c>
      <c r="R3776" s="42">
        <v>180</v>
      </c>
      <c r="T3776" s="284">
        <v>1000</v>
      </c>
      <c r="U3776" s="284"/>
    </row>
    <row r="3777" spans="2:21" x14ac:dyDescent="0.25">
      <c r="B3777" s="292">
        <v>97</v>
      </c>
      <c r="C3777" s="292"/>
      <c r="D3777" s="292"/>
      <c r="F3777" s="283" t="s">
        <v>98</v>
      </c>
      <c r="G3777" s="283"/>
      <c r="J3777" s="293">
        <v>2</v>
      </c>
      <c r="K3777" s="293"/>
      <c r="L3777" s="293"/>
      <c r="M3777" s="293"/>
      <c r="N3777" s="293"/>
      <c r="P3777" s="42">
        <v>1140</v>
      </c>
      <c r="R3777" s="42">
        <v>160</v>
      </c>
      <c r="T3777" s="284">
        <v>980</v>
      </c>
      <c r="U3777" s="284"/>
    </row>
    <row r="3778" spans="2:21" x14ac:dyDescent="0.25">
      <c r="B3778" s="292">
        <v>98</v>
      </c>
      <c r="C3778" s="292"/>
      <c r="D3778" s="292"/>
      <c r="F3778" s="283" t="s">
        <v>97</v>
      </c>
      <c r="G3778" s="283"/>
      <c r="J3778" s="293">
        <v>3</v>
      </c>
      <c r="K3778" s="293"/>
      <c r="L3778" s="293"/>
      <c r="M3778" s="293"/>
      <c r="N3778" s="293"/>
      <c r="P3778" s="42">
        <v>4770</v>
      </c>
      <c r="R3778" s="42">
        <v>720</v>
      </c>
      <c r="T3778" s="284">
        <v>4050</v>
      </c>
      <c r="U3778" s="284"/>
    </row>
    <row r="3779" spans="2:21" x14ac:dyDescent="0.25">
      <c r="B3779" s="292">
        <v>99</v>
      </c>
      <c r="C3779" s="292"/>
      <c r="D3779" s="292"/>
      <c r="F3779" s="283" t="s">
        <v>93</v>
      </c>
      <c r="G3779" s="283"/>
      <c r="J3779" s="293">
        <v>13</v>
      </c>
      <c r="K3779" s="293"/>
      <c r="L3779" s="293"/>
      <c r="M3779" s="293"/>
      <c r="N3779" s="293"/>
      <c r="P3779" s="42">
        <v>7670</v>
      </c>
      <c r="R3779" s="42">
        <v>1170</v>
      </c>
      <c r="T3779" s="284">
        <v>6500</v>
      </c>
      <c r="U3779" s="284"/>
    </row>
    <row r="3780" spans="2:21" x14ac:dyDescent="0.25">
      <c r="B3780" s="292">
        <v>100</v>
      </c>
      <c r="C3780" s="292"/>
      <c r="D3780" s="292"/>
      <c r="F3780" s="283" t="s">
        <v>92</v>
      </c>
      <c r="G3780" s="283"/>
      <c r="J3780" s="293">
        <v>67</v>
      </c>
      <c r="K3780" s="293"/>
      <c r="L3780" s="293"/>
      <c r="M3780" s="293"/>
      <c r="N3780" s="293"/>
      <c r="P3780" s="42">
        <v>41760</v>
      </c>
      <c r="R3780" s="42">
        <v>11808</v>
      </c>
      <c r="T3780" s="284">
        <v>29952</v>
      </c>
      <c r="U3780" s="284"/>
    </row>
    <row r="3781" spans="2:21" x14ac:dyDescent="0.25">
      <c r="B3781" s="292">
        <v>101</v>
      </c>
      <c r="C3781" s="292"/>
      <c r="D3781" s="292"/>
      <c r="F3781" s="283" t="s">
        <v>175</v>
      </c>
      <c r="G3781" s="283"/>
      <c r="J3781" s="293">
        <v>13</v>
      </c>
      <c r="K3781" s="293"/>
      <c r="L3781" s="293"/>
      <c r="M3781" s="293"/>
      <c r="N3781" s="293"/>
      <c r="P3781" s="42">
        <v>7800</v>
      </c>
      <c r="R3781" s="42">
        <v>1032</v>
      </c>
      <c r="T3781" s="284">
        <v>6768</v>
      </c>
      <c r="U3781" s="284"/>
    </row>
    <row r="3782" spans="2:21" x14ac:dyDescent="0.25">
      <c r="B3782" s="292">
        <v>102</v>
      </c>
      <c r="C3782" s="292"/>
      <c r="D3782" s="292"/>
      <c r="F3782" s="283" t="s">
        <v>357</v>
      </c>
      <c r="G3782" s="283"/>
      <c r="J3782" s="293">
        <v>1</v>
      </c>
      <c r="K3782" s="293"/>
      <c r="L3782" s="293"/>
      <c r="M3782" s="293"/>
      <c r="N3782" s="293"/>
      <c r="P3782" s="42">
        <v>500</v>
      </c>
      <c r="R3782" s="42">
        <v>150</v>
      </c>
      <c r="T3782" s="284">
        <v>350</v>
      </c>
      <c r="U3782" s="284"/>
    </row>
    <row r="3783" spans="2:21" x14ac:dyDescent="0.25">
      <c r="B3783" s="292">
        <v>103</v>
      </c>
      <c r="C3783" s="292"/>
      <c r="D3783" s="292"/>
      <c r="F3783" s="283" t="s">
        <v>174</v>
      </c>
      <c r="G3783" s="283"/>
      <c r="J3783" s="293">
        <v>20</v>
      </c>
      <c r="K3783" s="293"/>
      <c r="L3783" s="293"/>
      <c r="M3783" s="293"/>
      <c r="N3783" s="293"/>
      <c r="P3783" s="42">
        <v>8000</v>
      </c>
      <c r="R3783" s="42">
        <v>1976</v>
      </c>
      <c r="T3783" s="284">
        <v>6024</v>
      </c>
      <c r="U3783" s="284"/>
    </row>
    <row r="3784" spans="2:21" x14ac:dyDescent="0.25">
      <c r="B3784" s="292">
        <v>104</v>
      </c>
      <c r="C3784" s="292"/>
      <c r="D3784" s="292"/>
      <c r="F3784" s="283" t="s">
        <v>356</v>
      </c>
      <c r="G3784" s="283"/>
      <c r="J3784" s="293">
        <v>1</v>
      </c>
      <c r="K3784" s="293"/>
      <c r="L3784" s="293"/>
      <c r="M3784" s="293"/>
      <c r="N3784" s="293"/>
      <c r="P3784" s="42">
        <v>800</v>
      </c>
      <c r="R3784" s="42">
        <v>240</v>
      </c>
      <c r="T3784" s="284">
        <v>560</v>
      </c>
      <c r="U3784" s="284"/>
    </row>
    <row r="3785" spans="2:21" x14ac:dyDescent="0.25">
      <c r="B3785" s="292">
        <v>105</v>
      </c>
      <c r="C3785" s="292"/>
      <c r="D3785" s="292"/>
      <c r="F3785" s="283" t="s">
        <v>355</v>
      </c>
      <c r="G3785" s="283"/>
      <c r="J3785" s="293">
        <v>4</v>
      </c>
      <c r="K3785" s="293"/>
      <c r="L3785" s="293"/>
      <c r="M3785" s="293"/>
      <c r="N3785" s="293"/>
      <c r="P3785" s="42">
        <v>2400</v>
      </c>
      <c r="R3785" s="42">
        <v>462</v>
      </c>
      <c r="T3785" s="284">
        <v>1938</v>
      </c>
      <c r="U3785" s="284"/>
    </row>
    <row r="3786" spans="2:21" x14ac:dyDescent="0.25">
      <c r="B3786" s="292">
        <v>106</v>
      </c>
      <c r="C3786" s="292"/>
      <c r="D3786" s="292"/>
      <c r="F3786" s="283" t="s">
        <v>173</v>
      </c>
      <c r="G3786" s="283"/>
      <c r="J3786" s="293">
        <v>18</v>
      </c>
      <c r="K3786" s="293"/>
      <c r="L3786" s="293"/>
      <c r="M3786" s="293"/>
      <c r="N3786" s="293"/>
      <c r="P3786" s="42">
        <v>18000</v>
      </c>
      <c r="R3786" s="42">
        <v>3400</v>
      </c>
      <c r="T3786" s="284">
        <v>14600</v>
      </c>
      <c r="U3786" s="284"/>
    </row>
    <row r="3787" spans="2:21" x14ac:dyDescent="0.25">
      <c r="B3787" s="292">
        <v>107</v>
      </c>
      <c r="C3787" s="292"/>
      <c r="D3787" s="292"/>
      <c r="F3787" s="283" t="s">
        <v>296</v>
      </c>
      <c r="G3787" s="283"/>
      <c r="J3787" s="293">
        <v>1</v>
      </c>
      <c r="K3787" s="293"/>
      <c r="L3787" s="293"/>
      <c r="M3787" s="293"/>
      <c r="N3787" s="293"/>
      <c r="P3787" s="42">
        <v>1200</v>
      </c>
      <c r="R3787" s="42">
        <v>204</v>
      </c>
      <c r="T3787" s="284">
        <v>996</v>
      </c>
      <c r="U3787" s="284"/>
    </row>
    <row r="3788" spans="2:21" x14ac:dyDescent="0.25">
      <c r="B3788" s="292">
        <v>108</v>
      </c>
      <c r="C3788" s="292"/>
      <c r="D3788" s="292"/>
      <c r="F3788" s="283" t="s">
        <v>91</v>
      </c>
      <c r="G3788" s="283"/>
      <c r="J3788" s="293">
        <v>66</v>
      </c>
      <c r="K3788" s="293"/>
      <c r="L3788" s="293"/>
      <c r="M3788" s="293"/>
      <c r="N3788" s="293"/>
      <c r="P3788" s="42">
        <v>16500</v>
      </c>
      <c r="R3788" s="42">
        <v>4420</v>
      </c>
      <c r="T3788" s="284">
        <v>12080</v>
      </c>
      <c r="U3788" s="284"/>
    </row>
    <row r="3789" spans="2:21" x14ac:dyDescent="0.25">
      <c r="B3789" s="292">
        <v>109</v>
      </c>
      <c r="C3789" s="292"/>
      <c r="D3789" s="292"/>
      <c r="F3789" s="283" t="s">
        <v>90</v>
      </c>
      <c r="G3789" s="283"/>
      <c r="J3789" s="293">
        <v>31</v>
      </c>
      <c r="K3789" s="293"/>
      <c r="L3789" s="293"/>
      <c r="M3789" s="293"/>
      <c r="N3789" s="293"/>
      <c r="P3789" s="42">
        <v>8990</v>
      </c>
      <c r="R3789" s="42">
        <v>2400</v>
      </c>
      <c r="T3789" s="284">
        <v>6590</v>
      </c>
      <c r="U3789" s="284"/>
    </row>
    <row r="3790" spans="2:21" x14ac:dyDescent="0.25">
      <c r="B3790" s="292">
        <v>110</v>
      </c>
      <c r="C3790" s="292"/>
      <c r="D3790" s="292"/>
      <c r="F3790" s="283" t="s">
        <v>89</v>
      </c>
      <c r="G3790" s="283"/>
      <c r="J3790" s="293">
        <v>10</v>
      </c>
      <c r="K3790" s="293"/>
      <c r="L3790" s="293"/>
      <c r="M3790" s="293"/>
      <c r="N3790" s="293"/>
      <c r="P3790" s="42">
        <v>8800</v>
      </c>
      <c r="R3790" s="42">
        <v>1300</v>
      </c>
      <c r="T3790" s="284">
        <v>7500</v>
      </c>
      <c r="U3790" s="284"/>
    </row>
    <row r="3791" spans="2:21" x14ac:dyDescent="0.25">
      <c r="B3791" s="292">
        <v>111</v>
      </c>
      <c r="C3791" s="292"/>
      <c r="D3791" s="292"/>
      <c r="F3791" s="283" t="s">
        <v>88</v>
      </c>
      <c r="G3791" s="283"/>
      <c r="J3791" s="293">
        <v>69</v>
      </c>
      <c r="K3791" s="293"/>
      <c r="L3791" s="293"/>
      <c r="M3791" s="293"/>
      <c r="N3791" s="293"/>
      <c r="P3791" s="42">
        <v>12420</v>
      </c>
      <c r="R3791" s="42">
        <v>3860</v>
      </c>
      <c r="T3791" s="284">
        <v>8560</v>
      </c>
      <c r="U3791" s="284"/>
    </row>
    <row r="3792" spans="2:21" x14ac:dyDescent="0.25">
      <c r="B3792" s="292">
        <v>112</v>
      </c>
      <c r="C3792" s="292"/>
      <c r="D3792" s="292"/>
      <c r="F3792" s="283" t="s">
        <v>85</v>
      </c>
      <c r="G3792" s="283"/>
      <c r="J3792" s="293">
        <v>7</v>
      </c>
      <c r="K3792" s="293"/>
      <c r="L3792" s="293"/>
      <c r="M3792" s="293"/>
      <c r="N3792" s="293"/>
      <c r="P3792" s="42">
        <v>14560</v>
      </c>
      <c r="R3792" s="42">
        <v>2170</v>
      </c>
      <c r="T3792" s="284">
        <v>12390</v>
      </c>
      <c r="U3792" s="284"/>
    </row>
    <row r="3793" spans="1:21" x14ac:dyDescent="0.25">
      <c r="B3793" s="292">
        <v>113</v>
      </c>
      <c r="C3793" s="292"/>
      <c r="D3793" s="292"/>
      <c r="F3793" s="283" t="s">
        <v>84</v>
      </c>
      <c r="G3793" s="283"/>
      <c r="J3793" s="293">
        <v>36</v>
      </c>
      <c r="K3793" s="293"/>
      <c r="L3793" s="293"/>
      <c r="M3793" s="293"/>
      <c r="N3793" s="293"/>
      <c r="P3793" s="42">
        <v>21240</v>
      </c>
      <c r="R3793" s="42">
        <v>6116</v>
      </c>
      <c r="T3793" s="284">
        <v>15124</v>
      </c>
      <c r="U3793" s="284"/>
    </row>
    <row r="3794" spans="1:21" x14ac:dyDescent="0.25">
      <c r="B3794" s="292">
        <v>114</v>
      </c>
      <c r="C3794" s="292"/>
      <c r="D3794" s="292"/>
      <c r="F3794" s="283" t="s">
        <v>331</v>
      </c>
      <c r="G3794" s="283"/>
      <c r="J3794" s="293">
        <v>1</v>
      </c>
      <c r="K3794" s="293"/>
      <c r="L3794" s="293"/>
      <c r="M3794" s="293"/>
      <c r="N3794" s="293"/>
      <c r="P3794" s="42">
        <v>500</v>
      </c>
      <c r="R3794" s="42">
        <v>150</v>
      </c>
      <c r="T3794" s="284">
        <v>350</v>
      </c>
      <c r="U3794" s="284"/>
    </row>
    <row r="3795" spans="1:21" x14ac:dyDescent="0.25">
      <c r="B3795" s="292">
        <v>115</v>
      </c>
      <c r="C3795" s="292"/>
      <c r="D3795" s="292"/>
      <c r="F3795" s="283" t="s">
        <v>208</v>
      </c>
      <c r="G3795" s="283"/>
      <c r="J3795" s="293">
        <v>1</v>
      </c>
      <c r="K3795" s="293"/>
      <c r="L3795" s="293"/>
      <c r="M3795" s="293"/>
      <c r="N3795" s="293"/>
      <c r="P3795" s="42">
        <v>500</v>
      </c>
      <c r="R3795" s="42">
        <v>150</v>
      </c>
      <c r="T3795" s="284">
        <v>350</v>
      </c>
      <c r="U3795" s="284"/>
    </row>
    <row r="3796" spans="1:21" x14ac:dyDescent="0.25">
      <c r="B3796" s="292">
        <v>116</v>
      </c>
      <c r="C3796" s="292"/>
      <c r="D3796" s="292"/>
      <c r="F3796" s="283" t="s">
        <v>273</v>
      </c>
      <c r="G3796" s="283"/>
      <c r="J3796" s="293">
        <v>1</v>
      </c>
      <c r="K3796" s="293"/>
      <c r="L3796" s="293"/>
      <c r="M3796" s="293"/>
      <c r="N3796" s="293"/>
      <c r="P3796" s="42">
        <v>500</v>
      </c>
      <c r="R3796" s="42">
        <v>150</v>
      </c>
      <c r="T3796" s="284">
        <v>350</v>
      </c>
      <c r="U3796" s="284"/>
    </row>
    <row r="3797" spans="1:21" x14ac:dyDescent="0.25">
      <c r="B3797" s="292">
        <v>117</v>
      </c>
      <c r="C3797" s="292"/>
      <c r="D3797" s="292"/>
      <c r="F3797" s="283" t="s">
        <v>206</v>
      </c>
      <c r="G3797" s="283"/>
      <c r="J3797" s="293">
        <v>4</v>
      </c>
      <c r="K3797" s="293"/>
      <c r="L3797" s="293"/>
      <c r="M3797" s="293"/>
      <c r="N3797" s="293"/>
      <c r="P3797" s="42">
        <v>2000</v>
      </c>
      <c r="R3797" s="42">
        <v>600</v>
      </c>
      <c r="T3797" s="284">
        <v>1400</v>
      </c>
      <c r="U3797" s="284"/>
    </row>
    <row r="3798" spans="1:21" x14ac:dyDescent="0.25">
      <c r="B3798" s="292">
        <v>118</v>
      </c>
      <c r="C3798" s="292"/>
      <c r="D3798" s="292"/>
      <c r="F3798" s="283" t="s">
        <v>272</v>
      </c>
      <c r="G3798" s="283"/>
      <c r="J3798" s="293">
        <v>6</v>
      </c>
      <c r="K3798" s="293"/>
      <c r="L3798" s="293"/>
      <c r="M3798" s="293"/>
      <c r="N3798" s="293"/>
      <c r="P3798" s="42">
        <v>3000</v>
      </c>
      <c r="R3798" s="42">
        <v>900</v>
      </c>
      <c r="T3798" s="284">
        <v>2100</v>
      </c>
      <c r="U3798" s="284"/>
    </row>
    <row r="3799" spans="1:21" x14ac:dyDescent="0.25">
      <c r="B3799" s="292">
        <v>119</v>
      </c>
      <c r="C3799" s="292"/>
      <c r="D3799" s="292"/>
      <c r="F3799" s="283" t="s">
        <v>205</v>
      </c>
      <c r="G3799" s="283"/>
      <c r="J3799" s="293">
        <v>4</v>
      </c>
      <c r="K3799" s="293"/>
      <c r="L3799" s="293"/>
      <c r="M3799" s="293"/>
      <c r="N3799" s="293"/>
      <c r="P3799" s="42">
        <v>2000</v>
      </c>
      <c r="R3799" s="42">
        <v>600</v>
      </c>
      <c r="T3799" s="284">
        <v>1400</v>
      </c>
      <c r="U3799" s="284"/>
    </row>
    <row r="3800" spans="1:21" x14ac:dyDescent="0.25">
      <c r="B3800" s="292">
        <v>120</v>
      </c>
      <c r="C3800" s="292"/>
      <c r="D3800" s="292"/>
      <c r="F3800" s="283" t="s">
        <v>204</v>
      </c>
      <c r="G3800" s="283"/>
      <c r="J3800" s="293">
        <v>2</v>
      </c>
      <c r="K3800" s="293"/>
      <c r="L3800" s="293"/>
      <c r="M3800" s="293"/>
      <c r="N3800" s="293"/>
      <c r="P3800" s="42">
        <v>1000</v>
      </c>
      <c r="R3800" s="42">
        <v>300</v>
      </c>
      <c r="T3800" s="284">
        <v>700</v>
      </c>
      <c r="U3800" s="284"/>
    </row>
    <row r="3801" spans="1:21" x14ac:dyDescent="0.25">
      <c r="B3801" s="292">
        <v>121</v>
      </c>
      <c r="C3801" s="292"/>
      <c r="D3801" s="292"/>
      <c r="F3801" s="283" t="s">
        <v>83</v>
      </c>
      <c r="G3801" s="283"/>
      <c r="J3801" s="293">
        <v>6</v>
      </c>
      <c r="K3801" s="293"/>
      <c r="L3801" s="293"/>
      <c r="M3801" s="293"/>
      <c r="N3801" s="293"/>
      <c r="P3801" s="42">
        <v>3000</v>
      </c>
      <c r="R3801" s="42">
        <v>750</v>
      </c>
      <c r="T3801" s="284">
        <v>2250</v>
      </c>
      <c r="U3801" s="284"/>
    </row>
    <row r="3802" spans="1:21" x14ac:dyDescent="0.25">
      <c r="B3802" s="292">
        <v>122</v>
      </c>
      <c r="C3802" s="292"/>
      <c r="D3802" s="292"/>
      <c r="F3802" s="283" t="s">
        <v>271</v>
      </c>
      <c r="G3802" s="283"/>
      <c r="J3802" s="293">
        <v>4</v>
      </c>
      <c r="K3802" s="293"/>
      <c r="L3802" s="293"/>
      <c r="M3802" s="293"/>
      <c r="N3802" s="293"/>
      <c r="P3802" s="42">
        <v>2000</v>
      </c>
      <c r="R3802" s="42">
        <v>600</v>
      </c>
      <c r="T3802" s="284">
        <v>1400</v>
      </c>
      <c r="U3802" s="284"/>
    </row>
    <row r="3803" spans="1:21" x14ac:dyDescent="0.25">
      <c r="B3803" s="292">
        <v>123</v>
      </c>
      <c r="C3803" s="292"/>
      <c r="D3803" s="292"/>
      <c r="F3803" s="283" t="s">
        <v>203</v>
      </c>
      <c r="G3803" s="283"/>
      <c r="J3803" s="293">
        <v>1</v>
      </c>
      <c r="K3803" s="293"/>
      <c r="L3803" s="293"/>
      <c r="M3803" s="293"/>
      <c r="N3803" s="293"/>
      <c r="P3803" s="42">
        <v>500</v>
      </c>
      <c r="R3803" s="42">
        <v>150</v>
      </c>
      <c r="T3803" s="284">
        <v>350</v>
      </c>
      <c r="U3803" s="284"/>
    </row>
    <row r="3804" spans="1:21" x14ac:dyDescent="0.25">
      <c r="B3804" s="292">
        <v>124</v>
      </c>
      <c r="C3804" s="292"/>
      <c r="D3804" s="292"/>
      <c r="F3804" s="283" t="s">
        <v>81</v>
      </c>
      <c r="G3804" s="283"/>
      <c r="J3804" s="293">
        <v>67</v>
      </c>
      <c r="K3804" s="293"/>
      <c r="L3804" s="293"/>
      <c r="M3804" s="293"/>
      <c r="N3804" s="293"/>
      <c r="P3804" s="42">
        <v>19430</v>
      </c>
      <c r="R3804" s="42">
        <v>5120</v>
      </c>
      <c r="T3804" s="284">
        <v>14310</v>
      </c>
      <c r="U3804" s="284"/>
    </row>
    <row r="3805" spans="1:21" s="40" customFormat="1" x14ac:dyDescent="0.25">
      <c r="A3805" s="290" t="s">
        <v>354</v>
      </c>
      <c r="B3805" s="290"/>
      <c r="C3805" s="290"/>
      <c r="D3805" s="290"/>
      <c r="E3805" s="290"/>
      <c r="F3805" s="290"/>
      <c r="G3805" s="290"/>
      <c r="H3805" s="290"/>
      <c r="I3805" s="290"/>
      <c r="J3805" s="290"/>
      <c r="K3805" s="291">
        <v>7379</v>
      </c>
      <c r="L3805" s="291"/>
      <c r="M3805" s="291"/>
      <c r="N3805" s="291"/>
      <c r="O3805" s="291"/>
      <c r="P3805" s="41">
        <v>6921100</v>
      </c>
      <c r="R3805" s="41">
        <v>6201688</v>
      </c>
      <c r="T3805" s="287">
        <v>719412</v>
      </c>
      <c r="U3805" s="287"/>
    </row>
    <row r="3806" spans="1:21" x14ac:dyDescent="0.25">
      <c r="B3806" s="292">
        <v>1</v>
      </c>
      <c r="C3806" s="292"/>
      <c r="D3806" s="292"/>
      <c r="F3806" s="283" t="s">
        <v>78</v>
      </c>
      <c r="G3806" s="283"/>
      <c r="J3806" s="293">
        <v>258</v>
      </c>
      <c r="K3806" s="293"/>
      <c r="L3806" s="293"/>
      <c r="M3806" s="293"/>
      <c r="N3806" s="293"/>
      <c r="P3806" s="42">
        <v>74820</v>
      </c>
      <c r="R3806" s="42">
        <v>74820</v>
      </c>
      <c r="T3806" s="284">
        <v>0</v>
      </c>
      <c r="U3806" s="284"/>
    </row>
    <row r="3807" spans="1:21" x14ac:dyDescent="0.25">
      <c r="B3807" s="292">
        <v>2</v>
      </c>
      <c r="C3807" s="292"/>
      <c r="D3807" s="292"/>
      <c r="F3807" s="283" t="s">
        <v>165</v>
      </c>
      <c r="G3807" s="283"/>
      <c r="J3807" s="293">
        <v>2</v>
      </c>
      <c r="K3807" s="293"/>
      <c r="L3807" s="293"/>
      <c r="M3807" s="293"/>
      <c r="N3807" s="293"/>
      <c r="P3807" s="42">
        <v>1180</v>
      </c>
      <c r="R3807" s="42">
        <v>360</v>
      </c>
      <c r="T3807" s="284">
        <v>820</v>
      </c>
      <c r="U3807" s="284"/>
    </row>
    <row r="3808" spans="1:21" x14ac:dyDescent="0.25">
      <c r="B3808" s="292">
        <v>3</v>
      </c>
      <c r="C3808" s="292"/>
      <c r="D3808" s="292"/>
      <c r="F3808" s="283" t="s">
        <v>163</v>
      </c>
      <c r="G3808" s="283"/>
      <c r="J3808" s="293">
        <v>3</v>
      </c>
      <c r="K3808" s="293"/>
      <c r="L3808" s="293"/>
      <c r="M3808" s="293"/>
      <c r="N3808" s="293"/>
      <c r="P3808" s="42">
        <v>3570</v>
      </c>
      <c r="R3808" s="42">
        <v>540</v>
      </c>
      <c r="T3808" s="284">
        <v>3030</v>
      </c>
      <c r="U3808" s="284"/>
    </row>
    <row r="3809" spans="2:21" x14ac:dyDescent="0.25">
      <c r="B3809" s="292">
        <v>4</v>
      </c>
      <c r="C3809" s="292"/>
      <c r="D3809" s="292"/>
      <c r="F3809" s="283" t="s">
        <v>162</v>
      </c>
      <c r="G3809" s="283"/>
      <c r="J3809" s="293">
        <v>168</v>
      </c>
      <c r="K3809" s="293"/>
      <c r="L3809" s="293"/>
      <c r="M3809" s="293"/>
      <c r="N3809" s="293"/>
      <c r="P3809" s="42">
        <v>72240</v>
      </c>
      <c r="R3809" s="42">
        <v>31216</v>
      </c>
      <c r="T3809" s="284">
        <v>41024</v>
      </c>
      <c r="U3809" s="284"/>
    </row>
    <row r="3810" spans="2:21" x14ac:dyDescent="0.25">
      <c r="B3810" s="292">
        <v>5</v>
      </c>
      <c r="C3810" s="292"/>
      <c r="D3810" s="292"/>
      <c r="F3810" s="283" t="s">
        <v>160</v>
      </c>
      <c r="G3810" s="283"/>
      <c r="J3810" s="293">
        <v>11</v>
      </c>
      <c r="K3810" s="293"/>
      <c r="L3810" s="293"/>
      <c r="M3810" s="293"/>
      <c r="N3810" s="293"/>
      <c r="P3810" s="42">
        <v>3190</v>
      </c>
      <c r="R3810" s="42">
        <v>800</v>
      </c>
      <c r="T3810" s="284">
        <v>2390</v>
      </c>
      <c r="U3810" s="284"/>
    </row>
    <row r="3811" spans="2:21" x14ac:dyDescent="0.25">
      <c r="B3811" s="292">
        <v>6</v>
      </c>
      <c r="C3811" s="292"/>
      <c r="D3811" s="292"/>
      <c r="F3811" s="283" t="s">
        <v>158</v>
      </c>
      <c r="G3811" s="283"/>
      <c r="J3811" s="293">
        <v>203</v>
      </c>
      <c r="K3811" s="293"/>
      <c r="L3811" s="293"/>
      <c r="M3811" s="293"/>
      <c r="N3811" s="293"/>
      <c r="P3811" s="42">
        <v>111650</v>
      </c>
      <c r="R3811" s="42">
        <v>24150</v>
      </c>
      <c r="T3811" s="284">
        <v>87500</v>
      </c>
      <c r="U3811" s="284"/>
    </row>
    <row r="3812" spans="2:21" x14ac:dyDescent="0.25">
      <c r="B3812" s="292">
        <v>7</v>
      </c>
      <c r="C3812" s="292"/>
      <c r="D3812" s="292"/>
      <c r="F3812" s="283" t="s">
        <v>157</v>
      </c>
      <c r="G3812" s="283"/>
      <c r="J3812" s="293">
        <v>285</v>
      </c>
      <c r="K3812" s="293"/>
      <c r="L3812" s="293"/>
      <c r="M3812" s="293"/>
      <c r="N3812" s="293"/>
      <c r="P3812" s="42">
        <v>139650</v>
      </c>
      <c r="R3812" s="42">
        <v>59454</v>
      </c>
      <c r="T3812" s="284">
        <v>80196</v>
      </c>
      <c r="U3812" s="284"/>
    </row>
    <row r="3813" spans="2:21" x14ac:dyDescent="0.25">
      <c r="B3813" s="292">
        <v>8</v>
      </c>
      <c r="C3813" s="292"/>
      <c r="D3813" s="292"/>
      <c r="F3813" s="283" t="s">
        <v>196</v>
      </c>
      <c r="G3813" s="283"/>
      <c r="J3813" s="293">
        <v>2</v>
      </c>
      <c r="K3813" s="293"/>
      <c r="L3813" s="293"/>
      <c r="M3813" s="293"/>
      <c r="N3813" s="293"/>
      <c r="P3813" s="42">
        <v>1400</v>
      </c>
      <c r="R3813" s="42">
        <v>700</v>
      </c>
      <c r="T3813" s="284">
        <v>700</v>
      </c>
      <c r="U3813" s="284"/>
    </row>
    <row r="3814" spans="2:21" x14ac:dyDescent="0.25">
      <c r="B3814" s="292">
        <v>9</v>
      </c>
      <c r="C3814" s="292"/>
      <c r="D3814" s="292"/>
      <c r="F3814" s="283" t="s">
        <v>328</v>
      </c>
      <c r="G3814" s="283"/>
      <c r="J3814" s="293">
        <v>1</v>
      </c>
      <c r="K3814" s="293"/>
      <c r="L3814" s="293"/>
      <c r="M3814" s="293"/>
      <c r="N3814" s="293"/>
      <c r="P3814" s="42">
        <v>500</v>
      </c>
      <c r="R3814" s="42">
        <v>150</v>
      </c>
      <c r="T3814" s="284">
        <v>350</v>
      </c>
      <c r="U3814" s="284"/>
    </row>
    <row r="3815" spans="2:21" x14ac:dyDescent="0.25">
      <c r="B3815" s="292">
        <v>10</v>
      </c>
      <c r="C3815" s="292"/>
      <c r="D3815" s="292"/>
      <c r="F3815" s="283" t="s">
        <v>244</v>
      </c>
      <c r="G3815" s="283"/>
      <c r="J3815" s="293">
        <v>1</v>
      </c>
      <c r="K3815" s="293"/>
      <c r="L3815" s="293"/>
      <c r="M3815" s="293"/>
      <c r="N3815" s="293"/>
      <c r="P3815" s="42">
        <v>500</v>
      </c>
      <c r="R3815" s="42">
        <v>500</v>
      </c>
      <c r="T3815" s="284">
        <v>0</v>
      </c>
      <c r="U3815" s="284"/>
    </row>
    <row r="3816" spans="2:21" x14ac:dyDescent="0.25">
      <c r="B3816" s="292">
        <v>11</v>
      </c>
      <c r="C3816" s="292"/>
      <c r="D3816" s="292"/>
      <c r="F3816" s="283" t="s">
        <v>77</v>
      </c>
      <c r="G3816" s="283"/>
      <c r="J3816" s="293">
        <v>1444</v>
      </c>
      <c r="K3816" s="293"/>
      <c r="L3816" s="293"/>
      <c r="M3816" s="293"/>
      <c r="N3816" s="293"/>
      <c r="P3816" s="42">
        <v>577800</v>
      </c>
      <c r="R3816" s="42">
        <v>577800</v>
      </c>
      <c r="T3816" s="284">
        <v>0</v>
      </c>
      <c r="U3816" s="284"/>
    </row>
    <row r="3817" spans="2:21" x14ac:dyDescent="0.25">
      <c r="B3817" s="292">
        <v>12</v>
      </c>
      <c r="C3817" s="292"/>
      <c r="D3817" s="292"/>
      <c r="F3817" s="283" t="s">
        <v>76</v>
      </c>
      <c r="G3817" s="283"/>
      <c r="J3817" s="293">
        <v>2</v>
      </c>
      <c r="K3817" s="293"/>
      <c r="L3817" s="293"/>
      <c r="M3817" s="293"/>
      <c r="N3817" s="293"/>
      <c r="P3817" s="42">
        <v>1200</v>
      </c>
      <c r="R3817" s="42">
        <v>1200</v>
      </c>
      <c r="T3817" s="284">
        <v>0</v>
      </c>
      <c r="U3817" s="284"/>
    </row>
    <row r="3818" spans="2:21" x14ac:dyDescent="0.25">
      <c r="B3818" s="292">
        <v>13</v>
      </c>
      <c r="C3818" s="292"/>
      <c r="D3818" s="292"/>
      <c r="F3818" s="283" t="s">
        <v>156</v>
      </c>
      <c r="G3818" s="283"/>
      <c r="J3818" s="293">
        <v>7</v>
      </c>
      <c r="K3818" s="293"/>
      <c r="L3818" s="293"/>
      <c r="M3818" s="293"/>
      <c r="N3818" s="293"/>
      <c r="P3818" s="42">
        <v>1330</v>
      </c>
      <c r="R3818" s="42">
        <v>250</v>
      </c>
      <c r="T3818" s="284">
        <v>1080</v>
      </c>
      <c r="U3818" s="284"/>
    </row>
    <row r="3819" spans="2:21" x14ac:dyDescent="0.25">
      <c r="B3819" s="292">
        <v>14</v>
      </c>
      <c r="C3819" s="292"/>
      <c r="D3819" s="292"/>
      <c r="F3819" s="283" t="s">
        <v>155</v>
      </c>
      <c r="G3819" s="283"/>
      <c r="J3819" s="293">
        <v>27</v>
      </c>
      <c r="K3819" s="293"/>
      <c r="L3819" s="293"/>
      <c r="M3819" s="293"/>
      <c r="N3819" s="293"/>
      <c r="P3819" s="42">
        <v>6750</v>
      </c>
      <c r="R3819" s="42">
        <v>1680</v>
      </c>
      <c r="T3819" s="284">
        <v>5070</v>
      </c>
      <c r="U3819" s="284"/>
    </row>
    <row r="3820" spans="2:21" x14ac:dyDescent="0.25">
      <c r="B3820" s="292">
        <v>15</v>
      </c>
      <c r="C3820" s="292"/>
      <c r="D3820" s="292"/>
      <c r="F3820" s="283" t="s">
        <v>154</v>
      </c>
      <c r="G3820" s="283"/>
      <c r="J3820" s="293">
        <v>1</v>
      </c>
      <c r="K3820" s="293"/>
      <c r="L3820" s="293"/>
      <c r="M3820" s="293"/>
      <c r="N3820" s="293"/>
      <c r="P3820" s="42">
        <v>890</v>
      </c>
      <c r="R3820" s="42">
        <v>130</v>
      </c>
      <c r="T3820" s="284">
        <v>760</v>
      </c>
      <c r="U3820" s="284"/>
    </row>
    <row r="3821" spans="2:21" x14ac:dyDescent="0.25">
      <c r="B3821" s="292">
        <v>16</v>
      </c>
      <c r="C3821" s="292"/>
      <c r="D3821" s="292"/>
      <c r="F3821" s="283" t="s">
        <v>239</v>
      </c>
      <c r="G3821" s="283"/>
      <c r="J3821" s="293">
        <v>1</v>
      </c>
      <c r="K3821" s="293"/>
      <c r="L3821" s="293"/>
      <c r="M3821" s="293"/>
      <c r="N3821" s="293"/>
      <c r="P3821" s="42">
        <v>1090</v>
      </c>
      <c r="R3821" s="42">
        <v>0</v>
      </c>
      <c r="T3821" s="284">
        <v>1090</v>
      </c>
      <c r="U3821" s="284"/>
    </row>
    <row r="3822" spans="2:21" x14ac:dyDescent="0.25">
      <c r="B3822" s="292">
        <v>17</v>
      </c>
      <c r="C3822" s="292"/>
      <c r="D3822" s="292"/>
      <c r="F3822" s="283" t="s">
        <v>153</v>
      </c>
      <c r="G3822" s="283"/>
      <c r="J3822" s="293">
        <v>2</v>
      </c>
      <c r="K3822" s="293"/>
      <c r="L3822" s="293"/>
      <c r="M3822" s="293"/>
      <c r="N3822" s="293"/>
      <c r="P3822" s="42">
        <v>2360</v>
      </c>
      <c r="R3822" s="42">
        <v>360</v>
      </c>
      <c r="T3822" s="284">
        <v>2000</v>
      </c>
      <c r="U3822" s="284"/>
    </row>
    <row r="3823" spans="2:21" x14ac:dyDescent="0.25">
      <c r="B3823" s="292">
        <v>18</v>
      </c>
      <c r="C3823" s="292"/>
      <c r="D3823" s="292"/>
      <c r="F3823" s="283" t="s">
        <v>152</v>
      </c>
      <c r="G3823" s="283"/>
      <c r="J3823" s="293">
        <v>4</v>
      </c>
      <c r="K3823" s="293"/>
      <c r="L3823" s="293"/>
      <c r="M3823" s="293"/>
      <c r="N3823" s="293"/>
      <c r="P3823" s="42">
        <v>2360</v>
      </c>
      <c r="R3823" s="42">
        <v>540</v>
      </c>
      <c r="T3823" s="284">
        <v>1820</v>
      </c>
      <c r="U3823" s="284"/>
    </row>
    <row r="3824" spans="2:21" x14ac:dyDescent="0.25">
      <c r="B3824" s="292">
        <v>19</v>
      </c>
      <c r="C3824" s="292"/>
      <c r="D3824" s="292"/>
      <c r="F3824" s="283" t="s">
        <v>151</v>
      </c>
      <c r="G3824" s="283"/>
      <c r="J3824" s="293">
        <v>70</v>
      </c>
      <c r="K3824" s="293"/>
      <c r="L3824" s="293"/>
      <c r="M3824" s="293"/>
      <c r="N3824" s="293"/>
      <c r="P3824" s="42">
        <v>16100</v>
      </c>
      <c r="R3824" s="42">
        <v>4350</v>
      </c>
      <c r="T3824" s="284">
        <v>11750</v>
      </c>
      <c r="U3824" s="284"/>
    </row>
    <row r="3825" spans="2:21" x14ac:dyDescent="0.25">
      <c r="B3825" s="292">
        <v>20</v>
      </c>
      <c r="C3825" s="292"/>
      <c r="D3825" s="292"/>
      <c r="F3825" s="283" t="s">
        <v>150</v>
      </c>
      <c r="G3825" s="283"/>
      <c r="J3825" s="293">
        <v>31</v>
      </c>
      <c r="K3825" s="293"/>
      <c r="L3825" s="293"/>
      <c r="M3825" s="293"/>
      <c r="N3825" s="293"/>
      <c r="P3825" s="42">
        <v>5270</v>
      </c>
      <c r="R3825" s="42">
        <v>1450</v>
      </c>
      <c r="T3825" s="284">
        <v>3820</v>
      </c>
      <c r="U3825" s="284"/>
    </row>
    <row r="3826" spans="2:21" x14ac:dyDescent="0.25">
      <c r="B3826" s="292">
        <v>21</v>
      </c>
      <c r="C3826" s="292"/>
      <c r="D3826" s="292"/>
      <c r="F3826" s="283" t="s">
        <v>288</v>
      </c>
      <c r="G3826" s="283"/>
      <c r="J3826" s="293">
        <v>1</v>
      </c>
      <c r="K3826" s="293"/>
      <c r="L3826" s="293"/>
      <c r="M3826" s="293"/>
      <c r="N3826" s="293"/>
      <c r="P3826" s="42">
        <v>800</v>
      </c>
      <c r="R3826" s="42">
        <v>450</v>
      </c>
      <c r="T3826" s="284">
        <v>350</v>
      </c>
      <c r="U3826" s="284"/>
    </row>
    <row r="3827" spans="2:21" x14ac:dyDescent="0.25">
      <c r="B3827" s="292">
        <v>22</v>
      </c>
      <c r="C3827" s="292"/>
      <c r="D3827" s="292"/>
      <c r="F3827" s="283" t="s">
        <v>234</v>
      </c>
      <c r="G3827" s="283"/>
      <c r="J3827" s="293">
        <v>1</v>
      </c>
      <c r="K3827" s="293"/>
      <c r="L3827" s="293"/>
      <c r="M3827" s="293"/>
      <c r="N3827" s="293"/>
      <c r="P3827" s="42">
        <v>800</v>
      </c>
      <c r="R3827" s="42">
        <v>450</v>
      </c>
      <c r="T3827" s="284">
        <v>350</v>
      </c>
      <c r="U3827" s="284"/>
    </row>
    <row r="3828" spans="2:21" x14ac:dyDescent="0.25">
      <c r="B3828" s="292">
        <v>23</v>
      </c>
      <c r="C3828" s="292"/>
      <c r="D3828" s="292"/>
      <c r="F3828" s="283" t="s">
        <v>193</v>
      </c>
      <c r="G3828" s="283"/>
      <c r="J3828" s="293">
        <v>2</v>
      </c>
      <c r="K3828" s="293"/>
      <c r="L3828" s="293"/>
      <c r="M3828" s="293"/>
      <c r="N3828" s="293"/>
      <c r="P3828" s="42">
        <v>1780</v>
      </c>
      <c r="R3828" s="42">
        <v>130</v>
      </c>
      <c r="T3828" s="284">
        <v>1650</v>
      </c>
      <c r="U3828" s="284"/>
    </row>
    <row r="3829" spans="2:21" x14ac:dyDescent="0.25">
      <c r="B3829" s="292">
        <v>24</v>
      </c>
      <c r="C3829" s="292"/>
      <c r="D3829" s="292"/>
      <c r="F3829" s="283" t="s">
        <v>353</v>
      </c>
      <c r="G3829" s="283"/>
      <c r="J3829" s="293">
        <v>1</v>
      </c>
      <c r="K3829" s="293"/>
      <c r="L3829" s="293"/>
      <c r="M3829" s="293"/>
      <c r="N3829" s="293"/>
      <c r="P3829" s="42">
        <v>350</v>
      </c>
      <c r="R3829" s="42">
        <v>150</v>
      </c>
      <c r="T3829" s="284">
        <v>200</v>
      </c>
      <c r="U3829" s="284"/>
    </row>
    <row r="3830" spans="2:21" x14ac:dyDescent="0.25">
      <c r="B3830" s="292">
        <v>25</v>
      </c>
      <c r="C3830" s="292"/>
      <c r="D3830" s="292"/>
      <c r="F3830" s="283" t="s">
        <v>75</v>
      </c>
      <c r="G3830" s="283"/>
      <c r="J3830" s="293">
        <v>2011</v>
      </c>
      <c r="K3830" s="293"/>
      <c r="L3830" s="293"/>
      <c r="M3830" s="293"/>
      <c r="N3830" s="293"/>
      <c r="P3830" s="42">
        <v>5027500</v>
      </c>
      <c r="R3830" s="42">
        <v>5027500</v>
      </c>
      <c r="T3830" s="284">
        <v>0</v>
      </c>
      <c r="U3830" s="284"/>
    </row>
    <row r="3831" spans="2:21" x14ac:dyDescent="0.25">
      <c r="B3831" s="292">
        <v>26</v>
      </c>
      <c r="C3831" s="292"/>
      <c r="D3831" s="292"/>
      <c r="F3831" s="283" t="s">
        <v>139</v>
      </c>
      <c r="G3831" s="283"/>
      <c r="J3831" s="293">
        <v>6</v>
      </c>
      <c r="K3831" s="293"/>
      <c r="L3831" s="293"/>
      <c r="M3831" s="293"/>
      <c r="N3831" s="293"/>
      <c r="P3831" s="42">
        <v>1620</v>
      </c>
      <c r="R3831" s="42">
        <v>240</v>
      </c>
      <c r="T3831" s="284">
        <v>1380</v>
      </c>
      <c r="U3831" s="284"/>
    </row>
    <row r="3832" spans="2:21" x14ac:dyDescent="0.25">
      <c r="B3832" s="292">
        <v>27</v>
      </c>
      <c r="C3832" s="292"/>
      <c r="D3832" s="292"/>
      <c r="F3832" s="283" t="s">
        <v>231</v>
      </c>
      <c r="G3832" s="283"/>
      <c r="J3832" s="293">
        <v>2</v>
      </c>
      <c r="K3832" s="293"/>
      <c r="L3832" s="293"/>
      <c r="M3832" s="293"/>
      <c r="N3832" s="293"/>
      <c r="P3832" s="42">
        <v>1000</v>
      </c>
      <c r="R3832" s="42">
        <v>300</v>
      </c>
      <c r="T3832" s="284">
        <v>700</v>
      </c>
      <c r="U3832" s="284"/>
    </row>
    <row r="3833" spans="2:21" x14ac:dyDescent="0.25">
      <c r="B3833" s="292">
        <v>28</v>
      </c>
      <c r="C3833" s="292"/>
      <c r="D3833" s="292"/>
      <c r="F3833" s="283" t="s">
        <v>137</v>
      </c>
      <c r="G3833" s="283"/>
      <c r="J3833" s="293">
        <v>2</v>
      </c>
      <c r="K3833" s="293"/>
      <c r="L3833" s="293"/>
      <c r="M3833" s="293"/>
      <c r="N3833" s="293"/>
      <c r="P3833" s="42">
        <v>1600</v>
      </c>
      <c r="R3833" s="42">
        <v>900</v>
      </c>
      <c r="T3833" s="284">
        <v>700</v>
      </c>
      <c r="U3833" s="284"/>
    </row>
    <row r="3834" spans="2:21" x14ac:dyDescent="0.25">
      <c r="B3834" s="292">
        <v>29</v>
      </c>
      <c r="C3834" s="292"/>
      <c r="D3834" s="292"/>
      <c r="F3834" s="283" t="s">
        <v>136</v>
      </c>
      <c r="G3834" s="283"/>
      <c r="J3834" s="293">
        <v>32</v>
      </c>
      <c r="K3834" s="293"/>
      <c r="L3834" s="293"/>
      <c r="M3834" s="293"/>
      <c r="N3834" s="293"/>
      <c r="P3834" s="42">
        <v>27200</v>
      </c>
      <c r="R3834" s="42">
        <v>7150</v>
      </c>
      <c r="T3834" s="284">
        <v>20050</v>
      </c>
      <c r="U3834" s="284"/>
    </row>
    <row r="3835" spans="2:21" x14ac:dyDescent="0.25">
      <c r="B3835" s="292">
        <v>30</v>
      </c>
      <c r="C3835" s="292"/>
      <c r="D3835" s="292"/>
      <c r="F3835" s="283" t="s">
        <v>74</v>
      </c>
      <c r="G3835" s="283"/>
      <c r="J3835" s="293">
        <v>235</v>
      </c>
      <c r="K3835" s="293"/>
      <c r="L3835" s="293"/>
      <c r="M3835" s="293"/>
      <c r="N3835" s="293"/>
      <c r="P3835" s="42">
        <v>199750</v>
      </c>
      <c r="R3835" s="42">
        <v>199750</v>
      </c>
      <c r="T3835" s="284">
        <v>0</v>
      </c>
      <c r="U3835" s="284"/>
    </row>
    <row r="3836" spans="2:21" x14ac:dyDescent="0.25">
      <c r="B3836" s="292">
        <v>31</v>
      </c>
      <c r="C3836" s="292"/>
      <c r="D3836" s="292"/>
      <c r="F3836" s="283" t="s">
        <v>352</v>
      </c>
      <c r="G3836" s="283"/>
      <c r="J3836" s="293">
        <v>1</v>
      </c>
      <c r="K3836" s="293"/>
      <c r="L3836" s="293"/>
      <c r="M3836" s="293"/>
      <c r="N3836" s="293"/>
      <c r="P3836" s="42">
        <v>800</v>
      </c>
      <c r="R3836" s="42">
        <v>450</v>
      </c>
      <c r="T3836" s="284">
        <v>350</v>
      </c>
      <c r="U3836" s="284"/>
    </row>
    <row r="3837" spans="2:21" x14ac:dyDescent="0.25">
      <c r="B3837" s="292">
        <v>32</v>
      </c>
      <c r="C3837" s="292"/>
      <c r="D3837" s="292"/>
      <c r="F3837" s="283" t="s">
        <v>351</v>
      </c>
      <c r="G3837" s="283"/>
      <c r="J3837" s="293">
        <v>1</v>
      </c>
      <c r="K3837" s="293"/>
      <c r="L3837" s="293"/>
      <c r="M3837" s="293"/>
      <c r="N3837" s="293"/>
      <c r="P3837" s="42">
        <v>800</v>
      </c>
      <c r="R3837" s="42">
        <v>450</v>
      </c>
      <c r="T3837" s="284">
        <v>350</v>
      </c>
      <c r="U3837" s="284"/>
    </row>
    <row r="3838" spans="2:21" x14ac:dyDescent="0.25">
      <c r="B3838" s="292">
        <v>33</v>
      </c>
      <c r="C3838" s="292"/>
      <c r="D3838" s="292"/>
      <c r="F3838" s="283" t="s">
        <v>190</v>
      </c>
      <c r="G3838" s="283"/>
      <c r="J3838" s="293">
        <v>3</v>
      </c>
      <c r="K3838" s="293"/>
      <c r="L3838" s="293"/>
      <c r="M3838" s="293"/>
      <c r="N3838" s="293"/>
      <c r="P3838" s="42">
        <v>4710</v>
      </c>
      <c r="R3838" s="42">
        <v>480</v>
      </c>
      <c r="T3838" s="284">
        <v>4230</v>
      </c>
      <c r="U3838" s="284"/>
    </row>
    <row r="3839" spans="2:21" x14ac:dyDescent="0.25">
      <c r="B3839" s="292">
        <v>34</v>
      </c>
      <c r="C3839" s="292"/>
      <c r="D3839" s="292"/>
      <c r="F3839" s="283" t="s">
        <v>134</v>
      </c>
      <c r="G3839" s="283"/>
      <c r="J3839" s="293">
        <v>3</v>
      </c>
      <c r="K3839" s="293"/>
      <c r="L3839" s="293"/>
      <c r="M3839" s="293"/>
      <c r="N3839" s="293"/>
      <c r="P3839" s="42">
        <v>11100</v>
      </c>
      <c r="R3839" s="42">
        <v>2400</v>
      </c>
      <c r="T3839" s="284">
        <v>8700</v>
      </c>
      <c r="U3839" s="284"/>
    </row>
    <row r="3840" spans="2:21" x14ac:dyDescent="0.25">
      <c r="B3840" s="292">
        <v>35</v>
      </c>
      <c r="C3840" s="292"/>
      <c r="D3840" s="292"/>
      <c r="F3840" s="283" t="s">
        <v>132</v>
      </c>
      <c r="G3840" s="283"/>
      <c r="J3840" s="293">
        <v>3</v>
      </c>
      <c r="K3840" s="293"/>
      <c r="L3840" s="293"/>
      <c r="M3840" s="293"/>
      <c r="N3840" s="293"/>
      <c r="P3840" s="42">
        <v>3720</v>
      </c>
      <c r="R3840" s="42">
        <v>1110</v>
      </c>
      <c r="T3840" s="284">
        <v>2610</v>
      </c>
      <c r="U3840" s="284"/>
    </row>
    <row r="3841" spans="2:21" x14ac:dyDescent="0.25">
      <c r="B3841" s="292">
        <v>36</v>
      </c>
      <c r="C3841" s="292"/>
      <c r="D3841" s="292"/>
      <c r="F3841" s="283" t="s">
        <v>131</v>
      </c>
      <c r="G3841" s="283"/>
      <c r="J3841" s="293">
        <v>8</v>
      </c>
      <c r="K3841" s="293"/>
      <c r="L3841" s="293"/>
      <c r="M3841" s="293"/>
      <c r="N3841" s="293"/>
      <c r="P3841" s="42">
        <v>29600</v>
      </c>
      <c r="R3841" s="42">
        <v>5600</v>
      </c>
      <c r="T3841" s="284">
        <v>24000</v>
      </c>
      <c r="U3841" s="284"/>
    </row>
    <row r="3842" spans="2:21" x14ac:dyDescent="0.25">
      <c r="B3842" s="292">
        <v>37</v>
      </c>
      <c r="C3842" s="292"/>
      <c r="D3842" s="292"/>
      <c r="F3842" s="283" t="s">
        <v>130</v>
      </c>
      <c r="G3842" s="283"/>
      <c r="J3842" s="293">
        <v>9</v>
      </c>
      <c r="K3842" s="293"/>
      <c r="L3842" s="293"/>
      <c r="M3842" s="293"/>
      <c r="N3842" s="293"/>
      <c r="P3842" s="42">
        <v>72000</v>
      </c>
      <c r="R3842" s="42">
        <v>36900</v>
      </c>
      <c r="T3842" s="284">
        <v>35100</v>
      </c>
      <c r="U3842" s="284"/>
    </row>
    <row r="3843" spans="2:21" x14ac:dyDescent="0.25">
      <c r="B3843" s="292">
        <v>38</v>
      </c>
      <c r="C3843" s="292"/>
      <c r="D3843" s="292"/>
      <c r="F3843" s="283" t="s">
        <v>319</v>
      </c>
      <c r="G3843" s="283"/>
      <c r="J3843" s="293">
        <v>1</v>
      </c>
      <c r="K3843" s="293"/>
      <c r="L3843" s="293"/>
      <c r="M3843" s="293"/>
      <c r="N3843" s="293"/>
      <c r="P3843" s="42">
        <v>100</v>
      </c>
      <c r="R3843" s="42">
        <v>0</v>
      </c>
      <c r="T3843" s="284">
        <v>100</v>
      </c>
      <c r="U3843" s="284"/>
    </row>
    <row r="3844" spans="2:21" x14ac:dyDescent="0.25">
      <c r="B3844" s="292">
        <v>39</v>
      </c>
      <c r="C3844" s="292"/>
      <c r="D3844" s="292"/>
      <c r="F3844" s="283" t="s">
        <v>128</v>
      </c>
      <c r="G3844" s="283"/>
      <c r="J3844" s="293">
        <v>2</v>
      </c>
      <c r="K3844" s="293"/>
      <c r="L3844" s="293"/>
      <c r="M3844" s="293"/>
      <c r="N3844" s="293"/>
      <c r="P3844" s="42">
        <v>2300</v>
      </c>
      <c r="R3844" s="42">
        <v>340</v>
      </c>
      <c r="T3844" s="284">
        <v>1960</v>
      </c>
      <c r="U3844" s="284"/>
    </row>
    <row r="3845" spans="2:21" x14ac:dyDescent="0.25">
      <c r="B3845" s="292">
        <v>40</v>
      </c>
      <c r="C3845" s="292"/>
      <c r="D3845" s="292"/>
      <c r="F3845" s="283" t="s">
        <v>127</v>
      </c>
      <c r="G3845" s="283"/>
      <c r="J3845" s="293">
        <v>214</v>
      </c>
      <c r="K3845" s="293"/>
      <c r="L3845" s="293"/>
      <c r="M3845" s="293"/>
      <c r="N3845" s="293"/>
      <c r="P3845" s="42">
        <v>64200</v>
      </c>
      <c r="R3845" s="42">
        <v>24028</v>
      </c>
      <c r="T3845" s="284">
        <v>40172</v>
      </c>
      <c r="U3845" s="284"/>
    </row>
    <row r="3846" spans="2:21" x14ac:dyDescent="0.25">
      <c r="B3846" s="292">
        <v>41</v>
      </c>
      <c r="C3846" s="292"/>
      <c r="D3846" s="292"/>
      <c r="F3846" s="283" t="s">
        <v>126</v>
      </c>
      <c r="G3846" s="283"/>
      <c r="J3846" s="293">
        <v>211</v>
      </c>
      <c r="K3846" s="293"/>
      <c r="L3846" s="293"/>
      <c r="M3846" s="293"/>
      <c r="N3846" s="293"/>
      <c r="P3846" s="42">
        <v>42200</v>
      </c>
      <c r="R3846" s="42">
        <v>15846</v>
      </c>
      <c r="T3846" s="284">
        <v>26354</v>
      </c>
      <c r="U3846" s="284"/>
    </row>
    <row r="3847" spans="2:21" x14ac:dyDescent="0.25">
      <c r="B3847" s="292">
        <v>42</v>
      </c>
      <c r="C3847" s="292"/>
      <c r="D3847" s="292"/>
      <c r="F3847" s="283" t="s">
        <v>125</v>
      </c>
      <c r="G3847" s="283"/>
      <c r="J3847" s="293">
        <v>9</v>
      </c>
      <c r="K3847" s="293"/>
      <c r="L3847" s="293"/>
      <c r="M3847" s="293"/>
      <c r="N3847" s="293"/>
      <c r="P3847" s="42">
        <v>3600</v>
      </c>
      <c r="R3847" s="42">
        <v>720</v>
      </c>
      <c r="T3847" s="284">
        <v>2880</v>
      </c>
      <c r="U3847" s="284"/>
    </row>
    <row r="3848" spans="2:21" x14ac:dyDescent="0.25">
      <c r="B3848" s="292">
        <v>43</v>
      </c>
      <c r="C3848" s="292"/>
      <c r="D3848" s="292"/>
      <c r="F3848" s="283" t="s">
        <v>124</v>
      </c>
      <c r="G3848" s="283"/>
      <c r="J3848" s="293">
        <v>2</v>
      </c>
      <c r="K3848" s="293"/>
      <c r="L3848" s="293"/>
      <c r="M3848" s="293"/>
      <c r="N3848" s="293"/>
      <c r="P3848" s="42">
        <v>1560</v>
      </c>
      <c r="R3848" s="42">
        <v>230</v>
      </c>
      <c r="T3848" s="284">
        <v>1330</v>
      </c>
      <c r="U3848" s="284"/>
    </row>
    <row r="3849" spans="2:21" x14ac:dyDescent="0.25">
      <c r="B3849" s="292">
        <v>44</v>
      </c>
      <c r="C3849" s="292"/>
      <c r="D3849" s="292"/>
      <c r="F3849" s="283" t="s">
        <v>350</v>
      </c>
      <c r="G3849" s="283"/>
      <c r="J3849" s="293">
        <v>1</v>
      </c>
      <c r="K3849" s="293"/>
      <c r="L3849" s="293"/>
      <c r="M3849" s="293"/>
      <c r="N3849" s="293"/>
      <c r="P3849" s="42">
        <v>780</v>
      </c>
      <c r="R3849" s="42">
        <v>230</v>
      </c>
      <c r="T3849" s="284">
        <v>550</v>
      </c>
      <c r="U3849" s="284"/>
    </row>
    <row r="3850" spans="2:21" x14ac:dyDescent="0.25">
      <c r="B3850" s="292">
        <v>45</v>
      </c>
      <c r="C3850" s="292"/>
      <c r="D3850" s="292"/>
      <c r="F3850" s="283" t="s">
        <v>123</v>
      </c>
      <c r="G3850" s="283"/>
      <c r="J3850" s="293">
        <v>5</v>
      </c>
      <c r="K3850" s="293"/>
      <c r="L3850" s="293"/>
      <c r="M3850" s="293"/>
      <c r="N3850" s="293"/>
      <c r="P3850" s="42">
        <v>3900</v>
      </c>
      <c r="R3850" s="42">
        <v>1150</v>
      </c>
      <c r="T3850" s="284">
        <v>2750</v>
      </c>
      <c r="U3850" s="284"/>
    </row>
    <row r="3851" spans="2:21" x14ac:dyDescent="0.25">
      <c r="B3851" s="292">
        <v>46</v>
      </c>
      <c r="C3851" s="292"/>
      <c r="D3851" s="292"/>
      <c r="F3851" s="283" t="s">
        <v>227</v>
      </c>
      <c r="G3851" s="283"/>
      <c r="J3851" s="293">
        <v>2</v>
      </c>
      <c r="K3851" s="293"/>
      <c r="L3851" s="293"/>
      <c r="M3851" s="293"/>
      <c r="N3851" s="293"/>
      <c r="P3851" s="42">
        <v>1000</v>
      </c>
      <c r="R3851" s="42">
        <v>300</v>
      </c>
      <c r="T3851" s="284">
        <v>700</v>
      </c>
      <c r="U3851" s="284"/>
    </row>
    <row r="3852" spans="2:21" x14ac:dyDescent="0.25">
      <c r="B3852" s="292">
        <v>47</v>
      </c>
      <c r="C3852" s="292"/>
      <c r="D3852" s="292"/>
      <c r="F3852" s="283" t="s">
        <v>122</v>
      </c>
      <c r="G3852" s="283"/>
      <c r="J3852" s="293">
        <v>2</v>
      </c>
      <c r="K3852" s="293"/>
      <c r="L3852" s="293"/>
      <c r="M3852" s="293"/>
      <c r="N3852" s="293"/>
      <c r="P3852" s="42">
        <v>1000</v>
      </c>
      <c r="R3852" s="42">
        <v>300</v>
      </c>
      <c r="T3852" s="284">
        <v>700</v>
      </c>
      <c r="U3852" s="284"/>
    </row>
    <row r="3853" spans="2:21" x14ac:dyDescent="0.25">
      <c r="B3853" s="292">
        <v>48</v>
      </c>
      <c r="C3853" s="292"/>
      <c r="D3853" s="292"/>
      <c r="F3853" s="283" t="s">
        <v>121</v>
      </c>
      <c r="G3853" s="283"/>
      <c r="J3853" s="293">
        <v>4</v>
      </c>
      <c r="K3853" s="293"/>
      <c r="L3853" s="293"/>
      <c r="M3853" s="293"/>
      <c r="N3853" s="293"/>
      <c r="P3853" s="42">
        <v>2000</v>
      </c>
      <c r="R3853" s="42">
        <v>600</v>
      </c>
      <c r="T3853" s="284">
        <v>1400</v>
      </c>
      <c r="U3853" s="284"/>
    </row>
    <row r="3854" spans="2:21" x14ac:dyDescent="0.25">
      <c r="B3854" s="292">
        <v>49</v>
      </c>
      <c r="C3854" s="292"/>
      <c r="D3854" s="292"/>
      <c r="F3854" s="283" t="s">
        <v>349</v>
      </c>
      <c r="G3854" s="283"/>
      <c r="J3854" s="293">
        <v>1</v>
      </c>
      <c r="K3854" s="293"/>
      <c r="L3854" s="293"/>
      <c r="M3854" s="293"/>
      <c r="N3854" s="293"/>
      <c r="P3854" s="42">
        <v>500</v>
      </c>
      <c r="R3854" s="42">
        <v>150</v>
      </c>
      <c r="T3854" s="284">
        <v>350</v>
      </c>
      <c r="U3854" s="284"/>
    </row>
    <row r="3855" spans="2:21" x14ac:dyDescent="0.25">
      <c r="B3855" s="292">
        <v>50</v>
      </c>
      <c r="C3855" s="292"/>
      <c r="D3855" s="292"/>
      <c r="F3855" s="283" t="s">
        <v>120</v>
      </c>
      <c r="G3855" s="283"/>
      <c r="J3855" s="293">
        <v>2</v>
      </c>
      <c r="K3855" s="293"/>
      <c r="L3855" s="293"/>
      <c r="M3855" s="293"/>
      <c r="N3855" s="293"/>
      <c r="P3855" s="42">
        <v>700</v>
      </c>
      <c r="R3855" s="42">
        <v>200</v>
      </c>
      <c r="T3855" s="284">
        <v>500</v>
      </c>
      <c r="U3855" s="284"/>
    </row>
    <row r="3856" spans="2:21" x14ac:dyDescent="0.25">
      <c r="B3856" s="292">
        <v>51</v>
      </c>
      <c r="C3856" s="292"/>
      <c r="D3856" s="292"/>
      <c r="F3856" s="283" t="s">
        <v>282</v>
      </c>
      <c r="G3856" s="283"/>
      <c r="J3856" s="293">
        <v>2</v>
      </c>
      <c r="K3856" s="293"/>
      <c r="L3856" s="293"/>
      <c r="M3856" s="293"/>
      <c r="N3856" s="293"/>
      <c r="P3856" s="42">
        <v>1000</v>
      </c>
      <c r="R3856" s="42">
        <v>300</v>
      </c>
      <c r="T3856" s="284">
        <v>700</v>
      </c>
      <c r="U3856" s="284"/>
    </row>
    <row r="3857" spans="2:21" x14ac:dyDescent="0.25">
      <c r="B3857" s="292">
        <v>52</v>
      </c>
      <c r="C3857" s="292"/>
      <c r="D3857" s="292"/>
      <c r="F3857" s="283" t="s">
        <v>182</v>
      </c>
      <c r="G3857" s="283"/>
      <c r="J3857" s="293">
        <v>1</v>
      </c>
      <c r="K3857" s="293"/>
      <c r="L3857" s="293"/>
      <c r="M3857" s="293"/>
      <c r="N3857" s="293"/>
      <c r="P3857" s="42">
        <v>790</v>
      </c>
      <c r="R3857" s="42">
        <v>120</v>
      </c>
      <c r="T3857" s="284">
        <v>670</v>
      </c>
      <c r="U3857" s="284"/>
    </row>
    <row r="3858" spans="2:21" x14ac:dyDescent="0.25">
      <c r="B3858" s="292">
        <v>53</v>
      </c>
      <c r="C3858" s="292"/>
      <c r="D3858" s="292"/>
      <c r="F3858" s="283" t="s">
        <v>119</v>
      </c>
      <c r="G3858" s="283"/>
      <c r="J3858" s="293">
        <v>10</v>
      </c>
      <c r="K3858" s="293"/>
      <c r="L3858" s="293"/>
      <c r="M3858" s="293"/>
      <c r="N3858" s="293"/>
      <c r="P3858" s="42">
        <v>8900</v>
      </c>
      <c r="R3858" s="42">
        <v>2280</v>
      </c>
      <c r="T3858" s="284">
        <v>6620</v>
      </c>
      <c r="U3858" s="284"/>
    </row>
    <row r="3859" spans="2:21" x14ac:dyDescent="0.25">
      <c r="B3859" s="292">
        <v>54</v>
      </c>
      <c r="C3859" s="292"/>
      <c r="D3859" s="292"/>
      <c r="F3859" s="283" t="s">
        <v>118</v>
      </c>
      <c r="G3859" s="283"/>
      <c r="J3859" s="293">
        <v>48</v>
      </c>
      <c r="K3859" s="293"/>
      <c r="L3859" s="293"/>
      <c r="M3859" s="293"/>
      <c r="N3859" s="293"/>
      <c r="P3859" s="42">
        <v>47520</v>
      </c>
      <c r="R3859" s="42">
        <v>14128</v>
      </c>
      <c r="T3859" s="284">
        <v>33392</v>
      </c>
      <c r="U3859" s="284"/>
    </row>
    <row r="3860" spans="2:21" x14ac:dyDescent="0.25">
      <c r="B3860" s="292">
        <v>55</v>
      </c>
      <c r="C3860" s="292"/>
      <c r="D3860" s="292"/>
      <c r="F3860" s="283" t="s">
        <v>117</v>
      </c>
      <c r="G3860" s="283"/>
      <c r="J3860" s="293">
        <v>2</v>
      </c>
      <c r="K3860" s="293"/>
      <c r="L3860" s="293"/>
      <c r="M3860" s="293"/>
      <c r="N3860" s="293"/>
      <c r="P3860" s="42">
        <v>1600</v>
      </c>
      <c r="R3860" s="42">
        <v>400</v>
      </c>
      <c r="T3860" s="284">
        <v>1200</v>
      </c>
      <c r="U3860" s="284"/>
    </row>
    <row r="3861" spans="2:21" x14ac:dyDescent="0.25">
      <c r="B3861" s="292">
        <v>56</v>
      </c>
      <c r="C3861" s="292"/>
      <c r="D3861" s="292"/>
      <c r="F3861" s="283" t="s">
        <v>115</v>
      </c>
      <c r="G3861" s="283"/>
      <c r="J3861" s="293">
        <v>35</v>
      </c>
      <c r="K3861" s="293"/>
      <c r="L3861" s="293"/>
      <c r="M3861" s="293"/>
      <c r="N3861" s="293"/>
      <c r="P3861" s="42">
        <v>10150</v>
      </c>
      <c r="R3861" s="42">
        <v>3140</v>
      </c>
      <c r="T3861" s="284">
        <v>7010</v>
      </c>
      <c r="U3861" s="284"/>
    </row>
    <row r="3862" spans="2:21" x14ac:dyDescent="0.25">
      <c r="B3862" s="292">
        <v>57</v>
      </c>
      <c r="C3862" s="292"/>
      <c r="D3862" s="292"/>
      <c r="F3862" s="283" t="s">
        <v>114</v>
      </c>
      <c r="G3862" s="283"/>
      <c r="J3862" s="293">
        <v>1</v>
      </c>
      <c r="K3862" s="293"/>
      <c r="L3862" s="293"/>
      <c r="M3862" s="293"/>
      <c r="N3862" s="293"/>
      <c r="P3862" s="42">
        <v>550</v>
      </c>
      <c r="R3862" s="42">
        <v>80</v>
      </c>
      <c r="T3862" s="284">
        <v>470</v>
      </c>
      <c r="U3862" s="284"/>
    </row>
    <row r="3863" spans="2:21" x14ac:dyDescent="0.25">
      <c r="B3863" s="292">
        <v>58</v>
      </c>
      <c r="C3863" s="292"/>
      <c r="D3863" s="292"/>
      <c r="F3863" s="285" t="s">
        <v>348</v>
      </c>
      <c r="G3863" s="285"/>
      <c r="J3863" s="293">
        <v>8</v>
      </c>
      <c r="K3863" s="293"/>
      <c r="L3863" s="293"/>
      <c r="M3863" s="293"/>
      <c r="N3863" s="293"/>
      <c r="P3863" s="42">
        <v>840</v>
      </c>
      <c r="R3863" s="42">
        <v>0</v>
      </c>
      <c r="T3863" s="284">
        <v>840</v>
      </c>
      <c r="U3863" s="284"/>
    </row>
    <row r="3864" spans="2:21" x14ac:dyDescent="0.25">
      <c r="F3864" s="285"/>
      <c r="G3864" s="285"/>
    </row>
    <row r="3865" spans="2:21" x14ac:dyDescent="0.25">
      <c r="B3865" s="292">
        <v>59</v>
      </c>
      <c r="C3865" s="292"/>
      <c r="D3865" s="292"/>
      <c r="F3865" s="283" t="s">
        <v>221</v>
      </c>
      <c r="G3865" s="283"/>
      <c r="J3865" s="293">
        <v>1</v>
      </c>
      <c r="K3865" s="293"/>
      <c r="L3865" s="293"/>
      <c r="M3865" s="293"/>
      <c r="N3865" s="293"/>
      <c r="P3865" s="42">
        <v>990</v>
      </c>
      <c r="R3865" s="42">
        <v>300</v>
      </c>
      <c r="T3865" s="284">
        <v>690</v>
      </c>
      <c r="U3865" s="284"/>
    </row>
    <row r="3866" spans="2:21" x14ac:dyDescent="0.25">
      <c r="B3866" s="292">
        <v>60</v>
      </c>
      <c r="C3866" s="292"/>
      <c r="D3866" s="292"/>
      <c r="F3866" s="283" t="s">
        <v>181</v>
      </c>
      <c r="G3866" s="283"/>
      <c r="J3866" s="293">
        <v>1</v>
      </c>
      <c r="K3866" s="293"/>
      <c r="L3866" s="293"/>
      <c r="M3866" s="293"/>
      <c r="N3866" s="293"/>
      <c r="P3866" s="42">
        <v>790</v>
      </c>
      <c r="R3866" s="42">
        <v>120</v>
      </c>
      <c r="T3866" s="284">
        <v>670</v>
      </c>
      <c r="U3866" s="284"/>
    </row>
    <row r="3867" spans="2:21" x14ac:dyDescent="0.25">
      <c r="B3867" s="292">
        <v>61</v>
      </c>
      <c r="C3867" s="292"/>
      <c r="D3867" s="292"/>
      <c r="F3867" s="283" t="s">
        <v>111</v>
      </c>
      <c r="G3867" s="283"/>
      <c r="J3867" s="293">
        <v>4</v>
      </c>
      <c r="K3867" s="293"/>
      <c r="L3867" s="293"/>
      <c r="M3867" s="293"/>
      <c r="N3867" s="293"/>
      <c r="P3867" s="42">
        <v>1720</v>
      </c>
      <c r="R3867" s="42">
        <v>390</v>
      </c>
      <c r="T3867" s="284">
        <v>1330</v>
      </c>
      <c r="U3867" s="284"/>
    </row>
    <row r="3868" spans="2:21" x14ac:dyDescent="0.25">
      <c r="B3868" s="292">
        <v>62</v>
      </c>
      <c r="C3868" s="292"/>
      <c r="D3868" s="292"/>
      <c r="F3868" s="283" t="s">
        <v>109</v>
      </c>
      <c r="G3868" s="283"/>
      <c r="J3868" s="293">
        <v>2</v>
      </c>
      <c r="K3868" s="293"/>
      <c r="L3868" s="293"/>
      <c r="M3868" s="293"/>
      <c r="N3868" s="293"/>
      <c r="P3868" s="42">
        <v>1560</v>
      </c>
      <c r="R3868" s="42">
        <v>460</v>
      </c>
      <c r="T3868" s="284">
        <v>1100</v>
      </c>
      <c r="U3868" s="284"/>
    </row>
    <row r="3869" spans="2:21" x14ac:dyDescent="0.25">
      <c r="B3869" s="292">
        <v>63</v>
      </c>
      <c r="C3869" s="292"/>
      <c r="D3869" s="292"/>
      <c r="F3869" s="283" t="s">
        <v>108</v>
      </c>
      <c r="G3869" s="283"/>
      <c r="J3869" s="293">
        <v>260</v>
      </c>
      <c r="K3869" s="293"/>
      <c r="L3869" s="293"/>
      <c r="M3869" s="293"/>
      <c r="N3869" s="293"/>
      <c r="P3869" s="42">
        <v>26000</v>
      </c>
      <c r="R3869" s="42">
        <v>150</v>
      </c>
      <c r="T3869" s="284">
        <v>25850</v>
      </c>
      <c r="U3869" s="284"/>
    </row>
    <row r="3870" spans="2:21" x14ac:dyDescent="0.25">
      <c r="B3870" s="292">
        <v>64</v>
      </c>
      <c r="C3870" s="292"/>
      <c r="D3870" s="292"/>
      <c r="F3870" s="283" t="s">
        <v>107</v>
      </c>
      <c r="G3870" s="283"/>
      <c r="J3870" s="293">
        <v>209</v>
      </c>
      <c r="K3870" s="293"/>
      <c r="L3870" s="293"/>
      <c r="M3870" s="293"/>
      <c r="N3870" s="293"/>
      <c r="P3870" s="42">
        <v>35530</v>
      </c>
      <c r="R3870" s="42">
        <v>13742</v>
      </c>
      <c r="T3870" s="284">
        <v>21788</v>
      </c>
      <c r="U3870" s="284"/>
    </row>
    <row r="3871" spans="2:21" x14ac:dyDescent="0.25">
      <c r="B3871" s="292">
        <v>65</v>
      </c>
      <c r="C3871" s="292"/>
      <c r="D3871" s="292"/>
      <c r="F3871" s="283" t="s">
        <v>106</v>
      </c>
      <c r="G3871" s="283"/>
      <c r="J3871" s="293">
        <v>1088</v>
      </c>
      <c r="K3871" s="293"/>
      <c r="L3871" s="293"/>
      <c r="M3871" s="293"/>
      <c r="N3871" s="293"/>
      <c r="P3871" s="42">
        <v>108800</v>
      </c>
      <c r="R3871" s="42">
        <v>21720</v>
      </c>
      <c r="T3871" s="284">
        <v>87080</v>
      </c>
      <c r="U3871" s="284"/>
    </row>
    <row r="3872" spans="2:21" x14ac:dyDescent="0.25">
      <c r="B3872" s="292">
        <v>66</v>
      </c>
      <c r="C3872" s="292"/>
      <c r="D3872" s="292"/>
      <c r="F3872" s="283" t="s">
        <v>105</v>
      </c>
      <c r="G3872" s="283"/>
      <c r="J3872" s="293">
        <v>1</v>
      </c>
      <c r="K3872" s="293"/>
      <c r="L3872" s="293"/>
      <c r="M3872" s="293"/>
      <c r="N3872" s="293"/>
      <c r="P3872" s="42">
        <v>1150</v>
      </c>
      <c r="R3872" s="42">
        <v>0</v>
      </c>
      <c r="T3872" s="284">
        <v>1150</v>
      </c>
      <c r="U3872" s="284"/>
    </row>
    <row r="3873" spans="2:21" x14ac:dyDescent="0.25">
      <c r="B3873" s="292">
        <v>67</v>
      </c>
      <c r="C3873" s="292"/>
      <c r="D3873" s="292"/>
      <c r="F3873" s="283" t="s">
        <v>103</v>
      </c>
      <c r="G3873" s="283"/>
      <c r="J3873" s="293">
        <v>17</v>
      </c>
      <c r="K3873" s="293"/>
      <c r="L3873" s="293"/>
      <c r="M3873" s="293"/>
      <c r="N3873" s="293"/>
      <c r="P3873" s="42">
        <v>5610</v>
      </c>
      <c r="R3873" s="42">
        <v>2100</v>
      </c>
      <c r="T3873" s="284">
        <v>3510</v>
      </c>
      <c r="U3873" s="284"/>
    </row>
    <row r="3874" spans="2:21" x14ac:dyDescent="0.25">
      <c r="B3874" s="292">
        <v>68</v>
      </c>
      <c r="C3874" s="292"/>
      <c r="D3874" s="292"/>
      <c r="F3874" s="283" t="s">
        <v>276</v>
      </c>
      <c r="G3874" s="283"/>
      <c r="J3874" s="293">
        <v>4</v>
      </c>
      <c r="K3874" s="293"/>
      <c r="L3874" s="293"/>
      <c r="M3874" s="293"/>
      <c r="N3874" s="293"/>
      <c r="P3874" s="42">
        <v>2400</v>
      </c>
      <c r="R3874" s="42">
        <v>720</v>
      </c>
      <c r="T3874" s="284">
        <v>1680</v>
      </c>
      <c r="U3874" s="284"/>
    </row>
    <row r="3875" spans="2:21" x14ac:dyDescent="0.25">
      <c r="B3875" s="292">
        <v>69</v>
      </c>
      <c r="C3875" s="292"/>
      <c r="D3875" s="292"/>
      <c r="F3875" s="283" t="s">
        <v>102</v>
      </c>
      <c r="G3875" s="283"/>
      <c r="J3875" s="293">
        <v>3</v>
      </c>
      <c r="K3875" s="293"/>
      <c r="L3875" s="293"/>
      <c r="M3875" s="293"/>
      <c r="N3875" s="293"/>
      <c r="P3875" s="42">
        <v>2640</v>
      </c>
      <c r="R3875" s="42">
        <v>260</v>
      </c>
      <c r="T3875" s="284">
        <v>2380</v>
      </c>
      <c r="U3875" s="284"/>
    </row>
    <row r="3876" spans="2:21" x14ac:dyDescent="0.25">
      <c r="B3876" s="292">
        <v>70</v>
      </c>
      <c r="C3876" s="292"/>
      <c r="D3876" s="292"/>
      <c r="F3876" s="283" t="s">
        <v>254</v>
      </c>
      <c r="G3876" s="283"/>
      <c r="J3876" s="293">
        <v>1</v>
      </c>
      <c r="K3876" s="293"/>
      <c r="L3876" s="293"/>
      <c r="M3876" s="293"/>
      <c r="N3876" s="293"/>
      <c r="P3876" s="42">
        <v>290</v>
      </c>
      <c r="R3876" s="42">
        <v>0</v>
      </c>
      <c r="T3876" s="284">
        <v>290</v>
      </c>
      <c r="U3876" s="284"/>
    </row>
    <row r="3877" spans="2:21" x14ac:dyDescent="0.25">
      <c r="B3877" s="292">
        <v>71</v>
      </c>
      <c r="C3877" s="292"/>
      <c r="D3877" s="292"/>
      <c r="F3877" s="283" t="s">
        <v>179</v>
      </c>
      <c r="G3877" s="283"/>
      <c r="J3877" s="293">
        <v>1</v>
      </c>
      <c r="K3877" s="293"/>
      <c r="L3877" s="293"/>
      <c r="M3877" s="293"/>
      <c r="N3877" s="293"/>
      <c r="P3877" s="42">
        <v>880</v>
      </c>
      <c r="R3877" s="42">
        <v>130</v>
      </c>
      <c r="T3877" s="284">
        <v>750</v>
      </c>
      <c r="U3877" s="284"/>
    </row>
    <row r="3878" spans="2:21" x14ac:dyDescent="0.25">
      <c r="B3878" s="292">
        <v>72</v>
      </c>
      <c r="C3878" s="292"/>
      <c r="D3878" s="292"/>
      <c r="F3878" s="283" t="s">
        <v>100</v>
      </c>
      <c r="G3878" s="283"/>
      <c r="J3878" s="293">
        <v>3</v>
      </c>
      <c r="K3878" s="293"/>
      <c r="L3878" s="293"/>
      <c r="M3878" s="293"/>
      <c r="N3878" s="293"/>
      <c r="P3878" s="42">
        <v>540</v>
      </c>
      <c r="R3878" s="42">
        <v>150</v>
      </c>
      <c r="T3878" s="284">
        <v>390</v>
      </c>
      <c r="U3878" s="284"/>
    </row>
    <row r="3879" spans="2:21" x14ac:dyDescent="0.25">
      <c r="B3879" s="292">
        <v>73</v>
      </c>
      <c r="C3879" s="292"/>
      <c r="D3879" s="292"/>
      <c r="F3879" s="283" t="s">
        <v>274</v>
      </c>
      <c r="G3879" s="283"/>
      <c r="J3879" s="293">
        <v>2</v>
      </c>
      <c r="K3879" s="293"/>
      <c r="L3879" s="293"/>
      <c r="M3879" s="293"/>
      <c r="N3879" s="293"/>
      <c r="P3879" s="42">
        <v>360</v>
      </c>
      <c r="R3879" s="42">
        <v>100</v>
      </c>
      <c r="T3879" s="284">
        <v>260</v>
      </c>
      <c r="U3879" s="284"/>
    </row>
    <row r="3880" spans="2:21" x14ac:dyDescent="0.25">
      <c r="B3880" s="292">
        <v>74</v>
      </c>
      <c r="C3880" s="292"/>
      <c r="D3880" s="292"/>
      <c r="F3880" s="283" t="s">
        <v>176</v>
      </c>
      <c r="G3880" s="283"/>
      <c r="J3880" s="293">
        <v>1</v>
      </c>
      <c r="K3880" s="293"/>
      <c r="L3880" s="293"/>
      <c r="M3880" s="293"/>
      <c r="N3880" s="293"/>
      <c r="P3880" s="42">
        <v>1060</v>
      </c>
      <c r="R3880" s="42">
        <v>0</v>
      </c>
      <c r="T3880" s="284">
        <v>1060</v>
      </c>
      <c r="U3880" s="284"/>
    </row>
    <row r="3881" spans="2:21" x14ac:dyDescent="0.25">
      <c r="B3881" s="292">
        <v>75</v>
      </c>
      <c r="C3881" s="292"/>
      <c r="D3881" s="292"/>
      <c r="F3881" s="283" t="s">
        <v>325</v>
      </c>
      <c r="G3881" s="283"/>
      <c r="J3881" s="293">
        <v>1</v>
      </c>
      <c r="K3881" s="293"/>
      <c r="L3881" s="293"/>
      <c r="M3881" s="293"/>
      <c r="N3881" s="293"/>
      <c r="P3881" s="42">
        <v>700</v>
      </c>
      <c r="R3881" s="42">
        <v>350</v>
      </c>
      <c r="T3881" s="284">
        <v>350</v>
      </c>
      <c r="U3881" s="284"/>
    </row>
    <row r="3882" spans="2:21" x14ac:dyDescent="0.25">
      <c r="B3882" s="292">
        <v>76</v>
      </c>
      <c r="C3882" s="292"/>
      <c r="D3882" s="292"/>
      <c r="F3882" s="283" t="s">
        <v>97</v>
      </c>
      <c r="G3882" s="283"/>
      <c r="J3882" s="293">
        <v>2</v>
      </c>
      <c r="K3882" s="293"/>
      <c r="L3882" s="293"/>
      <c r="M3882" s="293"/>
      <c r="N3882" s="293"/>
      <c r="P3882" s="42">
        <v>3180</v>
      </c>
      <c r="R3882" s="42">
        <v>480</v>
      </c>
      <c r="T3882" s="284">
        <v>2700</v>
      </c>
      <c r="U3882" s="284"/>
    </row>
    <row r="3883" spans="2:21" x14ac:dyDescent="0.25">
      <c r="B3883" s="292">
        <v>77</v>
      </c>
      <c r="C3883" s="292"/>
      <c r="D3883" s="292"/>
      <c r="F3883" s="283" t="s">
        <v>93</v>
      </c>
      <c r="G3883" s="283"/>
      <c r="J3883" s="293">
        <v>4</v>
      </c>
      <c r="K3883" s="293"/>
      <c r="L3883" s="293"/>
      <c r="M3883" s="293"/>
      <c r="N3883" s="293"/>
      <c r="P3883" s="42">
        <v>2360</v>
      </c>
      <c r="R3883" s="42">
        <v>360</v>
      </c>
      <c r="T3883" s="284">
        <v>2000</v>
      </c>
      <c r="U3883" s="284"/>
    </row>
    <row r="3884" spans="2:21" x14ac:dyDescent="0.25">
      <c r="B3884" s="292">
        <v>78</v>
      </c>
      <c r="C3884" s="292"/>
      <c r="D3884" s="292"/>
      <c r="F3884" s="283" t="s">
        <v>92</v>
      </c>
      <c r="G3884" s="283"/>
      <c r="J3884" s="293">
        <v>33</v>
      </c>
      <c r="K3884" s="293"/>
      <c r="L3884" s="293"/>
      <c r="M3884" s="293"/>
      <c r="N3884" s="293"/>
      <c r="P3884" s="42">
        <v>24760</v>
      </c>
      <c r="R3884" s="42">
        <v>6280</v>
      </c>
      <c r="T3884" s="284">
        <v>18480</v>
      </c>
      <c r="U3884" s="284"/>
    </row>
    <row r="3885" spans="2:21" x14ac:dyDescent="0.25">
      <c r="B3885" s="292">
        <v>79</v>
      </c>
      <c r="C3885" s="292"/>
      <c r="D3885" s="292"/>
      <c r="F3885" s="283" t="s">
        <v>173</v>
      </c>
      <c r="G3885" s="283"/>
      <c r="J3885" s="293">
        <v>3</v>
      </c>
      <c r="K3885" s="293"/>
      <c r="L3885" s="293"/>
      <c r="M3885" s="293"/>
      <c r="N3885" s="293"/>
      <c r="P3885" s="42">
        <v>3000</v>
      </c>
      <c r="R3885" s="42">
        <v>600</v>
      </c>
      <c r="T3885" s="284">
        <v>2400</v>
      </c>
      <c r="U3885" s="284"/>
    </row>
    <row r="3886" spans="2:21" x14ac:dyDescent="0.25">
      <c r="B3886" s="292">
        <v>80</v>
      </c>
      <c r="C3886" s="292"/>
      <c r="D3886" s="292"/>
      <c r="F3886" s="283" t="s">
        <v>91</v>
      </c>
      <c r="G3886" s="283"/>
      <c r="J3886" s="293">
        <v>21</v>
      </c>
      <c r="K3886" s="293"/>
      <c r="L3886" s="293"/>
      <c r="M3886" s="293"/>
      <c r="N3886" s="293"/>
      <c r="P3886" s="42">
        <v>5250</v>
      </c>
      <c r="R3886" s="42">
        <v>1260</v>
      </c>
      <c r="T3886" s="284">
        <v>3990</v>
      </c>
      <c r="U3886" s="284"/>
    </row>
    <row r="3887" spans="2:21" x14ac:dyDescent="0.25">
      <c r="B3887" s="292">
        <v>81</v>
      </c>
      <c r="C3887" s="292"/>
      <c r="D3887" s="292"/>
      <c r="F3887" s="283" t="s">
        <v>90</v>
      </c>
      <c r="G3887" s="283"/>
      <c r="J3887" s="293">
        <v>9</v>
      </c>
      <c r="K3887" s="293"/>
      <c r="L3887" s="293"/>
      <c r="M3887" s="293"/>
      <c r="N3887" s="293"/>
      <c r="P3887" s="42">
        <v>2610</v>
      </c>
      <c r="R3887" s="42">
        <v>480</v>
      </c>
      <c r="T3887" s="284">
        <v>2130</v>
      </c>
      <c r="U3887" s="284"/>
    </row>
    <row r="3888" spans="2:21" x14ac:dyDescent="0.25">
      <c r="B3888" s="292">
        <v>82</v>
      </c>
      <c r="C3888" s="292"/>
      <c r="D3888" s="292"/>
      <c r="F3888" s="283" t="s">
        <v>88</v>
      </c>
      <c r="G3888" s="283"/>
      <c r="J3888" s="293">
        <v>194</v>
      </c>
      <c r="K3888" s="293"/>
      <c r="L3888" s="293"/>
      <c r="M3888" s="293"/>
      <c r="N3888" s="293"/>
      <c r="P3888" s="42">
        <v>34920</v>
      </c>
      <c r="R3888" s="42">
        <v>13884</v>
      </c>
      <c r="T3888" s="284">
        <v>21036</v>
      </c>
      <c r="U3888" s="284"/>
    </row>
    <row r="3889" spans="1:21" x14ac:dyDescent="0.25">
      <c r="B3889" s="292">
        <v>83</v>
      </c>
      <c r="C3889" s="292"/>
      <c r="D3889" s="292"/>
      <c r="F3889" s="283" t="s">
        <v>87</v>
      </c>
      <c r="G3889" s="283"/>
      <c r="J3889" s="293">
        <v>2</v>
      </c>
      <c r="K3889" s="293"/>
      <c r="L3889" s="293"/>
      <c r="M3889" s="293"/>
      <c r="N3889" s="293"/>
      <c r="P3889" s="42">
        <v>580</v>
      </c>
      <c r="R3889" s="42">
        <v>160</v>
      </c>
      <c r="T3889" s="284">
        <v>420</v>
      </c>
      <c r="U3889" s="284"/>
    </row>
    <row r="3890" spans="1:21" x14ac:dyDescent="0.25">
      <c r="B3890" s="292">
        <v>84</v>
      </c>
      <c r="C3890" s="292"/>
      <c r="D3890" s="292"/>
      <c r="F3890" s="283" t="s">
        <v>85</v>
      </c>
      <c r="G3890" s="283"/>
      <c r="J3890" s="293">
        <v>7</v>
      </c>
      <c r="K3890" s="293"/>
      <c r="L3890" s="293"/>
      <c r="M3890" s="293"/>
      <c r="N3890" s="293"/>
      <c r="P3890" s="42">
        <v>14560</v>
      </c>
      <c r="R3890" s="42">
        <v>1860</v>
      </c>
      <c r="T3890" s="284">
        <v>12700</v>
      </c>
      <c r="U3890" s="284"/>
    </row>
    <row r="3891" spans="1:21" x14ac:dyDescent="0.25">
      <c r="B3891" s="292">
        <v>85</v>
      </c>
      <c r="C3891" s="292"/>
      <c r="D3891" s="292"/>
      <c r="F3891" s="283" t="s">
        <v>84</v>
      </c>
      <c r="G3891" s="283"/>
      <c r="J3891" s="293">
        <v>16</v>
      </c>
      <c r="K3891" s="293"/>
      <c r="L3891" s="293"/>
      <c r="M3891" s="293"/>
      <c r="N3891" s="293"/>
      <c r="P3891" s="42">
        <v>9440</v>
      </c>
      <c r="R3891" s="42">
        <v>1980</v>
      </c>
      <c r="T3891" s="284">
        <v>7460</v>
      </c>
      <c r="U3891" s="284"/>
    </row>
    <row r="3892" spans="1:21" x14ac:dyDescent="0.25">
      <c r="B3892" s="292">
        <v>86</v>
      </c>
      <c r="C3892" s="292"/>
      <c r="D3892" s="292"/>
      <c r="F3892" s="283" t="s">
        <v>331</v>
      </c>
      <c r="G3892" s="283"/>
      <c r="J3892" s="293">
        <v>1</v>
      </c>
      <c r="K3892" s="293"/>
      <c r="L3892" s="293"/>
      <c r="M3892" s="293"/>
      <c r="N3892" s="293"/>
      <c r="P3892" s="42">
        <v>500</v>
      </c>
      <c r="R3892" s="42">
        <v>150</v>
      </c>
      <c r="T3892" s="284">
        <v>350</v>
      </c>
      <c r="U3892" s="284"/>
    </row>
    <row r="3893" spans="1:21" x14ac:dyDescent="0.25">
      <c r="B3893" s="292">
        <v>87</v>
      </c>
      <c r="C3893" s="292"/>
      <c r="D3893" s="292"/>
      <c r="F3893" s="283" t="s">
        <v>273</v>
      </c>
      <c r="G3893" s="283"/>
      <c r="J3893" s="293">
        <v>2</v>
      </c>
      <c r="K3893" s="293"/>
      <c r="L3893" s="293"/>
      <c r="M3893" s="293"/>
      <c r="N3893" s="293"/>
      <c r="P3893" s="42">
        <v>1000</v>
      </c>
      <c r="R3893" s="42">
        <v>300</v>
      </c>
      <c r="T3893" s="284">
        <v>700</v>
      </c>
      <c r="U3893" s="284"/>
    </row>
    <row r="3894" spans="1:21" x14ac:dyDescent="0.25">
      <c r="B3894" s="292">
        <v>88</v>
      </c>
      <c r="C3894" s="292"/>
      <c r="D3894" s="292"/>
      <c r="F3894" s="283" t="s">
        <v>206</v>
      </c>
      <c r="G3894" s="283"/>
      <c r="J3894" s="293">
        <v>1</v>
      </c>
      <c r="K3894" s="293"/>
      <c r="L3894" s="293"/>
      <c r="M3894" s="293"/>
      <c r="N3894" s="293"/>
      <c r="P3894" s="42">
        <v>500</v>
      </c>
      <c r="R3894" s="42">
        <v>150</v>
      </c>
      <c r="T3894" s="284">
        <v>350</v>
      </c>
      <c r="U3894" s="284"/>
    </row>
    <row r="3895" spans="1:21" x14ac:dyDescent="0.25">
      <c r="B3895" s="292">
        <v>89</v>
      </c>
      <c r="C3895" s="292"/>
      <c r="D3895" s="292"/>
      <c r="F3895" s="283" t="s">
        <v>204</v>
      </c>
      <c r="G3895" s="283"/>
      <c r="J3895" s="293">
        <v>2</v>
      </c>
      <c r="K3895" s="293"/>
      <c r="L3895" s="293"/>
      <c r="M3895" s="293"/>
      <c r="N3895" s="293"/>
      <c r="P3895" s="42">
        <v>1000</v>
      </c>
      <c r="R3895" s="42">
        <v>300</v>
      </c>
      <c r="T3895" s="284">
        <v>700</v>
      </c>
      <c r="U3895" s="284"/>
    </row>
    <row r="3896" spans="1:21" x14ac:dyDescent="0.25">
      <c r="B3896" s="292">
        <v>90</v>
      </c>
      <c r="C3896" s="292"/>
      <c r="D3896" s="292"/>
      <c r="F3896" s="283" t="s">
        <v>203</v>
      </c>
      <c r="G3896" s="283"/>
      <c r="J3896" s="293">
        <v>1</v>
      </c>
      <c r="K3896" s="293"/>
      <c r="L3896" s="293"/>
      <c r="M3896" s="293"/>
      <c r="N3896" s="293"/>
      <c r="P3896" s="42">
        <v>500</v>
      </c>
      <c r="R3896" s="42">
        <v>150</v>
      </c>
      <c r="T3896" s="284">
        <v>350</v>
      </c>
      <c r="U3896" s="284"/>
    </row>
    <row r="3897" spans="1:21" x14ac:dyDescent="0.25">
      <c r="B3897" s="292">
        <v>91</v>
      </c>
      <c r="C3897" s="292"/>
      <c r="D3897" s="292"/>
      <c r="F3897" s="283" t="s">
        <v>81</v>
      </c>
      <c r="G3897" s="283"/>
      <c r="J3897" s="293">
        <v>75</v>
      </c>
      <c r="K3897" s="293"/>
      <c r="L3897" s="293"/>
      <c r="M3897" s="293"/>
      <c r="N3897" s="293"/>
      <c r="P3897" s="42">
        <v>21750</v>
      </c>
      <c r="R3897" s="42">
        <v>3200</v>
      </c>
      <c r="T3897" s="284">
        <v>18550</v>
      </c>
      <c r="U3897" s="284"/>
    </row>
    <row r="3898" spans="1:21" s="40" customFormat="1" x14ac:dyDescent="0.25">
      <c r="A3898" s="290" t="s">
        <v>347</v>
      </c>
      <c r="B3898" s="290"/>
      <c r="C3898" s="290"/>
      <c r="D3898" s="290"/>
      <c r="E3898" s="290"/>
      <c r="F3898" s="290"/>
      <c r="G3898" s="290"/>
      <c r="H3898" s="290"/>
      <c r="I3898" s="290"/>
      <c r="J3898" s="290"/>
      <c r="K3898" s="291">
        <v>7021</v>
      </c>
      <c r="L3898" s="291"/>
      <c r="M3898" s="291"/>
      <c r="N3898" s="291"/>
      <c r="O3898" s="291"/>
      <c r="P3898" s="41">
        <v>7756705</v>
      </c>
      <c r="R3898" s="41">
        <v>6987056</v>
      </c>
      <c r="T3898" s="287">
        <v>769649</v>
      </c>
      <c r="U3898" s="287"/>
    </row>
    <row r="3899" spans="1:21" x14ac:dyDescent="0.25">
      <c r="B3899" s="292">
        <v>1</v>
      </c>
      <c r="C3899" s="292"/>
      <c r="D3899" s="292"/>
      <c r="F3899" s="283" t="s">
        <v>316</v>
      </c>
      <c r="G3899" s="283"/>
      <c r="J3899" s="293">
        <v>1</v>
      </c>
      <c r="K3899" s="293"/>
      <c r="L3899" s="293"/>
      <c r="M3899" s="293"/>
      <c r="N3899" s="293"/>
      <c r="P3899" s="42">
        <v>390</v>
      </c>
      <c r="R3899" s="42">
        <v>120</v>
      </c>
      <c r="T3899" s="284">
        <v>270</v>
      </c>
      <c r="U3899" s="284"/>
    </row>
    <row r="3900" spans="1:21" x14ac:dyDescent="0.25">
      <c r="B3900" s="292">
        <v>2</v>
      </c>
      <c r="C3900" s="292"/>
      <c r="D3900" s="292"/>
      <c r="F3900" s="283" t="s">
        <v>346</v>
      </c>
      <c r="G3900" s="283"/>
      <c r="J3900" s="293">
        <v>2</v>
      </c>
      <c r="K3900" s="293"/>
      <c r="L3900" s="293"/>
      <c r="M3900" s="293"/>
      <c r="N3900" s="293"/>
      <c r="P3900" s="42">
        <v>1000</v>
      </c>
      <c r="R3900" s="42">
        <v>300</v>
      </c>
      <c r="T3900" s="284">
        <v>700</v>
      </c>
      <c r="U3900" s="284"/>
    </row>
    <row r="3901" spans="1:21" x14ac:dyDescent="0.25">
      <c r="B3901" s="292">
        <v>3</v>
      </c>
      <c r="C3901" s="292"/>
      <c r="D3901" s="292"/>
      <c r="F3901" s="283" t="s">
        <v>78</v>
      </c>
      <c r="G3901" s="283"/>
      <c r="J3901" s="293">
        <v>532</v>
      </c>
      <c r="K3901" s="293"/>
      <c r="L3901" s="293"/>
      <c r="M3901" s="293"/>
      <c r="N3901" s="293"/>
      <c r="P3901" s="42">
        <v>154280</v>
      </c>
      <c r="R3901" s="42">
        <v>154280</v>
      </c>
      <c r="T3901" s="284">
        <v>0</v>
      </c>
      <c r="U3901" s="284"/>
    </row>
    <row r="3902" spans="1:21" x14ac:dyDescent="0.25">
      <c r="B3902" s="292">
        <v>4</v>
      </c>
      <c r="C3902" s="292"/>
      <c r="D3902" s="292"/>
      <c r="F3902" s="283" t="s">
        <v>268</v>
      </c>
      <c r="G3902" s="283"/>
      <c r="J3902" s="293">
        <v>1</v>
      </c>
      <c r="K3902" s="293"/>
      <c r="L3902" s="293"/>
      <c r="M3902" s="293"/>
      <c r="N3902" s="293"/>
      <c r="P3902" s="42">
        <v>250</v>
      </c>
      <c r="R3902" s="42">
        <v>70</v>
      </c>
      <c r="T3902" s="284">
        <v>180</v>
      </c>
      <c r="U3902" s="284"/>
    </row>
    <row r="3903" spans="1:21" x14ac:dyDescent="0.25">
      <c r="B3903" s="292">
        <v>5</v>
      </c>
      <c r="C3903" s="292"/>
      <c r="D3903" s="292"/>
      <c r="F3903" s="283" t="s">
        <v>249</v>
      </c>
      <c r="G3903" s="283"/>
      <c r="J3903" s="293">
        <v>1</v>
      </c>
      <c r="K3903" s="293"/>
      <c r="L3903" s="293"/>
      <c r="M3903" s="293"/>
      <c r="N3903" s="293"/>
      <c r="P3903" s="42">
        <v>1300</v>
      </c>
      <c r="R3903" s="42">
        <v>200</v>
      </c>
      <c r="T3903" s="284">
        <v>1100</v>
      </c>
      <c r="U3903" s="284"/>
    </row>
    <row r="3904" spans="1:21" x14ac:dyDescent="0.25">
      <c r="B3904" s="292">
        <v>6</v>
      </c>
      <c r="C3904" s="292"/>
      <c r="D3904" s="292"/>
      <c r="F3904" s="283" t="s">
        <v>294</v>
      </c>
      <c r="G3904" s="283"/>
      <c r="J3904" s="293">
        <v>1</v>
      </c>
      <c r="K3904" s="293"/>
      <c r="L3904" s="293"/>
      <c r="M3904" s="293"/>
      <c r="N3904" s="293"/>
      <c r="P3904" s="42">
        <v>500</v>
      </c>
      <c r="R3904" s="42">
        <v>150</v>
      </c>
      <c r="T3904" s="284">
        <v>350</v>
      </c>
      <c r="U3904" s="284"/>
    </row>
    <row r="3905" spans="2:21" x14ac:dyDescent="0.25">
      <c r="B3905" s="292">
        <v>7</v>
      </c>
      <c r="C3905" s="292"/>
      <c r="D3905" s="292"/>
      <c r="F3905" s="283" t="s">
        <v>345</v>
      </c>
      <c r="G3905" s="283"/>
      <c r="J3905" s="293">
        <v>1</v>
      </c>
      <c r="K3905" s="293"/>
      <c r="L3905" s="293"/>
      <c r="M3905" s="293"/>
      <c r="N3905" s="293"/>
      <c r="P3905" s="42">
        <v>1880</v>
      </c>
      <c r="R3905" s="42">
        <v>280</v>
      </c>
      <c r="T3905" s="284">
        <v>1600</v>
      </c>
      <c r="U3905" s="284"/>
    </row>
    <row r="3906" spans="2:21" x14ac:dyDescent="0.25">
      <c r="B3906" s="292">
        <v>8</v>
      </c>
      <c r="C3906" s="292"/>
      <c r="D3906" s="292"/>
      <c r="F3906" s="283" t="s">
        <v>165</v>
      </c>
      <c r="G3906" s="283"/>
      <c r="J3906" s="293">
        <v>1</v>
      </c>
      <c r="K3906" s="293"/>
      <c r="L3906" s="293"/>
      <c r="M3906" s="293"/>
      <c r="N3906" s="293"/>
      <c r="P3906" s="42">
        <v>590</v>
      </c>
      <c r="R3906" s="42">
        <v>180</v>
      </c>
      <c r="T3906" s="284">
        <v>410</v>
      </c>
      <c r="U3906" s="284"/>
    </row>
    <row r="3907" spans="2:21" x14ac:dyDescent="0.25">
      <c r="B3907" s="292">
        <v>9</v>
      </c>
      <c r="C3907" s="292"/>
      <c r="D3907" s="292"/>
      <c r="F3907" s="283" t="s">
        <v>344</v>
      </c>
      <c r="G3907" s="283"/>
      <c r="J3907" s="293">
        <v>1</v>
      </c>
      <c r="K3907" s="293"/>
      <c r="L3907" s="293"/>
      <c r="M3907" s="293"/>
      <c r="N3907" s="293"/>
      <c r="P3907" s="42">
        <v>350</v>
      </c>
      <c r="R3907" s="42">
        <v>100</v>
      </c>
      <c r="T3907" s="284">
        <v>250</v>
      </c>
      <c r="U3907" s="284"/>
    </row>
    <row r="3908" spans="2:21" x14ac:dyDescent="0.25">
      <c r="B3908" s="292">
        <v>10</v>
      </c>
      <c r="C3908" s="292"/>
      <c r="D3908" s="292"/>
      <c r="F3908" s="283" t="s">
        <v>162</v>
      </c>
      <c r="G3908" s="283"/>
      <c r="J3908" s="293">
        <v>12</v>
      </c>
      <c r="K3908" s="293"/>
      <c r="L3908" s="293"/>
      <c r="M3908" s="293"/>
      <c r="N3908" s="293"/>
      <c r="P3908" s="42">
        <v>5160</v>
      </c>
      <c r="R3908" s="42">
        <v>2208</v>
      </c>
      <c r="T3908" s="284">
        <v>2952</v>
      </c>
      <c r="U3908" s="284"/>
    </row>
    <row r="3909" spans="2:21" x14ac:dyDescent="0.25">
      <c r="B3909" s="292">
        <v>11</v>
      </c>
      <c r="C3909" s="292"/>
      <c r="D3909" s="292"/>
      <c r="F3909" s="283" t="s">
        <v>198</v>
      </c>
      <c r="G3909" s="283"/>
      <c r="J3909" s="293">
        <v>21</v>
      </c>
      <c r="K3909" s="293"/>
      <c r="L3909" s="293"/>
      <c r="M3909" s="293"/>
      <c r="N3909" s="293"/>
      <c r="P3909" s="42">
        <v>6090</v>
      </c>
      <c r="R3909" s="42">
        <v>1520</v>
      </c>
      <c r="T3909" s="284">
        <v>4570</v>
      </c>
      <c r="U3909" s="284"/>
    </row>
    <row r="3910" spans="2:21" x14ac:dyDescent="0.25">
      <c r="B3910" s="292">
        <v>12</v>
      </c>
      <c r="C3910" s="292"/>
      <c r="D3910" s="292"/>
      <c r="F3910" s="283" t="s">
        <v>161</v>
      </c>
      <c r="G3910" s="283"/>
      <c r="J3910" s="293">
        <v>1</v>
      </c>
      <c r="K3910" s="293"/>
      <c r="L3910" s="293"/>
      <c r="M3910" s="293"/>
      <c r="N3910" s="293"/>
      <c r="P3910" s="42">
        <v>25</v>
      </c>
      <c r="R3910" s="42">
        <v>5</v>
      </c>
      <c r="T3910" s="284">
        <v>20</v>
      </c>
      <c r="U3910" s="284"/>
    </row>
    <row r="3911" spans="2:21" x14ac:dyDescent="0.25">
      <c r="B3911" s="292">
        <v>13</v>
      </c>
      <c r="C3911" s="292"/>
      <c r="D3911" s="292"/>
      <c r="F3911" s="283" t="s">
        <v>158</v>
      </c>
      <c r="G3911" s="283"/>
      <c r="J3911" s="293">
        <v>474</v>
      </c>
      <c r="K3911" s="293"/>
      <c r="L3911" s="293"/>
      <c r="M3911" s="293"/>
      <c r="N3911" s="293"/>
      <c r="P3911" s="42">
        <v>260700</v>
      </c>
      <c r="R3911" s="42">
        <v>72811</v>
      </c>
      <c r="T3911" s="284">
        <v>187889</v>
      </c>
      <c r="U3911" s="284"/>
    </row>
    <row r="3912" spans="2:21" x14ac:dyDescent="0.25">
      <c r="B3912" s="292">
        <v>14</v>
      </c>
      <c r="C3912" s="292"/>
      <c r="D3912" s="292"/>
      <c r="F3912" s="283" t="s">
        <v>157</v>
      </c>
      <c r="G3912" s="283"/>
      <c r="J3912" s="293">
        <v>25</v>
      </c>
      <c r="K3912" s="293"/>
      <c r="L3912" s="293"/>
      <c r="M3912" s="293"/>
      <c r="N3912" s="293"/>
      <c r="P3912" s="42">
        <v>12250</v>
      </c>
      <c r="R3912" s="42">
        <v>5083</v>
      </c>
      <c r="T3912" s="284">
        <v>7167</v>
      </c>
      <c r="U3912" s="284"/>
    </row>
    <row r="3913" spans="2:21" x14ac:dyDescent="0.25">
      <c r="B3913" s="292">
        <v>15</v>
      </c>
      <c r="C3913" s="292"/>
      <c r="D3913" s="292"/>
      <c r="F3913" s="283" t="s">
        <v>197</v>
      </c>
      <c r="G3913" s="283"/>
      <c r="J3913" s="293">
        <v>4</v>
      </c>
      <c r="K3913" s="293"/>
      <c r="L3913" s="293"/>
      <c r="M3913" s="293"/>
      <c r="N3913" s="293"/>
      <c r="P3913" s="42">
        <v>2000</v>
      </c>
      <c r="R3913" s="42">
        <v>300</v>
      </c>
      <c r="T3913" s="284">
        <v>1700</v>
      </c>
      <c r="U3913" s="284"/>
    </row>
    <row r="3914" spans="2:21" x14ac:dyDescent="0.25">
      <c r="B3914" s="292">
        <v>16</v>
      </c>
      <c r="C3914" s="292"/>
      <c r="D3914" s="292"/>
      <c r="F3914" s="283" t="s">
        <v>293</v>
      </c>
      <c r="G3914" s="283"/>
      <c r="J3914" s="293">
        <v>17</v>
      </c>
      <c r="K3914" s="293"/>
      <c r="L3914" s="293"/>
      <c r="M3914" s="293"/>
      <c r="N3914" s="293"/>
      <c r="P3914" s="42">
        <v>11900</v>
      </c>
      <c r="R3914" s="42">
        <v>1040</v>
      </c>
      <c r="T3914" s="284">
        <v>10860</v>
      </c>
      <c r="U3914" s="284"/>
    </row>
    <row r="3915" spans="2:21" x14ac:dyDescent="0.25">
      <c r="B3915" s="292">
        <v>17</v>
      </c>
      <c r="C3915" s="292"/>
      <c r="D3915" s="292"/>
      <c r="F3915" s="283" t="s">
        <v>196</v>
      </c>
      <c r="G3915" s="283"/>
      <c r="J3915" s="293">
        <v>39</v>
      </c>
      <c r="K3915" s="293"/>
      <c r="L3915" s="293"/>
      <c r="M3915" s="293"/>
      <c r="N3915" s="293"/>
      <c r="P3915" s="42">
        <v>27300</v>
      </c>
      <c r="R3915" s="42">
        <v>3031</v>
      </c>
      <c r="T3915" s="284">
        <v>24269</v>
      </c>
      <c r="U3915" s="284"/>
    </row>
    <row r="3916" spans="2:21" x14ac:dyDescent="0.25">
      <c r="B3916" s="292">
        <v>18</v>
      </c>
      <c r="C3916" s="292"/>
      <c r="D3916" s="292"/>
      <c r="F3916" s="283" t="s">
        <v>292</v>
      </c>
      <c r="G3916" s="283"/>
      <c r="J3916" s="293">
        <v>1</v>
      </c>
      <c r="K3916" s="293"/>
      <c r="L3916" s="293"/>
      <c r="M3916" s="293"/>
      <c r="N3916" s="293"/>
      <c r="P3916" s="42">
        <v>700</v>
      </c>
      <c r="R3916" s="42">
        <v>700</v>
      </c>
      <c r="T3916" s="284">
        <v>0</v>
      </c>
      <c r="U3916" s="284"/>
    </row>
    <row r="3917" spans="2:21" x14ac:dyDescent="0.25">
      <c r="B3917" s="292">
        <v>19</v>
      </c>
      <c r="C3917" s="292"/>
      <c r="D3917" s="292"/>
      <c r="F3917" s="283" t="s">
        <v>77</v>
      </c>
      <c r="G3917" s="283"/>
      <c r="J3917" s="293">
        <v>2506</v>
      </c>
      <c r="K3917" s="293"/>
      <c r="L3917" s="293"/>
      <c r="M3917" s="293"/>
      <c r="N3917" s="293"/>
      <c r="P3917" s="42">
        <v>1013800</v>
      </c>
      <c r="R3917" s="42">
        <v>1013800</v>
      </c>
      <c r="T3917" s="284">
        <v>0</v>
      </c>
      <c r="U3917" s="284"/>
    </row>
    <row r="3918" spans="2:21" x14ac:dyDescent="0.25">
      <c r="B3918" s="292">
        <v>20</v>
      </c>
      <c r="C3918" s="292"/>
      <c r="D3918" s="292"/>
      <c r="F3918" s="283" t="s">
        <v>343</v>
      </c>
      <c r="G3918" s="283"/>
      <c r="J3918" s="293">
        <v>1</v>
      </c>
      <c r="K3918" s="293"/>
      <c r="L3918" s="293"/>
      <c r="M3918" s="293"/>
      <c r="N3918" s="293"/>
      <c r="P3918" s="42">
        <v>210</v>
      </c>
      <c r="R3918" s="42">
        <v>63</v>
      </c>
      <c r="T3918" s="284">
        <v>147</v>
      </c>
      <c r="U3918" s="284"/>
    </row>
    <row r="3919" spans="2:21" x14ac:dyDescent="0.25">
      <c r="B3919" s="292">
        <v>21</v>
      </c>
      <c r="C3919" s="292"/>
      <c r="D3919" s="292"/>
      <c r="F3919" s="283" t="s">
        <v>76</v>
      </c>
      <c r="G3919" s="283"/>
      <c r="J3919" s="293">
        <v>6</v>
      </c>
      <c r="K3919" s="293"/>
      <c r="L3919" s="293"/>
      <c r="M3919" s="293"/>
      <c r="N3919" s="293"/>
      <c r="P3919" s="42">
        <v>3500</v>
      </c>
      <c r="R3919" s="42">
        <v>3500</v>
      </c>
      <c r="T3919" s="284">
        <v>0</v>
      </c>
      <c r="U3919" s="284"/>
    </row>
    <row r="3920" spans="2:21" x14ac:dyDescent="0.25">
      <c r="B3920" s="292">
        <v>22</v>
      </c>
      <c r="C3920" s="292"/>
      <c r="D3920" s="292"/>
      <c r="F3920" s="283" t="s">
        <v>156</v>
      </c>
      <c r="G3920" s="283"/>
      <c r="J3920" s="293">
        <v>17</v>
      </c>
      <c r="K3920" s="293"/>
      <c r="L3920" s="293"/>
      <c r="M3920" s="293"/>
      <c r="N3920" s="293"/>
      <c r="P3920" s="42">
        <v>3230</v>
      </c>
      <c r="R3920" s="42">
        <v>1068</v>
      </c>
      <c r="T3920" s="284">
        <v>2162</v>
      </c>
      <c r="U3920" s="284"/>
    </row>
    <row r="3921" spans="2:21" x14ac:dyDescent="0.25">
      <c r="B3921" s="292">
        <v>23</v>
      </c>
      <c r="C3921" s="292"/>
      <c r="D3921" s="292"/>
      <c r="F3921" s="283" t="s">
        <v>342</v>
      </c>
      <c r="G3921" s="283"/>
      <c r="J3921" s="293">
        <v>1</v>
      </c>
      <c r="K3921" s="293"/>
      <c r="L3921" s="293"/>
      <c r="M3921" s="293"/>
      <c r="N3921" s="293"/>
      <c r="P3921" s="42">
        <v>500</v>
      </c>
      <c r="R3921" s="42">
        <v>0</v>
      </c>
      <c r="T3921" s="284">
        <v>500</v>
      </c>
      <c r="U3921" s="284"/>
    </row>
    <row r="3922" spans="2:21" x14ac:dyDescent="0.25">
      <c r="B3922" s="292">
        <v>24</v>
      </c>
      <c r="C3922" s="292"/>
      <c r="D3922" s="292"/>
      <c r="F3922" s="283" t="s">
        <v>341</v>
      </c>
      <c r="G3922" s="283"/>
      <c r="J3922" s="293">
        <v>2</v>
      </c>
      <c r="K3922" s="293"/>
      <c r="L3922" s="293"/>
      <c r="M3922" s="293"/>
      <c r="N3922" s="293"/>
      <c r="P3922" s="42">
        <v>900</v>
      </c>
      <c r="R3922" s="42">
        <v>260</v>
      </c>
      <c r="T3922" s="284">
        <v>640</v>
      </c>
      <c r="U3922" s="284"/>
    </row>
    <row r="3923" spans="2:21" x14ac:dyDescent="0.25">
      <c r="B3923" s="292">
        <v>25</v>
      </c>
      <c r="C3923" s="292"/>
      <c r="D3923" s="292"/>
      <c r="F3923" s="283" t="s">
        <v>155</v>
      </c>
      <c r="G3923" s="283"/>
      <c r="J3923" s="293">
        <v>63</v>
      </c>
      <c r="K3923" s="293"/>
      <c r="L3923" s="293"/>
      <c r="M3923" s="293"/>
      <c r="N3923" s="293"/>
      <c r="P3923" s="42">
        <v>15750</v>
      </c>
      <c r="R3923" s="42">
        <v>5741</v>
      </c>
      <c r="T3923" s="284">
        <v>10009</v>
      </c>
      <c r="U3923" s="284"/>
    </row>
    <row r="3924" spans="2:21" x14ac:dyDescent="0.25">
      <c r="B3924" s="292">
        <v>26</v>
      </c>
      <c r="C3924" s="292"/>
      <c r="D3924" s="292"/>
      <c r="F3924" s="283" t="s">
        <v>340</v>
      </c>
      <c r="G3924" s="283"/>
      <c r="J3924" s="293">
        <v>2</v>
      </c>
      <c r="K3924" s="293"/>
      <c r="L3924" s="293"/>
      <c r="M3924" s="293"/>
      <c r="N3924" s="293"/>
      <c r="P3924" s="42">
        <v>1760</v>
      </c>
      <c r="R3924" s="42">
        <v>0</v>
      </c>
      <c r="T3924" s="284">
        <v>1760</v>
      </c>
      <c r="U3924" s="284"/>
    </row>
    <row r="3925" spans="2:21" x14ac:dyDescent="0.25">
      <c r="B3925" s="292">
        <v>27</v>
      </c>
      <c r="C3925" s="292"/>
      <c r="D3925" s="292"/>
      <c r="F3925" s="283" t="s">
        <v>339</v>
      </c>
      <c r="G3925" s="283"/>
      <c r="J3925" s="293">
        <v>1</v>
      </c>
      <c r="K3925" s="293"/>
      <c r="L3925" s="293"/>
      <c r="M3925" s="293"/>
      <c r="N3925" s="293"/>
      <c r="P3925" s="42">
        <v>350</v>
      </c>
      <c r="R3925" s="42">
        <v>100</v>
      </c>
      <c r="T3925" s="284">
        <v>250</v>
      </c>
      <c r="U3925" s="284"/>
    </row>
    <row r="3926" spans="2:21" x14ac:dyDescent="0.25">
      <c r="B3926" s="292">
        <v>28</v>
      </c>
      <c r="C3926" s="292"/>
      <c r="D3926" s="292"/>
      <c r="F3926" s="283" t="s">
        <v>338</v>
      </c>
      <c r="G3926" s="283"/>
      <c r="J3926" s="293">
        <v>2</v>
      </c>
      <c r="K3926" s="293"/>
      <c r="L3926" s="293"/>
      <c r="M3926" s="293"/>
      <c r="N3926" s="293"/>
      <c r="P3926" s="42">
        <v>580</v>
      </c>
      <c r="R3926" s="42">
        <v>160</v>
      </c>
      <c r="T3926" s="284">
        <v>420</v>
      </c>
      <c r="U3926" s="284"/>
    </row>
    <row r="3927" spans="2:21" x14ac:dyDescent="0.25">
      <c r="B3927" s="292">
        <v>29</v>
      </c>
      <c r="C3927" s="292"/>
      <c r="D3927" s="292"/>
      <c r="F3927" s="283" t="s">
        <v>195</v>
      </c>
      <c r="G3927" s="283"/>
      <c r="J3927" s="293">
        <v>11</v>
      </c>
      <c r="K3927" s="293"/>
      <c r="L3927" s="293"/>
      <c r="M3927" s="293"/>
      <c r="N3927" s="293"/>
      <c r="P3927" s="42">
        <v>11000</v>
      </c>
      <c r="R3927" s="42">
        <v>500</v>
      </c>
      <c r="T3927" s="284">
        <v>10500</v>
      </c>
      <c r="U3927" s="284"/>
    </row>
    <row r="3928" spans="2:21" x14ac:dyDescent="0.25">
      <c r="B3928" s="292">
        <v>30</v>
      </c>
      <c r="C3928" s="292"/>
      <c r="D3928" s="292"/>
      <c r="F3928" s="283" t="s">
        <v>194</v>
      </c>
      <c r="G3928" s="283"/>
      <c r="J3928" s="293">
        <v>1</v>
      </c>
      <c r="K3928" s="293"/>
      <c r="L3928" s="293"/>
      <c r="M3928" s="293"/>
      <c r="N3928" s="293"/>
      <c r="P3928" s="42">
        <v>700</v>
      </c>
      <c r="R3928" s="42">
        <v>0</v>
      </c>
      <c r="T3928" s="284">
        <v>700</v>
      </c>
      <c r="U3928" s="284"/>
    </row>
    <row r="3929" spans="2:21" x14ac:dyDescent="0.25">
      <c r="B3929" s="292">
        <v>31</v>
      </c>
      <c r="C3929" s="292"/>
      <c r="D3929" s="292"/>
      <c r="F3929" s="283" t="s">
        <v>289</v>
      </c>
      <c r="G3929" s="283"/>
      <c r="J3929" s="293">
        <v>1</v>
      </c>
      <c r="K3929" s="293"/>
      <c r="L3929" s="293"/>
      <c r="M3929" s="293"/>
      <c r="N3929" s="293"/>
      <c r="P3929" s="42">
        <v>500</v>
      </c>
      <c r="R3929" s="42">
        <v>150</v>
      </c>
      <c r="T3929" s="284">
        <v>350</v>
      </c>
      <c r="U3929" s="284"/>
    </row>
    <row r="3930" spans="2:21" x14ac:dyDescent="0.25">
      <c r="B3930" s="292">
        <v>32</v>
      </c>
      <c r="C3930" s="292"/>
      <c r="D3930" s="292"/>
      <c r="F3930" s="283" t="s">
        <v>320</v>
      </c>
      <c r="G3930" s="283"/>
      <c r="J3930" s="293">
        <v>1</v>
      </c>
      <c r="K3930" s="293"/>
      <c r="L3930" s="293"/>
      <c r="M3930" s="293"/>
      <c r="N3930" s="293"/>
      <c r="P3930" s="42">
        <v>500</v>
      </c>
      <c r="R3930" s="42">
        <v>0</v>
      </c>
      <c r="T3930" s="284">
        <v>500</v>
      </c>
      <c r="U3930" s="284"/>
    </row>
    <row r="3931" spans="2:21" x14ac:dyDescent="0.25">
      <c r="B3931" s="292">
        <v>33</v>
      </c>
      <c r="C3931" s="292"/>
      <c r="D3931" s="292"/>
      <c r="F3931" s="283" t="s">
        <v>152</v>
      </c>
      <c r="G3931" s="283"/>
      <c r="J3931" s="293">
        <v>3</v>
      </c>
      <c r="K3931" s="293"/>
      <c r="L3931" s="293"/>
      <c r="M3931" s="293"/>
      <c r="N3931" s="293"/>
      <c r="P3931" s="42">
        <v>1770</v>
      </c>
      <c r="R3931" s="42">
        <v>630</v>
      </c>
      <c r="T3931" s="284">
        <v>1140</v>
      </c>
      <c r="U3931" s="284"/>
    </row>
    <row r="3932" spans="2:21" x14ac:dyDescent="0.25">
      <c r="B3932" s="292">
        <v>34</v>
      </c>
      <c r="C3932" s="292"/>
      <c r="D3932" s="292"/>
      <c r="F3932" s="283" t="s">
        <v>151</v>
      </c>
      <c r="G3932" s="283"/>
      <c r="J3932" s="293">
        <v>32</v>
      </c>
      <c r="K3932" s="293"/>
      <c r="L3932" s="293"/>
      <c r="M3932" s="293"/>
      <c r="N3932" s="293"/>
      <c r="P3932" s="42">
        <v>7360</v>
      </c>
      <c r="R3932" s="42">
        <v>2300</v>
      </c>
      <c r="T3932" s="284">
        <v>5060</v>
      </c>
      <c r="U3932" s="284"/>
    </row>
    <row r="3933" spans="2:21" x14ac:dyDescent="0.25">
      <c r="B3933" s="292">
        <v>35</v>
      </c>
      <c r="C3933" s="292"/>
      <c r="D3933" s="292"/>
      <c r="F3933" s="283" t="s">
        <v>337</v>
      </c>
      <c r="G3933" s="283"/>
      <c r="J3933" s="293">
        <v>1</v>
      </c>
      <c r="K3933" s="293"/>
      <c r="L3933" s="293"/>
      <c r="M3933" s="293"/>
      <c r="N3933" s="293"/>
      <c r="P3933" s="42">
        <v>1380</v>
      </c>
      <c r="R3933" s="42">
        <v>210</v>
      </c>
      <c r="T3933" s="284">
        <v>1170</v>
      </c>
      <c r="U3933" s="284"/>
    </row>
    <row r="3934" spans="2:21" x14ac:dyDescent="0.25">
      <c r="B3934" s="292">
        <v>36</v>
      </c>
      <c r="C3934" s="292"/>
      <c r="D3934" s="292"/>
      <c r="F3934" s="283" t="s">
        <v>150</v>
      </c>
      <c r="G3934" s="283"/>
      <c r="J3934" s="293">
        <v>10</v>
      </c>
      <c r="K3934" s="293"/>
      <c r="L3934" s="293"/>
      <c r="M3934" s="293"/>
      <c r="N3934" s="293"/>
      <c r="P3934" s="42">
        <v>1700</v>
      </c>
      <c r="R3934" s="42">
        <v>360</v>
      </c>
      <c r="T3934" s="284">
        <v>1340</v>
      </c>
      <c r="U3934" s="284"/>
    </row>
    <row r="3935" spans="2:21" x14ac:dyDescent="0.25">
      <c r="B3935" s="292">
        <v>37</v>
      </c>
      <c r="C3935" s="292"/>
      <c r="D3935" s="292"/>
      <c r="F3935" s="283" t="s">
        <v>149</v>
      </c>
      <c r="G3935" s="283"/>
      <c r="J3935" s="293">
        <v>2</v>
      </c>
      <c r="K3935" s="293"/>
      <c r="L3935" s="293"/>
      <c r="M3935" s="293"/>
      <c r="N3935" s="293"/>
      <c r="P3935" s="42">
        <v>100</v>
      </c>
      <c r="R3935" s="42">
        <v>20</v>
      </c>
      <c r="T3935" s="284">
        <v>80</v>
      </c>
      <c r="U3935" s="284"/>
    </row>
    <row r="3936" spans="2:21" x14ac:dyDescent="0.25">
      <c r="B3936" s="292">
        <v>38</v>
      </c>
      <c r="C3936" s="292"/>
      <c r="D3936" s="292"/>
      <c r="F3936" s="283" t="s">
        <v>288</v>
      </c>
      <c r="G3936" s="283"/>
      <c r="J3936" s="293">
        <v>2</v>
      </c>
      <c r="K3936" s="293"/>
      <c r="L3936" s="293"/>
      <c r="M3936" s="293"/>
      <c r="N3936" s="293"/>
      <c r="P3936" s="42">
        <v>1600</v>
      </c>
      <c r="R3936" s="42">
        <v>900</v>
      </c>
      <c r="T3936" s="284">
        <v>700</v>
      </c>
      <c r="U3936" s="284"/>
    </row>
    <row r="3937" spans="2:21" x14ac:dyDescent="0.25">
      <c r="B3937" s="292">
        <v>39</v>
      </c>
      <c r="C3937" s="292"/>
      <c r="D3937" s="292"/>
      <c r="F3937" s="283" t="s">
        <v>234</v>
      </c>
      <c r="G3937" s="283"/>
      <c r="J3937" s="293">
        <v>4</v>
      </c>
      <c r="K3937" s="293"/>
      <c r="L3937" s="293"/>
      <c r="M3937" s="293"/>
      <c r="N3937" s="293"/>
      <c r="P3937" s="42">
        <v>3200</v>
      </c>
      <c r="R3937" s="42">
        <v>1800</v>
      </c>
      <c r="T3937" s="284">
        <v>1400</v>
      </c>
      <c r="U3937" s="284"/>
    </row>
    <row r="3938" spans="2:21" x14ac:dyDescent="0.25">
      <c r="B3938" s="292">
        <v>40</v>
      </c>
      <c r="C3938" s="292"/>
      <c r="D3938" s="292"/>
      <c r="F3938" s="283" t="s">
        <v>287</v>
      </c>
      <c r="G3938" s="283"/>
      <c r="J3938" s="293">
        <v>5</v>
      </c>
      <c r="K3938" s="293"/>
      <c r="L3938" s="293"/>
      <c r="M3938" s="293"/>
      <c r="N3938" s="293"/>
      <c r="P3938" s="42">
        <v>4000</v>
      </c>
      <c r="R3938" s="42">
        <v>1620</v>
      </c>
      <c r="T3938" s="284">
        <v>2380</v>
      </c>
      <c r="U3938" s="284"/>
    </row>
    <row r="3939" spans="2:21" x14ac:dyDescent="0.25">
      <c r="B3939" s="292">
        <v>41</v>
      </c>
      <c r="C3939" s="292"/>
      <c r="D3939" s="292"/>
      <c r="F3939" s="283" t="s">
        <v>286</v>
      </c>
      <c r="G3939" s="283"/>
      <c r="J3939" s="293">
        <v>2</v>
      </c>
      <c r="K3939" s="293"/>
      <c r="L3939" s="293"/>
      <c r="M3939" s="293"/>
      <c r="N3939" s="293"/>
      <c r="P3939" s="42">
        <v>1600</v>
      </c>
      <c r="R3939" s="42">
        <v>900</v>
      </c>
      <c r="T3939" s="284">
        <v>700</v>
      </c>
      <c r="U3939" s="284"/>
    </row>
    <row r="3940" spans="2:21" x14ac:dyDescent="0.25">
      <c r="B3940" s="292">
        <v>42</v>
      </c>
      <c r="C3940" s="292"/>
      <c r="D3940" s="292"/>
      <c r="F3940" s="283" t="s">
        <v>233</v>
      </c>
      <c r="G3940" s="283"/>
      <c r="J3940" s="293">
        <v>5</v>
      </c>
      <c r="K3940" s="293"/>
      <c r="L3940" s="293"/>
      <c r="M3940" s="293"/>
      <c r="N3940" s="293"/>
      <c r="P3940" s="42">
        <v>4900</v>
      </c>
      <c r="R3940" s="42">
        <v>750</v>
      </c>
      <c r="T3940" s="284">
        <v>4150</v>
      </c>
      <c r="U3940" s="284"/>
    </row>
    <row r="3941" spans="2:21" x14ac:dyDescent="0.25">
      <c r="B3941" s="292">
        <v>43</v>
      </c>
      <c r="C3941" s="292"/>
      <c r="D3941" s="292"/>
      <c r="F3941" s="283" t="s">
        <v>232</v>
      </c>
      <c r="G3941" s="283"/>
      <c r="J3941" s="293">
        <v>6</v>
      </c>
      <c r="K3941" s="293"/>
      <c r="L3941" s="293"/>
      <c r="M3941" s="293"/>
      <c r="N3941" s="293"/>
      <c r="P3941" s="42">
        <v>5880</v>
      </c>
      <c r="R3941" s="42">
        <v>900</v>
      </c>
      <c r="T3941" s="284">
        <v>4980</v>
      </c>
      <c r="U3941" s="284"/>
    </row>
    <row r="3942" spans="2:21" x14ac:dyDescent="0.25">
      <c r="B3942" s="292">
        <v>44</v>
      </c>
      <c r="C3942" s="292"/>
      <c r="D3942" s="292"/>
      <c r="F3942" s="283" t="s">
        <v>142</v>
      </c>
      <c r="G3942" s="283"/>
      <c r="J3942" s="293">
        <v>3</v>
      </c>
      <c r="K3942" s="293"/>
      <c r="L3942" s="293"/>
      <c r="M3942" s="293"/>
      <c r="N3942" s="293"/>
      <c r="P3942" s="42">
        <v>1050</v>
      </c>
      <c r="R3942" s="42">
        <v>450</v>
      </c>
      <c r="T3942" s="284">
        <v>600</v>
      </c>
      <c r="U3942" s="284"/>
    </row>
    <row r="3943" spans="2:21" x14ac:dyDescent="0.25">
      <c r="B3943" s="292">
        <v>45</v>
      </c>
      <c r="C3943" s="292"/>
      <c r="D3943" s="292"/>
      <c r="F3943" s="283" t="s">
        <v>75</v>
      </c>
      <c r="G3943" s="283"/>
      <c r="J3943" s="293">
        <v>2196</v>
      </c>
      <c r="K3943" s="293"/>
      <c r="L3943" s="293"/>
      <c r="M3943" s="293"/>
      <c r="N3943" s="293"/>
      <c r="P3943" s="42">
        <v>5490000</v>
      </c>
      <c r="R3943" s="42">
        <v>5490000</v>
      </c>
      <c r="T3943" s="284">
        <v>0</v>
      </c>
      <c r="U3943" s="284"/>
    </row>
    <row r="3944" spans="2:21" x14ac:dyDescent="0.25">
      <c r="B3944" s="292">
        <v>46</v>
      </c>
      <c r="C3944" s="292"/>
      <c r="D3944" s="292"/>
      <c r="F3944" s="283" t="s">
        <v>139</v>
      </c>
      <c r="G3944" s="283"/>
      <c r="J3944" s="293">
        <v>23</v>
      </c>
      <c r="K3944" s="293"/>
      <c r="L3944" s="293"/>
      <c r="M3944" s="293"/>
      <c r="N3944" s="293"/>
      <c r="P3944" s="42">
        <v>6210</v>
      </c>
      <c r="R3944" s="42">
        <v>1520</v>
      </c>
      <c r="T3944" s="284">
        <v>4690</v>
      </c>
      <c r="U3944" s="284"/>
    </row>
    <row r="3945" spans="2:21" x14ac:dyDescent="0.25">
      <c r="B3945" s="292">
        <v>47</v>
      </c>
      <c r="C3945" s="292"/>
      <c r="D3945" s="292"/>
      <c r="F3945" s="283" t="s">
        <v>231</v>
      </c>
      <c r="G3945" s="283"/>
      <c r="J3945" s="293">
        <v>1</v>
      </c>
      <c r="K3945" s="293"/>
      <c r="L3945" s="293"/>
      <c r="M3945" s="293"/>
      <c r="N3945" s="293"/>
      <c r="P3945" s="42">
        <v>500</v>
      </c>
      <c r="R3945" s="42">
        <v>0</v>
      </c>
      <c r="T3945" s="284">
        <v>500</v>
      </c>
      <c r="U3945" s="284"/>
    </row>
    <row r="3946" spans="2:21" x14ac:dyDescent="0.25">
      <c r="B3946" s="292">
        <v>48</v>
      </c>
      <c r="C3946" s="292"/>
      <c r="D3946" s="292"/>
      <c r="F3946" s="283" t="s">
        <v>302</v>
      </c>
      <c r="G3946" s="283"/>
      <c r="J3946" s="293">
        <v>3</v>
      </c>
      <c r="K3946" s="293"/>
      <c r="L3946" s="293"/>
      <c r="M3946" s="293"/>
      <c r="N3946" s="293"/>
      <c r="P3946" s="42">
        <v>2400</v>
      </c>
      <c r="R3946" s="42">
        <v>1020</v>
      </c>
      <c r="T3946" s="284">
        <v>1380</v>
      </c>
      <c r="U3946" s="284"/>
    </row>
    <row r="3947" spans="2:21" x14ac:dyDescent="0.25">
      <c r="B3947" s="292">
        <v>49</v>
      </c>
      <c r="C3947" s="292"/>
      <c r="D3947" s="292"/>
      <c r="F3947" s="283" t="s">
        <v>137</v>
      </c>
      <c r="G3947" s="283"/>
      <c r="J3947" s="293">
        <v>1</v>
      </c>
      <c r="K3947" s="293"/>
      <c r="L3947" s="293"/>
      <c r="M3947" s="293"/>
      <c r="N3947" s="293"/>
      <c r="P3947" s="42">
        <v>800</v>
      </c>
      <c r="R3947" s="42">
        <v>360</v>
      </c>
      <c r="T3947" s="284">
        <v>440</v>
      </c>
      <c r="U3947" s="284"/>
    </row>
    <row r="3948" spans="2:21" x14ac:dyDescent="0.25">
      <c r="B3948" s="292">
        <v>50</v>
      </c>
      <c r="C3948" s="292"/>
      <c r="D3948" s="292"/>
      <c r="F3948" s="283" t="s">
        <v>136</v>
      </c>
      <c r="G3948" s="283"/>
      <c r="J3948" s="293">
        <v>27</v>
      </c>
      <c r="K3948" s="293"/>
      <c r="L3948" s="293"/>
      <c r="M3948" s="293"/>
      <c r="N3948" s="293"/>
      <c r="P3948" s="42">
        <v>22950</v>
      </c>
      <c r="R3948" s="42">
        <v>5177</v>
      </c>
      <c r="T3948" s="284">
        <v>17773</v>
      </c>
      <c r="U3948" s="284"/>
    </row>
    <row r="3949" spans="2:21" x14ac:dyDescent="0.25">
      <c r="B3949" s="292">
        <v>51</v>
      </c>
      <c r="C3949" s="292"/>
      <c r="D3949" s="292"/>
      <c r="F3949" s="283" t="s">
        <v>74</v>
      </c>
      <c r="G3949" s="283"/>
      <c r="J3949" s="293">
        <v>10</v>
      </c>
      <c r="K3949" s="293"/>
      <c r="L3949" s="293"/>
      <c r="M3949" s="293"/>
      <c r="N3949" s="293"/>
      <c r="P3949" s="42">
        <v>8500</v>
      </c>
      <c r="R3949" s="42">
        <v>8500</v>
      </c>
      <c r="T3949" s="284">
        <v>0</v>
      </c>
      <c r="U3949" s="284"/>
    </row>
    <row r="3950" spans="2:21" x14ac:dyDescent="0.25">
      <c r="B3950" s="292">
        <v>52</v>
      </c>
      <c r="C3950" s="292"/>
      <c r="D3950" s="292"/>
      <c r="F3950" s="283" t="s">
        <v>191</v>
      </c>
      <c r="G3950" s="283"/>
      <c r="J3950" s="293">
        <v>3</v>
      </c>
      <c r="K3950" s="293"/>
      <c r="L3950" s="293"/>
      <c r="M3950" s="293"/>
      <c r="N3950" s="293"/>
      <c r="P3950" s="42">
        <v>1050</v>
      </c>
      <c r="R3950" s="42">
        <v>360</v>
      </c>
      <c r="T3950" s="284">
        <v>690</v>
      </c>
      <c r="U3950" s="284"/>
    </row>
    <row r="3951" spans="2:21" x14ac:dyDescent="0.25">
      <c r="B3951" s="292">
        <v>53</v>
      </c>
      <c r="C3951" s="292"/>
      <c r="D3951" s="292"/>
      <c r="F3951" s="283" t="s">
        <v>190</v>
      </c>
      <c r="G3951" s="283"/>
      <c r="J3951" s="293">
        <v>15</v>
      </c>
      <c r="K3951" s="293"/>
      <c r="L3951" s="293"/>
      <c r="M3951" s="293"/>
      <c r="N3951" s="293"/>
      <c r="P3951" s="42">
        <v>23550</v>
      </c>
      <c r="R3951" s="42">
        <v>3120</v>
      </c>
      <c r="T3951" s="284">
        <v>20430</v>
      </c>
      <c r="U3951" s="284"/>
    </row>
    <row r="3952" spans="2:21" x14ac:dyDescent="0.25">
      <c r="B3952" s="292">
        <v>54</v>
      </c>
      <c r="C3952" s="292"/>
      <c r="D3952" s="292"/>
      <c r="F3952" s="283" t="s">
        <v>230</v>
      </c>
      <c r="G3952" s="283"/>
      <c r="J3952" s="293">
        <v>2</v>
      </c>
      <c r="K3952" s="293"/>
      <c r="L3952" s="293"/>
      <c r="M3952" s="293"/>
      <c r="N3952" s="293"/>
      <c r="P3952" s="42">
        <v>1900</v>
      </c>
      <c r="R3952" s="42">
        <v>280</v>
      </c>
      <c r="T3952" s="284">
        <v>1620</v>
      </c>
      <c r="U3952" s="284"/>
    </row>
    <row r="3953" spans="2:21" x14ac:dyDescent="0.25">
      <c r="B3953" s="292">
        <v>55</v>
      </c>
      <c r="C3953" s="292"/>
      <c r="D3953" s="292"/>
      <c r="F3953" s="283" t="s">
        <v>135</v>
      </c>
      <c r="G3953" s="283"/>
      <c r="J3953" s="293">
        <v>9</v>
      </c>
      <c r="K3953" s="293"/>
      <c r="L3953" s="293"/>
      <c r="M3953" s="293"/>
      <c r="N3953" s="293"/>
      <c r="P3953" s="42">
        <v>8550</v>
      </c>
      <c r="R3953" s="42">
        <v>2430</v>
      </c>
      <c r="T3953" s="284">
        <v>6120</v>
      </c>
      <c r="U3953" s="284"/>
    </row>
    <row r="3954" spans="2:21" x14ac:dyDescent="0.25">
      <c r="B3954" s="292">
        <v>56</v>
      </c>
      <c r="C3954" s="292"/>
      <c r="D3954" s="292"/>
      <c r="F3954" s="283" t="s">
        <v>285</v>
      </c>
      <c r="G3954" s="283"/>
      <c r="J3954" s="293">
        <v>2</v>
      </c>
      <c r="K3954" s="293"/>
      <c r="L3954" s="293"/>
      <c r="M3954" s="293"/>
      <c r="N3954" s="293"/>
      <c r="P3954" s="42">
        <v>7400</v>
      </c>
      <c r="R3954" s="42">
        <v>3700</v>
      </c>
      <c r="T3954" s="284">
        <v>3700</v>
      </c>
      <c r="U3954" s="284"/>
    </row>
    <row r="3955" spans="2:21" x14ac:dyDescent="0.25">
      <c r="B3955" s="292">
        <v>57</v>
      </c>
      <c r="C3955" s="292"/>
      <c r="D3955" s="292"/>
      <c r="F3955" s="283" t="s">
        <v>132</v>
      </c>
      <c r="G3955" s="283"/>
      <c r="J3955" s="293">
        <v>14</v>
      </c>
      <c r="K3955" s="293"/>
      <c r="L3955" s="293"/>
      <c r="M3955" s="293"/>
      <c r="N3955" s="293"/>
      <c r="P3955" s="42">
        <v>17360</v>
      </c>
      <c r="R3955" s="42">
        <v>5180</v>
      </c>
      <c r="T3955" s="284">
        <v>12180</v>
      </c>
      <c r="U3955" s="284"/>
    </row>
    <row r="3956" spans="2:21" x14ac:dyDescent="0.25">
      <c r="B3956" s="292">
        <v>58</v>
      </c>
      <c r="C3956" s="292"/>
      <c r="D3956" s="292"/>
      <c r="F3956" s="283" t="s">
        <v>131</v>
      </c>
      <c r="G3956" s="283"/>
      <c r="J3956" s="293">
        <v>1</v>
      </c>
      <c r="K3956" s="293"/>
      <c r="L3956" s="293"/>
      <c r="M3956" s="293"/>
      <c r="N3956" s="293"/>
      <c r="P3956" s="42">
        <v>3700</v>
      </c>
      <c r="R3956" s="42">
        <v>800</v>
      </c>
      <c r="T3956" s="284">
        <v>2900</v>
      </c>
      <c r="U3956" s="284"/>
    </row>
    <row r="3957" spans="2:21" x14ac:dyDescent="0.25">
      <c r="B3957" s="292">
        <v>59</v>
      </c>
      <c r="C3957" s="292"/>
      <c r="D3957" s="292"/>
      <c r="F3957" s="285" t="s">
        <v>284</v>
      </c>
      <c r="G3957" s="285"/>
      <c r="J3957" s="293">
        <v>3</v>
      </c>
      <c r="K3957" s="293"/>
      <c r="L3957" s="293"/>
      <c r="M3957" s="293"/>
      <c r="N3957" s="293"/>
      <c r="P3957" s="42">
        <v>11100</v>
      </c>
      <c r="R3957" s="42">
        <v>5550</v>
      </c>
      <c r="T3957" s="284">
        <v>5550</v>
      </c>
      <c r="U3957" s="284"/>
    </row>
    <row r="3958" spans="2:21" x14ac:dyDescent="0.25">
      <c r="F3958" s="285"/>
      <c r="G3958" s="285"/>
    </row>
    <row r="3959" spans="2:21" x14ac:dyDescent="0.25">
      <c r="B3959" s="292">
        <v>60</v>
      </c>
      <c r="C3959" s="292"/>
      <c r="D3959" s="292"/>
      <c r="F3959" s="283" t="s">
        <v>130</v>
      </c>
      <c r="G3959" s="283"/>
      <c r="J3959" s="293">
        <v>2</v>
      </c>
      <c r="K3959" s="293"/>
      <c r="L3959" s="293"/>
      <c r="M3959" s="293"/>
      <c r="N3959" s="293"/>
      <c r="P3959" s="42">
        <v>16000</v>
      </c>
      <c r="R3959" s="42">
        <v>8200</v>
      </c>
      <c r="T3959" s="284">
        <v>7800</v>
      </c>
      <c r="U3959" s="284"/>
    </row>
    <row r="3960" spans="2:21" x14ac:dyDescent="0.25">
      <c r="B3960" s="292">
        <v>61</v>
      </c>
      <c r="C3960" s="292"/>
      <c r="D3960" s="292"/>
      <c r="F3960" s="285" t="s">
        <v>188</v>
      </c>
      <c r="G3960" s="285"/>
      <c r="J3960" s="293">
        <v>2</v>
      </c>
      <c r="K3960" s="293"/>
      <c r="L3960" s="293"/>
      <c r="M3960" s="293"/>
      <c r="N3960" s="293"/>
      <c r="P3960" s="42">
        <v>16000</v>
      </c>
      <c r="R3960" s="42">
        <v>8000</v>
      </c>
      <c r="T3960" s="284">
        <v>8000</v>
      </c>
      <c r="U3960" s="284"/>
    </row>
    <row r="3961" spans="2:21" x14ac:dyDescent="0.25">
      <c r="F3961" s="285"/>
      <c r="G3961" s="285"/>
    </row>
    <row r="3962" spans="2:21" x14ac:dyDescent="0.25">
      <c r="B3962" s="292">
        <v>62</v>
      </c>
      <c r="C3962" s="292"/>
      <c r="D3962" s="292"/>
      <c r="F3962" s="283" t="s">
        <v>185</v>
      </c>
      <c r="G3962" s="283"/>
      <c r="J3962" s="293">
        <v>3</v>
      </c>
      <c r="K3962" s="293"/>
      <c r="L3962" s="293"/>
      <c r="M3962" s="293"/>
      <c r="N3962" s="293"/>
      <c r="P3962" s="42">
        <v>2400</v>
      </c>
      <c r="R3962" s="42">
        <v>898</v>
      </c>
      <c r="T3962" s="284">
        <v>1502</v>
      </c>
      <c r="U3962" s="284"/>
    </row>
    <row r="3963" spans="2:21" x14ac:dyDescent="0.25">
      <c r="B3963" s="292">
        <v>63</v>
      </c>
      <c r="C3963" s="292"/>
      <c r="D3963" s="292"/>
      <c r="F3963" s="283" t="s">
        <v>283</v>
      </c>
      <c r="G3963" s="283"/>
      <c r="J3963" s="293">
        <v>2</v>
      </c>
      <c r="K3963" s="293"/>
      <c r="L3963" s="293"/>
      <c r="M3963" s="293"/>
      <c r="N3963" s="293"/>
      <c r="P3963" s="42">
        <v>1600</v>
      </c>
      <c r="R3963" s="42">
        <v>450</v>
      </c>
      <c r="T3963" s="284">
        <v>1150</v>
      </c>
      <c r="U3963" s="284"/>
    </row>
    <row r="3964" spans="2:21" x14ac:dyDescent="0.25">
      <c r="B3964" s="292">
        <v>64</v>
      </c>
      <c r="C3964" s="292"/>
      <c r="D3964" s="292"/>
      <c r="F3964" s="283" t="s">
        <v>127</v>
      </c>
      <c r="G3964" s="283"/>
      <c r="J3964" s="293">
        <v>30</v>
      </c>
      <c r="K3964" s="293"/>
      <c r="L3964" s="293"/>
      <c r="M3964" s="293"/>
      <c r="N3964" s="293"/>
      <c r="P3964" s="42">
        <v>9000</v>
      </c>
      <c r="R3964" s="42">
        <v>2598</v>
      </c>
      <c r="T3964" s="284">
        <v>6402</v>
      </c>
      <c r="U3964" s="284"/>
    </row>
    <row r="3965" spans="2:21" x14ac:dyDescent="0.25">
      <c r="B3965" s="292">
        <v>65</v>
      </c>
      <c r="C3965" s="292"/>
      <c r="D3965" s="292"/>
      <c r="F3965" s="283" t="s">
        <v>126</v>
      </c>
      <c r="G3965" s="283"/>
      <c r="J3965" s="293">
        <v>90</v>
      </c>
      <c r="K3965" s="293"/>
      <c r="L3965" s="293"/>
      <c r="M3965" s="293"/>
      <c r="N3965" s="293"/>
      <c r="P3965" s="42">
        <v>18000</v>
      </c>
      <c r="R3965" s="42">
        <v>5394</v>
      </c>
      <c r="T3965" s="284">
        <v>12606</v>
      </c>
      <c r="U3965" s="284"/>
    </row>
    <row r="3966" spans="2:21" x14ac:dyDescent="0.25">
      <c r="B3966" s="292">
        <v>66</v>
      </c>
      <c r="C3966" s="292"/>
      <c r="D3966" s="292"/>
      <c r="F3966" s="283" t="s">
        <v>123</v>
      </c>
      <c r="G3966" s="283"/>
      <c r="J3966" s="293">
        <v>2</v>
      </c>
      <c r="K3966" s="293"/>
      <c r="L3966" s="293"/>
      <c r="M3966" s="293"/>
      <c r="N3966" s="293"/>
      <c r="P3966" s="42">
        <v>1560</v>
      </c>
      <c r="R3966" s="42">
        <v>230</v>
      </c>
      <c r="T3966" s="284">
        <v>1330</v>
      </c>
      <c r="U3966" s="284"/>
    </row>
    <row r="3967" spans="2:21" x14ac:dyDescent="0.25">
      <c r="B3967" s="292">
        <v>67</v>
      </c>
      <c r="C3967" s="292"/>
      <c r="D3967" s="292"/>
      <c r="F3967" s="283" t="s">
        <v>227</v>
      </c>
      <c r="G3967" s="283"/>
      <c r="J3967" s="293">
        <v>9</v>
      </c>
      <c r="K3967" s="293"/>
      <c r="L3967" s="293"/>
      <c r="M3967" s="293"/>
      <c r="N3967" s="293"/>
      <c r="P3967" s="42">
        <v>4500</v>
      </c>
      <c r="R3967" s="42">
        <v>975</v>
      </c>
      <c r="T3967" s="284">
        <v>3525</v>
      </c>
      <c r="U3967" s="284"/>
    </row>
    <row r="3968" spans="2:21" x14ac:dyDescent="0.25">
      <c r="B3968" s="292">
        <v>68</v>
      </c>
      <c r="C3968" s="292"/>
      <c r="D3968" s="292"/>
      <c r="F3968" s="283" t="s">
        <v>336</v>
      </c>
      <c r="G3968" s="283"/>
      <c r="J3968" s="293">
        <v>3</v>
      </c>
      <c r="K3968" s="293"/>
      <c r="L3968" s="293"/>
      <c r="M3968" s="293"/>
      <c r="N3968" s="293"/>
      <c r="P3968" s="42">
        <v>1800</v>
      </c>
      <c r="R3968" s="42">
        <v>250</v>
      </c>
      <c r="T3968" s="284">
        <v>1550</v>
      </c>
      <c r="U3968" s="284"/>
    </row>
    <row r="3969" spans="2:21" x14ac:dyDescent="0.25">
      <c r="B3969" s="292">
        <v>69</v>
      </c>
      <c r="C3969" s="292"/>
      <c r="D3969" s="292"/>
      <c r="F3969" s="283" t="s">
        <v>122</v>
      </c>
      <c r="G3969" s="283"/>
      <c r="J3969" s="293">
        <v>11</v>
      </c>
      <c r="K3969" s="293"/>
      <c r="L3969" s="293"/>
      <c r="M3969" s="293"/>
      <c r="N3969" s="293"/>
      <c r="P3969" s="42">
        <v>5900</v>
      </c>
      <c r="R3969" s="42">
        <v>1450</v>
      </c>
      <c r="T3969" s="284">
        <v>4450</v>
      </c>
      <c r="U3969" s="284"/>
    </row>
    <row r="3970" spans="2:21" x14ac:dyDescent="0.25">
      <c r="B3970" s="292">
        <v>70</v>
      </c>
      <c r="C3970" s="292"/>
      <c r="D3970" s="292"/>
      <c r="F3970" s="283" t="s">
        <v>121</v>
      </c>
      <c r="G3970" s="283"/>
      <c r="J3970" s="293">
        <v>5</v>
      </c>
      <c r="K3970" s="293"/>
      <c r="L3970" s="293"/>
      <c r="M3970" s="293"/>
      <c r="N3970" s="293"/>
      <c r="P3970" s="42">
        <v>2500</v>
      </c>
      <c r="R3970" s="42">
        <v>580</v>
      </c>
      <c r="T3970" s="284">
        <v>1920</v>
      </c>
      <c r="U3970" s="284"/>
    </row>
    <row r="3971" spans="2:21" x14ac:dyDescent="0.25">
      <c r="B3971" s="292">
        <v>71</v>
      </c>
      <c r="C3971" s="292"/>
      <c r="D3971" s="292"/>
      <c r="F3971" s="283" t="s">
        <v>120</v>
      </c>
      <c r="G3971" s="283"/>
      <c r="J3971" s="293">
        <v>6</v>
      </c>
      <c r="K3971" s="293"/>
      <c r="L3971" s="293"/>
      <c r="M3971" s="293"/>
      <c r="N3971" s="293"/>
      <c r="P3971" s="42">
        <v>2100</v>
      </c>
      <c r="R3971" s="42">
        <v>600</v>
      </c>
      <c r="T3971" s="284">
        <v>1500</v>
      </c>
      <c r="U3971" s="284"/>
    </row>
    <row r="3972" spans="2:21" x14ac:dyDescent="0.25">
      <c r="B3972" s="292">
        <v>72</v>
      </c>
      <c r="C3972" s="292"/>
      <c r="D3972" s="292"/>
      <c r="F3972" s="283" t="s">
        <v>282</v>
      </c>
      <c r="G3972" s="283"/>
      <c r="J3972" s="293">
        <v>3</v>
      </c>
      <c r="K3972" s="293"/>
      <c r="L3972" s="293"/>
      <c r="M3972" s="293"/>
      <c r="N3972" s="293"/>
      <c r="P3972" s="42">
        <v>1500</v>
      </c>
      <c r="R3972" s="42">
        <v>150</v>
      </c>
      <c r="T3972" s="284">
        <v>1350</v>
      </c>
      <c r="U3972" s="284"/>
    </row>
    <row r="3973" spans="2:21" x14ac:dyDescent="0.25">
      <c r="B3973" s="292">
        <v>73</v>
      </c>
      <c r="C3973" s="292"/>
      <c r="D3973" s="292"/>
      <c r="F3973" s="283" t="s">
        <v>226</v>
      </c>
      <c r="G3973" s="283"/>
      <c r="J3973" s="293">
        <v>3</v>
      </c>
      <c r="K3973" s="293"/>
      <c r="L3973" s="293"/>
      <c r="M3973" s="293"/>
      <c r="N3973" s="293"/>
      <c r="P3973" s="42">
        <v>1500</v>
      </c>
      <c r="R3973" s="42">
        <v>0</v>
      </c>
      <c r="T3973" s="284">
        <v>1500</v>
      </c>
      <c r="U3973" s="284"/>
    </row>
    <row r="3974" spans="2:21" x14ac:dyDescent="0.25">
      <c r="B3974" s="292">
        <v>74</v>
      </c>
      <c r="C3974" s="292"/>
      <c r="D3974" s="292"/>
      <c r="F3974" s="283" t="s">
        <v>119</v>
      </c>
      <c r="G3974" s="283"/>
      <c r="J3974" s="293">
        <v>145</v>
      </c>
      <c r="K3974" s="293"/>
      <c r="L3974" s="293"/>
      <c r="M3974" s="293"/>
      <c r="N3974" s="293"/>
      <c r="P3974" s="42">
        <v>129050</v>
      </c>
      <c r="R3974" s="42">
        <v>41048</v>
      </c>
      <c r="T3974" s="284">
        <v>88002</v>
      </c>
      <c r="U3974" s="284"/>
    </row>
    <row r="3975" spans="2:21" x14ac:dyDescent="0.25">
      <c r="B3975" s="292">
        <v>75</v>
      </c>
      <c r="C3975" s="292"/>
      <c r="D3975" s="292"/>
      <c r="F3975" s="283" t="s">
        <v>118</v>
      </c>
      <c r="G3975" s="283"/>
      <c r="J3975" s="293">
        <v>231</v>
      </c>
      <c r="K3975" s="293"/>
      <c r="L3975" s="293"/>
      <c r="M3975" s="293"/>
      <c r="N3975" s="293"/>
      <c r="P3975" s="42">
        <v>228690</v>
      </c>
      <c r="R3975" s="42">
        <v>79211</v>
      </c>
      <c r="T3975" s="284">
        <v>149479</v>
      </c>
      <c r="U3975" s="284"/>
    </row>
    <row r="3976" spans="2:21" x14ac:dyDescent="0.25">
      <c r="B3976" s="292">
        <v>76</v>
      </c>
      <c r="C3976" s="292"/>
      <c r="D3976" s="292"/>
      <c r="F3976" s="283" t="s">
        <v>117</v>
      </c>
      <c r="G3976" s="283"/>
      <c r="J3976" s="293">
        <v>26</v>
      </c>
      <c r="K3976" s="293"/>
      <c r="L3976" s="293"/>
      <c r="M3976" s="293"/>
      <c r="N3976" s="293"/>
      <c r="P3976" s="42">
        <v>20800</v>
      </c>
      <c r="R3976" s="42">
        <v>2120</v>
      </c>
      <c r="T3976" s="284">
        <v>18680</v>
      </c>
      <c r="U3976" s="284"/>
    </row>
    <row r="3977" spans="2:21" x14ac:dyDescent="0.25">
      <c r="B3977" s="292">
        <v>77</v>
      </c>
      <c r="C3977" s="292"/>
      <c r="D3977" s="292"/>
      <c r="F3977" s="285" t="s">
        <v>116</v>
      </c>
      <c r="G3977" s="285"/>
      <c r="J3977" s="293">
        <v>10</v>
      </c>
      <c r="K3977" s="293"/>
      <c r="L3977" s="293"/>
      <c r="M3977" s="293"/>
      <c r="N3977" s="293"/>
      <c r="P3977" s="42">
        <v>8000</v>
      </c>
      <c r="R3977" s="42">
        <v>640</v>
      </c>
      <c r="T3977" s="284">
        <v>7360</v>
      </c>
      <c r="U3977" s="284"/>
    </row>
    <row r="3978" spans="2:21" x14ac:dyDescent="0.25">
      <c r="F3978" s="285"/>
      <c r="G3978" s="285"/>
    </row>
    <row r="3979" spans="2:21" x14ac:dyDescent="0.25">
      <c r="B3979" s="292">
        <v>78</v>
      </c>
      <c r="C3979" s="292"/>
      <c r="D3979" s="292"/>
      <c r="F3979" s="283" t="s">
        <v>115</v>
      </c>
      <c r="G3979" s="283"/>
      <c r="J3979" s="293">
        <v>4</v>
      </c>
      <c r="K3979" s="293"/>
      <c r="L3979" s="293"/>
      <c r="M3979" s="293"/>
      <c r="N3979" s="293"/>
      <c r="P3979" s="42">
        <v>1160</v>
      </c>
      <c r="R3979" s="42">
        <v>410</v>
      </c>
      <c r="T3979" s="284">
        <v>750</v>
      </c>
      <c r="U3979" s="284"/>
    </row>
    <row r="3980" spans="2:21" x14ac:dyDescent="0.25">
      <c r="B3980" s="292">
        <v>79</v>
      </c>
      <c r="C3980" s="292"/>
      <c r="D3980" s="292"/>
      <c r="F3980" s="283" t="s">
        <v>280</v>
      </c>
      <c r="G3980" s="283"/>
      <c r="J3980" s="293">
        <v>4</v>
      </c>
      <c r="K3980" s="293"/>
      <c r="L3980" s="293"/>
      <c r="M3980" s="293"/>
      <c r="N3980" s="293"/>
      <c r="P3980" s="42">
        <v>2800</v>
      </c>
      <c r="R3980" s="42">
        <v>1246</v>
      </c>
      <c r="T3980" s="284">
        <v>1554</v>
      </c>
      <c r="U3980" s="284"/>
    </row>
    <row r="3981" spans="2:21" x14ac:dyDescent="0.25">
      <c r="B3981" s="292">
        <v>80</v>
      </c>
      <c r="C3981" s="292"/>
      <c r="D3981" s="292"/>
      <c r="F3981" s="283" t="s">
        <v>335</v>
      </c>
      <c r="G3981" s="283"/>
      <c r="J3981" s="293">
        <v>4</v>
      </c>
      <c r="K3981" s="293"/>
      <c r="L3981" s="293"/>
      <c r="M3981" s="293"/>
      <c r="N3981" s="293"/>
      <c r="P3981" s="42">
        <v>2000</v>
      </c>
      <c r="R3981" s="42">
        <v>450</v>
      </c>
      <c r="T3981" s="284">
        <v>1550</v>
      </c>
      <c r="U3981" s="284"/>
    </row>
    <row r="3982" spans="2:21" x14ac:dyDescent="0.25">
      <c r="B3982" s="292">
        <v>81</v>
      </c>
      <c r="C3982" s="292"/>
      <c r="D3982" s="292"/>
      <c r="F3982" s="283" t="s">
        <v>279</v>
      </c>
      <c r="G3982" s="283"/>
      <c r="J3982" s="293">
        <v>4</v>
      </c>
      <c r="K3982" s="293"/>
      <c r="L3982" s="293"/>
      <c r="M3982" s="293"/>
      <c r="N3982" s="293"/>
      <c r="P3982" s="42">
        <v>2000</v>
      </c>
      <c r="R3982" s="42">
        <v>430</v>
      </c>
      <c r="T3982" s="284">
        <v>1570</v>
      </c>
      <c r="U3982" s="284"/>
    </row>
    <row r="3983" spans="2:21" x14ac:dyDescent="0.25">
      <c r="B3983" s="292">
        <v>82</v>
      </c>
      <c r="C3983" s="292"/>
      <c r="D3983" s="292"/>
      <c r="F3983" s="283" t="s">
        <v>222</v>
      </c>
      <c r="G3983" s="283"/>
      <c r="J3983" s="293">
        <v>2</v>
      </c>
      <c r="K3983" s="293"/>
      <c r="L3983" s="293"/>
      <c r="M3983" s="293"/>
      <c r="N3983" s="293"/>
      <c r="P3983" s="42">
        <v>1000</v>
      </c>
      <c r="R3983" s="42">
        <v>150</v>
      </c>
      <c r="T3983" s="284">
        <v>850</v>
      </c>
      <c r="U3983" s="284"/>
    </row>
    <row r="3984" spans="2:21" x14ac:dyDescent="0.25">
      <c r="B3984" s="292">
        <v>83</v>
      </c>
      <c r="C3984" s="292"/>
      <c r="D3984" s="292"/>
      <c r="F3984" s="283" t="s">
        <v>278</v>
      </c>
      <c r="G3984" s="283"/>
      <c r="J3984" s="293">
        <v>1</v>
      </c>
      <c r="K3984" s="293"/>
      <c r="L3984" s="293"/>
      <c r="M3984" s="293"/>
      <c r="N3984" s="293"/>
      <c r="P3984" s="42">
        <v>330</v>
      </c>
      <c r="R3984" s="42">
        <v>100</v>
      </c>
      <c r="T3984" s="284">
        <v>230</v>
      </c>
      <c r="U3984" s="284"/>
    </row>
    <row r="3985" spans="2:21" x14ac:dyDescent="0.25">
      <c r="B3985" s="292">
        <v>84</v>
      </c>
      <c r="C3985" s="292"/>
      <c r="D3985" s="292"/>
      <c r="F3985" s="283" t="s">
        <v>219</v>
      </c>
      <c r="G3985" s="283"/>
      <c r="J3985" s="293">
        <v>3</v>
      </c>
      <c r="K3985" s="293"/>
      <c r="L3985" s="293"/>
      <c r="M3985" s="293"/>
      <c r="N3985" s="293"/>
      <c r="P3985" s="42">
        <v>1500</v>
      </c>
      <c r="R3985" s="42">
        <v>0</v>
      </c>
      <c r="T3985" s="284">
        <v>1500</v>
      </c>
      <c r="U3985" s="284"/>
    </row>
    <row r="3986" spans="2:21" x14ac:dyDescent="0.25">
      <c r="B3986" s="292">
        <v>85</v>
      </c>
      <c r="C3986" s="292"/>
      <c r="D3986" s="292"/>
      <c r="F3986" s="283" t="s">
        <v>334</v>
      </c>
      <c r="G3986" s="283"/>
      <c r="J3986" s="293">
        <v>1</v>
      </c>
      <c r="K3986" s="293"/>
      <c r="L3986" s="293"/>
      <c r="M3986" s="293"/>
      <c r="N3986" s="293"/>
      <c r="P3986" s="42">
        <v>790</v>
      </c>
      <c r="R3986" s="42">
        <v>120</v>
      </c>
      <c r="T3986" s="284">
        <v>670</v>
      </c>
      <c r="U3986" s="284"/>
    </row>
    <row r="3987" spans="2:21" x14ac:dyDescent="0.25">
      <c r="B3987" s="292">
        <v>86</v>
      </c>
      <c r="C3987" s="292"/>
      <c r="D3987" s="292"/>
      <c r="F3987" s="283" t="s">
        <v>171</v>
      </c>
      <c r="G3987" s="283"/>
      <c r="J3987" s="293">
        <v>2</v>
      </c>
      <c r="K3987" s="293"/>
      <c r="L3987" s="293"/>
      <c r="M3987" s="293"/>
      <c r="N3987" s="293"/>
      <c r="P3987" s="42">
        <v>1060</v>
      </c>
      <c r="R3987" s="42">
        <v>320</v>
      </c>
      <c r="T3987" s="284">
        <v>740</v>
      </c>
      <c r="U3987" s="284"/>
    </row>
    <row r="3988" spans="2:21" x14ac:dyDescent="0.25">
      <c r="B3988" s="292">
        <v>87</v>
      </c>
      <c r="C3988" s="292"/>
      <c r="D3988" s="292"/>
      <c r="F3988" s="283" t="s">
        <v>257</v>
      </c>
      <c r="G3988" s="283"/>
      <c r="J3988" s="293">
        <v>1</v>
      </c>
      <c r="K3988" s="293"/>
      <c r="L3988" s="293"/>
      <c r="M3988" s="293"/>
      <c r="N3988" s="293"/>
      <c r="P3988" s="42">
        <v>990</v>
      </c>
      <c r="R3988" s="42">
        <v>0</v>
      </c>
      <c r="T3988" s="284">
        <v>990</v>
      </c>
      <c r="U3988" s="284"/>
    </row>
    <row r="3989" spans="2:21" x14ac:dyDescent="0.25">
      <c r="B3989" s="292">
        <v>88</v>
      </c>
      <c r="C3989" s="292"/>
      <c r="D3989" s="292"/>
      <c r="F3989" s="283" t="s">
        <v>109</v>
      </c>
      <c r="G3989" s="283"/>
      <c r="J3989" s="293">
        <v>1</v>
      </c>
      <c r="K3989" s="293"/>
      <c r="L3989" s="293"/>
      <c r="M3989" s="293"/>
      <c r="N3989" s="293"/>
      <c r="P3989" s="42">
        <v>780</v>
      </c>
      <c r="R3989" s="42">
        <v>230</v>
      </c>
      <c r="T3989" s="284">
        <v>550</v>
      </c>
      <c r="U3989" s="284"/>
    </row>
    <row r="3990" spans="2:21" x14ac:dyDescent="0.25">
      <c r="B3990" s="292">
        <v>89</v>
      </c>
      <c r="C3990" s="292"/>
      <c r="D3990" s="292"/>
      <c r="F3990" s="283" t="s">
        <v>107</v>
      </c>
      <c r="G3990" s="283"/>
      <c r="J3990" s="293">
        <v>83</v>
      </c>
      <c r="K3990" s="293"/>
      <c r="L3990" s="293"/>
      <c r="M3990" s="293"/>
      <c r="N3990" s="293"/>
      <c r="P3990" s="42">
        <v>14110</v>
      </c>
      <c r="R3990" s="42">
        <v>3811</v>
      </c>
      <c r="T3990" s="284">
        <v>10299</v>
      </c>
      <c r="U3990" s="284"/>
    </row>
    <row r="3991" spans="2:21" x14ac:dyDescent="0.25">
      <c r="B3991" s="292">
        <v>90</v>
      </c>
      <c r="C3991" s="292"/>
      <c r="D3991" s="292"/>
      <c r="F3991" s="283" t="s">
        <v>106</v>
      </c>
      <c r="G3991" s="283"/>
      <c r="J3991" s="293">
        <v>11</v>
      </c>
      <c r="K3991" s="293"/>
      <c r="L3991" s="293"/>
      <c r="M3991" s="293"/>
      <c r="N3991" s="293"/>
      <c r="P3991" s="42">
        <v>1100</v>
      </c>
      <c r="R3991" s="42">
        <v>90</v>
      </c>
      <c r="T3991" s="284">
        <v>1010</v>
      </c>
      <c r="U3991" s="284"/>
    </row>
    <row r="3992" spans="2:21" x14ac:dyDescent="0.25">
      <c r="B3992" s="292">
        <v>91</v>
      </c>
      <c r="C3992" s="292"/>
      <c r="D3992" s="292"/>
      <c r="F3992" s="283" t="s">
        <v>218</v>
      </c>
      <c r="G3992" s="283"/>
      <c r="J3992" s="293">
        <v>1</v>
      </c>
      <c r="K3992" s="293"/>
      <c r="L3992" s="293"/>
      <c r="M3992" s="293"/>
      <c r="N3992" s="293"/>
      <c r="P3992" s="42">
        <v>290</v>
      </c>
      <c r="R3992" s="42">
        <v>100</v>
      </c>
      <c r="T3992" s="284">
        <v>190</v>
      </c>
      <c r="U3992" s="284"/>
    </row>
    <row r="3993" spans="2:21" x14ac:dyDescent="0.25">
      <c r="B3993" s="292">
        <v>92</v>
      </c>
      <c r="C3993" s="292"/>
      <c r="D3993" s="292"/>
      <c r="F3993" s="283" t="s">
        <v>333</v>
      </c>
      <c r="G3993" s="283"/>
      <c r="J3993" s="293">
        <v>1</v>
      </c>
      <c r="K3993" s="293"/>
      <c r="L3993" s="293"/>
      <c r="M3993" s="293"/>
      <c r="N3993" s="293"/>
      <c r="P3993" s="42">
        <v>790</v>
      </c>
      <c r="R3993" s="42">
        <v>240</v>
      </c>
      <c r="T3993" s="284">
        <v>550</v>
      </c>
      <c r="U3993" s="284"/>
    </row>
    <row r="3994" spans="2:21" x14ac:dyDescent="0.25">
      <c r="B3994" s="292">
        <v>93</v>
      </c>
      <c r="C3994" s="292"/>
      <c r="D3994" s="292"/>
      <c r="F3994" s="283" t="s">
        <v>105</v>
      </c>
      <c r="G3994" s="283"/>
      <c r="J3994" s="293">
        <v>2</v>
      </c>
      <c r="K3994" s="293"/>
      <c r="L3994" s="293"/>
      <c r="M3994" s="293"/>
      <c r="N3994" s="293"/>
      <c r="P3994" s="42">
        <v>2300</v>
      </c>
      <c r="R3994" s="42">
        <v>0</v>
      </c>
      <c r="T3994" s="284">
        <v>2300</v>
      </c>
      <c r="U3994" s="284"/>
    </row>
    <row r="3995" spans="2:21" x14ac:dyDescent="0.25">
      <c r="B3995" s="292">
        <v>94</v>
      </c>
      <c r="C3995" s="292"/>
      <c r="D3995" s="292"/>
      <c r="F3995" s="283" t="s">
        <v>104</v>
      </c>
      <c r="G3995" s="283"/>
      <c r="J3995" s="293">
        <v>5</v>
      </c>
      <c r="K3995" s="293"/>
      <c r="L3995" s="293"/>
      <c r="M3995" s="293"/>
      <c r="N3995" s="293"/>
      <c r="P3995" s="42">
        <v>1650</v>
      </c>
      <c r="R3995" s="42">
        <v>668</v>
      </c>
      <c r="T3995" s="284">
        <v>982</v>
      </c>
      <c r="U3995" s="284"/>
    </row>
    <row r="3996" spans="2:21" x14ac:dyDescent="0.25">
      <c r="B3996" s="292">
        <v>95</v>
      </c>
      <c r="C3996" s="292"/>
      <c r="D3996" s="292"/>
      <c r="F3996" s="283" t="s">
        <v>103</v>
      </c>
      <c r="G3996" s="283"/>
      <c r="J3996" s="293">
        <v>28</v>
      </c>
      <c r="K3996" s="293"/>
      <c r="L3996" s="293"/>
      <c r="M3996" s="293"/>
      <c r="N3996" s="293"/>
      <c r="P3996" s="42">
        <v>9240</v>
      </c>
      <c r="R3996" s="42">
        <v>3489</v>
      </c>
      <c r="T3996" s="284">
        <v>5751</v>
      </c>
      <c r="U3996" s="284"/>
    </row>
    <row r="3997" spans="2:21" x14ac:dyDescent="0.25">
      <c r="B3997" s="292">
        <v>96</v>
      </c>
      <c r="C3997" s="292"/>
      <c r="D3997" s="292"/>
      <c r="F3997" s="283" t="s">
        <v>213</v>
      </c>
      <c r="G3997" s="283"/>
      <c r="J3997" s="293">
        <v>2</v>
      </c>
      <c r="K3997" s="293"/>
      <c r="L3997" s="293"/>
      <c r="M3997" s="293"/>
      <c r="N3997" s="293"/>
      <c r="P3997" s="42">
        <v>1400</v>
      </c>
      <c r="R3997" s="42">
        <v>245</v>
      </c>
      <c r="T3997" s="284">
        <v>1155</v>
      </c>
      <c r="U3997" s="284"/>
    </row>
    <row r="3998" spans="2:21" x14ac:dyDescent="0.25">
      <c r="B3998" s="292">
        <v>97</v>
      </c>
      <c r="C3998" s="292"/>
      <c r="D3998" s="292"/>
      <c r="F3998" s="283" t="s">
        <v>211</v>
      </c>
      <c r="G3998" s="283"/>
      <c r="J3998" s="293">
        <v>1</v>
      </c>
      <c r="K3998" s="293"/>
      <c r="L3998" s="293"/>
      <c r="M3998" s="293"/>
      <c r="N3998" s="293"/>
      <c r="P3998" s="42">
        <v>500</v>
      </c>
      <c r="R3998" s="42">
        <v>150</v>
      </c>
      <c r="T3998" s="284">
        <v>350</v>
      </c>
      <c r="U3998" s="284"/>
    </row>
    <row r="3999" spans="2:21" x14ac:dyDescent="0.25">
      <c r="B3999" s="292">
        <v>98</v>
      </c>
      <c r="C3999" s="292"/>
      <c r="D3999" s="292"/>
      <c r="F3999" s="283" t="s">
        <v>276</v>
      </c>
      <c r="G3999" s="283"/>
      <c r="J3999" s="293">
        <v>4</v>
      </c>
      <c r="K3999" s="293"/>
      <c r="L3999" s="293"/>
      <c r="M3999" s="293"/>
      <c r="N3999" s="293"/>
      <c r="P3999" s="42">
        <v>2000</v>
      </c>
      <c r="R3999" s="42">
        <v>150</v>
      </c>
      <c r="T3999" s="284">
        <v>1850</v>
      </c>
      <c r="U3999" s="284"/>
    </row>
    <row r="4000" spans="2:21" x14ac:dyDescent="0.25">
      <c r="B4000" s="292">
        <v>99</v>
      </c>
      <c r="C4000" s="292"/>
      <c r="D4000" s="292"/>
      <c r="F4000" s="283" t="s">
        <v>99</v>
      </c>
      <c r="G4000" s="283"/>
      <c r="J4000" s="293">
        <v>2</v>
      </c>
      <c r="K4000" s="293"/>
      <c r="L4000" s="293"/>
      <c r="M4000" s="293"/>
      <c r="N4000" s="293"/>
      <c r="P4000" s="42">
        <v>1180</v>
      </c>
      <c r="R4000" s="42">
        <v>180</v>
      </c>
      <c r="T4000" s="284">
        <v>1000</v>
      </c>
      <c r="U4000" s="284"/>
    </row>
    <row r="4001" spans="2:21" x14ac:dyDescent="0.25">
      <c r="B4001" s="292">
        <v>100</v>
      </c>
      <c r="C4001" s="292"/>
      <c r="D4001" s="292"/>
      <c r="F4001" s="283" t="s">
        <v>98</v>
      </c>
      <c r="G4001" s="283"/>
      <c r="J4001" s="293">
        <v>2</v>
      </c>
      <c r="K4001" s="293"/>
      <c r="L4001" s="293"/>
      <c r="M4001" s="293"/>
      <c r="N4001" s="293"/>
      <c r="P4001" s="42">
        <v>1140</v>
      </c>
      <c r="R4001" s="42">
        <v>160</v>
      </c>
      <c r="T4001" s="284">
        <v>980</v>
      </c>
      <c r="U4001" s="284"/>
    </row>
    <row r="4002" spans="2:21" x14ac:dyDescent="0.25">
      <c r="B4002" s="292">
        <v>101</v>
      </c>
      <c r="C4002" s="292"/>
      <c r="D4002" s="292"/>
      <c r="F4002" s="283" t="s">
        <v>325</v>
      </c>
      <c r="G4002" s="283"/>
      <c r="J4002" s="293">
        <v>1</v>
      </c>
      <c r="K4002" s="293"/>
      <c r="L4002" s="293"/>
      <c r="M4002" s="293"/>
      <c r="N4002" s="293"/>
      <c r="P4002" s="42">
        <v>700</v>
      </c>
      <c r="R4002" s="42">
        <v>350</v>
      </c>
      <c r="T4002" s="284">
        <v>350</v>
      </c>
      <c r="U4002" s="284"/>
    </row>
    <row r="4003" spans="2:21" x14ac:dyDescent="0.25">
      <c r="B4003" s="292">
        <v>102</v>
      </c>
      <c r="C4003" s="292"/>
      <c r="D4003" s="292"/>
      <c r="F4003" s="283" t="s">
        <v>332</v>
      </c>
      <c r="G4003" s="283"/>
      <c r="J4003" s="293">
        <v>2</v>
      </c>
      <c r="K4003" s="293"/>
      <c r="L4003" s="293"/>
      <c r="M4003" s="293"/>
      <c r="N4003" s="293"/>
      <c r="P4003" s="42">
        <v>580</v>
      </c>
      <c r="R4003" s="42">
        <v>180</v>
      </c>
      <c r="T4003" s="284">
        <v>400</v>
      </c>
      <c r="U4003" s="284"/>
    </row>
    <row r="4004" spans="2:21" x14ac:dyDescent="0.25">
      <c r="B4004" s="292">
        <v>103</v>
      </c>
      <c r="C4004" s="292"/>
      <c r="D4004" s="292"/>
      <c r="F4004" s="283" t="s">
        <v>324</v>
      </c>
      <c r="G4004" s="283"/>
      <c r="J4004" s="293">
        <v>3</v>
      </c>
      <c r="K4004" s="293"/>
      <c r="L4004" s="293"/>
      <c r="M4004" s="293"/>
      <c r="N4004" s="293"/>
      <c r="P4004" s="42">
        <v>1050</v>
      </c>
      <c r="R4004" s="42">
        <v>360</v>
      </c>
      <c r="T4004" s="284">
        <v>690</v>
      </c>
      <c r="U4004" s="284"/>
    </row>
    <row r="4005" spans="2:21" x14ac:dyDescent="0.25">
      <c r="B4005" s="292">
        <v>104</v>
      </c>
      <c r="C4005" s="292"/>
      <c r="D4005" s="292"/>
      <c r="F4005" s="283" t="s">
        <v>253</v>
      </c>
      <c r="G4005" s="283"/>
      <c r="J4005" s="293">
        <v>2</v>
      </c>
      <c r="K4005" s="293"/>
      <c r="L4005" s="293"/>
      <c r="M4005" s="293"/>
      <c r="N4005" s="293"/>
      <c r="P4005" s="42">
        <v>580</v>
      </c>
      <c r="R4005" s="42">
        <v>160</v>
      </c>
      <c r="T4005" s="284">
        <v>420</v>
      </c>
      <c r="U4005" s="284"/>
    </row>
    <row r="4006" spans="2:21" x14ac:dyDescent="0.25">
      <c r="B4006" s="292">
        <v>105</v>
      </c>
      <c r="C4006" s="292"/>
      <c r="D4006" s="292"/>
      <c r="F4006" s="283" t="s">
        <v>93</v>
      </c>
      <c r="G4006" s="283"/>
      <c r="J4006" s="293">
        <v>11</v>
      </c>
      <c r="K4006" s="293"/>
      <c r="L4006" s="293"/>
      <c r="M4006" s="293"/>
      <c r="N4006" s="293"/>
      <c r="P4006" s="42">
        <v>6490</v>
      </c>
      <c r="R4006" s="42">
        <v>900</v>
      </c>
      <c r="T4006" s="284">
        <v>5590</v>
      </c>
      <c r="U4006" s="284"/>
    </row>
    <row r="4007" spans="2:21" x14ac:dyDescent="0.25">
      <c r="B4007" s="292">
        <v>106</v>
      </c>
      <c r="C4007" s="292"/>
      <c r="D4007" s="292"/>
      <c r="F4007" s="283" t="s">
        <v>92</v>
      </c>
      <c r="G4007" s="283"/>
      <c r="J4007" s="293">
        <v>4</v>
      </c>
      <c r="K4007" s="293"/>
      <c r="L4007" s="293"/>
      <c r="M4007" s="293"/>
      <c r="N4007" s="293"/>
      <c r="P4007" s="42">
        <v>3640</v>
      </c>
      <c r="R4007" s="42">
        <v>1080</v>
      </c>
      <c r="T4007" s="284">
        <v>2560</v>
      </c>
      <c r="U4007" s="284"/>
    </row>
    <row r="4008" spans="2:21" x14ac:dyDescent="0.25">
      <c r="B4008" s="292">
        <v>107</v>
      </c>
      <c r="C4008" s="292"/>
      <c r="D4008" s="292"/>
      <c r="F4008" s="283" t="s">
        <v>91</v>
      </c>
      <c r="G4008" s="283"/>
      <c r="J4008" s="293">
        <v>11</v>
      </c>
      <c r="K4008" s="293"/>
      <c r="L4008" s="293"/>
      <c r="M4008" s="293"/>
      <c r="N4008" s="293"/>
      <c r="P4008" s="42">
        <v>2750</v>
      </c>
      <c r="R4008" s="42">
        <v>1271</v>
      </c>
      <c r="T4008" s="284">
        <v>1479</v>
      </c>
      <c r="U4008" s="284"/>
    </row>
    <row r="4009" spans="2:21" x14ac:dyDescent="0.25">
      <c r="B4009" s="292">
        <v>108</v>
      </c>
      <c r="C4009" s="292"/>
      <c r="D4009" s="292"/>
      <c r="F4009" s="283" t="s">
        <v>90</v>
      </c>
      <c r="G4009" s="283"/>
      <c r="J4009" s="293">
        <v>38</v>
      </c>
      <c r="K4009" s="293"/>
      <c r="L4009" s="293"/>
      <c r="M4009" s="293"/>
      <c r="N4009" s="293"/>
      <c r="P4009" s="42">
        <v>11020</v>
      </c>
      <c r="R4009" s="42">
        <v>2916</v>
      </c>
      <c r="T4009" s="284">
        <v>8104</v>
      </c>
      <c r="U4009" s="284"/>
    </row>
    <row r="4010" spans="2:21" x14ac:dyDescent="0.25">
      <c r="B4010" s="292">
        <v>109</v>
      </c>
      <c r="C4010" s="292"/>
      <c r="D4010" s="292"/>
      <c r="F4010" s="283" t="s">
        <v>89</v>
      </c>
      <c r="G4010" s="283"/>
      <c r="J4010" s="293">
        <v>2</v>
      </c>
      <c r="K4010" s="293"/>
      <c r="L4010" s="293"/>
      <c r="M4010" s="293"/>
      <c r="N4010" s="293"/>
      <c r="P4010" s="42">
        <v>1760</v>
      </c>
      <c r="R4010" s="42">
        <v>260</v>
      </c>
      <c r="T4010" s="284">
        <v>1500</v>
      </c>
      <c r="U4010" s="284"/>
    </row>
    <row r="4011" spans="2:21" x14ac:dyDescent="0.25">
      <c r="B4011" s="292">
        <v>110</v>
      </c>
      <c r="C4011" s="292"/>
      <c r="D4011" s="292"/>
      <c r="F4011" s="283" t="s">
        <v>88</v>
      </c>
      <c r="G4011" s="283"/>
      <c r="J4011" s="293">
        <v>18</v>
      </c>
      <c r="K4011" s="293"/>
      <c r="L4011" s="293"/>
      <c r="M4011" s="293"/>
      <c r="N4011" s="293"/>
      <c r="P4011" s="42">
        <v>3240</v>
      </c>
      <c r="R4011" s="42">
        <v>1049</v>
      </c>
      <c r="T4011" s="284">
        <v>2191</v>
      </c>
      <c r="U4011" s="284"/>
    </row>
    <row r="4012" spans="2:21" x14ac:dyDescent="0.25">
      <c r="B4012" s="292">
        <v>111</v>
      </c>
      <c r="C4012" s="292"/>
      <c r="D4012" s="292"/>
      <c r="F4012" s="283" t="s">
        <v>84</v>
      </c>
      <c r="G4012" s="283"/>
      <c r="J4012" s="293">
        <v>27</v>
      </c>
      <c r="K4012" s="293"/>
      <c r="L4012" s="293"/>
      <c r="M4012" s="293"/>
      <c r="N4012" s="293"/>
      <c r="P4012" s="42">
        <v>15930</v>
      </c>
      <c r="R4012" s="42">
        <v>4860</v>
      </c>
      <c r="T4012" s="284">
        <v>11070</v>
      </c>
      <c r="U4012" s="284"/>
    </row>
    <row r="4013" spans="2:21" x14ac:dyDescent="0.25">
      <c r="B4013" s="292">
        <v>112</v>
      </c>
      <c r="C4013" s="292"/>
      <c r="D4013" s="292"/>
      <c r="F4013" s="283" t="s">
        <v>331</v>
      </c>
      <c r="G4013" s="283"/>
      <c r="J4013" s="293">
        <v>1</v>
      </c>
      <c r="K4013" s="293"/>
      <c r="L4013" s="293"/>
      <c r="M4013" s="293"/>
      <c r="N4013" s="293"/>
      <c r="P4013" s="42">
        <v>500</v>
      </c>
      <c r="R4013" s="42">
        <v>150</v>
      </c>
      <c r="T4013" s="284">
        <v>350</v>
      </c>
      <c r="U4013" s="284"/>
    </row>
    <row r="4014" spans="2:21" x14ac:dyDescent="0.25">
      <c r="B4014" s="292">
        <v>113</v>
      </c>
      <c r="C4014" s="292"/>
      <c r="D4014" s="292"/>
      <c r="F4014" s="283" t="s">
        <v>208</v>
      </c>
      <c r="G4014" s="283"/>
      <c r="J4014" s="293">
        <v>1</v>
      </c>
      <c r="K4014" s="293"/>
      <c r="L4014" s="293"/>
      <c r="M4014" s="293"/>
      <c r="N4014" s="293"/>
      <c r="P4014" s="42">
        <v>500</v>
      </c>
      <c r="R4014" s="42">
        <v>150</v>
      </c>
      <c r="T4014" s="284">
        <v>350</v>
      </c>
      <c r="U4014" s="284"/>
    </row>
    <row r="4015" spans="2:21" x14ac:dyDescent="0.25">
      <c r="B4015" s="292">
        <v>114</v>
      </c>
      <c r="C4015" s="292"/>
      <c r="D4015" s="292"/>
      <c r="F4015" s="283" t="s">
        <v>273</v>
      </c>
      <c r="G4015" s="283"/>
      <c r="J4015" s="293">
        <v>2</v>
      </c>
      <c r="K4015" s="293"/>
      <c r="L4015" s="293"/>
      <c r="M4015" s="293"/>
      <c r="N4015" s="293"/>
      <c r="P4015" s="42">
        <v>1000</v>
      </c>
      <c r="R4015" s="42">
        <v>300</v>
      </c>
      <c r="T4015" s="284">
        <v>700</v>
      </c>
      <c r="U4015" s="284"/>
    </row>
    <row r="4016" spans="2:21" x14ac:dyDescent="0.25">
      <c r="B4016" s="292">
        <v>115</v>
      </c>
      <c r="C4016" s="292"/>
      <c r="D4016" s="292"/>
      <c r="F4016" s="283" t="s">
        <v>206</v>
      </c>
      <c r="G4016" s="283"/>
      <c r="J4016" s="293">
        <v>4</v>
      </c>
      <c r="K4016" s="293"/>
      <c r="L4016" s="293"/>
      <c r="M4016" s="293"/>
      <c r="N4016" s="293"/>
      <c r="P4016" s="42">
        <v>2000</v>
      </c>
      <c r="R4016" s="42">
        <v>250</v>
      </c>
      <c r="T4016" s="284">
        <v>1750</v>
      </c>
      <c r="U4016" s="284"/>
    </row>
    <row r="4017" spans="1:21" x14ac:dyDescent="0.25">
      <c r="B4017" s="292">
        <v>116</v>
      </c>
      <c r="C4017" s="292"/>
      <c r="D4017" s="292"/>
      <c r="F4017" s="283" t="s">
        <v>272</v>
      </c>
      <c r="G4017" s="283"/>
      <c r="J4017" s="293">
        <v>3</v>
      </c>
      <c r="K4017" s="293"/>
      <c r="L4017" s="293"/>
      <c r="M4017" s="293"/>
      <c r="N4017" s="293"/>
      <c r="P4017" s="42">
        <v>1500</v>
      </c>
      <c r="R4017" s="42">
        <v>430</v>
      </c>
      <c r="T4017" s="284">
        <v>1070</v>
      </c>
      <c r="U4017" s="284"/>
    </row>
    <row r="4018" spans="1:21" x14ac:dyDescent="0.25">
      <c r="B4018" s="292">
        <v>117</v>
      </c>
      <c r="C4018" s="292"/>
      <c r="D4018" s="292"/>
      <c r="F4018" s="283" t="s">
        <v>205</v>
      </c>
      <c r="G4018" s="283"/>
      <c r="J4018" s="293">
        <v>2</v>
      </c>
      <c r="K4018" s="293"/>
      <c r="L4018" s="293"/>
      <c r="M4018" s="293"/>
      <c r="N4018" s="293"/>
      <c r="P4018" s="42">
        <v>1000</v>
      </c>
      <c r="R4018" s="42">
        <v>0</v>
      </c>
      <c r="T4018" s="284">
        <v>1000</v>
      </c>
      <c r="U4018" s="284"/>
    </row>
    <row r="4019" spans="1:21" x14ac:dyDescent="0.25">
      <c r="B4019" s="292">
        <v>118</v>
      </c>
      <c r="C4019" s="292"/>
      <c r="D4019" s="292"/>
      <c r="F4019" s="283" t="s">
        <v>204</v>
      </c>
      <c r="G4019" s="283"/>
      <c r="J4019" s="293">
        <v>1</v>
      </c>
      <c r="K4019" s="293"/>
      <c r="L4019" s="293"/>
      <c r="M4019" s="293"/>
      <c r="N4019" s="293"/>
      <c r="P4019" s="42">
        <v>500</v>
      </c>
      <c r="R4019" s="42">
        <v>150</v>
      </c>
      <c r="T4019" s="284">
        <v>350</v>
      </c>
      <c r="U4019" s="284"/>
    </row>
    <row r="4020" spans="1:21" x14ac:dyDescent="0.25">
      <c r="B4020" s="292">
        <v>119</v>
      </c>
      <c r="C4020" s="292"/>
      <c r="D4020" s="292"/>
      <c r="F4020" s="283" t="s">
        <v>271</v>
      </c>
      <c r="G4020" s="283"/>
      <c r="J4020" s="293">
        <v>1</v>
      </c>
      <c r="K4020" s="293"/>
      <c r="L4020" s="293"/>
      <c r="M4020" s="293"/>
      <c r="N4020" s="293"/>
      <c r="P4020" s="42">
        <v>500</v>
      </c>
      <c r="R4020" s="42">
        <v>150</v>
      </c>
      <c r="T4020" s="284">
        <v>350</v>
      </c>
      <c r="U4020" s="284"/>
    </row>
    <row r="4021" spans="1:21" s="40" customFormat="1" x14ac:dyDescent="0.25">
      <c r="A4021" s="290" t="s">
        <v>330</v>
      </c>
      <c r="B4021" s="290"/>
      <c r="C4021" s="290"/>
      <c r="D4021" s="290"/>
      <c r="E4021" s="290"/>
      <c r="F4021" s="290"/>
      <c r="G4021" s="290"/>
      <c r="H4021" s="290"/>
      <c r="I4021" s="290"/>
      <c r="J4021" s="290"/>
      <c r="K4021" s="291">
        <v>1880</v>
      </c>
      <c r="L4021" s="291"/>
      <c r="M4021" s="291"/>
      <c r="N4021" s="291"/>
      <c r="O4021" s="291"/>
      <c r="P4021" s="41">
        <v>1765100</v>
      </c>
      <c r="R4021" s="41">
        <v>1417008</v>
      </c>
      <c r="T4021" s="287">
        <v>348092</v>
      </c>
      <c r="U4021" s="287"/>
    </row>
    <row r="4022" spans="1:21" x14ac:dyDescent="0.25">
      <c r="B4022" s="292">
        <v>1</v>
      </c>
      <c r="C4022" s="292"/>
      <c r="D4022" s="292"/>
      <c r="F4022" s="283" t="s">
        <v>311</v>
      </c>
      <c r="G4022" s="283"/>
      <c r="J4022" s="293">
        <v>2</v>
      </c>
      <c r="K4022" s="293"/>
      <c r="L4022" s="293"/>
      <c r="M4022" s="293"/>
      <c r="N4022" s="293"/>
      <c r="P4022" s="42">
        <v>1380</v>
      </c>
      <c r="R4022" s="42">
        <v>276</v>
      </c>
      <c r="T4022" s="284">
        <v>1104</v>
      </c>
      <c r="U4022" s="284"/>
    </row>
    <row r="4023" spans="1:21" x14ac:dyDescent="0.25">
      <c r="B4023" s="292">
        <v>2</v>
      </c>
      <c r="C4023" s="292"/>
      <c r="D4023" s="292"/>
      <c r="F4023" s="283" t="s">
        <v>168</v>
      </c>
      <c r="G4023" s="283"/>
      <c r="J4023" s="293">
        <v>2</v>
      </c>
      <c r="K4023" s="293"/>
      <c r="L4023" s="293"/>
      <c r="M4023" s="293"/>
      <c r="N4023" s="293"/>
      <c r="P4023" s="42">
        <v>4400</v>
      </c>
      <c r="R4023" s="42">
        <v>220</v>
      </c>
      <c r="T4023" s="284">
        <v>4180</v>
      </c>
      <c r="U4023" s="284"/>
    </row>
    <row r="4024" spans="1:21" x14ac:dyDescent="0.25">
      <c r="B4024" s="292">
        <v>3</v>
      </c>
      <c r="C4024" s="292"/>
      <c r="D4024" s="292"/>
      <c r="F4024" s="283" t="s">
        <v>78</v>
      </c>
      <c r="G4024" s="283"/>
      <c r="J4024" s="293">
        <v>233</v>
      </c>
      <c r="K4024" s="293"/>
      <c r="L4024" s="293"/>
      <c r="M4024" s="293"/>
      <c r="N4024" s="293"/>
      <c r="P4024" s="42">
        <v>67570</v>
      </c>
      <c r="R4024" s="42">
        <v>67570</v>
      </c>
      <c r="T4024" s="284">
        <v>0</v>
      </c>
      <c r="U4024" s="284"/>
    </row>
    <row r="4025" spans="1:21" x14ac:dyDescent="0.25">
      <c r="B4025" s="292">
        <v>4</v>
      </c>
      <c r="C4025" s="292"/>
      <c r="D4025" s="292"/>
      <c r="F4025" s="283" t="s">
        <v>167</v>
      </c>
      <c r="G4025" s="283"/>
      <c r="J4025" s="293">
        <v>2</v>
      </c>
      <c r="K4025" s="293"/>
      <c r="L4025" s="293"/>
      <c r="M4025" s="293"/>
      <c r="N4025" s="293"/>
      <c r="P4025" s="42">
        <v>1140</v>
      </c>
      <c r="R4025" s="42">
        <v>170</v>
      </c>
      <c r="T4025" s="284">
        <v>970</v>
      </c>
      <c r="U4025" s="284"/>
    </row>
    <row r="4026" spans="1:21" x14ac:dyDescent="0.25">
      <c r="B4026" s="292">
        <v>5</v>
      </c>
      <c r="C4026" s="292"/>
      <c r="D4026" s="292"/>
      <c r="F4026" s="283" t="s">
        <v>329</v>
      </c>
      <c r="G4026" s="283"/>
      <c r="J4026" s="293">
        <v>1</v>
      </c>
      <c r="K4026" s="293"/>
      <c r="L4026" s="293"/>
      <c r="M4026" s="293"/>
      <c r="N4026" s="293"/>
      <c r="P4026" s="42">
        <v>1200</v>
      </c>
      <c r="R4026" s="42">
        <v>180</v>
      </c>
      <c r="T4026" s="284">
        <v>1020</v>
      </c>
      <c r="U4026" s="284"/>
    </row>
    <row r="4027" spans="1:21" x14ac:dyDescent="0.25">
      <c r="B4027" s="292">
        <v>6</v>
      </c>
      <c r="C4027" s="292"/>
      <c r="D4027" s="292"/>
      <c r="F4027" s="283" t="s">
        <v>248</v>
      </c>
      <c r="G4027" s="283"/>
      <c r="J4027" s="293">
        <v>2</v>
      </c>
      <c r="K4027" s="293"/>
      <c r="L4027" s="293"/>
      <c r="M4027" s="293"/>
      <c r="N4027" s="293"/>
      <c r="P4027" s="42">
        <v>2400</v>
      </c>
      <c r="R4027" s="42">
        <v>360</v>
      </c>
      <c r="T4027" s="284">
        <v>2040</v>
      </c>
      <c r="U4027" s="284"/>
    </row>
    <row r="4028" spans="1:21" x14ac:dyDescent="0.25">
      <c r="B4028" s="292">
        <v>7</v>
      </c>
      <c r="C4028" s="292"/>
      <c r="D4028" s="292"/>
      <c r="F4028" s="283" t="s">
        <v>165</v>
      </c>
      <c r="G4028" s="283"/>
      <c r="J4028" s="293">
        <v>1</v>
      </c>
      <c r="K4028" s="293"/>
      <c r="L4028" s="293"/>
      <c r="M4028" s="293"/>
      <c r="N4028" s="293"/>
      <c r="P4028" s="42">
        <v>590</v>
      </c>
      <c r="R4028" s="42">
        <v>180</v>
      </c>
      <c r="T4028" s="284">
        <v>410</v>
      </c>
      <c r="U4028" s="284"/>
    </row>
    <row r="4029" spans="1:21" x14ac:dyDescent="0.25">
      <c r="B4029" s="292">
        <v>8</v>
      </c>
      <c r="C4029" s="292"/>
      <c r="D4029" s="292"/>
      <c r="F4029" s="283" t="s">
        <v>162</v>
      </c>
      <c r="G4029" s="283"/>
      <c r="J4029" s="293">
        <v>5</v>
      </c>
      <c r="K4029" s="293"/>
      <c r="L4029" s="293"/>
      <c r="M4029" s="293"/>
      <c r="N4029" s="293"/>
      <c r="P4029" s="42">
        <v>2150</v>
      </c>
      <c r="R4029" s="42">
        <v>938</v>
      </c>
      <c r="T4029" s="284">
        <v>1212</v>
      </c>
      <c r="U4029" s="284"/>
    </row>
    <row r="4030" spans="1:21" x14ac:dyDescent="0.25">
      <c r="B4030" s="292">
        <v>9</v>
      </c>
      <c r="C4030" s="292"/>
      <c r="D4030" s="292"/>
      <c r="F4030" s="283" t="s">
        <v>266</v>
      </c>
      <c r="G4030" s="283"/>
      <c r="J4030" s="293">
        <v>1</v>
      </c>
      <c r="K4030" s="293"/>
      <c r="L4030" s="293"/>
      <c r="M4030" s="293"/>
      <c r="N4030" s="293"/>
      <c r="P4030" s="42">
        <v>1350</v>
      </c>
      <c r="R4030" s="42">
        <v>392</v>
      </c>
      <c r="T4030" s="284">
        <v>958</v>
      </c>
      <c r="U4030" s="284"/>
    </row>
    <row r="4031" spans="1:21" x14ac:dyDescent="0.25">
      <c r="B4031" s="292">
        <v>10</v>
      </c>
      <c r="C4031" s="292"/>
      <c r="D4031" s="292"/>
      <c r="F4031" s="283" t="s">
        <v>158</v>
      </c>
      <c r="G4031" s="283"/>
      <c r="J4031" s="293">
        <v>252</v>
      </c>
      <c r="K4031" s="293"/>
      <c r="L4031" s="293"/>
      <c r="M4031" s="293"/>
      <c r="N4031" s="293"/>
      <c r="P4031" s="42">
        <v>138600</v>
      </c>
      <c r="R4031" s="42">
        <v>28172</v>
      </c>
      <c r="T4031" s="284">
        <v>110428</v>
      </c>
      <c r="U4031" s="284"/>
    </row>
    <row r="4032" spans="1:21" x14ac:dyDescent="0.25">
      <c r="B4032" s="292">
        <v>11</v>
      </c>
      <c r="C4032" s="292"/>
      <c r="D4032" s="292"/>
      <c r="F4032" s="283" t="s">
        <v>157</v>
      </c>
      <c r="G4032" s="283"/>
      <c r="J4032" s="293">
        <v>43</v>
      </c>
      <c r="K4032" s="293"/>
      <c r="L4032" s="293"/>
      <c r="M4032" s="293"/>
      <c r="N4032" s="293"/>
      <c r="P4032" s="42">
        <v>21070</v>
      </c>
      <c r="R4032" s="42">
        <v>8249</v>
      </c>
      <c r="T4032" s="284">
        <v>12821</v>
      </c>
      <c r="U4032" s="284"/>
    </row>
    <row r="4033" spans="2:21" x14ac:dyDescent="0.25">
      <c r="B4033" s="292">
        <v>12</v>
      </c>
      <c r="C4033" s="292"/>
      <c r="D4033" s="292"/>
      <c r="F4033" s="283" t="s">
        <v>196</v>
      </c>
      <c r="G4033" s="283"/>
      <c r="J4033" s="293">
        <v>2</v>
      </c>
      <c r="K4033" s="293"/>
      <c r="L4033" s="293"/>
      <c r="M4033" s="293"/>
      <c r="N4033" s="293"/>
      <c r="P4033" s="42">
        <v>1400</v>
      </c>
      <c r="R4033" s="42">
        <v>546</v>
      </c>
      <c r="T4033" s="284">
        <v>854</v>
      </c>
      <c r="U4033" s="284"/>
    </row>
    <row r="4034" spans="2:21" x14ac:dyDescent="0.25">
      <c r="B4034" s="292">
        <v>13</v>
      </c>
      <c r="C4034" s="292"/>
      <c r="D4034" s="292"/>
      <c r="F4034" s="283" t="s">
        <v>309</v>
      </c>
      <c r="G4034" s="283"/>
      <c r="J4034" s="293">
        <v>3</v>
      </c>
      <c r="K4034" s="293"/>
      <c r="L4034" s="293"/>
      <c r="M4034" s="293"/>
      <c r="N4034" s="293"/>
      <c r="P4034" s="42">
        <v>1500</v>
      </c>
      <c r="R4034" s="42">
        <v>150</v>
      </c>
      <c r="T4034" s="284">
        <v>1350</v>
      </c>
      <c r="U4034" s="284"/>
    </row>
    <row r="4035" spans="2:21" x14ac:dyDescent="0.25">
      <c r="B4035" s="292">
        <v>14</v>
      </c>
      <c r="C4035" s="292"/>
      <c r="D4035" s="292"/>
      <c r="F4035" s="283" t="s">
        <v>328</v>
      </c>
      <c r="G4035" s="283"/>
      <c r="J4035" s="293">
        <v>1</v>
      </c>
      <c r="K4035" s="293"/>
      <c r="L4035" s="293"/>
      <c r="M4035" s="293"/>
      <c r="N4035" s="293"/>
      <c r="P4035" s="42">
        <v>700</v>
      </c>
      <c r="R4035" s="42">
        <v>350</v>
      </c>
      <c r="T4035" s="284">
        <v>350</v>
      </c>
      <c r="U4035" s="284"/>
    </row>
    <row r="4036" spans="2:21" x14ac:dyDescent="0.25">
      <c r="B4036" s="292">
        <v>15</v>
      </c>
      <c r="C4036" s="292"/>
      <c r="D4036" s="292"/>
      <c r="F4036" s="283" t="s">
        <v>77</v>
      </c>
      <c r="G4036" s="283"/>
      <c r="J4036" s="293">
        <v>429</v>
      </c>
      <c r="K4036" s="293"/>
      <c r="L4036" s="293"/>
      <c r="M4036" s="293"/>
      <c r="N4036" s="293"/>
      <c r="P4036" s="42">
        <v>175200</v>
      </c>
      <c r="R4036" s="42">
        <v>175200</v>
      </c>
      <c r="T4036" s="284">
        <v>0</v>
      </c>
      <c r="U4036" s="284"/>
    </row>
    <row r="4037" spans="2:21" x14ac:dyDescent="0.25">
      <c r="B4037" s="292">
        <v>16</v>
      </c>
      <c r="C4037" s="292"/>
      <c r="D4037" s="292"/>
      <c r="F4037" s="283" t="s">
        <v>156</v>
      </c>
      <c r="G4037" s="283"/>
      <c r="J4037" s="293">
        <v>11</v>
      </c>
      <c r="K4037" s="293"/>
      <c r="L4037" s="293"/>
      <c r="M4037" s="293"/>
      <c r="N4037" s="293"/>
      <c r="P4037" s="42">
        <v>2090</v>
      </c>
      <c r="R4037" s="42">
        <v>518</v>
      </c>
      <c r="T4037" s="284">
        <v>1572</v>
      </c>
      <c r="U4037" s="284"/>
    </row>
    <row r="4038" spans="2:21" x14ac:dyDescent="0.25">
      <c r="B4038" s="292">
        <v>17</v>
      </c>
      <c r="C4038" s="292"/>
      <c r="D4038" s="292"/>
      <c r="F4038" s="283" t="s">
        <v>155</v>
      </c>
      <c r="G4038" s="283"/>
      <c r="J4038" s="293">
        <v>20</v>
      </c>
      <c r="K4038" s="293"/>
      <c r="L4038" s="293"/>
      <c r="M4038" s="293"/>
      <c r="N4038" s="293"/>
      <c r="P4038" s="42">
        <v>5000</v>
      </c>
      <c r="R4038" s="42">
        <v>1684</v>
      </c>
      <c r="T4038" s="284">
        <v>3316</v>
      </c>
      <c r="U4038" s="284"/>
    </row>
    <row r="4039" spans="2:21" x14ac:dyDescent="0.25">
      <c r="B4039" s="292">
        <v>18</v>
      </c>
      <c r="C4039" s="292"/>
      <c r="D4039" s="292"/>
      <c r="F4039" s="283" t="s">
        <v>320</v>
      </c>
      <c r="G4039" s="283"/>
      <c r="J4039" s="293">
        <v>1</v>
      </c>
      <c r="K4039" s="293"/>
      <c r="L4039" s="293"/>
      <c r="M4039" s="293"/>
      <c r="N4039" s="293"/>
      <c r="P4039" s="42">
        <v>500</v>
      </c>
      <c r="R4039" s="42">
        <v>100</v>
      </c>
      <c r="T4039" s="284">
        <v>400</v>
      </c>
      <c r="U4039" s="284"/>
    </row>
    <row r="4040" spans="2:21" x14ac:dyDescent="0.25">
      <c r="B4040" s="292">
        <v>19</v>
      </c>
      <c r="C4040" s="292"/>
      <c r="D4040" s="292"/>
      <c r="F4040" s="283" t="s">
        <v>150</v>
      </c>
      <c r="G4040" s="283"/>
      <c r="J4040" s="293">
        <v>3</v>
      </c>
      <c r="K4040" s="293"/>
      <c r="L4040" s="293"/>
      <c r="M4040" s="293"/>
      <c r="N4040" s="293"/>
      <c r="P4040" s="42">
        <v>510</v>
      </c>
      <c r="R4040" s="42">
        <v>58</v>
      </c>
      <c r="T4040" s="284">
        <v>452</v>
      </c>
      <c r="U4040" s="284"/>
    </row>
    <row r="4041" spans="2:21" x14ac:dyDescent="0.25">
      <c r="B4041" s="292">
        <v>20</v>
      </c>
      <c r="C4041" s="292"/>
      <c r="D4041" s="292"/>
      <c r="F4041" s="283" t="s">
        <v>148</v>
      </c>
      <c r="G4041" s="283"/>
      <c r="J4041" s="293">
        <v>27</v>
      </c>
      <c r="K4041" s="293"/>
      <c r="L4041" s="293"/>
      <c r="M4041" s="293"/>
      <c r="N4041" s="293"/>
      <c r="P4041" s="42">
        <v>26460</v>
      </c>
      <c r="R4041" s="42">
        <v>4050</v>
      </c>
      <c r="T4041" s="284">
        <v>22410</v>
      </c>
      <c r="U4041" s="284"/>
    </row>
    <row r="4042" spans="2:21" x14ac:dyDescent="0.25">
      <c r="B4042" s="292">
        <v>21</v>
      </c>
      <c r="C4042" s="292"/>
      <c r="D4042" s="292"/>
      <c r="F4042" s="283" t="s">
        <v>287</v>
      </c>
      <c r="G4042" s="283"/>
      <c r="J4042" s="293">
        <v>1</v>
      </c>
      <c r="K4042" s="293"/>
      <c r="L4042" s="293"/>
      <c r="M4042" s="293"/>
      <c r="N4042" s="293"/>
      <c r="P4042" s="42">
        <v>800</v>
      </c>
      <c r="R4042" s="42">
        <v>280</v>
      </c>
      <c r="T4042" s="284">
        <v>520</v>
      </c>
      <c r="U4042" s="284"/>
    </row>
    <row r="4043" spans="2:21" x14ac:dyDescent="0.25">
      <c r="B4043" s="292">
        <v>22</v>
      </c>
      <c r="C4043" s="292"/>
      <c r="D4043" s="292"/>
      <c r="F4043" s="283" t="s">
        <v>286</v>
      </c>
      <c r="G4043" s="283"/>
      <c r="J4043" s="293">
        <v>1</v>
      </c>
      <c r="K4043" s="293"/>
      <c r="L4043" s="293"/>
      <c r="M4043" s="293"/>
      <c r="N4043" s="293"/>
      <c r="P4043" s="42">
        <v>800</v>
      </c>
      <c r="R4043" s="42">
        <v>280</v>
      </c>
      <c r="T4043" s="284">
        <v>520</v>
      </c>
      <c r="U4043" s="284"/>
    </row>
    <row r="4044" spans="2:21" x14ac:dyDescent="0.25">
      <c r="B4044" s="292">
        <v>23</v>
      </c>
      <c r="C4044" s="292"/>
      <c r="D4044" s="292"/>
      <c r="F4044" s="283" t="s">
        <v>232</v>
      </c>
      <c r="G4044" s="283"/>
      <c r="J4044" s="293">
        <v>1</v>
      </c>
      <c r="K4044" s="293"/>
      <c r="L4044" s="293"/>
      <c r="M4044" s="293"/>
      <c r="N4044" s="293"/>
      <c r="P4044" s="42">
        <v>980</v>
      </c>
      <c r="R4044" s="42">
        <v>150</v>
      </c>
      <c r="T4044" s="284">
        <v>830</v>
      </c>
      <c r="U4044" s="284"/>
    </row>
    <row r="4045" spans="2:21" x14ac:dyDescent="0.25">
      <c r="B4045" s="292">
        <v>24</v>
      </c>
      <c r="C4045" s="292"/>
      <c r="D4045" s="292"/>
      <c r="F4045" s="283" t="s">
        <v>75</v>
      </c>
      <c r="G4045" s="283"/>
      <c r="J4045" s="293">
        <v>423</v>
      </c>
      <c r="K4045" s="293"/>
      <c r="L4045" s="293"/>
      <c r="M4045" s="293"/>
      <c r="N4045" s="293"/>
      <c r="P4045" s="42">
        <v>1057500</v>
      </c>
      <c r="R4045" s="42">
        <v>1057500</v>
      </c>
      <c r="T4045" s="284">
        <v>0</v>
      </c>
      <c r="U4045" s="284"/>
    </row>
    <row r="4046" spans="2:21" x14ac:dyDescent="0.25">
      <c r="B4046" s="292">
        <v>25</v>
      </c>
      <c r="C4046" s="292"/>
      <c r="D4046" s="292"/>
      <c r="F4046" s="283" t="s">
        <v>139</v>
      </c>
      <c r="G4046" s="283"/>
      <c r="J4046" s="293">
        <v>11</v>
      </c>
      <c r="K4046" s="293"/>
      <c r="L4046" s="293"/>
      <c r="M4046" s="293"/>
      <c r="N4046" s="293"/>
      <c r="P4046" s="42">
        <v>2970</v>
      </c>
      <c r="R4046" s="42">
        <v>828</v>
      </c>
      <c r="T4046" s="284">
        <v>2142</v>
      </c>
      <c r="U4046" s="284"/>
    </row>
    <row r="4047" spans="2:21" x14ac:dyDescent="0.25">
      <c r="B4047" s="292">
        <v>26</v>
      </c>
      <c r="C4047" s="292"/>
      <c r="D4047" s="292"/>
      <c r="F4047" s="283" t="s">
        <v>302</v>
      </c>
      <c r="G4047" s="283"/>
      <c r="J4047" s="293">
        <v>1</v>
      </c>
      <c r="K4047" s="293"/>
      <c r="L4047" s="293"/>
      <c r="M4047" s="293"/>
      <c r="N4047" s="293"/>
      <c r="P4047" s="42">
        <v>800</v>
      </c>
      <c r="R4047" s="42">
        <v>320</v>
      </c>
      <c r="T4047" s="284">
        <v>480</v>
      </c>
      <c r="U4047" s="284"/>
    </row>
    <row r="4048" spans="2:21" x14ac:dyDescent="0.25">
      <c r="B4048" s="292">
        <v>27</v>
      </c>
      <c r="C4048" s="292"/>
      <c r="D4048" s="292"/>
      <c r="F4048" s="283" t="s">
        <v>138</v>
      </c>
      <c r="G4048" s="283"/>
      <c r="J4048" s="293">
        <v>1</v>
      </c>
      <c r="K4048" s="293"/>
      <c r="L4048" s="293"/>
      <c r="M4048" s="293"/>
      <c r="N4048" s="293"/>
      <c r="P4048" s="42">
        <v>800</v>
      </c>
      <c r="R4048" s="42">
        <v>0</v>
      </c>
      <c r="T4048" s="284">
        <v>800</v>
      </c>
      <c r="U4048" s="284"/>
    </row>
    <row r="4049" spans="2:21" x14ac:dyDescent="0.25">
      <c r="B4049" s="292">
        <v>28</v>
      </c>
      <c r="C4049" s="292"/>
      <c r="D4049" s="292"/>
      <c r="F4049" s="283" t="s">
        <v>137</v>
      </c>
      <c r="G4049" s="283"/>
      <c r="J4049" s="293">
        <v>3</v>
      </c>
      <c r="K4049" s="293"/>
      <c r="L4049" s="293"/>
      <c r="M4049" s="293"/>
      <c r="N4049" s="293"/>
      <c r="P4049" s="42">
        <v>2400</v>
      </c>
      <c r="R4049" s="42">
        <v>1058</v>
      </c>
      <c r="T4049" s="284">
        <v>1342</v>
      </c>
      <c r="U4049" s="284"/>
    </row>
    <row r="4050" spans="2:21" x14ac:dyDescent="0.25">
      <c r="B4050" s="292">
        <v>29</v>
      </c>
      <c r="C4050" s="292"/>
      <c r="D4050" s="292"/>
      <c r="F4050" s="283" t="s">
        <v>136</v>
      </c>
      <c r="G4050" s="283"/>
      <c r="J4050" s="293">
        <v>5</v>
      </c>
      <c r="K4050" s="293"/>
      <c r="L4050" s="293"/>
      <c r="M4050" s="293"/>
      <c r="N4050" s="293"/>
      <c r="P4050" s="42">
        <v>4250</v>
      </c>
      <c r="R4050" s="42">
        <v>735</v>
      </c>
      <c r="T4050" s="284">
        <v>3515</v>
      </c>
      <c r="U4050" s="284"/>
    </row>
    <row r="4051" spans="2:21" x14ac:dyDescent="0.25">
      <c r="B4051" s="292">
        <v>30</v>
      </c>
      <c r="C4051" s="292"/>
      <c r="D4051" s="292"/>
      <c r="F4051" s="283" t="s">
        <v>74</v>
      </c>
      <c r="G4051" s="283"/>
      <c r="J4051" s="293">
        <v>1</v>
      </c>
      <c r="K4051" s="293"/>
      <c r="L4051" s="293"/>
      <c r="M4051" s="293"/>
      <c r="N4051" s="293"/>
      <c r="P4051" s="42">
        <v>850</v>
      </c>
      <c r="R4051" s="42">
        <v>850</v>
      </c>
      <c r="T4051" s="284">
        <v>0</v>
      </c>
      <c r="U4051" s="284"/>
    </row>
    <row r="4052" spans="2:21" x14ac:dyDescent="0.25">
      <c r="B4052" s="292">
        <v>31</v>
      </c>
      <c r="C4052" s="292"/>
      <c r="D4052" s="292"/>
      <c r="F4052" s="283" t="s">
        <v>190</v>
      </c>
      <c r="G4052" s="283"/>
      <c r="J4052" s="293">
        <v>5</v>
      </c>
      <c r="K4052" s="293"/>
      <c r="L4052" s="293"/>
      <c r="M4052" s="293"/>
      <c r="N4052" s="293"/>
      <c r="P4052" s="42">
        <v>7850</v>
      </c>
      <c r="R4052" s="42">
        <v>1065</v>
      </c>
      <c r="T4052" s="284">
        <v>6785</v>
      </c>
      <c r="U4052" s="284"/>
    </row>
    <row r="4053" spans="2:21" x14ac:dyDescent="0.25">
      <c r="B4053" s="292">
        <v>32</v>
      </c>
      <c r="C4053" s="292"/>
      <c r="D4053" s="292"/>
      <c r="F4053" s="283" t="s">
        <v>230</v>
      </c>
      <c r="G4053" s="283"/>
      <c r="J4053" s="293">
        <v>1</v>
      </c>
      <c r="K4053" s="293"/>
      <c r="L4053" s="293"/>
      <c r="M4053" s="293"/>
      <c r="N4053" s="293"/>
      <c r="P4053" s="42">
        <v>950</v>
      </c>
      <c r="R4053" s="42">
        <v>140</v>
      </c>
      <c r="T4053" s="284">
        <v>810</v>
      </c>
      <c r="U4053" s="284"/>
    </row>
    <row r="4054" spans="2:21" x14ac:dyDescent="0.25">
      <c r="B4054" s="292">
        <v>33</v>
      </c>
      <c r="C4054" s="292"/>
      <c r="D4054" s="292"/>
      <c r="F4054" s="283" t="s">
        <v>135</v>
      </c>
      <c r="G4054" s="283"/>
      <c r="J4054" s="293">
        <v>1</v>
      </c>
      <c r="K4054" s="293"/>
      <c r="L4054" s="293"/>
      <c r="M4054" s="293"/>
      <c r="N4054" s="293"/>
      <c r="P4054" s="42">
        <v>950</v>
      </c>
      <c r="R4054" s="42">
        <v>280</v>
      </c>
      <c r="T4054" s="284">
        <v>670</v>
      </c>
      <c r="U4054" s="284"/>
    </row>
    <row r="4055" spans="2:21" x14ac:dyDescent="0.25">
      <c r="B4055" s="292">
        <v>34</v>
      </c>
      <c r="C4055" s="292"/>
      <c r="D4055" s="292"/>
      <c r="F4055" s="283" t="s">
        <v>285</v>
      </c>
      <c r="G4055" s="283"/>
      <c r="J4055" s="293">
        <v>1</v>
      </c>
      <c r="K4055" s="293"/>
      <c r="L4055" s="293"/>
      <c r="M4055" s="293"/>
      <c r="N4055" s="293"/>
      <c r="P4055" s="42">
        <v>3700</v>
      </c>
      <c r="R4055" s="42">
        <v>1850</v>
      </c>
      <c r="T4055" s="284">
        <v>1850</v>
      </c>
      <c r="U4055" s="284"/>
    </row>
    <row r="4056" spans="2:21" x14ac:dyDescent="0.25">
      <c r="B4056" s="292">
        <v>35</v>
      </c>
      <c r="C4056" s="292"/>
      <c r="D4056" s="292"/>
      <c r="F4056" s="283" t="s">
        <v>133</v>
      </c>
      <c r="G4056" s="283"/>
      <c r="J4056" s="293">
        <v>2</v>
      </c>
      <c r="K4056" s="293"/>
      <c r="L4056" s="293"/>
      <c r="M4056" s="293"/>
      <c r="N4056" s="293"/>
      <c r="P4056" s="42">
        <v>2180</v>
      </c>
      <c r="R4056" s="42">
        <v>0</v>
      </c>
      <c r="T4056" s="284">
        <v>2180</v>
      </c>
      <c r="U4056" s="284"/>
    </row>
    <row r="4057" spans="2:21" x14ac:dyDescent="0.25">
      <c r="B4057" s="292">
        <v>36</v>
      </c>
      <c r="C4057" s="292"/>
      <c r="D4057" s="292"/>
      <c r="F4057" s="283" t="s">
        <v>132</v>
      </c>
      <c r="G4057" s="283"/>
      <c r="J4057" s="293">
        <v>3</v>
      </c>
      <c r="K4057" s="293"/>
      <c r="L4057" s="293"/>
      <c r="M4057" s="293"/>
      <c r="N4057" s="293"/>
      <c r="P4057" s="42">
        <v>3720</v>
      </c>
      <c r="R4057" s="42">
        <v>1110</v>
      </c>
      <c r="T4057" s="284">
        <v>2610</v>
      </c>
      <c r="U4057" s="284"/>
    </row>
    <row r="4058" spans="2:21" x14ac:dyDescent="0.25">
      <c r="B4058" s="292">
        <v>37</v>
      </c>
      <c r="C4058" s="292"/>
      <c r="D4058" s="292"/>
      <c r="F4058" s="285" t="s">
        <v>284</v>
      </c>
      <c r="G4058" s="285"/>
      <c r="J4058" s="293">
        <v>8</v>
      </c>
      <c r="K4058" s="293"/>
      <c r="L4058" s="293"/>
      <c r="M4058" s="293"/>
      <c r="N4058" s="293"/>
      <c r="P4058" s="42">
        <v>29600</v>
      </c>
      <c r="R4058" s="42">
        <v>11433</v>
      </c>
      <c r="T4058" s="284">
        <v>18167</v>
      </c>
      <c r="U4058" s="284"/>
    </row>
    <row r="4059" spans="2:21" x14ac:dyDescent="0.25">
      <c r="F4059" s="285"/>
      <c r="G4059" s="285"/>
    </row>
    <row r="4060" spans="2:21" x14ac:dyDescent="0.25">
      <c r="B4060" s="292">
        <v>38</v>
      </c>
      <c r="C4060" s="292"/>
      <c r="D4060" s="292"/>
      <c r="F4060" s="283" t="s">
        <v>130</v>
      </c>
      <c r="G4060" s="283"/>
      <c r="J4060" s="293">
        <v>1</v>
      </c>
      <c r="K4060" s="293"/>
      <c r="L4060" s="293"/>
      <c r="M4060" s="293"/>
      <c r="N4060" s="293"/>
      <c r="P4060" s="42">
        <v>8000</v>
      </c>
      <c r="R4060" s="42">
        <v>4100</v>
      </c>
      <c r="T4060" s="284">
        <v>3900</v>
      </c>
      <c r="U4060" s="284"/>
    </row>
    <row r="4061" spans="2:21" x14ac:dyDescent="0.25">
      <c r="B4061" s="292">
        <v>39</v>
      </c>
      <c r="C4061" s="292"/>
      <c r="D4061" s="292"/>
      <c r="F4061" s="283" t="s">
        <v>185</v>
      </c>
      <c r="G4061" s="283"/>
      <c r="J4061" s="293">
        <v>1</v>
      </c>
      <c r="K4061" s="293"/>
      <c r="L4061" s="293"/>
      <c r="M4061" s="293"/>
      <c r="N4061" s="293"/>
      <c r="P4061" s="42">
        <v>800</v>
      </c>
      <c r="R4061" s="42">
        <v>450</v>
      </c>
      <c r="T4061" s="284">
        <v>350</v>
      </c>
      <c r="U4061" s="284"/>
    </row>
    <row r="4062" spans="2:21" x14ac:dyDescent="0.25">
      <c r="B4062" s="292">
        <v>40</v>
      </c>
      <c r="C4062" s="292"/>
      <c r="D4062" s="292"/>
      <c r="F4062" s="283" t="s">
        <v>129</v>
      </c>
      <c r="G4062" s="283"/>
      <c r="J4062" s="293">
        <v>1</v>
      </c>
      <c r="K4062" s="293"/>
      <c r="L4062" s="293"/>
      <c r="M4062" s="293"/>
      <c r="N4062" s="293"/>
      <c r="P4062" s="42">
        <v>30</v>
      </c>
      <c r="R4062" s="42">
        <v>30</v>
      </c>
      <c r="T4062" s="284">
        <v>0</v>
      </c>
      <c r="U4062" s="284"/>
    </row>
    <row r="4063" spans="2:21" x14ac:dyDescent="0.25">
      <c r="B4063" s="292">
        <v>41</v>
      </c>
      <c r="C4063" s="292"/>
      <c r="D4063" s="292"/>
      <c r="F4063" s="283" t="s">
        <v>128</v>
      </c>
      <c r="G4063" s="283"/>
      <c r="J4063" s="293">
        <v>3</v>
      </c>
      <c r="K4063" s="293"/>
      <c r="L4063" s="293"/>
      <c r="M4063" s="293"/>
      <c r="N4063" s="293"/>
      <c r="P4063" s="42">
        <v>3450</v>
      </c>
      <c r="R4063" s="42">
        <v>510</v>
      </c>
      <c r="T4063" s="284">
        <v>2940</v>
      </c>
      <c r="U4063" s="284"/>
    </row>
    <row r="4064" spans="2:21" x14ac:dyDescent="0.25">
      <c r="B4064" s="292">
        <v>42</v>
      </c>
      <c r="C4064" s="292"/>
      <c r="D4064" s="292"/>
      <c r="F4064" s="283" t="s">
        <v>127</v>
      </c>
      <c r="G4064" s="283"/>
      <c r="J4064" s="293">
        <v>17</v>
      </c>
      <c r="K4064" s="293"/>
      <c r="L4064" s="293"/>
      <c r="M4064" s="293"/>
      <c r="N4064" s="293"/>
      <c r="P4064" s="42">
        <v>5100</v>
      </c>
      <c r="R4064" s="42">
        <v>1273</v>
      </c>
      <c r="T4064" s="284">
        <v>3827</v>
      </c>
      <c r="U4064" s="284"/>
    </row>
    <row r="4065" spans="2:21" x14ac:dyDescent="0.25">
      <c r="B4065" s="292">
        <v>43</v>
      </c>
      <c r="C4065" s="292"/>
      <c r="D4065" s="292"/>
      <c r="F4065" s="283" t="s">
        <v>126</v>
      </c>
      <c r="G4065" s="283"/>
      <c r="J4065" s="293">
        <v>16</v>
      </c>
      <c r="K4065" s="293"/>
      <c r="L4065" s="293"/>
      <c r="M4065" s="293"/>
      <c r="N4065" s="293"/>
      <c r="P4065" s="42">
        <v>3200</v>
      </c>
      <c r="R4065" s="42">
        <v>789</v>
      </c>
      <c r="T4065" s="284">
        <v>2411</v>
      </c>
      <c r="U4065" s="284"/>
    </row>
    <row r="4066" spans="2:21" x14ac:dyDescent="0.25">
      <c r="B4066" s="292">
        <v>44</v>
      </c>
      <c r="C4066" s="292"/>
      <c r="D4066" s="292"/>
      <c r="F4066" s="283" t="s">
        <v>124</v>
      </c>
      <c r="G4066" s="283"/>
      <c r="J4066" s="293">
        <v>5</v>
      </c>
      <c r="K4066" s="293"/>
      <c r="L4066" s="293"/>
      <c r="M4066" s="293"/>
      <c r="N4066" s="293"/>
      <c r="P4066" s="42">
        <v>2000</v>
      </c>
      <c r="R4066" s="42">
        <v>480</v>
      </c>
      <c r="T4066" s="284">
        <v>1520</v>
      </c>
      <c r="U4066" s="284"/>
    </row>
    <row r="4067" spans="2:21" x14ac:dyDescent="0.25">
      <c r="B4067" s="292">
        <v>45</v>
      </c>
      <c r="C4067" s="292"/>
      <c r="D4067" s="292"/>
      <c r="F4067" s="283" t="s">
        <v>123</v>
      </c>
      <c r="G4067" s="283"/>
      <c r="J4067" s="293">
        <v>3</v>
      </c>
      <c r="K4067" s="293"/>
      <c r="L4067" s="293"/>
      <c r="M4067" s="293"/>
      <c r="N4067" s="293"/>
      <c r="P4067" s="42">
        <v>2340</v>
      </c>
      <c r="R4067" s="42">
        <v>273</v>
      </c>
      <c r="T4067" s="284">
        <v>2067</v>
      </c>
      <c r="U4067" s="284"/>
    </row>
    <row r="4068" spans="2:21" x14ac:dyDescent="0.25">
      <c r="B4068" s="292">
        <v>46</v>
      </c>
      <c r="C4068" s="292"/>
      <c r="D4068" s="292"/>
      <c r="F4068" s="283" t="s">
        <v>183</v>
      </c>
      <c r="G4068" s="283"/>
      <c r="J4068" s="293">
        <v>2</v>
      </c>
      <c r="K4068" s="293"/>
      <c r="L4068" s="293"/>
      <c r="M4068" s="293"/>
      <c r="N4068" s="293"/>
      <c r="P4068" s="42">
        <v>880</v>
      </c>
      <c r="R4068" s="42">
        <v>260</v>
      </c>
      <c r="T4068" s="284">
        <v>620</v>
      </c>
      <c r="U4068" s="284"/>
    </row>
    <row r="4069" spans="2:21" x14ac:dyDescent="0.25">
      <c r="B4069" s="292">
        <v>47</v>
      </c>
      <c r="C4069" s="292"/>
      <c r="D4069" s="292"/>
      <c r="F4069" s="283" t="s">
        <v>122</v>
      </c>
      <c r="G4069" s="283"/>
      <c r="J4069" s="293">
        <v>2</v>
      </c>
      <c r="K4069" s="293"/>
      <c r="L4069" s="293"/>
      <c r="M4069" s="293"/>
      <c r="N4069" s="293"/>
      <c r="P4069" s="42">
        <v>1000</v>
      </c>
      <c r="R4069" s="42">
        <v>100</v>
      </c>
      <c r="T4069" s="284">
        <v>900</v>
      </c>
      <c r="U4069" s="284"/>
    </row>
    <row r="4070" spans="2:21" x14ac:dyDescent="0.25">
      <c r="B4070" s="292">
        <v>48</v>
      </c>
      <c r="C4070" s="292"/>
      <c r="D4070" s="292"/>
      <c r="F4070" s="283" t="s">
        <v>226</v>
      </c>
      <c r="G4070" s="283"/>
      <c r="J4070" s="293">
        <v>2</v>
      </c>
      <c r="K4070" s="293"/>
      <c r="L4070" s="293"/>
      <c r="M4070" s="293"/>
      <c r="N4070" s="293"/>
      <c r="P4070" s="42">
        <v>1000</v>
      </c>
      <c r="R4070" s="42">
        <v>150</v>
      </c>
      <c r="T4070" s="284">
        <v>850</v>
      </c>
      <c r="U4070" s="284"/>
    </row>
    <row r="4071" spans="2:21" x14ac:dyDescent="0.25">
      <c r="B4071" s="292">
        <v>49</v>
      </c>
      <c r="C4071" s="292"/>
      <c r="D4071" s="292"/>
      <c r="F4071" s="283" t="s">
        <v>119</v>
      </c>
      <c r="G4071" s="283"/>
      <c r="J4071" s="293">
        <v>7</v>
      </c>
      <c r="K4071" s="293"/>
      <c r="L4071" s="293"/>
      <c r="M4071" s="293"/>
      <c r="N4071" s="293"/>
      <c r="P4071" s="42">
        <v>6230</v>
      </c>
      <c r="R4071" s="42">
        <v>1677</v>
      </c>
      <c r="T4071" s="284">
        <v>4553</v>
      </c>
      <c r="U4071" s="284"/>
    </row>
    <row r="4072" spans="2:21" x14ac:dyDescent="0.25">
      <c r="B4072" s="292">
        <v>50</v>
      </c>
      <c r="C4072" s="292"/>
      <c r="D4072" s="292"/>
      <c r="F4072" s="283" t="s">
        <v>118</v>
      </c>
      <c r="G4072" s="283"/>
      <c r="J4072" s="293">
        <v>68</v>
      </c>
      <c r="K4072" s="293"/>
      <c r="L4072" s="293"/>
      <c r="M4072" s="293"/>
      <c r="N4072" s="293"/>
      <c r="P4072" s="42">
        <v>67320</v>
      </c>
      <c r="R4072" s="42">
        <v>20020</v>
      </c>
      <c r="T4072" s="284">
        <v>47300</v>
      </c>
      <c r="U4072" s="284"/>
    </row>
    <row r="4073" spans="2:21" x14ac:dyDescent="0.25">
      <c r="B4073" s="292">
        <v>51</v>
      </c>
      <c r="C4073" s="292"/>
      <c r="D4073" s="292"/>
      <c r="F4073" s="283" t="s">
        <v>117</v>
      </c>
      <c r="G4073" s="283"/>
      <c r="J4073" s="293">
        <v>3</v>
      </c>
      <c r="K4073" s="293"/>
      <c r="L4073" s="293"/>
      <c r="M4073" s="293"/>
      <c r="N4073" s="293"/>
      <c r="P4073" s="42">
        <v>2400</v>
      </c>
      <c r="R4073" s="42">
        <v>304</v>
      </c>
      <c r="T4073" s="284">
        <v>2096</v>
      </c>
      <c r="U4073" s="284"/>
    </row>
    <row r="4074" spans="2:21" x14ac:dyDescent="0.25">
      <c r="B4074" s="292">
        <v>52</v>
      </c>
      <c r="C4074" s="292"/>
      <c r="D4074" s="292"/>
      <c r="F4074" s="285" t="s">
        <v>116</v>
      </c>
      <c r="G4074" s="285"/>
      <c r="J4074" s="293">
        <v>1</v>
      </c>
      <c r="K4074" s="293"/>
      <c r="L4074" s="293"/>
      <c r="M4074" s="293"/>
      <c r="N4074" s="293"/>
      <c r="P4074" s="42">
        <v>800</v>
      </c>
      <c r="R4074" s="42">
        <v>0</v>
      </c>
      <c r="T4074" s="284">
        <v>800</v>
      </c>
      <c r="U4074" s="284"/>
    </row>
    <row r="4075" spans="2:21" x14ac:dyDescent="0.25">
      <c r="F4075" s="285"/>
      <c r="G4075" s="285"/>
    </row>
    <row r="4076" spans="2:21" x14ac:dyDescent="0.25">
      <c r="B4076" s="292">
        <v>53</v>
      </c>
      <c r="C4076" s="292"/>
      <c r="D4076" s="292"/>
      <c r="F4076" s="283" t="s">
        <v>115</v>
      </c>
      <c r="G4076" s="283"/>
      <c r="J4076" s="293">
        <v>6</v>
      </c>
      <c r="K4076" s="293"/>
      <c r="L4076" s="293"/>
      <c r="M4076" s="293"/>
      <c r="N4076" s="293"/>
      <c r="P4076" s="42">
        <v>1740</v>
      </c>
      <c r="R4076" s="42">
        <v>351</v>
      </c>
      <c r="T4076" s="284">
        <v>1389</v>
      </c>
      <c r="U4076" s="284"/>
    </row>
    <row r="4077" spans="2:21" x14ac:dyDescent="0.25">
      <c r="B4077" s="292">
        <v>54</v>
      </c>
      <c r="C4077" s="292"/>
      <c r="D4077" s="292"/>
      <c r="F4077" s="283" t="s">
        <v>300</v>
      </c>
      <c r="G4077" s="283"/>
      <c r="J4077" s="293">
        <v>4</v>
      </c>
      <c r="K4077" s="293"/>
      <c r="L4077" s="293"/>
      <c r="M4077" s="293"/>
      <c r="N4077" s="293"/>
      <c r="P4077" s="42">
        <v>1320</v>
      </c>
      <c r="R4077" s="42">
        <v>246</v>
      </c>
      <c r="T4077" s="284">
        <v>1074</v>
      </c>
      <c r="U4077" s="284"/>
    </row>
    <row r="4078" spans="2:21" x14ac:dyDescent="0.25">
      <c r="B4078" s="292">
        <v>55</v>
      </c>
      <c r="C4078" s="292"/>
      <c r="D4078" s="292"/>
      <c r="F4078" s="283" t="s">
        <v>327</v>
      </c>
      <c r="G4078" s="283"/>
      <c r="J4078" s="293">
        <v>1</v>
      </c>
      <c r="K4078" s="293"/>
      <c r="L4078" s="293"/>
      <c r="M4078" s="293"/>
      <c r="N4078" s="293"/>
      <c r="P4078" s="42">
        <v>880</v>
      </c>
      <c r="R4078" s="42">
        <v>0</v>
      </c>
      <c r="T4078" s="284">
        <v>880</v>
      </c>
      <c r="U4078" s="284"/>
    </row>
    <row r="4079" spans="2:21" x14ac:dyDescent="0.25">
      <c r="B4079" s="292">
        <v>56</v>
      </c>
      <c r="C4079" s="292"/>
      <c r="D4079" s="292"/>
      <c r="F4079" s="283" t="s">
        <v>220</v>
      </c>
      <c r="G4079" s="283"/>
      <c r="J4079" s="293">
        <v>1</v>
      </c>
      <c r="K4079" s="293"/>
      <c r="L4079" s="293"/>
      <c r="M4079" s="293"/>
      <c r="N4079" s="293"/>
      <c r="P4079" s="42">
        <v>350</v>
      </c>
      <c r="R4079" s="42">
        <v>0</v>
      </c>
      <c r="T4079" s="284">
        <v>350</v>
      </c>
      <c r="U4079" s="284"/>
    </row>
    <row r="4080" spans="2:21" x14ac:dyDescent="0.25">
      <c r="B4080" s="292">
        <v>57</v>
      </c>
      <c r="C4080" s="292"/>
      <c r="D4080" s="292"/>
      <c r="F4080" s="283" t="s">
        <v>219</v>
      </c>
      <c r="G4080" s="283"/>
      <c r="J4080" s="293">
        <v>1</v>
      </c>
      <c r="K4080" s="293"/>
      <c r="L4080" s="293"/>
      <c r="M4080" s="293"/>
      <c r="N4080" s="293"/>
      <c r="P4080" s="42">
        <v>500</v>
      </c>
      <c r="R4080" s="42">
        <v>0</v>
      </c>
      <c r="T4080" s="284">
        <v>500</v>
      </c>
      <c r="U4080" s="284"/>
    </row>
    <row r="4081" spans="2:21" x14ac:dyDescent="0.25">
      <c r="B4081" s="292">
        <v>58</v>
      </c>
      <c r="C4081" s="292"/>
      <c r="D4081" s="292"/>
      <c r="F4081" s="283" t="s">
        <v>111</v>
      </c>
      <c r="G4081" s="283"/>
      <c r="J4081" s="293">
        <v>2</v>
      </c>
      <c r="K4081" s="293"/>
      <c r="L4081" s="293"/>
      <c r="M4081" s="293"/>
      <c r="N4081" s="293"/>
      <c r="P4081" s="42">
        <v>860</v>
      </c>
      <c r="R4081" s="42">
        <v>246</v>
      </c>
      <c r="T4081" s="284">
        <v>614</v>
      </c>
      <c r="U4081" s="284"/>
    </row>
    <row r="4082" spans="2:21" x14ac:dyDescent="0.25">
      <c r="B4082" s="292">
        <v>59</v>
      </c>
      <c r="C4082" s="292"/>
      <c r="D4082" s="292"/>
      <c r="F4082" s="283" t="s">
        <v>109</v>
      </c>
      <c r="G4082" s="283"/>
      <c r="J4082" s="293">
        <v>9</v>
      </c>
      <c r="K4082" s="293"/>
      <c r="L4082" s="293"/>
      <c r="M4082" s="293"/>
      <c r="N4082" s="293"/>
      <c r="P4082" s="42">
        <v>7020</v>
      </c>
      <c r="R4082" s="42">
        <v>1719</v>
      </c>
      <c r="T4082" s="284">
        <v>5301</v>
      </c>
      <c r="U4082" s="284"/>
    </row>
    <row r="4083" spans="2:21" x14ac:dyDescent="0.25">
      <c r="B4083" s="292">
        <v>60</v>
      </c>
      <c r="C4083" s="292"/>
      <c r="D4083" s="292"/>
      <c r="F4083" s="283" t="s">
        <v>107</v>
      </c>
      <c r="G4083" s="283"/>
      <c r="J4083" s="293">
        <v>39</v>
      </c>
      <c r="K4083" s="293"/>
      <c r="L4083" s="293"/>
      <c r="M4083" s="293"/>
      <c r="N4083" s="293"/>
      <c r="P4083" s="42">
        <v>6630</v>
      </c>
      <c r="R4083" s="42">
        <v>1224</v>
      </c>
      <c r="T4083" s="284">
        <v>5406</v>
      </c>
      <c r="U4083" s="284"/>
    </row>
    <row r="4084" spans="2:21" x14ac:dyDescent="0.25">
      <c r="B4084" s="292">
        <v>61</v>
      </c>
      <c r="C4084" s="292"/>
      <c r="D4084" s="292"/>
      <c r="F4084" s="283" t="s">
        <v>180</v>
      </c>
      <c r="G4084" s="283"/>
      <c r="J4084" s="293">
        <v>1</v>
      </c>
      <c r="K4084" s="293"/>
      <c r="L4084" s="293"/>
      <c r="M4084" s="293"/>
      <c r="N4084" s="293"/>
      <c r="P4084" s="42">
        <v>590</v>
      </c>
      <c r="R4084" s="42">
        <v>180</v>
      </c>
      <c r="T4084" s="284">
        <v>410</v>
      </c>
      <c r="U4084" s="284"/>
    </row>
    <row r="4085" spans="2:21" x14ac:dyDescent="0.25">
      <c r="B4085" s="292">
        <v>62</v>
      </c>
      <c r="C4085" s="292"/>
      <c r="D4085" s="292"/>
      <c r="F4085" s="283" t="s">
        <v>104</v>
      </c>
      <c r="G4085" s="283"/>
      <c r="J4085" s="293">
        <v>1</v>
      </c>
      <c r="K4085" s="293"/>
      <c r="L4085" s="293"/>
      <c r="M4085" s="293"/>
      <c r="N4085" s="293"/>
      <c r="P4085" s="42">
        <v>330</v>
      </c>
      <c r="R4085" s="42">
        <v>132</v>
      </c>
      <c r="T4085" s="284">
        <v>198</v>
      </c>
      <c r="U4085" s="284"/>
    </row>
    <row r="4086" spans="2:21" x14ac:dyDescent="0.25">
      <c r="B4086" s="292">
        <v>63</v>
      </c>
      <c r="C4086" s="292"/>
      <c r="D4086" s="292"/>
      <c r="F4086" s="283" t="s">
        <v>103</v>
      </c>
      <c r="G4086" s="283"/>
      <c r="J4086" s="293">
        <v>23</v>
      </c>
      <c r="K4086" s="293"/>
      <c r="L4086" s="293"/>
      <c r="M4086" s="293"/>
      <c r="N4086" s="293"/>
      <c r="P4086" s="42">
        <v>7590</v>
      </c>
      <c r="R4086" s="42">
        <v>1731</v>
      </c>
      <c r="T4086" s="284">
        <v>5859</v>
      </c>
      <c r="U4086" s="284"/>
    </row>
    <row r="4087" spans="2:21" x14ac:dyDescent="0.25">
      <c r="B4087" s="292">
        <v>64</v>
      </c>
      <c r="C4087" s="292"/>
      <c r="D4087" s="292"/>
      <c r="F4087" s="283" t="s">
        <v>212</v>
      </c>
      <c r="G4087" s="283"/>
      <c r="J4087" s="293">
        <v>1</v>
      </c>
      <c r="K4087" s="293"/>
      <c r="L4087" s="293"/>
      <c r="M4087" s="293"/>
      <c r="N4087" s="293"/>
      <c r="P4087" s="42">
        <v>500</v>
      </c>
      <c r="R4087" s="42">
        <v>100</v>
      </c>
      <c r="T4087" s="284">
        <v>400</v>
      </c>
      <c r="U4087" s="284"/>
    </row>
    <row r="4088" spans="2:21" x14ac:dyDescent="0.25">
      <c r="B4088" s="292">
        <v>65</v>
      </c>
      <c r="C4088" s="292"/>
      <c r="D4088" s="292"/>
      <c r="F4088" s="283" t="s">
        <v>211</v>
      </c>
      <c r="G4088" s="283"/>
      <c r="J4088" s="293">
        <v>2</v>
      </c>
      <c r="K4088" s="293"/>
      <c r="L4088" s="293"/>
      <c r="M4088" s="293"/>
      <c r="N4088" s="293"/>
      <c r="P4088" s="42">
        <v>1000</v>
      </c>
      <c r="R4088" s="42">
        <v>150</v>
      </c>
      <c r="T4088" s="284">
        <v>850</v>
      </c>
      <c r="U4088" s="284"/>
    </row>
    <row r="4089" spans="2:21" x14ac:dyDescent="0.25">
      <c r="B4089" s="292">
        <v>66</v>
      </c>
      <c r="C4089" s="292"/>
      <c r="D4089" s="292"/>
      <c r="F4089" s="283" t="s">
        <v>275</v>
      </c>
      <c r="G4089" s="283"/>
      <c r="J4089" s="293">
        <v>1</v>
      </c>
      <c r="K4089" s="293"/>
      <c r="L4089" s="293"/>
      <c r="M4089" s="293"/>
      <c r="N4089" s="293"/>
      <c r="P4089" s="42">
        <v>700</v>
      </c>
      <c r="R4089" s="42">
        <v>350</v>
      </c>
      <c r="T4089" s="284">
        <v>350</v>
      </c>
      <c r="U4089" s="284"/>
    </row>
    <row r="4090" spans="2:21" x14ac:dyDescent="0.25">
      <c r="B4090" s="292">
        <v>67</v>
      </c>
      <c r="C4090" s="292"/>
      <c r="D4090" s="292"/>
      <c r="F4090" s="283" t="s">
        <v>210</v>
      </c>
      <c r="G4090" s="283"/>
      <c r="J4090" s="293">
        <v>1</v>
      </c>
      <c r="K4090" s="293"/>
      <c r="L4090" s="293"/>
      <c r="M4090" s="293"/>
      <c r="N4090" s="293"/>
      <c r="P4090" s="42">
        <v>390</v>
      </c>
      <c r="R4090" s="42">
        <v>120</v>
      </c>
      <c r="T4090" s="284">
        <v>270</v>
      </c>
      <c r="U4090" s="284"/>
    </row>
    <row r="4091" spans="2:21" x14ac:dyDescent="0.25">
      <c r="B4091" s="292">
        <v>68</v>
      </c>
      <c r="C4091" s="292"/>
      <c r="D4091" s="292"/>
      <c r="F4091" s="283" t="s">
        <v>326</v>
      </c>
      <c r="G4091" s="283"/>
      <c r="J4091" s="293">
        <v>1</v>
      </c>
      <c r="K4091" s="293"/>
      <c r="L4091" s="293"/>
      <c r="M4091" s="293"/>
      <c r="N4091" s="293"/>
      <c r="P4091" s="42">
        <v>330</v>
      </c>
      <c r="R4091" s="42">
        <v>33</v>
      </c>
      <c r="T4091" s="284">
        <v>297</v>
      </c>
      <c r="U4091" s="284"/>
    </row>
    <row r="4092" spans="2:21" x14ac:dyDescent="0.25">
      <c r="B4092" s="292">
        <v>69</v>
      </c>
      <c r="C4092" s="292"/>
      <c r="D4092" s="292"/>
      <c r="F4092" s="283" t="s">
        <v>102</v>
      </c>
      <c r="G4092" s="283"/>
      <c r="J4092" s="293">
        <v>3</v>
      </c>
      <c r="K4092" s="293"/>
      <c r="L4092" s="293"/>
      <c r="M4092" s="293"/>
      <c r="N4092" s="293"/>
      <c r="P4092" s="42">
        <v>2640</v>
      </c>
      <c r="R4092" s="42">
        <v>260</v>
      </c>
      <c r="T4092" s="284">
        <v>2380</v>
      </c>
      <c r="U4092" s="284"/>
    </row>
    <row r="4093" spans="2:21" x14ac:dyDescent="0.25">
      <c r="B4093" s="292">
        <v>70</v>
      </c>
      <c r="C4093" s="292"/>
      <c r="D4093" s="292"/>
      <c r="F4093" s="283" t="s">
        <v>99</v>
      </c>
      <c r="G4093" s="283"/>
      <c r="J4093" s="293">
        <v>3</v>
      </c>
      <c r="K4093" s="293"/>
      <c r="L4093" s="293"/>
      <c r="M4093" s="293"/>
      <c r="N4093" s="293"/>
      <c r="P4093" s="42">
        <v>1770</v>
      </c>
      <c r="R4093" s="42">
        <v>149</v>
      </c>
      <c r="T4093" s="284">
        <v>1621</v>
      </c>
      <c r="U4093" s="284"/>
    </row>
    <row r="4094" spans="2:21" x14ac:dyDescent="0.25">
      <c r="B4094" s="292">
        <v>71</v>
      </c>
      <c r="C4094" s="292"/>
      <c r="D4094" s="292"/>
      <c r="F4094" s="283" t="s">
        <v>98</v>
      </c>
      <c r="G4094" s="283"/>
      <c r="J4094" s="293">
        <v>3</v>
      </c>
      <c r="K4094" s="293"/>
      <c r="L4094" s="293"/>
      <c r="M4094" s="293"/>
      <c r="N4094" s="293"/>
      <c r="P4094" s="42">
        <v>1710</v>
      </c>
      <c r="R4094" s="42">
        <v>160</v>
      </c>
      <c r="T4094" s="284">
        <v>1550</v>
      </c>
      <c r="U4094" s="284"/>
    </row>
    <row r="4095" spans="2:21" x14ac:dyDescent="0.25">
      <c r="B4095" s="292">
        <v>72</v>
      </c>
      <c r="C4095" s="292"/>
      <c r="D4095" s="292"/>
      <c r="F4095" s="283" t="s">
        <v>325</v>
      </c>
      <c r="G4095" s="283"/>
      <c r="J4095" s="293">
        <v>1</v>
      </c>
      <c r="K4095" s="293"/>
      <c r="L4095" s="293"/>
      <c r="M4095" s="293"/>
      <c r="N4095" s="293"/>
      <c r="P4095" s="42">
        <v>700</v>
      </c>
      <c r="R4095" s="42">
        <v>203</v>
      </c>
      <c r="T4095" s="284">
        <v>497</v>
      </c>
      <c r="U4095" s="284"/>
    </row>
    <row r="4096" spans="2:21" x14ac:dyDescent="0.25">
      <c r="B4096" s="292">
        <v>73</v>
      </c>
      <c r="C4096" s="292"/>
      <c r="D4096" s="292"/>
      <c r="F4096" s="283" t="s">
        <v>324</v>
      </c>
      <c r="G4096" s="283"/>
      <c r="J4096" s="293">
        <v>1</v>
      </c>
      <c r="K4096" s="293"/>
      <c r="L4096" s="293"/>
      <c r="M4096" s="293"/>
      <c r="N4096" s="293"/>
      <c r="P4096" s="42">
        <v>350</v>
      </c>
      <c r="R4096" s="42">
        <v>105</v>
      </c>
      <c r="T4096" s="284">
        <v>245</v>
      </c>
      <c r="U4096" s="284"/>
    </row>
    <row r="4097" spans="1:21" x14ac:dyDescent="0.25">
      <c r="B4097" s="292">
        <v>74</v>
      </c>
      <c r="C4097" s="292"/>
      <c r="D4097" s="292"/>
      <c r="F4097" s="283" t="s">
        <v>93</v>
      </c>
      <c r="G4097" s="283"/>
      <c r="J4097" s="293">
        <v>5</v>
      </c>
      <c r="K4097" s="293"/>
      <c r="L4097" s="293"/>
      <c r="M4097" s="293"/>
      <c r="N4097" s="293"/>
      <c r="P4097" s="42">
        <v>2950</v>
      </c>
      <c r="R4097" s="42">
        <v>329</v>
      </c>
      <c r="T4097" s="284">
        <v>2621</v>
      </c>
      <c r="U4097" s="284"/>
    </row>
    <row r="4098" spans="1:21" x14ac:dyDescent="0.25">
      <c r="B4098" s="292">
        <v>75</v>
      </c>
      <c r="C4098" s="292"/>
      <c r="D4098" s="292"/>
      <c r="F4098" s="283" t="s">
        <v>92</v>
      </c>
      <c r="G4098" s="283"/>
      <c r="J4098" s="293">
        <v>6</v>
      </c>
      <c r="K4098" s="293"/>
      <c r="L4098" s="293"/>
      <c r="M4098" s="293"/>
      <c r="N4098" s="293"/>
      <c r="P4098" s="42">
        <v>3080</v>
      </c>
      <c r="R4098" s="42">
        <v>620</v>
      </c>
      <c r="T4098" s="284">
        <v>2460</v>
      </c>
      <c r="U4098" s="284"/>
    </row>
    <row r="4099" spans="1:21" x14ac:dyDescent="0.25">
      <c r="B4099" s="292">
        <v>76</v>
      </c>
      <c r="C4099" s="292"/>
      <c r="D4099" s="292"/>
      <c r="F4099" s="283" t="s">
        <v>91</v>
      </c>
      <c r="G4099" s="283"/>
      <c r="J4099" s="293">
        <v>8</v>
      </c>
      <c r="K4099" s="293"/>
      <c r="L4099" s="293"/>
      <c r="M4099" s="293"/>
      <c r="N4099" s="293"/>
      <c r="P4099" s="42">
        <v>2000</v>
      </c>
      <c r="R4099" s="42">
        <v>654</v>
      </c>
      <c r="T4099" s="284">
        <v>1346</v>
      </c>
      <c r="U4099" s="284"/>
    </row>
    <row r="4100" spans="1:21" x14ac:dyDescent="0.25">
      <c r="B4100" s="292">
        <v>77</v>
      </c>
      <c r="C4100" s="292"/>
      <c r="D4100" s="292"/>
      <c r="F4100" s="283" t="s">
        <v>90</v>
      </c>
      <c r="G4100" s="283"/>
      <c r="J4100" s="293">
        <v>34</v>
      </c>
      <c r="K4100" s="293"/>
      <c r="L4100" s="293"/>
      <c r="M4100" s="293"/>
      <c r="N4100" s="293"/>
      <c r="P4100" s="42">
        <v>9860</v>
      </c>
      <c r="R4100" s="42">
        <v>2119</v>
      </c>
      <c r="T4100" s="284">
        <v>7741</v>
      </c>
      <c r="U4100" s="284"/>
    </row>
    <row r="4101" spans="1:21" x14ac:dyDescent="0.25">
      <c r="B4101" s="292">
        <v>78</v>
      </c>
      <c r="C4101" s="292"/>
      <c r="D4101" s="292"/>
      <c r="F4101" s="283" t="s">
        <v>89</v>
      </c>
      <c r="G4101" s="283"/>
      <c r="J4101" s="293">
        <v>2</v>
      </c>
      <c r="K4101" s="293"/>
      <c r="L4101" s="293"/>
      <c r="M4101" s="293"/>
      <c r="N4101" s="293"/>
      <c r="P4101" s="42">
        <v>1760</v>
      </c>
      <c r="R4101" s="42">
        <v>130</v>
      </c>
      <c r="T4101" s="284">
        <v>1630</v>
      </c>
      <c r="U4101" s="284"/>
    </row>
    <row r="4102" spans="1:21" x14ac:dyDescent="0.25">
      <c r="B4102" s="292">
        <v>79</v>
      </c>
      <c r="C4102" s="292"/>
      <c r="D4102" s="292"/>
      <c r="F4102" s="283" t="s">
        <v>88</v>
      </c>
      <c r="G4102" s="283"/>
      <c r="J4102" s="293">
        <v>45</v>
      </c>
      <c r="K4102" s="293"/>
      <c r="L4102" s="293"/>
      <c r="M4102" s="293"/>
      <c r="N4102" s="293"/>
      <c r="P4102" s="42">
        <v>8100</v>
      </c>
      <c r="R4102" s="42">
        <v>2034</v>
      </c>
      <c r="T4102" s="284">
        <v>6066</v>
      </c>
      <c r="U4102" s="284"/>
    </row>
    <row r="4103" spans="1:21" x14ac:dyDescent="0.25">
      <c r="B4103" s="292">
        <v>80</v>
      </c>
      <c r="C4103" s="292"/>
      <c r="D4103" s="292"/>
      <c r="F4103" s="283" t="s">
        <v>85</v>
      </c>
      <c r="G4103" s="283"/>
      <c r="J4103" s="293">
        <v>1</v>
      </c>
      <c r="K4103" s="293"/>
      <c r="L4103" s="293"/>
      <c r="M4103" s="293"/>
      <c r="N4103" s="293"/>
      <c r="P4103" s="42">
        <v>2080</v>
      </c>
      <c r="R4103" s="42">
        <v>104</v>
      </c>
      <c r="T4103" s="284">
        <v>1976</v>
      </c>
      <c r="U4103" s="284"/>
    </row>
    <row r="4104" spans="1:21" x14ac:dyDescent="0.25">
      <c r="B4104" s="292">
        <v>81</v>
      </c>
      <c r="C4104" s="292"/>
      <c r="D4104" s="292"/>
      <c r="F4104" s="283" t="s">
        <v>84</v>
      </c>
      <c r="G4104" s="283"/>
      <c r="J4104" s="293">
        <v>22</v>
      </c>
      <c r="K4104" s="293"/>
      <c r="L4104" s="293"/>
      <c r="M4104" s="293"/>
      <c r="N4104" s="293"/>
      <c r="P4104" s="42">
        <v>12980</v>
      </c>
      <c r="R4104" s="42">
        <v>3471</v>
      </c>
      <c r="T4104" s="284">
        <v>9509</v>
      </c>
      <c r="U4104" s="284"/>
    </row>
    <row r="4105" spans="1:21" x14ac:dyDescent="0.25">
      <c r="B4105" s="292">
        <v>82</v>
      </c>
      <c r="C4105" s="292"/>
      <c r="D4105" s="292"/>
      <c r="F4105" s="283" t="s">
        <v>206</v>
      </c>
      <c r="G4105" s="283"/>
      <c r="J4105" s="293">
        <v>1</v>
      </c>
      <c r="K4105" s="293"/>
      <c r="L4105" s="293"/>
      <c r="M4105" s="293"/>
      <c r="N4105" s="293"/>
      <c r="P4105" s="42">
        <v>500</v>
      </c>
      <c r="R4105" s="42">
        <v>150</v>
      </c>
      <c r="T4105" s="284">
        <v>350</v>
      </c>
      <c r="U4105" s="284"/>
    </row>
    <row r="4106" spans="1:21" x14ac:dyDescent="0.25">
      <c r="B4106" s="292">
        <v>83</v>
      </c>
      <c r="C4106" s="292"/>
      <c r="D4106" s="292"/>
      <c r="F4106" s="283" t="s">
        <v>205</v>
      </c>
      <c r="G4106" s="283"/>
      <c r="J4106" s="293">
        <v>1</v>
      </c>
      <c r="K4106" s="293"/>
      <c r="L4106" s="293"/>
      <c r="M4106" s="293"/>
      <c r="N4106" s="293"/>
      <c r="P4106" s="42">
        <v>500</v>
      </c>
      <c r="R4106" s="42">
        <v>100</v>
      </c>
      <c r="T4106" s="284">
        <v>400</v>
      </c>
      <c r="U4106" s="284"/>
    </row>
    <row r="4107" spans="1:21" x14ac:dyDescent="0.25">
      <c r="B4107" s="292">
        <v>84</v>
      </c>
      <c r="C4107" s="292"/>
      <c r="D4107" s="292"/>
      <c r="F4107" s="283" t="s">
        <v>204</v>
      </c>
      <c r="G4107" s="283"/>
      <c r="J4107" s="293">
        <v>1</v>
      </c>
      <c r="K4107" s="293"/>
      <c r="L4107" s="293"/>
      <c r="M4107" s="293"/>
      <c r="N4107" s="293"/>
      <c r="P4107" s="42">
        <v>500</v>
      </c>
      <c r="R4107" s="42">
        <v>150</v>
      </c>
      <c r="T4107" s="284">
        <v>350</v>
      </c>
      <c r="U4107" s="284"/>
    </row>
    <row r="4108" spans="1:21" x14ac:dyDescent="0.25">
      <c r="B4108" s="292">
        <v>85</v>
      </c>
      <c r="C4108" s="292"/>
      <c r="D4108" s="292"/>
      <c r="F4108" s="283" t="s">
        <v>82</v>
      </c>
      <c r="G4108" s="283"/>
      <c r="J4108" s="293">
        <v>7</v>
      </c>
      <c r="K4108" s="293"/>
      <c r="L4108" s="293"/>
      <c r="M4108" s="293"/>
      <c r="N4108" s="293"/>
      <c r="P4108" s="42">
        <v>2030</v>
      </c>
      <c r="R4108" s="42">
        <v>2030</v>
      </c>
      <c r="T4108" s="284">
        <v>0</v>
      </c>
      <c r="U4108" s="284"/>
    </row>
    <row r="4109" spans="1:21" s="40" customFormat="1" x14ac:dyDescent="0.25">
      <c r="A4109" s="290" t="s">
        <v>323</v>
      </c>
      <c r="B4109" s="290"/>
      <c r="C4109" s="290"/>
      <c r="D4109" s="290"/>
      <c r="E4109" s="290"/>
      <c r="F4109" s="290"/>
      <c r="G4109" s="290"/>
      <c r="H4109" s="290"/>
      <c r="I4109" s="290"/>
      <c r="J4109" s="290"/>
      <c r="K4109" s="291">
        <v>3825</v>
      </c>
      <c r="L4109" s="291"/>
      <c r="M4109" s="291"/>
      <c r="N4109" s="291"/>
      <c r="O4109" s="291"/>
      <c r="P4109" s="41">
        <v>3868995</v>
      </c>
      <c r="R4109" s="41">
        <v>3415324</v>
      </c>
      <c r="T4109" s="287">
        <v>453671</v>
      </c>
      <c r="U4109" s="287"/>
    </row>
    <row r="4110" spans="1:21" x14ac:dyDescent="0.25">
      <c r="B4110" s="292">
        <v>1</v>
      </c>
      <c r="C4110" s="292"/>
      <c r="D4110" s="292"/>
      <c r="F4110" s="283" t="s">
        <v>200</v>
      </c>
      <c r="G4110" s="283"/>
      <c r="J4110" s="293">
        <v>1</v>
      </c>
      <c r="K4110" s="293"/>
      <c r="L4110" s="293"/>
      <c r="M4110" s="293"/>
      <c r="N4110" s="293"/>
      <c r="P4110" s="42">
        <v>500</v>
      </c>
      <c r="R4110" s="42">
        <v>150</v>
      </c>
      <c r="T4110" s="284">
        <v>350</v>
      </c>
      <c r="U4110" s="284"/>
    </row>
    <row r="4111" spans="1:21" x14ac:dyDescent="0.25">
      <c r="B4111" s="292">
        <v>2</v>
      </c>
      <c r="C4111" s="292"/>
      <c r="D4111" s="292"/>
      <c r="F4111" s="283" t="s">
        <v>78</v>
      </c>
      <c r="G4111" s="283"/>
      <c r="J4111" s="293">
        <v>147</v>
      </c>
      <c r="K4111" s="293"/>
      <c r="L4111" s="293"/>
      <c r="M4111" s="293"/>
      <c r="N4111" s="293"/>
      <c r="P4111" s="42">
        <v>42630</v>
      </c>
      <c r="R4111" s="42">
        <v>42630</v>
      </c>
      <c r="T4111" s="284">
        <v>0</v>
      </c>
      <c r="U4111" s="284"/>
    </row>
    <row r="4112" spans="1:21" x14ac:dyDescent="0.25">
      <c r="B4112" s="292">
        <v>3</v>
      </c>
      <c r="C4112" s="292"/>
      <c r="D4112" s="292"/>
      <c r="F4112" s="283" t="s">
        <v>268</v>
      </c>
      <c r="G4112" s="283"/>
      <c r="J4112" s="293">
        <v>2</v>
      </c>
      <c r="K4112" s="293"/>
      <c r="L4112" s="293"/>
      <c r="M4112" s="293"/>
      <c r="N4112" s="293"/>
      <c r="P4112" s="42">
        <v>500</v>
      </c>
      <c r="R4112" s="42">
        <v>140</v>
      </c>
      <c r="T4112" s="284">
        <v>360</v>
      </c>
      <c r="U4112" s="284"/>
    </row>
    <row r="4113" spans="2:21" x14ac:dyDescent="0.25">
      <c r="B4113" s="292">
        <v>4</v>
      </c>
      <c r="C4113" s="292"/>
      <c r="D4113" s="292"/>
      <c r="F4113" s="283" t="s">
        <v>199</v>
      </c>
      <c r="G4113" s="283"/>
      <c r="J4113" s="293">
        <v>1</v>
      </c>
      <c r="K4113" s="293"/>
      <c r="L4113" s="293"/>
      <c r="M4113" s="293"/>
      <c r="N4113" s="293"/>
      <c r="P4113" s="42">
        <v>290</v>
      </c>
      <c r="R4113" s="42">
        <v>100</v>
      </c>
      <c r="T4113" s="284">
        <v>190</v>
      </c>
      <c r="U4113" s="284"/>
    </row>
    <row r="4114" spans="2:21" x14ac:dyDescent="0.25">
      <c r="B4114" s="292">
        <v>5</v>
      </c>
      <c r="C4114" s="292"/>
      <c r="D4114" s="292"/>
      <c r="F4114" s="283" t="s">
        <v>294</v>
      </c>
      <c r="G4114" s="283"/>
      <c r="J4114" s="293">
        <v>2</v>
      </c>
      <c r="K4114" s="293"/>
      <c r="L4114" s="293"/>
      <c r="M4114" s="293"/>
      <c r="N4114" s="293"/>
      <c r="P4114" s="42">
        <v>1000</v>
      </c>
      <c r="R4114" s="42">
        <v>150</v>
      </c>
      <c r="T4114" s="284">
        <v>850</v>
      </c>
      <c r="U4114" s="284"/>
    </row>
    <row r="4115" spans="2:21" x14ac:dyDescent="0.25">
      <c r="B4115" s="292">
        <v>6</v>
      </c>
      <c r="C4115" s="292"/>
      <c r="D4115" s="292"/>
      <c r="F4115" s="283" t="s">
        <v>165</v>
      </c>
      <c r="G4115" s="283"/>
      <c r="J4115" s="293">
        <v>1</v>
      </c>
      <c r="K4115" s="293"/>
      <c r="L4115" s="293"/>
      <c r="M4115" s="293"/>
      <c r="N4115" s="293"/>
      <c r="P4115" s="42">
        <v>590</v>
      </c>
      <c r="R4115" s="42">
        <v>180</v>
      </c>
      <c r="T4115" s="284">
        <v>410</v>
      </c>
      <c r="U4115" s="284"/>
    </row>
    <row r="4116" spans="2:21" x14ac:dyDescent="0.25">
      <c r="B4116" s="292">
        <v>7</v>
      </c>
      <c r="C4116" s="292"/>
      <c r="D4116" s="292"/>
      <c r="F4116" s="283" t="s">
        <v>164</v>
      </c>
      <c r="G4116" s="283"/>
      <c r="J4116" s="293">
        <v>1</v>
      </c>
      <c r="K4116" s="293"/>
      <c r="L4116" s="293"/>
      <c r="M4116" s="293"/>
      <c r="N4116" s="293"/>
      <c r="P4116" s="42">
        <v>590</v>
      </c>
      <c r="R4116" s="42">
        <v>0</v>
      </c>
      <c r="T4116" s="284">
        <v>590</v>
      </c>
      <c r="U4116" s="284"/>
    </row>
    <row r="4117" spans="2:21" x14ac:dyDescent="0.25">
      <c r="B4117" s="292">
        <v>8</v>
      </c>
      <c r="C4117" s="292"/>
      <c r="D4117" s="292"/>
      <c r="F4117" s="283" t="s">
        <v>163</v>
      </c>
      <c r="G4117" s="283"/>
      <c r="J4117" s="293">
        <v>21</v>
      </c>
      <c r="K4117" s="293"/>
      <c r="L4117" s="293"/>
      <c r="M4117" s="293"/>
      <c r="N4117" s="293"/>
      <c r="P4117" s="42">
        <v>24990</v>
      </c>
      <c r="R4117" s="42">
        <v>3780</v>
      </c>
      <c r="T4117" s="284">
        <v>21210</v>
      </c>
      <c r="U4117" s="284"/>
    </row>
    <row r="4118" spans="2:21" x14ac:dyDescent="0.25">
      <c r="B4118" s="292">
        <v>9</v>
      </c>
      <c r="C4118" s="292"/>
      <c r="D4118" s="292"/>
      <c r="F4118" s="283" t="s">
        <v>162</v>
      </c>
      <c r="G4118" s="283"/>
      <c r="J4118" s="293">
        <v>33</v>
      </c>
      <c r="K4118" s="293"/>
      <c r="L4118" s="293"/>
      <c r="M4118" s="293"/>
      <c r="N4118" s="293"/>
      <c r="P4118" s="42">
        <v>14190</v>
      </c>
      <c r="R4118" s="42">
        <v>6519</v>
      </c>
      <c r="T4118" s="284">
        <v>7671</v>
      </c>
      <c r="U4118" s="284"/>
    </row>
    <row r="4119" spans="2:21" x14ac:dyDescent="0.25">
      <c r="B4119" s="292">
        <v>10</v>
      </c>
      <c r="C4119" s="292"/>
      <c r="D4119" s="292"/>
      <c r="F4119" s="283" t="s">
        <v>160</v>
      </c>
      <c r="G4119" s="283"/>
      <c r="J4119" s="293">
        <v>20</v>
      </c>
      <c r="K4119" s="293"/>
      <c r="L4119" s="293"/>
      <c r="M4119" s="293"/>
      <c r="N4119" s="293"/>
      <c r="P4119" s="42">
        <v>5800</v>
      </c>
      <c r="R4119" s="42">
        <v>1280</v>
      </c>
      <c r="T4119" s="284">
        <v>4520</v>
      </c>
      <c r="U4119" s="284"/>
    </row>
    <row r="4120" spans="2:21" x14ac:dyDescent="0.25">
      <c r="B4120" s="292">
        <v>11</v>
      </c>
      <c r="C4120" s="292"/>
      <c r="D4120" s="292"/>
      <c r="F4120" s="283" t="s">
        <v>158</v>
      </c>
      <c r="G4120" s="283"/>
      <c r="J4120" s="293">
        <v>176</v>
      </c>
      <c r="K4120" s="293"/>
      <c r="L4120" s="293"/>
      <c r="M4120" s="293"/>
      <c r="N4120" s="293"/>
      <c r="P4120" s="42">
        <v>96800</v>
      </c>
      <c r="R4120" s="42">
        <v>28140</v>
      </c>
      <c r="T4120" s="284">
        <v>68660</v>
      </c>
      <c r="U4120" s="284"/>
    </row>
    <row r="4121" spans="2:21" x14ac:dyDescent="0.25">
      <c r="B4121" s="292">
        <v>12</v>
      </c>
      <c r="C4121" s="292"/>
      <c r="D4121" s="292"/>
      <c r="F4121" s="283" t="s">
        <v>157</v>
      </c>
      <c r="G4121" s="283"/>
      <c r="J4121" s="293">
        <v>205</v>
      </c>
      <c r="K4121" s="293"/>
      <c r="L4121" s="293"/>
      <c r="M4121" s="293"/>
      <c r="N4121" s="293"/>
      <c r="P4121" s="42">
        <v>100450</v>
      </c>
      <c r="R4121" s="42">
        <v>43116</v>
      </c>
      <c r="T4121" s="284">
        <v>57334</v>
      </c>
      <c r="U4121" s="284"/>
    </row>
    <row r="4122" spans="2:21" x14ac:dyDescent="0.25">
      <c r="B4122" s="292">
        <v>13</v>
      </c>
      <c r="C4122" s="292"/>
      <c r="D4122" s="292"/>
      <c r="F4122" s="283" t="s">
        <v>197</v>
      </c>
      <c r="G4122" s="283"/>
      <c r="J4122" s="293">
        <v>1</v>
      </c>
      <c r="K4122" s="293"/>
      <c r="L4122" s="293"/>
      <c r="M4122" s="293"/>
      <c r="N4122" s="293"/>
      <c r="P4122" s="42">
        <v>500</v>
      </c>
      <c r="R4122" s="42">
        <v>150</v>
      </c>
      <c r="T4122" s="284">
        <v>350</v>
      </c>
      <c r="U4122" s="284"/>
    </row>
    <row r="4123" spans="2:21" x14ac:dyDescent="0.25">
      <c r="B4123" s="292">
        <v>14</v>
      </c>
      <c r="C4123" s="292"/>
      <c r="D4123" s="292"/>
      <c r="F4123" s="283" t="s">
        <v>293</v>
      </c>
      <c r="G4123" s="283"/>
      <c r="J4123" s="293">
        <v>1</v>
      </c>
      <c r="K4123" s="293"/>
      <c r="L4123" s="293"/>
      <c r="M4123" s="293"/>
      <c r="N4123" s="293"/>
      <c r="P4123" s="42">
        <v>700</v>
      </c>
      <c r="R4123" s="42">
        <v>180</v>
      </c>
      <c r="T4123" s="284">
        <v>520</v>
      </c>
      <c r="U4123" s="284"/>
    </row>
    <row r="4124" spans="2:21" x14ac:dyDescent="0.25">
      <c r="B4124" s="292">
        <v>15</v>
      </c>
      <c r="C4124" s="292"/>
      <c r="D4124" s="292"/>
      <c r="F4124" s="283" t="s">
        <v>196</v>
      </c>
      <c r="G4124" s="283"/>
      <c r="J4124" s="293">
        <v>5</v>
      </c>
      <c r="K4124" s="293"/>
      <c r="L4124" s="293"/>
      <c r="M4124" s="293"/>
      <c r="N4124" s="293"/>
      <c r="P4124" s="42">
        <v>3700</v>
      </c>
      <c r="R4124" s="42">
        <v>1670</v>
      </c>
      <c r="T4124" s="284">
        <v>2030</v>
      </c>
      <c r="U4124" s="284"/>
    </row>
    <row r="4125" spans="2:21" x14ac:dyDescent="0.25">
      <c r="B4125" s="292">
        <v>16</v>
      </c>
      <c r="C4125" s="292"/>
      <c r="D4125" s="292"/>
      <c r="F4125" s="283" t="s">
        <v>77</v>
      </c>
      <c r="G4125" s="283"/>
      <c r="J4125" s="293">
        <v>930</v>
      </c>
      <c r="K4125" s="293"/>
      <c r="L4125" s="293"/>
      <c r="M4125" s="293"/>
      <c r="N4125" s="293"/>
      <c r="P4125" s="42">
        <v>375200</v>
      </c>
      <c r="R4125" s="42">
        <v>375200</v>
      </c>
      <c r="T4125" s="284">
        <v>0</v>
      </c>
      <c r="U4125" s="284"/>
    </row>
    <row r="4126" spans="2:21" x14ac:dyDescent="0.25">
      <c r="B4126" s="292">
        <v>17</v>
      </c>
      <c r="C4126" s="292"/>
      <c r="D4126" s="292"/>
      <c r="F4126" s="283" t="s">
        <v>156</v>
      </c>
      <c r="G4126" s="283"/>
      <c r="J4126" s="293">
        <v>5</v>
      </c>
      <c r="K4126" s="293"/>
      <c r="L4126" s="293"/>
      <c r="M4126" s="293"/>
      <c r="N4126" s="293"/>
      <c r="P4126" s="42">
        <v>950</v>
      </c>
      <c r="R4126" s="42">
        <v>170</v>
      </c>
      <c r="T4126" s="284">
        <v>780</v>
      </c>
      <c r="U4126" s="284"/>
    </row>
    <row r="4127" spans="2:21" x14ac:dyDescent="0.25">
      <c r="B4127" s="292">
        <v>18</v>
      </c>
      <c r="C4127" s="292"/>
      <c r="D4127" s="292"/>
      <c r="F4127" s="283" t="s">
        <v>155</v>
      </c>
      <c r="G4127" s="283"/>
      <c r="J4127" s="293">
        <v>16</v>
      </c>
      <c r="K4127" s="293"/>
      <c r="L4127" s="293"/>
      <c r="M4127" s="293"/>
      <c r="N4127" s="293"/>
      <c r="P4127" s="42">
        <v>4000</v>
      </c>
      <c r="R4127" s="42">
        <v>1100</v>
      </c>
      <c r="T4127" s="284">
        <v>2900</v>
      </c>
      <c r="U4127" s="284"/>
    </row>
    <row r="4128" spans="2:21" x14ac:dyDescent="0.25">
      <c r="B4128" s="292">
        <v>19</v>
      </c>
      <c r="C4128" s="292"/>
      <c r="D4128" s="292"/>
      <c r="F4128" s="283" t="s">
        <v>154</v>
      </c>
      <c r="G4128" s="283"/>
      <c r="J4128" s="293">
        <v>3</v>
      </c>
      <c r="K4128" s="293"/>
      <c r="L4128" s="293"/>
      <c r="M4128" s="293"/>
      <c r="N4128" s="293"/>
      <c r="P4128" s="42">
        <v>2670</v>
      </c>
      <c r="R4128" s="42">
        <v>390</v>
      </c>
      <c r="T4128" s="284">
        <v>2280</v>
      </c>
      <c r="U4128" s="284"/>
    </row>
    <row r="4129" spans="2:21" x14ac:dyDescent="0.25">
      <c r="B4129" s="292">
        <v>20</v>
      </c>
      <c r="C4129" s="292"/>
      <c r="D4129" s="292"/>
      <c r="F4129" s="283" t="s">
        <v>153</v>
      </c>
      <c r="G4129" s="283"/>
      <c r="J4129" s="293">
        <v>1</v>
      </c>
      <c r="K4129" s="293"/>
      <c r="L4129" s="293"/>
      <c r="M4129" s="293"/>
      <c r="N4129" s="293"/>
      <c r="P4129" s="42">
        <v>1180</v>
      </c>
      <c r="R4129" s="42">
        <v>180</v>
      </c>
      <c r="T4129" s="284">
        <v>1000</v>
      </c>
      <c r="U4129" s="284"/>
    </row>
    <row r="4130" spans="2:21" x14ac:dyDescent="0.25">
      <c r="B4130" s="292">
        <v>21</v>
      </c>
      <c r="C4130" s="292"/>
      <c r="D4130" s="292"/>
      <c r="F4130" s="283" t="s">
        <v>322</v>
      </c>
      <c r="G4130" s="283"/>
      <c r="J4130" s="293">
        <v>1</v>
      </c>
      <c r="K4130" s="293"/>
      <c r="L4130" s="293"/>
      <c r="M4130" s="293"/>
      <c r="N4130" s="293"/>
      <c r="P4130" s="42">
        <v>1180</v>
      </c>
      <c r="R4130" s="42">
        <v>180</v>
      </c>
      <c r="T4130" s="284">
        <v>1000</v>
      </c>
      <c r="U4130" s="284"/>
    </row>
    <row r="4131" spans="2:21" x14ac:dyDescent="0.25">
      <c r="B4131" s="292">
        <v>22</v>
      </c>
      <c r="C4131" s="292"/>
      <c r="D4131" s="292"/>
      <c r="F4131" s="283" t="s">
        <v>321</v>
      </c>
      <c r="G4131" s="283"/>
      <c r="J4131" s="293">
        <v>1</v>
      </c>
      <c r="K4131" s="293"/>
      <c r="L4131" s="293"/>
      <c r="M4131" s="293"/>
      <c r="N4131" s="293"/>
      <c r="P4131" s="42">
        <v>500</v>
      </c>
      <c r="R4131" s="42">
        <v>150</v>
      </c>
      <c r="T4131" s="284">
        <v>350</v>
      </c>
      <c r="U4131" s="284"/>
    </row>
    <row r="4132" spans="2:21" x14ac:dyDescent="0.25">
      <c r="B4132" s="292">
        <v>23</v>
      </c>
      <c r="C4132" s="292"/>
      <c r="D4132" s="292"/>
      <c r="F4132" s="283" t="s">
        <v>289</v>
      </c>
      <c r="G4132" s="283"/>
      <c r="J4132" s="293">
        <v>2</v>
      </c>
      <c r="K4132" s="293"/>
      <c r="L4132" s="293"/>
      <c r="M4132" s="293"/>
      <c r="N4132" s="293"/>
      <c r="P4132" s="42">
        <v>1000</v>
      </c>
      <c r="R4132" s="42">
        <v>300</v>
      </c>
      <c r="T4132" s="284">
        <v>700</v>
      </c>
      <c r="U4132" s="284"/>
    </row>
    <row r="4133" spans="2:21" x14ac:dyDescent="0.25">
      <c r="B4133" s="292">
        <v>24</v>
      </c>
      <c r="C4133" s="292"/>
      <c r="D4133" s="292"/>
      <c r="F4133" s="283" t="s">
        <v>320</v>
      </c>
      <c r="G4133" s="283"/>
      <c r="J4133" s="293">
        <v>1</v>
      </c>
      <c r="K4133" s="293"/>
      <c r="L4133" s="293"/>
      <c r="M4133" s="293"/>
      <c r="N4133" s="293"/>
      <c r="P4133" s="42">
        <v>500</v>
      </c>
      <c r="R4133" s="42">
        <v>150</v>
      </c>
      <c r="T4133" s="284">
        <v>350</v>
      </c>
      <c r="U4133" s="284"/>
    </row>
    <row r="4134" spans="2:21" x14ac:dyDescent="0.25">
      <c r="B4134" s="292">
        <v>25</v>
      </c>
      <c r="C4134" s="292"/>
      <c r="D4134" s="292"/>
      <c r="F4134" s="283" t="s">
        <v>152</v>
      </c>
      <c r="G4134" s="283"/>
      <c r="J4134" s="293">
        <v>2</v>
      </c>
      <c r="K4134" s="293"/>
      <c r="L4134" s="293"/>
      <c r="M4134" s="293"/>
      <c r="N4134" s="293"/>
      <c r="P4134" s="42">
        <v>1180</v>
      </c>
      <c r="R4134" s="42">
        <v>360</v>
      </c>
      <c r="T4134" s="284">
        <v>820</v>
      </c>
      <c r="U4134" s="284"/>
    </row>
    <row r="4135" spans="2:21" x14ac:dyDescent="0.25">
      <c r="B4135" s="292">
        <v>26</v>
      </c>
      <c r="C4135" s="292"/>
      <c r="D4135" s="292"/>
      <c r="F4135" s="283" t="s">
        <v>151</v>
      </c>
      <c r="G4135" s="283"/>
      <c r="J4135" s="293">
        <v>40</v>
      </c>
      <c r="K4135" s="293"/>
      <c r="L4135" s="293"/>
      <c r="M4135" s="293"/>
      <c r="N4135" s="293"/>
      <c r="P4135" s="42">
        <v>9200</v>
      </c>
      <c r="R4135" s="42">
        <v>2450</v>
      </c>
      <c r="T4135" s="284">
        <v>6750</v>
      </c>
      <c r="U4135" s="284"/>
    </row>
    <row r="4136" spans="2:21" x14ac:dyDescent="0.25">
      <c r="B4136" s="292">
        <v>27</v>
      </c>
      <c r="C4136" s="292"/>
      <c r="D4136" s="292"/>
      <c r="F4136" s="283" t="s">
        <v>150</v>
      </c>
      <c r="G4136" s="283"/>
      <c r="J4136" s="293">
        <v>27</v>
      </c>
      <c r="K4136" s="293"/>
      <c r="L4136" s="293"/>
      <c r="M4136" s="293"/>
      <c r="N4136" s="293"/>
      <c r="P4136" s="42">
        <v>4590</v>
      </c>
      <c r="R4136" s="42">
        <v>1150</v>
      </c>
      <c r="T4136" s="284">
        <v>3440</v>
      </c>
      <c r="U4136" s="284"/>
    </row>
    <row r="4137" spans="2:21" x14ac:dyDescent="0.25">
      <c r="B4137" s="292">
        <v>28</v>
      </c>
      <c r="C4137" s="292"/>
      <c r="D4137" s="292"/>
      <c r="F4137" s="283" t="s">
        <v>234</v>
      </c>
      <c r="G4137" s="283"/>
      <c r="J4137" s="293">
        <v>2</v>
      </c>
      <c r="K4137" s="293"/>
      <c r="L4137" s="293"/>
      <c r="M4137" s="293"/>
      <c r="N4137" s="293"/>
      <c r="P4137" s="42">
        <v>1600</v>
      </c>
      <c r="R4137" s="42">
        <v>900</v>
      </c>
      <c r="T4137" s="284">
        <v>700</v>
      </c>
      <c r="U4137" s="284"/>
    </row>
    <row r="4138" spans="2:21" x14ac:dyDescent="0.25">
      <c r="B4138" s="292">
        <v>29</v>
      </c>
      <c r="C4138" s="292"/>
      <c r="D4138" s="292"/>
      <c r="F4138" s="283" t="s">
        <v>286</v>
      </c>
      <c r="G4138" s="283"/>
      <c r="J4138" s="293">
        <v>1</v>
      </c>
      <c r="K4138" s="293"/>
      <c r="L4138" s="293"/>
      <c r="M4138" s="293"/>
      <c r="N4138" s="293"/>
      <c r="P4138" s="42">
        <v>800</v>
      </c>
      <c r="R4138" s="42">
        <v>450</v>
      </c>
      <c r="T4138" s="284">
        <v>350</v>
      </c>
      <c r="U4138" s="284"/>
    </row>
    <row r="4139" spans="2:21" x14ac:dyDescent="0.25">
      <c r="B4139" s="292">
        <v>30</v>
      </c>
      <c r="C4139" s="292"/>
      <c r="D4139" s="292"/>
      <c r="F4139" s="283" t="s">
        <v>193</v>
      </c>
      <c r="G4139" s="283"/>
      <c r="J4139" s="293">
        <v>14</v>
      </c>
      <c r="K4139" s="293"/>
      <c r="L4139" s="293"/>
      <c r="M4139" s="293"/>
      <c r="N4139" s="293"/>
      <c r="P4139" s="42">
        <v>12460</v>
      </c>
      <c r="R4139" s="42">
        <v>1820</v>
      </c>
      <c r="T4139" s="284">
        <v>10640</v>
      </c>
      <c r="U4139" s="284"/>
    </row>
    <row r="4140" spans="2:21" x14ac:dyDescent="0.25">
      <c r="B4140" s="292">
        <v>31</v>
      </c>
      <c r="C4140" s="292"/>
      <c r="D4140" s="292"/>
      <c r="F4140" s="283" t="s">
        <v>75</v>
      </c>
      <c r="G4140" s="283"/>
      <c r="J4140" s="293">
        <v>1125</v>
      </c>
      <c r="K4140" s="293"/>
      <c r="L4140" s="293"/>
      <c r="M4140" s="293"/>
      <c r="N4140" s="293"/>
      <c r="P4140" s="42">
        <v>2812500</v>
      </c>
      <c r="R4140" s="42">
        <v>2812500</v>
      </c>
      <c r="T4140" s="284">
        <v>0</v>
      </c>
      <c r="U4140" s="284"/>
    </row>
    <row r="4141" spans="2:21" x14ac:dyDescent="0.25">
      <c r="B4141" s="292">
        <v>32</v>
      </c>
      <c r="C4141" s="292"/>
      <c r="D4141" s="292"/>
      <c r="F4141" s="283" t="s">
        <v>139</v>
      </c>
      <c r="G4141" s="283"/>
      <c r="J4141" s="293">
        <v>4</v>
      </c>
      <c r="K4141" s="293"/>
      <c r="L4141" s="293"/>
      <c r="M4141" s="293"/>
      <c r="N4141" s="293"/>
      <c r="P4141" s="42">
        <v>1080</v>
      </c>
      <c r="R4141" s="42">
        <v>240</v>
      </c>
      <c r="T4141" s="284">
        <v>840</v>
      </c>
      <c r="U4141" s="284"/>
    </row>
    <row r="4142" spans="2:21" x14ac:dyDescent="0.25">
      <c r="B4142" s="292">
        <v>33</v>
      </c>
      <c r="C4142" s="292"/>
      <c r="D4142" s="292"/>
      <c r="F4142" s="283" t="s">
        <v>138</v>
      </c>
      <c r="G4142" s="283"/>
      <c r="J4142" s="293">
        <v>1</v>
      </c>
      <c r="K4142" s="293"/>
      <c r="L4142" s="293"/>
      <c r="M4142" s="293"/>
      <c r="N4142" s="293"/>
      <c r="P4142" s="42">
        <v>800</v>
      </c>
      <c r="R4142" s="42">
        <v>450</v>
      </c>
      <c r="T4142" s="284">
        <v>350</v>
      </c>
      <c r="U4142" s="284"/>
    </row>
    <row r="4143" spans="2:21" x14ac:dyDescent="0.25">
      <c r="B4143" s="292">
        <v>34</v>
      </c>
      <c r="C4143" s="292"/>
      <c r="D4143" s="292"/>
      <c r="F4143" s="283" t="s">
        <v>136</v>
      </c>
      <c r="G4143" s="283"/>
      <c r="J4143" s="293">
        <v>9</v>
      </c>
      <c r="K4143" s="293"/>
      <c r="L4143" s="293"/>
      <c r="M4143" s="293"/>
      <c r="N4143" s="293"/>
      <c r="P4143" s="42">
        <v>7650</v>
      </c>
      <c r="R4143" s="42">
        <v>1430</v>
      </c>
      <c r="T4143" s="284">
        <v>6220</v>
      </c>
      <c r="U4143" s="284"/>
    </row>
    <row r="4144" spans="2:21" x14ac:dyDescent="0.25">
      <c r="B4144" s="292">
        <v>35</v>
      </c>
      <c r="C4144" s="292"/>
      <c r="D4144" s="292"/>
      <c r="F4144" s="283" t="s">
        <v>74</v>
      </c>
      <c r="G4144" s="283"/>
      <c r="J4144" s="293">
        <v>11</v>
      </c>
      <c r="K4144" s="293"/>
      <c r="L4144" s="293"/>
      <c r="M4144" s="293"/>
      <c r="N4144" s="293"/>
      <c r="P4144" s="42">
        <v>9350</v>
      </c>
      <c r="R4144" s="42">
        <v>9350</v>
      </c>
      <c r="T4144" s="284">
        <v>0</v>
      </c>
      <c r="U4144" s="284"/>
    </row>
    <row r="4145" spans="2:21" x14ac:dyDescent="0.25">
      <c r="B4145" s="292">
        <v>36</v>
      </c>
      <c r="C4145" s="292"/>
      <c r="D4145" s="292"/>
      <c r="F4145" s="283" t="s">
        <v>190</v>
      </c>
      <c r="G4145" s="283"/>
      <c r="J4145" s="293">
        <v>1</v>
      </c>
      <c r="K4145" s="293"/>
      <c r="L4145" s="293"/>
      <c r="M4145" s="293"/>
      <c r="N4145" s="293"/>
      <c r="P4145" s="42">
        <v>1570</v>
      </c>
      <c r="R4145" s="42">
        <v>240</v>
      </c>
      <c r="T4145" s="284">
        <v>1330</v>
      </c>
      <c r="U4145" s="284"/>
    </row>
    <row r="4146" spans="2:21" x14ac:dyDescent="0.25">
      <c r="B4146" s="292">
        <v>37</v>
      </c>
      <c r="C4146" s="292"/>
      <c r="D4146" s="292"/>
      <c r="F4146" s="283" t="s">
        <v>135</v>
      </c>
      <c r="G4146" s="283"/>
      <c r="J4146" s="293">
        <v>5</v>
      </c>
      <c r="K4146" s="293"/>
      <c r="L4146" s="293"/>
      <c r="M4146" s="293"/>
      <c r="N4146" s="293"/>
      <c r="P4146" s="42">
        <v>4750</v>
      </c>
      <c r="R4146" s="42">
        <v>1400</v>
      </c>
      <c r="T4146" s="284">
        <v>3350</v>
      </c>
      <c r="U4146" s="284"/>
    </row>
    <row r="4147" spans="2:21" x14ac:dyDescent="0.25">
      <c r="B4147" s="292">
        <v>38</v>
      </c>
      <c r="C4147" s="292"/>
      <c r="D4147" s="292"/>
      <c r="F4147" s="283" t="s">
        <v>229</v>
      </c>
      <c r="G4147" s="283"/>
      <c r="J4147" s="293">
        <v>2</v>
      </c>
      <c r="K4147" s="293"/>
      <c r="L4147" s="293"/>
      <c r="M4147" s="293"/>
      <c r="N4147" s="293"/>
      <c r="P4147" s="42">
        <v>14000</v>
      </c>
      <c r="R4147" s="42">
        <v>6200</v>
      </c>
      <c r="T4147" s="284">
        <v>7800</v>
      </c>
      <c r="U4147" s="284"/>
    </row>
    <row r="4148" spans="2:21" x14ac:dyDescent="0.25">
      <c r="B4148" s="292">
        <v>39</v>
      </c>
      <c r="C4148" s="292"/>
      <c r="D4148" s="292"/>
      <c r="F4148" s="283" t="s">
        <v>132</v>
      </c>
      <c r="G4148" s="283"/>
      <c r="J4148" s="293">
        <v>5</v>
      </c>
      <c r="K4148" s="293"/>
      <c r="L4148" s="293"/>
      <c r="M4148" s="293"/>
      <c r="N4148" s="293"/>
      <c r="P4148" s="42">
        <v>6200</v>
      </c>
      <c r="R4148" s="42">
        <v>1850</v>
      </c>
      <c r="T4148" s="284">
        <v>4350</v>
      </c>
      <c r="U4148" s="284"/>
    </row>
    <row r="4149" spans="2:21" x14ac:dyDescent="0.25">
      <c r="B4149" s="292">
        <v>40</v>
      </c>
      <c r="C4149" s="292"/>
      <c r="D4149" s="292"/>
      <c r="F4149" s="283" t="s">
        <v>131</v>
      </c>
      <c r="G4149" s="283"/>
      <c r="J4149" s="293">
        <v>1</v>
      </c>
      <c r="K4149" s="293"/>
      <c r="L4149" s="293"/>
      <c r="M4149" s="293"/>
      <c r="N4149" s="293"/>
      <c r="P4149" s="42">
        <v>3700</v>
      </c>
      <c r="R4149" s="42">
        <v>800</v>
      </c>
      <c r="T4149" s="284">
        <v>2900</v>
      </c>
      <c r="U4149" s="284"/>
    </row>
    <row r="4150" spans="2:21" x14ac:dyDescent="0.25">
      <c r="B4150" s="292">
        <v>41</v>
      </c>
      <c r="C4150" s="292"/>
      <c r="D4150" s="292"/>
      <c r="F4150" s="283" t="s">
        <v>130</v>
      </c>
      <c r="G4150" s="283"/>
      <c r="J4150" s="293">
        <v>1</v>
      </c>
      <c r="K4150" s="293"/>
      <c r="L4150" s="293"/>
      <c r="M4150" s="293"/>
      <c r="N4150" s="293"/>
      <c r="P4150" s="42">
        <v>8000</v>
      </c>
      <c r="R4150" s="42">
        <v>4100</v>
      </c>
      <c r="T4150" s="284">
        <v>3900</v>
      </c>
      <c r="U4150" s="284"/>
    </row>
    <row r="4151" spans="2:21" x14ac:dyDescent="0.25">
      <c r="B4151" s="292">
        <v>42</v>
      </c>
      <c r="C4151" s="292"/>
      <c r="D4151" s="292"/>
      <c r="F4151" s="283" t="s">
        <v>319</v>
      </c>
      <c r="G4151" s="283"/>
      <c r="J4151" s="293">
        <v>81</v>
      </c>
      <c r="K4151" s="293"/>
      <c r="L4151" s="293"/>
      <c r="M4151" s="293"/>
      <c r="N4151" s="293"/>
      <c r="P4151" s="42">
        <v>8100</v>
      </c>
      <c r="R4151" s="42">
        <v>0</v>
      </c>
      <c r="T4151" s="284">
        <v>8100</v>
      </c>
      <c r="U4151" s="284"/>
    </row>
    <row r="4152" spans="2:21" x14ac:dyDescent="0.25">
      <c r="B4152" s="292">
        <v>43</v>
      </c>
      <c r="C4152" s="292"/>
      <c r="D4152" s="292"/>
      <c r="F4152" s="283" t="s">
        <v>128</v>
      </c>
      <c r="G4152" s="283"/>
      <c r="J4152" s="293">
        <v>2</v>
      </c>
      <c r="K4152" s="293"/>
      <c r="L4152" s="293"/>
      <c r="M4152" s="293"/>
      <c r="N4152" s="293"/>
      <c r="P4152" s="42">
        <v>2300</v>
      </c>
      <c r="R4152" s="42">
        <v>340</v>
      </c>
      <c r="T4152" s="284">
        <v>1960</v>
      </c>
      <c r="U4152" s="284"/>
    </row>
    <row r="4153" spans="2:21" x14ac:dyDescent="0.25">
      <c r="B4153" s="292">
        <v>44</v>
      </c>
      <c r="C4153" s="292"/>
      <c r="D4153" s="292"/>
      <c r="F4153" s="283" t="s">
        <v>127</v>
      </c>
      <c r="G4153" s="283"/>
      <c r="J4153" s="293">
        <v>38</v>
      </c>
      <c r="K4153" s="293"/>
      <c r="L4153" s="293"/>
      <c r="M4153" s="293"/>
      <c r="N4153" s="293"/>
      <c r="P4153" s="42">
        <v>11400</v>
      </c>
      <c r="R4153" s="42">
        <v>4027</v>
      </c>
      <c r="T4153" s="284">
        <v>7373</v>
      </c>
      <c r="U4153" s="284"/>
    </row>
    <row r="4154" spans="2:21" x14ac:dyDescent="0.25">
      <c r="B4154" s="292">
        <v>45</v>
      </c>
      <c r="C4154" s="292"/>
      <c r="D4154" s="292"/>
      <c r="F4154" s="283" t="s">
        <v>126</v>
      </c>
      <c r="G4154" s="283"/>
      <c r="J4154" s="293">
        <v>37</v>
      </c>
      <c r="K4154" s="293"/>
      <c r="L4154" s="293"/>
      <c r="M4154" s="293"/>
      <c r="N4154" s="293"/>
      <c r="P4154" s="42">
        <v>7400</v>
      </c>
      <c r="R4154" s="42">
        <v>2619</v>
      </c>
      <c r="T4154" s="284">
        <v>4781</v>
      </c>
      <c r="U4154" s="284"/>
    </row>
    <row r="4155" spans="2:21" x14ac:dyDescent="0.25">
      <c r="B4155" s="292">
        <v>46</v>
      </c>
      <c r="C4155" s="292"/>
      <c r="D4155" s="292"/>
      <c r="F4155" s="283" t="s">
        <v>125</v>
      </c>
      <c r="G4155" s="283"/>
      <c r="J4155" s="293">
        <v>2</v>
      </c>
      <c r="K4155" s="293"/>
      <c r="L4155" s="293"/>
      <c r="M4155" s="293"/>
      <c r="N4155" s="293"/>
      <c r="P4155" s="42">
        <v>800</v>
      </c>
      <c r="R4155" s="42">
        <v>240</v>
      </c>
      <c r="T4155" s="284">
        <v>560</v>
      </c>
      <c r="U4155" s="284"/>
    </row>
    <row r="4156" spans="2:21" x14ac:dyDescent="0.25">
      <c r="B4156" s="292">
        <v>47</v>
      </c>
      <c r="C4156" s="292"/>
      <c r="D4156" s="292"/>
      <c r="F4156" s="283" t="s">
        <v>124</v>
      </c>
      <c r="G4156" s="283"/>
      <c r="J4156" s="293">
        <v>2</v>
      </c>
      <c r="K4156" s="293"/>
      <c r="L4156" s="293"/>
      <c r="M4156" s="293"/>
      <c r="N4156" s="293"/>
      <c r="P4156" s="42">
        <v>1180</v>
      </c>
      <c r="R4156" s="42">
        <v>120</v>
      </c>
      <c r="T4156" s="284">
        <v>1060</v>
      </c>
      <c r="U4156" s="284"/>
    </row>
    <row r="4157" spans="2:21" x14ac:dyDescent="0.25">
      <c r="B4157" s="292">
        <v>48</v>
      </c>
      <c r="C4157" s="292"/>
      <c r="D4157" s="292"/>
      <c r="F4157" s="283" t="s">
        <v>184</v>
      </c>
      <c r="G4157" s="283"/>
      <c r="J4157" s="293">
        <v>1</v>
      </c>
      <c r="K4157" s="293"/>
      <c r="L4157" s="293"/>
      <c r="M4157" s="293"/>
      <c r="N4157" s="293"/>
      <c r="P4157" s="42">
        <v>1080</v>
      </c>
      <c r="R4157" s="42">
        <v>160</v>
      </c>
      <c r="T4157" s="284">
        <v>920</v>
      </c>
      <c r="U4157" s="284"/>
    </row>
    <row r="4158" spans="2:21" x14ac:dyDescent="0.25">
      <c r="B4158" s="292">
        <v>49</v>
      </c>
      <c r="C4158" s="292"/>
      <c r="D4158" s="292"/>
      <c r="F4158" s="283" t="s">
        <v>121</v>
      </c>
      <c r="G4158" s="283"/>
      <c r="J4158" s="293">
        <v>2</v>
      </c>
      <c r="K4158" s="293"/>
      <c r="L4158" s="293"/>
      <c r="M4158" s="293"/>
      <c r="N4158" s="293"/>
      <c r="P4158" s="42">
        <v>1000</v>
      </c>
      <c r="R4158" s="42">
        <v>300</v>
      </c>
      <c r="T4158" s="284">
        <v>700</v>
      </c>
      <c r="U4158" s="284"/>
    </row>
    <row r="4159" spans="2:21" x14ac:dyDescent="0.25">
      <c r="B4159" s="292">
        <v>50</v>
      </c>
      <c r="C4159" s="292"/>
      <c r="D4159" s="292"/>
      <c r="F4159" s="283" t="s">
        <v>182</v>
      </c>
      <c r="G4159" s="283"/>
      <c r="J4159" s="293">
        <v>1</v>
      </c>
      <c r="K4159" s="293"/>
      <c r="L4159" s="293"/>
      <c r="M4159" s="293"/>
      <c r="N4159" s="293"/>
      <c r="P4159" s="42">
        <v>790</v>
      </c>
      <c r="R4159" s="42">
        <v>120</v>
      </c>
      <c r="T4159" s="284">
        <v>670</v>
      </c>
      <c r="U4159" s="284"/>
    </row>
    <row r="4160" spans="2:21" x14ac:dyDescent="0.25">
      <c r="B4160" s="292">
        <v>51</v>
      </c>
      <c r="C4160" s="292"/>
      <c r="D4160" s="292"/>
      <c r="F4160" s="283" t="s">
        <v>119</v>
      </c>
      <c r="G4160" s="283"/>
      <c r="J4160" s="293">
        <v>15</v>
      </c>
      <c r="K4160" s="293"/>
      <c r="L4160" s="293"/>
      <c r="M4160" s="293"/>
      <c r="N4160" s="293"/>
      <c r="P4160" s="42">
        <v>13350</v>
      </c>
      <c r="R4160" s="42">
        <v>2550</v>
      </c>
      <c r="T4160" s="284">
        <v>10800</v>
      </c>
      <c r="U4160" s="284"/>
    </row>
    <row r="4161" spans="2:21" x14ac:dyDescent="0.25">
      <c r="B4161" s="292">
        <v>52</v>
      </c>
      <c r="C4161" s="292"/>
      <c r="D4161" s="292"/>
      <c r="F4161" s="283" t="s">
        <v>118</v>
      </c>
      <c r="G4161" s="283"/>
      <c r="J4161" s="293">
        <v>49</v>
      </c>
      <c r="K4161" s="293"/>
      <c r="L4161" s="293"/>
      <c r="M4161" s="293"/>
      <c r="N4161" s="293"/>
      <c r="P4161" s="42">
        <v>48510</v>
      </c>
      <c r="R4161" s="42">
        <v>15040</v>
      </c>
      <c r="T4161" s="284">
        <v>33470</v>
      </c>
      <c r="U4161" s="284"/>
    </row>
    <row r="4162" spans="2:21" x14ac:dyDescent="0.25">
      <c r="B4162" s="292">
        <v>53</v>
      </c>
      <c r="C4162" s="292"/>
      <c r="D4162" s="292"/>
      <c r="F4162" s="283" t="s">
        <v>117</v>
      </c>
      <c r="G4162" s="283"/>
      <c r="J4162" s="293">
        <v>6</v>
      </c>
      <c r="K4162" s="293"/>
      <c r="L4162" s="293"/>
      <c r="M4162" s="293"/>
      <c r="N4162" s="293"/>
      <c r="P4162" s="42">
        <v>4800</v>
      </c>
      <c r="R4162" s="42">
        <v>1200</v>
      </c>
      <c r="T4162" s="284">
        <v>3600</v>
      </c>
      <c r="U4162" s="284"/>
    </row>
    <row r="4163" spans="2:21" x14ac:dyDescent="0.25">
      <c r="B4163" s="292">
        <v>54</v>
      </c>
      <c r="C4163" s="292"/>
      <c r="D4163" s="292"/>
      <c r="F4163" s="285" t="s">
        <v>116</v>
      </c>
      <c r="G4163" s="285"/>
      <c r="J4163" s="293">
        <v>2</v>
      </c>
      <c r="K4163" s="293"/>
      <c r="L4163" s="293"/>
      <c r="M4163" s="293"/>
      <c r="N4163" s="293"/>
      <c r="P4163" s="42">
        <v>1600</v>
      </c>
      <c r="R4163" s="42">
        <v>400</v>
      </c>
      <c r="T4163" s="284">
        <v>1200</v>
      </c>
      <c r="U4163" s="284"/>
    </row>
    <row r="4164" spans="2:21" x14ac:dyDescent="0.25">
      <c r="F4164" s="285"/>
      <c r="G4164" s="285"/>
    </row>
    <row r="4165" spans="2:21" x14ac:dyDescent="0.25">
      <c r="B4165" s="292">
        <v>55</v>
      </c>
      <c r="C4165" s="292"/>
      <c r="D4165" s="292"/>
      <c r="F4165" s="283" t="s">
        <v>115</v>
      </c>
      <c r="G4165" s="283"/>
      <c r="J4165" s="293">
        <v>20</v>
      </c>
      <c r="K4165" s="293"/>
      <c r="L4165" s="293"/>
      <c r="M4165" s="293"/>
      <c r="N4165" s="293"/>
      <c r="P4165" s="42">
        <v>5800</v>
      </c>
      <c r="R4165" s="42">
        <v>1570</v>
      </c>
      <c r="T4165" s="284">
        <v>4230</v>
      </c>
      <c r="U4165" s="284"/>
    </row>
    <row r="4166" spans="2:21" x14ac:dyDescent="0.25">
      <c r="B4166" s="292">
        <v>56</v>
      </c>
      <c r="C4166" s="292"/>
      <c r="D4166" s="292"/>
      <c r="F4166" s="283" t="s">
        <v>281</v>
      </c>
      <c r="G4166" s="283"/>
      <c r="J4166" s="293">
        <v>1</v>
      </c>
      <c r="K4166" s="293"/>
      <c r="L4166" s="293"/>
      <c r="M4166" s="293"/>
      <c r="N4166" s="293"/>
      <c r="P4166" s="42">
        <v>700</v>
      </c>
      <c r="R4166" s="42">
        <v>350</v>
      </c>
      <c r="T4166" s="284">
        <v>350</v>
      </c>
      <c r="U4166" s="284"/>
    </row>
    <row r="4167" spans="2:21" x14ac:dyDescent="0.25">
      <c r="B4167" s="292">
        <v>57</v>
      </c>
      <c r="C4167" s="292"/>
      <c r="D4167" s="292"/>
      <c r="F4167" s="285" t="s">
        <v>318</v>
      </c>
      <c r="G4167" s="285"/>
      <c r="J4167" s="293">
        <v>21</v>
      </c>
      <c r="K4167" s="293"/>
      <c r="L4167" s="293"/>
      <c r="M4167" s="293"/>
      <c r="N4167" s="293"/>
      <c r="P4167" s="42">
        <v>1575</v>
      </c>
      <c r="R4167" s="42">
        <v>0</v>
      </c>
      <c r="T4167" s="284">
        <v>1575</v>
      </c>
      <c r="U4167" s="284"/>
    </row>
    <row r="4168" spans="2:21" x14ac:dyDescent="0.25">
      <c r="F4168" s="285"/>
      <c r="G4168" s="285"/>
    </row>
    <row r="4169" spans="2:21" x14ac:dyDescent="0.25">
      <c r="B4169" s="292">
        <v>58</v>
      </c>
      <c r="C4169" s="292"/>
      <c r="D4169" s="292"/>
      <c r="F4169" s="283" t="s">
        <v>300</v>
      </c>
      <c r="G4169" s="283"/>
      <c r="J4169" s="293">
        <v>5</v>
      </c>
      <c r="K4169" s="293"/>
      <c r="L4169" s="293"/>
      <c r="M4169" s="293"/>
      <c r="N4169" s="293"/>
      <c r="P4169" s="42">
        <v>1650</v>
      </c>
      <c r="R4169" s="42">
        <v>580</v>
      </c>
      <c r="T4169" s="284">
        <v>1070</v>
      </c>
      <c r="U4169" s="284"/>
    </row>
    <row r="4170" spans="2:21" x14ac:dyDescent="0.25">
      <c r="B4170" s="292">
        <v>59</v>
      </c>
      <c r="C4170" s="292"/>
      <c r="D4170" s="292"/>
      <c r="F4170" s="283" t="s">
        <v>219</v>
      </c>
      <c r="G4170" s="283"/>
      <c r="J4170" s="293">
        <v>3</v>
      </c>
      <c r="K4170" s="293"/>
      <c r="L4170" s="293"/>
      <c r="M4170" s="293"/>
      <c r="N4170" s="293"/>
      <c r="P4170" s="42">
        <v>1500</v>
      </c>
      <c r="R4170" s="42">
        <v>450</v>
      </c>
      <c r="T4170" s="284">
        <v>1050</v>
      </c>
      <c r="U4170" s="284"/>
    </row>
    <row r="4171" spans="2:21" x14ac:dyDescent="0.25">
      <c r="B4171" s="292">
        <v>60</v>
      </c>
      <c r="C4171" s="292"/>
      <c r="D4171" s="292"/>
      <c r="F4171" s="283" t="s">
        <v>181</v>
      </c>
      <c r="G4171" s="283"/>
      <c r="J4171" s="293">
        <v>1</v>
      </c>
      <c r="K4171" s="293"/>
      <c r="L4171" s="293"/>
      <c r="M4171" s="293"/>
      <c r="N4171" s="293"/>
      <c r="P4171" s="42">
        <v>790</v>
      </c>
      <c r="R4171" s="42">
        <v>120</v>
      </c>
      <c r="T4171" s="284">
        <v>670</v>
      </c>
      <c r="U4171" s="284"/>
    </row>
    <row r="4172" spans="2:21" x14ac:dyDescent="0.25">
      <c r="B4172" s="292">
        <v>61</v>
      </c>
      <c r="C4172" s="292"/>
      <c r="D4172" s="292"/>
      <c r="F4172" s="283" t="s">
        <v>171</v>
      </c>
      <c r="G4172" s="283"/>
      <c r="J4172" s="293">
        <v>1</v>
      </c>
      <c r="K4172" s="293"/>
      <c r="L4172" s="293"/>
      <c r="M4172" s="293"/>
      <c r="N4172" s="293"/>
      <c r="P4172" s="42">
        <v>530</v>
      </c>
      <c r="R4172" s="42">
        <v>160</v>
      </c>
      <c r="T4172" s="284">
        <v>370</v>
      </c>
      <c r="U4172" s="284"/>
    </row>
    <row r="4173" spans="2:21" x14ac:dyDescent="0.25">
      <c r="B4173" s="292">
        <v>62</v>
      </c>
      <c r="C4173" s="292"/>
      <c r="D4173" s="292"/>
      <c r="F4173" s="283" t="s">
        <v>111</v>
      </c>
      <c r="G4173" s="283"/>
      <c r="J4173" s="293">
        <v>2</v>
      </c>
      <c r="K4173" s="293"/>
      <c r="L4173" s="293"/>
      <c r="M4173" s="293"/>
      <c r="N4173" s="293"/>
      <c r="P4173" s="42">
        <v>860</v>
      </c>
      <c r="R4173" s="42">
        <v>260</v>
      </c>
      <c r="T4173" s="284">
        <v>600</v>
      </c>
      <c r="U4173" s="284"/>
    </row>
    <row r="4174" spans="2:21" x14ac:dyDescent="0.25">
      <c r="B4174" s="292">
        <v>63</v>
      </c>
      <c r="C4174" s="292"/>
      <c r="D4174" s="292"/>
      <c r="F4174" s="283" t="s">
        <v>109</v>
      </c>
      <c r="G4174" s="283"/>
      <c r="J4174" s="293">
        <v>3</v>
      </c>
      <c r="K4174" s="293"/>
      <c r="L4174" s="293"/>
      <c r="M4174" s="293"/>
      <c r="N4174" s="293"/>
      <c r="P4174" s="42">
        <v>2340</v>
      </c>
      <c r="R4174" s="42">
        <v>690</v>
      </c>
      <c r="T4174" s="284">
        <v>1650</v>
      </c>
      <c r="U4174" s="284"/>
    </row>
    <row r="4175" spans="2:21" x14ac:dyDescent="0.25">
      <c r="B4175" s="292">
        <v>64</v>
      </c>
      <c r="C4175" s="292"/>
      <c r="D4175" s="292"/>
      <c r="F4175" s="283" t="s">
        <v>108</v>
      </c>
      <c r="G4175" s="283"/>
      <c r="J4175" s="293">
        <v>251</v>
      </c>
      <c r="K4175" s="293"/>
      <c r="L4175" s="293"/>
      <c r="M4175" s="293"/>
      <c r="N4175" s="293"/>
      <c r="P4175" s="42">
        <v>25100</v>
      </c>
      <c r="R4175" s="42">
        <v>210</v>
      </c>
      <c r="T4175" s="284">
        <v>24890</v>
      </c>
      <c r="U4175" s="284"/>
    </row>
    <row r="4176" spans="2:21" x14ac:dyDescent="0.25">
      <c r="B4176" s="292">
        <v>65</v>
      </c>
      <c r="C4176" s="292"/>
      <c r="D4176" s="292"/>
      <c r="F4176" s="283" t="s">
        <v>107</v>
      </c>
      <c r="G4176" s="283"/>
      <c r="J4176" s="293">
        <v>56</v>
      </c>
      <c r="K4176" s="293"/>
      <c r="L4176" s="293"/>
      <c r="M4176" s="293"/>
      <c r="N4176" s="293"/>
      <c r="P4176" s="42">
        <v>9520</v>
      </c>
      <c r="R4176" s="42">
        <v>2858</v>
      </c>
      <c r="T4176" s="284">
        <v>6662</v>
      </c>
      <c r="U4176" s="284"/>
    </row>
    <row r="4177" spans="2:21" x14ac:dyDescent="0.25">
      <c r="B4177" s="292">
        <v>66</v>
      </c>
      <c r="C4177" s="292"/>
      <c r="D4177" s="292"/>
      <c r="F4177" s="283" t="s">
        <v>106</v>
      </c>
      <c r="G4177" s="283"/>
      <c r="J4177" s="293">
        <v>104</v>
      </c>
      <c r="K4177" s="293"/>
      <c r="L4177" s="293"/>
      <c r="M4177" s="293"/>
      <c r="N4177" s="293"/>
      <c r="P4177" s="42">
        <v>10400</v>
      </c>
      <c r="R4177" s="42">
        <v>3120</v>
      </c>
      <c r="T4177" s="284">
        <v>7280</v>
      </c>
      <c r="U4177" s="284"/>
    </row>
    <row r="4178" spans="2:21" x14ac:dyDescent="0.25">
      <c r="B4178" s="292">
        <v>67</v>
      </c>
      <c r="C4178" s="292"/>
      <c r="D4178" s="292"/>
      <c r="F4178" s="283" t="s">
        <v>105</v>
      </c>
      <c r="G4178" s="283"/>
      <c r="J4178" s="293">
        <v>12</v>
      </c>
      <c r="K4178" s="293"/>
      <c r="L4178" s="293"/>
      <c r="M4178" s="293"/>
      <c r="N4178" s="293"/>
      <c r="P4178" s="42">
        <v>13800</v>
      </c>
      <c r="R4178" s="42">
        <v>0</v>
      </c>
      <c r="T4178" s="284">
        <v>13800</v>
      </c>
      <c r="U4178" s="284"/>
    </row>
    <row r="4179" spans="2:21" x14ac:dyDescent="0.25">
      <c r="B4179" s="292">
        <v>68</v>
      </c>
      <c r="C4179" s="292"/>
      <c r="D4179" s="292"/>
      <c r="F4179" s="283" t="s">
        <v>103</v>
      </c>
      <c r="G4179" s="283"/>
      <c r="J4179" s="293">
        <v>14</v>
      </c>
      <c r="K4179" s="293"/>
      <c r="L4179" s="293"/>
      <c r="M4179" s="293"/>
      <c r="N4179" s="293"/>
      <c r="P4179" s="42">
        <v>4620</v>
      </c>
      <c r="R4179" s="42">
        <v>1720</v>
      </c>
      <c r="T4179" s="284">
        <v>2900</v>
      </c>
      <c r="U4179" s="284"/>
    </row>
    <row r="4180" spans="2:21" x14ac:dyDescent="0.25">
      <c r="B4180" s="292">
        <v>69</v>
      </c>
      <c r="C4180" s="292"/>
      <c r="D4180" s="292"/>
      <c r="F4180" s="283" t="s">
        <v>213</v>
      </c>
      <c r="G4180" s="283"/>
      <c r="J4180" s="293">
        <v>1</v>
      </c>
      <c r="K4180" s="293"/>
      <c r="L4180" s="293"/>
      <c r="M4180" s="293"/>
      <c r="N4180" s="293"/>
      <c r="P4180" s="42">
        <v>700</v>
      </c>
      <c r="R4180" s="42">
        <v>350</v>
      </c>
      <c r="T4180" s="284">
        <v>350</v>
      </c>
      <c r="U4180" s="284"/>
    </row>
    <row r="4181" spans="2:21" x14ac:dyDescent="0.25">
      <c r="B4181" s="292">
        <v>70</v>
      </c>
      <c r="C4181" s="292"/>
      <c r="D4181" s="292"/>
      <c r="F4181" s="283" t="s">
        <v>211</v>
      </c>
      <c r="G4181" s="283"/>
      <c r="J4181" s="293">
        <v>2</v>
      </c>
      <c r="K4181" s="293"/>
      <c r="L4181" s="293"/>
      <c r="M4181" s="293"/>
      <c r="N4181" s="293"/>
      <c r="P4181" s="42">
        <v>1000</v>
      </c>
      <c r="R4181" s="42">
        <v>300</v>
      </c>
      <c r="T4181" s="284">
        <v>700</v>
      </c>
      <c r="U4181" s="284"/>
    </row>
    <row r="4182" spans="2:21" x14ac:dyDescent="0.25">
      <c r="B4182" s="292">
        <v>71</v>
      </c>
      <c r="C4182" s="292"/>
      <c r="D4182" s="292"/>
      <c r="F4182" s="283" t="s">
        <v>276</v>
      </c>
      <c r="G4182" s="283"/>
      <c r="J4182" s="293">
        <v>2</v>
      </c>
      <c r="K4182" s="293"/>
      <c r="L4182" s="293"/>
      <c r="M4182" s="293"/>
      <c r="N4182" s="293"/>
      <c r="P4182" s="42">
        <v>1000</v>
      </c>
      <c r="R4182" s="42">
        <v>300</v>
      </c>
      <c r="T4182" s="284">
        <v>700</v>
      </c>
      <c r="U4182" s="284"/>
    </row>
    <row r="4183" spans="2:21" x14ac:dyDescent="0.25">
      <c r="B4183" s="292">
        <v>72</v>
      </c>
      <c r="C4183" s="292"/>
      <c r="D4183" s="292"/>
      <c r="F4183" s="283" t="s">
        <v>102</v>
      </c>
      <c r="G4183" s="283"/>
      <c r="J4183" s="293">
        <v>1</v>
      </c>
      <c r="K4183" s="293"/>
      <c r="L4183" s="293"/>
      <c r="M4183" s="293"/>
      <c r="N4183" s="293"/>
      <c r="P4183" s="42">
        <v>880</v>
      </c>
      <c r="R4183" s="42">
        <v>130</v>
      </c>
      <c r="T4183" s="284">
        <v>750</v>
      </c>
      <c r="U4183" s="284"/>
    </row>
    <row r="4184" spans="2:21" x14ac:dyDescent="0.25">
      <c r="B4184" s="292">
        <v>73</v>
      </c>
      <c r="C4184" s="292"/>
      <c r="D4184" s="292"/>
      <c r="F4184" s="283" t="s">
        <v>254</v>
      </c>
      <c r="G4184" s="283"/>
      <c r="J4184" s="293">
        <v>2</v>
      </c>
      <c r="K4184" s="293"/>
      <c r="L4184" s="293"/>
      <c r="M4184" s="293"/>
      <c r="N4184" s="293"/>
      <c r="P4184" s="42">
        <v>580</v>
      </c>
      <c r="R4184" s="42">
        <v>160</v>
      </c>
      <c r="T4184" s="284">
        <v>420</v>
      </c>
      <c r="U4184" s="284"/>
    </row>
    <row r="4185" spans="2:21" x14ac:dyDescent="0.25">
      <c r="B4185" s="292">
        <v>74</v>
      </c>
      <c r="C4185" s="292"/>
      <c r="D4185" s="292"/>
      <c r="F4185" s="283" t="s">
        <v>179</v>
      </c>
      <c r="G4185" s="283"/>
      <c r="J4185" s="293">
        <v>1</v>
      </c>
      <c r="K4185" s="293"/>
      <c r="L4185" s="293"/>
      <c r="M4185" s="293"/>
      <c r="N4185" s="293"/>
      <c r="P4185" s="42">
        <v>880</v>
      </c>
      <c r="R4185" s="42">
        <v>130</v>
      </c>
      <c r="T4185" s="284">
        <v>750</v>
      </c>
      <c r="U4185" s="284"/>
    </row>
    <row r="4186" spans="2:21" x14ac:dyDescent="0.25">
      <c r="B4186" s="292">
        <v>75</v>
      </c>
      <c r="C4186" s="292"/>
      <c r="D4186" s="292"/>
      <c r="F4186" s="283" t="s">
        <v>100</v>
      </c>
      <c r="G4186" s="283"/>
      <c r="J4186" s="293">
        <v>5</v>
      </c>
      <c r="K4186" s="293"/>
      <c r="L4186" s="293"/>
      <c r="M4186" s="293"/>
      <c r="N4186" s="293"/>
      <c r="P4186" s="42">
        <v>900</v>
      </c>
      <c r="R4186" s="42">
        <v>250</v>
      </c>
      <c r="T4186" s="284">
        <v>650</v>
      </c>
      <c r="U4186" s="284"/>
    </row>
    <row r="4187" spans="2:21" x14ac:dyDescent="0.25">
      <c r="B4187" s="292">
        <v>76</v>
      </c>
      <c r="C4187" s="292"/>
      <c r="D4187" s="292"/>
      <c r="F4187" s="283" t="s">
        <v>178</v>
      </c>
      <c r="G4187" s="283"/>
      <c r="J4187" s="293">
        <v>1</v>
      </c>
      <c r="K4187" s="293"/>
      <c r="L4187" s="293"/>
      <c r="M4187" s="293"/>
      <c r="N4187" s="293"/>
      <c r="P4187" s="42">
        <v>1650</v>
      </c>
      <c r="R4187" s="42">
        <v>0</v>
      </c>
      <c r="T4187" s="284">
        <v>1650</v>
      </c>
      <c r="U4187" s="284"/>
    </row>
    <row r="4188" spans="2:21" x14ac:dyDescent="0.25">
      <c r="B4188" s="292">
        <v>77</v>
      </c>
      <c r="C4188" s="292"/>
      <c r="D4188" s="292"/>
      <c r="F4188" s="283" t="s">
        <v>97</v>
      </c>
      <c r="G4188" s="283"/>
      <c r="J4188" s="293">
        <v>3</v>
      </c>
      <c r="K4188" s="293"/>
      <c r="L4188" s="293"/>
      <c r="M4188" s="293"/>
      <c r="N4188" s="293"/>
      <c r="P4188" s="42">
        <v>4770</v>
      </c>
      <c r="R4188" s="42">
        <v>480</v>
      </c>
      <c r="T4188" s="284">
        <v>4290</v>
      </c>
      <c r="U4188" s="284"/>
    </row>
    <row r="4189" spans="2:21" x14ac:dyDescent="0.25">
      <c r="B4189" s="292">
        <v>78</v>
      </c>
      <c r="C4189" s="292"/>
      <c r="D4189" s="292"/>
      <c r="F4189" s="283" t="s">
        <v>93</v>
      </c>
      <c r="G4189" s="283"/>
      <c r="J4189" s="293">
        <v>5</v>
      </c>
      <c r="K4189" s="293"/>
      <c r="L4189" s="293"/>
      <c r="M4189" s="293"/>
      <c r="N4189" s="293"/>
      <c r="P4189" s="42">
        <v>2950</v>
      </c>
      <c r="R4189" s="42">
        <v>360</v>
      </c>
      <c r="T4189" s="284">
        <v>2590</v>
      </c>
      <c r="U4189" s="284"/>
    </row>
    <row r="4190" spans="2:21" x14ac:dyDescent="0.25">
      <c r="B4190" s="292">
        <v>79</v>
      </c>
      <c r="C4190" s="292"/>
      <c r="D4190" s="292"/>
      <c r="F4190" s="283" t="s">
        <v>92</v>
      </c>
      <c r="G4190" s="283"/>
      <c r="J4190" s="293">
        <v>35</v>
      </c>
      <c r="K4190" s="293"/>
      <c r="L4190" s="293"/>
      <c r="M4190" s="293"/>
      <c r="N4190" s="293"/>
      <c r="P4190" s="42">
        <v>18080</v>
      </c>
      <c r="R4190" s="42">
        <v>4960</v>
      </c>
      <c r="T4190" s="284">
        <v>13120</v>
      </c>
      <c r="U4190" s="284"/>
    </row>
    <row r="4191" spans="2:21" x14ac:dyDescent="0.25">
      <c r="B4191" s="292">
        <v>80</v>
      </c>
      <c r="C4191" s="292"/>
      <c r="D4191" s="292"/>
      <c r="F4191" s="283" t="s">
        <v>175</v>
      </c>
      <c r="G4191" s="283"/>
      <c r="J4191" s="293">
        <v>4</v>
      </c>
      <c r="K4191" s="293"/>
      <c r="L4191" s="293"/>
      <c r="M4191" s="293"/>
      <c r="N4191" s="293"/>
      <c r="P4191" s="42">
        <v>2400</v>
      </c>
      <c r="R4191" s="42">
        <v>660</v>
      </c>
      <c r="T4191" s="284">
        <v>1740</v>
      </c>
      <c r="U4191" s="284"/>
    </row>
    <row r="4192" spans="2:21" x14ac:dyDescent="0.25">
      <c r="B4192" s="292">
        <v>81</v>
      </c>
      <c r="C4192" s="292"/>
      <c r="D4192" s="292"/>
      <c r="F4192" s="283" t="s">
        <v>173</v>
      </c>
      <c r="G4192" s="283"/>
      <c r="J4192" s="293">
        <v>4</v>
      </c>
      <c r="K4192" s="293"/>
      <c r="L4192" s="293"/>
      <c r="M4192" s="293"/>
      <c r="N4192" s="293"/>
      <c r="P4192" s="42">
        <v>4000</v>
      </c>
      <c r="R4192" s="42">
        <v>1200</v>
      </c>
      <c r="T4192" s="284">
        <v>2800</v>
      </c>
      <c r="U4192" s="284"/>
    </row>
    <row r="4193" spans="1:21" x14ac:dyDescent="0.25">
      <c r="B4193" s="292">
        <v>82</v>
      </c>
      <c r="C4193" s="292"/>
      <c r="D4193" s="292"/>
      <c r="F4193" s="283" t="s">
        <v>91</v>
      </c>
      <c r="G4193" s="283"/>
      <c r="J4193" s="293">
        <v>6</v>
      </c>
      <c r="K4193" s="293"/>
      <c r="L4193" s="293"/>
      <c r="M4193" s="293"/>
      <c r="N4193" s="293"/>
      <c r="P4193" s="42">
        <v>1500</v>
      </c>
      <c r="R4193" s="42">
        <v>350</v>
      </c>
      <c r="T4193" s="284">
        <v>1150</v>
      </c>
      <c r="U4193" s="284"/>
    </row>
    <row r="4194" spans="1:21" x14ac:dyDescent="0.25">
      <c r="B4194" s="292">
        <v>83</v>
      </c>
      <c r="C4194" s="292"/>
      <c r="D4194" s="292"/>
      <c r="F4194" s="283" t="s">
        <v>90</v>
      </c>
      <c r="G4194" s="283"/>
      <c r="J4194" s="293">
        <v>23</v>
      </c>
      <c r="K4194" s="293"/>
      <c r="L4194" s="293"/>
      <c r="M4194" s="293"/>
      <c r="N4194" s="293"/>
      <c r="P4194" s="42">
        <v>6670</v>
      </c>
      <c r="R4194" s="42">
        <v>1200</v>
      </c>
      <c r="T4194" s="284">
        <v>5470</v>
      </c>
      <c r="U4194" s="284"/>
    </row>
    <row r="4195" spans="1:21" x14ac:dyDescent="0.25">
      <c r="B4195" s="292">
        <v>84</v>
      </c>
      <c r="C4195" s="292"/>
      <c r="D4195" s="292"/>
      <c r="F4195" s="283" t="s">
        <v>89</v>
      </c>
      <c r="G4195" s="283"/>
      <c r="J4195" s="293">
        <v>9</v>
      </c>
      <c r="K4195" s="293"/>
      <c r="L4195" s="293"/>
      <c r="M4195" s="293"/>
      <c r="N4195" s="293"/>
      <c r="P4195" s="42">
        <v>7920</v>
      </c>
      <c r="R4195" s="42">
        <v>1040</v>
      </c>
      <c r="T4195" s="284">
        <v>6880</v>
      </c>
      <c r="U4195" s="284"/>
    </row>
    <row r="4196" spans="1:21" x14ac:dyDescent="0.25">
      <c r="B4196" s="292">
        <v>85</v>
      </c>
      <c r="C4196" s="292"/>
      <c r="D4196" s="292"/>
      <c r="F4196" s="283" t="s">
        <v>88</v>
      </c>
      <c r="G4196" s="283"/>
      <c r="J4196" s="293">
        <v>134</v>
      </c>
      <c r="K4196" s="293"/>
      <c r="L4196" s="293"/>
      <c r="M4196" s="293"/>
      <c r="N4196" s="293"/>
      <c r="P4196" s="42">
        <v>24120</v>
      </c>
      <c r="R4196" s="42">
        <v>7575</v>
      </c>
      <c r="T4196" s="284">
        <v>16545</v>
      </c>
      <c r="U4196" s="284"/>
    </row>
    <row r="4197" spans="1:21" x14ac:dyDescent="0.25">
      <c r="B4197" s="292">
        <v>86</v>
      </c>
      <c r="C4197" s="292"/>
      <c r="D4197" s="292"/>
      <c r="F4197" s="283" t="s">
        <v>87</v>
      </c>
      <c r="G4197" s="283"/>
      <c r="J4197" s="293">
        <v>3</v>
      </c>
      <c r="K4197" s="293"/>
      <c r="L4197" s="293"/>
      <c r="M4197" s="293"/>
      <c r="N4197" s="293"/>
      <c r="P4197" s="42">
        <v>870</v>
      </c>
      <c r="R4197" s="42">
        <v>240</v>
      </c>
      <c r="T4197" s="284">
        <v>630</v>
      </c>
      <c r="U4197" s="284"/>
    </row>
    <row r="4198" spans="1:21" x14ac:dyDescent="0.25">
      <c r="B4198" s="292">
        <v>87</v>
      </c>
      <c r="C4198" s="292"/>
      <c r="D4198" s="292"/>
      <c r="F4198" s="283" t="s">
        <v>85</v>
      </c>
      <c r="G4198" s="283"/>
      <c r="J4198" s="293">
        <v>9</v>
      </c>
      <c r="K4198" s="293"/>
      <c r="L4198" s="293"/>
      <c r="M4198" s="293"/>
      <c r="N4198" s="293"/>
      <c r="P4198" s="42">
        <v>18720</v>
      </c>
      <c r="R4198" s="42">
        <v>2480</v>
      </c>
      <c r="T4198" s="284">
        <v>16240</v>
      </c>
      <c r="U4198" s="284"/>
    </row>
    <row r="4199" spans="1:21" x14ac:dyDescent="0.25">
      <c r="B4199" s="292">
        <v>88</v>
      </c>
      <c r="C4199" s="292"/>
      <c r="D4199" s="292"/>
      <c r="F4199" s="283" t="s">
        <v>84</v>
      </c>
      <c r="G4199" s="283"/>
      <c r="J4199" s="293">
        <v>11</v>
      </c>
      <c r="K4199" s="293"/>
      <c r="L4199" s="293"/>
      <c r="M4199" s="293"/>
      <c r="N4199" s="293"/>
      <c r="P4199" s="42">
        <v>6490</v>
      </c>
      <c r="R4199" s="42">
        <v>1800</v>
      </c>
      <c r="T4199" s="284">
        <v>4690</v>
      </c>
      <c r="U4199" s="284"/>
    </row>
    <row r="4200" spans="1:21" x14ac:dyDescent="0.25">
      <c r="B4200" s="292">
        <v>89</v>
      </c>
      <c r="C4200" s="292"/>
      <c r="D4200" s="292"/>
      <c r="F4200" s="283" t="s">
        <v>273</v>
      </c>
      <c r="G4200" s="283"/>
      <c r="J4200" s="293">
        <v>1</v>
      </c>
      <c r="K4200" s="293"/>
      <c r="L4200" s="293"/>
      <c r="M4200" s="293"/>
      <c r="N4200" s="293"/>
      <c r="P4200" s="42">
        <v>500</v>
      </c>
      <c r="R4200" s="42">
        <v>150</v>
      </c>
      <c r="T4200" s="284">
        <v>350</v>
      </c>
      <c r="U4200" s="284"/>
    </row>
    <row r="4201" spans="1:21" x14ac:dyDescent="0.25">
      <c r="B4201" s="292">
        <v>90</v>
      </c>
      <c r="C4201" s="292"/>
      <c r="D4201" s="292"/>
      <c r="F4201" s="283" t="s">
        <v>271</v>
      </c>
      <c r="G4201" s="283"/>
      <c r="J4201" s="293">
        <v>1</v>
      </c>
      <c r="K4201" s="293"/>
      <c r="L4201" s="293"/>
      <c r="M4201" s="293"/>
      <c r="N4201" s="293"/>
      <c r="P4201" s="42">
        <v>500</v>
      </c>
      <c r="R4201" s="42">
        <v>150</v>
      </c>
      <c r="T4201" s="284">
        <v>350</v>
      </c>
      <c r="U4201" s="284"/>
    </row>
    <row r="4202" spans="1:21" x14ac:dyDescent="0.25">
      <c r="B4202" s="292">
        <v>91</v>
      </c>
      <c r="C4202" s="292"/>
      <c r="D4202" s="292"/>
      <c r="F4202" s="283" t="s">
        <v>81</v>
      </c>
      <c r="G4202" s="283"/>
      <c r="J4202" s="293">
        <v>2</v>
      </c>
      <c r="K4202" s="293"/>
      <c r="L4202" s="293"/>
      <c r="M4202" s="293"/>
      <c r="N4202" s="293"/>
      <c r="P4202" s="42">
        <v>580</v>
      </c>
      <c r="R4202" s="42">
        <v>160</v>
      </c>
      <c r="T4202" s="284">
        <v>420</v>
      </c>
      <c r="U4202" s="284"/>
    </row>
    <row r="4203" spans="1:21" s="40" customFormat="1" x14ac:dyDescent="0.25">
      <c r="A4203" s="290" t="s">
        <v>317</v>
      </c>
      <c r="B4203" s="290"/>
      <c r="C4203" s="290"/>
      <c r="D4203" s="290"/>
      <c r="E4203" s="290"/>
      <c r="F4203" s="290"/>
      <c r="G4203" s="290"/>
      <c r="H4203" s="290"/>
      <c r="I4203" s="290"/>
      <c r="J4203" s="290"/>
      <c r="K4203" s="291">
        <v>1788</v>
      </c>
      <c r="L4203" s="291"/>
      <c r="M4203" s="291"/>
      <c r="N4203" s="291"/>
      <c r="O4203" s="291"/>
      <c r="P4203" s="41">
        <v>1878130</v>
      </c>
      <c r="R4203" s="41">
        <v>1724970</v>
      </c>
      <c r="T4203" s="287">
        <v>153160</v>
      </c>
      <c r="U4203" s="287"/>
    </row>
    <row r="4204" spans="1:21" x14ac:dyDescent="0.25">
      <c r="B4204" s="292">
        <v>1</v>
      </c>
      <c r="C4204" s="292"/>
      <c r="D4204" s="292"/>
      <c r="F4204" s="283" t="s">
        <v>316</v>
      </c>
      <c r="G4204" s="283"/>
      <c r="J4204" s="293">
        <v>1</v>
      </c>
      <c r="K4204" s="293"/>
      <c r="L4204" s="293"/>
      <c r="M4204" s="293"/>
      <c r="N4204" s="293"/>
      <c r="P4204" s="42">
        <v>390</v>
      </c>
      <c r="R4204" s="42">
        <v>120</v>
      </c>
      <c r="T4204" s="284">
        <v>270</v>
      </c>
      <c r="U4204" s="284"/>
    </row>
    <row r="4205" spans="1:21" x14ac:dyDescent="0.25">
      <c r="B4205" s="292">
        <v>2</v>
      </c>
      <c r="C4205" s="292"/>
      <c r="D4205" s="292"/>
      <c r="F4205" s="283" t="s">
        <v>78</v>
      </c>
      <c r="G4205" s="283"/>
      <c r="J4205" s="293">
        <v>73</v>
      </c>
      <c r="K4205" s="293"/>
      <c r="L4205" s="293"/>
      <c r="M4205" s="293"/>
      <c r="N4205" s="293"/>
      <c r="P4205" s="42">
        <v>21170</v>
      </c>
      <c r="R4205" s="42">
        <v>21170</v>
      </c>
      <c r="T4205" s="284">
        <v>0</v>
      </c>
      <c r="U4205" s="284"/>
    </row>
    <row r="4206" spans="1:21" x14ac:dyDescent="0.25">
      <c r="B4206" s="292">
        <v>3</v>
      </c>
      <c r="C4206" s="292"/>
      <c r="D4206" s="292"/>
      <c r="F4206" s="283" t="s">
        <v>162</v>
      </c>
      <c r="G4206" s="283"/>
      <c r="J4206" s="293">
        <v>6</v>
      </c>
      <c r="K4206" s="293"/>
      <c r="L4206" s="293"/>
      <c r="M4206" s="293"/>
      <c r="N4206" s="293"/>
      <c r="P4206" s="42">
        <v>2580</v>
      </c>
      <c r="R4206" s="42">
        <v>1014</v>
      </c>
      <c r="T4206" s="284">
        <v>1566</v>
      </c>
      <c r="U4206" s="284"/>
    </row>
    <row r="4207" spans="1:21" x14ac:dyDescent="0.25">
      <c r="B4207" s="292">
        <v>4</v>
      </c>
      <c r="C4207" s="292"/>
      <c r="D4207" s="292"/>
      <c r="F4207" s="283" t="s">
        <v>160</v>
      </c>
      <c r="G4207" s="283"/>
      <c r="J4207" s="293">
        <v>13</v>
      </c>
      <c r="K4207" s="293"/>
      <c r="L4207" s="293"/>
      <c r="M4207" s="293"/>
      <c r="N4207" s="293"/>
      <c r="P4207" s="42">
        <v>3770</v>
      </c>
      <c r="R4207" s="42">
        <v>1040</v>
      </c>
      <c r="T4207" s="284">
        <v>2730</v>
      </c>
      <c r="U4207" s="284"/>
    </row>
    <row r="4208" spans="1:21" x14ac:dyDescent="0.25">
      <c r="B4208" s="292">
        <v>5</v>
      </c>
      <c r="C4208" s="292"/>
      <c r="D4208" s="292"/>
      <c r="F4208" s="283" t="s">
        <v>158</v>
      </c>
      <c r="G4208" s="283"/>
      <c r="J4208" s="293">
        <v>238</v>
      </c>
      <c r="K4208" s="293"/>
      <c r="L4208" s="293"/>
      <c r="M4208" s="293"/>
      <c r="N4208" s="293"/>
      <c r="P4208" s="42">
        <v>130900</v>
      </c>
      <c r="R4208" s="42">
        <v>45908</v>
      </c>
      <c r="T4208" s="284">
        <v>84992</v>
      </c>
      <c r="U4208" s="284"/>
    </row>
    <row r="4209" spans="2:21" x14ac:dyDescent="0.25">
      <c r="B4209" s="292">
        <v>6</v>
      </c>
      <c r="C4209" s="292"/>
      <c r="D4209" s="292"/>
      <c r="F4209" s="283" t="s">
        <v>157</v>
      </c>
      <c r="G4209" s="283"/>
      <c r="J4209" s="293">
        <v>11</v>
      </c>
      <c r="K4209" s="293"/>
      <c r="L4209" s="293"/>
      <c r="M4209" s="293"/>
      <c r="N4209" s="293"/>
      <c r="P4209" s="42">
        <v>5390</v>
      </c>
      <c r="R4209" s="42">
        <v>2300</v>
      </c>
      <c r="T4209" s="284">
        <v>3090</v>
      </c>
      <c r="U4209" s="284"/>
    </row>
    <row r="4210" spans="2:21" x14ac:dyDescent="0.25">
      <c r="B4210" s="292">
        <v>7</v>
      </c>
      <c r="C4210" s="292"/>
      <c r="D4210" s="292"/>
      <c r="F4210" s="283" t="s">
        <v>77</v>
      </c>
      <c r="G4210" s="283"/>
      <c r="J4210" s="293">
        <v>640</v>
      </c>
      <c r="K4210" s="293"/>
      <c r="L4210" s="293"/>
      <c r="M4210" s="293"/>
      <c r="N4210" s="293"/>
      <c r="P4210" s="42">
        <v>257900</v>
      </c>
      <c r="R4210" s="42">
        <v>257900</v>
      </c>
      <c r="T4210" s="284">
        <v>0</v>
      </c>
      <c r="U4210" s="284"/>
    </row>
    <row r="4211" spans="2:21" x14ac:dyDescent="0.25">
      <c r="B4211" s="292">
        <v>8</v>
      </c>
      <c r="C4211" s="292"/>
      <c r="D4211" s="292"/>
      <c r="F4211" s="283" t="s">
        <v>76</v>
      </c>
      <c r="G4211" s="283"/>
      <c r="J4211" s="293">
        <v>1</v>
      </c>
      <c r="K4211" s="293"/>
      <c r="L4211" s="293"/>
      <c r="M4211" s="293"/>
      <c r="N4211" s="293"/>
      <c r="P4211" s="42">
        <v>600</v>
      </c>
      <c r="R4211" s="42">
        <v>600</v>
      </c>
      <c r="T4211" s="284">
        <v>0</v>
      </c>
      <c r="U4211" s="284"/>
    </row>
    <row r="4212" spans="2:21" x14ac:dyDescent="0.25">
      <c r="B4212" s="292">
        <v>9</v>
      </c>
      <c r="C4212" s="292"/>
      <c r="D4212" s="292"/>
      <c r="F4212" s="283" t="s">
        <v>156</v>
      </c>
      <c r="G4212" s="283"/>
      <c r="J4212" s="293">
        <v>2</v>
      </c>
      <c r="K4212" s="293"/>
      <c r="L4212" s="293"/>
      <c r="M4212" s="293"/>
      <c r="N4212" s="293"/>
      <c r="P4212" s="42">
        <v>380</v>
      </c>
      <c r="R4212" s="42">
        <v>150</v>
      </c>
      <c r="T4212" s="284">
        <v>230</v>
      </c>
      <c r="U4212" s="284"/>
    </row>
    <row r="4213" spans="2:21" x14ac:dyDescent="0.25">
      <c r="B4213" s="292">
        <v>10</v>
      </c>
      <c r="C4213" s="292"/>
      <c r="D4213" s="292"/>
      <c r="F4213" s="283" t="s">
        <v>155</v>
      </c>
      <c r="G4213" s="283"/>
      <c r="J4213" s="293">
        <v>53</v>
      </c>
      <c r="K4213" s="293"/>
      <c r="L4213" s="293"/>
      <c r="M4213" s="293"/>
      <c r="N4213" s="293"/>
      <c r="P4213" s="42">
        <v>13250</v>
      </c>
      <c r="R4213" s="42">
        <v>6697</v>
      </c>
      <c r="T4213" s="284">
        <v>6553</v>
      </c>
      <c r="U4213" s="284"/>
    </row>
    <row r="4214" spans="2:21" x14ac:dyDescent="0.25">
      <c r="B4214" s="292">
        <v>11</v>
      </c>
      <c r="C4214" s="292"/>
      <c r="D4214" s="292"/>
      <c r="F4214" s="283" t="s">
        <v>152</v>
      </c>
      <c r="G4214" s="283"/>
      <c r="J4214" s="293">
        <v>1</v>
      </c>
      <c r="K4214" s="293"/>
      <c r="L4214" s="293"/>
      <c r="M4214" s="293"/>
      <c r="N4214" s="293"/>
      <c r="P4214" s="42">
        <v>590</v>
      </c>
      <c r="R4214" s="42">
        <v>210</v>
      </c>
      <c r="T4214" s="284">
        <v>380</v>
      </c>
      <c r="U4214" s="284"/>
    </row>
    <row r="4215" spans="2:21" x14ac:dyDescent="0.25">
      <c r="B4215" s="292">
        <v>12</v>
      </c>
      <c r="C4215" s="292"/>
      <c r="D4215" s="292"/>
      <c r="F4215" s="283" t="s">
        <v>151</v>
      </c>
      <c r="G4215" s="283"/>
      <c r="J4215" s="293">
        <v>28</v>
      </c>
      <c r="K4215" s="293"/>
      <c r="L4215" s="293"/>
      <c r="M4215" s="293"/>
      <c r="N4215" s="293"/>
      <c r="P4215" s="42">
        <v>6440</v>
      </c>
      <c r="R4215" s="42">
        <v>2190</v>
      </c>
      <c r="T4215" s="284">
        <v>4250</v>
      </c>
      <c r="U4215" s="284"/>
    </row>
    <row r="4216" spans="2:21" x14ac:dyDescent="0.25">
      <c r="B4216" s="292">
        <v>13</v>
      </c>
      <c r="C4216" s="292"/>
      <c r="D4216" s="292"/>
      <c r="F4216" s="283" t="s">
        <v>234</v>
      </c>
      <c r="G4216" s="283"/>
      <c r="J4216" s="293">
        <v>1</v>
      </c>
      <c r="K4216" s="293"/>
      <c r="L4216" s="293"/>
      <c r="M4216" s="293"/>
      <c r="N4216" s="293"/>
      <c r="P4216" s="42">
        <v>800</v>
      </c>
      <c r="R4216" s="42">
        <v>450</v>
      </c>
      <c r="T4216" s="284">
        <v>350</v>
      </c>
      <c r="U4216" s="284"/>
    </row>
    <row r="4217" spans="2:21" x14ac:dyDescent="0.25">
      <c r="B4217" s="292">
        <v>14</v>
      </c>
      <c r="C4217" s="292"/>
      <c r="D4217" s="292"/>
      <c r="F4217" s="283" t="s">
        <v>193</v>
      </c>
      <c r="G4217" s="283"/>
      <c r="J4217" s="293">
        <v>1</v>
      </c>
      <c r="K4217" s="293"/>
      <c r="L4217" s="293"/>
      <c r="M4217" s="293"/>
      <c r="N4217" s="293"/>
      <c r="P4217" s="42">
        <v>890</v>
      </c>
      <c r="R4217" s="42">
        <v>130</v>
      </c>
      <c r="T4217" s="284">
        <v>760</v>
      </c>
      <c r="U4217" s="284"/>
    </row>
    <row r="4218" spans="2:21" x14ac:dyDescent="0.25">
      <c r="B4218" s="292">
        <v>15</v>
      </c>
      <c r="C4218" s="292"/>
      <c r="D4218" s="292"/>
      <c r="F4218" s="283" t="s">
        <v>142</v>
      </c>
      <c r="G4218" s="283"/>
      <c r="J4218" s="293">
        <v>1</v>
      </c>
      <c r="K4218" s="293"/>
      <c r="L4218" s="293"/>
      <c r="M4218" s="293"/>
      <c r="N4218" s="293"/>
      <c r="P4218" s="42">
        <v>350</v>
      </c>
      <c r="R4218" s="42">
        <v>150</v>
      </c>
      <c r="T4218" s="284">
        <v>200</v>
      </c>
      <c r="U4218" s="284"/>
    </row>
    <row r="4219" spans="2:21" x14ac:dyDescent="0.25">
      <c r="B4219" s="292">
        <v>16</v>
      </c>
      <c r="C4219" s="292"/>
      <c r="D4219" s="292"/>
      <c r="F4219" s="283" t="s">
        <v>75</v>
      </c>
      <c r="G4219" s="283"/>
      <c r="J4219" s="293">
        <v>537</v>
      </c>
      <c r="K4219" s="293"/>
      <c r="L4219" s="293"/>
      <c r="M4219" s="293"/>
      <c r="N4219" s="293"/>
      <c r="P4219" s="42">
        <v>1342500</v>
      </c>
      <c r="R4219" s="42">
        <v>1342500</v>
      </c>
      <c r="T4219" s="284">
        <v>0</v>
      </c>
      <c r="U4219" s="284"/>
    </row>
    <row r="4220" spans="2:21" x14ac:dyDescent="0.25">
      <c r="B4220" s="292">
        <v>17</v>
      </c>
      <c r="C4220" s="292"/>
      <c r="D4220" s="292"/>
      <c r="F4220" s="283" t="s">
        <v>74</v>
      </c>
      <c r="G4220" s="283"/>
      <c r="J4220" s="293">
        <v>4</v>
      </c>
      <c r="K4220" s="293"/>
      <c r="L4220" s="293"/>
      <c r="M4220" s="293"/>
      <c r="N4220" s="293"/>
      <c r="P4220" s="42">
        <v>3400</v>
      </c>
      <c r="R4220" s="42">
        <v>3400</v>
      </c>
      <c r="T4220" s="284">
        <v>0</v>
      </c>
      <c r="U4220" s="284"/>
    </row>
    <row r="4221" spans="2:21" x14ac:dyDescent="0.25">
      <c r="B4221" s="292">
        <v>18</v>
      </c>
      <c r="C4221" s="292"/>
      <c r="D4221" s="292"/>
      <c r="F4221" s="283" t="s">
        <v>135</v>
      </c>
      <c r="G4221" s="283"/>
      <c r="J4221" s="293">
        <v>1</v>
      </c>
      <c r="K4221" s="293"/>
      <c r="L4221" s="293"/>
      <c r="M4221" s="293"/>
      <c r="N4221" s="293"/>
      <c r="P4221" s="42">
        <v>950</v>
      </c>
      <c r="R4221" s="42">
        <v>280</v>
      </c>
      <c r="T4221" s="284">
        <v>670</v>
      </c>
      <c r="U4221" s="284"/>
    </row>
    <row r="4222" spans="2:21" x14ac:dyDescent="0.25">
      <c r="B4222" s="292">
        <v>19</v>
      </c>
      <c r="C4222" s="292"/>
      <c r="D4222" s="292"/>
      <c r="F4222" s="283" t="s">
        <v>315</v>
      </c>
      <c r="G4222" s="283"/>
      <c r="J4222" s="293">
        <v>1</v>
      </c>
      <c r="K4222" s="293"/>
      <c r="L4222" s="293"/>
      <c r="M4222" s="293"/>
      <c r="N4222" s="293"/>
      <c r="P4222" s="42">
        <v>500</v>
      </c>
      <c r="R4222" s="42">
        <v>130</v>
      </c>
      <c r="T4222" s="284">
        <v>370</v>
      </c>
      <c r="U4222" s="284"/>
    </row>
    <row r="4223" spans="2:21" x14ac:dyDescent="0.25">
      <c r="B4223" s="292">
        <v>20</v>
      </c>
      <c r="C4223" s="292"/>
      <c r="D4223" s="292"/>
      <c r="F4223" s="283" t="s">
        <v>132</v>
      </c>
      <c r="G4223" s="283"/>
      <c r="J4223" s="293">
        <v>1</v>
      </c>
      <c r="K4223" s="293"/>
      <c r="L4223" s="293"/>
      <c r="M4223" s="293"/>
      <c r="N4223" s="293"/>
      <c r="P4223" s="42">
        <v>1240</v>
      </c>
      <c r="R4223" s="42">
        <v>370</v>
      </c>
      <c r="T4223" s="284">
        <v>870</v>
      </c>
      <c r="U4223" s="284"/>
    </row>
    <row r="4224" spans="2:21" x14ac:dyDescent="0.25">
      <c r="B4224" s="292">
        <v>21</v>
      </c>
      <c r="C4224" s="292"/>
      <c r="D4224" s="292"/>
      <c r="F4224" s="283" t="s">
        <v>127</v>
      </c>
      <c r="G4224" s="283"/>
      <c r="J4224" s="293">
        <v>7</v>
      </c>
      <c r="K4224" s="293"/>
      <c r="L4224" s="293"/>
      <c r="M4224" s="293"/>
      <c r="N4224" s="293"/>
      <c r="P4224" s="42">
        <v>2100</v>
      </c>
      <c r="R4224" s="42">
        <v>669</v>
      </c>
      <c r="T4224" s="284">
        <v>1431</v>
      </c>
      <c r="U4224" s="284"/>
    </row>
    <row r="4225" spans="2:21" x14ac:dyDescent="0.25">
      <c r="B4225" s="292">
        <v>22</v>
      </c>
      <c r="C4225" s="292"/>
      <c r="D4225" s="292"/>
      <c r="F4225" s="283" t="s">
        <v>126</v>
      </c>
      <c r="G4225" s="283"/>
      <c r="J4225" s="293">
        <v>6</v>
      </c>
      <c r="K4225" s="293"/>
      <c r="L4225" s="293"/>
      <c r="M4225" s="293"/>
      <c r="N4225" s="293"/>
      <c r="P4225" s="42">
        <v>1200</v>
      </c>
      <c r="R4225" s="42">
        <v>387</v>
      </c>
      <c r="T4225" s="284">
        <v>813</v>
      </c>
      <c r="U4225" s="284"/>
    </row>
    <row r="4226" spans="2:21" x14ac:dyDescent="0.25">
      <c r="B4226" s="292">
        <v>23</v>
      </c>
      <c r="C4226" s="292"/>
      <c r="D4226" s="292"/>
      <c r="F4226" s="283" t="s">
        <v>226</v>
      </c>
      <c r="G4226" s="283"/>
      <c r="J4226" s="293">
        <v>1</v>
      </c>
      <c r="K4226" s="293"/>
      <c r="L4226" s="293"/>
      <c r="M4226" s="293"/>
      <c r="N4226" s="293"/>
      <c r="P4226" s="42">
        <v>500</v>
      </c>
      <c r="R4226" s="42">
        <v>150</v>
      </c>
      <c r="T4226" s="284">
        <v>350</v>
      </c>
      <c r="U4226" s="284"/>
    </row>
    <row r="4227" spans="2:21" x14ac:dyDescent="0.25">
      <c r="B4227" s="292">
        <v>24</v>
      </c>
      <c r="C4227" s="292"/>
      <c r="D4227" s="292"/>
      <c r="F4227" s="283" t="s">
        <v>182</v>
      </c>
      <c r="G4227" s="283"/>
      <c r="J4227" s="293">
        <v>1</v>
      </c>
      <c r="K4227" s="293"/>
      <c r="L4227" s="293"/>
      <c r="M4227" s="293"/>
      <c r="N4227" s="293"/>
      <c r="P4227" s="42">
        <v>790</v>
      </c>
      <c r="R4227" s="42">
        <v>120</v>
      </c>
      <c r="T4227" s="284">
        <v>670</v>
      </c>
      <c r="U4227" s="284"/>
    </row>
    <row r="4228" spans="2:21" x14ac:dyDescent="0.25">
      <c r="B4228" s="292">
        <v>25</v>
      </c>
      <c r="C4228" s="292"/>
      <c r="D4228" s="292"/>
      <c r="F4228" s="283" t="s">
        <v>118</v>
      </c>
      <c r="G4228" s="283"/>
      <c r="J4228" s="293">
        <v>53</v>
      </c>
      <c r="K4228" s="293"/>
      <c r="L4228" s="293"/>
      <c r="M4228" s="293"/>
      <c r="N4228" s="293"/>
      <c r="P4228" s="42">
        <v>52470</v>
      </c>
      <c r="R4228" s="42">
        <v>26495</v>
      </c>
      <c r="T4228" s="284">
        <v>25975</v>
      </c>
      <c r="U4228" s="284"/>
    </row>
    <row r="4229" spans="2:21" x14ac:dyDescent="0.25">
      <c r="B4229" s="292">
        <v>26</v>
      </c>
      <c r="C4229" s="292"/>
      <c r="D4229" s="292"/>
      <c r="F4229" s="283" t="s">
        <v>181</v>
      </c>
      <c r="G4229" s="283"/>
      <c r="J4229" s="293">
        <v>1</v>
      </c>
      <c r="K4229" s="293"/>
      <c r="L4229" s="293"/>
      <c r="M4229" s="293"/>
      <c r="N4229" s="293"/>
      <c r="P4229" s="42">
        <v>790</v>
      </c>
      <c r="R4229" s="42">
        <v>120</v>
      </c>
      <c r="T4229" s="284">
        <v>670</v>
      </c>
      <c r="U4229" s="284"/>
    </row>
    <row r="4230" spans="2:21" x14ac:dyDescent="0.25">
      <c r="B4230" s="292">
        <v>27</v>
      </c>
      <c r="C4230" s="292"/>
      <c r="D4230" s="292"/>
      <c r="F4230" s="283" t="s">
        <v>109</v>
      </c>
      <c r="G4230" s="283"/>
      <c r="J4230" s="293">
        <v>1</v>
      </c>
      <c r="K4230" s="293"/>
      <c r="L4230" s="293"/>
      <c r="M4230" s="293"/>
      <c r="N4230" s="293"/>
      <c r="P4230" s="42">
        <v>780</v>
      </c>
      <c r="R4230" s="42">
        <v>230</v>
      </c>
      <c r="T4230" s="284">
        <v>550</v>
      </c>
      <c r="U4230" s="284"/>
    </row>
    <row r="4231" spans="2:21" x14ac:dyDescent="0.25">
      <c r="B4231" s="292">
        <v>28</v>
      </c>
      <c r="C4231" s="292"/>
      <c r="D4231" s="292"/>
      <c r="F4231" s="283" t="s">
        <v>108</v>
      </c>
      <c r="G4231" s="283"/>
      <c r="J4231" s="293">
        <v>24</v>
      </c>
      <c r="K4231" s="293"/>
      <c r="L4231" s="293"/>
      <c r="M4231" s="293"/>
      <c r="N4231" s="293"/>
      <c r="P4231" s="42">
        <v>2400</v>
      </c>
      <c r="R4231" s="42">
        <v>720</v>
      </c>
      <c r="T4231" s="284">
        <v>1680</v>
      </c>
      <c r="U4231" s="284"/>
    </row>
    <row r="4232" spans="2:21" x14ac:dyDescent="0.25">
      <c r="B4232" s="292">
        <v>29</v>
      </c>
      <c r="C4232" s="292"/>
      <c r="D4232" s="292"/>
      <c r="F4232" s="283" t="s">
        <v>107</v>
      </c>
      <c r="G4232" s="283"/>
      <c r="J4232" s="293">
        <v>5</v>
      </c>
      <c r="K4232" s="293"/>
      <c r="L4232" s="293"/>
      <c r="M4232" s="293"/>
      <c r="N4232" s="293"/>
      <c r="P4232" s="42">
        <v>850</v>
      </c>
      <c r="R4232" s="42">
        <v>297</v>
      </c>
      <c r="T4232" s="284">
        <v>553</v>
      </c>
      <c r="U4232" s="284"/>
    </row>
    <row r="4233" spans="2:21" x14ac:dyDescent="0.25">
      <c r="B4233" s="292">
        <v>30</v>
      </c>
      <c r="C4233" s="292"/>
      <c r="D4233" s="292"/>
      <c r="F4233" s="283" t="s">
        <v>103</v>
      </c>
      <c r="G4233" s="283"/>
      <c r="J4233" s="293">
        <v>1</v>
      </c>
      <c r="K4233" s="293"/>
      <c r="L4233" s="293"/>
      <c r="M4233" s="293"/>
      <c r="N4233" s="293"/>
      <c r="P4233" s="42">
        <v>330</v>
      </c>
      <c r="R4233" s="42">
        <v>160</v>
      </c>
      <c r="T4233" s="284">
        <v>170</v>
      </c>
      <c r="U4233" s="284"/>
    </row>
    <row r="4234" spans="2:21" x14ac:dyDescent="0.25">
      <c r="B4234" s="292">
        <v>31</v>
      </c>
      <c r="C4234" s="292"/>
      <c r="D4234" s="292"/>
      <c r="F4234" s="283" t="s">
        <v>276</v>
      </c>
      <c r="G4234" s="283"/>
      <c r="J4234" s="293">
        <v>1</v>
      </c>
      <c r="K4234" s="293"/>
      <c r="L4234" s="293"/>
      <c r="M4234" s="293"/>
      <c r="N4234" s="293"/>
      <c r="P4234" s="42">
        <v>500</v>
      </c>
      <c r="R4234" s="42">
        <v>150</v>
      </c>
      <c r="T4234" s="284">
        <v>350</v>
      </c>
      <c r="U4234" s="284"/>
    </row>
    <row r="4235" spans="2:21" x14ac:dyDescent="0.25">
      <c r="B4235" s="292">
        <v>32</v>
      </c>
      <c r="C4235" s="292"/>
      <c r="D4235" s="292"/>
      <c r="F4235" s="283" t="s">
        <v>95</v>
      </c>
      <c r="G4235" s="283"/>
      <c r="J4235" s="293">
        <v>2</v>
      </c>
      <c r="K4235" s="293"/>
      <c r="L4235" s="293"/>
      <c r="M4235" s="293"/>
      <c r="N4235" s="293"/>
      <c r="P4235" s="42">
        <v>580</v>
      </c>
      <c r="R4235" s="42">
        <v>160</v>
      </c>
      <c r="T4235" s="284">
        <v>420</v>
      </c>
      <c r="U4235" s="284"/>
    </row>
    <row r="4236" spans="2:21" x14ac:dyDescent="0.25">
      <c r="B4236" s="292">
        <v>33</v>
      </c>
      <c r="C4236" s="292"/>
      <c r="D4236" s="292"/>
      <c r="F4236" s="283" t="s">
        <v>92</v>
      </c>
      <c r="G4236" s="283"/>
      <c r="J4236" s="293">
        <v>2</v>
      </c>
      <c r="K4236" s="293"/>
      <c r="L4236" s="293"/>
      <c r="M4236" s="293"/>
      <c r="N4236" s="293"/>
      <c r="P4236" s="42">
        <v>800</v>
      </c>
      <c r="R4236" s="42">
        <v>240</v>
      </c>
      <c r="T4236" s="284">
        <v>560</v>
      </c>
      <c r="U4236" s="284"/>
    </row>
    <row r="4237" spans="2:21" x14ac:dyDescent="0.25">
      <c r="B4237" s="292">
        <v>34</v>
      </c>
      <c r="C4237" s="292"/>
      <c r="D4237" s="292"/>
      <c r="F4237" s="283" t="s">
        <v>91</v>
      </c>
      <c r="G4237" s="283"/>
      <c r="J4237" s="293">
        <v>53</v>
      </c>
      <c r="K4237" s="293"/>
      <c r="L4237" s="293"/>
      <c r="M4237" s="293"/>
      <c r="N4237" s="293"/>
      <c r="P4237" s="42">
        <v>13250</v>
      </c>
      <c r="R4237" s="42">
        <v>6632</v>
      </c>
      <c r="T4237" s="284">
        <v>6618</v>
      </c>
      <c r="U4237" s="284"/>
    </row>
    <row r="4238" spans="2:21" x14ac:dyDescent="0.25">
      <c r="B4238" s="292">
        <v>35</v>
      </c>
      <c r="C4238" s="292"/>
      <c r="D4238" s="292"/>
      <c r="F4238" s="283" t="s">
        <v>90</v>
      </c>
      <c r="G4238" s="283"/>
      <c r="J4238" s="293">
        <v>8</v>
      </c>
      <c r="K4238" s="293"/>
      <c r="L4238" s="293"/>
      <c r="M4238" s="293"/>
      <c r="N4238" s="293"/>
      <c r="P4238" s="42">
        <v>2320</v>
      </c>
      <c r="R4238" s="42">
        <v>640</v>
      </c>
      <c r="T4238" s="284">
        <v>1680</v>
      </c>
      <c r="U4238" s="284"/>
    </row>
    <row r="4239" spans="2:21" x14ac:dyDescent="0.25">
      <c r="B4239" s="292">
        <v>36</v>
      </c>
      <c r="C4239" s="292"/>
      <c r="D4239" s="292"/>
      <c r="F4239" s="283" t="s">
        <v>88</v>
      </c>
      <c r="G4239" s="283"/>
      <c r="J4239" s="293">
        <v>4</v>
      </c>
      <c r="K4239" s="293"/>
      <c r="L4239" s="293"/>
      <c r="M4239" s="293"/>
      <c r="N4239" s="293"/>
      <c r="P4239" s="42">
        <v>720</v>
      </c>
      <c r="R4239" s="42">
        <v>271</v>
      </c>
      <c r="T4239" s="284">
        <v>449</v>
      </c>
      <c r="U4239" s="284"/>
    </row>
    <row r="4240" spans="2:21" x14ac:dyDescent="0.25">
      <c r="B4240" s="292">
        <v>37</v>
      </c>
      <c r="C4240" s="292"/>
      <c r="D4240" s="292"/>
      <c r="F4240" s="283" t="s">
        <v>85</v>
      </c>
      <c r="G4240" s="283"/>
      <c r="J4240" s="293">
        <v>1</v>
      </c>
      <c r="K4240" s="293"/>
      <c r="L4240" s="293"/>
      <c r="M4240" s="293"/>
      <c r="N4240" s="293"/>
      <c r="P4240" s="42">
        <v>2080</v>
      </c>
      <c r="R4240" s="42">
        <v>310</v>
      </c>
      <c r="T4240" s="284">
        <v>1770</v>
      </c>
      <c r="U4240" s="284"/>
    </row>
    <row r="4241" spans="1:21" x14ac:dyDescent="0.25">
      <c r="B4241" s="292">
        <v>38</v>
      </c>
      <c r="C4241" s="292"/>
      <c r="D4241" s="292"/>
      <c r="F4241" s="283" t="s">
        <v>84</v>
      </c>
      <c r="G4241" s="283"/>
      <c r="J4241" s="293">
        <v>2</v>
      </c>
      <c r="K4241" s="293"/>
      <c r="L4241" s="293"/>
      <c r="M4241" s="293"/>
      <c r="N4241" s="293"/>
      <c r="P4241" s="42">
        <v>1180</v>
      </c>
      <c r="R4241" s="42">
        <v>360</v>
      </c>
      <c r="T4241" s="284">
        <v>820</v>
      </c>
      <c r="U4241" s="284"/>
    </row>
    <row r="4242" spans="1:21" x14ac:dyDescent="0.25">
      <c r="B4242" s="292">
        <v>39</v>
      </c>
      <c r="C4242" s="292"/>
      <c r="D4242" s="292"/>
      <c r="F4242" s="283" t="s">
        <v>271</v>
      </c>
      <c r="G4242" s="283"/>
      <c r="J4242" s="293">
        <v>1</v>
      </c>
      <c r="K4242" s="293"/>
      <c r="L4242" s="293"/>
      <c r="M4242" s="293"/>
      <c r="N4242" s="293"/>
      <c r="P4242" s="42">
        <v>500</v>
      </c>
      <c r="R4242" s="42">
        <v>150</v>
      </c>
      <c r="T4242" s="284">
        <v>350</v>
      </c>
      <c r="U4242" s="284"/>
    </row>
    <row r="4243" spans="1:21" s="40" customFormat="1" x14ac:dyDescent="0.25">
      <c r="A4243" s="290" t="s">
        <v>314</v>
      </c>
      <c r="B4243" s="290"/>
      <c r="C4243" s="290"/>
      <c r="D4243" s="290"/>
      <c r="E4243" s="290"/>
      <c r="F4243" s="290"/>
      <c r="G4243" s="290"/>
      <c r="H4243" s="290"/>
      <c r="I4243" s="290"/>
      <c r="J4243" s="290"/>
      <c r="K4243" s="291">
        <v>2945</v>
      </c>
      <c r="L4243" s="291"/>
      <c r="M4243" s="291"/>
      <c r="N4243" s="291"/>
      <c r="O4243" s="291"/>
      <c r="P4243" s="41">
        <v>3375460</v>
      </c>
      <c r="R4243" s="41">
        <v>3065545</v>
      </c>
      <c r="T4243" s="287">
        <v>309915</v>
      </c>
      <c r="U4243" s="287"/>
    </row>
    <row r="4244" spans="1:21" x14ac:dyDescent="0.25">
      <c r="B4244" s="292">
        <v>1</v>
      </c>
      <c r="C4244" s="292"/>
      <c r="D4244" s="292"/>
      <c r="F4244" s="283" t="s">
        <v>78</v>
      </c>
      <c r="G4244" s="283"/>
      <c r="J4244" s="293">
        <v>93</v>
      </c>
      <c r="K4244" s="293"/>
      <c r="L4244" s="293"/>
      <c r="M4244" s="293"/>
      <c r="N4244" s="293"/>
      <c r="P4244" s="42">
        <v>26970</v>
      </c>
      <c r="R4244" s="42">
        <v>26970</v>
      </c>
      <c r="T4244" s="284">
        <v>0</v>
      </c>
      <c r="U4244" s="284"/>
    </row>
    <row r="4245" spans="1:21" x14ac:dyDescent="0.25">
      <c r="B4245" s="292">
        <v>2</v>
      </c>
      <c r="C4245" s="292"/>
      <c r="D4245" s="292"/>
      <c r="F4245" s="283" t="s">
        <v>162</v>
      </c>
      <c r="G4245" s="283"/>
      <c r="J4245" s="293">
        <v>9</v>
      </c>
      <c r="K4245" s="293"/>
      <c r="L4245" s="293"/>
      <c r="M4245" s="293"/>
      <c r="N4245" s="293"/>
      <c r="P4245" s="42">
        <v>3870</v>
      </c>
      <c r="R4245" s="42">
        <v>1758</v>
      </c>
      <c r="T4245" s="284">
        <v>2112</v>
      </c>
      <c r="U4245" s="284"/>
    </row>
    <row r="4246" spans="1:21" x14ac:dyDescent="0.25">
      <c r="B4246" s="292">
        <v>3</v>
      </c>
      <c r="C4246" s="292"/>
      <c r="D4246" s="292"/>
      <c r="F4246" s="283" t="s">
        <v>160</v>
      </c>
      <c r="G4246" s="283"/>
      <c r="J4246" s="293">
        <v>2</v>
      </c>
      <c r="K4246" s="293"/>
      <c r="L4246" s="293"/>
      <c r="M4246" s="293"/>
      <c r="N4246" s="293"/>
      <c r="P4246" s="42">
        <v>580</v>
      </c>
      <c r="R4246" s="42">
        <v>160</v>
      </c>
      <c r="T4246" s="284">
        <v>420</v>
      </c>
      <c r="U4246" s="284"/>
    </row>
    <row r="4247" spans="1:21" x14ac:dyDescent="0.25">
      <c r="B4247" s="292">
        <v>4</v>
      </c>
      <c r="C4247" s="292"/>
      <c r="D4247" s="292"/>
      <c r="F4247" s="283" t="s">
        <v>159</v>
      </c>
      <c r="G4247" s="283"/>
      <c r="J4247" s="293">
        <v>94</v>
      </c>
      <c r="K4247" s="293"/>
      <c r="L4247" s="293"/>
      <c r="M4247" s="293"/>
      <c r="N4247" s="293"/>
      <c r="P4247" s="42">
        <v>0</v>
      </c>
      <c r="R4247" s="42">
        <v>0</v>
      </c>
      <c r="T4247" s="284">
        <v>0</v>
      </c>
      <c r="U4247" s="284"/>
    </row>
    <row r="4248" spans="1:21" x14ac:dyDescent="0.25">
      <c r="B4248" s="292">
        <v>5</v>
      </c>
      <c r="C4248" s="292"/>
      <c r="D4248" s="292"/>
      <c r="F4248" s="283" t="s">
        <v>266</v>
      </c>
      <c r="G4248" s="283"/>
      <c r="J4248" s="293">
        <v>1</v>
      </c>
      <c r="K4248" s="293"/>
      <c r="L4248" s="293"/>
      <c r="M4248" s="293"/>
      <c r="N4248" s="293"/>
      <c r="P4248" s="42">
        <v>1350</v>
      </c>
      <c r="R4248" s="42">
        <v>400</v>
      </c>
      <c r="T4248" s="284">
        <v>950</v>
      </c>
      <c r="U4248" s="284"/>
    </row>
    <row r="4249" spans="1:21" x14ac:dyDescent="0.25">
      <c r="B4249" s="292">
        <v>6</v>
      </c>
      <c r="C4249" s="292"/>
      <c r="D4249" s="292"/>
      <c r="F4249" s="283" t="s">
        <v>158</v>
      </c>
      <c r="G4249" s="283"/>
      <c r="J4249" s="293">
        <v>421</v>
      </c>
      <c r="K4249" s="293"/>
      <c r="L4249" s="293"/>
      <c r="M4249" s="293"/>
      <c r="N4249" s="293"/>
      <c r="P4249" s="42">
        <v>231550</v>
      </c>
      <c r="R4249" s="42">
        <v>59650</v>
      </c>
      <c r="T4249" s="284">
        <v>171900</v>
      </c>
      <c r="U4249" s="284"/>
    </row>
    <row r="4250" spans="1:21" x14ac:dyDescent="0.25">
      <c r="B4250" s="292">
        <v>7</v>
      </c>
      <c r="C4250" s="292"/>
      <c r="D4250" s="292"/>
      <c r="F4250" s="283" t="s">
        <v>157</v>
      </c>
      <c r="G4250" s="283"/>
      <c r="J4250" s="293">
        <v>33</v>
      </c>
      <c r="K4250" s="293"/>
      <c r="L4250" s="293"/>
      <c r="M4250" s="293"/>
      <c r="N4250" s="293"/>
      <c r="P4250" s="42">
        <v>16170</v>
      </c>
      <c r="R4250" s="42">
        <v>7087</v>
      </c>
      <c r="T4250" s="284">
        <v>9083</v>
      </c>
      <c r="U4250" s="284"/>
    </row>
    <row r="4251" spans="1:21" x14ac:dyDescent="0.25">
      <c r="B4251" s="292">
        <v>8</v>
      </c>
      <c r="C4251" s="292"/>
      <c r="D4251" s="292"/>
      <c r="F4251" s="283" t="s">
        <v>196</v>
      </c>
      <c r="G4251" s="283"/>
      <c r="J4251" s="293">
        <v>1</v>
      </c>
      <c r="K4251" s="293"/>
      <c r="L4251" s="293"/>
      <c r="M4251" s="293"/>
      <c r="N4251" s="293"/>
      <c r="P4251" s="42">
        <v>700</v>
      </c>
      <c r="R4251" s="42">
        <v>350</v>
      </c>
      <c r="T4251" s="284">
        <v>350</v>
      </c>
      <c r="U4251" s="284"/>
    </row>
    <row r="4252" spans="1:21" x14ac:dyDescent="0.25">
      <c r="B4252" s="292">
        <v>9</v>
      </c>
      <c r="C4252" s="292"/>
      <c r="D4252" s="292"/>
      <c r="F4252" s="283" t="s">
        <v>77</v>
      </c>
      <c r="G4252" s="283"/>
      <c r="J4252" s="293">
        <v>775</v>
      </c>
      <c r="K4252" s="293"/>
      <c r="L4252" s="293"/>
      <c r="M4252" s="293"/>
      <c r="N4252" s="293"/>
      <c r="P4252" s="42">
        <v>310000</v>
      </c>
      <c r="R4252" s="42">
        <v>310000</v>
      </c>
      <c r="T4252" s="284">
        <v>0</v>
      </c>
      <c r="U4252" s="284"/>
    </row>
    <row r="4253" spans="1:21" x14ac:dyDescent="0.25">
      <c r="B4253" s="292">
        <v>10</v>
      </c>
      <c r="C4253" s="292"/>
      <c r="D4253" s="292"/>
      <c r="F4253" s="283" t="s">
        <v>242</v>
      </c>
      <c r="G4253" s="283"/>
      <c r="J4253" s="293">
        <v>2</v>
      </c>
      <c r="K4253" s="293"/>
      <c r="L4253" s="293"/>
      <c r="M4253" s="293"/>
      <c r="N4253" s="293"/>
      <c r="P4253" s="42">
        <v>1000</v>
      </c>
      <c r="R4253" s="42">
        <v>1000</v>
      </c>
      <c r="T4253" s="284">
        <v>0</v>
      </c>
      <c r="U4253" s="284"/>
    </row>
    <row r="4254" spans="1:21" x14ac:dyDescent="0.25">
      <c r="B4254" s="292">
        <v>11</v>
      </c>
      <c r="C4254" s="292"/>
      <c r="D4254" s="292"/>
      <c r="F4254" s="283" t="s">
        <v>76</v>
      </c>
      <c r="G4254" s="283"/>
      <c r="J4254" s="293">
        <v>1</v>
      </c>
      <c r="K4254" s="293"/>
      <c r="L4254" s="293"/>
      <c r="M4254" s="293"/>
      <c r="N4254" s="293"/>
      <c r="P4254" s="42">
        <v>600</v>
      </c>
      <c r="R4254" s="42">
        <v>600</v>
      </c>
      <c r="T4254" s="284">
        <v>0</v>
      </c>
      <c r="U4254" s="284"/>
    </row>
    <row r="4255" spans="1:21" x14ac:dyDescent="0.25">
      <c r="B4255" s="292">
        <v>12</v>
      </c>
      <c r="C4255" s="292"/>
      <c r="D4255" s="292"/>
      <c r="F4255" s="283" t="s">
        <v>155</v>
      </c>
      <c r="G4255" s="283"/>
      <c r="J4255" s="293">
        <v>8</v>
      </c>
      <c r="K4255" s="293"/>
      <c r="L4255" s="293"/>
      <c r="M4255" s="293"/>
      <c r="N4255" s="293"/>
      <c r="P4255" s="42">
        <v>2000</v>
      </c>
      <c r="R4255" s="42">
        <v>710</v>
      </c>
      <c r="T4255" s="284">
        <v>1290</v>
      </c>
      <c r="U4255" s="284"/>
    </row>
    <row r="4256" spans="1:21" x14ac:dyDescent="0.25">
      <c r="B4256" s="292">
        <v>13</v>
      </c>
      <c r="C4256" s="292"/>
      <c r="D4256" s="292"/>
      <c r="F4256" s="283" t="s">
        <v>152</v>
      </c>
      <c r="G4256" s="283"/>
      <c r="J4256" s="293">
        <v>1</v>
      </c>
      <c r="K4256" s="293"/>
      <c r="L4256" s="293"/>
      <c r="M4256" s="293"/>
      <c r="N4256" s="293"/>
      <c r="P4256" s="42">
        <v>590</v>
      </c>
      <c r="R4256" s="42">
        <v>180</v>
      </c>
      <c r="T4256" s="284">
        <v>410</v>
      </c>
      <c r="U4256" s="284"/>
    </row>
    <row r="4257" spans="2:21" x14ac:dyDescent="0.25">
      <c r="B4257" s="292">
        <v>14</v>
      </c>
      <c r="C4257" s="292"/>
      <c r="D4257" s="292"/>
      <c r="F4257" s="283" t="s">
        <v>151</v>
      </c>
      <c r="G4257" s="283"/>
      <c r="J4257" s="293">
        <v>6</v>
      </c>
      <c r="K4257" s="293"/>
      <c r="L4257" s="293"/>
      <c r="M4257" s="293"/>
      <c r="N4257" s="293"/>
      <c r="P4257" s="42">
        <v>1380</v>
      </c>
      <c r="R4257" s="42">
        <v>440</v>
      </c>
      <c r="T4257" s="284">
        <v>940</v>
      </c>
      <c r="U4257" s="284"/>
    </row>
    <row r="4258" spans="2:21" x14ac:dyDescent="0.25">
      <c r="B4258" s="292">
        <v>15</v>
      </c>
      <c r="C4258" s="292"/>
      <c r="D4258" s="292"/>
      <c r="F4258" s="283" t="s">
        <v>150</v>
      </c>
      <c r="G4258" s="283"/>
      <c r="J4258" s="293">
        <v>15</v>
      </c>
      <c r="K4258" s="293"/>
      <c r="L4258" s="293"/>
      <c r="M4258" s="293"/>
      <c r="N4258" s="293"/>
      <c r="P4258" s="42">
        <v>2550</v>
      </c>
      <c r="R4258" s="42">
        <v>700</v>
      </c>
      <c r="T4258" s="284">
        <v>1850</v>
      </c>
      <c r="U4258" s="284"/>
    </row>
    <row r="4259" spans="2:21" x14ac:dyDescent="0.25">
      <c r="B4259" s="292">
        <v>16</v>
      </c>
      <c r="C4259" s="292"/>
      <c r="D4259" s="292"/>
      <c r="F4259" s="283" t="s">
        <v>75</v>
      </c>
      <c r="G4259" s="283"/>
      <c r="J4259" s="293">
        <v>1028</v>
      </c>
      <c r="K4259" s="293"/>
      <c r="L4259" s="293"/>
      <c r="M4259" s="293"/>
      <c r="N4259" s="293"/>
      <c r="P4259" s="42">
        <v>2570000</v>
      </c>
      <c r="R4259" s="42">
        <v>2570000</v>
      </c>
      <c r="T4259" s="284">
        <v>0</v>
      </c>
      <c r="U4259" s="284"/>
    </row>
    <row r="4260" spans="2:21" x14ac:dyDescent="0.25">
      <c r="B4260" s="292">
        <v>17</v>
      </c>
      <c r="C4260" s="292"/>
      <c r="D4260" s="292"/>
      <c r="F4260" s="283" t="s">
        <v>313</v>
      </c>
      <c r="G4260" s="283"/>
      <c r="J4260" s="293">
        <v>1</v>
      </c>
      <c r="K4260" s="293"/>
      <c r="L4260" s="293"/>
      <c r="M4260" s="293"/>
      <c r="N4260" s="293"/>
      <c r="P4260" s="42">
        <v>800</v>
      </c>
      <c r="R4260" s="42">
        <v>450</v>
      </c>
      <c r="T4260" s="284">
        <v>350</v>
      </c>
      <c r="U4260" s="284"/>
    </row>
    <row r="4261" spans="2:21" x14ac:dyDescent="0.25">
      <c r="B4261" s="292">
        <v>18</v>
      </c>
      <c r="C4261" s="292"/>
      <c r="D4261" s="292"/>
      <c r="F4261" s="283" t="s">
        <v>136</v>
      </c>
      <c r="G4261" s="283"/>
      <c r="J4261" s="293">
        <v>4</v>
      </c>
      <c r="K4261" s="293"/>
      <c r="L4261" s="293"/>
      <c r="M4261" s="293"/>
      <c r="N4261" s="293"/>
      <c r="P4261" s="42">
        <v>3400</v>
      </c>
      <c r="R4261" s="42">
        <v>650</v>
      </c>
      <c r="T4261" s="284">
        <v>2750</v>
      </c>
      <c r="U4261" s="284"/>
    </row>
    <row r="4262" spans="2:21" x14ac:dyDescent="0.25">
      <c r="B4262" s="292">
        <v>19</v>
      </c>
      <c r="C4262" s="292"/>
      <c r="D4262" s="292"/>
      <c r="F4262" s="283" t="s">
        <v>74</v>
      </c>
      <c r="G4262" s="283"/>
      <c r="J4262" s="293">
        <v>46</v>
      </c>
      <c r="K4262" s="293"/>
      <c r="L4262" s="293"/>
      <c r="M4262" s="293"/>
      <c r="N4262" s="293"/>
      <c r="P4262" s="42">
        <v>39100</v>
      </c>
      <c r="R4262" s="42">
        <v>39100</v>
      </c>
      <c r="T4262" s="284">
        <v>0</v>
      </c>
      <c r="U4262" s="284"/>
    </row>
    <row r="4263" spans="2:21" x14ac:dyDescent="0.25">
      <c r="B4263" s="292">
        <v>20</v>
      </c>
      <c r="C4263" s="292"/>
      <c r="D4263" s="292"/>
      <c r="F4263" s="283" t="s">
        <v>190</v>
      </c>
      <c r="G4263" s="283"/>
      <c r="J4263" s="293">
        <v>3</v>
      </c>
      <c r="K4263" s="293"/>
      <c r="L4263" s="293"/>
      <c r="M4263" s="293"/>
      <c r="N4263" s="293"/>
      <c r="P4263" s="42">
        <v>4710</v>
      </c>
      <c r="R4263" s="42">
        <v>720</v>
      </c>
      <c r="T4263" s="284">
        <v>3990</v>
      </c>
      <c r="U4263" s="284"/>
    </row>
    <row r="4264" spans="2:21" x14ac:dyDescent="0.25">
      <c r="B4264" s="292">
        <v>21</v>
      </c>
      <c r="C4264" s="292"/>
      <c r="D4264" s="292"/>
      <c r="F4264" s="283" t="s">
        <v>230</v>
      </c>
      <c r="G4264" s="283"/>
      <c r="J4264" s="293">
        <v>6</v>
      </c>
      <c r="K4264" s="293"/>
      <c r="L4264" s="293"/>
      <c r="M4264" s="293"/>
      <c r="N4264" s="293"/>
      <c r="P4264" s="42">
        <v>5700</v>
      </c>
      <c r="R4264" s="42">
        <v>840</v>
      </c>
      <c r="T4264" s="284">
        <v>4860</v>
      </c>
      <c r="U4264" s="284"/>
    </row>
    <row r="4265" spans="2:21" x14ac:dyDescent="0.25">
      <c r="B4265" s="292">
        <v>22</v>
      </c>
      <c r="C4265" s="292"/>
      <c r="D4265" s="292"/>
      <c r="F4265" s="283" t="s">
        <v>132</v>
      </c>
      <c r="G4265" s="283"/>
      <c r="J4265" s="293">
        <v>6</v>
      </c>
      <c r="K4265" s="293"/>
      <c r="L4265" s="293"/>
      <c r="M4265" s="293"/>
      <c r="N4265" s="293"/>
      <c r="P4265" s="42">
        <v>7440</v>
      </c>
      <c r="R4265" s="42">
        <v>2220</v>
      </c>
      <c r="T4265" s="284">
        <v>5220</v>
      </c>
      <c r="U4265" s="284"/>
    </row>
    <row r="4266" spans="2:21" x14ac:dyDescent="0.25">
      <c r="B4266" s="292">
        <v>23</v>
      </c>
      <c r="C4266" s="292"/>
      <c r="D4266" s="292"/>
      <c r="F4266" s="283" t="s">
        <v>131</v>
      </c>
      <c r="G4266" s="283"/>
      <c r="J4266" s="293">
        <v>2</v>
      </c>
      <c r="K4266" s="293"/>
      <c r="L4266" s="293"/>
      <c r="M4266" s="293"/>
      <c r="N4266" s="293"/>
      <c r="P4266" s="42">
        <v>7400</v>
      </c>
      <c r="R4266" s="42">
        <v>1600</v>
      </c>
      <c r="T4266" s="284">
        <v>5800</v>
      </c>
      <c r="U4266" s="284"/>
    </row>
    <row r="4267" spans="2:21" x14ac:dyDescent="0.25">
      <c r="B4267" s="292">
        <v>24</v>
      </c>
      <c r="C4267" s="292"/>
      <c r="D4267" s="292"/>
      <c r="F4267" s="285" t="s">
        <v>186</v>
      </c>
      <c r="G4267" s="285"/>
      <c r="J4267" s="293">
        <v>6</v>
      </c>
      <c r="K4267" s="293"/>
      <c r="L4267" s="293"/>
      <c r="M4267" s="293"/>
      <c r="N4267" s="293"/>
      <c r="P4267" s="42">
        <v>360</v>
      </c>
      <c r="R4267" s="42">
        <v>0</v>
      </c>
      <c r="T4267" s="284">
        <v>360</v>
      </c>
      <c r="U4267" s="284"/>
    </row>
    <row r="4268" spans="2:21" x14ac:dyDescent="0.25">
      <c r="F4268" s="285"/>
      <c r="G4268" s="285"/>
    </row>
    <row r="4269" spans="2:21" x14ac:dyDescent="0.25">
      <c r="B4269" s="292">
        <v>25</v>
      </c>
      <c r="C4269" s="292"/>
      <c r="D4269" s="292"/>
      <c r="F4269" s="283" t="s">
        <v>127</v>
      </c>
      <c r="G4269" s="283"/>
      <c r="J4269" s="293">
        <v>12</v>
      </c>
      <c r="K4269" s="293"/>
      <c r="L4269" s="293"/>
      <c r="M4269" s="293"/>
      <c r="N4269" s="293"/>
      <c r="P4269" s="42">
        <v>3600</v>
      </c>
      <c r="R4269" s="42">
        <v>1244</v>
      </c>
      <c r="T4269" s="284">
        <v>2356</v>
      </c>
      <c r="U4269" s="284"/>
    </row>
    <row r="4270" spans="2:21" x14ac:dyDescent="0.25">
      <c r="B4270" s="292">
        <v>26</v>
      </c>
      <c r="C4270" s="292"/>
      <c r="D4270" s="292"/>
      <c r="F4270" s="283" t="s">
        <v>126</v>
      </c>
      <c r="G4270" s="283"/>
      <c r="J4270" s="293">
        <v>12</v>
      </c>
      <c r="K4270" s="293"/>
      <c r="L4270" s="293"/>
      <c r="M4270" s="293"/>
      <c r="N4270" s="293"/>
      <c r="P4270" s="42">
        <v>2400</v>
      </c>
      <c r="R4270" s="42">
        <v>828</v>
      </c>
      <c r="T4270" s="284">
        <v>1572</v>
      </c>
      <c r="U4270" s="284"/>
    </row>
    <row r="4271" spans="2:21" x14ac:dyDescent="0.25">
      <c r="B4271" s="292">
        <v>27</v>
      </c>
      <c r="C4271" s="292"/>
      <c r="D4271" s="292"/>
      <c r="F4271" s="283" t="s">
        <v>124</v>
      </c>
      <c r="G4271" s="283"/>
      <c r="J4271" s="293">
        <v>3</v>
      </c>
      <c r="K4271" s="293"/>
      <c r="L4271" s="293"/>
      <c r="M4271" s="293"/>
      <c r="N4271" s="293"/>
      <c r="P4271" s="42">
        <v>2340</v>
      </c>
      <c r="R4271" s="42">
        <v>690</v>
      </c>
      <c r="T4271" s="284">
        <v>1650</v>
      </c>
      <c r="U4271" s="284"/>
    </row>
    <row r="4272" spans="2:21" x14ac:dyDescent="0.25">
      <c r="B4272" s="292">
        <v>28</v>
      </c>
      <c r="C4272" s="292"/>
      <c r="D4272" s="292"/>
      <c r="F4272" s="283" t="s">
        <v>123</v>
      </c>
      <c r="G4272" s="283"/>
      <c r="J4272" s="293">
        <v>10</v>
      </c>
      <c r="K4272" s="293"/>
      <c r="L4272" s="293"/>
      <c r="M4272" s="293"/>
      <c r="N4272" s="293"/>
      <c r="P4272" s="42">
        <v>7800</v>
      </c>
      <c r="R4272" s="42">
        <v>2300</v>
      </c>
      <c r="T4272" s="284">
        <v>5500</v>
      </c>
      <c r="U4272" s="284"/>
    </row>
    <row r="4273" spans="2:21" x14ac:dyDescent="0.25">
      <c r="B4273" s="292">
        <v>29</v>
      </c>
      <c r="C4273" s="292"/>
      <c r="D4273" s="292"/>
      <c r="F4273" s="283" t="s">
        <v>118</v>
      </c>
      <c r="G4273" s="283"/>
      <c r="J4273" s="293">
        <v>68</v>
      </c>
      <c r="K4273" s="293"/>
      <c r="L4273" s="293"/>
      <c r="M4273" s="293"/>
      <c r="N4273" s="293"/>
      <c r="P4273" s="42">
        <v>67320</v>
      </c>
      <c r="R4273" s="42">
        <v>23970</v>
      </c>
      <c r="T4273" s="284">
        <v>43350</v>
      </c>
      <c r="U4273" s="284"/>
    </row>
    <row r="4274" spans="2:21" x14ac:dyDescent="0.25">
      <c r="B4274" s="292">
        <v>30</v>
      </c>
      <c r="C4274" s="292"/>
      <c r="D4274" s="292"/>
      <c r="F4274" s="283" t="s">
        <v>115</v>
      </c>
      <c r="G4274" s="283"/>
      <c r="J4274" s="293">
        <v>28</v>
      </c>
      <c r="K4274" s="293"/>
      <c r="L4274" s="293"/>
      <c r="M4274" s="293"/>
      <c r="N4274" s="293"/>
      <c r="P4274" s="42">
        <v>8120</v>
      </c>
      <c r="R4274" s="42">
        <v>2420</v>
      </c>
      <c r="T4274" s="284">
        <v>5700</v>
      </c>
      <c r="U4274" s="284"/>
    </row>
    <row r="4275" spans="2:21" x14ac:dyDescent="0.25">
      <c r="B4275" s="292">
        <v>31</v>
      </c>
      <c r="C4275" s="292"/>
      <c r="D4275" s="292"/>
      <c r="F4275" s="283" t="s">
        <v>108</v>
      </c>
      <c r="G4275" s="283"/>
      <c r="J4275" s="293">
        <v>159</v>
      </c>
      <c r="K4275" s="293"/>
      <c r="L4275" s="293"/>
      <c r="M4275" s="293"/>
      <c r="N4275" s="293"/>
      <c r="P4275" s="42">
        <v>15900</v>
      </c>
      <c r="R4275" s="42">
        <v>570</v>
      </c>
      <c r="T4275" s="284">
        <v>15330</v>
      </c>
      <c r="U4275" s="284"/>
    </row>
    <row r="4276" spans="2:21" x14ac:dyDescent="0.25">
      <c r="B4276" s="292">
        <v>32</v>
      </c>
      <c r="C4276" s="292"/>
      <c r="D4276" s="292"/>
      <c r="F4276" s="283" t="s">
        <v>107</v>
      </c>
      <c r="G4276" s="283"/>
      <c r="J4276" s="293">
        <v>19</v>
      </c>
      <c r="K4276" s="293"/>
      <c r="L4276" s="293"/>
      <c r="M4276" s="293"/>
      <c r="N4276" s="293"/>
      <c r="P4276" s="42">
        <v>3230</v>
      </c>
      <c r="R4276" s="42">
        <v>996</v>
      </c>
      <c r="T4276" s="284">
        <v>2234</v>
      </c>
      <c r="U4276" s="284"/>
    </row>
    <row r="4277" spans="2:21" x14ac:dyDescent="0.25">
      <c r="B4277" s="292">
        <v>33</v>
      </c>
      <c r="C4277" s="292"/>
      <c r="D4277" s="292"/>
      <c r="F4277" s="283" t="s">
        <v>180</v>
      </c>
      <c r="G4277" s="283"/>
      <c r="J4277" s="293">
        <v>1</v>
      </c>
      <c r="K4277" s="293"/>
      <c r="L4277" s="293"/>
      <c r="M4277" s="293"/>
      <c r="N4277" s="293"/>
      <c r="P4277" s="42">
        <v>590</v>
      </c>
      <c r="R4277" s="42">
        <v>180</v>
      </c>
      <c r="T4277" s="284">
        <v>410</v>
      </c>
      <c r="U4277" s="284"/>
    </row>
    <row r="4278" spans="2:21" x14ac:dyDescent="0.25">
      <c r="B4278" s="292">
        <v>34</v>
      </c>
      <c r="C4278" s="292"/>
      <c r="D4278" s="292"/>
      <c r="F4278" s="283" t="s">
        <v>105</v>
      </c>
      <c r="G4278" s="283"/>
      <c r="J4278" s="293">
        <v>1</v>
      </c>
      <c r="K4278" s="293"/>
      <c r="L4278" s="293"/>
      <c r="M4278" s="293"/>
      <c r="N4278" s="293"/>
      <c r="P4278" s="42">
        <v>1150</v>
      </c>
      <c r="R4278" s="42">
        <v>0</v>
      </c>
      <c r="T4278" s="284">
        <v>1150</v>
      </c>
      <c r="U4278" s="284"/>
    </row>
    <row r="4279" spans="2:21" x14ac:dyDescent="0.25">
      <c r="B4279" s="292">
        <v>35</v>
      </c>
      <c r="C4279" s="292"/>
      <c r="D4279" s="292"/>
      <c r="F4279" s="283" t="s">
        <v>103</v>
      </c>
      <c r="G4279" s="283"/>
      <c r="J4279" s="293">
        <v>5</v>
      </c>
      <c r="K4279" s="293"/>
      <c r="L4279" s="293"/>
      <c r="M4279" s="293"/>
      <c r="N4279" s="293"/>
      <c r="P4279" s="42">
        <v>1650</v>
      </c>
      <c r="R4279" s="42">
        <v>620</v>
      </c>
      <c r="T4279" s="284">
        <v>1030</v>
      </c>
      <c r="U4279" s="284"/>
    </row>
    <row r="4280" spans="2:21" x14ac:dyDescent="0.25">
      <c r="B4280" s="292">
        <v>36</v>
      </c>
      <c r="C4280" s="292"/>
      <c r="D4280" s="292"/>
      <c r="F4280" s="283" t="s">
        <v>102</v>
      </c>
      <c r="G4280" s="283"/>
      <c r="J4280" s="293">
        <v>4</v>
      </c>
      <c r="K4280" s="293"/>
      <c r="L4280" s="293"/>
      <c r="M4280" s="293"/>
      <c r="N4280" s="293"/>
      <c r="P4280" s="42">
        <v>3520</v>
      </c>
      <c r="R4280" s="42">
        <v>520</v>
      </c>
      <c r="T4280" s="284">
        <v>3000</v>
      </c>
      <c r="U4280" s="284"/>
    </row>
    <row r="4281" spans="2:21" x14ac:dyDescent="0.25">
      <c r="B4281" s="292">
        <v>37</v>
      </c>
      <c r="C4281" s="292"/>
      <c r="D4281" s="292"/>
      <c r="F4281" s="283" t="s">
        <v>99</v>
      </c>
      <c r="G4281" s="283"/>
      <c r="J4281" s="293">
        <v>1</v>
      </c>
      <c r="K4281" s="293"/>
      <c r="L4281" s="293"/>
      <c r="M4281" s="293"/>
      <c r="N4281" s="293"/>
      <c r="P4281" s="42">
        <v>590</v>
      </c>
      <c r="R4281" s="42">
        <v>90</v>
      </c>
      <c r="T4281" s="284">
        <v>500</v>
      </c>
      <c r="U4281" s="284"/>
    </row>
    <row r="4282" spans="2:21" x14ac:dyDescent="0.25">
      <c r="B4282" s="292">
        <v>38</v>
      </c>
      <c r="C4282" s="292"/>
      <c r="D4282" s="292"/>
      <c r="F4282" s="283" t="s">
        <v>98</v>
      </c>
      <c r="G4282" s="283"/>
      <c r="J4282" s="293">
        <v>1</v>
      </c>
      <c r="K4282" s="293"/>
      <c r="L4282" s="293"/>
      <c r="M4282" s="293"/>
      <c r="N4282" s="293"/>
      <c r="P4282" s="42">
        <v>570</v>
      </c>
      <c r="R4282" s="42">
        <v>80</v>
      </c>
      <c r="T4282" s="284">
        <v>490</v>
      </c>
      <c r="U4282" s="284"/>
    </row>
    <row r="4283" spans="2:21" x14ac:dyDescent="0.25">
      <c r="B4283" s="292">
        <v>39</v>
      </c>
      <c r="C4283" s="292"/>
      <c r="D4283" s="292"/>
      <c r="F4283" s="283" t="s">
        <v>93</v>
      </c>
      <c r="G4283" s="283"/>
      <c r="J4283" s="293">
        <v>1</v>
      </c>
      <c r="K4283" s="293"/>
      <c r="L4283" s="293"/>
      <c r="M4283" s="293"/>
      <c r="N4283" s="293"/>
      <c r="P4283" s="42">
        <v>590</v>
      </c>
      <c r="R4283" s="42">
        <v>90</v>
      </c>
      <c r="T4283" s="284">
        <v>500</v>
      </c>
      <c r="U4283" s="284"/>
    </row>
    <row r="4284" spans="2:21" x14ac:dyDescent="0.25">
      <c r="B4284" s="292">
        <v>40</v>
      </c>
      <c r="C4284" s="292"/>
      <c r="D4284" s="292"/>
      <c r="F4284" s="283" t="s">
        <v>92</v>
      </c>
      <c r="G4284" s="283"/>
      <c r="J4284" s="293">
        <v>8</v>
      </c>
      <c r="K4284" s="293"/>
      <c r="L4284" s="293"/>
      <c r="M4284" s="293"/>
      <c r="N4284" s="293"/>
      <c r="P4284" s="42">
        <v>5240</v>
      </c>
      <c r="R4284" s="42">
        <v>1560</v>
      </c>
      <c r="T4284" s="284">
        <v>3680</v>
      </c>
      <c r="U4284" s="284"/>
    </row>
    <row r="4285" spans="2:21" x14ac:dyDescent="0.25">
      <c r="B4285" s="292">
        <v>41</v>
      </c>
      <c r="C4285" s="292"/>
      <c r="D4285" s="292"/>
      <c r="F4285" s="283" t="s">
        <v>91</v>
      </c>
      <c r="G4285" s="283"/>
      <c r="J4285" s="293">
        <v>7</v>
      </c>
      <c r="K4285" s="293"/>
      <c r="L4285" s="293"/>
      <c r="M4285" s="293"/>
      <c r="N4285" s="293"/>
      <c r="P4285" s="42">
        <v>1750</v>
      </c>
      <c r="R4285" s="42">
        <v>490</v>
      </c>
      <c r="T4285" s="284">
        <v>1260</v>
      </c>
      <c r="U4285" s="284"/>
    </row>
    <row r="4286" spans="2:21" x14ac:dyDescent="0.25">
      <c r="B4286" s="292">
        <v>42</v>
      </c>
      <c r="C4286" s="292"/>
      <c r="D4286" s="292"/>
      <c r="F4286" s="283" t="s">
        <v>90</v>
      </c>
      <c r="G4286" s="283"/>
      <c r="J4286" s="293">
        <v>6</v>
      </c>
      <c r="K4286" s="293"/>
      <c r="L4286" s="293"/>
      <c r="M4286" s="293"/>
      <c r="N4286" s="293"/>
      <c r="P4286" s="42">
        <v>1740</v>
      </c>
      <c r="R4286" s="42">
        <v>480</v>
      </c>
      <c r="T4286" s="284">
        <v>1260</v>
      </c>
      <c r="U4286" s="284"/>
    </row>
    <row r="4287" spans="2:21" x14ac:dyDescent="0.25">
      <c r="B4287" s="292">
        <v>43</v>
      </c>
      <c r="C4287" s="292"/>
      <c r="D4287" s="292"/>
      <c r="F4287" s="283" t="s">
        <v>88</v>
      </c>
      <c r="G4287" s="283"/>
      <c r="J4287" s="293">
        <v>22</v>
      </c>
      <c r="K4287" s="293"/>
      <c r="L4287" s="293"/>
      <c r="M4287" s="293"/>
      <c r="N4287" s="293"/>
      <c r="P4287" s="42">
        <v>3960</v>
      </c>
      <c r="R4287" s="42">
        <v>1322</v>
      </c>
      <c r="T4287" s="284">
        <v>2638</v>
      </c>
      <c r="U4287" s="284"/>
    </row>
    <row r="4288" spans="2:21" x14ac:dyDescent="0.25">
      <c r="B4288" s="292">
        <v>44</v>
      </c>
      <c r="C4288" s="292"/>
      <c r="D4288" s="292"/>
      <c r="F4288" s="283" t="s">
        <v>84</v>
      </c>
      <c r="G4288" s="283"/>
      <c r="J4288" s="293">
        <v>4</v>
      </c>
      <c r="K4288" s="293"/>
      <c r="L4288" s="293"/>
      <c r="M4288" s="293"/>
      <c r="N4288" s="293"/>
      <c r="P4288" s="42">
        <v>2360</v>
      </c>
      <c r="R4288" s="42">
        <v>720</v>
      </c>
      <c r="T4288" s="284">
        <v>1640</v>
      </c>
      <c r="U4288" s="284"/>
    </row>
    <row r="4289" spans="1:21" x14ac:dyDescent="0.25">
      <c r="B4289" s="292">
        <v>45</v>
      </c>
      <c r="C4289" s="292"/>
      <c r="D4289" s="292"/>
      <c r="F4289" s="283" t="s">
        <v>205</v>
      </c>
      <c r="G4289" s="283"/>
      <c r="J4289" s="293">
        <v>1</v>
      </c>
      <c r="K4289" s="293"/>
      <c r="L4289" s="293"/>
      <c r="M4289" s="293"/>
      <c r="N4289" s="293"/>
      <c r="P4289" s="42">
        <v>500</v>
      </c>
      <c r="R4289" s="42">
        <v>150</v>
      </c>
      <c r="T4289" s="284">
        <v>350</v>
      </c>
      <c r="U4289" s="284"/>
    </row>
    <row r="4290" spans="1:21" x14ac:dyDescent="0.25">
      <c r="B4290" s="292">
        <v>46</v>
      </c>
      <c r="C4290" s="292"/>
      <c r="D4290" s="292"/>
      <c r="F4290" s="283" t="s">
        <v>81</v>
      </c>
      <c r="G4290" s="283"/>
      <c r="J4290" s="293">
        <v>8</v>
      </c>
      <c r="K4290" s="293"/>
      <c r="L4290" s="293"/>
      <c r="M4290" s="293"/>
      <c r="N4290" s="293"/>
      <c r="P4290" s="42">
        <v>2320</v>
      </c>
      <c r="R4290" s="42">
        <v>640</v>
      </c>
      <c r="T4290" s="284">
        <v>1680</v>
      </c>
      <c r="U4290" s="284"/>
    </row>
    <row r="4291" spans="1:21" s="40" customFormat="1" x14ac:dyDescent="0.25">
      <c r="A4291" s="290" t="s">
        <v>312</v>
      </c>
      <c r="B4291" s="290"/>
      <c r="C4291" s="290"/>
      <c r="D4291" s="290"/>
      <c r="E4291" s="290"/>
      <c r="F4291" s="290"/>
      <c r="G4291" s="290"/>
      <c r="H4291" s="290"/>
      <c r="I4291" s="290"/>
      <c r="J4291" s="290"/>
      <c r="K4291" s="291">
        <v>5793</v>
      </c>
      <c r="L4291" s="291"/>
      <c r="M4291" s="291"/>
      <c r="N4291" s="291"/>
      <c r="O4291" s="291"/>
      <c r="P4291" s="41">
        <v>3425840</v>
      </c>
      <c r="R4291" s="41">
        <v>2509090</v>
      </c>
      <c r="T4291" s="287">
        <v>916750</v>
      </c>
      <c r="U4291" s="287"/>
    </row>
    <row r="4292" spans="1:21" x14ac:dyDescent="0.25">
      <c r="B4292" s="292">
        <v>1</v>
      </c>
      <c r="C4292" s="292"/>
      <c r="D4292" s="292"/>
      <c r="F4292" s="283" t="s">
        <v>200</v>
      </c>
      <c r="G4292" s="283"/>
      <c r="J4292" s="293">
        <v>1</v>
      </c>
      <c r="K4292" s="293"/>
      <c r="L4292" s="293"/>
      <c r="M4292" s="293"/>
      <c r="N4292" s="293"/>
      <c r="P4292" s="42">
        <v>500</v>
      </c>
      <c r="R4292" s="42">
        <v>150</v>
      </c>
      <c r="T4292" s="284">
        <v>350</v>
      </c>
      <c r="U4292" s="284"/>
    </row>
    <row r="4293" spans="1:21" x14ac:dyDescent="0.25">
      <c r="B4293" s="292">
        <v>2</v>
      </c>
      <c r="C4293" s="292"/>
      <c r="D4293" s="292"/>
      <c r="F4293" s="283" t="s">
        <v>311</v>
      </c>
      <c r="G4293" s="283"/>
      <c r="J4293" s="293">
        <v>1</v>
      </c>
      <c r="K4293" s="293"/>
      <c r="L4293" s="293"/>
      <c r="M4293" s="293"/>
      <c r="N4293" s="293"/>
      <c r="P4293" s="42">
        <v>690</v>
      </c>
      <c r="R4293" s="42">
        <v>210</v>
      </c>
      <c r="T4293" s="284">
        <v>480</v>
      </c>
      <c r="U4293" s="284"/>
    </row>
    <row r="4294" spans="1:21" x14ac:dyDescent="0.25">
      <c r="B4294" s="292">
        <v>3</v>
      </c>
      <c r="C4294" s="292"/>
      <c r="D4294" s="292"/>
      <c r="F4294" s="283" t="s">
        <v>78</v>
      </c>
      <c r="G4294" s="283"/>
      <c r="J4294" s="293">
        <v>852</v>
      </c>
      <c r="K4294" s="293"/>
      <c r="L4294" s="293"/>
      <c r="M4294" s="293"/>
      <c r="N4294" s="293"/>
      <c r="P4294" s="42">
        <v>247080</v>
      </c>
      <c r="R4294" s="42">
        <v>247080</v>
      </c>
      <c r="T4294" s="284">
        <v>0</v>
      </c>
      <c r="U4294" s="284"/>
    </row>
    <row r="4295" spans="1:21" x14ac:dyDescent="0.25">
      <c r="B4295" s="292">
        <v>4</v>
      </c>
      <c r="C4295" s="292"/>
      <c r="D4295" s="292"/>
      <c r="F4295" s="283" t="s">
        <v>310</v>
      </c>
      <c r="G4295" s="283"/>
      <c r="J4295" s="293">
        <v>1</v>
      </c>
      <c r="K4295" s="293"/>
      <c r="L4295" s="293"/>
      <c r="M4295" s="293"/>
      <c r="N4295" s="293"/>
      <c r="P4295" s="42">
        <v>2900</v>
      </c>
      <c r="R4295" s="42">
        <v>430</v>
      </c>
      <c r="T4295" s="284">
        <v>2470</v>
      </c>
      <c r="U4295" s="284"/>
    </row>
    <row r="4296" spans="1:21" x14ac:dyDescent="0.25">
      <c r="B4296" s="292">
        <v>5</v>
      </c>
      <c r="C4296" s="292"/>
      <c r="D4296" s="292"/>
      <c r="F4296" s="283" t="s">
        <v>249</v>
      </c>
      <c r="G4296" s="283"/>
      <c r="J4296" s="293">
        <v>1</v>
      </c>
      <c r="K4296" s="293"/>
      <c r="L4296" s="293"/>
      <c r="M4296" s="293"/>
      <c r="N4296" s="293"/>
      <c r="P4296" s="42">
        <v>1300</v>
      </c>
      <c r="R4296" s="42">
        <v>200</v>
      </c>
      <c r="T4296" s="284">
        <v>1100</v>
      </c>
      <c r="U4296" s="284"/>
    </row>
    <row r="4297" spans="1:21" x14ac:dyDescent="0.25">
      <c r="B4297" s="292">
        <v>6</v>
      </c>
      <c r="C4297" s="292"/>
      <c r="D4297" s="292"/>
      <c r="F4297" s="283" t="s">
        <v>162</v>
      </c>
      <c r="G4297" s="283"/>
      <c r="J4297" s="293">
        <v>3</v>
      </c>
      <c r="K4297" s="293"/>
      <c r="L4297" s="293"/>
      <c r="M4297" s="293"/>
      <c r="N4297" s="293"/>
      <c r="P4297" s="42">
        <v>1290</v>
      </c>
      <c r="R4297" s="42">
        <v>570</v>
      </c>
      <c r="T4297" s="284">
        <v>720</v>
      </c>
      <c r="U4297" s="284"/>
    </row>
    <row r="4298" spans="1:21" x14ac:dyDescent="0.25">
      <c r="B4298" s="292">
        <v>7</v>
      </c>
      <c r="C4298" s="292"/>
      <c r="D4298" s="292"/>
      <c r="F4298" s="283" t="s">
        <v>158</v>
      </c>
      <c r="G4298" s="283"/>
      <c r="J4298" s="293">
        <v>906</v>
      </c>
      <c r="K4298" s="293"/>
      <c r="L4298" s="293"/>
      <c r="M4298" s="293"/>
      <c r="N4298" s="293"/>
      <c r="P4298" s="42">
        <v>498300</v>
      </c>
      <c r="R4298" s="42">
        <v>192597</v>
      </c>
      <c r="T4298" s="284">
        <v>305703</v>
      </c>
      <c r="U4298" s="284"/>
    </row>
    <row r="4299" spans="1:21" x14ac:dyDescent="0.25">
      <c r="B4299" s="292">
        <v>8</v>
      </c>
      <c r="C4299" s="292"/>
      <c r="D4299" s="292"/>
      <c r="F4299" s="283" t="s">
        <v>157</v>
      </c>
      <c r="G4299" s="283"/>
      <c r="J4299" s="293">
        <v>2</v>
      </c>
      <c r="K4299" s="293"/>
      <c r="L4299" s="293"/>
      <c r="M4299" s="293"/>
      <c r="N4299" s="293"/>
      <c r="P4299" s="42">
        <v>980</v>
      </c>
      <c r="R4299" s="42">
        <v>365</v>
      </c>
      <c r="T4299" s="284">
        <v>615</v>
      </c>
      <c r="U4299" s="284"/>
    </row>
    <row r="4300" spans="1:21" x14ac:dyDescent="0.25">
      <c r="B4300" s="292">
        <v>9</v>
      </c>
      <c r="C4300" s="292"/>
      <c r="D4300" s="292"/>
      <c r="F4300" s="283" t="s">
        <v>309</v>
      </c>
      <c r="G4300" s="283"/>
      <c r="J4300" s="293">
        <v>1</v>
      </c>
      <c r="K4300" s="293"/>
      <c r="L4300" s="293"/>
      <c r="M4300" s="293"/>
      <c r="N4300" s="293"/>
      <c r="P4300" s="42">
        <v>500</v>
      </c>
      <c r="R4300" s="42">
        <v>150</v>
      </c>
      <c r="T4300" s="284">
        <v>350</v>
      </c>
      <c r="U4300" s="284"/>
    </row>
    <row r="4301" spans="1:21" x14ac:dyDescent="0.25">
      <c r="B4301" s="292">
        <v>10</v>
      </c>
      <c r="C4301" s="292"/>
      <c r="D4301" s="292"/>
      <c r="F4301" s="283" t="s">
        <v>77</v>
      </c>
      <c r="G4301" s="283"/>
      <c r="J4301" s="293">
        <v>1545</v>
      </c>
      <c r="K4301" s="293"/>
      <c r="L4301" s="293"/>
      <c r="M4301" s="293"/>
      <c r="N4301" s="293"/>
      <c r="P4301" s="42">
        <v>628600</v>
      </c>
      <c r="R4301" s="42">
        <v>628600</v>
      </c>
      <c r="T4301" s="284">
        <v>0</v>
      </c>
      <c r="U4301" s="284"/>
    </row>
    <row r="4302" spans="1:21" x14ac:dyDescent="0.25">
      <c r="B4302" s="292">
        <v>11</v>
      </c>
      <c r="C4302" s="292"/>
      <c r="D4302" s="292"/>
      <c r="F4302" s="283" t="s">
        <v>156</v>
      </c>
      <c r="G4302" s="283"/>
      <c r="J4302" s="293">
        <v>3</v>
      </c>
      <c r="K4302" s="293"/>
      <c r="L4302" s="293"/>
      <c r="M4302" s="293"/>
      <c r="N4302" s="293"/>
      <c r="P4302" s="42">
        <v>570</v>
      </c>
      <c r="R4302" s="42">
        <v>210</v>
      </c>
      <c r="T4302" s="284">
        <v>360</v>
      </c>
      <c r="U4302" s="284"/>
    </row>
    <row r="4303" spans="1:21" x14ac:dyDescent="0.25">
      <c r="B4303" s="292">
        <v>12</v>
      </c>
      <c r="C4303" s="292"/>
      <c r="D4303" s="292"/>
      <c r="F4303" s="283" t="s">
        <v>155</v>
      </c>
      <c r="G4303" s="283"/>
      <c r="J4303" s="293">
        <v>407</v>
      </c>
      <c r="K4303" s="293"/>
      <c r="L4303" s="293"/>
      <c r="M4303" s="293"/>
      <c r="N4303" s="293"/>
      <c r="P4303" s="42">
        <v>101750</v>
      </c>
      <c r="R4303" s="42">
        <v>49509</v>
      </c>
      <c r="T4303" s="284">
        <v>52241</v>
      </c>
      <c r="U4303" s="284"/>
    </row>
    <row r="4304" spans="1:21" x14ac:dyDescent="0.25">
      <c r="B4304" s="292">
        <v>13</v>
      </c>
      <c r="C4304" s="292"/>
      <c r="D4304" s="292"/>
      <c r="F4304" s="283" t="s">
        <v>154</v>
      </c>
      <c r="G4304" s="283"/>
      <c r="J4304" s="293">
        <v>2</v>
      </c>
      <c r="K4304" s="293"/>
      <c r="L4304" s="293"/>
      <c r="M4304" s="293"/>
      <c r="N4304" s="293"/>
      <c r="P4304" s="42">
        <v>1780</v>
      </c>
      <c r="R4304" s="42">
        <v>260</v>
      </c>
      <c r="T4304" s="284">
        <v>1520</v>
      </c>
      <c r="U4304" s="284"/>
    </row>
    <row r="4305" spans="2:21" x14ac:dyDescent="0.25">
      <c r="B4305" s="292">
        <v>14</v>
      </c>
      <c r="C4305" s="292"/>
      <c r="D4305" s="292"/>
      <c r="F4305" s="283" t="s">
        <v>308</v>
      </c>
      <c r="G4305" s="283"/>
      <c r="J4305" s="293">
        <v>1</v>
      </c>
      <c r="K4305" s="293"/>
      <c r="L4305" s="293"/>
      <c r="M4305" s="293"/>
      <c r="N4305" s="293"/>
      <c r="P4305" s="42">
        <v>10000</v>
      </c>
      <c r="R4305" s="42">
        <v>4000</v>
      </c>
      <c r="T4305" s="284">
        <v>6000</v>
      </c>
      <c r="U4305" s="284"/>
    </row>
    <row r="4306" spans="2:21" x14ac:dyDescent="0.25">
      <c r="B4306" s="292">
        <v>15</v>
      </c>
      <c r="C4306" s="292"/>
      <c r="D4306" s="292"/>
      <c r="F4306" s="283" t="s">
        <v>289</v>
      </c>
      <c r="G4306" s="283"/>
      <c r="J4306" s="293">
        <v>1</v>
      </c>
      <c r="K4306" s="293"/>
      <c r="L4306" s="293"/>
      <c r="M4306" s="293"/>
      <c r="N4306" s="293"/>
      <c r="P4306" s="42">
        <v>500</v>
      </c>
      <c r="R4306" s="42">
        <v>150</v>
      </c>
      <c r="T4306" s="284">
        <v>350</v>
      </c>
      <c r="U4306" s="284"/>
    </row>
    <row r="4307" spans="2:21" x14ac:dyDescent="0.25">
      <c r="B4307" s="292">
        <v>16</v>
      </c>
      <c r="C4307" s="292"/>
      <c r="D4307" s="292"/>
      <c r="F4307" s="283" t="s">
        <v>152</v>
      </c>
      <c r="G4307" s="283"/>
      <c r="J4307" s="293">
        <v>4</v>
      </c>
      <c r="K4307" s="293"/>
      <c r="L4307" s="293"/>
      <c r="M4307" s="293"/>
      <c r="N4307" s="293"/>
      <c r="P4307" s="42">
        <v>2360</v>
      </c>
      <c r="R4307" s="42">
        <v>780</v>
      </c>
      <c r="T4307" s="284">
        <v>1580</v>
      </c>
      <c r="U4307" s="284"/>
    </row>
    <row r="4308" spans="2:21" x14ac:dyDescent="0.25">
      <c r="B4308" s="292">
        <v>17</v>
      </c>
      <c r="C4308" s="292"/>
      <c r="D4308" s="292"/>
      <c r="F4308" s="283" t="s">
        <v>151</v>
      </c>
      <c r="G4308" s="283"/>
      <c r="J4308" s="293">
        <v>4</v>
      </c>
      <c r="K4308" s="293"/>
      <c r="L4308" s="293"/>
      <c r="M4308" s="293"/>
      <c r="N4308" s="293"/>
      <c r="P4308" s="42">
        <v>920</v>
      </c>
      <c r="R4308" s="42">
        <v>320</v>
      </c>
      <c r="T4308" s="284">
        <v>600</v>
      </c>
      <c r="U4308" s="284"/>
    </row>
    <row r="4309" spans="2:21" x14ac:dyDescent="0.25">
      <c r="B4309" s="292">
        <v>18</v>
      </c>
      <c r="C4309" s="292"/>
      <c r="D4309" s="292"/>
      <c r="F4309" s="283" t="s">
        <v>149</v>
      </c>
      <c r="G4309" s="283"/>
      <c r="J4309" s="293">
        <v>7</v>
      </c>
      <c r="K4309" s="293"/>
      <c r="L4309" s="293"/>
      <c r="M4309" s="293"/>
      <c r="N4309" s="293"/>
      <c r="P4309" s="42">
        <v>350</v>
      </c>
      <c r="R4309" s="42">
        <v>70</v>
      </c>
      <c r="T4309" s="284">
        <v>280</v>
      </c>
      <c r="U4309" s="284"/>
    </row>
    <row r="4310" spans="2:21" x14ac:dyDescent="0.25">
      <c r="B4310" s="292">
        <v>19</v>
      </c>
      <c r="C4310" s="292"/>
      <c r="D4310" s="292"/>
      <c r="F4310" s="283" t="s">
        <v>288</v>
      </c>
      <c r="G4310" s="283"/>
      <c r="J4310" s="293">
        <v>1</v>
      </c>
      <c r="K4310" s="293"/>
      <c r="L4310" s="293"/>
      <c r="M4310" s="293"/>
      <c r="N4310" s="293"/>
      <c r="P4310" s="42">
        <v>800</v>
      </c>
      <c r="R4310" s="42">
        <v>450</v>
      </c>
      <c r="T4310" s="284">
        <v>350</v>
      </c>
      <c r="U4310" s="284"/>
    </row>
    <row r="4311" spans="2:21" x14ac:dyDescent="0.25">
      <c r="B4311" s="292">
        <v>20</v>
      </c>
      <c r="C4311" s="292"/>
      <c r="D4311" s="292"/>
      <c r="F4311" s="283" t="s">
        <v>286</v>
      </c>
      <c r="G4311" s="283"/>
      <c r="J4311" s="293">
        <v>1</v>
      </c>
      <c r="K4311" s="293"/>
      <c r="L4311" s="293"/>
      <c r="M4311" s="293"/>
      <c r="N4311" s="293"/>
      <c r="P4311" s="42">
        <v>800</v>
      </c>
      <c r="R4311" s="42">
        <v>450</v>
      </c>
      <c r="T4311" s="284">
        <v>350</v>
      </c>
      <c r="U4311" s="284"/>
    </row>
    <row r="4312" spans="2:21" x14ac:dyDescent="0.25">
      <c r="B4312" s="292">
        <v>21</v>
      </c>
      <c r="C4312" s="292"/>
      <c r="D4312" s="292"/>
      <c r="F4312" s="283" t="s">
        <v>193</v>
      </c>
      <c r="G4312" s="283"/>
      <c r="J4312" s="293">
        <v>2</v>
      </c>
      <c r="K4312" s="293"/>
      <c r="L4312" s="293"/>
      <c r="M4312" s="293"/>
      <c r="N4312" s="293"/>
      <c r="P4312" s="42">
        <v>1780</v>
      </c>
      <c r="R4312" s="42">
        <v>260</v>
      </c>
      <c r="T4312" s="284">
        <v>1520</v>
      </c>
      <c r="U4312" s="284"/>
    </row>
    <row r="4313" spans="2:21" x14ac:dyDescent="0.25">
      <c r="B4313" s="292">
        <v>22</v>
      </c>
      <c r="C4313" s="292"/>
      <c r="D4313" s="292"/>
      <c r="F4313" s="283" t="s">
        <v>142</v>
      </c>
      <c r="G4313" s="283"/>
      <c r="J4313" s="293">
        <v>2</v>
      </c>
      <c r="K4313" s="293"/>
      <c r="L4313" s="293"/>
      <c r="M4313" s="293"/>
      <c r="N4313" s="293"/>
      <c r="P4313" s="42">
        <v>700</v>
      </c>
      <c r="R4313" s="42">
        <v>300</v>
      </c>
      <c r="T4313" s="284">
        <v>400</v>
      </c>
      <c r="U4313" s="284"/>
    </row>
    <row r="4314" spans="2:21" x14ac:dyDescent="0.25">
      <c r="B4314" s="292">
        <v>23</v>
      </c>
      <c r="C4314" s="292"/>
      <c r="D4314" s="292"/>
      <c r="F4314" s="283" t="s">
        <v>75</v>
      </c>
      <c r="G4314" s="283"/>
      <c r="J4314" s="293">
        <v>407</v>
      </c>
      <c r="K4314" s="293"/>
      <c r="L4314" s="293"/>
      <c r="M4314" s="293"/>
      <c r="N4314" s="293"/>
      <c r="P4314" s="42">
        <v>1017500</v>
      </c>
      <c r="R4314" s="42">
        <v>1017500</v>
      </c>
      <c r="T4314" s="284">
        <v>0</v>
      </c>
      <c r="U4314" s="284"/>
    </row>
    <row r="4315" spans="2:21" x14ac:dyDescent="0.25">
      <c r="B4315" s="292">
        <v>24</v>
      </c>
      <c r="C4315" s="292"/>
      <c r="D4315" s="292"/>
      <c r="F4315" s="283" t="s">
        <v>136</v>
      </c>
      <c r="G4315" s="283"/>
      <c r="J4315" s="293">
        <v>86</v>
      </c>
      <c r="K4315" s="293"/>
      <c r="L4315" s="293"/>
      <c r="M4315" s="293"/>
      <c r="N4315" s="293"/>
      <c r="P4315" s="42">
        <v>73100</v>
      </c>
      <c r="R4315" s="42">
        <v>14945</v>
      </c>
      <c r="T4315" s="284">
        <v>58155</v>
      </c>
      <c r="U4315" s="284"/>
    </row>
    <row r="4316" spans="2:21" x14ac:dyDescent="0.25">
      <c r="B4316" s="292">
        <v>25</v>
      </c>
      <c r="C4316" s="292"/>
      <c r="D4316" s="292"/>
      <c r="F4316" s="283" t="s">
        <v>190</v>
      </c>
      <c r="G4316" s="283"/>
      <c r="J4316" s="293">
        <v>6</v>
      </c>
      <c r="K4316" s="293"/>
      <c r="L4316" s="293"/>
      <c r="M4316" s="293"/>
      <c r="N4316" s="293"/>
      <c r="P4316" s="42">
        <v>9420</v>
      </c>
      <c r="R4316" s="42">
        <v>1440</v>
      </c>
      <c r="T4316" s="284">
        <v>7980</v>
      </c>
      <c r="U4316" s="284"/>
    </row>
    <row r="4317" spans="2:21" x14ac:dyDescent="0.25">
      <c r="B4317" s="292">
        <v>26</v>
      </c>
      <c r="C4317" s="292"/>
      <c r="D4317" s="292"/>
      <c r="F4317" s="283" t="s">
        <v>230</v>
      </c>
      <c r="G4317" s="283"/>
      <c r="J4317" s="293">
        <v>3</v>
      </c>
      <c r="K4317" s="293"/>
      <c r="L4317" s="293"/>
      <c r="M4317" s="293"/>
      <c r="N4317" s="293"/>
      <c r="P4317" s="42">
        <v>2850</v>
      </c>
      <c r="R4317" s="42">
        <v>420</v>
      </c>
      <c r="T4317" s="284">
        <v>2430</v>
      </c>
      <c r="U4317" s="284"/>
    </row>
    <row r="4318" spans="2:21" x14ac:dyDescent="0.25">
      <c r="B4318" s="292">
        <v>27</v>
      </c>
      <c r="C4318" s="292"/>
      <c r="D4318" s="292"/>
      <c r="F4318" s="283" t="s">
        <v>135</v>
      </c>
      <c r="G4318" s="283"/>
      <c r="J4318" s="293">
        <v>2</v>
      </c>
      <c r="K4318" s="293"/>
      <c r="L4318" s="293"/>
      <c r="M4318" s="293"/>
      <c r="N4318" s="293"/>
      <c r="P4318" s="42">
        <v>1900</v>
      </c>
      <c r="R4318" s="42">
        <v>560</v>
      </c>
      <c r="T4318" s="284">
        <v>1340</v>
      </c>
      <c r="U4318" s="284"/>
    </row>
    <row r="4319" spans="2:21" x14ac:dyDescent="0.25">
      <c r="B4319" s="292">
        <v>28</v>
      </c>
      <c r="C4319" s="292"/>
      <c r="D4319" s="292"/>
      <c r="F4319" s="283" t="s">
        <v>134</v>
      </c>
      <c r="G4319" s="283"/>
      <c r="J4319" s="293">
        <v>1</v>
      </c>
      <c r="K4319" s="293"/>
      <c r="L4319" s="293"/>
      <c r="M4319" s="293"/>
      <c r="N4319" s="293"/>
      <c r="P4319" s="42">
        <v>3700</v>
      </c>
      <c r="R4319" s="42">
        <v>0</v>
      </c>
      <c r="T4319" s="284">
        <v>3700</v>
      </c>
      <c r="U4319" s="284"/>
    </row>
    <row r="4320" spans="2:21" x14ac:dyDescent="0.25">
      <c r="B4320" s="292">
        <v>29</v>
      </c>
      <c r="C4320" s="292"/>
      <c r="D4320" s="292"/>
      <c r="F4320" s="283" t="s">
        <v>285</v>
      </c>
      <c r="G4320" s="283"/>
      <c r="J4320" s="293">
        <v>1</v>
      </c>
      <c r="K4320" s="293"/>
      <c r="L4320" s="293"/>
      <c r="M4320" s="293"/>
      <c r="N4320" s="293"/>
      <c r="P4320" s="42">
        <v>3700</v>
      </c>
      <c r="R4320" s="42">
        <v>1850</v>
      </c>
      <c r="T4320" s="284">
        <v>1850</v>
      </c>
      <c r="U4320" s="284"/>
    </row>
    <row r="4321" spans="2:21" x14ac:dyDescent="0.25">
      <c r="B4321" s="292">
        <v>30</v>
      </c>
      <c r="C4321" s="292"/>
      <c r="D4321" s="292"/>
      <c r="F4321" s="283" t="s">
        <v>132</v>
      </c>
      <c r="G4321" s="283"/>
      <c r="J4321" s="293">
        <v>8</v>
      </c>
      <c r="K4321" s="293"/>
      <c r="L4321" s="293"/>
      <c r="M4321" s="293"/>
      <c r="N4321" s="293"/>
      <c r="P4321" s="42">
        <v>9920</v>
      </c>
      <c r="R4321" s="42">
        <v>2960</v>
      </c>
      <c r="T4321" s="284">
        <v>6960</v>
      </c>
      <c r="U4321" s="284"/>
    </row>
    <row r="4322" spans="2:21" x14ac:dyDescent="0.25">
      <c r="B4322" s="292">
        <v>31</v>
      </c>
      <c r="C4322" s="292"/>
      <c r="D4322" s="292"/>
      <c r="F4322" s="285" t="s">
        <v>284</v>
      </c>
      <c r="G4322" s="285"/>
      <c r="J4322" s="293">
        <v>2</v>
      </c>
      <c r="K4322" s="293"/>
      <c r="L4322" s="293"/>
      <c r="M4322" s="293"/>
      <c r="N4322" s="293"/>
      <c r="P4322" s="42">
        <v>7400</v>
      </c>
      <c r="R4322" s="42">
        <v>3700</v>
      </c>
      <c r="T4322" s="284">
        <v>3700</v>
      </c>
      <c r="U4322" s="284"/>
    </row>
    <row r="4323" spans="2:21" x14ac:dyDescent="0.25">
      <c r="F4323" s="285"/>
      <c r="G4323" s="285"/>
    </row>
    <row r="4324" spans="2:21" x14ac:dyDescent="0.25">
      <c r="B4324" s="292">
        <v>32</v>
      </c>
      <c r="C4324" s="292"/>
      <c r="D4324" s="292"/>
      <c r="F4324" s="283" t="s">
        <v>130</v>
      </c>
      <c r="G4324" s="283"/>
      <c r="J4324" s="293">
        <v>4</v>
      </c>
      <c r="K4324" s="293"/>
      <c r="L4324" s="293"/>
      <c r="M4324" s="293"/>
      <c r="N4324" s="293"/>
      <c r="P4324" s="42">
        <v>32000</v>
      </c>
      <c r="R4324" s="42">
        <v>16400</v>
      </c>
      <c r="T4324" s="284">
        <v>15600</v>
      </c>
      <c r="U4324" s="284"/>
    </row>
    <row r="4325" spans="2:21" x14ac:dyDescent="0.25">
      <c r="B4325" s="292">
        <v>33</v>
      </c>
      <c r="C4325" s="292"/>
      <c r="D4325" s="292"/>
      <c r="F4325" s="285" t="s">
        <v>188</v>
      </c>
      <c r="G4325" s="285"/>
      <c r="J4325" s="293">
        <v>1</v>
      </c>
      <c r="K4325" s="293"/>
      <c r="L4325" s="293"/>
      <c r="M4325" s="293"/>
      <c r="N4325" s="293"/>
      <c r="P4325" s="42">
        <v>8000</v>
      </c>
      <c r="R4325" s="42">
        <v>4000</v>
      </c>
      <c r="T4325" s="284">
        <v>4000</v>
      </c>
      <c r="U4325" s="284"/>
    </row>
    <row r="4326" spans="2:21" x14ac:dyDescent="0.25">
      <c r="F4326" s="285"/>
      <c r="G4326" s="285"/>
    </row>
    <row r="4327" spans="2:21" x14ac:dyDescent="0.25">
      <c r="B4327" s="292">
        <v>34</v>
      </c>
      <c r="C4327" s="292"/>
      <c r="D4327" s="292"/>
      <c r="F4327" s="283" t="s">
        <v>185</v>
      </c>
      <c r="G4327" s="283"/>
      <c r="J4327" s="293">
        <v>1</v>
      </c>
      <c r="K4327" s="293"/>
      <c r="L4327" s="293"/>
      <c r="M4327" s="293"/>
      <c r="N4327" s="293"/>
      <c r="P4327" s="42">
        <v>800</v>
      </c>
      <c r="R4327" s="42">
        <v>450</v>
      </c>
      <c r="T4327" s="284">
        <v>350</v>
      </c>
      <c r="U4327" s="284"/>
    </row>
    <row r="4328" spans="2:21" x14ac:dyDescent="0.25">
      <c r="B4328" s="292">
        <v>35</v>
      </c>
      <c r="C4328" s="292"/>
      <c r="D4328" s="292"/>
      <c r="F4328" s="283" t="s">
        <v>283</v>
      </c>
      <c r="G4328" s="283"/>
      <c r="J4328" s="293">
        <v>2</v>
      </c>
      <c r="K4328" s="293"/>
      <c r="L4328" s="293"/>
      <c r="M4328" s="293"/>
      <c r="N4328" s="293"/>
      <c r="P4328" s="42">
        <v>1600</v>
      </c>
      <c r="R4328" s="42">
        <v>900</v>
      </c>
      <c r="T4328" s="284">
        <v>700</v>
      </c>
      <c r="U4328" s="284"/>
    </row>
    <row r="4329" spans="2:21" x14ac:dyDescent="0.25">
      <c r="B4329" s="292">
        <v>36</v>
      </c>
      <c r="C4329" s="292"/>
      <c r="D4329" s="292"/>
      <c r="F4329" s="283" t="s">
        <v>128</v>
      </c>
      <c r="G4329" s="283"/>
      <c r="J4329" s="293">
        <v>1</v>
      </c>
      <c r="K4329" s="293"/>
      <c r="L4329" s="293"/>
      <c r="M4329" s="293"/>
      <c r="N4329" s="293"/>
      <c r="P4329" s="42">
        <v>1150</v>
      </c>
      <c r="R4329" s="42">
        <v>170</v>
      </c>
      <c r="T4329" s="284">
        <v>980</v>
      </c>
      <c r="U4329" s="284"/>
    </row>
    <row r="4330" spans="2:21" x14ac:dyDescent="0.25">
      <c r="B4330" s="292">
        <v>37</v>
      </c>
      <c r="C4330" s="292"/>
      <c r="D4330" s="292"/>
      <c r="F4330" s="283" t="s">
        <v>127</v>
      </c>
      <c r="G4330" s="283"/>
      <c r="J4330" s="293">
        <v>145</v>
      </c>
      <c r="K4330" s="293"/>
      <c r="L4330" s="293"/>
      <c r="M4330" s="293"/>
      <c r="N4330" s="293"/>
      <c r="P4330" s="42">
        <v>43500</v>
      </c>
      <c r="R4330" s="42">
        <v>13050</v>
      </c>
      <c r="T4330" s="284">
        <v>30450</v>
      </c>
      <c r="U4330" s="284"/>
    </row>
    <row r="4331" spans="2:21" x14ac:dyDescent="0.25">
      <c r="B4331" s="292">
        <v>38</v>
      </c>
      <c r="C4331" s="292"/>
      <c r="D4331" s="292"/>
      <c r="F4331" s="283" t="s">
        <v>126</v>
      </c>
      <c r="G4331" s="283"/>
      <c r="J4331" s="293">
        <v>98</v>
      </c>
      <c r="K4331" s="293"/>
      <c r="L4331" s="293"/>
      <c r="M4331" s="293"/>
      <c r="N4331" s="293"/>
      <c r="P4331" s="42">
        <v>19600</v>
      </c>
      <c r="R4331" s="42">
        <v>5880</v>
      </c>
      <c r="T4331" s="284">
        <v>13720</v>
      </c>
      <c r="U4331" s="284"/>
    </row>
    <row r="4332" spans="2:21" x14ac:dyDescent="0.25">
      <c r="B4332" s="292">
        <v>39</v>
      </c>
      <c r="C4332" s="292"/>
      <c r="D4332" s="292"/>
      <c r="F4332" s="283" t="s">
        <v>227</v>
      </c>
      <c r="G4332" s="283"/>
      <c r="J4332" s="293">
        <v>1</v>
      </c>
      <c r="K4332" s="293"/>
      <c r="L4332" s="293"/>
      <c r="M4332" s="293"/>
      <c r="N4332" s="293"/>
      <c r="P4332" s="42">
        <v>500</v>
      </c>
      <c r="R4332" s="42">
        <v>150</v>
      </c>
      <c r="T4332" s="284">
        <v>350</v>
      </c>
      <c r="U4332" s="284"/>
    </row>
    <row r="4333" spans="2:21" x14ac:dyDescent="0.25">
      <c r="B4333" s="292">
        <v>40</v>
      </c>
      <c r="C4333" s="292"/>
      <c r="D4333" s="292"/>
      <c r="F4333" s="283" t="s">
        <v>282</v>
      </c>
      <c r="G4333" s="283"/>
      <c r="J4333" s="293">
        <v>1</v>
      </c>
      <c r="K4333" s="293"/>
      <c r="L4333" s="293"/>
      <c r="M4333" s="293"/>
      <c r="N4333" s="293"/>
      <c r="P4333" s="42">
        <v>500</v>
      </c>
      <c r="R4333" s="42">
        <v>150</v>
      </c>
      <c r="T4333" s="284">
        <v>350</v>
      </c>
      <c r="U4333" s="284"/>
    </row>
    <row r="4334" spans="2:21" x14ac:dyDescent="0.25">
      <c r="B4334" s="292">
        <v>41</v>
      </c>
      <c r="C4334" s="292"/>
      <c r="D4334" s="292"/>
      <c r="F4334" s="283" t="s">
        <v>226</v>
      </c>
      <c r="G4334" s="283"/>
      <c r="J4334" s="293">
        <v>2</v>
      </c>
      <c r="K4334" s="293"/>
      <c r="L4334" s="293"/>
      <c r="M4334" s="293"/>
      <c r="N4334" s="293"/>
      <c r="P4334" s="42">
        <v>1400</v>
      </c>
      <c r="R4334" s="42">
        <v>420</v>
      </c>
      <c r="T4334" s="284">
        <v>980</v>
      </c>
      <c r="U4334" s="284"/>
    </row>
    <row r="4335" spans="2:21" x14ac:dyDescent="0.25">
      <c r="B4335" s="292">
        <v>42</v>
      </c>
      <c r="C4335" s="292"/>
      <c r="D4335" s="292"/>
      <c r="F4335" s="283" t="s">
        <v>182</v>
      </c>
      <c r="G4335" s="283"/>
      <c r="J4335" s="293">
        <v>2</v>
      </c>
      <c r="K4335" s="293"/>
      <c r="L4335" s="293"/>
      <c r="M4335" s="293"/>
      <c r="N4335" s="293"/>
      <c r="P4335" s="42">
        <v>1580</v>
      </c>
      <c r="R4335" s="42">
        <v>240</v>
      </c>
      <c r="T4335" s="284">
        <v>1340</v>
      </c>
      <c r="U4335" s="284"/>
    </row>
    <row r="4336" spans="2:21" x14ac:dyDescent="0.25">
      <c r="B4336" s="292">
        <v>43</v>
      </c>
      <c r="C4336" s="292"/>
      <c r="D4336" s="292"/>
      <c r="F4336" s="283" t="s">
        <v>119</v>
      </c>
      <c r="G4336" s="283"/>
      <c r="J4336" s="293">
        <v>24</v>
      </c>
      <c r="K4336" s="293"/>
      <c r="L4336" s="293"/>
      <c r="M4336" s="293"/>
      <c r="N4336" s="293"/>
      <c r="P4336" s="42">
        <v>21360</v>
      </c>
      <c r="R4336" s="42">
        <v>6930</v>
      </c>
      <c r="T4336" s="284">
        <v>14430</v>
      </c>
      <c r="U4336" s="284"/>
    </row>
    <row r="4337" spans="2:21" x14ac:dyDescent="0.25">
      <c r="B4337" s="292">
        <v>44</v>
      </c>
      <c r="C4337" s="292"/>
      <c r="D4337" s="292"/>
      <c r="F4337" s="283" t="s">
        <v>118</v>
      </c>
      <c r="G4337" s="283"/>
      <c r="J4337" s="293">
        <v>430</v>
      </c>
      <c r="K4337" s="293"/>
      <c r="L4337" s="293"/>
      <c r="M4337" s="293"/>
      <c r="N4337" s="293"/>
      <c r="P4337" s="42">
        <v>425700</v>
      </c>
      <c r="R4337" s="42">
        <v>204755</v>
      </c>
      <c r="T4337" s="284">
        <v>220945</v>
      </c>
      <c r="U4337" s="284"/>
    </row>
    <row r="4338" spans="2:21" x14ac:dyDescent="0.25">
      <c r="B4338" s="292">
        <v>45</v>
      </c>
      <c r="C4338" s="292"/>
      <c r="D4338" s="292"/>
      <c r="F4338" s="283" t="s">
        <v>117</v>
      </c>
      <c r="G4338" s="283"/>
      <c r="J4338" s="293">
        <v>2</v>
      </c>
      <c r="K4338" s="293"/>
      <c r="L4338" s="293"/>
      <c r="M4338" s="293"/>
      <c r="N4338" s="293"/>
      <c r="P4338" s="42">
        <v>1600</v>
      </c>
      <c r="R4338" s="42">
        <v>400</v>
      </c>
      <c r="T4338" s="284">
        <v>1200</v>
      </c>
      <c r="U4338" s="284"/>
    </row>
    <row r="4339" spans="2:21" x14ac:dyDescent="0.25">
      <c r="B4339" s="292">
        <v>46</v>
      </c>
      <c r="C4339" s="292"/>
      <c r="D4339" s="292"/>
      <c r="F4339" s="283" t="s">
        <v>115</v>
      </c>
      <c r="G4339" s="283"/>
      <c r="J4339" s="293">
        <v>11</v>
      </c>
      <c r="K4339" s="293"/>
      <c r="L4339" s="293"/>
      <c r="M4339" s="293"/>
      <c r="N4339" s="293"/>
      <c r="P4339" s="42">
        <v>3190</v>
      </c>
      <c r="R4339" s="42">
        <v>1030</v>
      </c>
      <c r="T4339" s="284">
        <v>2160</v>
      </c>
      <c r="U4339" s="284"/>
    </row>
    <row r="4340" spans="2:21" x14ac:dyDescent="0.25">
      <c r="B4340" s="292">
        <v>47</v>
      </c>
      <c r="C4340" s="292"/>
      <c r="D4340" s="292"/>
      <c r="F4340" s="283" t="s">
        <v>219</v>
      </c>
      <c r="G4340" s="283"/>
      <c r="J4340" s="293">
        <v>1</v>
      </c>
      <c r="K4340" s="293"/>
      <c r="L4340" s="293"/>
      <c r="M4340" s="293"/>
      <c r="N4340" s="293"/>
      <c r="P4340" s="42">
        <v>500</v>
      </c>
      <c r="R4340" s="42">
        <v>150</v>
      </c>
      <c r="T4340" s="284">
        <v>350</v>
      </c>
      <c r="U4340" s="284"/>
    </row>
    <row r="4341" spans="2:21" x14ac:dyDescent="0.25">
      <c r="B4341" s="292">
        <v>48</v>
      </c>
      <c r="C4341" s="292"/>
      <c r="D4341" s="292"/>
      <c r="F4341" s="283" t="s">
        <v>181</v>
      </c>
      <c r="G4341" s="283"/>
      <c r="J4341" s="293">
        <v>2</v>
      </c>
      <c r="K4341" s="293"/>
      <c r="L4341" s="293"/>
      <c r="M4341" s="293"/>
      <c r="N4341" s="293"/>
      <c r="P4341" s="42">
        <v>1580</v>
      </c>
      <c r="R4341" s="42">
        <v>240</v>
      </c>
      <c r="T4341" s="284">
        <v>1340</v>
      </c>
      <c r="U4341" s="284"/>
    </row>
    <row r="4342" spans="2:21" x14ac:dyDescent="0.25">
      <c r="B4342" s="292">
        <v>49</v>
      </c>
      <c r="C4342" s="292"/>
      <c r="D4342" s="292"/>
      <c r="F4342" s="283" t="s">
        <v>109</v>
      </c>
      <c r="G4342" s="283"/>
      <c r="J4342" s="293">
        <v>2</v>
      </c>
      <c r="K4342" s="293"/>
      <c r="L4342" s="293"/>
      <c r="M4342" s="293"/>
      <c r="N4342" s="293"/>
      <c r="P4342" s="42">
        <v>1560</v>
      </c>
      <c r="R4342" s="42">
        <v>460</v>
      </c>
      <c r="T4342" s="284">
        <v>1100</v>
      </c>
      <c r="U4342" s="284"/>
    </row>
    <row r="4343" spans="2:21" x14ac:dyDescent="0.25">
      <c r="B4343" s="292">
        <v>50</v>
      </c>
      <c r="C4343" s="292"/>
      <c r="D4343" s="292"/>
      <c r="F4343" s="283" t="s">
        <v>108</v>
      </c>
      <c r="G4343" s="283"/>
      <c r="J4343" s="293">
        <v>158</v>
      </c>
      <c r="K4343" s="293"/>
      <c r="L4343" s="293"/>
      <c r="M4343" s="293"/>
      <c r="N4343" s="293"/>
      <c r="P4343" s="42">
        <v>15800</v>
      </c>
      <c r="R4343" s="42">
        <v>4680</v>
      </c>
      <c r="T4343" s="284">
        <v>11120</v>
      </c>
      <c r="U4343" s="284"/>
    </row>
    <row r="4344" spans="2:21" x14ac:dyDescent="0.25">
      <c r="B4344" s="292">
        <v>51</v>
      </c>
      <c r="C4344" s="292"/>
      <c r="D4344" s="292"/>
      <c r="F4344" s="283" t="s">
        <v>107</v>
      </c>
      <c r="G4344" s="283"/>
      <c r="J4344" s="293">
        <v>2</v>
      </c>
      <c r="K4344" s="293"/>
      <c r="L4344" s="293"/>
      <c r="M4344" s="293"/>
      <c r="N4344" s="293"/>
      <c r="P4344" s="42">
        <v>340</v>
      </c>
      <c r="R4344" s="42">
        <v>140</v>
      </c>
      <c r="T4344" s="284">
        <v>200</v>
      </c>
      <c r="U4344" s="284"/>
    </row>
    <row r="4345" spans="2:21" x14ac:dyDescent="0.25">
      <c r="B4345" s="292">
        <v>52</v>
      </c>
      <c r="C4345" s="292"/>
      <c r="D4345" s="292"/>
      <c r="F4345" s="283" t="s">
        <v>103</v>
      </c>
      <c r="G4345" s="283"/>
      <c r="J4345" s="293">
        <v>3</v>
      </c>
      <c r="K4345" s="293"/>
      <c r="L4345" s="293"/>
      <c r="M4345" s="293"/>
      <c r="N4345" s="293"/>
      <c r="P4345" s="42">
        <v>990</v>
      </c>
      <c r="R4345" s="42">
        <v>420</v>
      </c>
      <c r="T4345" s="284">
        <v>570</v>
      </c>
      <c r="U4345" s="284"/>
    </row>
    <row r="4346" spans="2:21" x14ac:dyDescent="0.25">
      <c r="B4346" s="292">
        <v>53</v>
      </c>
      <c r="C4346" s="292"/>
      <c r="D4346" s="292"/>
      <c r="F4346" s="283" t="s">
        <v>276</v>
      </c>
      <c r="G4346" s="283"/>
      <c r="J4346" s="293">
        <v>1</v>
      </c>
      <c r="K4346" s="293"/>
      <c r="L4346" s="293"/>
      <c r="M4346" s="293"/>
      <c r="N4346" s="293"/>
      <c r="P4346" s="42">
        <v>900</v>
      </c>
      <c r="R4346" s="42">
        <v>270</v>
      </c>
      <c r="T4346" s="284">
        <v>630</v>
      </c>
      <c r="U4346" s="284"/>
    </row>
    <row r="4347" spans="2:21" x14ac:dyDescent="0.25">
      <c r="B4347" s="292">
        <v>54</v>
      </c>
      <c r="C4347" s="292"/>
      <c r="D4347" s="292"/>
      <c r="F4347" s="283" t="s">
        <v>307</v>
      </c>
      <c r="G4347" s="283"/>
      <c r="J4347" s="293">
        <v>1</v>
      </c>
      <c r="K4347" s="293"/>
      <c r="L4347" s="293"/>
      <c r="M4347" s="293"/>
      <c r="N4347" s="293"/>
      <c r="P4347" s="42">
        <v>900</v>
      </c>
      <c r="R4347" s="42">
        <v>270</v>
      </c>
      <c r="T4347" s="284">
        <v>630</v>
      </c>
      <c r="U4347" s="284"/>
    </row>
    <row r="4348" spans="2:21" x14ac:dyDescent="0.25">
      <c r="B4348" s="292">
        <v>55</v>
      </c>
      <c r="C4348" s="292"/>
      <c r="D4348" s="292"/>
      <c r="F4348" s="283" t="s">
        <v>210</v>
      </c>
      <c r="G4348" s="283"/>
      <c r="J4348" s="293">
        <v>2</v>
      </c>
      <c r="K4348" s="293"/>
      <c r="L4348" s="293"/>
      <c r="M4348" s="293"/>
      <c r="N4348" s="293"/>
      <c r="P4348" s="42">
        <v>780</v>
      </c>
      <c r="R4348" s="42">
        <v>240</v>
      </c>
      <c r="T4348" s="284">
        <v>540</v>
      </c>
      <c r="U4348" s="284"/>
    </row>
    <row r="4349" spans="2:21" x14ac:dyDescent="0.25">
      <c r="B4349" s="292">
        <v>56</v>
      </c>
      <c r="C4349" s="292"/>
      <c r="D4349" s="292"/>
      <c r="F4349" s="283" t="s">
        <v>99</v>
      </c>
      <c r="G4349" s="283"/>
      <c r="J4349" s="293">
        <v>6</v>
      </c>
      <c r="K4349" s="293"/>
      <c r="L4349" s="293"/>
      <c r="M4349" s="293"/>
      <c r="N4349" s="293"/>
      <c r="P4349" s="42">
        <v>3540</v>
      </c>
      <c r="R4349" s="42">
        <v>540</v>
      </c>
      <c r="T4349" s="284">
        <v>3000</v>
      </c>
      <c r="U4349" s="284"/>
    </row>
    <row r="4350" spans="2:21" x14ac:dyDescent="0.25">
      <c r="B4350" s="292">
        <v>57</v>
      </c>
      <c r="C4350" s="292"/>
      <c r="D4350" s="292"/>
      <c r="F4350" s="283" t="s">
        <v>98</v>
      </c>
      <c r="G4350" s="283"/>
      <c r="J4350" s="293">
        <v>6</v>
      </c>
      <c r="K4350" s="293"/>
      <c r="L4350" s="293"/>
      <c r="M4350" s="293"/>
      <c r="N4350" s="293"/>
      <c r="P4350" s="42">
        <v>3420</v>
      </c>
      <c r="R4350" s="42">
        <v>480</v>
      </c>
      <c r="T4350" s="284">
        <v>2940</v>
      </c>
      <c r="U4350" s="284"/>
    </row>
    <row r="4351" spans="2:21" x14ac:dyDescent="0.25">
      <c r="B4351" s="292">
        <v>58</v>
      </c>
      <c r="C4351" s="292"/>
      <c r="D4351" s="292"/>
      <c r="F4351" s="283" t="s">
        <v>176</v>
      </c>
      <c r="G4351" s="283"/>
      <c r="J4351" s="293">
        <v>2</v>
      </c>
      <c r="K4351" s="293"/>
      <c r="L4351" s="293"/>
      <c r="M4351" s="293"/>
      <c r="N4351" s="293"/>
      <c r="P4351" s="42">
        <v>2120</v>
      </c>
      <c r="R4351" s="42">
        <v>320</v>
      </c>
      <c r="T4351" s="284">
        <v>1800</v>
      </c>
      <c r="U4351" s="284"/>
    </row>
    <row r="4352" spans="2:21" x14ac:dyDescent="0.25">
      <c r="B4352" s="292">
        <v>59</v>
      </c>
      <c r="C4352" s="292"/>
      <c r="D4352" s="292"/>
      <c r="F4352" s="283" t="s">
        <v>95</v>
      </c>
      <c r="G4352" s="283"/>
      <c r="J4352" s="293">
        <v>3</v>
      </c>
      <c r="K4352" s="293"/>
      <c r="L4352" s="293"/>
      <c r="M4352" s="293"/>
      <c r="N4352" s="293"/>
      <c r="P4352" s="42">
        <v>870</v>
      </c>
      <c r="R4352" s="42">
        <v>240</v>
      </c>
      <c r="T4352" s="284">
        <v>630</v>
      </c>
      <c r="U4352" s="284"/>
    </row>
    <row r="4353" spans="1:21" x14ac:dyDescent="0.25">
      <c r="B4353" s="292">
        <v>60</v>
      </c>
      <c r="C4353" s="292"/>
      <c r="D4353" s="292"/>
      <c r="F4353" s="283" t="s">
        <v>93</v>
      </c>
      <c r="G4353" s="283"/>
      <c r="J4353" s="293">
        <v>7</v>
      </c>
      <c r="K4353" s="293"/>
      <c r="L4353" s="293"/>
      <c r="M4353" s="293"/>
      <c r="N4353" s="293"/>
      <c r="P4353" s="42">
        <v>4130</v>
      </c>
      <c r="R4353" s="42">
        <v>630</v>
      </c>
      <c r="T4353" s="284">
        <v>3500</v>
      </c>
      <c r="U4353" s="284"/>
    </row>
    <row r="4354" spans="1:21" x14ac:dyDescent="0.25">
      <c r="B4354" s="292">
        <v>61</v>
      </c>
      <c r="C4354" s="292"/>
      <c r="D4354" s="292"/>
      <c r="F4354" s="283" t="s">
        <v>92</v>
      </c>
      <c r="G4354" s="283"/>
      <c r="J4354" s="293">
        <v>85</v>
      </c>
      <c r="K4354" s="293"/>
      <c r="L4354" s="293"/>
      <c r="M4354" s="293"/>
      <c r="N4354" s="293"/>
      <c r="P4354" s="42">
        <v>49640</v>
      </c>
      <c r="R4354" s="42">
        <v>14800</v>
      </c>
      <c r="T4354" s="284">
        <v>34840</v>
      </c>
      <c r="U4354" s="284"/>
    </row>
    <row r="4355" spans="1:21" x14ac:dyDescent="0.25">
      <c r="B4355" s="292">
        <v>62</v>
      </c>
      <c r="C4355" s="292"/>
      <c r="D4355" s="292"/>
      <c r="F4355" s="283" t="s">
        <v>306</v>
      </c>
      <c r="G4355" s="283"/>
      <c r="J4355" s="293">
        <v>7</v>
      </c>
      <c r="K4355" s="293"/>
      <c r="L4355" s="293"/>
      <c r="M4355" s="293"/>
      <c r="N4355" s="293"/>
      <c r="P4355" s="42">
        <v>7560</v>
      </c>
      <c r="R4355" s="42">
        <v>2240</v>
      </c>
      <c r="T4355" s="284">
        <v>5320</v>
      </c>
      <c r="U4355" s="284"/>
    </row>
    <row r="4356" spans="1:21" x14ac:dyDescent="0.25">
      <c r="B4356" s="292">
        <v>63</v>
      </c>
      <c r="C4356" s="292"/>
      <c r="D4356" s="292"/>
      <c r="F4356" s="283" t="s">
        <v>305</v>
      </c>
      <c r="G4356" s="283"/>
      <c r="J4356" s="293">
        <v>4</v>
      </c>
      <c r="K4356" s="293"/>
      <c r="L4356" s="293"/>
      <c r="M4356" s="293"/>
      <c r="N4356" s="293"/>
      <c r="P4356" s="42">
        <v>2400</v>
      </c>
      <c r="R4356" s="42">
        <v>720</v>
      </c>
      <c r="T4356" s="284">
        <v>1680</v>
      </c>
      <c r="U4356" s="284"/>
    </row>
    <row r="4357" spans="1:21" x14ac:dyDescent="0.25">
      <c r="B4357" s="292">
        <v>64</v>
      </c>
      <c r="C4357" s="292"/>
      <c r="D4357" s="292"/>
      <c r="F4357" s="283" t="s">
        <v>91</v>
      </c>
      <c r="G4357" s="283"/>
      <c r="J4357" s="293">
        <v>407</v>
      </c>
      <c r="K4357" s="293"/>
      <c r="L4357" s="293"/>
      <c r="M4357" s="293"/>
      <c r="N4357" s="293"/>
      <c r="P4357" s="42">
        <v>101750</v>
      </c>
      <c r="R4357" s="42">
        <v>48299</v>
      </c>
      <c r="T4357" s="284">
        <v>53451</v>
      </c>
      <c r="U4357" s="284"/>
    </row>
    <row r="4358" spans="1:21" x14ac:dyDescent="0.25">
      <c r="B4358" s="292">
        <v>65</v>
      </c>
      <c r="C4358" s="292"/>
      <c r="D4358" s="292"/>
      <c r="F4358" s="283" t="s">
        <v>90</v>
      </c>
      <c r="G4358" s="283"/>
      <c r="J4358" s="293">
        <v>98</v>
      </c>
      <c r="K4358" s="293"/>
      <c r="L4358" s="293"/>
      <c r="M4358" s="293"/>
      <c r="N4358" s="293"/>
      <c r="P4358" s="42">
        <v>28420</v>
      </c>
      <c r="R4358" s="42">
        <v>7840</v>
      </c>
      <c r="T4358" s="284">
        <v>20580</v>
      </c>
      <c r="U4358" s="284"/>
    </row>
    <row r="4359" spans="1:21" x14ac:dyDescent="0.25">
      <c r="B4359" s="292">
        <v>66</v>
      </c>
      <c r="C4359" s="292"/>
      <c r="D4359" s="292"/>
      <c r="F4359" s="283" t="s">
        <v>88</v>
      </c>
      <c r="G4359" s="283"/>
      <c r="J4359" s="293">
        <v>4</v>
      </c>
      <c r="K4359" s="293"/>
      <c r="L4359" s="293"/>
      <c r="M4359" s="293"/>
      <c r="N4359" s="293"/>
      <c r="P4359" s="42">
        <v>720</v>
      </c>
      <c r="R4359" s="42">
        <v>270</v>
      </c>
      <c r="T4359" s="284">
        <v>450</v>
      </c>
      <c r="U4359" s="284"/>
    </row>
    <row r="4360" spans="1:21" x14ac:dyDescent="0.25">
      <c r="B4360" s="292">
        <v>67</v>
      </c>
      <c r="C4360" s="292"/>
      <c r="D4360" s="292"/>
      <c r="F4360" s="283" t="s">
        <v>208</v>
      </c>
      <c r="G4360" s="283"/>
      <c r="J4360" s="293">
        <v>1</v>
      </c>
      <c r="K4360" s="293"/>
      <c r="L4360" s="293"/>
      <c r="M4360" s="293"/>
      <c r="N4360" s="293"/>
      <c r="P4360" s="42">
        <v>500</v>
      </c>
      <c r="R4360" s="42">
        <v>150</v>
      </c>
      <c r="T4360" s="284">
        <v>350</v>
      </c>
      <c r="U4360" s="284"/>
    </row>
    <row r="4361" spans="1:21" x14ac:dyDescent="0.25">
      <c r="B4361" s="292">
        <v>68</v>
      </c>
      <c r="C4361" s="292"/>
      <c r="D4361" s="292"/>
      <c r="F4361" s="283" t="s">
        <v>83</v>
      </c>
      <c r="G4361" s="283"/>
      <c r="J4361" s="293">
        <v>1</v>
      </c>
      <c r="K4361" s="293"/>
      <c r="L4361" s="293"/>
      <c r="M4361" s="293"/>
      <c r="N4361" s="293"/>
      <c r="P4361" s="42">
        <v>500</v>
      </c>
      <c r="R4361" s="42">
        <v>150</v>
      </c>
      <c r="T4361" s="284">
        <v>350</v>
      </c>
      <c r="U4361" s="284"/>
    </row>
    <row r="4362" spans="1:21" x14ac:dyDescent="0.25">
      <c r="B4362" s="292">
        <v>69</v>
      </c>
      <c r="C4362" s="292"/>
      <c r="D4362" s="292"/>
      <c r="F4362" s="283" t="s">
        <v>202</v>
      </c>
      <c r="G4362" s="283"/>
      <c r="J4362" s="293">
        <v>1</v>
      </c>
      <c r="K4362" s="293"/>
      <c r="L4362" s="293"/>
      <c r="M4362" s="293"/>
      <c r="N4362" s="293"/>
      <c r="P4362" s="42">
        <v>500</v>
      </c>
      <c r="R4362" s="42">
        <v>130</v>
      </c>
      <c r="T4362" s="284">
        <v>370</v>
      </c>
      <c r="U4362" s="284"/>
    </row>
    <row r="4363" spans="1:21" s="40" customFormat="1" x14ac:dyDescent="0.25">
      <c r="A4363" s="290" t="s">
        <v>304</v>
      </c>
      <c r="B4363" s="290"/>
      <c r="C4363" s="290"/>
      <c r="D4363" s="290"/>
      <c r="E4363" s="290"/>
      <c r="F4363" s="290"/>
      <c r="G4363" s="290"/>
      <c r="H4363" s="290"/>
      <c r="I4363" s="290"/>
      <c r="J4363" s="290"/>
      <c r="K4363" s="291">
        <v>632</v>
      </c>
      <c r="L4363" s="291"/>
      <c r="M4363" s="291"/>
      <c r="N4363" s="291"/>
      <c r="O4363" s="291"/>
      <c r="P4363" s="41">
        <v>1226240</v>
      </c>
      <c r="R4363" s="41">
        <v>1225290</v>
      </c>
      <c r="T4363" s="287">
        <v>950</v>
      </c>
      <c r="U4363" s="287"/>
    </row>
    <row r="4364" spans="1:21" x14ac:dyDescent="0.25">
      <c r="B4364" s="292">
        <v>1</v>
      </c>
      <c r="C4364" s="292"/>
      <c r="D4364" s="292"/>
      <c r="F4364" s="283" t="s">
        <v>78</v>
      </c>
      <c r="G4364" s="283"/>
      <c r="J4364" s="293">
        <v>16</v>
      </c>
      <c r="K4364" s="293"/>
      <c r="L4364" s="293"/>
      <c r="M4364" s="293"/>
      <c r="N4364" s="293"/>
      <c r="P4364" s="42">
        <v>4640</v>
      </c>
      <c r="R4364" s="42">
        <v>4640</v>
      </c>
      <c r="T4364" s="284">
        <v>0</v>
      </c>
      <c r="U4364" s="284"/>
    </row>
    <row r="4365" spans="1:21" x14ac:dyDescent="0.25">
      <c r="B4365" s="292">
        <v>2</v>
      </c>
      <c r="C4365" s="292"/>
      <c r="D4365" s="292"/>
      <c r="F4365" s="283" t="s">
        <v>77</v>
      </c>
      <c r="G4365" s="283"/>
      <c r="J4365" s="293">
        <v>156</v>
      </c>
      <c r="K4365" s="293"/>
      <c r="L4365" s="293"/>
      <c r="M4365" s="293"/>
      <c r="N4365" s="293"/>
      <c r="P4365" s="42">
        <v>75300</v>
      </c>
      <c r="R4365" s="42">
        <v>75300</v>
      </c>
      <c r="T4365" s="284">
        <v>0</v>
      </c>
      <c r="U4365" s="284"/>
    </row>
    <row r="4366" spans="1:21" x14ac:dyDescent="0.25">
      <c r="B4366" s="292">
        <v>3</v>
      </c>
      <c r="C4366" s="292"/>
      <c r="D4366" s="292"/>
      <c r="F4366" s="283" t="s">
        <v>75</v>
      </c>
      <c r="G4366" s="283"/>
      <c r="J4366" s="293">
        <v>458</v>
      </c>
      <c r="K4366" s="293"/>
      <c r="L4366" s="293"/>
      <c r="M4366" s="293"/>
      <c r="N4366" s="293"/>
      <c r="P4366" s="42">
        <v>1145000</v>
      </c>
      <c r="R4366" s="42">
        <v>1145000</v>
      </c>
      <c r="T4366" s="284">
        <v>0</v>
      </c>
      <c r="U4366" s="284"/>
    </row>
    <row r="4367" spans="1:21" x14ac:dyDescent="0.25">
      <c r="B4367" s="292">
        <v>4</v>
      </c>
      <c r="C4367" s="292"/>
      <c r="D4367" s="292"/>
      <c r="F4367" s="283" t="s">
        <v>117</v>
      </c>
      <c r="G4367" s="283"/>
      <c r="J4367" s="293">
        <v>1</v>
      </c>
      <c r="K4367" s="293"/>
      <c r="L4367" s="293"/>
      <c r="M4367" s="293"/>
      <c r="N4367" s="293"/>
      <c r="P4367" s="42">
        <v>800</v>
      </c>
      <c r="R4367" s="42">
        <v>200</v>
      </c>
      <c r="T4367" s="284">
        <v>600</v>
      </c>
      <c r="U4367" s="284"/>
    </row>
    <row r="4368" spans="1:21" x14ac:dyDescent="0.25">
      <c r="B4368" s="292">
        <v>5</v>
      </c>
      <c r="C4368" s="292"/>
      <c r="D4368" s="292"/>
      <c r="F4368" s="283" t="s">
        <v>206</v>
      </c>
      <c r="G4368" s="283"/>
      <c r="J4368" s="293">
        <v>1</v>
      </c>
      <c r="K4368" s="293"/>
      <c r="L4368" s="293"/>
      <c r="M4368" s="293"/>
      <c r="N4368" s="293"/>
      <c r="P4368" s="42">
        <v>500</v>
      </c>
      <c r="R4368" s="42">
        <v>150</v>
      </c>
      <c r="T4368" s="284">
        <v>350</v>
      </c>
      <c r="U4368" s="284"/>
    </row>
    <row r="4369" spans="1:21" s="40" customFormat="1" x14ac:dyDescent="0.25">
      <c r="A4369" s="290" t="s">
        <v>303</v>
      </c>
      <c r="B4369" s="290"/>
      <c r="C4369" s="290"/>
      <c r="D4369" s="290"/>
      <c r="E4369" s="290"/>
      <c r="F4369" s="290"/>
      <c r="G4369" s="290"/>
      <c r="H4369" s="290"/>
      <c r="I4369" s="290"/>
      <c r="J4369" s="290"/>
      <c r="K4369" s="291">
        <v>4620</v>
      </c>
      <c r="L4369" s="291"/>
      <c r="M4369" s="291"/>
      <c r="N4369" s="291"/>
      <c r="O4369" s="291"/>
      <c r="P4369" s="41">
        <v>4837190</v>
      </c>
      <c r="R4369" s="41">
        <v>3845030</v>
      </c>
      <c r="T4369" s="287">
        <v>992160</v>
      </c>
      <c r="U4369" s="287"/>
    </row>
    <row r="4370" spans="1:21" x14ac:dyDescent="0.25">
      <c r="B4370" s="292">
        <v>1</v>
      </c>
      <c r="C4370" s="292"/>
      <c r="D4370" s="292"/>
      <c r="F4370" s="283" t="s">
        <v>78</v>
      </c>
      <c r="G4370" s="283"/>
      <c r="J4370" s="293">
        <v>163</v>
      </c>
      <c r="K4370" s="293"/>
      <c r="L4370" s="293"/>
      <c r="M4370" s="293"/>
      <c r="N4370" s="293"/>
      <c r="P4370" s="42">
        <v>47270</v>
      </c>
      <c r="R4370" s="42">
        <v>47270</v>
      </c>
      <c r="T4370" s="284">
        <v>0</v>
      </c>
      <c r="U4370" s="284"/>
    </row>
    <row r="4371" spans="1:21" x14ac:dyDescent="0.25">
      <c r="B4371" s="292">
        <v>2</v>
      </c>
      <c r="C4371" s="292"/>
      <c r="D4371" s="292"/>
      <c r="F4371" s="283" t="s">
        <v>268</v>
      </c>
      <c r="G4371" s="283"/>
      <c r="J4371" s="293">
        <v>1</v>
      </c>
      <c r="K4371" s="293"/>
      <c r="L4371" s="293"/>
      <c r="M4371" s="293"/>
      <c r="N4371" s="293"/>
      <c r="P4371" s="42">
        <v>250</v>
      </c>
      <c r="R4371" s="42">
        <v>70</v>
      </c>
      <c r="T4371" s="284">
        <v>180</v>
      </c>
      <c r="U4371" s="284"/>
    </row>
    <row r="4372" spans="1:21" x14ac:dyDescent="0.25">
      <c r="B4372" s="292">
        <v>3</v>
      </c>
      <c r="C4372" s="292"/>
      <c r="D4372" s="292"/>
      <c r="F4372" s="283" t="s">
        <v>199</v>
      </c>
      <c r="G4372" s="283"/>
      <c r="J4372" s="293">
        <v>1</v>
      </c>
      <c r="K4372" s="293"/>
      <c r="L4372" s="293"/>
      <c r="M4372" s="293"/>
      <c r="N4372" s="293"/>
      <c r="P4372" s="42">
        <v>290</v>
      </c>
      <c r="R4372" s="42">
        <v>100</v>
      </c>
      <c r="T4372" s="284">
        <v>190</v>
      </c>
      <c r="U4372" s="284"/>
    </row>
    <row r="4373" spans="1:21" x14ac:dyDescent="0.25">
      <c r="B4373" s="292">
        <v>4</v>
      </c>
      <c r="C4373" s="292"/>
      <c r="D4373" s="292"/>
      <c r="F4373" s="283" t="s">
        <v>165</v>
      </c>
      <c r="G4373" s="283"/>
      <c r="J4373" s="293">
        <v>2</v>
      </c>
      <c r="K4373" s="293"/>
      <c r="L4373" s="293"/>
      <c r="M4373" s="293"/>
      <c r="N4373" s="293"/>
      <c r="P4373" s="42">
        <v>1180</v>
      </c>
      <c r="R4373" s="42">
        <v>360</v>
      </c>
      <c r="T4373" s="284">
        <v>820</v>
      </c>
      <c r="U4373" s="284"/>
    </row>
    <row r="4374" spans="1:21" x14ac:dyDescent="0.25">
      <c r="B4374" s="292">
        <v>5</v>
      </c>
      <c r="C4374" s="292"/>
      <c r="D4374" s="292"/>
      <c r="F4374" s="283" t="s">
        <v>163</v>
      </c>
      <c r="G4374" s="283"/>
      <c r="J4374" s="293">
        <v>19</v>
      </c>
      <c r="K4374" s="293"/>
      <c r="L4374" s="293"/>
      <c r="M4374" s="293"/>
      <c r="N4374" s="293"/>
      <c r="P4374" s="42">
        <v>22610</v>
      </c>
      <c r="R4374" s="42">
        <v>3420</v>
      </c>
      <c r="T4374" s="284">
        <v>19190</v>
      </c>
      <c r="U4374" s="284"/>
    </row>
    <row r="4375" spans="1:21" x14ac:dyDescent="0.25">
      <c r="B4375" s="292">
        <v>6</v>
      </c>
      <c r="C4375" s="292"/>
      <c r="D4375" s="292"/>
      <c r="F4375" s="283" t="s">
        <v>162</v>
      </c>
      <c r="G4375" s="283"/>
      <c r="J4375" s="293">
        <v>45</v>
      </c>
      <c r="K4375" s="293"/>
      <c r="L4375" s="293"/>
      <c r="M4375" s="293"/>
      <c r="N4375" s="293"/>
      <c r="P4375" s="42">
        <v>19350</v>
      </c>
      <c r="R4375" s="42">
        <v>8832</v>
      </c>
      <c r="T4375" s="284">
        <v>10518</v>
      </c>
      <c r="U4375" s="284"/>
    </row>
    <row r="4376" spans="1:21" x14ac:dyDescent="0.25">
      <c r="B4376" s="292">
        <v>7</v>
      </c>
      <c r="C4376" s="292"/>
      <c r="D4376" s="292"/>
      <c r="F4376" s="283" t="s">
        <v>160</v>
      </c>
      <c r="G4376" s="283"/>
      <c r="J4376" s="293">
        <v>31</v>
      </c>
      <c r="K4376" s="293"/>
      <c r="L4376" s="293"/>
      <c r="M4376" s="293"/>
      <c r="N4376" s="293"/>
      <c r="P4376" s="42">
        <v>8990</v>
      </c>
      <c r="R4376" s="42">
        <v>2400</v>
      </c>
      <c r="T4376" s="284">
        <v>6590</v>
      </c>
      <c r="U4376" s="284"/>
    </row>
    <row r="4377" spans="1:21" x14ac:dyDescent="0.25">
      <c r="B4377" s="292">
        <v>8</v>
      </c>
      <c r="C4377" s="292"/>
      <c r="D4377" s="292"/>
      <c r="F4377" s="283" t="s">
        <v>158</v>
      </c>
      <c r="G4377" s="283"/>
      <c r="J4377" s="293">
        <v>519</v>
      </c>
      <c r="K4377" s="293"/>
      <c r="L4377" s="293"/>
      <c r="M4377" s="293"/>
      <c r="N4377" s="293"/>
      <c r="P4377" s="42">
        <v>285450</v>
      </c>
      <c r="R4377" s="42">
        <v>88140</v>
      </c>
      <c r="T4377" s="284">
        <v>197310</v>
      </c>
      <c r="U4377" s="284"/>
    </row>
    <row r="4378" spans="1:21" x14ac:dyDescent="0.25">
      <c r="B4378" s="292">
        <v>9</v>
      </c>
      <c r="C4378" s="292"/>
      <c r="D4378" s="292"/>
      <c r="F4378" s="283" t="s">
        <v>157</v>
      </c>
      <c r="G4378" s="283"/>
      <c r="J4378" s="293">
        <v>339</v>
      </c>
      <c r="K4378" s="293"/>
      <c r="L4378" s="293"/>
      <c r="M4378" s="293"/>
      <c r="N4378" s="293"/>
      <c r="P4378" s="42">
        <v>166110</v>
      </c>
      <c r="R4378" s="42">
        <v>72853</v>
      </c>
      <c r="T4378" s="284">
        <v>93257</v>
      </c>
      <c r="U4378" s="284"/>
    </row>
    <row r="4379" spans="1:21" x14ac:dyDescent="0.25">
      <c r="B4379" s="292">
        <v>10</v>
      </c>
      <c r="C4379" s="292"/>
      <c r="D4379" s="292"/>
      <c r="F4379" s="283" t="s">
        <v>196</v>
      </c>
      <c r="G4379" s="283"/>
      <c r="J4379" s="293">
        <v>1</v>
      </c>
      <c r="K4379" s="293"/>
      <c r="L4379" s="293"/>
      <c r="M4379" s="293"/>
      <c r="N4379" s="293"/>
      <c r="P4379" s="42">
        <v>700</v>
      </c>
      <c r="R4379" s="42">
        <v>350</v>
      </c>
      <c r="T4379" s="284">
        <v>350</v>
      </c>
      <c r="U4379" s="284"/>
    </row>
    <row r="4380" spans="1:21" x14ac:dyDescent="0.25">
      <c r="B4380" s="292">
        <v>11</v>
      </c>
      <c r="C4380" s="292"/>
      <c r="D4380" s="292"/>
      <c r="F4380" s="283" t="s">
        <v>292</v>
      </c>
      <c r="G4380" s="283"/>
      <c r="J4380" s="293">
        <v>1</v>
      </c>
      <c r="K4380" s="293"/>
      <c r="L4380" s="293"/>
      <c r="M4380" s="293"/>
      <c r="N4380" s="293"/>
      <c r="P4380" s="42">
        <v>700</v>
      </c>
      <c r="R4380" s="42">
        <v>700</v>
      </c>
      <c r="T4380" s="284">
        <v>0</v>
      </c>
      <c r="U4380" s="284"/>
    </row>
    <row r="4381" spans="1:21" x14ac:dyDescent="0.25">
      <c r="B4381" s="292">
        <v>12</v>
      </c>
      <c r="C4381" s="292"/>
      <c r="D4381" s="292"/>
      <c r="F4381" s="283" t="s">
        <v>77</v>
      </c>
      <c r="G4381" s="283"/>
      <c r="J4381" s="293">
        <v>520</v>
      </c>
      <c r="K4381" s="293"/>
      <c r="L4381" s="293"/>
      <c r="M4381" s="293"/>
      <c r="N4381" s="293"/>
      <c r="P4381" s="42">
        <v>213500</v>
      </c>
      <c r="R4381" s="42">
        <v>213500</v>
      </c>
      <c r="T4381" s="284">
        <v>0</v>
      </c>
      <c r="U4381" s="284"/>
    </row>
    <row r="4382" spans="1:21" x14ac:dyDescent="0.25">
      <c r="B4382" s="292">
        <v>13</v>
      </c>
      <c r="C4382" s="292"/>
      <c r="D4382" s="292"/>
      <c r="F4382" s="283" t="s">
        <v>76</v>
      </c>
      <c r="G4382" s="283"/>
      <c r="J4382" s="293">
        <v>1</v>
      </c>
      <c r="K4382" s="293"/>
      <c r="L4382" s="293"/>
      <c r="M4382" s="293"/>
      <c r="N4382" s="293"/>
      <c r="P4382" s="42">
        <v>600</v>
      </c>
      <c r="R4382" s="42">
        <v>600</v>
      </c>
      <c r="T4382" s="284">
        <v>0</v>
      </c>
      <c r="U4382" s="284"/>
    </row>
    <row r="4383" spans="1:21" x14ac:dyDescent="0.25">
      <c r="B4383" s="292">
        <v>14</v>
      </c>
      <c r="C4383" s="292"/>
      <c r="D4383" s="292"/>
      <c r="F4383" s="283" t="s">
        <v>156</v>
      </c>
      <c r="G4383" s="283"/>
      <c r="J4383" s="293">
        <v>36</v>
      </c>
      <c r="K4383" s="293"/>
      <c r="L4383" s="293"/>
      <c r="M4383" s="293"/>
      <c r="N4383" s="293"/>
      <c r="P4383" s="42">
        <v>6840</v>
      </c>
      <c r="R4383" s="42">
        <v>2060</v>
      </c>
      <c r="T4383" s="284">
        <v>4780</v>
      </c>
      <c r="U4383" s="284"/>
    </row>
    <row r="4384" spans="1:21" x14ac:dyDescent="0.25">
      <c r="B4384" s="292">
        <v>15</v>
      </c>
      <c r="C4384" s="292"/>
      <c r="D4384" s="292"/>
      <c r="F4384" s="283" t="s">
        <v>155</v>
      </c>
      <c r="G4384" s="283"/>
      <c r="J4384" s="293">
        <v>71</v>
      </c>
      <c r="K4384" s="293"/>
      <c r="L4384" s="293"/>
      <c r="M4384" s="293"/>
      <c r="N4384" s="293"/>
      <c r="P4384" s="42">
        <v>17750</v>
      </c>
      <c r="R4384" s="42">
        <v>6190</v>
      </c>
      <c r="T4384" s="284">
        <v>11560</v>
      </c>
      <c r="U4384" s="284"/>
    </row>
    <row r="4385" spans="2:21" x14ac:dyDescent="0.25">
      <c r="B4385" s="292">
        <v>16</v>
      </c>
      <c r="C4385" s="292"/>
      <c r="D4385" s="292"/>
      <c r="F4385" s="283" t="s">
        <v>154</v>
      </c>
      <c r="G4385" s="283"/>
      <c r="J4385" s="293">
        <v>3</v>
      </c>
      <c r="K4385" s="293"/>
      <c r="L4385" s="293"/>
      <c r="M4385" s="293"/>
      <c r="N4385" s="293"/>
      <c r="P4385" s="42">
        <v>2670</v>
      </c>
      <c r="R4385" s="42">
        <v>390</v>
      </c>
      <c r="T4385" s="284">
        <v>2280</v>
      </c>
      <c r="U4385" s="284"/>
    </row>
    <row r="4386" spans="2:21" x14ac:dyDescent="0.25">
      <c r="B4386" s="292">
        <v>17</v>
      </c>
      <c r="C4386" s="292"/>
      <c r="D4386" s="292"/>
      <c r="F4386" s="283" t="s">
        <v>194</v>
      </c>
      <c r="G4386" s="283"/>
      <c r="J4386" s="293">
        <v>2</v>
      </c>
      <c r="K4386" s="293"/>
      <c r="L4386" s="293"/>
      <c r="M4386" s="293"/>
      <c r="N4386" s="293"/>
      <c r="P4386" s="42">
        <v>1400</v>
      </c>
      <c r="R4386" s="42">
        <v>360</v>
      </c>
      <c r="T4386" s="284">
        <v>1040</v>
      </c>
      <c r="U4386" s="284"/>
    </row>
    <row r="4387" spans="2:21" x14ac:dyDescent="0.25">
      <c r="B4387" s="292">
        <v>18</v>
      </c>
      <c r="C4387" s="292"/>
      <c r="D4387" s="292"/>
      <c r="F4387" s="283" t="s">
        <v>152</v>
      </c>
      <c r="G4387" s="283"/>
      <c r="J4387" s="293">
        <v>22</v>
      </c>
      <c r="K4387" s="293"/>
      <c r="L4387" s="293"/>
      <c r="M4387" s="293"/>
      <c r="N4387" s="293"/>
      <c r="P4387" s="42">
        <v>12980</v>
      </c>
      <c r="R4387" s="42">
        <v>3990</v>
      </c>
      <c r="T4387" s="284">
        <v>8990</v>
      </c>
      <c r="U4387" s="284"/>
    </row>
    <row r="4388" spans="2:21" x14ac:dyDescent="0.25">
      <c r="B4388" s="292">
        <v>19</v>
      </c>
      <c r="C4388" s="292"/>
      <c r="D4388" s="292"/>
      <c r="F4388" s="283" t="s">
        <v>151</v>
      </c>
      <c r="G4388" s="283"/>
      <c r="J4388" s="293">
        <v>28</v>
      </c>
      <c r="K4388" s="293"/>
      <c r="L4388" s="293"/>
      <c r="M4388" s="293"/>
      <c r="N4388" s="293"/>
      <c r="P4388" s="42">
        <v>6440</v>
      </c>
      <c r="R4388" s="42">
        <v>2040</v>
      </c>
      <c r="T4388" s="284">
        <v>4400</v>
      </c>
      <c r="U4388" s="284"/>
    </row>
    <row r="4389" spans="2:21" x14ac:dyDescent="0.25">
      <c r="B4389" s="292">
        <v>20</v>
      </c>
      <c r="C4389" s="292"/>
      <c r="D4389" s="292"/>
      <c r="F4389" s="283" t="s">
        <v>150</v>
      </c>
      <c r="G4389" s="283"/>
      <c r="J4389" s="293">
        <v>97</v>
      </c>
      <c r="K4389" s="293"/>
      <c r="L4389" s="293"/>
      <c r="M4389" s="293"/>
      <c r="N4389" s="293"/>
      <c r="P4389" s="42">
        <v>16490</v>
      </c>
      <c r="R4389" s="42">
        <v>4850</v>
      </c>
      <c r="T4389" s="284">
        <v>11640</v>
      </c>
      <c r="U4389" s="284"/>
    </row>
    <row r="4390" spans="2:21" x14ac:dyDescent="0.25">
      <c r="B4390" s="292">
        <v>21</v>
      </c>
      <c r="C4390" s="292"/>
      <c r="D4390" s="292"/>
      <c r="F4390" s="283" t="s">
        <v>148</v>
      </c>
      <c r="G4390" s="283"/>
      <c r="J4390" s="293">
        <v>1</v>
      </c>
      <c r="K4390" s="293"/>
      <c r="L4390" s="293"/>
      <c r="M4390" s="293"/>
      <c r="N4390" s="293"/>
      <c r="P4390" s="42">
        <v>980</v>
      </c>
      <c r="R4390" s="42">
        <v>150</v>
      </c>
      <c r="T4390" s="284">
        <v>830</v>
      </c>
      <c r="U4390" s="284"/>
    </row>
    <row r="4391" spans="2:21" x14ac:dyDescent="0.25">
      <c r="B4391" s="292">
        <v>22</v>
      </c>
      <c r="C4391" s="292"/>
      <c r="D4391" s="292"/>
      <c r="F4391" s="283" t="s">
        <v>234</v>
      </c>
      <c r="G4391" s="283"/>
      <c r="J4391" s="293">
        <v>1</v>
      </c>
      <c r="K4391" s="293"/>
      <c r="L4391" s="293"/>
      <c r="M4391" s="293"/>
      <c r="N4391" s="293"/>
      <c r="P4391" s="42">
        <v>800</v>
      </c>
      <c r="R4391" s="42">
        <v>450</v>
      </c>
      <c r="T4391" s="284">
        <v>350</v>
      </c>
      <c r="U4391" s="284"/>
    </row>
    <row r="4392" spans="2:21" x14ac:dyDescent="0.25">
      <c r="B4392" s="292">
        <v>23</v>
      </c>
      <c r="C4392" s="292"/>
      <c r="D4392" s="292"/>
      <c r="F4392" s="283" t="s">
        <v>233</v>
      </c>
      <c r="G4392" s="283"/>
      <c r="J4392" s="293">
        <v>2</v>
      </c>
      <c r="K4392" s="293"/>
      <c r="L4392" s="293"/>
      <c r="M4392" s="293"/>
      <c r="N4392" s="293"/>
      <c r="P4392" s="42">
        <v>1960</v>
      </c>
      <c r="R4392" s="42">
        <v>300</v>
      </c>
      <c r="T4392" s="284">
        <v>1660</v>
      </c>
      <c r="U4392" s="284"/>
    </row>
    <row r="4393" spans="2:21" x14ac:dyDescent="0.25">
      <c r="B4393" s="292">
        <v>24</v>
      </c>
      <c r="C4393" s="292"/>
      <c r="D4393" s="292"/>
      <c r="F4393" s="283" t="s">
        <v>232</v>
      </c>
      <c r="G4393" s="283"/>
      <c r="J4393" s="293">
        <v>2</v>
      </c>
      <c r="K4393" s="293"/>
      <c r="L4393" s="293"/>
      <c r="M4393" s="293"/>
      <c r="N4393" s="293"/>
      <c r="P4393" s="42">
        <v>1960</v>
      </c>
      <c r="R4393" s="42">
        <v>300</v>
      </c>
      <c r="T4393" s="284">
        <v>1660</v>
      </c>
      <c r="U4393" s="284"/>
    </row>
    <row r="4394" spans="2:21" x14ac:dyDescent="0.25">
      <c r="B4394" s="292">
        <v>25</v>
      </c>
      <c r="C4394" s="292"/>
      <c r="D4394" s="292"/>
      <c r="F4394" s="283" t="s">
        <v>193</v>
      </c>
      <c r="G4394" s="283"/>
      <c r="J4394" s="293">
        <v>4</v>
      </c>
      <c r="K4394" s="293"/>
      <c r="L4394" s="293"/>
      <c r="M4394" s="293"/>
      <c r="N4394" s="293"/>
      <c r="P4394" s="42">
        <v>3560</v>
      </c>
      <c r="R4394" s="42">
        <v>520</v>
      </c>
      <c r="T4394" s="284">
        <v>3040</v>
      </c>
      <c r="U4394" s="284"/>
    </row>
    <row r="4395" spans="2:21" x14ac:dyDescent="0.25">
      <c r="B4395" s="292">
        <v>26</v>
      </c>
      <c r="C4395" s="292"/>
      <c r="D4395" s="292"/>
      <c r="F4395" s="283" t="s">
        <v>142</v>
      </c>
      <c r="G4395" s="283"/>
      <c r="J4395" s="293">
        <v>1</v>
      </c>
      <c r="K4395" s="293"/>
      <c r="L4395" s="293"/>
      <c r="M4395" s="293"/>
      <c r="N4395" s="293"/>
      <c r="P4395" s="42">
        <v>350</v>
      </c>
      <c r="R4395" s="42">
        <v>150</v>
      </c>
      <c r="T4395" s="284">
        <v>200</v>
      </c>
      <c r="U4395" s="284"/>
    </row>
    <row r="4396" spans="2:21" x14ac:dyDescent="0.25">
      <c r="B4396" s="292">
        <v>27</v>
      </c>
      <c r="C4396" s="292"/>
      <c r="D4396" s="292"/>
      <c r="F4396" s="283" t="s">
        <v>75</v>
      </c>
      <c r="G4396" s="283"/>
      <c r="J4396" s="293">
        <v>1226</v>
      </c>
      <c r="K4396" s="293"/>
      <c r="L4396" s="293"/>
      <c r="M4396" s="293"/>
      <c r="N4396" s="293"/>
      <c r="P4396" s="42">
        <v>3065000</v>
      </c>
      <c r="R4396" s="42">
        <v>3065000</v>
      </c>
      <c r="T4396" s="284">
        <v>0</v>
      </c>
      <c r="U4396" s="284"/>
    </row>
    <row r="4397" spans="2:21" x14ac:dyDescent="0.25">
      <c r="B4397" s="292">
        <v>28</v>
      </c>
      <c r="C4397" s="292"/>
      <c r="D4397" s="292"/>
      <c r="F4397" s="283" t="s">
        <v>139</v>
      </c>
      <c r="G4397" s="283"/>
      <c r="J4397" s="293">
        <v>3</v>
      </c>
      <c r="K4397" s="293"/>
      <c r="L4397" s="293"/>
      <c r="M4397" s="293"/>
      <c r="N4397" s="293"/>
      <c r="P4397" s="42">
        <v>810</v>
      </c>
      <c r="R4397" s="42">
        <v>240</v>
      </c>
      <c r="T4397" s="284">
        <v>570</v>
      </c>
      <c r="U4397" s="284"/>
    </row>
    <row r="4398" spans="2:21" x14ac:dyDescent="0.25">
      <c r="B4398" s="292">
        <v>29</v>
      </c>
      <c r="C4398" s="292"/>
      <c r="D4398" s="292"/>
      <c r="F4398" s="283" t="s">
        <v>302</v>
      </c>
      <c r="G4398" s="283"/>
      <c r="J4398" s="293">
        <v>1</v>
      </c>
      <c r="K4398" s="293"/>
      <c r="L4398" s="293"/>
      <c r="M4398" s="293"/>
      <c r="N4398" s="293"/>
      <c r="P4398" s="42">
        <v>800</v>
      </c>
      <c r="R4398" s="42">
        <v>450</v>
      </c>
      <c r="T4398" s="284">
        <v>350</v>
      </c>
      <c r="U4398" s="284"/>
    </row>
    <row r="4399" spans="2:21" x14ac:dyDescent="0.25">
      <c r="B4399" s="292">
        <v>30</v>
      </c>
      <c r="C4399" s="292"/>
      <c r="D4399" s="292"/>
      <c r="F4399" s="283" t="s">
        <v>136</v>
      </c>
      <c r="G4399" s="283"/>
      <c r="J4399" s="293">
        <v>49</v>
      </c>
      <c r="K4399" s="293"/>
      <c r="L4399" s="293"/>
      <c r="M4399" s="293"/>
      <c r="N4399" s="293"/>
      <c r="P4399" s="42">
        <v>41650</v>
      </c>
      <c r="R4399" s="42">
        <v>8970</v>
      </c>
      <c r="T4399" s="284">
        <v>32680</v>
      </c>
      <c r="U4399" s="284"/>
    </row>
    <row r="4400" spans="2:21" x14ac:dyDescent="0.25">
      <c r="B4400" s="292">
        <v>31</v>
      </c>
      <c r="C4400" s="292"/>
      <c r="D4400" s="292"/>
      <c r="F4400" s="283" t="s">
        <v>74</v>
      </c>
      <c r="G4400" s="283"/>
      <c r="J4400" s="293">
        <v>77</v>
      </c>
      <c r="K4400" s="293"/>
      <c r="L4400" s="293"/>
      <c r="M4400" s="293"/>
      <c r="N4400" s="293"/>
      <c r="P4400" s="42">
        <v>65450</v>
      </c>
      <c r="R4400" s="42">
        <v>65450</v>
      </c>
      <c r="T4400" s="284">
        <v>0</v>
      </c>
      <c r="U4400" s="284"/>
    </row>
    <row r="4401" spans="2:21" x14ac:dyDescent="0.25">
      <c r="B4401" s="292">
        <v>32</v>
      </c>
      <c r="C4401" s="292"/>
      <c r="D4401" s="292"/>
      <c r="F4401" s="283" t="s">
        <v>190</v>
      </c>
      <c r="G4401" s="283"/>
      <c r="J4401" s="293">
        <v>22</v>
      </c>
      <c r="K4401" s="293"/>
      <c r="L4401" s="293"/>
      <c r="M4401" s="293"/>
      <c r="N4401" s="293"/>
      <c r="P4401" s="42">
        <v>34540</v>
      </c>
      <c r="R4401" s="42">
        <v>5280</v>
      </c>
      <c r="T4401" s="284">
        <v>29260</v>
      </c>
      <c r="U4401" s="284"/>
    </row>
    <row r="4402" spans="2:21" x14ac:dyDescent="0.25">
      <c r="B4402" s="292">
        <v>33</v>
      </c>
      <c r="C4402" s="292"/>
      <c r="D4402" s="292"/>
      <c r="F4402" s="283" t="s">
        <v>135</v>
      </c>
      <c r="G4402" s="283"/>
      <c r="J4402" s="293">
        <v>31</v>
      </c>
      <c r="K4402" s="293"/>
      <c r="L4402" s="293"/>
      <c r="M4402" s="293"/>
      <c r="N4402" s="293"/>
      <c r="P4402" s="42">
        <v>29450</v>
      </c>
      <c r="R4402" s="42">
        <v>8680</v>
      </c>
      <c r="T4402" s="284">
        <v>20770</v>
      </c>
      <c r="U4402" s="284"/>
    </row>
    <row r="4403" spans="2:21" x14ac:dyDescent="0.25">
      <c r="B4403" s="292">
        <v>34</v>
      </c>
      <c r="C4403" s="292"/>
      <c r="D4403" s="292"/>
      <c r="F4403" s="283" t="s">
        <v>229</v>
      </c>
      <c r="G4403" s="283"/>
      <c r="J4403" s="293">
        <v>2</v>
      </c>
      <c r="K4403" s="293"/>
      <c r="L4403" s="293"/>
      <c r="M4403" s="293"/>
      <c r="N4403" s="293"/>
      <c r="P4403" s="42">
        <v>14000</v>
      </c>
      <c r="R4403" s="42">
        <v>6200</v>
      </c>
      <c r="T4403" s="284">
        <v>7800</v>
      </c>
      <c r="U4403" s="284"/>
    </row>
    <row r="4404" spans="2:21" x14ac:dyDescent="0.25">
      <c r="B4404" s="292">
        <v>35</v>
      </c>
      <c r="C4404" s="292"/>
      <c r="D4404" s="292"/>
      <c r="F4404" s="283" t="s">
        <v>132</v>
      </c>
      <c r="G4404" s="283"/>
      <c r="J4404" s="293">
        <v>35</v>
      </c>
      <c r="K4404" s="293"/>
      <c r="L4404" s="293"/>
      <c r="M4404" s="293"/>
      <c r="N4404" s="293"/>
      <c r="P4404" s="42">
        <v>43400</v>
      </c>
      <c r="R4404" s="42">
        <v>12950</v>
      </c>
      <c r="T4404" s="284">
        <v>30450</v>
      </c>
      <c r="U4404" s="284"/>
    </row>
    <row r="4405" spans="2:21" x14ac:dyDescent="0.25">
      <c r="B4405" s="292">
        <v>36</v>
      </c>
      <c r="C4405" s="292"/>
      <c r="D4405" s="292"/>
      <c r="F4405" s="283" t="s">
        <v>131</v>
      </c>
      <c r="G4405" s="283"/>
      <c r="J4405" s="293">
        <v>5</v>
      </c>
      <c r="K4405" s="293"/>
      <c r="L4405" s="293"/>
      <c r="M4405" s="293"/>
      <c r="N4405" s="293"/>
      <c r="P4405" s="42">
        <v>18500</v>
      </c>
      <c r="R4405" s="42">
        <v>4000</v>
      </c>
      <c r="T4405" s="284">
        <v>14500</v>
      </c>
      <c r="U4405" s="284"/>
    </row>
    <row r="4406" spans="2:21" x14ac:dyDescent="0.25">
      <c r="B4406" s="292">
        <v>37</v>
      </c>
      <c r="C4406" s="292"/>
      <c r="D4406" s="292"/>
      <c r="F4406" s="283" t="s">
        <v>130</v>
      </c>
      <c r="G4406" s="283"/>
      <c r="J4406" s="293">
        <v>8</v>
      </c>
      <c r="K4406" s="293"/>
      <c r="L4406" s="293"/>
      <c r="M4406" s="293"/>
      <c r="N4406" s="293"/>
      <c r="P4406" s="42">
        <v>64000</v>
      </c>
      <c r="R4406" s="42">
        <v>32800</v>
      </c>
      <c r="T4406" s="284">
        <v>31200</v>
      </c>
      <c r="U4406" s="284"/>
    </row>
    <row r="4407" spans="2:21" x14ac:dyDescent="0.25">
      <c r="B4407" s="292">
        <v>38</v>
      </c>
      <c r="C4407" s="292"/>
      <c r="D4407" s="292"/>
      <c r="F4407" s="283" t="s">
        <v>128</v>
      </c>
      <c r="G4407" s="283"/>
      <c r="J4407" s="293">
        <v>3</v>
      </c>
      <c r="K4407" s="293"/>
      <c r="L4407" s="293"/>
      <c r="M4407" s="293"/>
      <c r="N4407" s="293"/>
      <c r="P4407" s="42">
        <v>3450</v>
      </c>
      <c r="R4407" s="42">
        <v>510</v>
      </c>
      <c r="T4407" s="284">
        <v>2940</v>
      </c>
      <c r="U4407" s="284"/>
    </row>
    <row r="4408" spans="2:21" x14ac:dyDescent="0.25">
      <c r="B4408" s="292">
        <v>39</v>
      </c>
      <c r="C4408" s="292"/>
      <c r="D4408" s="292"/>
      <c r="F4408" s="283" t="s">
        <v>127</v>
      </c>
      <c r="G4408" s="283"/>
      <c r="J4408" s="293">
        <v>76</v>
      </c>
      <c r="K4408" s="293"/>
      <c r="L4408" s="293"/>
      <c r="M4408" s="293"/>
      <c r="N4408" s="293"/>
      <c r="P4408" s="42">
        <v>22800</v>
      </c>
      <c r="R4408" s="42">
        <v>7316</v>
      </c>
      <c r="T4408" s="284">
        <v>15484</v>
      </c>
      <c r="U4408" s="284"/>
    </row>
    <row r="4409" spans="2:21" x14ac:dyDescent="0.25">
      <c r="B4409" s="292">
        <v>40</v>
      </c>
      <c r="C4409" s="292"/>
      <c r="D4409" s="292"/>
      <c r="F4409" s="283" t="s">
        <v>126</v>
      </c>
      <c r="G4409" s="283"/>
      <c r="J4409" s="293">
        <v>65</v>
      </c>
      <c r="K4409" s="293"/>
      <c r="L4409" s="293"/>
      <c r="M4409" s="293"/>
      <c r="N4409" s="293"/>
      <c r="P4409" s="42">
        <v>13000</v>
      </c>
      <c r="R4409" s="42">
        <v>4212</v>
      </c>
      <c r="T4409" s="284">
        <v>8788</v>
      </c>
      <c r="U4409" s="284"/>
    </row>
    <row r="4410" spans="2:21" x14ac:dyDescent="0.25">
      <c r="B4410" s="292">
        <v>41</v>
      </c>
      <c r="C4410" s="292"/>
      <c r="D4410" s="292"/>
      <c r="F4410" s="283" t="s">
        <v>125</v>
      </c>
      <c r="G4410" s="283"/>
      <c r="J4410" s="293">
        <v>8</v>
      </c>
      <c r="K4410" s="293"/>
      <c r="L4410" s="293"/>
      <c r="M4410" s="293"/>
      <c r="N4410" s="293"/>
      <c r="P4410" s="42">
        <v>3200</v>
      </c>
      <c r="R4410" s="42">
        <v>960</v>
      </c>
      <c r="T4410" s="284">
        <v>2240</v>
      </c>
      <c r="U4410" s="284"/>
    </row>
    <row r="4411" spans="2:21" x14ac:dyDescent="0.25">
      <c r="B4411" s="292">
        <v>42</v>
      </c>
      <c r="C4411" s="292"/>
      <c r="D4411" s="292"/>
      <c r="F4411" s="283" t="s">
        <v>124</v>
      </c>
      <c r="G4411" s="283"/>
      <c r="J4411" s="293">
        <v>15</v>
      </c>
      <c r="K4411" s="293"/>
      <c r="L4411" s="293"/>
      <c r="M4411" s="293"/>
      <c r="N4411" s="293"/>
      <c r="P4411" s="42">
        <v>8280</v>
      </c>
      <c r="R4411" s="42">
        <v>2460</v>
      </c>
      <c r="T4411" s="284">
        <v>5820</v>
      </c>
      <c r="U4411" s="284"/>
    </row>
    <row r="4412" spans="2:21" x14ac:dyDescent="0.25">
      <c r="B4412" s="292">
        <v>43</v>
      </c>
      <c r="C4412" s="292"/>
      <c r="D4412" s="292"/>
      <c r="F4412" s="283" t="s">
        <v>123</v>
      </c>
      <c r="G4412" s="283"/>
      <c r="J4412" s="293">
        <v>4</v>
      </c>
      <c r="K4412" s="293"/>
      <c r="L4412" s="293"/>
      <c r="M4412" s="293"/>
      <c r="N4412" s="293"/>
      <c r="P4412" s="42">
        <v>3120</v>
      </c>
      <c r="R4412" s="42">
        <v>920</v>
      </c>
      <c r="T4412" s="284">
        <v>2200</v>
      </c>
      <c r="U4412" s="284"/>
    </row>
    <row r="4413" spans="2:21" x14ac:dyDescent="0.25">
      <c r="B4413" s="292">
        <v>44</v>
      </c>
      <c r="C4413" s="292"/>
      <c r="D4413" s="292"/>
      <c r="F4413" s="283" t="s">
        <v>184</v>
      </c>
      <c r="G4413" s="283"/>
      <c r="J4413" s="293">
        <v>4</v>
      </c>
      <c r="K4413" s="293"/>
      <c r="L4413" s="293"/>
      <c r="M4413" s="293"/>
      <c r="N4413" s="293"/>
      <c r="P4413" s="42">
        <v>4320</v>
      </c>
      <c r="R4413" s="42">
        <v>640</v>
      </c>
      <c r="T4413" s="284">
        <v>3680</v>
      </c>
      <c r="U4413" s="284"/>
    </row>
    <row r="4414" spans="2:21" x14ac:dyDescent="0.25">
      <c r="B4414" s="292">
        <v>45</v>
      </c>
      <c r="C4414" s="292"/>
      <c r="D4414" s="292"/>
      <c r="F4414" s="283" t="s">
        <v>183</v>
      </c>
      <c r="G4414" s="283"/>
      <c r="J4414" s="293">
        <v>1</v>
      </c>
      <c r="K4414" s="293"/>
      <c r="L4414" s="293"/>
      <c r="M4414" s="293"/>
      <c r="N4414" s="293"/>
      <c r="P4414" s="42">
        <v>440</v>
      </c>
      <c r="R4414" s="42">
        <v>130</v>
      </c>
      <c r="T4414" s="284">
        <v>310</v>
      </c>
      <c r="U4414" s="284"/>
    </row>
    <row r="4415" spans="2:21" x14ac:dyDescent="0.25">
      <c r="B4415" s="292">
        <v>46</v>
      </c>
      <c r="C4415" s="292"/>
      <c r="D4415" s="292"/>
      <c r="F4415" s="283" t="s">
        <v>227</v>
      </c>
      <c r="G4415" s="283"/>
      <c r="J4415" s="293">
        <v>1</v>
      </c>
      <c r="K4415" s="293"/>
      <c r="L4415" s="293"/>
      <c r="M4415" s="293"/>
      <c r="N4415" s="293"/>
      <c r="P4415" s="42">
        <v>500</v>
      </c>
      <c r="R4415" s="42">
        <v>150</v>
      </c>
      <c r="T4415" s="284">
        <v>350</v>
      </c>
      <c r="U4415" s="284"/>
    </row>
    <row r="4416" spans="2:21" x14ac:dyDescent="0.25">
      <c r="B4416" s="292">
        <v>47</v>
      </c>
      <c r="C4416" s="292"/>
      <c r="D4416" s="292"/>
      <c r="F4416" s="283" t="s">
        <v>120</v>
      </c>
      <c r="G4416" s="283"/>
      <c r="J4416" s="293">
        <v>14</v>
      </c>
      <c r="K4416" s="293"/>
      <c r="L4416" s="293"/>
      <c r="M4416" s="293"/>
      <c r="N4416" s="293"/>
      <c r="P4416" s="42">
        <v>4900</v>
      </c>
      <c r="R4416" s="42">
        <v>1120</v>
      </c>
      <c r="T4416" s="284">
        <v>3780</v>
      </c>
      <c r="U4416" s="284"/>
    </row>
    <row r="4417" spans="2:21" x14ac:dyDescent="0.25">
      <c r="B4417" s="292">
        <v>48</v>
      </c>
      <c r="C4417" s="292"/>
      <c r="D4417" s="292"/>
      <c r="F4417" s="283" t="s">
        <v>182</v>
      </c>
      <c r="G4417" s="283"/>
      <c r="J4417" s="293">
        <v>4</v>
      </c>
      <c r="K4417" s="293"/>
      <c r="L4417" s="293"/>
      <c r="M4417" s="293"/>
      <c r="N4417" s="293"/>
      <c r="P4417" s="42">
        <v>3160</v>
      </c>
      <c r="R4417" s="42">
        <v>480</v>
      </c>
      <c r="T4417" s="284">
        <v>2680</v>
      </c>
      <c r="U4417" s="284"/>
    </row>
    <row r="4418" spans="2:21" x14ac:dyDescent="0.25">
      <c r="B4418" s="292">
        <v>49</v>
      </c>
      <c r="C4418" s="292"/>
      <c r="D4418" s="292"/>
      <c r="F4418" s="283" t="s">
        <v>119</v>
      </c>
      <c r="G4418" s="283"/>
      <c r="J4418" s="293">
        <v>61</v>
      </c>
      <c r="K4418" s="293"/>
      <c r="L4418" s="293"/>
      <c r="M4418" s="293"/>
      <c r="N4418" s="293"/>
      <c r="P4418" s="42">
        <v>54290</v>
      </c>
      <c r="R4418" s="42">
        <v>17550</v>
      </c>
      <c r="T4418" s="284">
        <v>36740</v>
      </c>
      <c r="U4418" s="284"/>
    </row>
    <row r="4419" spans="2:21" x14ac:dyDescent="0.25">
      <c r="B4419" s="292">
        <v>50</v>
      </c>
      <c r="C4419" s="292"/>
      <c r="D4419" s="292"/>
      <c r="F4419" s="283" t="s">
        <v>118</v>
      </c>
      <c r="G4419" s="283"/>
      <c r="J4419" s="293">
        <v>120</v>
      </c>
      <c r="K4419" s="293"/>
      <c r="L4419" s="293"/>
      <c r="M4419" s="293"/>
      <c r="N4419" s="293"/>
      <c r="P4419" s="42">
        <v>118800</v>
      </c>
      <c r="R4419" s="42">
        <v>41950</v>
      </c>
      <c r="T4419" s="284">
        <v>76850</v>
      </c>
      <c r="U4419" s="284"/>
    </row>
    <row r="4420" spans="2:21" x14ac:dyDescent="0.25">
      <c r="B4420" s="292">
        <v>51</v>
      </c>
      <c r="C4420" s="292"/>
      <c r="D4420" s="292"/>
      <c r="F4420" s="283" t="s">
        <v>117</v>
      </c>
      <c r="G4420" s="283"/>
      <c r="J4420" s="293">
        <v>8</v>
      </c>
      <c r="K4420" s="293"/>
      <c r="L4420" s="293"/>
      <c r="M4420" s="293"/>
      <c r="N4420" s="293"/>
      <c r="P4420" s="42">
        <v>6400</v>
      </c>
      <c r="R4420" s="42">
        <v>1600</v>
      </c>
      <c r="T4420" s="284">
        <v>4800</v>
      </c>
      <c r="U4420" s="284"/>
    </row>
    <row r="4421" spans="2:21" x14ac:dyDescent="0.25">
      <c r="B4421" s="292">
        <v>52</v>
      </c>
      <c r="C4421" s="292"/>
      <c r="D4421" s="292"/>
      <c r="F4421" s="285" t="s">
        <v>116</v>
      </c>
      <c r="G4421" s="285"/>
      <c r="J4421" s="293">
        <v>2</v>
      </c>
      <c r="K4421" s="293"/>
      <c r="L4421" s="293"/>
      <c r="M4421" s="293"/>
      <c r="N4421" s="293"/>
      <c r="P4421" s="42">
        <v>1600</v>
      </c>
      <c r="R4421" s="42">
        <v>400</v>
      </c>
      <c r="T4421" s="284">
        <v>1200</v>
      </c>
      <c r="U4421" s="284"/>
    </row>
    <row r="4422" spans="2:21" x14ac:dyDescent="0.25">
      <c r="F4422" s="285"/>
      <c r="G4422" s="285"/>
    </row>
    <row r="4423" spans="2:21" x14ac:dyDescent="0.25">
      <c r="B4423" s="292">
        <v>53</v>
      </c>
      <c r="C4423" s="292"/>
      <c r="D4423" s="292"/>
      <c r="F4423" s="283" t="s">
        <v>115</v>
      </c>
      <c r="G4423" s="283"/>
      <c r="J4423" s="293">
        <v>55</v>
      </c>
      <c r="K4423" s="293"/>
      <c r="L4423" s="293"/>
      <c r="M4423" s="293"/>
      <c r="N4423" s="293"/>
      <c r="P4423" s="42">
        <v>15950</v>
      </c>
      <c r="R4423" s="42">
        <v>5120</v>
      </c>
      <c r="T4423" s="284">
        <v>10830</v>
      </c>
      <c r="U4423" s="284"/>
    </row>
    <row r="4424" spans="2:21" x14ac:dyDescent="0.25">
      <c r="B4424" s="292">
        <v>54</v>
      </c>
      <c r="C4424" s="292"/>
      <c r="D4424" s="292"/>
      <c r="F4424" s="283" t="s">
        <v>114</v>
      </c>
      <c r="G4424" s="283"/>
      <c r="J4424" s="293">
        <v>1</v>
      </c>
      <c r="K4424" s="293"/>
      <c r="L4424" s="293"/>
      <c r="M4424" s="293"/>
      <c r="N4424" s="293"/>
      <c r="P4424" s="42">
        <v>550</v>
      </c>
      <c r="R4424" s="42">
        <v>80</v>
      </c>
      <c r="T4424" s="284">
        <v>470</v>
      </c>
      <c r="U4424" s="284"/>
    </row>
    <row r="4425" spans="2:21" x14ac:dyDescent="0.25">
      <c r="B4425" s="292">
        <v>55</v>
      </c>
      <c r="C4425" s="292"/>
      <c r="D4425" s="292"/>
      <c r="F4425" s="283" t="s">
        <v>301</v>
      </c>
      <c r="G4425" s="283"/>
      <c r="J4425" s="293">
        <v>1</v>
      </c>
      <c r="K4425" s="293"/>
      <c r="L4425" s="293"/>
      <c r="M4425" s="293"/>
      <c r="N4425" s="293"/>
      <c r="P4425" s="42">
        <v>800</v>
      </c>
      <c r="R4425" s="42">
        <v>200</v>
      </c>
      <c r="T4425" s="284">
        <v>600</v>
      </c>
      <c r="U4425" s="284"/>
    </row>
    <row r="4426" spans="2:21" x14ac:dyDescent="0.25">
      <c r="B4426" s="292">
        <v>56</v>
      </c>
      <c r="C4426" s="292"/>
      <c r="D4426" s="292"/>
      <c r="F4426" s="283" t="s">
        <v>300</v>
      </c>
      <c r="G4426" s="283"/>
      <c r="J4426" s="293">
        <v>2</v>
      </c>
      <c r="K4426" s="293"/>
      <c r="L4426" s="293"/>
      <c r="M4426" s="293"/>
      <c r="N4426" s="293"/>
      <c r="P4426" s="42">
        <v>660</v>
      </c>
      <c r="R4426" s="42">
        <v>280</v>
      </c>
      <c r="T4426" s="284">
        <v>380</v>
      </c>
      <c r="U4426" s="284"/>
    </row>
    <row r="4427" spans="2:21" x14ac:dyDescent="0.25">
      <c r="B4427" s="292">
        <v>57</v>
      </c>
      <c r="C4427" s="292"/>
      <c r="D4427" s="292"/>
      <c r="F4427" s="283" t="s">
        <v>258</v>
      </c>
      <c r="G4427" s="283"/>
      <c r="J4427" s="293">
        <v>2</v>
      </c>
      <c r="K4427" s="293"/>
      <c r="L4427" s="293"/>
      <c r="M4427" s="293"/>
      <c r="N4427" s="293"/>
      <c r="P4427" s="42">
        <v>660</v>
      </c>
      <c r="R4427" s="42">
        <v>280</v>
      </c>
      <c r="T4427" s="284">
        <v>380</v>
      </c>
      <c r="U4427" s="284"/>
    </row>
    <row r="4428" spans="2:21" x14ac:dyDescent="0.25">
      <c r="B4428" s="292">
        <v>58</v>
      </c>
      <c r="C4428" s="292"/>
      <c r="D4428" s="292"/>
      <c r="F4428" s="283" t="s">
        <v>181</v>
      </c>
      <c r="G4428" s="283"/>
      <c r="J4428" s="293">
        <v>5</v>
      </c>
      <c r="K4428" s="293"/>
      <c r="L4428" s="293"/>
      <c r="M4428" s="293"/>
      <c r="N4428" s="293"/>
      <c r="P4428" s="42">
        <v>3950</v>
      </c>
      <c r="R4428" s="42">
        <v>600</v>
      </c>
      <c r="T4428" s="284">
        <v>3350</v>
      </c>
      <c r="U4428" s="284"/>
    </row>
    <row r="4429" spans="2:21" x14ac:dyDescent="0.25">
      <c r="B4429" s="292">
        <v>59</v>
      </c>
      <c r="C4429" s="292"/>
      <c r="D4429" s="292"/>
      <c r="F4429" s="283" t="s">
        <v>111</v>
      </c>
      <c r="G4429" s="283"/>
      <c r="J4429" s="293">
        <v>8</v>
      </c>
      <c r="K4429" s="293"/>
      <c r="L4429" s="293"/>
      <c r="M4429" s="293"/>
      <c r="N4429" s="293"/>
      <c r="P4429" s="42">
        <v>3440</v>
      </c>
      <c r="R4429" s="42">
        <v>1040</v>
      </c>
      <c r="T4429" s="284">
        <v>2400</v>
      </c>
      <c r="U4429" s="284"/>
    </row>
    <row r="4430" spans="2:21" x14ac:dyDescent="0.25">
      <c r="B4430" s="292">
        <v>60</v>
      </c>
      <c r="C4430" s="292"/>
      <c r="D4430" s="292"/>
      <c r="F4430" s="283" t="s">
        <v>257</v>
      </c>
      <c r="G4430" s="283"/>
      <c r="J4430" s="293">
        <v>1</v>
      </c>
      <c r="K4430" s="293"/>
      <c r="L4430" s="293"/>
      <c r="M4430" s="293"/>
      <c r="N4430" s="293"/>
      <c r="P4430" s="42">
        <v>990</v>
      </c>
      <c r="R4430" s="42">
        <v>150</v>
      </c>
      <c r="T4430" s="284">
        <v>840</v>
      </c>
      <c r="U4430" s="284"/>
    </row>
    <row r="4431" spans="2:21" x14ac:dyDescent="0.25">
      <c r="B4431" s="292">
        <v>61</v>
      </c>
      <c r="C4431" s="292"/>
      <c r="D4431" s="292"/>
      <c r="F4431" s="283" t="s">
        <v>109</v>
      </c>
      <c r="G4431" s="283"/>
      <c r="J4431" s="293">
        <v>8</v>
      </c>
      <c r="K4431" s="293"/>
      <c r="L4431" s="293"/>
      <c r="M4431" s="293"/>
      <c r="N4431" s="293"/>
      <c r="P4431" s="42">
        <v>6240</v>
      </c>
      <c r="R4431" s="42">
        <v>1840</v>
      </c>
      <c r="T4431" s="284">
        <v>4400</v>
      </c>
      <c r="U4431" s="284"/>
    </row>
    <row r="4432" spans="2:21" x14ac:dyDescent="0.25">
      <c r="B4432" s="292">
        <v>62</v>
      </c>
      <c r="C4432" s="292"/>
      <c r="D4432" s="292"/>
      <c r="F4432" s="283" t="s">
        <v>108</v>
      </c>
      <c r="G4432" s="283"/>
      <c r="J4432" s="293">
        <v>1</v>
      </c>
      <c r="K4432" s="293"/>
      <c r="L4432" s="293"/>
      <c r="M4432" s="293"/>
      <c r="N4432" s="293"/>
      <c r="P4432" s="42">
        <v>100</v>
      </c>
      <c r="R4432" s="42">
        <v>30</v>
      </c>
      <c r="T4432" s="284">
        <v>70</v>
      </c>
      <c r="U4432" s="284"/>
    </row>
    <row r="4433" spans="2:21" x14ac:dyDescent="0.25">
      <c r="B4433" s="292">
        <v>63</v>
      </c>
      <c r="C4433" s="292"/>
      <c r="D4433" s="292"/>
      <c r="F4433" s="283" t="s">
        <v>107</v>
      </c>
      <c r="G4433" s="283"/>
      <c r="J4433" s="293">
        <v>94</v>
      </c>
      <c r="K4433" s="293"/>
      <c r="L4433" s="293"/>
      <c r="M4433" s="293"/>
      <c r="N4433" s="293"/>
      <c r="P4433" s="42">
        <v>15980</v>
      </c>
      <c r="R4433" s="42">
        <v>5104</v>
      </c>
      <c r="T4433" s="284">
        <v>10876</v>
      </c>
      <c r="U4433" s="284"/>
    </row>
    <row r="4434" spans="2:21" x14ac:dyDescent="0.25">
      <c r="B4434" s="292">
        <v>64</v>
      </c>
      <c r="C4434" s="292"/>
      <c r="D4434" s="292"/>
      <c r="F4434" s="283" t="s">
        <v>106</v>
      </c>
      <c r="G4434" s="283"/>
      <c r="J4434" s="293">
        <v>2</v>
      </c>
      <c r="K4434" s="293"/>
      <c r="L4434" s="293"/>
      <c r="M4434" s="293"/>
      <c r="N4434" s="293"/>
      <c r="P4434" s="42">
        <v>200</v>
      </c>
      <c r="R4434" s="42">
        <v>60</v>
      </c>
      <c r="T4434" s="284">
        <v>140</v>
      </c>
      <c r="U4434" s="284"/>
    </row>
    <row r="4435" spans="2:21" x14ac:dyDescent="0.25">
      <c r="B4435" s="292">
        <v>65</v>
      </c>
      <c r="C4435" s="292"/>
      <c r="D4435" s="292"/>
      <c r="F4435" s="283" t="s">
        <v>180</v>
      </c>
      <c r="G4435" s="283"/>
      <c r="J4435" s="293">
        <v>2</v>
      </c>
      <c r="K4435" s="293"/>
      <c r="L4435" s="293"/>
      <c r="M4435" s="293"/>
      <c r="N4435" s="293"/>
      <c r="P4435" s="42">
        <v>1180</v>
      </c>
      <c r="R4435" s="42">
        <v>360</v>
      </c>
      <c r="T4435" s="284">
        <v>820</v>
      </c>
      <c r="U4435" s="284"/>
    </row>
    <row r="4436" spans="2:21" x14ac:dyDescent="0.25">
      <c r="B4436" s="292">
        <v>66</v>
      </c>
      <c r="C4436" s="292"/>
      <c r="D4436" s="292"/>
      <c r="F4436" s="283" t="s">
        <v>255</v>
      </c>
      <c r="G4436" s="283"/>
      <c r="J4436" s="293">
        <v>1</v>
      </c>
      <c r="K4436" s="293"/>
      <c r="L4436" s="293"/>
      <c r="M4436" s="293"/>
      <c r="N4436" s="293"/>
      <c r="P4436" s="42">
        <v>950</v>
      </c>
      <c r="R4436" s="42">
        <v>140</v>
      </c>
      <c r="T4436" s="284">
        <v>810</v>
      </c>
      <c r="U4436" s="284"/>
    </row>
    <row r="4437" spans="2:21" x14ac:dyDescent="0.25">
      <c r="B4437" s="292">
        <v>67</v>
      </c>
      <c r="C4437" s="292"/>
      <c r="D4437" s="292"/>
      <c r="F4437" s="283" t="s">
        <v>299</v>
      </c>
      <c r="G4437" s="283"/>
      <c r="J4437" s="293">
        <v>1</v>
      </c>
      <c r="K4437" s="293"/>
      <c r="L4437" s="293"/>
      <c r="M4437" s="293"/>
      <c r="N4437" s="293"/>
      <c r="P4437" s="42">
        <v>990</v>
      </c>
      <c r="R4437" s="42">
        <v>150</v>
      </c>
      <c r="T4437" s="284">
        <v>840</v>
      </c>
      <c r="U4437" s="284"/>
    </row>
    <row r="4438" spans="2:21" x14ac:dyDescent="0.25">
      <c r="B4438" s="292">
        <v>68</v>
      </c>
      <c r="C4438" s="292"/>
      <c r="D4438" s="292"/>
      <c r="F4438" s="283" t="s">
        <v>216</v>
      </c>
      <c r="G4438" s="283"/>
      <c r="J4438" s="293">
        <v>5</v>
      </c>
      <c r="K4438" s="293"/>
      <c r="L4438" s="293"/>
      <c r="M4438" s="293"/>
      <c r="N4438" s="293"/>
      <c r="P4438" s="42">
        <v>5400</v>
      </c>
      <c r="R4438" s="42">
        <v>825</v>
      </c>
      <c r="T4438" s="284">
        <v>4575</v>
      </c>
      <c r="U4438" s="284"/>
    </row>
    <row r="4439" spans="2:21" x14ac:dyDescent="0.25">
      <c r="B4439" s="292">
        <v>69</v>
      </c>
      <c r="C4439" s="292"/>
      <c r="D4439" s="292"/>
      <c r="F4439" s="283" t="s">
        <v>105</v>
      </c>
      <c r="G4439" s="283"/>
      <c r="J4439" s="293">
        <v>6</v>
      </c>
      <c r="K4439" s="293"/>
      <c r="L4439" s="293"/>
      <c r="M4439" s="293"/>
      <c r="N4439" s="293"/>
      <c r="P4439" s="42">
        <v>6900</v>
      </c>
      <c r="R4439" s="42">
        <v>0</v>
      </c>
      <c r="T4439" s="284">
        <v>6900</v>
      </c>
      <c r="U4439" s="284"/>
    </row>
    <row r="4440" spans="2:21" x14ac:dyDescent="0.25">
      <c r="B4440" s="292">
        <v>70</v>
      </c>
      <c r="C4440" s="292"/>
      <c r="D4440" s="292"/>
      <c r="F4440" s="283" t="s">
        <v>104</v>
      </c>
      <c r="G4440" s="283"/>
      <c r="J4440" s="293">
        <v>2</v>
      </c>
      <c r="K4440" s="293"/>
      <c r="L4440" s="293"/>
      <c r="M4440" s="293"/>
      <c r="N4440" s="293"/>
      <c r="P4440" s="42">
        <v>660</v>
      </c>
      <c r="R4440" s="42">
        <v>200</v>
      </c>
      <c r="T4440" s="284">
        <v>460</v>
      </c>
      <c r="U4440" s="284"/>
    </row>
    <row r="4441" spans="2:21" x14ac:dyDescent="0.25">
      <c r="B4441" s="292">
        <v>71</v>
      </c>
      <c r="C4441" s="292"/>
      <c r="D4441" s="292"/>
      <c r="F4441" s="283" t="s">
        <v>103</v>
      </c>
      <c r="G4441" s="283"/>
      <c r="J4441" s="293">
        <v>90</v>
      </c>
      <c r="K4441" s="293"/>
      <c r="L4441" s="293"/>
      <c r="M4441" s="293"/>
      <c r="N4441" s="293"/>
      <c r="P4441" s="42">
        <v>29700</v>
      </c>
      <c r="R4441" s="42">
        <v>11140</v>
      </c>
      <c r="T4441" s="284">
        <v>18560</v>
      </c>
      <c r="U4441" s="284"/>
    </row>
    <row r="4442" spans="2:21" x14ac:dyDescent="0.25">
      <c r="B4442" s="292">
        <v>72</v>
      </c>
      <c r="C4442" s="292"/>
      <c r="D4442" s="292"/>
      <c r="F4442" s="283" t="s">
        <v>298</v>
      </c>
      <c r="G4442" s="283"/>
      <c r="J4442" s="293">
        <v>2</v>
      </c>
      <c r="K4442" s="293"/>
      <c r="L4442" s="293"/>
      <c r="M4442" s="293"/>
      <c r="N4442" s="293"/>
      <c r="P4442" s="42">
        <v>660</v>
      </c>
      <c r="R4442" s="42">
        <v>280</v>
      </c>
      <c r="T4442" s="284">
        <v>380</v>
      </c>
      <c r="U4442" s="284"/>
    </row>
    <row r="4443" spans="2:21" x14ac:dyDescent="0.25">
      <c r="B4443" s="292">
        <v>73</v>
      </c>
      <c r="C4443" s="292"/>
      <c r="D4443" s="292"/>
      <c r="F4443" s="283" t="s">
        <v>102</v>
      </c>
      <c r="G4443" s="283"/>
      <c r="J4443" s="293">
        <v>3</v>
      </c>
      <c r="K4443" s="293"/>
      <c r="L4443" s="293"/>
      <c r="M4443" s="293"/>
      <c r="N4443" s="293"/>
      <c r="P4443" s="42">
        <v>2640</v>
      </c>
      <c r="R4443" s="42">
        <v>390</v>
      </c>
      <c r="T4443" s="284">
        <v>2250</v>
      </c>
      <c r="U4443" s="284"/>
    </row>
    <row r="4444" spans="2:21" x14ac:dyDescent="0.25">
      <c r="B4444" s="292">
        <v>74</v>
      </c>
      <c r="C4444" s="292"/>
      <c r="D4444" s="292"/>
      <c r="F4444" s="283" t="s">
        <v>179</v>
      </c>
      <c r="G4444" s="283"/>
      <c r="J4444" s="293">
        <v>2</v>
      </c>
      <c r="K4444" s="293"/>
      <c r="L4444" s="293"/>
      <c r="M4444" s="293"/>
      <c r="N4444" s="293"/>
      <c r="P4444" s="42">
        <v>1760</v>
      </c>
      <c r="R4444" s="42">
        <v>260</v>
      </c>
      <c r="T4444" s="284">
        <v>1500</v>
      </c>
      <c r="U4444" s="284"/>
    </row>
    <row r="4445" spans="2:21" x14ac:dyDescent="0.25">
      <c r="B4445" s="292">
        <v>75</v>
      </c>
      <c r="C4445" s="292"/>
      <c r="D4445" s="292"/>
      <c r="F4445" s="283" t="s">
        <v>100</v>
      </c>
      <c r="G4445" s="283"/>
      <c r="J4445" s="293">
        <v>9</v>
      </c>
      <c r="K4445" s="293"/>
      <c r="L4445" s="293"/>
      <c r="M4445" s="293"/>
      <c r="N4445" s="293"/>
      <c r="P4445" s="42">
        <v>1620</v>
      </c>
      <c r="R4445" s="42">
        <v>450</v>
      </c>
      <c r="T4445" s="284">
        <v>1170</v>
      </c>
      <c r="U4445" s="284"/>
    </row>
    <row r="4446" spans="2:21" x14ac:dyDescent="0.25">
      <c r="B4446" s="292">
        <v>76</v>
      </c>
      <c r="C4446" s="292"/>
      <c r="D4446" s="292"/>
      <c r="F4446" s="283" t="s">
        <v>178</v>
      </c>
      <c r="G4446" s="283"/>
      <c r="J4446" s="293">
        <v>15</v>
      </c>
      <c r="K4446" s="293"/>
      <c r="L4446" s="293"/>
      <c r="M4446" s="293"/>
      <c r="N4446" s="293"/>
      <c r="P4446" s="42">
        <v>24750</v>
      </c>
      <c r="R4446" s="42">
        <v>0</v>
      </c>
      <c r="T4446" s="284">
        <v>24750</v>
      </c>
      <c r="U4446" s="284"/>
    </row>
    <row r="4447" spans="2:21" x14ac:dyDescent="0.25">
      <c r="B4447" s="292">
        <v>77</v>
      </c>
      <c r="C4447" s="292"/>
      <c r="D4447" s="292"/>
      <c r="F4447" s="283" t="s">
        <v>274</v>
      </c>
      <c r="G4447" s="283"/>
      <c r="J4447" s="293">
        <v>1</v>
      </c>
      <c r="K4447" s="293"/>
      <c r="L4447" s="293"/>
      <c r="M4447" s="293"/>
      <c r="N4447" s="293"/>
      <c r="P4447" s="42">
        <v>180</v>
      </c>
      <c r="R4447" s="42">
        <v>50</v>
      </c>
      <c r="T4447" s="284">
        <v>130</v>
      </c>
      <c r="U4447" s="284"/>
    </row>
    <row r="4448" spans="2:21" x14ac:dyDescent="0.25">
      <c r="B4448" s="292">
        <v>78</v>
      </c>
      <c r="C4448" s="292"/>
      <c r="D4448" s="292"/>
      <c r="F4448" s="283" t="s">
        <v>99</v>
      </c>
      <c r="G4448" s="283"/>
      <c r="J4448" s="293">
        <v>5</v>
      </c>
      <c r="K4448" s="293"/>
      <c r="L4448" s="293"/>
      <c r="M4448" s="293"/>
      <c r="N4448" s="293"/>
      <c r="P4448" s="42">
        <v>2950</v>
      </c>
      <c r="R4448" s="42">
        <v>450</v>
      </c>
      <c r="T4448" s="284">
        <v>2500</v>
      </c>
      <c r="U4448" s="284"/>
    </row>
    <row r="4449" spans="2:21" x14ac:dyDescent="0.25">
      <c r="B4449" s="292">
        <v>79</v>
      </c>
      <c r="C4449" s="292"/>
      <c r="D4449" s="292"/>
      <c r="F4449" s="283" t="s">
        <v>98</v>
      </c>
      <c r="G4449" s="283"/>
      <c r="J4449" s="293">
        <v>5</v>
      </c>
      <c r="K4449" s="293"/>
      <c r="L4449" s="293"/>
      <c r="M4449" s="293"/>
      <c r="N4449" s="293"/>
      <c r="P4449" s="42">
        <v>2850</v>
      </c>
      <c r="R4449" s="42">
        <v>400</v>
      </c>
      <c r="T4449" s="284">
        <v>2450</v>
      </c>
      <c r="U4449" s="284"/>
    </row>
    <row r="4450" spans="2:21" x14ac:dyDescent="0.25">
      <c r="B4450" s="292">
        <v>80</v>
      </c>
      <c r="C4450" s="292"/>
      <c r="D4450" s="292"/>
      <c r="F4450" s="283" t="s">
        <v>176</v>
      </c>
      <c r="G4450" s="283"/>
      <c r="J4450" s="293">
        <v>1</v>
      </c>
      <c r="K4450" s="293"/>
      <c r="L4450" s="293"/>
      <c r="M4450" s="293"/>
      <c r="N4450" s="293"/>
      <c r="P4450" s="42">
        <v>1060</v>
      </c>
      <c r="R4450" s="42">
        <v>160</v>
      </c>
      <c r="T4450" s="284">
        <v>900</v>
      </c>
      <c r="U4450" s="284"/>
    </row>
    <row r="4451" spans="2:21" x14ac:dyDescent="0.25">
      <c r="B4451" s="292">
        <v>81</v>
      </c>
      <c r="C4451" s="292"/>
      <c r="D4451" s="292"/>
      <c r="F4451" s="283" t="s">
        <v>97</v>
      </c>
      <c r="G4451" s="283"/>
      <c r="J4451" s="293">
        <v>12</v>
      </c>
      <c r="K4451" s="293"/>
      <c r="L4451" s="293"/>
      <c r="M4451" s="293"/>
      <c r="N4451" s="293"/>
      <c r="P4451" s="42">
        <v>19080</v>
      </c>
      <c r="R4451" s="42">
        <v>2880</v>
      </c>
      <c r="T4451" s="284">
        <v>16200</v>
      </c>
      <c r="U4451" s="284"/>
    </row>
    <row r="4452" spans="2:21" x14ac:dyDescent="0.25">
      <c r="B4452" s="292">
        <v>82</v>
      </c>
      <c r="C4452" s="292"/>
      <c r="D4452" s="292"/>
      <c r="F4452" s="283" t="s">
        <v>95</v>
      </c>
      <c r="G4452" s="283"/>
      <c r="J4452" s="293">
        <v>1</v>
      </c>
      <c r="K4452" s="293"/>
      <c r="L4452" s="293"/>
      <c r="M4452" s="293"/>
      <c r="N4452" s="293"/>
      <c r="P4452" s="42">
        <v>290</v>
      </c>
      <c r="R4452" s="42">
        <v>80</v>
      </c>
      <c r="T4452" s="284">
        <v>210</v>
      </c>
      <c r="U4452" s="284"/>
    </row>
    <row r="4453" spans="2:21" x14ac:dyDescent="0.25">
      <c r="B4453" s="292">
        <v>83</v>
      </c>
      <c r="C4453" s="292"/>
      <c r="D4453" s="292"/>
      <c r="F4453" s="283" t="s">
        <v>253</v>
      </c>
      <c r="G4453" s="283"/>
      <c r="J4453" s="293">
        <v>4</v>
      </c>
      <c r="K4453" s="293"/>
      <c r="L4453" s="293"/>
      <c r="M4453" s="293"/>
      <c r="N4453" s="293"/>
      <c r="P4453" s="42">
        <v>1160</v>
      </c>
      <c r="R4453" s="42">
        <v>470</v>
      </c>
      <c r="T4453" s="284">
        <v>690</v>
      </c>
      <c r="U4453" s="284"/>
    </row>
    <row r="4454" spans="2:21" x14ac:dyDescent="0.25">
      <c r="B4454" s="292">
        <v>84</v>
      </c>
      <c r="C4454" s="292"/>
      <c r="D4454" s="292"/>
      <c r="F4454" s="283" t="s">
        <v>93</v>
      </c>
      <c r="G4454" s="283"/>
      <c r="J4454" s="293">
        <v>26</v>
      </c>
      <c r="K4454" s="293"/>
      <c r="L4454" s="293"/>
      <c r="M4454" s="293"/>
      <c r="N4454" s="293"/>
      <c r="P4454" s="42">
        <v>15340</v>
      </c>
      <c r="R4454" s="42">
        <v>2340</v>
      </c>
      <c r="T4454" s="284">
        <v>13000</v>
      </c>
      <c r="U4454" s="284"/>
    </row>
    <row r="4455" spans="2:21" x14ac:dyDescent="0.25">
      <c r="B4455" s="292">
        <v>85</v>
      </c>
      <c r="C4455" s="292"/>
      <c r="D4455" s="292"/>
      <c r="F4455" s="283" t="s">
        <v>92</v>
      </c>
      <c r="G4455" s="283"/>
      <c r="J4455" s="293">
        <v>41</v>
      </c>
      <c r="K4455" s="293"/>
      <c r="L4455" s="293"/>
      <c r="M4455" s="293"/>
      <c r="N4455" s="293"/>
      <c r="P4455" s="42">
        <v>27960</v>
      </c>
      <c r="R4455" s="42">
        <v>8320</v>
      </c>
      <c r="T4455" s="284">
        <v>19640</v>
      </c>
      <c r="U4455" s="284"/>
    </row>
    <row r="4456" spans="2:21" x14ac:dyDescent="0.25">
      <c r="B4456" s="292">
        <v>86</v>
      </c>
      <c r="C4456" s="292"/>
      <c r="D4456" s="292"/>
      <c r="F4456" s="283" t="s">
        <v>297</v>
      </c>
      <c r="G4456" s="283"/>
      <c r="J4456" s="293">
        <v>1</v>
      </c>
      <c r="K4456" s="293"/>
      <c r="L4456" s="293"/>
      <c r="M4456" s="293"/>
      <c r="N4456" s="293"/>
      <c r="P4456" s="42">
        <v>400</v>
      </c>
      <c r="R4456" s="42">
        <v>120</v>
      </c>
      <c r="T4456" s="284">
        <v>280</v>
      </c>
      <c r="U4456" s="284"/>
    </row>
    <row r="4457" spans="2:21" x14ac:dyDescent="0.25">
      <c r="B4457" s="292">
        <v>87</v>
      </c>
      <c r="C4457" s="292"/>
      <c r="D4457" s="292"/>
      <c r="F4457" s="283" t="s">
        <v>175</v>
      </c>
      <c r="G4457" s="283"/>
      <c r="J4457" s="293">
        <v>11</v>
      </c>
      <c r="K4457" s="293"/>
      <c r="L4457" s="293"/>
      <c r="M4457" s="293"/>
      <c r="N4457" s="293"/>
      <c r="P4457" s="42">
        <v>6600</v>
      </c>
      <c r="R4457" s="42">
        <v>1980</v>
      </c>
      <c r="T4457" s="284">
        <v>4620</v>
      </c>
      <c r="U4457" s="284"/>
    </row>
    <row r="4458" spans="2:21" x14ac:dyDescent="0.25">
      <c r="B4458" s="292">
        <v>88</v>
      </c>
      <c r="C4458" s="292"/>
      <c r="D4458" s="292"/>
      <c r="F4458" s="283" t="s">
        <v>174</v>
      </c>
      <c r="G4458" s="283"/>
      <c r="J4458" s="293">
        <v>9</v>
      </c>
      <c r="K4458" s="293"/>
      <c r="L4458" s="293"/>
      <c r="M4458" s="293"/>
      <c r="N4458" s="293"/>
      <c r="P4458" s="42">
        <v>3600</v>
      </c>
      <c r="R4458" s="42">
        <v>1080</v>
      </c>
      <c r="T4458" s="284">
        <v>2520</v>
      </c>
      <c r="U4458" s="284"/>
    </row>
    <row r="4459" spans="2:21" x14ac:dyDescent="0.25">
      <c r="B4459" s="292">
        <v>89</v>
      </c>
      <c r="C4459" s="292"/>
      <c r="D4459" s="292"/>
      <c r="F4459" s="283" t="s">
        <v>173</v>
      </c>
      <c r="G4459" s="283"/>
      <c r="J4459" s="293">
        <v>20</v>
      </c>
      <c r="K4459" s="293"/>
      <c r="L4459" s="293"/>
      <c r="M4459" s="293"/>
      <c r="N4459" s="293"/>
      <c r="P4459" s="42">
        <v>20000</v>
      </c>
      <c r="R4459" s="42">
        <v>6000</v>
      </c>
      <c r="T4459" s="284">
        <v>14000</v>
      </c>
      <c r="U4459" s="284"/>
    </row>
    <row r="4460" spans="2:21" x14ac:dyDescent="0.25">
      <c r="B4460" s="292">
        <v>90</v>
      </c>
      <c r="C4460" s="292"/>
      <c r="D4460" s="292"/>
      <c r="F4460" s="283" t="s">
        <v>296</v>
      </c>
      <c r="G4460" s="283"/>
      <c r="J4460" s="293">
        <v>1</v>
      </c>
      <c r="K4460" s="293"/>
      <c r="L4460" s="293"/>
      <c r="M4460" s="293"/>
      <c r="N4460" s="293"/>
      <c r="P4460" s="42">
        <v>1200</v>
      </c>
      <c r="R4460" s="42">
        <v>360</v>
      </c>
      <c r="T4460" s="284">
        <v>840</v>
      </c>
      <c r="U4460" s="284"/>
    </row>
    <row r="4461" spans="2:21" x14ac:dyDescent="0.25">
      <c r="B4461" s="292">
        <v>91</v>
      </c>
      <c r="C4461" s="292"/>
      <c r="D4461" s="292"/>
      <c r="F4461" s="283" t="s">
        <v>91</v>
      </c>
      <c r="G4461" s="283"/>
      <c r="J4461" s="293">
        <v>51</v>
      </c>
      <c r="K4461" s="293"/>
      <c r="L4461" s="293"/>
      <c r="M4461" s="293"/>
      <c r="N4461" s="293"/>
      <c r="P4461" s="42">
        <v>12750</v>
      </c>
      <c r="R4461" s="42">
        <v>3585</v>
      </c>
      <c r="T4461" s="284">
        <v>9165</v>
      </c>
      <c r="U4461" s="284"/>
    </row>
    <row r="4462" spans="2:21" x14ac:dyDescent="0.25">
      <c r="B4462" s="292">
        <v>92</v>
      </c>
      <c r="C4462" s="292"/>
      <c r="D4462" s="292"/>
      <c r="F4462" s="283" t="s">
        <v>90</v>
      </c>
      <c r="G4462" s="283"/>
      <c r="J4462" s="293">
        <v>40</v>
      </c>
      <c r="K4462" s="293"/>
      <c r="L4462" s="293"/>
      <c r="M4462" s="293"/>
      <c r="N4462" s="293"/>
      <c r="P4462" s="42">
        <v>11600</v>
      </c>
      <c r="R4462" s="42">
        <v>3200</v>
      </c>
      <c r="T4462" s="284">
        <v>8400</v>
      </c>
      <c r="U4462" s="284"/>
    </row>
    <row r="4463" spans="2:21" x14ac:dyDescent="0.25">
      <c r="B4463" s="292">
        <v>93</v>
      </c>
      <c r="C4463" s="292"/>
      <c r="D4463" s="292"/>
      <c r="F4463" s="283" t="s">
        <v>89</v>
      </c>
      <c r="G4463" s="283"/>
      <c r="J4463" s="293">
        <v>14</v>
      </c>
      <c r="K4463" s="293"/>
      <c r="L4463" s="293"/>
      <c r="M4463" s="293"/>
      <c r="N4463" s="293"/>
      <c r="P4463" s="42">
        <v>12320</v>
      </c>
      <c r="R4463" s="42">
        <v>1820</v>
      </c>
      <c r="T4463" s="284">
        <v>10500</v>
      </c>
      <c r="U4463" s="284"/>
    </row>
    <row r="4464" spans="2:21" x14ac:dyDescent="0.25">
      <c r="B4464" s="292">
        <v>94</v>
      </c>
      <c r="C4464" s="292"/>
      <c r="D4464" s="292"/>
      <c r="F4464" s="283" t="s">
        <v>88</v>
      </c>
      <c r="G4464" s="283"/>
      <c r="J4464" s="293">
        <v>200</v>
      </c>
      <c r="K4464" s="293"/>
      <c r="L4464" s="293"/>
      <c r="M4464" s="293"/>
      <c r="N4464" s="293"/>
      <c r="P4464" s="42">
        <v>36000</v>
      </c>
      <c r="R4464" s="42">
        <v>11613</v>
      </c>
      <c r="T4464" s="284">
        <v>24387</v>
      </c>
      <c r="U4464" s="284"/>
    </row>
    <row r="4465" spans="1:21" x14ac:dyDescent="0.25">
      <c r="B4465" s="292">
        <v>95</v>
      </c>
      <c r="C4465" s="292"/>
      <c r="D4465" s="292"/>
      <c r="F4465" s="283" t="s">
        <v>86</v>
      </c>
      <c r="G4465" s="283"/>
      <c r="J4465" s="293">
        <v>1</v>
      </c>
      <c r="K4465" s="293"/>
      <c r="L4465" s="293"/>
      <c r="M4465" s="293"/>
      <c r="N4465" s="293"/>
      <c r="P4465" s="42">
        <v>1140</v>
      </c>
      <c r="R4465" s="42">
        <v>170</v>
      </c>
      <c r="T4465" s="284">
        <v>970</v>
      </c>
      <c r="U4465" s="284"/>
    </row>
    <row r="4466" spans="1:21" x14ac:dyDescent="0.25">
      <c r="B4466" s="292">
        <v>96</v>
      </c>
      <c r="C4466" s="292"/>
      <c r="D4466" s="292"/>
      <c r="F4466" s="283" t="s">
        <v>85</v>
      </c>
      <c r="G4466" s="283"/>
      <c r="J4466" s="293">
        <v>16</v>
      </c>
      <c r="K4466" s="293"/>
      <c r="L4466" s="293"/>
      <c r="M4466" s="293"/>
      <c r="N4466" s="293"/>
      <c r="P4466" s="42">
        <v>33280</v>
      </c>
      <c r="R4466" s="42">
        <v>4960</v>
      </c>
      <c r="T4466" s="284">
        <v>28320</v>
      </c>
      <c r="U4466" s="284"/>
    </row>
    <row r="4467" spans="1:21" x14ac:dyDescent="0.25">
      <c r="B4467" s="292">
        <v>97</v>
      </c>
      <c r="C4467" s="292"/>
      <c r="D4467" s="292"/>
      <c r="F4467" s="283" t="s">
        <v>84</v>
      </c>
      <c r="G4467" s="283"/>
      <c r="J4467" s="293">
        <v>31</v>
      </c>
      <c r="K4467" s="293"/>
      <c r="L4467" s="293"/>
      <c r="M4467" s="293"/>
      <c r="N4467" s="293"/>
      <c r="P4467" s="42">
        <v>18290</v>
      </c>
      <c r="R4467" s="42">
        <v>5580</v>
      </c>
      <c r="T4467" s="284">
        <v>12710</v>
      </c>
      <c r="U4467" s="284"/>
    </row>
    <row r="4468" spans="1:21" x14ac:dyDescent="0.25">
      <c r="B4468" s="292">
        <v>98</v>
      </c>
      <c r="C4468" s="292"/>
      <c r="D4468" s="292"/>
      <c r="F4468" s="283" t="s">
        <v>82</v>
      </c>
      <c r="G4468" s="283"/>
      <c r="J4468" s="293">
        <v>26</v>
      </c>
      <c r="K4468" s="293"/>
      <c r="L4468" s="293"/>
      <c r="M4468" s="293"/>
      <c r="N4468" s="293"/>
      <c r="P4468" s="42">
        <v>7540</v>
      </c>
      <c r="R4468" s="42">
        <v>7540</v>
      </c>
      <c r="T4468" s="284">
        <v>0</v>
      </c>
      <c r="U4468" s="284"/>
    </row>
    <row r="4469" spans="1:21" x14ac:dyDescent="0.25">
      <c r="B4469" s="292">
        <v>99</v>
      </c>
      <c r="C4469" s="292"/>
      <c r="D4469" s="292"/>
      <c r="F4469" s="283" t="s">
        <v>81</v>
      </c>
      <c r="G4469" s="283"/>
      <c r="J4469" s="293">
        <v>27</v>
      </c>
      <c r="K4469" s="293"/>
      <c r="L4469" s="293"/>
      <c r="M4469" s="293"/>
      <c r="N4469" s="293"/>
      <c r="P4469" s="42">
        <v>7830</v>
      </c>
      <c r="R4469" s="42">
        <v>2130</v>
      </c>
      <c r="T4469" s="284">
        <v>5700</v>
      </c>
      <c r="U4469" s="284"/>
    </row>
    <row r="4470" spans="1:21" s="40" customFormat="1" x14ac:dyDescent="0.25">
      <c r="A4470" s="290" t="s">
        <v>295</v>
      </c>
      <c r="B4470" s="290"/>
      <c r="C4470" s="290"/>
      <c r="D4470" s="290"/>
      <c r="E4470" s="290"/>
      <c r="F4470" s="290"/>
      <c r="G4470" s="290"/>
      <c r="H4470" s="290"/>
      <c r="I4470" s="290"/>
      <c r="J4470" s="290"/>
      <c r="K4470" s="291">
        <v>7619</v>
      </c>
      <c r="L4470" s="291"/>
      <c r="M4470" s="291"/>
      <c r="N4470" s="291"/>
      <c r="O4470" s="291"/>
      <c r="P4470" s="41">
        <v>6317150</v>
      </c>
      <c r="R4470" s="41">
        <v>5346575</v>
      </c>
      <c r="T4470" s="287">
        <v>970575</v>
      </c>
      <c r="U4470" s="287"/>
    </row>
    <row r="4471" spans="1:21" x14ac:dyDescent="0.25">
      <c r="B4471" s="292">
        <v>1</v>
      </c>
      <c r="C4471" s="292"/>
      <c r="D4471" s="292"/>
      <c r="F4471" s="283" t="s">
        <v>200</v>
      </c>
      <c r="G4471" s="283"/>
      <c r="J4471" s="293">
        <v>1</v>
      </c>
      <c r="K4471" s="293"/>
      <c r="L4471" s="293"/>
      <c r="M4471" s="293"/>
      <c r="N4471" s="293"/>
      <c r="P4471" s="42">
        <v>500</v>
      </c>
      <c r="R4471" s="42">
        <v>150</v>
      </c>
      <c r="T4471" s="284">
        <v>350</v>
      </c>
      <c r="U4471" s="284"/>
    </row>
    <row r="4472" spans="1:21" x14ac:dyDescent="0.25">
      <c r="B4472" s="292">
        <v>2</v>
      </c>
      <c r="C4472" s="292"/>
      <c r="D4472" s="292"/>
      <c r="F4472" s="283" t="s">
        <v>78</v>
      </c>
      <c r="G4472" s="283"/>
      <c r="J4472" s="293">
        <v>464</v>
      </c>
      <c r="K4472" s="293"/>
      <c r="L4472" s="293"/>
      <c r="M4472" s="293"/>
      <c r="N4472" s="293"/>
      <c r="P4472" s="42">
        <v>134560</v>
      </c>
      <c r="R4472" s="42">
        <v>134560</v>
      </c>
      <c r="T4472" s="284">
        <v>0</v>
      </c>
      <c r="U4472" s="284"/>
    </row>
    <row r="4473" spans="1:21" x14ac:dyDescent="0.25">
      <c r="B4473" s="292">
        <v>3</v>
      </c>
      <c r="C4473" s="292"/>
      <c r="D4473" s="292"/>
      <c r="F4473" s="283" t="s">
        <v>294</v>
      </c>
      <c r="G4473" s="283"/>
      <c r="J4473" s="293">
        <v>1</v>
      </c>
      <c r="K4473" s="293"/>
      <c r="L4473" s="293"/>
      <c r="M4473" s="293"/>
      <c r="N4473" s="293"/>
      <c r="P4473" s="42">
        <v>500</v>
      </c>
      <c r="R4473" s="42">
        <v>150</v>
      </c>
      <c r="T4473" s="284">
        <v>350</v>
      </c>
      <c r="U4473" s="284"/>
    </row>
    <row r="4474" spans="1:21" x14ac:dyDescent="0.25">
      <c r="B4474" s="292">
        <v>4</v>
      </c>
      <c r="C4474" s="292"/>
      <c r="D4474" s="292"/>
      <c r="F4474" s="283" t="s">
        <v>165</v>
      </c>
      <c r="G4474" s="283"/>
      <c r="J4474" s="293">
        <v>1</v>
      </c>
      <c r="K4474" s="293"/>
      <c r="L4474" s="293"/>
      <c r="M4474" s="293"/>
      <c r="N4474" s="293"/>
      <c r="P4474" s="42">
        <v>590</v>
      </c>
      <c r="R4474" s="42">
        <v>180</v>
      </c>
      <c r="T4474" s="284">
        <v>410</v>
      </c>
      <c r="U4474" s="284"/>
    </row>
    <row r="4475" spans="1:21" x14ac:dyDescent="0.25">
      <c r="B4475" s="292">
        <v>5</v>
      </c>
      <c r="C4475" s="292"/>
      <c r="D4475" s="292"/>
      <c r="F4475" s="283" t="s">
        <v>164</v>
      </c>
      <c r="G4475" s="283"/>
      <c r="J4475" s="293">
        <v>3</v>
      </c>
      <c r="K4475" s="293"/>
      <c r="L4475" s="293"/>
      <c r="M4475" s="293"/>
      <c r="N4475" s="293"/>
      <c r="P4475" s="42">
        <v>1770</v>
      </c>
      <c r="R4475" s="42">
        <v>540</v>
      </c>
      <c r="T4475" s="284">
        <v>1230</v>
      </c>
      <c r="U4475" s="284"/>
    </row>
    <row r="4476" spans="1:21" x14ac:dyDescent="0.25">
      <c r="B4476" s="292">
        <v>6</v>
      </c>
      <c r="C4476" s="292"/>
      <c r="D4476" s="292"/>
      <c r="F4476" s="283" t="s">
        <v>245</v>
      </c>
      <c r="G4476" s="283"/>
      <c r="J4476" s="293">
        <v>1</v>
      </c>
      <c r="K4476" s="293"/>
      <c r="L4476" s="293"/>
      <c r="M4476" s="293"/>
      <c r="N4476" s="293"/>
      <c r="P4476" s="42">
        <v>3000</v>
      </c>
      <c r="R4476" s="42">
        <v>750</v>
      </c>
      <c r="T4476" s="284">
        <v>2250</v>
      </c>
      <c r="U4476" s="284"/>
    </row>
    <row r="4477" spans="1:21" x14ac:dyDescent="0.25">
      <c r="B4477" s="292">
        <v>7</v>
      </c>
      <c r="C4477" s="292"/>
      <c r="D4477" s="292"/>
      <c r="F4477" s="283" t="s">
        <v>162</v>
      </c>
      <c r="G4477" s="283"/>
      <c r="J4477" s="293">
        <v>4</v>
      </c>
      <c r="K4477" s="293"/>
      <c r="L4477" s="293"/>
      <c r="M4477" s="293"/>
      <c r="N4477" s="293"/>
      <c r="P4477" s="42">
        <v>1720</v>
      </c>
      <c r="R4477" s="42">
        <v>700</v>
      </c>
      <c r="T4477" s="284">
        <v>1020</v>
      </c>
      <c r="U4477" s="284"/>
    </row>
    <row r="4478" spans="1:21" x14ac:dyDescent="0.25">
      <c r="B4478" s="292">
        <v>8</v>
      </c>
      <c r="C4478" s="292"/>
      <c r="D4478" s="292"/>
      <c r="F4478" s="283" t="s">
        <v>198</v>
      </c>
      <c r="G4478" s="283"/>
      <c r="J4478" s="293">
        <v>1</v>
      </c>
      <c r="K4478" s="293"/>
      <c r="L4478" s="293"/>
      <c r="M4478" s="293"/>
      <c r="N4478" s="293"/>
      <c r="P4478" s="42">
        <v>290</v>
      </c>
      <c r="R4478" s="42">
        <v>80</v>
      </c>
      <c r="T4478" s="284">
        <v>210</v>
      </c>
      <c r="U4478" s="284"/>
    </row>
    <row r="4479" spans="1:21" x14ac:dyDescent="0.25">
      <c r="B4479" s="292">
        <v>9</v>
      </c>
      <c r="C4479" s="292"/>
      <c r="D4479" s="292"/>
      <c r="F4479" s="283" t="s">
        <v>160</v>
      </c>
      <c r="G4479" s="283"/>
      <c r="J4479" s="293">
        <v>3</v>
      </c>
      <c r="K4479" s="293"/>
      <c r="L4479" s="293"/>
      <c r="M4479" s="293"/>
      <c r="N4479" s="293"/>
      <c r="P4479" s="42">
        <v>870</v>
      </c>
      <c r="R4479" s="42">
        <v>240</v>
      </c>
      <c r="T4479" s="284">
        <v>630</v>
      </c>
      <c r="U4479" s="284"/>
    </row>
    <row r="4480" spans="1:21" x14ac:dyDescent="0.25">
      <c r="B4480" s="292">
        <v>10</v>
      </c>
      <c r="C4480" s="292"/>
      <c r="D4480" s="292"/>
      <c r="F4480" s="283" t="s">
        <v>158</v>
      </c>
      <c r="G4480" s="283"/>
      <c r="J4480" s="293">
        <v>911</v>
      </c>
      <c r="K4480" s="293"/>
      <c r="L4480" s="293"/>
      <c r="M4480" s="293"/>
      <c r="N4480" s="293"/>
      <c r="P4480" s="42">
        <v>501050</v>
      </c>
      <c r="R4480" s="42">
        <v>198137</v>
      </c>
      <c r="T4480" s="284">
        <v>302913</v>
      </c>
      <c r="U4480" s="284"/>
    </row>
    <row r="4481" spans="2:21" x14ac:dyDescent="0.25">
      <c r="B4481" s="292">
        <v>11</v>
      </c>
      <c r="C4481" s="292"/>
      <c r="D4481" s="292"/>
      <c r="F4481" s="283" t="s">
        <v>157</v>
      </c>
      <c r="G4481" s="283"/>
      <c r="J4481" s="293">
        <v>22</v>
      </c>
      <c r="K4481" s="293"/>
      <c r="L4481" s="293"/>
      <c r="M4481" s="293"/>
      <c r="N4481" s="293"/>
      <c r="P4481" s="42">
        <v>10780</v>
      </c>
      <c r="R4481" s="42">
        <v>4600</v>
      </c>
      <c r="T4481" s="284">
        <v>6180</v>
      </c>
      <c r="U4481" s="284"/>
    </row>
    <row r="4482" spans="2:21" x14ac:dyDescent="0.25">
      <c r="B4482" s="292">
        <v>12</v>
      </c>
      <c r="C4482" s="292"/>
      <c r="D4482" s="292"/>
      <c r="F4482" s="283" t="s">
        <v>293</v>
      </c>
      <c r="G4482" s="283"/>
      <c r="J4482" s="293">
        <v>1</v>
      </c>
      <c r="K4482" s="293"/>
      <c r="L4482" s="293"/>
      <c r="M4482" s="293"/>
      <c r="N4482" s="293"/>
      <c r="P4482" s="42">
        <v>900</v>
      </c>
      <c r="R4482" s="42">
        <v>270</v>
      </c>
      <c r="T4482" s="284">
        <v>630</v>
      </c>
      <c r="U4482" s="284"/>
    </row>
    <row r="4483" spans="2:21" x14ac:dyDescent="0.25">
      <c r="B4483" s="292">
        <v>13</v>
      </c>
      <c r="C4483" s="292"/>
      <c r="D4483" s="292"/>
      <c r="F4483" s="283" t="s">
        <v>196</v>
      </c>
      <c r="G4483" s="283"/>
      <c r="J4483" s="293">
        <v>9</v>
      </c>
      <c r="K4483" s="293"/>
      <c r="L4483" s="293"/>
      <c r="M4483" s="293"/>
      <c r="N4483" s="293"/>
      <c r="P4483" s="42">
        <v>6300</v>
      </c>
      <c r="R4483" s="42">
        <v>2030</v>
      </c>
      <c r="T4483" s="284">
        <v>4270</v>
      </c>
      <c r="U4483" s="284"/>
    </row>
    <row r="4484" spans="2:21" x14ac:dyDescent="0.25">
      <c r="B4484" s="292">
        <v>14</v>
      </c>
      <c r="C4484" s="292"/>
      <c r="D4484" s="292"/>
      <c r="F4484" s="283" t="s">
        <v>292</v>
      </c>
      <c r="G4484" s="283"/>
      <c r="J4484" s="293">
        <v>1</v>
      </c>
      <c r="K4484" s="293"/>
      <c r="L4484" s="293"/>
      <c r="M4484" s="293"/>
      <c r="N4484" s="293"/>
      <c r="P4484" s="42">
        <v>700</v>
      </c>
      <c r="R4484" s="42">
        <v>700</v>
      </c>
      <c r="T4484" s="284">
        <v>0</v>
      </c>
      <c r="U4484" s="284"/>
    </row>
    <row r="4485" spans="2:21" x14ac:dyDescent="0.25">
      <c r="B4485" s="292">
        <v>15</v>
      </c>
      <c r="C4485" s="292"/>
      <c r="D4485" s="292"/>
      <c r="F4485" s="283" t="s">
        <v>244</v>
      </c>
      <c r="G4485" s="283"/>
      <c r="J4485" s="293">
        <v>1</v>
      </c>
      <c r="K4485" s="293"/>
      <c r="L4485" s="293"/>
      <c r="M4485" s="293"/>
      <c r="N4485" s="293"/>
      <c r="P4485" s="42">
        <v>300</v>
      </c>
      <c r="R4485" s="42">
        <v>120</v>
      </c>
      <c r="T4485" s="284">
        <v>180</v>
      </c>
      <c r="U4485" s="284"/>
    </row>
    <row r="4486" spans="2:21" x14ac:dyDescent="0.25">
      <c r="B4486" s="292">
        <v>16</v>
      </c>
      <c r="C4486" s="292"/>
      <c r="D4486" s="292"/>
      <c r="F4486" s="283" t="s">
        <v>77</v>
      </c>
      <c r="G4486" s="283"/>
      <c r="J4486" s="293">
        <v>2843</v>
      </c>
      <c r="K4486" s="293"/>
      <c r="L4486" s="293"/>
      <c r="M4486" s="293"/>
      <c r="N4486" s="293"/>
      <c r="P4486" s="42">
        <v>1156700</v>
      </c>
      <c r="R4486" s="42">
        <v>1156300</v>
      </c>
      <c r="T4486" s="284">
        <v>400</v>
      </c>
      <c r="U4486" s="284"/>
    </row>
    <row r="4487" spans="2:21" x14ac:dyDescent="0.25">
      <c r="B4487" s="292">
        <v>17</v>
      </c>
      <c r="C4487" s="292"/>
      <c r="D4487" s="292"/>
      <c r="F4487" s="283" t="s">
        <v>291</v>
      </c>
      <c r="G4487" s="283"/>
      <c r="J4487" s="293">
        <v>2</v>
      </c>
      <c r="K4487" s="293"/>
      <c r="L4487" s="293"/>
      <c r="M4487" s="293"/>
      <c r="N4487" s="293"/>
      <c r="P4487" s="42">
        <v>400</v>
      </c>
      <c r="R4487" s="42">
        <v>100</v>
      </c>
      <c r="T4487" s="284">
        <v>300</v>
      </c>
      <c r="U4487" s="284"/>
    </row>
    <row r="4488" spans="2:21" x14ac:dyDescent="0.25">
      <c r="B4488" s="292">
        <v>18</v>
      </c>
      <c r="C4488" s="292"/>
      <c r="D4488" s="292"/>
      <c r="F4488" s="283" t="s">
        <v>242</v>
      </c>
      <c r="G4488" s="283"/>
      <c r="J4488" s="293">
        <v>21</v>
      </c>
      <c r="K4488" s="293"/>
      <c r="L4488" s="293"/>
      <c r="M4488" s="293"/>
      <c r="N4488" s="293"/>
      <c r="P4488" s="42">
        <v>10500</v>
      </c>
      <c r="R4488" s="42">
        <v>0</v>
      </c>
      <c r="T4488" s="284">
        <v>10500</v>
      </c>
      <c r="U4488" s="284"/>
    </row>
    <row r="4489" spans="2:21" x14ac:dyDescent="0.25">
      <c r="B4489" s="292">
        <v>19</v>
      </c>
      <c r="C4489" s="292"/>
      <c r="D4489" s="292"/>
      <c r="F4489" s="283" t="s">
        <v>241</v>
      </c>
      <c r="G4489" s="283"/>
      <c r="J4489" s="293">
        <v>1</v>
      </c>
      <c r="K4489" s="293"/>
      <c r="L4489" s="293"/>
      <c r="M4489" s="293"/>
      <c r="N4489" s="293"/>
      <c r="P4489" s="42">
        <v>350</v>
      </c>
      <c r="R4489" s="42">
        <v>350</v>
      </c>
      <c r="T4489" s="284">
        <v>0</v>
      </c>
      <c r="U4489" s="284"/>
    </row>
    <row r="4490" spans="2:21" x14ac:dyDescent="0.25">
      <c r="B4490" s="292">
        <v>20</v>
      </c>
      <c r="C4490" s="292"/>
      <c r="D4490" s="292"/>
      <c r="F4490" s="283" t="s">
        <v>156</v>
      </c>
      <c r="G4490" s="283"/>
      <c r="J4490" s="293">
        <v>5</v>
      </c>
      <c r="K4490" s="293"/>
      <c r="L4490" s="293"/>
      <c r="M4490" s="293"/>
      <c r="N4490" s="293"/>
      <c r="P4490" s="42">
        <v>950</v>
      </c>
      <c r="R4490" s="42">
        <v>330</v>
      </c>
      <c r="T4490" s="284">
        <v>620</v>
      </c>
      <c r="U4490" s="284"/>
    </row>
    <row r="4491" spans="2:21" x14ac:dyDescent="0.25">
      <c r="B4491" s="292">
        <v>21</v>
      </c>
      <c r="C4491" s="292"/>
      <c r="D4491" s="292"/>
      <c r="F4491" s="283" t="s">
        <v>290</v>
      </c>
      <c r="G4491" s="283"/>
      <c r="J4491" s="293">
        <v>1</v>
      </c>
      <c r="K4491" s="293"/>
      <c r="L4491" s="293"/>
      <c r="M4491" s="293"/>
      <c r="N4491" s="293"/>
      <c r="P4491" s="42">
        <v>1790</v>
      </c>
      <c r="R4491" s="42">
        <v>270</v>
      </c>
      <c r="T4491" s="284">
        <v>1520</v>
      </c>
      <c r="U4491" s="284"/>
    </row>
    <row r="4492" spans="2:21" x14ac:dyDescent="0.25">
      <c r="B4492" s="292">
        <v>22</v>
      </c>
      <c r="C4492" s="292"/>
      <c r="D4492" s="292"/>
      <c r="F4492" s="283" t="s">
        <v>155</v>
      </c>
      <c r="G4492" s="283"/>
      <c r="J4492" s="293">
        <v>420</v>
      </c>
      <c r="K4492" s="293"/>
      <c r="L4492" s="293"/>
      <c r="M4492" s="293"/>
      <c r="N4492" s="293"/>
      <c r="P4492" s="42">
        <v>105000</v>
      </c>
      <c r="R4492" s="42">
        <v>52319</v>
      </c>
      <c r="T4492" s="284">
        <v>52681</v>
      </c>
      <c r="U4492" s="284"/>
    </row>
    <row r="4493" spans="2:21" x14ac:dyDescent="0.25">
      <c r="B4493" s="292">
        <v>23</v>
      </c>
      <c r="C4493" s="292"/>
      <c r="D4493" s="292"/>
      <c r="F4493" s="283" t="s">
        <v>154</v>
      </c>
      <c r="G4493" s="283"/>
      <c r="J4493" s="293">
        <v>5</v>
      </c>
      <c r="K4493" s="293"/>
      <c r="L4493" s="293"/>
      <c r="M4493" s="293"/>
      <c r="N4493" s="293"/>
      <c r="P4493" s="42">
        <v>4450</v>
      </c>
      <c r="R4493" s="42">
        <v>650</v>
      </c>
      <c r="T4493" s="284">
        <v>3800</v>
      </c>
      <c r="U4493" s="284"/>
    </row>
    <row r="4494" spans="2:21" x14ac:dyDescent="0.25">
      <c r="B4494" s="292">
        <v>24</v>
      </c>
      <c r="C4494" s="292"/>
      <c r="D4494" s="292"/>
      <c r="F4494" s="283" t="s">
        <v>239</v>
      </c>
      <c r="G4494" s="283"/>
      <c r="J4494" s="293">
        <v>1</v>
      </c>
      <c r="K4494" s="293"/>
      <c r="L4494" s="293"/>
      <c r="M4494" s="293"/>
      <c r="N4494" s="293"/>
      <c r="P4494" s="42">
        <v>1090</v>
      </c>
      <c r="R4494" s="42">
        <v>0</v>
      </c>
      <c r="T4494" s="284">
        <v>1090</v>
      </c>
      <c r="U4494" s="284"/>
    </row>
    <row r="4495" spans="2:21" x14ac:dyDescent="0.25">
      <c r="B4495" s="292">
        <v>25</v>
      </c>
      <c r="C4495" s="292"/>
      <c r="D4495" s="292"/>
      <c r="F4495" s="283" t="s">
        <v>195</v>
      </c>
      <c r="G4495" s="283"/>
      <c r="J4495" s="293">
        <v>1</v>
      </c>
      <c r="K4495" s="293"/>
      <c r="L4495" s="293"/>
      <c r="M4495" s="293"/>
      <c r="N4495" s="293"/>
      <c r="P4495" s="42">
        <v>1000</v>
      </c>
      <c r="R4495" s="42">
        <v>0</v>
      </c>
      <c r="T4495" s="284">
        <v>1000</v>
      </c>
      <c r="U4495" s="284"/>
    </row>
    <row r="4496" spans="2:21" x14ac:dyDescent="0.25">
      <c r="B4496" s="292">
        <v>26</v>
      </c>
      <c r="C4496" s="292"/>
      <c r="D4496" s="292"/>
      <c r="F4496" s="283" t="s">
        <v>194</v>
      </c>
      <c r="G4496" s="283"/>
      <c r="J4496" s="293">
        <v>1</v>
      </c>
      <c r="K4496" s="293"/>
      <c r="L4496" s="293"/>
      <c r="M4496" s="293"/>
      <c r="N4496" s="293"/>
      <c r="P4496" s="42">
        <v>700</v>
      </c>
      <c r="R4496" s="42">
        <v>180</v>
      </c>
      <c r="T4496" s="284">
        <v>520</v>
      </c>
      <c r="U4496" s="284"/>
    </row>
    <row r="4497" spans="2:21" x14ac:dyDescent="0.25">
      <c r="B4497" s="292">
        <v>27</v>
      </c>
      <c r="C4497" s="292"/>
      <c r="D4497" s="292"/>
      <c r="F4497" s="283" t="s">
        <v>289</v>
      </c>
      <c r="G4497" s="283"/>
      <c r="J4497" s="293">
        <v>2</v>
      </c>
      <c r="K4497" s="293"/>
      <c r="L4497" s="293"/>
      <c r="M4497" s="293"/>
      <c r="N4497" s="293"/>
      <c r="P4497" s="42">
        <v>1000</v>
      </c>
      <c r="R4497" s="42">
        <v>300</v>
      </c>
      <c r="T4497" s="284">
        <v>700</v>
      </c>
      <c r="U4497" s="284"/>
    </row>
    <row r="4498" spans="2:21" x14ac:dyDescent="0.25">
      <c r="B4498" s="292">
        <v>28</v>
      </c>
      <c r="C4498" s="292"/>
      <c r="D4498" s="292"/>
      <c r="F4498" s="283" t="s">
        <v>152</v>
      </c>
      <c r="G4498" s="283"/>
      <c r="J4498" s="293">
        <v>1</v>
      </c>
      <c r="K4498" s="293"/>
      <c r="L4498" s="293"/>
      <c r="M4498" s="293"/>
      <c r="N4498" s="293"/>
      <c r="P4498" s="42">
        <v>590</v>
      </c>
      <c r="R4498" s="42">
        <v>180</v>
      </c>
      <c r="T4498" s="284">
        <v>410</v>
      </c>
      <c r="U4498" s="284"/>
    </row>
    <row r="4499" spans="2:21" x14ac:dyDescent="0.25">
      <c r="B4499" s="292">
        <v>29</v>
      </c>
      <c r="C4499" s="292"/>
      <c r="D4499" s="292"/>
      <c r="F4499" s="283" t="s">
        <v>151</v>
      </c>
      <c r="G4499" s="283"/>
      <c r="J4499" s="293">
        <v>9</v>
      </c>
      <c r="K4499" s="293"/>
      <c r="L4499" s="293"/>
      <c r="M4499" s="293"/>
      <c r="N4499" s="293"/>
      <c r="P4499" s="42">
        <v>2070</v>
      </c>
      <c r="R4499" s="42">
        <v>680</v>
      </c>
      <c r="T4499" s="284">
        <v>1390</v>
      </c>
      <c r="U4499" s="284"/>
    </row>
    <row r="4500" spans="2:21" x14ac:dyDescent="0.25">
      <c r="B4500" s="292">
        <v>30</v>
      </c>
      <c r="C4500" s="292"/>
      <c r="D4500" s="292"/>
      <c r="F4500" s="283" t="s">
        <v>149</v>
      </c>
      <c r="G4500" s="283"/>
      <c r="J4500" s="293">
        <v>1</v>
      </c>
      <c r="K4500" s="293"/>
      <c r="L4500" s="293"/>
      <c r="M4500" s="293"/>
      <c r="N4500" s="293"/>
      <c r="P4500" s="42">
        <v>50</v>
      </c>
      <c r="R4500" s="42">
        <v>10</v>
      </c>
      <c r="T4500" s="284">
        <v>40</v>
      </c>
      <c r="U4500" s="284"/>
    </row>
    <row r="4501" spans="2:21" x14ac:dyDescent="0.25">
      <c r="B4501" s="292">
        <v>31</v>
      </c>
      <c r="C4501" s="292"/>
      <c r="D4501" s="292"/>
      <c r="F4501" s="283" t="s">
        <v>148</v>
      </c>
      <c r="G4501" s="283"/>
      <c r="J4501" s="293">
        <v>1</v>
      </c>
      <c r="K4501" s="293"/>
      <c r="L4501" s="293"/>
      <c r="M4501" s="293"/>
      <c r="N4501" s="293"/>
      <c r="P4501" s="42">
        <v>980</v>
      </c>
      <c r="R4501" s="42">
        <v>150</v>
      </c>
      <c r="T4501" s="284">
        <v>830</v>
      </c>
      <c r="U4501" s="284"/>
    </row>
    <row r="4502" spans="2:21" x14ac:dyDescent="0.25">
      <c r="B4502" s="292">
        <v>32</v>
      </c>
      <c r="C4502" s="292"/>
      <c r="D4502" s="292"/>
      <c r="F4502" s="283" t="s">
        <v>235</v>
      </c>
      <c r="G4502" s="283"/>
      <c r="J4502" s="293">
        <v>1</v>
      </c>
      <c r="K4502" s="293"/>
      <c r="L4502" s="293"/>
      <c r="M4502" s="293"/>
      <c r="N4502" s="293"/>
      <c r="P4502" s="42">
        <v>950</v>
      </c>
      <c r="R4502" s="42">
        <v>140</v>
      </c>
      <c r="T4502" s="284">
        <v>810</v>
      </c>
      <c r="U4502" s="284"/>
    </row>
    <row r="4503" spans="2:21" x14ac:dyDescent="0.25">
      <c r="B4503" s="292">
        <v>33</v>
      </c>
      <c r="C4503" s="292"/>
      <c r="D4503" s="292"/>
      <c r="F4503" s="283" t="s">
        <v>288</v>
      </c>
      <c r="G4503" s="283"/>
      <c r="J4503" s="293">
        <v>3</v>
      </c>
      <c r="K4503" s="293"/>
      <c r="L4503" s="293"/>
      <c r="M4503" s="293"/>
      <c r="N4503" s="293"/>
      <c r="P4503" s="42">
        <v>2400</v>
      </c>
      <c r="R4503" s="42">
        <v>1350</v>
      </c>
      <c r="T4503" s="284">
        <v>1050</v>
      </c>
      <c r="U4503" s="284"/>
    </row>
    <row r="4504" spans="2:21" x14ac:dyDescent="0.25">
      <c r="B4504" s="292">
        <v>34</v>
      </c>
      <c r="C4504" s="292"/>
      <c r="D4504" s="292"/>
      <c r="F4504" s="283" t="s">
        <v>234</v>
      </c>
      <c r="G4504" s="283"/>
      <c r="J4504" s="293">
        <v>1</v>
      </c>
      <c r="K4504" s="293"/>
      <c r="L4504" s="293"/>
      <c r="M4504" s="293"/>
      <c r="N4504" s="293"/>
      <c r="P4504" s="42">
        <v>800</v>
      </c>
      <c r="R4504" s="42">
        <v>450</v>
      </c>
      <c r="T4504" s="284">
        <v>350</v>
      </c>
      <c r="U4504" s="284"/>
    </row>
    <row r="4505" spans="2:21" x14ac:dyDescent="0.25">
      <c r="B4505" s="292">
        <v>35</v>
      </c>
      <c r="C4505" s="292"/>
      <c r="D4505" s="292"/>
      <c r="F4505" s="283" t="s">
        <v>287</v>
      </c>
      <c r="G4505" s="283"/>
      <c r="J4505" s="293">
        <v>7</v>
      </c>
      <c r="K4505" s="293"/>
      <c r="L4505" s="293"/>
      <c r="M4505" s="293"/>
      <c r="N4505" s="293"/>
      <c r="P4505" s="42">
        <v>5900</v>
      </c>
      <c r="R4505" s="42">
        <v>2610</v>
      </c>
      <c r="T4505" s="284">
        <v>3290</v>
      </c>
      <c r="U4505" s="284"/>
    </row>
    <row r="4506" spans="2:21" x14ac:dyDescent="0.25">
      <c r="B4506" s="292">
        <v>36</v>
      </c>
      <c r="C4506" s="292"/>
      <c r="D4506" s="292"/>
      <c r="F4506" s="283" t="s">
        <v>286</v>
      </c>
      <c r="G4506" s="283"/>
      <c r="J4506" s="293">
        <v>4</v>
      </c>
      <c r="K4506" s="293"/>
      <c r="L4506" s="293"/>
      <c r="M4506" s="293"/>
      <c r="N4506" s="293"/>
      <c r="P4506" s="42">
        <v>3200</v>
      </c>
      <c r="R4506" s="42">
        <v>1350</v>
      </c>
      <c r="T4506" s="284">
        <v>1850</v>
      </c>
      <c r="U4506" s="284"/>
    </row>
    <row r="4507" spans="2:21" x14ac:dyDescent="0.25">
      <c r="B4507" s="292">
        <v>37</v>
      </c>
      <c r="C4507" s="292"/>
      <c r="D4507" s="292"/>
      <c r="F4507" s="283" t="s">
        <v>233</v>
      </c>
      <c r="G4507" s="283"/>
      <c r="J4507" s="293">
        <v>3</v>
      </c>
      <c r="K4507" s="293"/>
      <c r="L4507" s="293"/>
      <c r="M4507" s="293"/>
      <c r="N4507" s="293"/>
      <c r="P4507" s="42">
        <v>2940</v>
      </c>
      <c r="R4507" s="42">
        <v>450</v>
      </c>
      <c r="T4507" s="284">
        <v>2490</v>
      </c>
      <c r="U4507" s="284"/>
    </row>
    <row r="4508" spans="2:21" x14ac:dyDescent="0.25">
      <c r="B4508" s="292">
        <v>38</v>
      </c>
      <c r="C4508" s="292"/>
      <c r="D4508" s="292"/>
      <c r="F4508" s="283" t="s">
        <v>232</v>
      </c>
      <c r="G4508" s="283"/>
      <c r="J4508" s="293">
        <v>2</v>
      </c>
      <c r="K4508" s="293"/>
      <c r="L4508" s="293"/>
      <c r="M4508" s="293"/>
      <c r="N4508" s="293"/>
      <c r="P4508" s="42">
        <v>1960</v>
      </c>
      <c r="R4508" s="42">
        <v>300</v>
      </c>
      <c r="T4508" s="284">
        <v>1660</v>
      </c>
      <c r="U4508" s="284"/>
    </row>
    <row r="4509" spans="2:21" x14ac:dyDescent="0.25">
      <c r="B4509" s="292">
        <v>39</v>
      </c>
      <c r="C4509" s="292"/>
      <c r="D4509" s="292"/>
      <c r="F4509" s="283" t="s">
        <v>193</v>
      </c>
      <c r="G4509" s="283"/>
      <c r="J4509" s="293">
        <v>4</v>
      </c>
      <c r="K4509" s="293"/>
      <c r="L4509" s="293"/>
      <c r="M4509" s="293"/>
      <c r="N4509" s="293"/>
      <c r="P4509" s="42">
        <v>3560</v>
      </c>
      <c r="R4509" s="42">
        <v>520</v>
      </c>
      <c r="T4509" s="284">
        <v>3040</v>
      </c>
      <c r="U4509" s="284"/>
    </row>
    <row r="4510" spans="2:21" x14ac:dyDescent="0.25">
      <c r="B4510" s="292">
        <v>40</v>
      </c>
      <c r="C4510" s="292"/>
      <c r="D4510" s="292"/>
      <c r="F4510" s="283" t="s">
        <v>75</v>
      </c>
      <c r="G4510" s="283"/>
      <c r="J4510" s="293">
        <v>1360</v>
      </c>
      <c r="K4510" s="293"/>
      <c r="L4510" s="293"/>
      <c r="M4510" s="293"/>
      <c r="N4510" s="293"/>
      <c r="P4510" s="42">
        <v>3400000</v>
      </c>
      <c r="R4510" s="42">
        <v>3400000</v>
      </c>
      <c r="T4510" s="284">
        <v>0</v>
      </c>
      <c r="U4510" s="284"/>
    </row>
    <row r="4511" spans="2:21" x14ac:dyDescent="0.25">
      <c r="B4511" s="292">
        <v>41</v>
      </c>
      <c r="C4511" s="292"/>
      <c r="D4511" s="292"/>
      <c r="F4511" s="283" t="s">
        <v>139</v>
      </c>
      <c r="G4511" s="283"/>
      <c r="J4511" s="293">
        <v>1</v>
      </c>
      <c r="K4511" s="293"/>
      <c r="L4511" s="293"/>
      <c r="M4511" s="293"/>
      <c r="N4511" s="293"/>
      <c r="P4511" s="42">
        <v>270</v>
      </c>
      <c r="R4511" s="42">
        <v>80</v>
      </c>
      <c r="T4511" s="284">
        <v>190</v>
      </c>
      <c r="U4511" s="284"/>
    </row>
    <row r="4512" spans="2:21" x14ac:dyDescent="0.25">
      <c r="B4512" s="292">
        <v>42</v>
      </c>
      <c r="C4512" s="292"/>
      <c r="D4512" s="292"/>
      <c r="F4512" s="283" t="s">
        <v>138</v>
      </c>
      <c r="G4512" s="283"/>
      <c r="J4512" s="293">
        <v>1</v>
      </c>
      <c r="K4512" s="293"/>
      <c r="L4512" s="293"/>
      <c r="M4512" s="293"/>
      <c r="N4512" s="293"/>
      <c r="P4512" s="42">
        <v>800</v>
      </c>
      <c r="R4512" s="42">
        <v>450</v>
      </c>
      <c r="T4512" s="284">
        <v>350</v>
      </c>
      <c r="U4512" s="284"/>
    </row>
    <row r="4513" spans="2:21" x14ac:dyDescent="0.25">
      <c r="B4513" s="292">
        <v>43</v>
      </c>
      <c r="C4513" s="292"/>
      <c r="D4513" s="292"/>
      <c r="F4513" s="283" t="s">
        <v>137</v>
      </c>
      <c r="G4513" s="283"/>
      <c r="J4513" s="293">
        <v>1</v>
      </c>
      <c r="K4513" s="293"/>
      <c r="L4513" s="293"/>
      <c r="M4513" s="293"/>
      <c r="N4513" s="293"/>
      <c r="P4513" s="42">
        <v>800</v>
      </c>
      <c r="R4513" s="42">
        <v>450</v>
      </c>
      <c r="T4513" s="284">
        <v>350</v>
      </c>
      <c r="U4513" s="284"/>
    </row>
    <row r="4514" spans="2:21" x14ac:dyDescent="0.25">
      <c r="B4514" s="292">
        <v>44</v>
      </c>
      <c r="C4514" s="292"/>
      <c r="D4514" s="292"/>
      <c r="F4514" s="283" t="s">
        <v>136</v>
      </c>
      <c r="G4514" s="283"/>
      <c r="J4514" s="293">
        <v>38</v>
      </c>
      <c r="K4514" s="293"/>
      <c r="L4514" s="293"/>
      <c r="M4514" s="293"/>
      <c r="N4514" s="293"/>
      <c r="P4514" s="42">
        <v>32300</v>
      </c>
      <c r="R4514" s="42">
        <v>8710</v>
      </c>
      <c r="T4514" s="284">
        <v>23590</v>
      </c>
      <c r="U4514" s="284"/>
    </row>
    <row r="4515" spans="2:21" x14ac:dyDescent="0.25">
      <c r="B4515" s="292">
        <v>45</v>
      </c>
      <c r="C4515" s="292"/>
      <c r="D4515" s="292"/>
      <c r="F4515" s="283" t="s">
        <v>74</v>
      </c>
      <c r="G4515" s="283"/>
      <c r="J4515" s="293">
        <v>17</v>
      </c>
      <c r="K4515" s="293"/>
      <c r="L4515" s="293"/>
      <c r="M4515" s="293"/>
      <c r="N4515" s="293"/>
      <c r="P4515" s="42">
        <v>14450</v>
      </c>
      <c r="R4515" s="42">
        <v>14450</v>
      </c>
      <c r="T4515" s="284">
        <v>0</v>
      </c>
      <c r="U4515" s="284"/>
    </row>
    <row r="4516" spans="2:21" x14ac:dyDescent="0.25">
      <c r="B4516" s="292">
        <v>46</v>
      </c>
      <c r="C4516" s="292"/>
      <c r="D4516" s="292"/>
      <c r="F4516" s="283" t="s">
        <v>134</v>
      </c>
      <c r="G4516" s="283"/>
      <c r="J4516" s="293">
        <v>2</v>
      </c>
      <c r="K4516" s="293"/>
      <c r="L4516" s="293"/>
      <c r="M4516" s="293"/>
      <c r="N4516" s="293"/>
      <c r="P4516" s="42">
        <v>7400</v>
      </c>
      <c r="R4516" s="42">
        <v>800</v>
      </c>
      <c r="T4516" s="284">
        <v>6600</v>
      </c>
      <c r="U4516" s="284"/>
    </row>
    <row r="4517" spans="2:21" x14ac:dyDescent="0.25">
      <c r="B4517" s="292">
        <v>47</v>
      </c>
      <c r="C4517" s="292"/>
      <c r="D4517" s="292"/>
      <c r="F4517" s="283" t="s">
        <v>285</v>
      </c>
      <c r="G4517" s="283"/>
      <c r="J4517" s="293">
        <v>1</v>
      </c>
      <c r="K4517" s="293"/>
      <c r="L4517" s="293"/>
      <c r="M4517" s="293"/>
      <c r="N4517" s="293"/>
      <c r="P4517" s="42">
        <v>3700</v>
      </c>
      <c r="R4517" s="42">
        <v>1850</v>
      </c>
      <c r="T4517" s="284">
        <v>1850</v>
      </c>
      <c r="U4517" s="284"/>
    </row>
    <row r="4518" spans="2:21" x14ac:dyDescent="0.25">
      <c r="B4518" s="292">
        <v>48</v>
      </c>
      <c r="C4518" s="292"/>
      <c r="D4518" s="292"/>
      <c r="F4518" s="283" t="s">
        <v>229</v>
      </c>
      <c r="G4518" s="283"/>
      <c r="J4518" s="293">
        <v>1</v>
      </c>
      <c r="K4518" s="293"/>
      <c r="L4518" s="293"/>
      <c r="M4518" s="293"/>
      <c r="N4518" s="293"/>
      <c r="P4518" s="42">
        <v>7000</v>
      </c>
      <c r="R4518" s="42">
        <v>3100</v>
      </c>
      <c r="T4518" s="284">
        <v>3900</v>
      </c>
      <c r="U4518" s="284"/>
    </row>
    <row r="4519" spans="2:21" x14ac:dyDescent="0.25">
      <c r="B4519" s="292">
        <v>49</v>
      </c>
      <c r="C4519" s="292"/>
      <c r="D4519" s="292"/>
      <c r="F4519" s="283" t="s">
        <v>132</v>
      </c>
      <c r="G4519" s="283"/>
      <c r="J4519" s="293">
        <v>1</v>
      </c>
      <c r="K4519" s="293"/>
      <c r="L4519" s="293"/>
      <c r="M4519" s="293"/>
      <c r="N4519" s="293"/>
      <c r="P4519" s="42">
        <v>1240</v>
      </c>
      <c r="R4519" s="42">
        <v>370</v>
      </c>
      <c r="T4519" s="284">
        <v>870</v>
      </c>
      <c r="U4519" s="284"/>
    </row>
    <row r="4520" spans="2:21" x14ac:dyDescent="0.25">
      <c r="B4520" s="292">
        <v>50</v>
      </c>
      <c r="C4520" s="292"/>
      <c r="D4520" s="292"/>
      <c r="F4520" s="283" t="s">
        <v>131</v>
      </c>
      <c r="G4520" s="283"/>
      <c r="J4520" s="293">
        <v>9</v>
      </c>
      <c r="K4520" s="293"/>
      <c r="L4520" s="293"/>
      <c r="M4520" s="293"/>
      <c r="N4520" s="293"/>
      <c r="P4520" s="42">
        <v>33300</v>
      </c>
      <c r="R4520" s="42">
        <v>5600</v>
      </c>
      <c r="T4520" s="284">
        <v>27700</v>
      </c>
      <c r="U4520" s="284"/>
    </row>
    <row r="4521" spans="2:21" x14ac:dyDescent="0.25">
      <c r="B4521" s="292">
        <v>51</v>
      </c>
      <c r="C4521" s="292"/>
      <c r="D4521" s="292"/>
      <c r="F4521" s="285" t="s">
        <v>284</v>
      </c>
      <c r="G4521" s="285"/>
      <c r="J4521" s="293">
        <v>7</v>
      </c>
      <c r="K4521" s="293"/>
      <c r="L4521" s="293"/>
      <c r="M4521" s="293"/>
      <c r="N4521" s="293"/>
      <c r="P4521" s="42">
        <v>25900</v>
      </c>
      <c r="R4521" s="42">
        <v>12950</v>
      </c>
      <c r="T4521" s="284">
        <v>12950</v>
      </c>
      <c r="U4521" s="284"/>
    </row>
    <row r="4522" spans="2:21" x14ac:dyDescent="0.25">
      <c r="F4522" s="285"/>
      <c r="G4522" s="285"/>
    </row>
    <row r="4523" spans="2:21" x14ac:dyDescent="0.25">
      <c r="B4523" s="292">
        <v>52</v>
      </c>
      <c r="C4523" s="292"/>
      <c r="D4523" s="292"/>
      <c r="F4523" s="283" t="s">
        <v>283</v>
      </c>
      <c r="G4523" s="283"/>
      <c r="J4523" s="293">
        <v>2</v>
      </c>
      <c r="K4523" s="293"/>
      <c r="L4523" s="293"/>
      <c r="M4523" s="293"/>
      <c r="N4523" s="293"/>
      <c r="P4523" s="42">
        <v>1600</v>
      </c>
      <c r="R4523" s="42">
        <v>900</v>
      </c>
      <c r="T4523" s="284">
        <v>700</v>
      </c>
      <c r="U4523" s="284"/>
    </row>
    <row r="4524" spans="2:21" x14ac:dyDescent="0.25">
      <c r="B4524" s="292">
        <v>53</v>
      </c>
      <c r="C4524" s="292"/>
      <c r="D4524" s="292"/>
      <c r="F4524" s="283" t="s">
        <v>127</v>
      </c>
      <c r="G4524" s="283"/>
      <c r="J4524" s="293">
        <v>101</v>
      </c>
      <c r="K4524" s="293"/>
      <c r="L4524" s="293"/>
      <c r="M4524" s="293"/>
      <c r="N4524" s="293"/>
      <c r="P4524" s="42">
        <v>30300</v>
      </c>
      <c r="R4524" s="42">
        <v>9000</v>
      </c>
      <c r="T4524" s="284">
        <v>21300</v>
      </c>
      <c r="U4524" s="284"/>
    </row>
    <row r="4525" spans="2:21" x14ac:dyDescent="0.25">
      <c r="B4525" s="292">
        <v>54</v>
      </c>
      <c r="C4525" s="292"/>
      <c r="D4525" s="292"/>
      <c r="F4525" s="283" t="s">
        <v>126</v>
      </c>
      <c r="G4525" s="283"/>
      <c r="J4525" s="293">
        <v>101</v>
      </c>
      <c r="K4525" s="293"/>
      <c r="L4525" s="293"/>
      <c r="M4525" s="293"/>
      <c r="N4525" s="293"/>
      <c r="P4525" s="42">
        <v>20200</v>
      </c>
      <c r="R4525" s="42">
        <v>6000</v>
      </c>
      <c r="T4525" s="284">
        <v>14200</v>
      </c>
      <c r="U4525" s="284"/>
    </row>
    <row r="4526" spans="2:21" x14ac:dyDescent="0.25">
      <c r="B4526" s="292">
        <v>55</v>
      </c>
      <c r="C4526" s="292"/>
      <c r="D4526" s="292"/>
      <c r="F4526" s="283" t="s">
        <v>227</v>
      </c>
      <c r="G4526" s="283"/>
      <c r="J4526" s="293">
        <v>3</v>
      </c>
      <c r="K4526" s="293"/>
      <c r="L4526" s="293"/>
      <c r="M4526" s="293"/>
      <c r="N4526" s="293"/>
      <c r="P4526" s="42">
        <v>1500</v>
      </c>
      <c r="R4526" s="42">
        <v>450</v>
      </c>
      <c r="T4526" s="284">
        <v>1050</v>
      </c>
      <c r="U4526" s="284"/>
    </row>
    <row r="4527" spans="2:21" x14ac:dyDescent="0.25">
      <c r="B4527" s="292">
        <v>56</v>
      </c>
      <c r="C4527" s="292"/>
      <c r="D4527" s="292"/>
      <c r="F4527" s="283" t="s">
        <v>122</v>
      </c>
      <c r="G4527" s="283"/>
      <c r="J4527" s="293">
        <v>3</v>
      </c>
      <c r="K4527" s="293"/>
      <c r="L4527" s="293"/>
      <c r="M4527" s="293"/>
      <c r="N4527" s="293"/>
      <c r="P4527" s="42">
        <v>1900</v>
      </c>
      <c r="R4527" s="42">
        <v>570</v>
      </c>
      <c r="T4527" s="284">
        <v>1330</v>
      </c>
      <c r="U4527" s="284"/>
    </row>
    <row r="4528" spans="2:21" x14ac:dyDescent="0.25">
      <c r="B4528" s="292">
        <v>57</v>
      </c>
      <c r="C4528" s="292"/>
      <c r="D4528" s="292"/>
      <c r="F4528" s="283" t="s">
        <v>121</v>
      </c>
      <c r="G4528" s="283"/>
      <c r="J4528" s="293">
        <v>1</v>
      </c>
      <c r="K4528" s="293"/>
      <c r="L4528" s="293"/>
      <c r="M4528" s="293"/>
      <c r="N4528" s="293"/>
      <c r="P4528" s="42">
        <v>500</v>
      </c>
      <c r="R4528" s="42">
        <v>150</v>
      </c>
      <c r="T4528" s="284">
        <v>350</v>
      </c>
      <c r="U4528" s="284"/>
    </row>
    <row r="4529" spans="2:21" x14ac:dyDescent="0.25">
      <c r="B4529" s="292">
        <v>58</v>
      </c>
      <c r="C4529" s="292"/>
      <c r="D4529" s="292"/>
      <c r="F4529" s="283" t="s">
        <v>282</v>
      </c>
      <c r="G4529" s="283"/>
      <c r="J4529" s="293">
        <v>1</v>
      </c>
      <c r="K4529" s="293"/>
      <c r="L4529" s="293"/>
      <c r="M4529" s="293"/>
      <c r="N4529" s="293"/>
      <c r="P4529" s="42">
        <v>500</v>
      </c>
      <c r="R4529" s="42">
        <v>150</v>
      </c>
      <c r="T4529" s="284">
        <v>350</v>
      </c>
      <c r="U4529" s="284"/>
    </row>
    <row r="4530" spans="2:21" x14ac:dyDescent="0.25">
      <c r="B4530" s="292">
        <v>59</v>
      </c>
      <c r="C4530" s="292"/>
      <c r="D4530" s="292"/>
      <c r="F4530" s="283" t="s">
        <v>182</v>
      </c>
      <c r="G4530" s="283"/>
      <c r="J4530" s="293">
        <v>3</v>
      </c>
      <c r="K4530" s="293"/>
      <c r="L4530" s="293"/>
      <c r="M4530" s="293"/>
      <c r="N4530" s="293"/>
      <c r="P4530" s="42">
        <v>2370</v>
      </c>
      <c r="R4530" s="42">
        <v>360</v>
      </c>
      <c r="T4530" s="284">
        <v>2010</v>
      </c>
      <c r="U4530" s="284"/>
    </row>
    <row r="4531" spans="2:21" x14ac:dyDescent="0.25">
      <c r="B4531" s="292">
        <v>60</v>
      </c>
      <c r="C4531" s="292"/>
      <c r="D4531" s="292"/>
      <c r="F4531" s="283" t="s">
        <v>119</v>
      </c>
      <c r="G4531" s="283"/>
      <c r="J4531" s="293">
        <v>20</v>
      </c>
      <c r="K4531" s="293"/>
      <c r="L4531" s="293"/>
      <c r="M4531" s="293"/>
      <c r="N4531" s="293"/>
      <c r="P4531" s="42">
        <v>17800</v>
      </c>
      <c r="R4531" s="42">
        <v>5640</v>
      </c>
      <c r="T4531" s="284">
        <v>12160</v>
      </c>
      <c r="U4531" s="284"/>
    </row>
    <row r="4532" spans="2:21" x14ac:dyDescent="0.25">
      <c r="B4532" s="292">
        <v>61</v>
      </c>
      <c r="C4532" s="292"/>
      <c r="D4532" s="292"/>
      <c r="F4532" s="283" t="s">
        <v>118</v>
      </c>
      <c r="G4532" s="283"/>
      <c r="J4532" s="293">
        <v>462</v>
      </c>
      <c r="K4532" s="293"/>
      <c r="L4532" s="293"/>
      <c r="M4532" s="293"/>
      <c r="N4532" s="293"/>
      <c r="P4532" s="42">
        <v>457380</v>
      </c>
      <c r="R4532" s="42">
        <v>220735</v>
      </c>
      <c r="T4532" s="284">
        <v>236645</v>
      </c>
      <c r="U4532" s="284"/>
    </row>
    <row r="4533" spans="2:21" x14ac:dyDescent="0.25">
      <c r="B4533" s="292">
        <v>62</v>
      </c>
      <c r="C4533" s="292"/>
      <c r="D4533" s="292"/>
      <c r="F4533" s="283" t="s">
        <v>117</v>
      </c>
      <c r="G4533" s="283"/>
      <c r="J4533" s="293">
        <v>8</v>
      </c>
      <c r="K4533" s="293"/>
      <c r="L4533" s="293"/>
      <c r="M4533" s="293"/>
      <c r="N4533" s="293"/>
      <c r="P4533" s="42">
        <v>6500</v>
      </c>
      <c r="R4533" s="42">
        <v>1470</v>
      </c>
      <c r="T4533" s="284">
        <v>5030</v>
      </c>
      <c r="U4533" s="284"/>
    </row>
    <row r="4534" spans="2:21" x14ac:dyDescent="0.25">
      <c r="B4534" s="292">
        <v>63</v>
      </c>
      <c r="C4534" s="292"/>
      <c r="D4534" s="292"/>
      <c r="F4534" s="285" t="s">
        <v>116</v>
      </c>
      <c r="G4534" s="285"/>
      <c r="J4534" s="293">
        <v>1</v>
      </c>
      <c r="K4534" s="293"/>
      <c r="L4534" s="293"/>
      <c r="M4534" s="293"/>
      <c r="N4534" s="293"/>
      <c r="P4534" s="42">
        <v>800</v>
      </c>
      <c r="R4534" s="42">
        <v>200</v>
      </c>
      <c r="T4534" s="284">
        <v>600</v>
      </c>
      <c r="U4534" s="284"/>
    </row>
    <row r="4535" spans="2:21" x14ac:dyDescent="0.25">
      <c r="F4535" s="285"/>
      <c r="G4535" s="285"/>
    </row>
    <row r="4536" spans="2:21" x14ac:dyDescent="0.25">
      <c r="B4536" s="292">
        <v>64</v>
      </c>
      <c r="C4536" s="292"/>
      <c r="D4536" s="292"/>
      <c r="F4536" s="283" t="s">
        <v>281</v>
      </c>
      <c r="G4536" s="283"/>
      <c r="J4536" s="293">
        <v>1</v>
      </c>
      <c r="K4536" s="293"/>
      <c r="L4536" s="293"/>
      <c r="M4536" s="293"/>
      <c r="N4536" s="293"/>
      <c r="P4536" s="42">
        <v>700</v>
      </c>
      <c r="R4536" s="42">
        <v>350</v>
      </c>
      <c r="T4536" s="284">
        <v>350</v>
      </c>
      <c r="U4536" s="284"/>
    </row>
    <row r="4537" spans="2:21" x14ac:dyDescent="0.25">
      <c r="B4537" s="292">
        <v>65</v>
      </c>
      <c r="C4537" s="292"/>
      <c r="D4537" s="292"/>
      <c r="F4537" s="283" t="s">
        <v>280</v>
      </c>
      <c r="G4537" s="283"/>
      <c r="J4537" s="293">
        <v>2</v>
      </c>
      <c r="K4537" s="293"/>
      <c r="L4537" s="293"/>
      <c r="M4537" s="293"/>
      <c r="N4537" s="293"/>
      <c r="P4537" s="42">
        <v>1400</v>
      </c>
      <c r="R4537" s="42">
        <v>700</v>
      </c>
      <c r="T4537" s="284">
        <v>700</v>
      </c>
      <c r="U4537" s="284"/>
    </row>
    <row r="4538" spans="2:21" x14ac:dyDescent="0.25">
      <c r="B4538" s="292">
        <v>66</v>
      </c>
      <c r="C4538" s="292"/>
      <c r="D4538" s="292"/>
      <c r="F4538" s="283" t="s">
        <v>279</v>
      </c>
      <c r="G4538" s="283"/>
      <c r="J4538" s="293">
        <v>1</v>
      </c>
      <c r="K4538" s="293"/>
      <c r="L4538" s="293"/>
      <c r="M4538" s="293"/>
      <c r="N4538" s="293"/>
      <c r="P4538" s="42">
        <v>500</v>
      </c>
      <c r="R4538" s="42">
        <v>150</v>
      </c>
      <c r="T4538" s="284">
        <v>350</v>
      </c>
      <c r="U4538" s="284"/>
    </row>
    <row r="4539" spans="2:21" x14ac:dyDescent="0.25">
      <c r="B4539" s="292">
        <v>67</v>
      </c>
      <c r="C4539" s="292"/>
      <c r="D4539" s="292"/>
      <c r="F4539" s="283" t="s">
        <v>222</v>
      </c>
      <c r="G4539" s="283"/>
      <c r="J4539" s="293">
        <v>3</v>
      </c>
      <c r="K4539" s="293"/>
      <c r="L4539" s="293"/>
      <c r="M4539" s="293"/>
      <c r="N4539" s="293"/>
      <c r="P4539" s="42">
        <v>1500</v>
      </c>
      <c r="R4539" s="42">
        <v>450</v>
      </c>
      <c r="T4539" s="284">
        <v>1050</v>
      </c>
      <c r="U4539" s="284"/>
    </row>
    <row r="4540" spans="2:21" x14ac:dyDescent="0.25">
      <c r="B4540" s="292">
        <v>68</v>
      </c>
      <c r="C4540" s="292"/>
      <c r="D4540" s="292"/>
      <c r="F4540" s="283" t="s">
        <v>278</v>
      </c>
      <c r="G4540" s="283"/>
      <c r="J4540" s="293">
        <v>1</v>
      </c>
      <c r="K4540" s="293"/>
      <c r="L4540" s="293"/>
      <c r="M4540" s="293"/>
      <c r="N4540" s="293"/>
      <c r="P4540" s="42">
        <v>330</v>
      </c>
      <c r="R4540" s="42">
        <v>100</v>
      </c>
      <c r="T4540" s="284">
        <v>230</v>
      </c>
      <c r="U4540" s="284"/>
    </row>
    <row r="4541" spans="2:21" x14ac:dyDescent="0.25">
      <c r="B4541" s="292">
        <v>69</v>
      </c>
      <c r="C4541" s="292"/>
      <c r="D4541" s="292"/>
      <c r="F4541" s="283" t="s">
        <v>219</v>
      </c>
      <c r="G4541" s="283"/>
      <c r="J4541" s="293">
        <v>6</v>
      </c>
      <c r="K4541" s="293"/>
      <c r="L4541" s="293"/>
      <c r="M4541" s="293"/>
      <c r="N4541" s="293"/>
      <c r="P4541" s="42">
        <v>3000</v>
      </c>
      <c r="R4541" s="42">
        <v>900</v>
      </c>
      <c r="T4541" s="284">
        <v>2100</v>
      </c>
      <c r="U4541" s="284"/>
    </row>
    <row r="4542" spans="2:21" x14ac:dyDescent="0.25">
      <c r="B4542" s="292">
        <v>70</v>
      </c>
      <c r="C4542" s="292"/>
      <c r="D4542" s="292"/>
      <c r="F4542" s="283" t="s">
        <v>181</v>
      </c>
      <c r="G4542" s="283"/>
      <c r="J4542" s="293">
        <v>4</v>
      </c>
      <c r="K4542" s="293"/>
      <c r="L4542" s="293"/>
      <c r="M4542" s="293"/>
      <c r="N4542" s="293"/>
      <c r="P4542" s="42">
        <v>3160</v>
      </c>
      <c r="R4542" s="42">
        <v>480</v>
      </c>
      <c r="T4542" s="284">
        <v>2680</v>
      </c>
      <c r="U4542" s="284"/>
    </row>
    <row r="4543" spans="2:21" x14ac:dyDescent="0.25">
      <c r="B4543" s="292">
        <v>71</v>
      </c>
      <c r="C4543" s="292"/>
      <c r="D4543" s="292"/>
      <c r="F4543" s="283" t="s">
        <v>111</v>
      </c>
      <c r="G4543" s="283"/>
      <c r="J4543" s="293">
        <v>1</v>
      </c>
      <c r="K4543" s="293"/>
      <c r="L4543" s="293"/>
      <c r="M4543" s="293"/>
      <c r="N4543" s="293"/>
      <c r="P4543" s="42">
        <v>430</v>
      </c>
      <c r="R4543" s="42">
        <v>130</v>
      </c>
      <c r="T4543" s="284">
        <v>300</v>
      </c>
      <c r="U4543" s="284"/>
    </row>
    <row r="4544" spans="2:21" x14ac:dyDescent="0.25">
      <c r="B4544" s="292">
        <v>72</v>
      </c>
      <c r="C4544" s="292"/>
      <c r="D4544" s="292"/>
      <c r="F4544" s="283" t="s">
        <v>277</v>
      </c>
      <c r="G4544" s="283"/>
      <c r="J4544" s="293">
        <v>1</v>
      </c>
      <c r="K4544" s="293"/>
      <c r="L4544" s="293"/>
      <c r="M4544" s="293"/>
      <c r="N4544" s="293"/>
      <c r="P4544" s="42">
        <v>1570</v>
      </c>
      <c r="R4544" s="42">
        <v>0</v>
      </c>
      <c r="T4544" s="284">
        <v>1570</v>
      </c>
      <c r="U4544" s="284"/>
    </row>
    <row r="4545" spans="2:21" x14ac:dyDescent="0.25">
      <c r="B4545" s="292">
        <v>73</v>
      </c>
      <c r="C4545" s="292"/>
      <c r="D4545" s="292"/>
      <c r="F4545" s="283" t="s">
        <v>109</v>
      </c>
      <c r="G4545" s="283"/>
      <c r="J4545" s="293">
        <v>4</v>
      </c>
      <c r="K4545" s="293"/>
      <c r="L4545" s="293"/>
      <c r="M4545" s="293"/>
      <c r="N4545" s="293"/>
      <c r="P4545" s="42">
        <v>3120</v>
      </c>
      <c r="R4545" s="42">
        <v>920</v>
      </c>
      <c r="T4545" s="284">
        <v>2200</v>
      </c>
      <c r="U4545" s="284"/>
    </row>
    <row r="4546" spans="2:21" x14ac:dyDescent="0.25">
      <c r="B4546" s="292">
        <v>74</v>
      </c>
      <c r="C4546" s="292"/>
      <c r="D4546" s="292"/>
      <c r="F4546" s="283" t="s">
        <v>107</v>
      </c>
      <c r="G4546" s="283"/>
      <c r="J4546" s="293">
        <v>13</v>
      </c>
      <c r="K4546" s="293"/>
      <c r="L4546" s="293"/>
      <c r="M4546" s="293"/>
      <c r="N4546" s="293"/>
      <c r="P4546" s="42">
        <v>2210</v>
      </c>
      <c r="R4546" s="42">
        <v>650</v>
      </c>
      <c r="T4546" s="284">
        <v>1560</v>
      </c>
      <c r="U4546" s="284"/>
    </row>
    <row r="4547" spans="2:21" x14ac:dyDescent="0.25">
      <c r="B4547" s="292">
        <v>75</v>
      </c>
      <c r="C4547" s="292"/>
      <c r="D4547" s="292"/>
      <c r="F4547" s="283" t="s">
        <v>105</v>
      </c>
      <c r="G4547" s="283"/>
      <c r="J4547" s="293">
        <v>13</v>
      </c>
      <c r="K4547" s="293"/>
      <c r="L4547" s="293"/>
      <c r="M4547" s="293"/>
      <c r="N4547" s="293"/>
      <c r="P4547" s="42">
        <v>14950</v>
      </c>
      <c r="R4547" s="42">
        <v>0</v>
      </c>
      <c r="T4547" s="284">
        <v>14950</v>
      </c>
      <c r="U4547" s="284"/>
    </row>
    <row r="4548" spans="2:21" x14ac:dyDescent="0.25">
      <c r="B4548" s="292">
        <v>76</v>
      </c>
      <c r="C4548" s="292"/>
      <c r="D4548" s="292"/>
      <c r="F4548" s="283" t="s">
        <v>104</v>
      </c>
      <c r="G4548" s="283"/>
      <c r="J4548" s="293">
        <v>2</v>
      </c>
      <c r="K4548" s="293"/>
      <c r="L4548" s="293"/>
      <c r="M4548" s="293"/>
      <c r="N4548" s="293"/>
      <c r="P4548" s="42">
        <v>660</v>
      </c>
      <c r="R4548" s="42">
        <v>235</v>
      </c>
      <c r="T4548" s="284">
        <v>425</v>
      </c>
      <c r="U4548" s="284"/>
    </row>
    <row r="4549" spans="2:21" x14ac:dyDescent="0.25">
      <c r="B4549" s="292">
        <v>77</v>
      </c>
      <c r="C4549" s="292"/>
      <c r="D4549" s="292"/>
      <c r="F4549" s="283" t="s">
        <v>103</v>
      </c>
      <c r="G4549" s="283"/>
      <c r="J4549" s="293">
        <v>4</v>
      </c>
      <c r="K4549" s="293"/>
      <c r="L4549" s="293"/>
      <c r="M4549" s="293"/>
      <c r="N4549" s="293"/>
      <c r="P4549" s="42">
        <v>1320</v>
      </c>
      <c r="R4549" s="42">
        <v>560</v>
      </c>
      <c r="T4549" s="284">
        <v>760</v>
      </c>
      <c r="U4549" s="284"/>
    </row>
    <row r="4550" spans="2:21" x14ac:dyDescent="0.25">
      <c r="B4550" s="292">
        <v>78</v>
      </c>
      <c r="C4550" s="292"/>
      <c r="D4550" s="292"/>
      <c r="F4550" s="283" t="s">
        <v>213</v>
      </c>
      <c r="G4550" s="283"/>
      <c r="J4550" s="293">
        <v>1</v>
      </c>
      <c r="K4550" s="293"/>
      <c r="L4550" s="293"/>
      <c r="M4550" s="293"/>
      <c r="N4550" s="293"/>
      <c r="P4550" s="42">
        <v>700</v>
      </c>
      <c r="R4550" s="42">
        <v>350</v>
      </c>
      <c r="T4550" s="284">
        <v>350</v>
      </c>
      <c r="U4550" s="284"/>
    </row>
    <row r="4551" spans="2:21" x14ac:dyDescent="0.25">
      <c r="B4551" s="292">
        <v>79</v>
      </c>
      <c r="C4551" s="292"/>
      <c r="D4551" s="292"/>
      <c r="F4551" s="283" t="s">
        <v>276</v>
      </c>
      <c r="G4551" s="283"/>
      <c r="J4551" s="293">
        <v>2</v>
      </c>
      <c r="K4551" s="293"/>
      <c r="L4551" s="293"/>
      <c r="M4551" s="293"/>
      <c r="N4551" s="293"/>
      <c r="P4551" s="42">
        <v>1000</v>
      </c>
      <c r="R4551" s="42">
        <v>150</v>
      </c>
      <c r="T4551" s="284">
        <v>850</v>
      </c>
      <c r="U4551" s="284"/>
    </row>
    <row r="4552" spans="2:21" x14ac:dyDescent="0.25">
      <c r="B4552" s="292">
        <v>80</v>
      </c>
      <c r="C4552" s="292"/>
      <c r="D4552" s="292"/>
      <c r="F4552" s="283" t="s">
        <v>275</v>
      </c>
      <c r="G4552" s="283"/>
      <c r="J4552" s="293">
        <v>2</v>
      </c>
      <c r="K4552" s="293"/>
      <c r="L4552" s="293"/>
      <c r="M4552" s="293"/>
      <c r="N4552" s="293"/>
      <c r="P4552" s="42">
        <v>1400</v>
      </c>
      <c r="R4552" s="42">
        <v>560</v>
      </c>
      <c r="T4552" s="284">
        <v>840</v>
      </c>
      <c r="U4552" s="284"/>
    </row>
    <row r="4553" spans="2:21" x14ac:dyDescent="0.25">
      <c r="B4553" s="292">
        <v>81</v>
      </c>
      <c r="C4553" s="292"/>
      <c r="D4553" s="292"/>
      <c r="F4553" s="283" t="s">
        <v>210</v>
      </c>
      <c r="G4553" s="283"/>
      <c r="J4553" s="293">
        <v>1</v>
      </c>
      <c r="K4553" s="293"/>
      <c r="L4553" s="293"/>
      <c r="M4553" s="293"/>
      <c r="N4553" s="293"/>
      <c r="P4553" s="42">
        <v>390</v>
      </c>
      <c r="R4553" s="42">
        <v>120</v>
      </c>
      <c r="T4553" s="284">
        <v>270</v>
      </c>
      <c r="U4553" s="284"/>
    </row>
    <row r="4554" spans="2:21" x14ac:dyDescent="0.25">
      <c r="B4554" s="292">
        <v>82</v>
      </c>
      <c r="C4554" s="292"/>
      <c r="D4554" s="292"/>
      <c r="F4554" s="283" t="s">
        <v>102</v>
      </c>
      <c r="G4554" s="283"/>
      <c r="J4554" s="293">
        <v>7</v>
      </c>
      <c r="K4554" s="293"/>
      <c r="L4554" s="293"/>
      <c r="M4554" s="293"/>
      <c r="N4554" s="293"/>
      <c r="P4554" s="42">
        <v>6160</v>
      </c>
      <c r="R4554" s="42">
        <v>910</v>
      </c>
      <c r="T4554" s="284">
        <v>5250</v>
      </c>
      <c r="U4554" s="284"/>
    </row>
    <row r="4555" spans="2:21" x14ac:dyDescent="0.25">
      <c r="B4555" s="292">
        <v>83</v>
      </c>
      <c r="C4555" s="292"/>
      <c r="D4555" s="292"/>
      <c r="F4555" s="283" t="s">
        <v>100</v>
      </c>
      <c r="G4555" s="283"/>
      <c r="J4555" s="293">
        <v>2</v>
      </c>
      <c r="K4555" s="293"/>
      <c r="L4555" s="293"/>
      <c r="M4555" s="293"/>
      <c r="N4555" s="293"/>
      <c r="P4555" s="42">
        <v>360</v>
      </c>
      <c r="R4555" s="42">
        <v>100</v>
      </c>
      <c r="T4555" s="284">
        <v>260</v>
      </c>
      <c r="U4555" s="284"/>
    </row>
    <row r="4556" spans="2:21" x14ac:dyDescent="0.25">
      <c r="B4556" s="292">
        <v>84</v>
      </c>
      <c r="C4556" s="292"/>
      <c r="D4556" s="292"/>
      <c r="F4556" s="283" t="s">
        <v>274</v>
      </c>
      <c r="G4556" s="283"/>
      <c r="J4556" s="293">
        <v>1</v>
      </c>
      <c r="K4556" s="293"/>
      <c r="L4556" s="293"/>
      <c r="M4556" s="293"/>
      <c r="N4556" s="293"/>
      <c r="P4556" s="42">
        <v>180</v>
      </c>
      <c r="R4556" s="42">
        <v>50</v>
      </c>
      <c r="T4556" s="284">
        <v>130</v>
      </c>
      <c r="U4556" s="284"/>
    </row>
    <row r="4557" spans="2:21" x14ac:dyDescent="0.25">
      <c r="B4557" s="292">
        <v>85</v>
      </c>
      <c r="C4557" s="292"/>
      <c r="D4557" s="292"/>
      <c r="F4557" s="283" t="s">
        <v>98</v>
      </c>
      <c r="G4557" s="283"/>
      <c r="J4557" s="293">
        <v>4</v>
      </c>
      <c r="K4557" s="293"/>
      <c r="L4557" s="293"/>
      <c r="M4557" s="293"/>
      <c r="N4557" s="293"/>
      <c r="P4557" s="42">
        <v>2280</v>
      </c>
      <c r="R4557" s="42">
        <v>320</v>
      </c>
      <c r="T4557" s="284">
        <v>1960</v>
      </c>
      <c r="U4557" s="284"/>
    </row>
    <row r="4558" spans="2:21" x14ac:dyDescent="0.25">
      <c r="B4558" s="292">
        <v>86</v>
      </c>
      <c r="C4558" s="292"/>
      <c r="D4558" s="292"/>
      <c r="F4558" s="283" t="s">
        <v>176</v>
      </c>
      <c r="G4558" s="283"/>
      <c r="J4558" s="293">
        <v>1</v>
      </c>
      <c r="K4558" s="293"/>
      <c r="L4558" s="293"/>
      <c r="M4558" s="293"/>
      <c r="N4558" s="293"/>
      <c r="P4558" s="42">
        <v>1060</v>
      </c>
      <c r="R4558" s="42">
        <v>160</v>
      </c>
      <c r="T4558" s="284">
        <v>900</v>
      </c>
      <c r="U4558" s="284"/>
    </row>
    <row r="4559" spans="2:21" x14ac:dyDescent="0.25">
      <c r="B4559" s="292">
        <v>87</v>
      </c>
      <c r="C4559" s="292"/>
      <c r="D4559" s="292"/>
      <c r="F4559" s="283" t="s">
        <v>97</v>
      </c>
      <c r="G4559" s="283"/>
      <c r="J4559" s="293">
        <v>12</v>
      </c>
      <c r="K4559" s="293"/>
      <c r="L4559" s="293"/>
      <c r="M4559" s="293"/>
      <c r="N4559" s="293"/>
      <c r="P4559" s="42">
        <v>19080</v>
      </c>
      <c r="R4559" s="42">
        <v>2880</v>
      </c>
      <c r="T4559" s="284">
        <v>16200</v>
      </c>
      <c r="U4559" s="284"/>
    </row>
    <row r="4560" spans="2:21" x14ac:dyDescent="0.25">
      <c r="B4560" s="292">
        <v>88</v>
      </c>
      <c r="C4560" s="292"/>
      <c r="D4560" s="292"/>
      <c r="F4560" s="283" t="s">
        <v>93</v>
      </c>
      <c r="G4560" s="283"/>
      <c r="J4560" s="293">
        <v>14</v>
      </c>
      <c r="K4560" s="293"/>
      <c r="L4560" s="293"/>
      <c r="M4560" s="293"/>
      <c r="N4560" s="293"/>
      <c r="P4560" s="42">
        <v>8260</v>
      </c>
      <c r="R4560" s="42">
        <v>1260</v>
      </c>
      <c r="T4560" s="284">
        <v>7000</v>
      </c>
      <c r="U4560" s="284"/>
    </row>
    <row r="4561" spans="1:21" x14ac:dyDescent="0.25">
      <c r="B4561" s="292">
        <v>89</v>
      </c>
      <c r="C4561" s="292"/>
      <c r="D4561" s="292"/>
      <c r="F4561" s="283" t="s">
        <v>92</v>
      </c>
      <c r="G4561" s="283"/>
      <c r="J4561" s="293">
        <v>65</v>
      </c>
      <c r="K4561" s="293"/>
      <c r="L4561" s="293"/>
      <c r="M4561" s="293"/>
      <c r="N4561" s="293"/>
      <c r="P4561" s="42">
        <v>47080</v>
      </c>
      <c r="R4561" s="42">
        <v>13680</v>
      </c>
      <c r="T4561" s="284">
        <v>33400</v>
      </c>
      <c r="U4561" s="284"/>
    </row>
    <row r="4562" spans="1:21" x14ac:dyDescent="0.25">
      <c r="B4562" s="292">
        <v>90</v>
      </c>
      <c r="C4562" s="292"/>
      <c r="D4562" s="292"/>
      <c r="F4562" s="283" t="s">
        <v>91</v>
      </c>
      <c r="G4562" s="283"/>
      <c r="J4562" s="293">
        <v>415</v>
      </c>
      <c r="K4562" s="293"/>
      <c r="L4562" s="293"/>
      <c r="M4562" s="293"/>
      <c r="N4562" s="293"/>
      <c r="P4562" s="42">
        <v>103750</v>
      </c>
      <c r="R4562" s="42">
        <v>51609</v>
      </c>
      <c r="T4562" s="284">
        <v>52141</v>
      </c>
      <c r="U4562" s="284"/>
    </row>
    <row r="4563" spans="1:21" x14ac:dyDescent="0.25">
      <c r="B4563" s="292">
        <v>91</v>
      </c>
      <c r="C4563" s="292"/>
      <c r="D4563" s="292"/>
      <c r="F4563" s="283" t="s">
        <v>90</v>
      </c>
      <c r="G4563" s="283"/>
      <c r="J4563" s="293">
        <v>76</v>
      </c>
      <c r="K4563" s="293"/>
      <c r="L4563" s="293"/>
      <c r="M4563" s="293"/>
      <c r="N4563" s="293"/>
      <c r="P4563" s="42">
        <v>22040</v>
      </c>
      <c r="R4563" s="42">
        <v>6080</v>
      </c>
      <c r="T4563" s="284">
        <v>15960</v>
      </c>
      <c r="U4563" s="284"/>
    </row>
    <row r="4564" spans="1:21" x14ac:dyDescent="0.25">
      <c r="B4564" s="292">
        <v>92</v>
      </c>
      <c r="C4564" s="292"/>
      <c r="D4564" s="292"/>
      <c r="F4564" s="283" t="s">
        <v>89</v>
      </c>
      <c r="G4564" s="283"/>
      <c r="J4564" s="293">
        <v>2</v>
      </c>
      <c r="K4564" s="293"/>
      <c r="L4564" s="293"/>
      <c r="M4564" s="293"/>
      <c r="N4564" s="293"/>
      <c r="P4564" s="42">
        <v>1760</v>
      </c>
      <c r="R4564" s="42">
        <v>260</v>
      </c>
      <c r="T4564" s="284">
        <v>1500</v>
      </c>
      <c r="U4564" s="284"/>
    </row>
    <row r="4565" spans="1:21" x14ac:dyDescent="0.25">
      <c r="B4565" s="292">
        <v>93</v>
      </c>
      <c r="C4565" s="292"/>
      <c r="D4565" s="292"/>
      <c r="F4565" s="283" t="s">
        <v>88</v>
      </c>
      <c r="G4565" s="283"/>
      <c r="J4565" s="293">
        <v>25</v>
      </c>
      <c r="K4565" s="293"/>
      <c r="L4565" s="293"/>
      <c r="M4565" s="293"/>
      <c r="N4565" s="293"/>
      <c r="P4565" s="42">
        <v>4500</v>
      </c>
      <c r="R4565" s="42">
        <v>1400</v>
      </c>
      <c r="T4565" s="284">
        <v>3100</v>
      </c>
      <c r="U4565" s="284"/>
    </row>
    <row r="4566" spans="1:21" x14ac:dyDescent="0.25">
      <c r="B4566" s="292">
        <v>94</v>
      </c>
      <c r="C4566" s="292"/>
      <c r="D4566" s="292"/>
      <c r="F4566" s="283" t="s">
        <v>86</v>
      </c>
      <c r="G4566" s="283"/>
      <c r="J4566" s="293">
        <v>1</v>
      </c>
      <c r="K4566" s="293"/>
      <c r="L4566" s="293"/>
      <c r="M4566" s="293"/>
      <c r="N4566" s="293"/>
      <c r="P4566" s="42">
        <v>1140</v>
      </c>
      <c r="R4566" s="42">
        <v>170</v>
      </c>
      <c r="T4566" s="284">
        <v>970</v>
      </c>
      <c r="U4566" s="284"/>
    </row>
    <row r="4567" spans="1:21" x14ac:dyDescent="0.25">
      <c r="B4567" s="292">
        <v>95</v>
      </c>
      <c r="C4567" s="292"/>
      <c r="D4567" s="292"/>
      <c r="F4567" s="283" t="s">
        <v>85</v>
      </c>
      <c r="G4567" s="283"/>
      <c r="J4567" s="293">
        <v>5</v>
      </c>
      <c r="K4567" s="293"/>
      <c r="L4567" s="293"/>
      <c r="M4567" s="293"/>
      <c r="N4567" s="293"/>
      <c r="P4567" s="42">
        <v>10400</v>
      </c>
      <c r="R4567" s="42">
        <v>1550</v>
      </c>
      <c r="T4567" s="284">
        <v>8850</v>
      </c>
      <c r="U4567" s="284"/>
    </row>
    <row r="4568" spans="1:21" x14ac:dyDescent="0.25">
      <c r="B4568" s="292">
        <v>96</v>
      </c>
      <c r="C4568" s="292"/>
      <c r="D4568" s="292"/>
      <c r="F4568" s="283" t="s">
        <v>84</v>
      </c>
      <c r="G4568" s="283"/>
      <c r="J4568" s="293">
        <v>1</v>
      </c>
      <c r="K4568" s="293"/>
      <c r="L4568" s="293"/>
      <c r="M4568" s="293"/>
      <c r="N4568" s="293"/>
      <c r="P4568" s="42">
        <v>590</v>
      </c>
      <c r="R4568" s="42">
        <v>180</v>
      </c>
      <c r="T4568" s="284">
        <v>410</v>
      </c>
      <c r="U4568" s="284"/>
    </row>
    <row r="4569" spans="1:21" x14ac:dyDescent="0.25">
      <c r="B4569" s="292">
        <v>97</v>
      </c>
      <c r="C4569" s="292"/>
      <c r="D4569" s="292"/>
      <c r="F4569" s="283" t="s">
        <v>208</v>
      </c>
      <c r="G4569" s="283"/>
      <c r="J4569" s="293">
        <v>2</v>
      </c>
      <c r="K4569" s="293"/>
      <c r="L4569" s="293"/>
      <c r="M4569" s="293"/>
      <c r="N4569" s="293"/>
      <c r="P4569" s="42">
        <v>1000</v>
      </c>
      <c r="R4569" s="42">
        <v>300</v>
      </c>
      <c r="T4569" s="284">
        <v>700</v>
      </c>
      <c r="U4569" s="284"/>
    </row>
    <row r="4570" spans="1:21" x14ac:dyDescent="0.25">
      <c r="B4570" s="292">
        <v>98</v>
      </c>
      <c r="C4570" s="292"/>
      <c r="D4570" s="292"/>
      <c r="F4570" s="283" t="s">
        <v>273</v>
      </c>
      <c r="G4570" s="283"/>
      <c r="J4570" s="293">
        <v>2</v>
      </c>
      <c r="K4570" s="293"/>
      <c r="L4570" s="293"/>
      <c r="M4570" s="293"/>
      <c r="N4570" s="293"/>
      <c r="P4570" s="42">
        <v>1000</v>
      </c>
      <c r="R4570" s="42">
        <v>280</v>
      </c>
      <c r="T4570" s="284">
        <v>720</v>
      </c>
      <c r="U4570" s="284"/>
    </row>
    <row r="4571" spans="1:21" x14ac:dyDescent="0.25">
      <c r="B4571" s="292">
        <v>99</v>
      </c>
      <c r="C4571" s="292"/>
      <c r="D4571" s="292"/>
      <c r="F4571" s="283" t="s">
        <v>206</v>
      </c>
      <c r="G4571" s="283"/>
      <c r="J4571" s="293">
        <v>1</v>
      </c>
      <c r="K4571" s="293"/>
      <c r="L4571" s="293"/>
      <c r="M4571" s="293"/>
      <c r="N4571" s="293"/>
      <c r="P4571" s="42">
        <v>500</v>
      </c>
      <c r="R4571" s="42">
        <v>150</v>
      </c>
      <c r="T4571" s="284">
        <v>350</v>
      </c>
      <c r="U4571" s="284"/>
    </row>
    <row r="4572" spans="1:21" x14ac:dyDescent="0.25">
      <c r="B4572" s="292">
        <v>100</v>
      </c>
      <c r="C4572" s="292"/>
      <c r="D4572" s="292"/>
      <c r="F4572" s="283" t="s">
        <v>272</v>
      </c>
      <c r="G4572" s="283"/>
      <c r="J4572" s="293">
        <v>1</v>
      </c>
      <c r="K4572" s="293"/>
      <c r="L4572" s="293"/>
      <c r="M4572" s="293"/>
      <c r="N4572" s="293"/>
      <c r="P4572" s="42">
        <v>500</v>
      </c>
      <c r="R4572" s="42">
        <v>150</v>
      </c>
      <c r="T4572" s="284">
        <v>350</v>
      </c>
      <c r="U4572" s="284"/>
    </row>
    <row r="4573" spans="1:21" x14ac:dyDescent="0.25">
      <c r="B4573" s="292">
        <v>101</v>
      </c>
      <c r="C4573" s="292"/>
      <c r="D4573" s="292"/>
      <c r="F4573" s="283" t="s">
        <v>83</v>
      </c>
      <c r="G4573" s="283"/>
      <c r="J4573" s="293">
        <v>6</v>
      </c>
      <c r="K4573" s="293"/>
      <c r="L4573" s="293"/>
      <c r="M4573" s="293"/>
      <c r="N4573" s="293"/>
      <c r="P4573" s="42">
        <v>3000</v>
      </c>
      <c r="R4573" s="42">
        <v>900</v>
      </c>
      <c r="T4573" s="284">
        <v>2100</v>
      </c>
      <c r="U4573" s="284"/>
    </row>
    <row r="4574" spans="1:21" x14ac:dyDescent="0.25">
      <c r="B4574" s="292">
        <v>102</v>
      </c>
      <c r="C4574" s="292"/>
      <c r="D4574" s="292"/>
      <c r="F4574" s="283" t="s">
        <v>271</v>
      </c>
      <c r="G4574" s="283"/>
      <c r="J4574" s="293">
        <v>5</v>
      </c>
      <c r="K4574" s="293"/>
      <c r="L4574" s="293"/>
      <c r="M4574" s="293"/>
      <c r="N4574" s="293"/>
      <c r="P4574" s="42">
        <v>2500</v>
      </c>
      <c r="R4574" s="42">
        <v>750</v>
      </c>
      <c r="T4574" s="284">
        <v>1750</v>
      </c>
      <c r="U4574" s="284"/>
    </row>
    <row r="4575" spans="1:21" s="40" customFormat="1" x14ac:dyDescent="0.25">
      <c r="A4575" s="290" t="s">
        <v>270</v>
      </c>
      <c r="B4575" s="290"/>
      <c r="C4575" s="290"/>
      <c r="D4575" s="290"/>
      <c r="E4575" s="290"/>
      <c r="F4575" s="290"/>
      <c r="G4575" s="290"/>
      <c r="H4575" s="290"/>
      <c r="I4575" s="290"/>
      <c r="J4575" s="290"/>
      <c r="K4575" s="291">
        <v>4753</v>
      </c>
      <c r="L4575" s="291"/>
      <c r="M4575" s="291"/>
      <c r="N4575" s="291"/>
      <c r="O4575" s="291"/>
      <c r="P4575" s="41">
        <v>5121035</v>
      </c>
      <c r="R4575" s="41">
        <v>4308203</v>
      </c>
      <c r="T4575" s="287">
        <v>812832</v>
      </c>
      <c r="U4575" s="287"/>
    </row>
    <row r="4576" spans="1:21" x14ac:dyDescent="0.25">
      <c r="B4576" s="292">
        <v>1</v>
      </c>
      <c r="C4576" s="292"/>
      <c r="D4576" s="292"/>
      <c r="F4576" s="283" t="s">
        <v>269</v>
      </c>
      <c r="G4576" s="283"/>
      <c r="J4576" s="293">
        <v>1</v>
      </c>
      <c r="K4576" s="293"/>
      <c r="L4576" s="293"/>
      <c r="M4576" s="293"/>
      <c r="N4576" s="293"/>
      <c r="P4576" s="42">
        <v>920</v>
      </c>
      <c r="R4576" s="42">
        <v>140</v>
      </c>
      <c r="T4576" s="284">
        <v>780</v>
      </c>
      <c r="U4576" s="284"/>
    </row>
    <row r="4577" spans="2:21" x14ac:dyDescent="0.25">
      <c r="B4577" s="292">
        <v>2</v>
      </c>
      <c r="C4577" s="292"/>
      <c r="D4577" s="292"/>
      <c r="F4577" s="283" t="s">
        <v>168</v>
      </c>
      <c r="G4577" s="283"/>
      <c r="J4577" s="293">
        <v>1</v>
      </c>
      <c r="K4577" s="293"/>
      <c r="L4577" s="293"/>
      <c r="M4577" s="293"/>
      <c r="N4577" s="293"/>
      <c r="P4577" s="42">
        <v>2200</v>
      </c>
      <c r="R4577" s="42">
        <v>330</v>
      </c>
      <c r="T4577" s="284">
        <v>1870</v>
      </c>
      <c r="U4577" s="284"/>
    </row>
    <row r="4578" spans="2:21" x14ac:dyDescent="0.25">
      <c r="B4578" s="292">
        <v>3</v>
      </c>
      <c r="C4578" s="292"/>
      <c r="D4578" s="292"/>
      <c r="F4578" s="283" t="s">
        <v>78</v>
      </c>
      <c r="G4578" s="283"/>
      <c r="J4578" s="293">
        <v>241</v>
      </c>
      <c r="K4578" s="293"/>
      <c r="L4578" s="293"/>
      <c r="M4578" s="293"/>
      <c r="N4578" s="293"/>
      <c r="P4578" s="42">
        <v>69890</v>
      </c>
      <c r="R4578" s="42">
        <v>69890</v>
      </c>
      <c r="T4578" s="284">
        <v>0</v>
      </c>
      <c r="U4578" s="284"/>
    </row>
    <row r="4579" spans="2:21" x14ac:dyDescent="0.25">
      <c r="B4579" s="292">
        <v>4</v>
      </c>
      <c r="C4579" s="292"/>
      <c r="D4579" s="292"/>
      <c r="F4579" s="283" t="s">
        <v>268</v>
      </c>
      <c r="G4579" s="283"/>
      <c r="J4579" s="293">
        <v>3</v>
      </c>
      <c r="K4579" s="293"/>
      <c r="L4579" s="293"/>
      <c r="M4579" s="293"/>
      <c r="N4579" s="293"/>
      <c r="P4579" s="42">
        <v>750</v>
      </c>
      <c r="R4579" s="42">
        <v>210</v>
      </c>
      <c r="T4579" s="284">
        <v>540</v>
      </c>
      <c r="U4579" s="284"/>
    </row>
    <row r="4580" spans="2:21" x14ac:dyDescent="0.25">
      <c r="B4580" s="292">
        <v>5</v>
      </c>
      <c r="C4580" s="292"/>
      <c r="D4580" s="292"/>
      <c r="F4580" s="283" t="s">
        <v>165</v>
      </c>
      <c r="G4580" s="283"/>
      <c r="J4580" s="293">
        <v>6</v>
      </c>
      <c r="K4580" s="293"/>
      <c r="L4580" s="293"/>
      <c r="M4580" s="293"/>
      <c r="N4580" s="293"/>
      <c r="P4580" s="42">
        <v>3540</v>
      </c>
      <c r="R4580" s="42">
        <v>1080</v>
      </c>
      <c r="T4580" s="284">
        <v>2460</v>
      </c>
      <c r="U4580" s="284"/>
    </row>
    <row r="4581" spans="2:21" x14ac:dyDescent="0.25">
      <c r="B4581" s="292">
        <v>6</v>
      </c>
      <c r="C4581" s="292"/>
      <c r="D4581" s="292"/>
      <c r="F4581" s="283" t="s">
        <v>164</v>
      </c>
      <c r="G4581" s="283"/>
      <c r="J4581" s="293">
        <v>1</v>
      </c>
      <c r="K4581" s="293"/>
      <c r="L4581" s="293"/>
      <c r="M4581" s="293"/>
      <c r="N4581" s="293"/>
      <c r="P4581" s="42">
        <v>590</v>
      </c>
      <c r="R4581" s="42">
        <v>180</v>
      </c>
      <c r="T4581" s="284">
        <v>410</v>
      </c>
      <c r="U4581" s="284"/>
    </row>
    <row r="4582" spans="2:21" x14ac:dyDescent="0.25">
      <c r="B4582" s="292">
        <v>7</v>
      </c>
      <c r="C4582" s="292"/>
      <c r="D4582" s="292"/>
      <c r="F4582" s="283" t="s">
        <v>267</v>
      </c>
      <c r="G4582" s="283"/>
      <c r="J4582" s="293">
        <v>1</v>
      </c>
      <c r="K4582" s="293"/>
      <c r="L4582" s="293"/>
      <c r="M4582" s="293"/>
      <c r="N4582" s="293"/>
      <c r="P4582" s="42">
        <v>1430</v>
      </c>
      <c r="R4582" s="42">
        <v>215</v>
      </c>
      <c r="T4582" s="284">
        <v>1215</v>
      </c>
      <c r="U4582" s="284"/>
    </row>
    <row r="4583" spans="2:21" x14ac:dyDescent="0.25">
      <c r="B4583" s="292">
        <v>8</v>
      </c>
      <c r="C4583" s="292"/>
      <c r="D4583" s="292"/>
      <c r="F4583" s="283" t="s">
        <v>163</v>
      </c>
      <c r="G4583" s="283"/>
      <c r="J4583" s="293">
        <v>2</v>
      </c>
      <c r="K4583" s="293"/>
      <c r="L4583" s="293"/>
      <c r="M4583" s="293"/>
      <c r="N4583" s="293"/>
      <c r="P4583" s="42">
        <v>2380</v>
      </c>
      <c r="R4583" s="42">
        <v>360</v>
      </c>
      <c r="T4583" s="284">
        <v>2020</v>
      </c>
      <c r="U4583" s="284"/>
    </row>
    <row r="4584" spans="2:21" x14ac:dyDescent="0.25">
      <c r="B4584" s="292">
        <v>9</v>
      </c>
      <c r="C4584" s="292"/>
      <c r="D4584" s="292"/>
      <c r="F4584" s="283" t="s">
        <v>162</v>
      </c>
      <c r="G4584" s="283"/>
      <c r="J4584" s="293">
        <v>15</v>
      </c>
      <c r="K4584" s="293"/>
      <c r="L4584" s="293"/>
      <c r="M4584" s="293"/>
      <c r="N4584" s="293"/>
      <c r="P4584" s="42">
        <v>6450</v>
      </c>
      <c r="R4584" s="42">
        <v>2940</v>
      </c>
      <c r="T4584" s="284">
        <v>3510</v>
      </c>
      <c r="U4584" s="284"/>
    </row>
    <row r="4585" spans="2:21" x14ac:dyDescent="0.25">
      <c r="B4585" s="292">
        <v>10</v>
      </c>
      <c r="C4585" s="292"/>
      <c r="D4585" s="292"/>
      <c r="F4585" s="283" t="s">
        <v>160</v>
      </c>
      <c r="G4585" s="283"/>
      <c r="J4585" s="293">
        <v>11</v>
      </c>
      <c r="K4585" s="293"/>
      <c r="L4585" s="293"/>
      <c r="M4585" s="293"/>
      <c r="N4585" s="293"/>
      <c r="P4585" s="42">
        <v>3190</v>
      </c>
      <c r="R4585" s="42">
        <v>880</v>
      </c>
      <c r="T4585" s="284">
        <v>2310</v>
      </c>
      <c r="U4585" s="284"/>
    </row>
    <row r="4586" spans="2:21" x14ac:dyDescent="0.25">
      <c r="B4586" s="292">
        <v>11</v>
      </c>
      <c r="C4586" s="292"/>
      <c r="D4586" s="292"/>
      <c r="F4586" s="283" t="s">
        <v>159</v>
      </c>
      <c r="G4586" s="283"/>
      <c r="J4586" s="293">
        <v>243</v>
      </c>
      <c r="K4586" s="293"/>
      <c r="L4586" s="293"/>
      <c r="M4586" s="293"/>
      <c r="N4586" s="293"/>
      <c r="P4586" s="42">
        <v>0</v>
      </c>
      <c r="R4586" s="42">
        <v>0</v>
      </c>
      <c r="T4586" s="284">
        <v>0</v>
      </c>
      <c r="U4586" s="284"/>
    </row>
    <row r="4587" spans="2:21" x14ac:dyDescent="0.25">
      <c r="B4587" s="292">
        <v>12</v>
      </c>
      <c r="C4587" s="292"/>
      <c r="D4587" s="292"/>
      <c r="F4587" s="283" t="s">
        <v>266</v>
      </c>
      <c r="G4587" s="283"/>
      <c r="J4587" s="293">
        <v>1</v>
      </c>
      <c r="K4587" s="293"/>
      <c r="L4587" s="293"/>
      <c r="M4587" s="293"/>
      <c r="N4587" s="293"/>
      <c r="P4587" s="42">
        <v>1350</v>
      </c>
      <c r="R4587" s="42">
        <v>400</v>
      </c>
      <c r="T4587" s="284">
        <v>950</v>
      </c>
      <c r="U4587" s="284"/>
    </row>
    <row r="4588" spans="2:21" x14ac:dyDescent="0.25">
      <c r="B4588" s="292">
        <v>13</v>
      </c>
      <c r="C4588" s="292"/>
      <c r="D4588" s="292"/>
      <c r="F4588" s="283" t="s">
        <v>158</v>
      </c>
      <c r="G4588" s="283"/>
      <c r="J4588" s="293">
        <v>575</v>
      </c>
      <c r="K4588" s="293"/>
      <c r="L4588" s="293"/>
      <c r="M4588" s="293"/>
      <c r="N4588" s="293"/>
      <c r="P4588" s="42">
        <v>316250</v>
      </c>
      <c r="R4588" s="42">
        <v>97290</v>
      </c>
      <c r="T4588" s="284">
        <v>218960</v>
      </c>
      <c r="U4588" s="284"/>
    </row>
    <row r="4589" spans="2:21" x14ac:dyDescent="0.25">
      <c r="B4589" s="292">
        <v>14</v>
      </c>
      <c r="C4589" s="292"/>
      <c r="D4589" s="292"/>
      <c r="F4589" s="283" t="s">
        <v>157</v>
      </c>
      <c r="G4589" s="283"/>
      <c r="J4589" s="293">
        <v>74</v>
      </c>
      <c r="K4589" s="293"/>
      <c r="L4589" s="293"/>
      <c r="M4589" s="293"/>
      <c r="N4589" s="293"/>
      <c r="P4589" s="42">
        <v>36320</v>
      </c>
      <c r="R4589" s="42">
        <v>15310</v>
      </c>
      <c r="T4589" s="284">
        <v>21010</v>
      </c>
      <c r="U4589" s="284"/>
    </row>
    <row r="4590" spans="2:21" x14ac:dyDescent="0.25">
      <c r="B4590" s="292">
        <v>15</v>
      </c>
      <c r="C4590" s="292"/>
      <c r="D4590" s="292"/>
      <c r="F4590" s="283" t="s">
        <v>196</v>
      </c>
      <c r="G4590" s="283"/>
      <c r="J4590" s="293">
        <v>1</v>
      </c>
      <c r="K4590" s="293"/>
      <c r="L4590" s="293"/>
      <c r="M4590" s="293"/>
      <c r="N4590" s="293"/>
      <c r="P4590" s="42">
        <v>700</v>
      </c>
      <c r="R4590" s="42">
        <v>350</v>
      </c>
      <c r="T4590" s="284">
        <v>350</v>
      </c>
      <c r="U4590" s="284"/>
    </row>
    <row r="4591" spans="2:21" x14ac:dyDescent="0.25">
      <c r="B4591" s="292">
        <v>16</v>
      </c>
      <c r="C4591" s="292"/>
      <c r="D4591" s="292"/>
      <c r="F4591" s="283" t="s">
        <v>77</v>
      </c>
      <c r="G4591" s="283"/>
      <c r="J4591" s="293">
        <v>265</v>
      </c>
      <c r="K4591" s="293"/>
      <c r="L4591" s="293"/>
      <c r="M4591" s="293"/>
      <c r="N4591" s="293"/>
      <c r="P4591" s="42">
        <v>107600</v>
      </c>
      <c r="R4591" s="42">
        <v>107600</v>
      </c>
      <c r="T4591" s="284">
        <v>0</v>
      </c>
      <c r="U4591" s="284"/>
    </row>
    <row r="4592" spans="2:21" x14ac:dyDescent="0.25">
      <c r="B4592" s="292">
        <v>17</v>
      </c>
      <c r="C4592" s="292"/>
      <c r="D4592" s="292"/>
      <c r="F4592" s="283" t="s">
        <v>242</v>
      </c>
      <c r="G4592" s="283"/>
      <c r="J4592" s="293">
        <v>75</v>
      </c>
      <c r="K4592" s="293"/>
      <c r="L4592" s="293"/>
      <c r="M4592" s="293"/>
      <c r="N4592" s="293"/>
      <c r="P4592" s="42">
        <v>37500</v>
      </c>
      <c r="R4592" s="42">
        <v>37500</v>
      </c>
      <c r="T4592" s="284">
        <v>0</v>
      </c>
      <c r="U4592" s="284"/>
    </row>
    <row r="4593" spans="2:21" x14ac:dyDescent="0.25">
      <c r="B4593" s="292">
        <v>18</v>
      </c>
      <c r="C4593" s="292"/>
      <c r="D4593" s="292"/>
      <c r="F4593" s="283" t="s">
        <v>76</v>
      </c>
      <c r="G4593" s="283"/>
      <c r="J4593" s="293">
        <v>6</v>
      </c>
      <c r="K4593" s="293"/>
      <c r="L4593" s="293"/>
      <c r="M4593" s="293"/>
      <c r="N4593" s="293"/>
      <c r="P4593" s="42">
        <v>3600</v>
      </c>
      <c r="R4593" s="42">
        <v>3600</v>
      </c>
      <c r="T4593" s="284">
        <v>0</v>
      </c>
      <c r="U4593" s="284"/>
    </row>
    <row r="4594" spans="2:21" x14ac:dyDescent="0.25">
      <c r="B4594" s="292">
        <v>19</v>
      </c>
      <c r="C4594" s="292"/>
      <c r="D4594" s="292"/>
      <c r="F4594" s="283" t="s">
        <v>156</v>
      </c>
      <c r="G4594" s="283"/>
      <c r="J4594" s="293">
        <v>14</v>
      </c>
      <c r="K4594" s="293"/>
      <c r="L4594" s="293"/>
      <c r="M4594" s="293"/>
      <c r="N4594" s="293"/>
      <c r="P4594" s="42">
        <v>2660</v>
      </c>
      <c r="R4594" s="42">
        <v>1040</v>
      </c>
      <c r="T4594" s="284">
        <v>1620</v>
      </c>
      <c r="U4594" s="284"/>
    </row>
    <row r="4595" spans="2:21" x14ac:dyDescent="0.25">
      <c r="B4595" s="292">
        <v>20</v>
      </c>
      <c r="C4595" s="292"/>
      <c r="D4595" s="292"/>
      <c r="F4595" s="283" t="s">
        <v>155</v>
      </c>
      <c r="G4595" s="283"/>
      <c r="J4595" s="293">
        <v>106</v>
      </c>
      <c r="K4595" s="293"/>
      <c r="L4595" s="293"/>
      <c r="M4595" s="293"/>
      <c r="N4595" s="293"/>
      <c r="P4595" s="42">
        <v>26500</v>
      </c>
      <c r="R4595" s="42">
        <v>9140</v>
      </c>
      <c r="T4595" s="284">
        <v>17360</v>
      </c>
      <c r="U4595" s="284"/>
    </row>
    <row r="4596" spans="2:21" x14ac:dyDescent="0.25">
      <c r="B4596" s="292">
        <v>21</v>
      </c>
      <c r="C4596" s="292"/>
      <c r="D4596" s="292"/>
      <c r="F4596" s="283" t="s">
        <v>154</v>
      </c>
      <c r="G4596" s="283"/>
      <c r="J4596" s="293">
        <v>9</v>
      </c>
      <c r="K4596" s="293"/>
      <c r="L4596" s="293"/>
      <c r="M4596" s="293"/>
      <c r="N4596" s="293"/>
      <c r="P4596" s="42">
        <v>8010</v>
      </c>
      <c r="R4596" s="42">
        <v>1170</v>
      </c>
      <c r="T4596" s="284">
        <v>6840</v>
      </c>
      <c r="U4596" s="284"/>
    </row>
    <row r="4597" spans="2:21" x14ac:dyDescent="0.25">
      <c r="B4597" s="292">
        <v>22</v>
      </c>
      <c r="C4597" s="292"/>
      <c r="D4597" s="292"/>
      <c r="F4597" s="283" t="s">
        <v>153</v>
      </c>
      <c r="G4597" s="283"/>
      <c r="J4597" s="293">
        <v>3</v>
      </c>
      <c r="K4597" s="293"/>
      <c r="L4597" s="293"/>
      <c r="M4597" s="293"/>
      <c r="N4597" s="293"/>
      <c r="P4597" s="42">
        <v>3540</v>
      </c>
      <c r="R4597" s="42">
        <v>540</v>
      </c>
      <c r="T4597" s="284">
        <v>3000</v>
      </c>
      <c r="U4597" s="284"/>
    </row>
    <row r="4598" spans="2:21" x14ac:dyDescent="0.25">
      <c r="B4598" s="292">
        <v>23</v>
      </c>
      <c r="C4598" s="292"/>
      <c r="D4598" s="292"/>
      <c r="F4598" s="283" t="s">
        <v>265</v>
      </c>
      <c r="G4598" s="283"/>
      <c r="J4598" s="293">
        <v>1</v>
      </c>
      <c r="K4598" s="293"/>
      <c r="L4598" s="293"/>
      <c r="M4598" s="293"/>
      <c r="N4598" s="293"/>
      <c r="P4598" s="42">
        <v>300</v>
      </c>
      <c r="R4598" s="42">
        <v>0</v>
      </c>
      <c r="T4598" s="284">
        <v>300</v>
      </c>
      <c r="U4598" s="284"/>
    </row>
    <row r="4599" spans="2:21" x14ac:dyDescent="0.25">
      <c r="B4599" s="292">
        <v>24</v>
      </c>
      <c r="C4599" s="292"/>
      <c r="D4599" s="292"/>
      <c r="F4599" s="283" t="s">
        <v>152</v>
      </c>
      <c r="G4599" s="283"/>
      <c r="J4599" s="293">
        <v>32</v>
      </c>
      <c r="K4599" s="293"/>
      <c r="L4599" s="293"/>
      <c r="M4599" s="293"/>
      <c r="N4599" s="293"/>
      <c r="P4599" s="42">
        <v>18880</v>
      </c>
      <c r="R4599" s="42">
        <v>5820</v>
      </c>
      <c r="T4599" s="284">
        <v>13060</v>
      </c>
      <c r="U4599" s="284"/>
    </row>
    <row r="4600" spans="2:21" x14ac:dyDescent="0.25">
      <c r="B4600" s="292">
        <v>25</v>
      </c>
      <c r="C4600" s="292"/>
      <c r="D4600" s="292"/>
      <c r="F4600" s="283" t="s">
        <v>151</v>
      </c>
      <c r="G4600" s="283"/>
      <c r="J4600" s="293">
        <v>59</v>
      </c>
      <c r="K4600" s="293"/>
      <c r="L4600" s="293"/>
      <c r="M4600" s="293"/>
      <c r="N4600" s="293"/>
      <c r="P4600" s="42">
        <v>13570</v>
      </c>
      <c r="R4600" s="42">
        <v>4380</v>
      </c>
      <c r="T4600" s="284">
        <v>9190</v>
      </c>
      <c r="U4600" s="284"/>
    </row>
    <row r="4601" spans="2:21" x14ac:dyDescent="0.25">
      <c r="B4601" s="292">
        <v>26</v>
      </c>
      <c r="C4601" s="292"/>
      <c r="D4601" s="292"/>
      <c r="F4601" s="283" t="s">
        <v>150</v>
      </c>
      <c r="G4601" s="283"/>
      <c r="J4601" s="293">
        <v>64</v>
      </c>
      <c r="K4601" s="293"/>
      <c r="L4601" s="293"/>
      <c r="M4601" s="293"/>
      <c r="N4601" s="293"/>
      <c r="P4601" s="42">
        <v>10880</v>
      </c>
      <c r="R4601" s="42">
        <v>3270</v>
      </c>
      <c r="T4601" s="284">
        <v>7610</v>
      </c>
      <c r="U4601" s="284"/>
    </row>
    <row r="4602" spans="2:21" x14ac:dyDescent="0.25">
      <c r="B4602" s="292">
        <v>27</v>
      </c>
      <c r="C4602" s="292"/>
      <c r="D4602" s="292"/>
      <c r="F4602" s="283" t="s">
        <v>149</v>
      </c>
      <c r="G4602" s="283"/>
      <c r="J4602" s="293">
        <v>1</v>
      </c>
      <c r="K4602" s="293"/>
      <c r="L4602" s="293"/>
      <c r="M4602" s="293"/>
      <c r="N4602" s="293"/>
      <c r="P4602" s="42">
        <v>50</v>
      </c>
      <c r="R4602" s="42">
        <v>0</v>
      </c>
      <c r="T4602" s="284">
        <v>50</v>
      </c>
      <c r="U4602" s="284"/>
    </row>
    <row r="4603" spans="2:21" x14ac:dyDescent="0.25">
      <c r="B4603" s="292">
        <v>28</v>
      </c>
      <c r="C4603" s="292"/>
      <c r="D4603" s="292"/>
      <c r="F4603" s="283" t="s">
        <v>148</v>
      </c>
      <c r="G4603" s="283"/>
      <c r="J4603" s="293">
        <v>1</v>
      </c>
      <c r="K4603" s="293"/>
      <c r="L4603" s="293"/>
      <c r="M4603" s="293"/>
      <c r="N4603" s="293"/>
      <c r="P4603" s="42">
        <v>980</v>
      </c>
      <c r="R4603" s="42">
        <v>150</v>
      </c>
      <c r="T4603" s="284">
        <v>830</v>
      </c>
      <c r="U4603" s="284"/>
    </row>
    <row r="4604" spans="2:21" x14ac:dyDescent="0.25">
      <c r="B4604" s="292">
        <v>29</v>
      </c>
      <c r="C4604" s="292"/>
      <c r="D4604" s="292"/>
      <c r="F4604" s="283" t="s">
        <v>233</v>
      </c>
      <c r="G4604" s="283"/>
      <c r="J4604" s="293">
        <v>3</v>
      </c>
      <c r="K4604" s="293"/>
      <c r="L4604" s="293"/>
      <c r="M4604" s="293"/>
      <c r="N4604" s="293"/>
      <c r="P4604" s="42">
        <v>2940</v>
      </c>
      <c r="R4604" s="42">
        <v>450</v>
      </c>
      <c r="T4604" s="284">
        <v>2490</v>
      </c>
      <c r="U4604" s="284"/>
    </row>
    <row r="4605" spans="2:21" x14ac:dyDescent="0.25">
      <c r="B4605" s="292">
        <v>30</v>
      </c>
      <c r="C4605" s="292"/>
      <c r="D4605" s="292"/>
      <c r="F4605" s="283" t="s">
        <v>232</v>
      </c>
      <c r="G4605" s="283"/>
      <c r="J4605" s="293">
        <v>6</v>
      </c>
      <c r="K4605" s="293"/>
      <c r="L4605" s="293"/>
      <c r="M4605" s="293"/>
      <c r="N4605" s="293"/>
      <c r="P4605" s="42">
        <v>5880</v>
      </c>
      <c r="R4605" s="42">
        <v>900</v>
      </c>
      <c r="T4605" s="284">
        <v>4980</v>
      </c>
      <c r="U4605" s="284"/>
    </row>
    <row r="4606" spans="2:21" x14ac:dyDescent="0.25">
      <c r="B4606" s="292">
        <v>31</v>
      </c>
      <c r="C4606" s="292"/>
      <c r="D4606" s="292"/>
      <c r="F4606" s="283" t="s">
        <v>193</v>
      </c>
      <c r="G4606" s="283"/>
      <c r="J4606" s="293">
        <v>2</v>
      </c>
      <c r="K4606" s="293"/>
      <c r="L4606" s="293"/>
      <c r="M4606" s="293"/>
      <c r="N4606" s="293"/>
      <c r="P4606" s="42">
        <v>1780</v>
      </c>
      <c r="R4606" s="42">
        <v>260</v>
      </c>
      <c r="T4606" s="284">
        <v>1520</v>
      </c>
      <c r="U4606" s="284"/>
    </row>
    <row r="4607" spans="2:21" x14ac:dyDescent="0.25">
      <c r="B4607" s="292">
        <v>32</v>
      </c>
      <c r="C4607" s="292"/>
      <c r="D4607" s="292"/>
      <c r="F4607" s="283" t="s">
        <v>142</v>
      </c>
      <c r="G4607" s="283"/>
      <c r="J4607" s="293">
        <v>2</v>
      </c>
      <c r="K4607" s="293"/>
      <c r="L4607" s="293"/>
      <c r="M4607" s="293"/>
      <c r="N4607" s="293"/>
      <c r="P4607" s="42">
        <v>700</v>
      </c>
      <c r="R4607" s="42">
        <v>300</v>
      </c>
      <c r="T4607" s="284">
        <v>400</v>
      </c>
      <c r="U4607" s="284"/>
    </row>
    <row r="4608" spans="2:21" x14ac:dyDescent="0.25">
      <c r="B4608" s="292">
        <v>33</v>
      </c>
      <c r="C4608" s="292"/>
      <c r="D4608" s="292"/>
      <c r="F4608" s="283" t="s">
        <v>75</v>
      </c>
      <c r="G4608" s="283"/>
      <c r="J4608" s="293">
        <v>1472</v>
      </c>
      <c r="K4608" s="293"/>
      <c r="L4608" s="293"/>
      <c r="M4608" s="293"/>
      <c r="N4608" s="293"/>
      <c r="P4608" s="42">
        <v>3680000</v>
      </c>
      <c r="R4608" s="42">
        <v>3680000</v>
      </c>
      <c r="T4608" s="284">
        <v>0</v>
      </c>
      <c r="U4608" s="284"/>
    </row>
    <row r="4609" spans="2:21" x14ac:dyDescent="0.25">
      <c r="B4609" s="292">
        <v>34</v>
      </c>
      <c r="C4609" s="292"/>
      <c r="D4609" s="292"/>
      <c r="F4609" s="283" t="s">
        <v>141</v>
      </c>
      <c r="G4609" s="283"/>
      <c r="J4609" s="293">
        <v>1</v>
      </c>
      <c r="K4609" s="293"/>
      <c r="L4609" s="293"/>
      <c r="M4609" s="293"/>
      <c r="N4609" s="293"/>
      <c r="P4609" s="42">
        <v>75</v>
      </c>
      <c r="R4609" s="42">
        <v>22</v>
      </c>
      <c r="T4609" s="284">
        <v>53</v>
      </c>
      <c r="U4609" s="284"/>
    </row>
    <row r="4610" spans="2:21" x14ac:dyDescent="0.25">
      <c r="B4610" s="292">
        <v>35</v>
      </c>
      <c r="C4610" s="292"/>
      <c r="D4610" s="292"/>
      <c r="F4610" s="283" t="s">
        <v>139</v>
      </c>
      <c r="G4610" s="283"/>
      <c r="J4610" s="293">
        <v>2</v>
      </c>
      <c r="K4610" s="293"/>
      <c r="L4610" s="293"/>
      <c r="M4610" s="293"/>
      <c r="N4610" s="293"/>
      <c r="P4610" s="42">
        <v>540</v>
      </c>
      <c r="R4610" s="42">
        <v>160</v>
      </c>
      <c r="T4610" s="284">
        <v>380</v>
      </c>
      <c r="U4610" s="284"/>
    </row>
    <row r="4611" spans="2:21" x14ac:dyDescent="0.25">
      <c r="B4611" s="292">
        <v>36</v>
      </c>
      <c r="C4611" s="292"/>
      <c r="D4611" s="292"/>
      <c r="F4611" s="283" t="s">
        <v>136</v>
      </c>
      <c r="G4611" s="283"/>
      <c r="J4611" s="293">
        <v>41</v>
      </c>
      <c r="K4611" s="293"/>
      <c r="L4611" s="293"/>
      <c r="M4611" s="293"/>
      <c r="N4611" s="293"/>
      <c r="P4611" s="42">
        <v>34850</v>
      </c>
      <c r="R4611" s="42">
        <v>8840</v>
      </c>
      <c r="T4611" s="284">
        <v>26010</v>
      </c>
      <c r="U4611" s="284"/>
    </row>
    <row r="4612" spans="2:21" x14ac:dyDescent="0.25">
      <c r="B4612" s="292">
        <v>37</v>
      </c>
      <c r="C4612" s="292"/>
      <c r="D4612" s="292"/>
      <c r="F4612" s="283" t="s">
        <v>74</v>
      </c>
      <c r="G4612" s="283"/>
      <c r="J4612" s="293">
        <v>82</v>
      </c>
      <c r="K4612" s="293"/>
      <c r="L4612" s="293"/>
      <c r="M4612" s="293"/>
      <c r="N4612" s="293"/>
      <c r="P4612" s="42">
        <v>69700</v>
      </c>
      <c r="R4612" s="42">
        <v>69700</v>
      </c>
      <c r="T4612" s="284">
        <v>0</v>
      </c>
      <c r="U4612" s="284"/>
    </row>
    <row r="4613" spans="2:21" x14ac:dyDescent="0.25">
      <c r="B4613" s="292">
        <v>38</v>
      </c>
      <c r="C4613" s="292"/>
      <c r="D4613" s="292"/>
      <c r="F4613" s="283" t="s">
        <v>190</v>
      </c>
      <c r="G4613" s="283"/>
      <c r="J4613" s="293">
        <v>3</v>
      </c>
      <c r="K4613" s="293"/>
      <c r="L4613" s="293"/>
      <c r="M4613" s="293"/>
      <c r="N4613" s="293"/>
      <c r="P4613" s="42">
        <v>4710</v>
      </c>
      <c r="R4613" s="42">
        <v>720</v>
      </c>
      <c r="T4613" s="284">
        <v>3990</v>
      </c>
      <c r="U4613" s="284"/>
    </row>
    <row r="4614" spans="2:21" x14ac:dyDescent="0.25">
      <c r="B4614" s="292">
        <v>39</v>
      </c>
      <c r="C4614" s="292"/>
      <c r="D4614" s="292"/>
      <c r="F4614" s="283" t="s">
        <v>264</v>
      </c>
      <c r="G4614" s="283"/>
      <c r="J4614" s="293">
        <v>1</v>
      </c>
      <c r="K4614" s="293"/>
      <c r="L4614" s="293"/>
      <c r="M4614" s="293"/>
      <c r="N4614" s="293"/>
      <c r="P4614" s="42">
        <v>1290</v>
      </c>
      <c r="R4614" s="42">
        <v>0</v>
      </c>
      <c r="T4614" s="284">
        <v>1290</v>
      </c>
      <c r="U4614" s="284"/>
    </row>
    <row r="4615" spans="2:21" x14ac:dyDescent="0.25">
      <c r="B4615" s="292">
        <v>40</v>
      </c>
      <c r="C4615" s="292"/>
      <c r="D4615" s="292"/>
      <c r="F4615" s="283" t="s">
        <v>135</v>
      </c>
      <c r="G4615" s="283"/>
      <c r="J4615" s="293">
        <v>8</v>
      </c>
      <c r="K4615" s="293"/>
      <c r="L4615" s="293"/>
      <c r="M4615" s="293"/>
      <c r="N4615" s="293"/>
      <c r="P4615" s="42">
        <v>7600</v>
      </c>
      <c r="R4615" s="42">
        <v>2240</v>
      </c>
      <c r="T4615" s="284">
        <v>5360</v>
      </c>
      <c r="U4615" s="284"/>
    </row>
    <row r="4616" spans="2:21" x14ac:dyDescent="0.25">
      <c r="B4616" s="292">
        <v>41</v>
      </c>
      <c r="C4616" s="292"/>
      <c r="D4616" s="292"/>
      <c r="F4616" s="283" t="s">
        <v>132</v>
      </c>
      <c r="G4616" s="283"/>
      <c r="J4616" s="293">
        <v>7</v>
      </c>
      <c r="K4616" s="293"/>
      <c r="L4616" s="293"/>
      <c r="M4616" s="293"/>
      <c r="N4616" s="293"/>
      <c r="P4616" s="42">
        <v>8680</v>
      </c>
      <c r="R4616" s="42">
        <v>2590</v>
      </c>
      <c r="T4616" s="284">
        <v>6090</v>
      </c>
      <c r="U4616" s="284"/>
    </row>
    <row r="4617" spans="2:21" x14ac:dyDescent="0.25">
      <c r="B4617" s="292">
        <v>42</v>
      </c>
      <c r="C4617" s="292"/>
      <c r="D4617" s="292"/>
      <c r="F4617" s="283" t="s">
        <v>131</v>
      </c>
      <c r="G4617" s="283"/>
      <c r="J4617" s="293">
        <v>2</v>
      </c>
      <c r="K4617" s="293"/>
      <c r="L4617" s="293"/>
      <c r="M4617" s="293"/>
      <c r="N4617" s="293"/>
      <c r="P4617" s="42">
        <v>7400</v>
      </c>
      <c r="R4617" s="42">
        <v>0</v>
      </c>
      <c r="T4617" s="284">
        <v>7400</v>
      </c>
      <c r="U4617" s="284"/>
    </row>
    <row r="4618" spans="2:21" x14ac:dyDescent="0.25">
      <c r="B4618" s="292">
        <v>43</v>
      </c>
      <c r="C4618" s="292"/>
      <c r="D4618" s="292"/>
      <c r="F4618" s="283" t="s">
        <v>263</v>
      </c>
      <c r="G4618" s="283"/>
      <c r="J4618" s="293">
        <v>1</v>
      </c>
      <c r="K4618" s="293"/>
      <c r="L4618" s="293"/>
      <c r="M4618" s="293"/>
      <c r="N4618" s="293"/>
      <c r="P4618" s="42">
        <v>2480</v>
      </c>
      <c r="R4618" s="42">
        <v>0</v>
      </c>
      <c r="T4618" s="284">
        <v>2480</v>
      </c>
      <c r="U4618" s="284"/>
    </row>
    <row r="4619" spans="2:21" x14ac:dyDescent="0.25">
      <c r="B4619" s="292">
        <v>44</v>
      </c>
      <c r="C4619" s="292"/>
      <c r="D4619" s="292"/>
      <c r="F4619" s="283" t="s">
        <v>127</v>
      </c>
      <c r="G4619" s="283"/>
      <c r="J4619" s="293">
        <v>54</v>
      </c>
      <c r="K4619" s="293"/>
      <c r="L4619" s="293"/>
      <c r="M4619" s="293"/>
      <c r="N4619" s="293"/>
      <c r="P4619" s="42">
        <v>16200</v>
      </c>
      <c r="R4619" s="42">
        <v>4770</v>
      </c>
      <c r="T4619" s="284">
        <v>11430</v>
      </c>
      <c r="U4619" s="284"/>
    </row>
    <row r="4620" spans="2:21" x14ac:dyDescent="0.25">
      <c r="B4620" s="292">
        <v>45</v>
      </c>
      <c r="C4620" s="292"/>
      <c r="D4620" s="292"/>
      <c r="F4620" s="283" t="s">
        <v>126</v>
      </c>
      <c r="G4620" s="283"/>
      <c r="J4620" s="293">
        <v>52</v>
      </c>
      <c r="K4620" s="293"/>
      <c r="L4620" s="293"/>
      <c r="M4620" s="293"/>
      <c r="N4620" s="293"/>
      <c r="P4620" s="42">
        <v>10400</v>
      </c>
      <c r="R4620" s="42">
        <v>3060</v>
      </c>
      <c r="T4620" s="284">
        <v>7340</v>
      </c>
      <c r="U4620" s="284"/>
    </row>
    <row r="4621" spans="2:21" x14ac:dyDescent="0.25">
      <c r="B4621" s="292">
        <v>46</v>
      </c>
      <c r="C4621" s="292"/>
      <c r="D4621" s="292"/>
      <c r="F4621" s="283" t="s">
        <v>124</v>
      </c>
      <c r="G4621" s="283"/>
      <c r="J4621" s="293">
        <v>10</v>
      </c>
      <c r="K4621" s="293"/>
      <c r="L4621" s="293"/>
      <c r="M4621" s="293"/>
      <c r="N4621" s="293"/>
      <c r="P4621" s="42">
        <v>6280</v>
      </c>
      <c r="R4621" s="42">
        <v>1860</v>
      </c>
      <c r="T4621" s="284">
        <v>4420</v>
      </c>
      <c r="U4621" s="284"/>
    </row>
    <row r="4622" spans="2:21" x14ac:dyDescent="0.25">
      <c r="B4622" s="292">
        <v>47</v>
      </c>
      <c r="C4622" s="292"/>
      <c r="D4622" s="292"/>
      <c r="F4622" s="283" t="s">
        <v>123</v>
      </c>
      <c r="G4622" s="283"/>
      <c r="J4622" s="293">
        <v>3</v>
      </c>
      <c r="K4622" s="293"/>
      <c r="L4622" s="293"/>
      <c r="M4622" s="293"/>
      <c r="N4622" s="293"/>
      <c r="P4622" s="42">
        <v>2340</v>
      </c>
      <c r="R4622" s="42">
        <v>690</v>
      </c>
      <c r="T4622" s="284">
        <v>1650</v>
      </c>
      <c r="U4622" s="284"/>
    </row>
    <row r="4623" spans="2:21" x14ac:dyDescent="0.25">
      <c r="B4623" s="292">
        <v>48</v>
      </c>
      <c r="C4623" s="292"/>
      <c r="D4623" s="292"/>
      <c r="F4623" s="283" t="s">
        <v>183</v>
      </c>
      <c r="G4623" s="283"/>
      <c r="J4623" s="293">
        <v>2</v>
      </c>
      <c r="K4623" s="293"/>
      <c r="L4623" s="293"/>
      <c r="M4623" s="293"/>
      <c r="N4623" s="293"/>
      <c r="P4623" s="42">
        <v>880</v>
      </c>
      <c r="R4623" s="42">
        <v>260</v>
      </c>
      <c r="T4623" s="284">
        <v>620</v>
      </c>
      <c r="U4623" s="284"/>
    </row>
    <row r="4624" spans="2:21" x14ac:dyDescent="0.25">
      <c r="B4624" s="292">
        <v>49</v>
      </c>
      <c r="C4624" s="292"/>
      <c r="D4624" s="292"/>
      <c r="F4624" s="283" t="s">
        <v>120</v>
      </c>
      <c r="G4624" s="283"/>
      <c r="J4624" s="293">
        <v>1</v>
      </c>
      <c r="K4624" s="293"/>
      <c r="L4624" s="293"/>
      <c r="M4624" s="293"/>
      <c r="N4624" s="293"/>
      <c r="P4624" s="42">
        <v>350</v>
      </c>
      <c r="R4624" s="42">
        <v>100</v>
      </c>
      <c r="T4624" s="284">
        <v>250</v>
      </c>
      <c r="U4624" s="284"/>
    </row>
    <row r="4625" spans="2:21" x14ac:dyDescent="0.25">
      <c r="B4625" s="292">
        <v>50</v>
      </c>
      <c r="C4625" s="292"/>
      <c r="D4625" s="292"/>
      <c r="F4625" s="283" t="s">
        <v>182</v>
      </c>
      <c r="G4625" s="283"/>
      <c r="J4625" s="293">
        <v>2</v>
      </c>
      <c r="K4625" s="293"/>
      <c r="L4625" s="293"/>
      <c r="M4625" s="293"/>
      <c r="N4625" s="293"/>
      <c r="P4625" s="42">
        <v>1580</v>
      </c>
      <c r="R4625" s="42">
        <v>240</v>
      </c>
      <c r="T4625" s="284">
        <v>1340</v>
      </c>
      <c r="U4625" s="284"/>
    </row>
    <row r="4626" spans="2:21" x14ac:dyDescent="0.25">
      <c r="B4626" s="292">
        <v>51</v>
      </c>
      <c r="C4626" s="292"/>
      <c r="D4626" s="292"/>
      <c r="F4626" s="283" t="s">
        <v>119</v>
      </c>
      <c r="G4626" s="283"/>
      <c r="J4626" s="293">
        <v>59</v>
      </c>
      <c r="K4626" s="293"/>
      <c r="L4626" s="293"/>
      <c r="M4626" s="293"/>
      <c r="N4626" s="293"/>
      <c r="P4626" s="42">
        <v>52510</v>
      </c>
      <c r="R4626" s="42">
        <v>17190</v>
      </c>
      <c r="T4626" s="284">
        <v>35320</v>
      </c>
      <c r="U4626" s="284"/>
    </row>
    <row r="4627" spans="2:21" x14ac:dyDescent="0.25">
      <c r="B4627" s="292">
        <v>52</v>
      </c>
      <c r="C4627" s="292"/>
      <c r="D4627" s="292"/>
      <c r="F4627" s="283" t="s">
        <v>118</v>
      </c>
      <c r="G4627" s="283"/>
      <c r="J4627" s="293">
        <v>203</v>
      </c>
      <c r="K4627" s="293"/>
      <c r="L4627" s="293"/>
      <c r="M4627" s="293"/>
      <c r="N4627" s="293"/>
      <c r="P4627" s="42">
        <v>200970</v>
      </c>
      <c r="R4627" s="42">
        <v>68720</v>
      </c>
      <c r="T4627" s="284">
        <v>132250</v>
      </c>
      <c r="U4627" s="284"/>
    </row>
    <row r="4628" spans="2:21" x14ac:dyDescent="0.25">
      <c r="B4628" s="292">
        <v>53</v>
      </c>
      <c r="C4628" s="292"/>
      <c r="D4628" s="292"/>
      <c r="F4628" s="283" t="s">
        <v>117</v>
      </c>
      <c r="G4628" s="283"/>
      <c r="J4628" s="293">
        <v>1</v>
      </c>
      <c r="K4628" s="293"/>
      <c r="L4628" s="293"/>
      <c r="M4628" s="293"/>
      <c r="N4628" s="293"/>
      <c r="P4628" s="42">
        <v>800</v>
      </c>
      <c r="R4628" s="42">
        <v>200</v>
      </c>
      <c r="T4628" s="284">
        <v>600</v>
      </c>
      <c r="U4628" s="284"/>
    </row>
    <row r="4629" spans="2:21" x14ac:dyDescent="0.25">
      <c r="B4629" s="292">
        <v>54</v>
      </c>
      <c r="C4629" s="292"/>
      <c r="D4629" s="292"/>
      <c r="F4629" s="283" t="s">
        <v>262</v>
      </c>
      <c r="G4629" s="283"/>
      <c r="J4629" s="293">
        <v>1</v>
      </c>
      <c r="K4629" s="293"/>
      <c r="L4629" s="293"/>
      <c r="M4629" s="293"/>
      <c r="N4629" s="293"/>
      <c r="P4629" s="42">
        <v>450</v>
      </c>
      <c r="R4629" s="42">
        <v>70</v>
      </c>
      <c r="T4629" s="284">
        <v>380</v>
      </c>
      <c r="U4629" s="284"/>
    </row>
    <row r="4630" spans="2:21" x14ac:dyDescent="0.25">
      <c r="B4630" s="292">
        <v>55</v>
      </c>
      <c r="C4630" s="292"/>
      <c r="D4630" s="292"/>
      <c r="F4630" s="283" t="s">
        <v>115</v>
      </c>
      <c r="G4630" s="283"/>
      <c r="J4630" s="293">
        <v>5</v>
      </c>
      <c r="K4630" s="293"/>
      <c r="L4630" s="293"/>
      <c r="M4630" s="293"/>
      <c r="N4630" s="293"/>
      <c r="P4630" s="42">
        <v>1450</v>
      </c>
      <c r="R4630" s="42">
        <v>490</v>
      </c>
      <c r="T4630" s="284">
        <v>960</v>
      </c>
      <c r="U4630" s="284"/>
    </row>
    <row r="4631" spans="2:21" x14ac:dyDescent="0.25">
      <c r="B4631" s="292">
        <v>56</v>
      </c>
      <c r="C4631" s="292"/>
      <c r="D4631" s="292"/>
      <c r="F4631" s="283" t="s">
        <v>114</v>
      </c>
      <c r="G4631" s="283"/>
      <c r="J4631" s="293">
        <v>1</v>
      </c>
      <c r="K4631" s="293"/>
      <c r="L4631" s="293"/>
      <c r="M4631" s="293"/>
      <c r="N4631" s="293"/>
      <c r="P4631" s="42">
        <v>550</v>
      </c>
      <c r="R4631" s="42">
        <v>80</v>
      </c>
      <c r="T4631" s="284">
        <v>470</v>
      </c>
      <c r="U4631" s="284"/>
    </row>
    <row r="4632" spans="2:21" x14ac:dyDescent="0.25">
      <c r="B4632" s="292">
        <v>57</v>
      </c>
      <c r="C4632" s="292"/>
      <c r="D4632" s="292"/>
      <c r="F4632" s="285" t="s">
        <v>261</v>
      </c>
      <c r="G4632" s="285"/>
      <c r="J4632" s="293">
        <v>10</v>
      </c>
      <c r="K4632" s="293"/>
      <c r="L4632" s="293"/>
      <c r="M4632" s="293"/>
      <c r="N4632" s="293"/>
      <c r="P4632" s="42">
        <v>900</v>
      </c>
      <c r="R4632" s="42">
        <v>0</v>
      </c>
      <c r="T4632" s="284">
        <v>900</v>
      </c>
      <c r="U4632" s="284"/>
    </row>
    <row r="4633" spans="2:21" x14ac:dyDescent="0.25">
      <c r="F4633" s="285"/>
      <c r="G4633" s="285"/>
    </row>
    <row r="4634" spans="2:21" x14ac:dyDescent="0.25">
      <c r="B4634" s="292">
        <v>58</v>
      </c>
      <c r="C4634" s="292"/>
      <c r="D4634" s="292"/>
      <c r="F4634" s="285" t="s">
        <v>260</v>
      </c>
      <c r="G4634" s="285"/>
      <c r="J4634" s="293">
        <v>18</v>
      </c>
      <c r="K4634" s="293"/>
      <c r="L4634" s="293"/>
      <c r="M4634" s="293"/>
      <c r="N4634" s="293"/>
      <c r="P4634" s="42">
        <v>4500</v>
      </c>
      <c r="R4634" s="42">
        <v>1650</v>
      </c>
      <c r="T4634" s="284">
        <v>2850</v>
      </c>
      <c r="U4634" s="284"/>
    </row>
    <row r="4635" spans="2:21" x14ac:dyDescent="0.25">
      <c r="F4635" s="285"/>
      <c r="G4635" s="285"/>
    </row>
    <row r="4636" spans="2:21" x14ac:dyDescent="0.25">
      <c r="B4636" s="292">
        <v>59</v>
      </c>
      <c r="C4636" s="292"/>
      <c r="D4636" s="292"/>
      <c r="F4636" s="285" t="s">
        <v>259</v>
      </c>
      <c r="G4636" s="285"/>
      <c r="J4636" s="293">
        <v>24</v>
      </c>
      <c r="K4636" s="293"/>
      <c r="L4636" s="293"/>
      <c r="M4636" s="293"/>
      <c r="N4636" s="293"/>
      <c r="P4636" s="42">
        <v>37200</v>
      </c>
      <c r="R4636" s="42">
        <v>7506</v>
      </c>
      <c r="T4636" s="284">
        <v>29694</v>
      </c>
      <c r="U4636" s="284"/>
    </row>
    <row r="4637" spans="2:21" x14ac:dyDescent="0.25">
      <c r="F4637" s="285"/>
      <c r="G4637" s="285"/>
    </row>
    <row r="4638" spans="2:21" x14ac:dyDescent="0.25">
      <c r="B4638" s="292">
        <v>60</v>
      </c>
      <c r="C4638" s="292"/>
      <c r="D4638" s="292"/>
      <c r="F4638" s="283" t="s">
        <v>225</v>
      </c>
      <c r="G4638" s="283"/>
      <c r="J4638" s="293">
        <v>3</v>
      </c>
      <c r="K4638" s="293"/>
      <c r="L4638" s="293"/>
      <c r="M4638" s="293"/>
      <c r="N4638" s="293"/>
      <c r="P4638" s="42">
        <v>5200</v>
      </c>
      <c r="R4638" s="42">
        <v>4950</v>
      </c>
      <c r="T4638" s="284">
        <v>250</v>
      </c>
      <c r="U4638" s="284"/>
    </row>
    <row r="4639" spans="2:21" x14ac:dyDescent="0.25">
      <c r="B4639" s="292">
        <v>61</v>
      </c>
      <c r="C4639" s="292"/>
      <c r="D4639" s="292"/>
      <c r="F4639" s="283" t="s">
        <v>258</v>
      </c>
      <c r="G4639" s="283"/>
      <c r="J4639" s="293">
        <v>1</v>
      </c>
      <c r="K4639" s="293"/>
      <c r="L4639" s="293"/>
      <c r="M4639" s="293"/>
      <c r="N4639" s="293"/>
      <c r="P4639" s="42">
        <v>330</v>
      </c>
      <c r="R4639" s="42">
        <v>140</v>
      </c>
      <c r="T4639" s="284">
        <v>190</v>
      </c>
      <c r="U4639" s="284"/>
    </row>
    <row r="4640" spans="2:21" x14ac:dyDescent="0.25">
      <c r="B4640" s="292">
        <v>62</v>
      </c>
      <c r="C4640" s="292"/>
      <c r="D4640" s="292"/>
      <c r="F4640" s="283" t="s">
        <v>111</v>
      </c>
      <c r="G4640" s="283"/>
      <c r="J4640" s="293">
        <v>3</v>
      </c>
      <c r="K4640" s="293"/>
      <c r="L4640" s="293"/>
      <c r="M4640" s="293"/>
      <c r="N4640" s="293"/>
      <c r="P4640" s="42">
        <v>1290</v>
      </c>
      <c r="R4640" s="42">
        <v>390</v>
      </c>
      <c r="T4640" s="284">
        <v>900</v>
      </c>
      <c r="U4640" s="284"/>
    </row>
    <row r="4641" spans="2:21" x14ac:dyDescent="0.25">
      <c r="B4641" s="292">
        <v>63</v>
      </c>
      <c r="C4641" s="292"/>
      <c r="D4641" s="292"/>
      <c r="F4641" s="283" t="s">
        <v>257</v>
      </c>
      <c r="G4641" s="283"/>
      <c r="J4641" s="293">
        <v>1</v>
      </c>
      <c r="K4641" s="293"/>
      <c r="L4641" s="293"/>
      <c r="M4641" s="293"/>
      <c r="N4641" s="293"/>
      <c r="P4641" s="42">
        <v>990</v>
      </c>
      <c r="R4641" s="42">
        <v>150</v>
      </c>
      <c r="T4641" s="284">
        <v>840</v>
      </c>
      <c r="U4641" s="284"/>
    </row>
    <row r="4642" spans="2:21" x14ac:dyDescent="0.25">
      <c r="B4642" s="292">
        <v>64</v>
      </c>
      <c r="C4642" s="292"/>
      <c r="D4642" s="292"/>
      <c r="F4642" s="283" t="s">
        <v>109</v>
      </c>
      <c r="G4642" s="283"/>
      <c r="J4642" s="293">
        <v>1</v>
      </c>
      <c r="K4642" s="293"/>
      <c r="L4642" s="293"/>
      <c r="M4642" s="293"/>
      <c r="N4642" s="293"/>
      <c r="P4642" s="42">
        <v>780</v>
      </c>
      <c r="R4642" s="42">
        <v>230</v>
      </c>
      <c r="T4642" s="284">
        <v>550</v>
      </c>
      <c r="U4642" s="284"/>
    </row>
    <row r="4643" spans="2:21" x14ac:dyDescent="0.25">
      <c r="B4643" s="292">
        <v>65</v>
      </c>
      <c r="C4643" s="292"/>
      <c r="D4643" s="292"/>
      <c r="F4643" s="283" t="s">
        <v>108</v>
      </c>
      <c r="G4643" s="283"/>
      <c r="J4643" s="293">
        <v>344</v>
      </c>
      <c r="K4643" s="293"/>
      <c r="L4643" s="293"/>
      <c r="M4643" s="293"/>
      <c r="N4643" s="293"/>
      <c r="P4643" s="42">
        <v>34400</v>
      </c>
      <c r="R4643" s="42">
        <v>10320</v>
      </c>
      <c r="T4643" s="284">
        <v>24080</v>
      </c>
      <c r="U4643" s="284"/>
    </row>
    <row r="4644" spans="2:21" x14ac:dyDescent="0.25">
      <c r="B4644" s="292">
        <v>66</v>
      </c>
      <c r="C4644" s="292"/>
      <c r="D4644" s="292"/>
      <c r="F4644" s="283" t="s">
        <v>107</v>
      </c>
      <c r="G4644" s="283"/>
      <c r="J4644" s="293">
        <v>37</v>
      </c>
      <c r="K4644" s="293"/>
      <c r="L4644" s="293"/>
      <c r="M4644" s="293"/>
      <c r="N4644" s="293"/>
      <c r="P4644" s="42">
        <v>6290</v>
      </c>
      <c r="R4644" s="42">
        <v>1840</v>
      </c>
      <c r="T4644" s="284">
        <v>4450</v>
      </c>
      <c r="U4644" s="284"/>
    </row>
    <row r="4645" spans="2:21" x14ac:dyDescent="0.25">
      <c r="B4645" s="292">
        <v>67</v>
      </c>
      <c r="C4645" s="292"/>
      <c r="D4645" s="292"/>
      <c r="F4645" s="283" t="s">
        <v>256</v>
      </c>
      <c r="G4645" s="283"/>
      <c r="J4645" s="293">
        <v>1</v>
      </c>
      <c r="K4645" s="293"/>
      <c r="L4645" s="293"/>
      <c r="M4645" s="293"/>
      <c r="N4645" s="293"/>
      <c r="P4645" s="42">
        <v>630</v>
      </c>
      <c r="R4645" s="42">
        <v>190</v>
      </c>
      <c r="T4645" s="284">
        <v>440</v>
      </c>
      <c r="U4645" s="284"/>
    </row>
    <row r="4646" spans="2:21" x14ac:dyDescent="0.25">
      <c r="B4646" s="292">
        <v>68</v>
      </c>
      <c r="C4646" s="292"/>
      <c r="D4646" s="292"/>
      <c r="F4646" s="283" t="s">
        <v>255</v>
      </c>
      <c r="G4646" s="283"/>
      <c r="J4646" s="293">
        <v>1</v>
      </c>
      <c r="K4646" s="293"/>
      <c r="L4646" s="293"/>
      <c r="M4646" s="293"/>
      <c r="N4646" s="293"/>
      <c r="P4646" s="42">
        <v>950</v>
      </c>
      <c r="R4646" s="42">
        <v>140</v>
      </c>
      <c r="T4646" s="284">
        <v>810</v>
      </c>
      <c r="U4646" s="284"/>
    </row>
    <row r="4647" spans="2:21" x14ac:dyDescent="0.25">
      <c r="B4647" s="292">
        <v>69</v>
      </c>
      <c r="C4647" s="292"/>
      <c r="D4647" s="292"/>
      <c r="F4647" s="283" t="s">
        <v>105</v>
      </c>
      <c r="G4647" s="283"/>
      <c r="J4647" s="293">
        <v>6</v>
      </c>
      <c r="K4647" s="293"/>
      <c r="L4647" s="293"/>
      <c r="M4647" s="293"/>
      <c r="N4647" s="293"/>
      <c r="P4647" s="42">
        <v>6900</v>
      </c>
      <c r="R4647" s="42">
        <v>0</v>
      </c>
      <c r="T4647" s="284">
        <v>6900</v>
      </c>
      <c r="U4647" s="284"/>
    </row>
    <row r="4648" spans="2:21" x14ac:dyDescent="0.25">
      <c r="B4648" s="292">
        <v>70</v>
      </c>
      <c r="C4648" s="292"/>
      <c r="D4648" s="292"/>
      <c r="F4648" s="283" t="s">
        <v>214</v>
      </c>
      <c r="G4648" s="283"/>
      <c r="J4648" s="293">
        <v>1</v>
      </c>
      <c r="K4648" s="293"/>
      <c r="L4648" s="293"/>
      <c r="M4648" s="293"/>
      <c r="N4648" s="293"/>
      <c r="P4648" s="42">
        <v>990</v>
      </c>
      <c r="R4648" s="42">
        <v>150</v>
      </c>
      <c r="T4648" s="284">
        <v>840</v>
      </c>
      <c r="U4648" s="284"/>
    </row>
    <row r="4649" spans="2:21" x14ac:dyDescent="0.25">
      <c r="B4649" s="292">
        <v>71</v>
      </c>
      <c r="C4649" s="292"/>
      <c r="D4649" s="292"/>
      <c r="F4649" s="283" t="s">
        <v>104</v>
      </c>
      <c r="G4649" s="283"/>
      <c r="J4649" s="293">
        <v>2</v>
      </c>
      <c r="K4649" s="293"/>
      <c r="L4649" s="293"/>
      <c r="M4649" s="293"/>
      <c r="N4649" s="293"/>
      <c r="P4649" s="42">
        <v>660</v>
      </c>
      <c r="R4649" s="42">
        <v>270</v>
      </c>
      <c r="T4649" s="284">
        <v>390</v>
      </c>
      <c r="U4649" s="284"/>
    </row>
    <row r="4650" spans="2:21" x14ac:dyDescent="0.25">
      <c r="B4650" s="292">
        <v>72</v>
      </c>
      <c r="C4650" s="292"/>
      <c r="D4650" s="292"/>
      <c r="F4650" s="283" t="s">
        <v>103</v>
      </c>
      <c r="G4650" s="283"/>
      <c r="J4650" s="293">
        <v>16</v>
      </c>
      <c r="K4650" s="293"/>
      <c r="L4650" s="293"/>
      <c r="M4650" s="293"/>
      <c r="N4650" s="293"/>
      <c r="P4650" s="42">
        <v>5280</v>
      </c>
      <c r="R4650" s="42">
        <v>2120</v>
      </c>
      <c r="T4650" s="284">
        <v>3160</v>
      </c>
      <c r="U4650" s="284"/>
    </row>
    <row r="4651" spans="2:21" x14ac:dyDescent="0.25">
      <c r="B4651" s="292">
        <v>73</v>
      </c>
      <c r="C4651" s="292"/>
      <c r="D4651" s="292"/>
      <c r="F4651" s="283" t="s">
        <v>102</v>
      </c>
      <c r="G4651" s="283"/>
      <c r="J4651" s="293">
        <v>12</v>
      </c>
      <c r="K4651" s="293"/>
      <c r="L4651" s="293"/>
      <c r="M4651" s="293"/>
      <c r="N4651" s="293"/>
      <c r="P4651" s="42">
        <v>10560</v>
      </c>
      <c r="R4651" s="42">
        <v>1560</v>
      </c>
      <c r="T4651" s="284">
        <v>9000</v>
      </c>
      <c r="U4651" s="284"/>
    </row>
    <row r="4652" spans="2:21" x14ac:dyDescent="0.25">
      <c r="B4652" s="292">
        <v>74</v>
      </c>
      <c r="C4652" s="292"/>
      <c r="D4652" s="292"/>
      <c r="F4652" s="283" t="s">
        <v>101</v>
      </c>
      <c r="G4652" s="283"/>
      <c r="J4652" s="293">
        <v>9</v>
      </c>
      <c r="K4652" s="293"/>
      <c r="L4652" s="293"/>
      <c r="M4652" s="293"/>
      <c r="N4652" s="293"/>
      <c r="P4652" s="42">
        <v>4140</v>
      </c>
      <c r="R4652" s="42">
        <v>1260</v>
      </c>
      <c r="T4652" s="284">
        <v>2880</v>
      </c>
      <c r="U4652" s="284"/>
    </row>
    <row r="4653" spans="2:21" x14ac:dyDescent="0.25">
      <c r="B4653" s="292">
        <v>75</v>
      </c>
      <c r="C4653" s="292"/>
      <c r="D4653" s="292"/>
      <c r="F4653" s="283" t="s">
        <v>254</v>
      </c>
      <c r="G4653" s="283"/>
      <c r="J4653" s="293">
        <v>1</v>
      </c>
      <c r="K4653" s="293"/>
      <c r="L4653" s="293"/>
      <c r="M4653" s="293"/>
      <c r="N4653" s="293"/>
      <c r="P4653" s="42">
        <v>290</v>
      </c>
      <c r="R4653" s="42">
        <v>80</v>
      </c>
      <c r="T4653" s="284">
        <v>210</v>
      </c>
      <c r="U4653" s="284"/>
    </row>
    <row r="4654" spans="2:21" x14ac:dyDescent="0.25">
      <c r="B4654" s="292">
        <v>76</v>
      </c>
      <c r="C4654" s="292"/>
      <c r="D4654" s="292"/>
      <c r="F4654" s="283" t="s">
        <v>179</v>
      </c>
      <c r="G4654" s="283"/>
      <c r="J4654" s="293">
        <v>1</v>
      </c>
      <c r="K4654" s="293"/>
      <c r="L4654" s="293"/>
      <c r="M4654" s="293"/>
      <c r="N4654" s="293"/>
      <c r="P4654" s="42">
        <v>880</v>
      </c>
      <c r="R4654" s="42">
        <v>130</v>
      </c>
      <c r="T4654" s="284">
        <v>750</v>
      </c>
      <c r="U4654" s="284"/>
    </row>
    <row r="4655" spans="2:21" x14ac:dyDescent="0.25">
      <c r="B4655" s="292">
        <v>77</v>
      </c>
      <c r="C4655" s="292"/>
      <c r="D4655" s="292"/>
      <c r="F4655" s="283" t="s">
        <v>100</v>
      </c>
      <c r="G4655" s="283"/>
      <c r="J4655" s="293">
        <v>4</v>
      </c>
      <c r="K4655" s="293"/>
      <c r="L4655" s="293"/>
      <c r="M4655" s="293"/>
      <c r="N4655" s="293"/>
      <c r="P4655" s="42">
        <v>720</v>
      </c>
      <c r="R4655" s="42">
        <v>200</v>
      </c>
      <c r="T4655" s="284">
        <v>520</v>
      </c>
      <c r="U4655" s="284"/>
    </row>
    <row r="4656" spans="2:21" x14ac:dyDescent="0.25">
      <c r="B4656" s="292">
        <v>78</v>
      </c>
      <c r="C4656" s="292"/>
      <c r="D4656" s="292"/>
      <c r="F4656" s="283" t="s">
        <v>178</v>
      </c>
      <c r="G4656" s="283"/>
      <c r="J4656" s="293">
        <v>4</v>
      </c>
      <c r="K4656" s="293"/>
      <c r="L4656" s="293"/>
      <c r="M4656" s="293"/>
      <c r="N4656" s="293"/>
      <c r="P4656" s="42">
        <v>6600</v>
      </c>
      <c r="R4656" s="42">
        <v>0</v>
      </c>
      <c r="T4656" s="284">
        <v>6600</v>
      </c>
      <c r="U4656" s="284"/>
    </row>
    <row r="4657" spans="1:21" x14ac:dyDescent="0.25">
      <c r="B4657" s="292">
        <v>79</v>
      </c>
      <c r="C4657" s="292"/>
      <c r="D4657" s="292"/>
      <c r="F4657" s="283" t="s">
        <v>97</v>
      </c>
      <c r="G4657" s="283"/>
      <c r="J4657" s="293">
        <v>9</v>
      </c>
      <c r="K4657" s="293"/>
      <c r="L4657" s="293"/>
      <c r="M4657" s="293"/>
      <c r="N4657" s="293"/>
      <c r="P4657" s="42">
        <v>14310</v>
      </c>
      <c r="R4657" s="42">
        <v>2160</v>
      </c>
      <c r="T4657" s="284">
        <v>12150</v>
      </c>
      <c r="U4657" s="284"/>
    </row>
    <row r="4658" spans="1:21" x14ac:dyDescent="0.25">
      <c r="B4658" s="292">
        <v>80</v>
      </c>
      <c r="C4658" s="292"/>
      <c r="D4658" s="292"/>
      <c r="F4658" s="283" t="s">
        <v>96</v>
      </c>
      <c r="G4658" s="283"/>
      <c r="J4658" s="293">
        <v>1</v>
      </c>
      <c r="K4658" s="293"/>
      <c r="L4658" s="293"/>
      <c r="M4658" s="293"/>
      <c r="N4658" s="293"/>
      <c r="P4658" s="42">
        <v>440</v>
      </c>
      <c r="R4658" s="42">
        <v>130</v>
      </c>
      <c r="T4658" s="284">
        <v>310</v>
      </c>
      <c r="U4658" s="284"/>
    </row>
    <row r="4659" spans="1:21" x14ac:dyDescent="0.25">
      <c r="B4659" s="292">
        <v>81</v>
      </c>
      <c r="C4659" s="292"/>
      <c r="D4659" s="292"/>
      <c r="F4659" s="283" t="s">
        <v>95</v>
      </c>
      <c r="G4659" s="283"/>
      <c r="J4659" s="293">
        <v>4</v>
      </c>
      <c r="K4659" s="293"/>
      <c r="L4659" s="293"/>
      <c r="M4659" s="293"/>
      <c r="N4659" s="293"/>
      <c r="P4659" s="42">
        <v>1160</v>
      </c>
      <c r="R4659" s="42">
        <v>320</v>
      </c>
      <c r="T4659" s="284">
        <v>840</v>
      </c>
      <c r="U4659" s="284"/>
    </row>
    <row r="4660" spans="1:21" x14ac:dyDescent="0.25">
      <c r="B4660" s="292">
        <v>82</v>
      </c>
      <c r="C4660" s="292"/>
      <c r="D4660" s="292"/>
      <c r="F4660" s="283" t="s">
        <v>253</v>
      </c>
      <c r="G4660" s="283"/>
      <c r="J4660" s="293">
        <v>1</v>
      </c>
      <c r="K4660" s="293"/>
      <c r="L4660" s="293"/>
      <c r="M4660" s="293"/>
      <c r="N4660" s="293"/>
      <c r="P4660" s="42">
        <v>290</v>
      </c>
      <c r="R4660" s="42">
        <v>130</v>
      </c>
      <c r="T4660" s="284">
        <v>160</v>
      </c>
      <c r="U4660" s="284"/>
    </row>
    <row r="4661" spans="1:21" x14ac:dyDescent="0.25">
      <c r="B4661" s="292">
        <v>83</v>
      </c>
      <c r="C4661" s="292"/>
      <c r="D4661" s="292"/>
      <c r="F4661" s="283" t="s">
        <v>93</v>
      </c>
      <c r="G4661" s="283"/>
      <c r="J4661" s="293">
        <v>25</v>
      </c>
      <c r="K4661" s="293"/>
      <c r="L4661" s="293"/>
      <c r="M4661" s="293"/>
      <c r="N4661" s="293"/>
      <c r="P4661" s="42">
        <v>14750</v>
      </c>
      <c r="R4661" s="42">
        <v>2160</v>
      </c>
      <c r="T4661" s="284">
        <v>12590</v>
      </c>
      <c r="U4661" s="284"/>
    </row>
    <row r="4662" spans="1:21" x14ac:dyDescent="0.25">
      <c r="B4662" s="292">
        <v>84</v>
      </c>
      <c r="C4662" s="292"/>
      <c r="D4662" s="292"/>
      <c r="F4662" s="283" t="s">
        <v>92</v>
      </c>
      <c r="G4662" s="283"/>
      <c r="J4662" s="293">
        <v>23</v>
      </c>
      <c r="K4662" s="293"/>
      <c r="L4662" s="293"/>
      <c r="M4662" s="293"/>
      <c r="N4662" s="293"/>
      <c r="P4662" s="42">
        <v>20080</v>
      </c>
      <c r="R4662" s="42">
        <v>5960</v>
      </c>
      <c r="T4662" s="284">
        <v>14120</v>
      </c>
      <c r="U4662" s="284"/>
    </row>
    <row r="4663" spans="1:21" x14ac:dyDescent="0.25">
      <c r="B4663" s="292">
        <v>85</v>
      </c>
      <c r="C4663" s="292"/>
      <c r="D4663" s="292"/>
      <c r="F4663" s="283" t="s">
        <v>91</v>
      </c>
      <c r="G4663" s="283"/>
      <c r="J4663" s="293">
        <v>90</v>
      </c>
      <c r="K4663" s="293"/>
      <c r="L4663" s="293"/>
      <c r="M4663" s="293"/>
      <c r="N4663" s="293"/>
      <c r="P4663" s="42">
        <v>22500</v>
      </c>
      <c r="R4663" s="42">
        <v>6330</v>
      </c>
      <c r="T4663" s="284">
        <v>16170</v>
      </c>
      <c r="U4663" s="284"/>
    </row>
    <row r="4664" spans="1:21" x14ac:dyDescent="0.25">
      <c r="B4664" s="292">
        <v>86</v>
      </c>
      <c r="C4664" s="292"/>
      <c r="D4664" s="292"/>
      <c r="F4664" s="283" t="s">
        <v>90</v>
      </c>
      <c r="G4664" s="283"/>
      <c r="J4664" s="293">
        <v>37</v>
      </c>
      <c r="K4664" s="293"/>
      <c r="L4664" s="293"/>
      <c r="M4664" s="293"/>
      <c r="N4664" s="293"/>
      <c r="P4664" s="42">
        <v>10730</v>
      </c>
      <c r="R4664" s="42">
        <v>3170</v>
      </c>
      <c r="T4664" s="284">
        <v>7560</v>
      </c>
      <c r="U4664" s="284"/>
    </row>
    <row r="4665" spans="1:21" x14ac:dyDescent="0.25">
      <c r="B4665" s="292">
        <v>87</v>
      </c>
      <c r="C4665" s="292"/>
      <c r="D4665" s="292"/>
      <c r="F4665" s="283" t="s">
        <v>88</v>
      </c>
      <c r="G4665" s="283"/>
      <c r="J4665" s="293">
        <v>81</v>
      </c>
      <c r="K4665" s="293"/>
      <c r="L4665" s="293"/>
      <c r="M4665" s="293"/>
      <c r="N4665" s="293"/>
      <c r="P4665" s="42">
        <v>14580</v>
      </c>
      <c r="R4665" s="42">
        <v>4620</v>
      </c>
      <c r="T4665" s="284">
        <v>9960</v>
      </c>
      <c r="U4665" s="284"/>
    </row>
    <row r="4666" spans="1:21" x14ac:dyDescent="0.25">
      <c r="B4666" s="292">
        <v>88</v>
      </c>
      <c r="C4666" s="292"/>
      <c r="D4666" s="292"/>
      <c r="F4666" s="283" t="s">
        <v>87</v>
      </c>
      <c r="G4666" s="283"/>
      <c r="J4666" s="293">
        <v>4</v>
      </c>
      <c r="K4666" s="293"/>
      <c r="L4666" s="293"/>
      <c r="M4666" s="293"/>
      <c r="N4666" s="293"/>
      <c r="P4666" s="42">
        <v>1160</v>
      </c>
      <c r="R4666" s="42">
        <v>320</v>
      </c>
      <c r="T4666" s="284">
        <v>840</v>
      </c>
      <c r="U4666" s="284"/>
    </row>
    <row r="4667" spans="1:21" x14ac:dyDescent="0.25">
      <c r="B4667" s="292">
        <v>89</v>
      </c>
      <c r="C4667" s="292"/>
      <c r="D4667" s="292"/>
      <c r="F4667" s="283" t="s">
        <v>86</v>
      </c>
      <c r="G4667" s="283"/>
      <c r="J4667" s="293">
        <v>7</v>
      </c>
      <c r="K4667" s="293"/>
      <c r="L4667" s="293"/>
      <c r="M4667" s="293"/>
      <c r="N4667" s="293"/>
      <c r="P4667" s="42">
        <v>7980</v>
      </c>
      <c r="R4667" s="42">
        <v>1190</v>
      </c>
      <c r="T4667" s="284">
        <v>6790</v>
      </c>
      <c r="U4667" s="284"/>
    </row>
    <row r="4668" spans="1:21" x14ac:dyDescent="0.25">
      <c r="B4668" s="292">
        <v>90</v>
      </c>
      <c r="C4668" s="292"/>
      <c r="D4668" s="292"/>
      <c r="F4668" s="283" t="s">
        <v>85</v>
      </c>
      <c r="G4668" s="283"/>
      <c r="J4668" s="293">
        <v>22</v>
      </c>
      <c r="K4668" s="293"/>
      <c r="L4668" s="293"/>
      <c r="M4668" s="293"/>
      <c r="N4668" s="293"/>
      <c r="P4668" s="42">
        <v>45760</v>
      </c>
      <c r="R4668" s="42">
        <v>6820</v>
      </c>
      <c r="T4668" s="284">
        <v>38940</v>
      </c>
      <c r="U4668" s="284"/>
    </row>
    <row r="4669" spans="1:21" x14ac:dyDescent="0.25">
      <c r="B4669" s="292">
        <v>91</v>
      </c>
      <c r="C4669" s="292"/>
      <c r="D4669" s="292"/>
      <c r="F4669" s="283" t="s">
        <v>84</v>
      </c>
      <c r="G4669" s="283"/>
      <c r="J4669" s="293">
        <v>5</v>
      </c>
      <c r="K4669" s="293"/>
      <c r="L4669" s="293"/>
      <c r="M4669" s="293"/>
      <c r="N4669" s="293"/>
      <c r="P4669" s="42">
        <v>2950</v>
      </c>
      <c r="R4669" s="42">
        <v>900</v>
      </c>
      <c r="T4669" s="284">
        <v>2050</v>
      </c>
      <c r="U4669" s="284"/>
    </row>
    <row r="4670" spans="1:21" x14ac:dyDescent="0.25">
      <c r="B4670" s="292">
        <v>92</v>
      </c>
      <c r="C4670" s="292"/>
      <c r="D4670" s="292"/>
      <c r="F4670" s="283" t="s">
        <v>82</v>
      </c>
      <c r="G4670" s="283"/>
      <c r="J4670" s="293">
        <v>12</v>
      </c>
      <c r="K4670" s="293"/>
      <c r="L4670" s="293"/>
      <c r="M4670" s="293"/>
      <c r="N4670" s="293"/>
      <c r="P4670" s="42">
        <v>3480</v>
      </c>
      <c r="R4670" s="42">
        <v>3480</v>
      </c>
      <c r="T4670" s="284">
        <v>0</v>
      </c>
      <c r="U4670" s="284"/>
    </row>
    <row r="4671" spans="1:21" x14ac:dyDescent="0.25">
      <c r="B4671" s="292">
        <v>93</v>
      </c>
      <c r="C4671" s="292"/>
      <c r="D4671" s="292"/>
      <c r="F4671" s="283" t="s">
        <v>81</v>
      </c>
      <c r="G4671" s="283"/>
      <c r="J4671" s="293">
        <v>93</v>
      </c>
      <c r="K4671" s="293"/>
      <c r="L4671" s="293"/>
      <c r="M4671" s="293"/>
      <c r="N4671" s="293"/>
      <c r="P4671" s="42">
        <v>26970</v>
      </c>
      <c r="R4671" s="42">
        <v>9540</v>
      </c>
      <c r="T4671" s="284">
        <v>17430</v>
      </c>
      <c r="U4671" s="284"/>
    </row>
    <row r="4672" spans="1:21" s="40" customFormat="1" x14ac:dyDescent="0.25">
      <c r="A4672" s="290" t="s">
        <v>252</v>
      </c>
      <c r="B4672" s="290"/>
      <c r="C4672" s="290"/>
      <c r="D4672" s="290"/>
      <c r="E4672" s="290"/>
      <c r="F4672" s="290"/>
      <c r="G4672" s="290"/>
      <c r="H4672" s="290"/>
      <c r="I4672" s="290"/>
      <c r="J4672" s="290"/>
      <c r="K4672" s="291">
        <v>12965</v>
      </c>
      <c r="L4672" s="291"/>
      <c r="M4672" s="291"/>
      <c r="N4672" s="291"/>
      <c r="O4672" s="291"/>
      <c r="P4672" s="41">
        <v>16014200</v>
      </c>
      <c r="R4672" s="41">
        <v>14982616</v>
      </c>
      <c r="T4672" s="287">
        <v>1031584</v>
      </c>
      <c r="U4672" s="287"/>
    </row>
    <row r="4673" spans="2:21" x14ac:dyDescent="0.25">
      <c r="B4673" s="292">
        <v>1</v>
      </c>
      <c r="C4673" s="292"/>
      <c r="D4673" s="292"/>
      <c r="F4673" s="283" t="s">
        <v>200</v>
      </c>
      <c r="G4673" s="283"/>
      <c r="J4673" s="293">
        <v>1</v>
      </c>
      <c r="K4673" s="293"/>
      <c r="L4673" s="293"/>
      <c r="M4673" s="293"/>
      <c r="N4673" s="293"/>
      <c r="P4673" s="42">
        <v>500</v>
      </c>
      <c r="R4673" s="42">
        <v>0</v>
      </c>
      <c r="T4673" s="284">
        <v>500</v>
      </c>
      <c r="U4673" s="284"/>
    </row>
    <row r="4674" spans="2:21" x14ac:dyDescent="0.25">
      <c r="B4674" s="292">
        <v>2</v>
      </c>
      <c r="C4674" s="292"/>
      <c r="D4674" s="292"/>
      <c r="F4674" s="283" t="s">
        <v>251</v>
      </c>
      <c r="G4674" s="283"/>
      <c r="J4674" s="293">
        <v>2</v>
      </c>
      <c r="K4674" s="293"/>
      <c r="L4674" s="293"/>
      <c r="M4674" s="293"/>
      <c r="N4674" s="293"/>
      <c r="P4674" s="42">
        <v>1600</v>
      </c>
      <c r="R4674" s="42">
        <v>400</v>
      </c>
      <c r="T4674" s="284">
        <v>1200</v>
      </c>
      <c r="U4674" s="284"/>
    </row>
    <row r="4675" spans="2:21" x14ac:dyDescent="0.25">
      <c r="B4675" s="292">
        <v>3</v>
      </c>
      <c r="C4675" s="292"/>
      <c r="D4675" s="292"/>
      <c r="F4675" s="283" t="s">
        <v>250</v>
      </c>
      <c r="G4675" s="283"/>
      <c r="J4675" s="293">
        <v>1</v>
      </c>
      <c r="K4675" s="293"/>
      <c r="L4675" s="293"/>
      <c r="M4675" s="293"/>
      <c r="N4675" s="293"/>
      <c r="P4675" s="42">
        <v>500</v>
      </c>
      <c r="R4675" s="42">
        <v>130</v>
      </c>
      <c r="T4675" s="284">
        <v>370</v>
      </c>
      <c r="U4675" s="284"/>
    </row>
    <row r="4676" spans="2:21" x14ac:dyDescent="0.25">
      <c r="B4676" s="292">
        <v>4</v>
      </c>
      <c r="C4676" s="292"/>
      <c r="D4676" s="292"/>
      <c r="F4676" s="283" t="s">
        <v>79</v>
      </c>
      <c r="G4676" s="283"/>
      <c r="J4676" s="293">
        <v>1</v>
      </c>
      <c r="K4676" s="293"/>
      <c r="L4676" s="293"/>
      <c r="M4676" s="293"/>
      <c r="N4676" s="293"/>
      <c r="P4676" s="42">
        <v>500</v>
      </c>
      <c r="R4676" s="42">
        <v>130</v>
      </c>
      <c r="T4676" s="284">
        <v>370</v>
      </c>
      <c r="U4676" s="284"/>
    </row>
    <row r="4677" spans="2:21" x14ac:dyDescent="0.25">
      <c r="B4677" s="292">
        <v>5</v>
      </c>
      <c r="C4677" s="292"/>
      <c r="D4677" s="292"/>
      <c r="F4677" s="283" t="s">
        <v>168</v>
      </c>
      <c r="G4677" s="283"/>
      <c r="J4677" s="293">
        <v>1</v>
      </c>
      <c r="K4677" s="293"/>
      <c r="L4677" s="293"/>
      <c r="M4677" s="293"/>
      <c r="N4677" s="293"/>
      <c r="P4677" s="42">
        <v>2200</v>
      </c>
      <c r="R4677" s="42">
        <v>330</v>
      </c>
      <c r="T4677" s="284">
        <v>1870</v>
      </c>
      <c r="U4677" s="284"/>
    </row>
    <row r="4678" spans="2:21" x14ac:dyDescent="0.25">
      <c r="B4678" s="292">
        <v>6</v>
      </c>
      <c r="C4678" s="292"/>
      <c r="D4678" s="292"/>
      <c r="F4678" s="283" t="s">
        <v>78</v>
      </c>
      <c r="G4678" s="283"/>
      <c r="J4678" s="293">
        <v>898</v>
      </c>
      <c r="K4678" s="293"/>
      <c r="L4678" s="293"/>
      <c r="M4678" s="293"/>
      <c r="N4678" s="293"/>
      <c r="P4678" s="42">
        <v>260420</v>
      </c>
      <c r="R4678" s="42">
        <v>260420</v>
      </c>
      <c r="T4678" s="284">
        <v>0</v>
      </c>
      <c r="U4678" s="284"/>
    </row>
    <row r="4679" spans="2:21" x14ac:dyDescent="0.25">
      <c r="B4679" s="292">
        <v>7</v>
      </c>
      <c r="C4679" s="292"/>
      <c r="D4679" s="292"/>
      <c r="F4679" s="283" t="s">
        <v>249</v>
      </c>
      <c r="G4679" s="283"/>
      <c r="J4679" s="293">
        <v>1</v>
      </c>
      <c r="K4679" s="293"/>
      <c r="L4679" s="293"/>
      <c r="M4679" s="293"/>
      <c r="N4679" s="293"/>
      <c r="P4679" s="42">
        <v>1300</v>
      </c>
      <c r="R4679" s="42">
        <v>200</v>
      </c>
      <c r="T4679" s="284">
        <v>1100</v>
      </c>
      <c r="U4679" s="284"/>
    </row>
    <row r="4680" spans="2:21" x14ac:dyDescent="0.25">
      <c r="B4680" s="292">
        <v>8</v>
      </c>
      <c r="C4680" s="292"/>
      <c r="D4680" s="292"/>
      <c r="F4680" s="283" t="s">
        <v>166</v>
      </c>
      <c r="G4680" s="283"/>
      <c r="J4680" s="293">
        <v>1</v>
      </c>
      <c r="K4680" s="293"/>
      <c r="L4680" s="293"/>
      <c r="M4680" s="293"/>
      <c r="N4680" s="293"/>
      <c r="P4680" s="42">
        <v>1900</v>
      </c>
      <c r="R4680" s="42">
        <v>0</v>
      </c>
      <c r="T4680" s="284">
        <v>1900</v>
      </c>
      <c r="U4680" s="284"/>
    </row>
    <row r="4681" spans="2:21" x14ac:dyDescent="0.25">
      <c r="B4681" s="292">
        <v>9</v>
      </c>
      <c r="C4681" s="292"/>
      <c r="D4681" s="292"/>
      <c r="F4681" s="283" t="s">
        <v>248</v>
      </c>
      <c r="G4681" s="283"/>
      <c r="J4681" s="293">
        <v>1</v>
      </c>
      <c r="K4681" s="293"/>
      <c r="L4681" s="293"/>
      <c r="M4681" s="293"/>
      <c r="N4681" s="293"/>
      <c r="P4681" s="42">
        <v>1200</v>
      </c>
      <c r="R4681" s="42">
        <v>0</v>
      </c>
      <c r="T4681" s="284">
        <v>1200</v>
      </c>
      <c r="U4681" s="284"/>
    </row>
    <row r="4682" spans="2:21" x14ac:dyDescent="0.25">
      <c r="B4682" s="292">
        <v>10</v>
      </c>
      <c r="C4682" s="292"/>
      <c r="D4682" s="292"/>
      <c r="F4682" s="283" t="s">
        <v>165</v>
      </c>
      <c r="G4682" s="283"/>
      <c r="J4682" s="293">
        <v>3</v>
      </c>
      <c r="K4682" s="293"/>
      <c r="L4682" s="293"/>
      <c r="M4682" s="293"/>
      <c r="N4682" s="293"/>
      <c r="P4682" s="42">
        <v>1770</v>
      </c>
      <c r="R4682" s="42">
        <v>88</v>
      </c>
      <c r="T4682" s="284">
        <v>1682</v>
      </c>
      <c r="U4682" s="284"/>
    </row>
    <row r="4683" spans="2:21" x14ac:dyDescent="0.25">
      <c r="B4683" s="292">
        <v>11</v>
      </c>
      <c r="C4683" s="292"/>
      <c r="D4683" s="292"/>
      <c r="F4683" s="283" t="s">
        <v>247</v>
      </c>
      <c r="G4683" s="283"/>
      <c r="J4683" s="293">
        <v>4</v>
      </c>
      <c r="K4683" s="293"/>
      <c r="L4683" s="293"/>
      <c r="M4683" s="293"/>
      <c r="N4683" s="293"/>
      <c r="P4683" s="42">
        <v>3520</v>
      </c>
      <c r="R4683" s="42">
        <v>260</v>
      </c>
      <c r="T4683" s="284">
        <v>3260</v>
      </c>
      <c r="U4683" s="284"/>
    </row>
    <row r="4684" spans="2:21" x14ac:dyDescent="0.25">
      <c r="B4684" s="292">
        <v>12</v>
      </c>
      <c r="C4684" s="292"/>
      <c r="D4684" s="292"/>
      <c r="F4684" s="283" t="s">
        <v>246</v>
      </c>
      <c r="G4684" s="283"/>
      <c r="J4684" s="293">
        <v>3</v>
      </c>
      <c r="K4684" s="293"/>
      <c r="L4684" s="293"/>
      <c r="M4684" s="293"/>
      <c r="N4684" s="293"/>
      <c r="P4684" s="42">
        <v>2970</v>
      </c>
      <c r="R4684" s="42">
        <v>307</v>
      </c>
      <c r="T4684" s="284">
        <v>2663</v>
      </c>
      <c r="U4684" s="284"/>
    </row>
    <row r="4685" spans="2:21" x14ac:dyDescent="0.25">
      <c r="B4685" s="292">
        <v>13</v>
      </c>
      <c r="C4685" s="292"/>
      <c r="D4685" s="292"/>
      <c r="F4685" s="283" t="s">
        <v>164</v>
      </c>
      <c r="G4685" s="283"/>
      <c r="J4685" s="293">
        <v>1</v>
      </c>
      <c r="K4685" s="293"/>
      <c r="L4685" s="293"/>
      <c r="M4685" s="293"/>
      <c r="N4685" s="293"/>
      <c r="P4685" s="42">
        <v>590</v>
      </c>
      <c r="R4685" s="42">
        <v>180</v>
      </c>
      <c r="T4685" s="284">
        <v>410</v>
      </c>
      <c r="U4685" s="284"/>
    </row>
    <row r="4686" spans="2:21" x14ac:dyDescent="0.25">
      <c r="B4686" s="292">
        <v>14</v>
      </c>
      <c r="C4686" s="292"/>
      <c r="D4686" s="292"/>
      <c r="F4686" s="283" t="s">
        <v>245</v>
      </c>
      <c r="G4686" s="283"/>
      <c r="J4686" s="293">
        <v>1</v>
      </c>
      <c r="K4686" s="293"/>
      <c r="L4686" s="293"/>
      <c r="M4686" s="293"/>
      <c r="N4686" s="293"/>
      <c r="P4686" s="42">
        <v>3000</v>
      </c>
      <c r="R4686" s="42">
        <v>750</v>
      </c>
      <c r="T4686" s="284">
        <v>2250</v>
      </c>
      <c r="U4686" s="284"/>
    </row>
    <row r="4687" spans="2:21" x14ac:dyDescent="0.25">
      <c r="B4687" s="292">
        <v>15</v>
      </c>
      <c r="C4687" s="292"/>
      <c r="D4687" s="292"/>
      <c r="F4687" s="283" t="s">
        <v>163</v>
      </c>
      <c r="G4687" s="283"/>
      <c r="J4687" s="293">
        <v>3</v>
      </c>
      <c r="K4687" s="293"/>
      <c r="L4687" s="293"/>
      <c r="M4687" s="293"/>
      <c r="N4687" s="293"/>
      <c r="P4687" s="42">
        <v>3570</v>
      </c>
      <c r="R4687" s="42">
        <v>180</v>
      </c>
      <c r="T4687" s="284">
        <v>3390</v>
      </c>
      <c r="U4687" s="284"/>
    </row>
    <row r="4688" spans="2:21" x14ac:dyDescent="0.25">
      <c r="B4688" s="292">
        <v>16</v>
      </c>
      <c r="C4688" s="292"/>
      <c r="D4688" s="292"/>
      <c r="F4688" s="283" t="s">
        <v>162</v>
      </c>
      <c r="G4688" s="283"/>
      <c r="J4688" s="293">
        <v>16</v>
      </c>
      <c r="K4688" s="293"/>
      <c r="L4688" s="293"/>
      <c r="M4688" s="293"/>
      <c r="N4688" s="293"/>
      <c r="P4688" s="42">
        <v>6880</v>
      </c>
      <c r="R4688" s="42">
        <v>3003</v>
      </c>
      <c r="T4688" s="284">
        <v>3877</v>
      </c>
      <c r="U4688" s="284"/>
    </row>
    <row r="4689" spans="2:21" x14ac:dyDescent="0.25">
      <c r="B4689" s="292">
        <v>17</v>
      </c>
      <c r="C4689" s="292"/>
      <c r="D4689" s="292"/>
      <c r="F4689" s="283" t="s">
        <v>198</v>
      </c>
      <c r="G4689" s="283"/>
      <c r="J4689" s="293">
        <v>1</v>
      </c>
      <c r="K4689" s="293"/>
      <c r="L4689" s="293"/>
      <c r="M4689" s="293"/>
      <c r="N4689" s="293"/>
      <c r="P4689" s="42">
        <v>290</v>
      </c>
      <c r="R4689" s="42">
        <v>80</v>
      </c>
      <c r="T4689" s="284">
        <v>210</v>
      </c>
      <c r="U4689" s="284"/>
    </row>
    <row r="4690" spans="2:21" x14ac:dyDescent="0.25">
      <c r="B4690" s="292">
        <v>18</v>
      </c>
      <c r="C4690" s="292"/>
      <c r="D4690" s="292"/>
      <c r="F4690" s="283" t="s">
        <v>160</v>
      </c>
      <c r="G4690" s="283"/>
      <c r="J4690" s="293">
        <v>26</v>
      </c>
      <c r="K4690" s="293"/>
      <c r="L4690" s="293"/>
      <c r="M4690" s="293"/>
      <c r="N4690" s="293"/>
      <c r="P4690" s="42">
        <v>7540</v>
      </c>
      <c r="R4690" s="42">
        <v>560</v>
      </c>
      <c r="T4690" s="284">
        <v>6980</v>
      </c>
      <c r="U4690" s="284"/>
    </row>
    <row r="4691" spans="2:21" x14ac:dyDescent="0.25">
      <c r="B4691" s="292">
        <v>19</v>
      </c>
      <c r="C4691" s="292"/>
      <c r="D4691" s="292"/>
      <c r="F4691" s="283" t="s">
        <v>158</v>
      </c>
      <c r="G4691" s="283"/>
      <c r="J4691" s="293">
        <v>524</v>
      </c>
      <c r="K4691" s="293"/>
      <c r="L4691" s="293"/>
      <c r="M4691" s="293"/>
      <c r="N4691" s="293"/>
      <c r="P4691" s="42">
        <v>288200</v>
      </c>
      <c r="R4691" s="42">
        <v>40878</v>
      </c>
      <c r="T4691" s="284">
        <v>247322</v>
      </c>
      <c r="U4691" s="284"/>
    </row>
    <row r="4692" spans="2:21" x14ac:dyDescent="0.25">
      <c r="B4692" s="292">
        <v>20</v>
      </c>
      <c r="C4692" s="292"/>
      <c r="D4692" s="292"/>
      <c r="F4692" s="283" t="s">
        <v>157</v>
      </c>
      <c r="G4692" s="283"/>
      <c r="J4692" s="293">
        <v>200</v>
      </c>
      <c r="K4692" s="293"/>
      <c r="L4692" s="293"/>
      <c r="M4692" s="293"/>
      <c r="N4692" s="293"/>
      <c r="P4692" s="42">
        <v>98000</v>
      </c>
      <c r="R4692" s="42">
        <v>25316</v>
      </c>
      <c r="T4692" s="284">
        <v>72684</v>
      </c>
      <c r="U4692" s="284"/>
    </row>
    <row r="4693" spans="2:21" x14ac:dyDescent="0.25">
      <c r="B4693" s="292">
        <v>21</v>
      </c>
      <c r="C4693" s="292"/>
      <c r="D4693" s="292"/>
      <c r="F4693" s="283" t="s">
        <v>197</v>
      </c>
      <c r="G4693" s="283"/>
      <c r="J4693" s="293">
        <v>1</v>
      </c>
      <c r="K4693" s="293"/>
      <c r="L4693" s="293"/>
      <c r="M4693" s="293"/>
      <c r="N4693" s="293"/>
      <c r="P4693" s="42">
        <v>500</v>
      </c>
      <c r="R4693" s="42">
        <v>150</v>
      </c>
      <c r="T4693" s="284">
        <v>350</v>
      </c>
      <c r="U4693" s="284"/>
    </row>
    <row r="4694" spans="2:21" x14ac:dyDescent="0.25">
      <c r="B4694" s="292">
        <v>22</v>
      </c>
      <c r="C4694" s="292"/>
      <c r="D4694" s="292"/>
      <c r="F4694" s="283" t="s">
        <v>196</v>
      </c>
      <c r="G4694" s="283"/>
      <c r="J4694" s="293">
        <v>4</v>
      </c>
      <c r="K4694" s="293"/>
      <c r="L4694" s="293"/>
      <c r="M4694" s="293"/>
      <c r="N4694" s="293"/>
      <c r="P4694" s="42">
        <v>2800</v>
      </c>
      <c r="R4694" s="42">
        <v>350</v>
      </c>
      <c r="T4694" s="284">
        <v>2450</v>
      </c>
      <c r="U4694" s="284"/>
    </row>
    <row r="4695" spans="2:21" x14ac:dyDescent="0.25">
      <c r="B4695" s="292">
        <v>23</v>
      </c>
      <c r="C4695" s="292"/>
      <c r="D4695" s="292"/>
      <c r="F4695" s="283" t="s">
        <v>244</v>
      </c>
      <c r="G4695" s="283"/>
      <c r="J4695" s="293">
        <v>101</v>
      </c>
      <c r="K4695" s="293"/>
      <c r="L4695" s="293"/>
      <c r="M4695" s="293"/>
      <c r="N4695" s="293"/>
      <c r="P4695" s="42">
        <v>31900</v>
      </c>
      <c r="R4695" s="42">
        <v>4331</v>
      </c>
      <c r="T4695" s="284">
        <v>27569</v>
      </c>
      <c r="U4695" s="284"/>
    </row>
    <row r="4696" spans="2:21" x14ac:dyDescent="0.25">
      <c r="B4696" s="292">
        <v>24</v>
      </c>
      <c r="C4696" s="292"/>
      <c r="D4696" s="292"/>
      <c r="F4696" s="283" t="s">
        <v>77</v>
      </c>
      <c r="G4696" s="283"/>
      <c r="J4696" s="293">
        <v>4709</v>
      </c>
      <c r="K4696" s="293"/>
      <c r="L4696" s="293"/>
      <c r="M4696" s="293"/>
      <c r="N4696" s="293"/>
      <c r="P4696" s="42">
        <v>1910000</v>
      </c>
      <c r="R4696" s="42">
        <v>1906900</v>
      </c>
      <c r="T4696" s="284">
        <v>3100</v>
      </c>
      <c r="U4696" s="284"/>
    </row>
    <row r="4697" spans="2:21" x14ac:dyDescent="0.25">
      <c r="B4697" s="292">
        <v>25</v>
      </c>
      <c r="C4697" s="292"/>
      <c r="D4697" s="292"/>
      <c r="F4697" s="283" t="s">
        <v>243</v>
      </c>
      <c r="G4697" s="283"/>
      <c r="J4697" s="293">
        <v>5</v>
      </c>
      <c r="K4697" s="293"/>
      <c r="L4697" s="293"/>
      <c r="M4697" s="293"/>
      <c r="N4697" s="293"/>
      <c r="P4697" s="42">
        <v>750</v>
      </c>
      <c r="R4697" s="42">
        <v>199</v>
      </c>
      <c r="T4697" s="284">
        <v>551</v>
      </c>
      <c r="U4697" s="284"/>
    </row>
    <row r="4698" spans="2:21" x14ac:dyDescent="0.25">
      <c r="B4698" s="292">
        <v>26</v>
      </c>
      <c r="C4698" s="292"/>
      <c r="D4698" s="292"/>
      <c r="F4698" s="283" t="s">
        <v>242</v>
      </c>
      <c r="G4698" s="283"/>
      <c r="J4698" s="293">
        <v>1</v>
      </c>
      <c r="K4698" s="293"/>
      <c r="L4698" s="293"/>
      <c r="M4698" s="293"/>
      <c r="N4698" s="293"/>
      <c r="P4698" s="42">
        <v>500</v>
      </c>
      <c r="R4698" s="42">
        <v>0</v>
      </c>
      <c r="T4698" s="284">
        <v>500</v>
      </c>
      <c r="U4698" s="284"/>
    </row>
    <row r="4699" spans="2:21" x14ac:dyDescent="0.25">
      <c r="B4699" s="292">
        <v>27</v>
      </c>
      <c r="C4699" s="292"/>
      <c r="D4699" s="292"/>
      <c r="F4699" s="283" t="s">
        <v>241</v>
      </c>
      <c r="G4699" s="283"/>
      <c r="J4699" s="293">
        <v>6</v>
      </c>
      <c r="K4699" s="293"/>
      <c r="L4699" s="293"/>
      <c r="M4699" s="293"/>
      <c r="N4699" s="293"/>
      <c r="P4699" s="42">
        <v>2100</v>
      </c>
      <c r="R4699" s="42">
        <v>2100</v>
      </c>
      <c r="T4699" s="284">
        <v>0</v>
      </c>
      <c r="U4699" s="284"/>
    </row>
    <row r="4700" spans="2:21" x14ac:dyDescent="0.25">
      <c r="B4700" s="292">
        <v>28</v>
      </c>
      <c r="C4700" s="292"/>
      <c r="D4700" s="292"/>
      <c r="F4700" s="283" t="s">
        <v>76</v>
      </c>
      <c r="G4700" s="283"/>
      <c r="J4700" s="293">
        <v>3</v>
      </c>
      <c r="K4700" s="293"/>
      <c r="L4700" s="293"/>
      <c r="M4700" s="293"/>
      <c r="N4700" s="293"/>
      <c r="P4700" s="42">
        <v>1800</v>
      </c>
      <c r="R4700" s="42">
        <v>1800</v>
      </c>
      <c r="T4700" s="284">
        <v>0</v>
      </c>
      <c r="U4700" s="284"/>
    </row>
    <row r="4701" spans="2:21" x14ac:dyDescent="0.25">
      <c r="B4701" s="292">
        <v>29</v>
      </c>
      <c r="C4701" s="292"/>
      <c r="D4701" s="292"/>
      <c r="F4701" s="283" t="s">
        <v>156</v>
      </c>
      <c r="G4701" s="283"/>
      <c r="J4701" s="293">
        <v>9</v>
      </c>
      <c r="K4701" s="293"/>
      <c r="L4701" s="293"/>
      <c r="M4701" s="293"/>
      <c r="N4701" s="293"/>
      <c r="P4701" s="42">
        <v>1710</v>
      </c>
      <c r="R4701" s="42">
        <v>520</v>
      </c>
      <c r="T4701" s="284">
        <v>1190</v>
      </c>
      <c r="U4701" s="284"/>
    </row>
    <row r="4702" spans="2:21" x14ac:dyDescent="0.25">
      <c r="B4702" s="292">
        <v>30</v>
      </c>
      <c r="C4702" s="292"/>
      <c r="D4702" s="292"/>
      <c r="F4702" s="283" t="s">
        <v>240</v>
      </c>
      <c r="G4702" s="283"/>
      <c r="J4702" s="293">
        <v>1</v>
      </c>
      <c r="K4702" s="293"/>
      <c r="L4702" s="293"/>
      <c r="M4702" s="293"/>
      <c r="N4702" s="293"/>
      <c r="P4702" s="42">
        <v>3240</v>
      </c>
      <c r="R4702" s="42">
        <v>0</v>
      </c>
      <c r="T4702" s="284">
        <v>3240</v>
      </c>
      <c r="U4702" s="284"/>
    </row>
    <row r="4703" spans="2:21" x14ac:dyDescent="0.25">
      <c r="B4703" s="292">
        <v>31</v>
      </c>
      <c r="C4703" s="292"/>
      <c r="D4703" s="292"/>
      <c r="F4703" s="283" t="s">
        <v>155</v>
      </c>
      <c r="G4703" s="283"/>
      <c r="J4703" s="293">
        <v>81</v>
      </c>
      <c r="K4703" s="293"/>
      <c r="L4703" s="293"/>
      <c r="M4703" s="293"/>
      <c r="N4703" s="293"/>
      <c r="P4703" s="42">
        <v>20250</v>
      </c>
      <c r="R4703" s="42">
        <v>1372</v>
      </c>
      <c r="T4703" s="284">
        <v>18878</v>
      </c>
      <c r="U4703" s="284"/>
    </row>
    <row r="4704" spans="2:21" x14ac:dyDescent="0.25">
      <c r="B4704" s="292">
        <v>32</v>
      </c>
      <c r="C4704" s="292"/>
      <c r="D4704" s="292"/>
      <c r="F4704" s="283" t="s">
        <v>239</v>
      </c>
      <c r="G4704" s="283"/>
      <c r="J4704" s="293">
        <v>1</v>
      </c>
      <c r="K4704" s="293"/>
      <c r="L4704" s="293"/>
      <c r="M4704" s="293"/>
      <c r="N4704" s="293"/>
      <c r="P4704" s="42">
        <v>1090</v>
      </c>
      <c r="R4704" s="42">
        <v>0</v>
      </c>
      <c r="T4704" s="284">
        <v>1090</v>
      </c>
      <c r="U4704" s="284"/>
    </row>
    <row r="4705" spans="2:21" x14ac:dyDescent="0.25">
      <c r="B4705" s="292">
        <v>33</v>
      </c>
      <c r="C4705" s="292"/>
      <c r="D4705" s="292"/>
      <c r="F4705" s="283" t="s">
        <v>195</v>
      </c>
      <c r="G4705" s="283"/>
      <c r="J4705" s="293">
        <v>2</v>
      </c>
      <c r="K4705" s="293"/>
      <c r="L4705" s="293"/>
      <c r="M4705" s="293"/>
      <c r="N4705" s="293"/>
      <c r="P4705" s="42">
        <v>1900</v>
      </c>
      <c r="R4705" s="42">
        <v>279</v>
      </c>
      <c r="T4705" s="284">
        <v>1621</v>
      </c>
      <c r="U4705" s="284"/>
    </row>
    <row r="4706" spans="2:21" x14ac:dyDescent="0.25">
      <c r="B4706" s="292">
        <v>34</v>
      </c>
      <c r="C4706" s="292"/>
      <c r="D4706" s="292"/>
      <c r="F4706" s="283" t="s">
        <v>194</v>
      </c>
      <c r="G4706" s="283"/>
      <c r="J4706" s="293">
        <v>5</v>
      </c>
      <c r="K4706" s="293"/>
      <c r="L4706" s="293"/>
      <c r="M4706" s="293"/>
      <c r="N4706" s="293"/>
      <c r="P4706" s="42">
        <v>3500</v>
      </c>
      <c r="R4706" s="42">
        <v>715</v>
      </c>
      <c r="T4706" s="284">
        <v>2785</v>
      </c>
      <c r="U4706" s="284"/>
    </row>
    <row r="4707" spans="2:21" x14ac:dyDescent="0.25">
      <c r="B4707" s="292">
        <v>35</v>
      </c>
      <c r="C4707" s="292"/>
      <c r="D4707" s="292"/>
      <c r="F4707" s="283" t="s">
        <v>152</v>
      </c>
      <c r="G4707" s="283"/>
      <c r="J4707" s="293">
        <v>24</v>
      </c>
      <c r="K4707" s="293"/>
      <c r="L4707" s="293"/>
      <c r="M4707" s="293"/>
      <c r="N4707" s="293"/>
      <c r="P4707" s="42">
        <v>14160</v>
      </c>
      <c r="R4707" s="42">
        <v>2104</v>
      </c>
      <c r="T4707" s="284">
        <v>12056</v>
      </c>
      <c r="U4707" s="284"/>
    </row>
    <row r="4708" spans="2:21" x14ac:dyDescent="0.25">
      <c r="B4708" s="292">
        <v>36</v>
      </c>
      <c r="C4708" s="292"/>
      <c r="D4708" s="292"/>
      <c r="F4708" s="283" t="s">
        <v>151</v>
      </c>
      <c r="G4708" s="283"/>
      <c r="J4708" s="293">
        <v>11</v>
      </c>
      <c r="K4708" s="293"/>
      <c r="L4708" s="293"/>
      <c r="M4708" s="293"/>
      <c r="N4708" s="293"/>
      <c r="P4708" s="42">
        <v>2530</v>
      </c>
      <c r="R4708" s="42">
        <v>600</v>
      </c>
      <c r="T4708" s="284">
        <v>1930</v>
      </c>
      <c r="U4708" s="284"/>
    </row>
    <row r="4709" spans="2:21" x14ac:dyDescent="0.25">
      <c r="B4709" s="292">
        <v>37</v>
      </c>
      <c r="C4709" s="292"/>
      <c r="D4709" s="292"/>
      <c r="F4709" s="283" t="s">
        <v>238</v>
      </c>
      <c r="G4709" s="283"/>
      <c r="J4709" s="293">
        <v>1</v>
      </c>
      <c r="K4709" s="293"/>
      <c r="L4709" s="293"/>
      <c r="M4709" s="293"/>
      <c r="N4709" s="293"/>
      <c r="P4709" s="42">
        <v>990</v>
      </c>
      <c r="R4709" s="42">
        <v>0</v>
      </c>
      <c r="T4709" s="284">
        <v>990</v>
      </c>
      <c r="U4709" s="284"/>
    </row>
    <row r="4710" spans="2:21" x14ac:dyDescent="0.25">
      <c r="B4710" s="292">
        <v>38</v>
      </c>
      <c r="C4710" s="292"/>
      <c r="D4710" s="292"/>
      <c r="F4710" s="283" t="s">
        <v>150</v>
      </c>
      <c r="G4710" s="283"/>
      <c r="J4710" s="293">
        <v>3</v>
      </c>
      <c r="K4710" s="293"/>
      <c r="L4710" s="293"/>
      <c r="M4710" s="293"/>
      <c r="N4710" s="293"/>
      <c r="P4710" s="42">
        <v>510</v>
      </c>
      <c r="R4710" s="42">
        <v>50</v>
      </c>
      <c r="T4710" s="284">
        <v>460</v>
      </c>
      <c r="U4710" s="284"/>
    </row>
    <row r="4711" spans="2:21" x14ac:dyDescent="0.25">
      <c r="B4711" s="292">
        <v>39</v>
      </c>
      <c r="C4711" s="292"/>
      <c r="D4711" s="292"/>
      <c r="F4711" s="283" t="s">
        <v>149</v>
      </c>
      <c r="G4711" s="283"/>
      <c r="J4711" s="293">
        <v>83</v>
      </c>
      <c r="K4711" s="293"/>
      <c r="L4711" s="293"/>
      <c r="M4711" s="293"/>
      <c r="N4711" s="293"/>
      <c r="P4711" s="42">
        <v>4150</v>
      </c>
      <c r="R4711" s="42">
        <v>374</v>
      </c>
      <c r="T4711" s="284">
        <v>3776</v>
      </c>
      <c r="U4711" s="284"/>
    </row>
    <row r="4712" spans="2:21" x14ac:dyDescent="0.25">
      <c r="B4712" s="292">
        <v>40</v>
      </c>
      <c r="C4712" s="292"/>
      <c r="D4712" s="292"/>
      <c r="F4712" s="283" t="s">
        <v>237</v>
      </c>
      <c r="G4712" s="283"/>
      <c r="J4712" s="293">
        <v>1</v>
      </c>
      <c r="K4712" s="293"/>
      <c r="L4712" s="293"/>
      <c r="M4712" s="293"/>
      <c r="N4712" s="293"/>
      <c r="P4712" s="42">
        <v>800</v>
      </c>
      <c r="R4712" s="42">
        <v>200</v>
      </c>
      <c r="T4712" s="284">
        <v>600</v>
      </c>
      <c r="U4712" s="284"/>
    </row>
    <row r="4713" spans="2:21" x14ac:dyDescent="0.25">
      <c r="B4713" s="292">
        <v>41</v>
      </c>
      <c r="C4713" s="292"/>
      <c r="D4713" s="292"/>
      <c r="F4713" s="283" t="s">
        <v>236</v>
      </c>
      <c r="G4713" s="283"/>
      <c r="J4713" s="293">
        <v>1</v>
      </c>
      <c r="K4713" s="293"/>
      <c r="L4713" s="293"/>
      <c r="M4713" s="293"/>
      <c r="N4713" s="293"/>
      <c r="P4713" s="42">
        <v>800</v>
      </c>
      <c r="R4713" s="42">
        <v>0</v>
      </c>
      <c r="T4713" s="284">
        <v>800</v>
      </c>
      <c r="U4713" s="284"/>
    </row>
    <row r="4714" spans="2:21" x14ac:dyDescent="0.25">
      <c r="B4714" s="292">
        <v>42</v>
      </c>
      <c r="C4714" s="292"/>
      <c r="D4714" s="292"/>
      <c r="F4714" s="283" t="s">
        <v>235</v>
      </c>
      <c r="G4714" s="283"/>
      <c r="J4714" s="293">
        <v>2</v>
      </c>
      <c r="K4714" s="293"/>
      <c r="L4714" s="293"/>
      <c r="M4714" s="293"/>
      <c r="N4714" s="293"/>
      <c r="P4714" s="42">
        <v>1900</v>
      </c>
      <c r="R4714" s="42">
        <v>0</v>
      </c>
      <c r="T4714" s="284">
        <v>1900</v>
      </c>
      <c r="U4714" s="284"/>
    </row>
    <row r="4715" spans="2:21" x14ac:dyDescent="0.25">
      <c r="B4715" s="292">
        <v>43</v>
      </c>
      <c r="C4715" s="292"/>
      <c r="D4715" s="292"/>
      <c r="F4715" s="283" t="s">
        <v>234</v>
      </c>
      <c r="G4715" s="283"/>
      <c r="J4715" s="293">
        <v>2</v>
      </c>
      <c r="K4715" s="293"/>
      <c r="L4715" s="293"/>
      <c r="M4715" s="293"/>
      <c r="N4715" s="293"/>
      <c r="P4715" s="42">
        <v>1600</v>
      </c>
      <c r="R4715" s="42">
        <v>450</v>
      </c>
      <c r="T4715" s="284">
        <v>1150</v>
      </c>
      <c r="U4715" s="284"/>
    </row>
    <row r="4716" spans="2:21" x14ac:dyDescent="0.25">
      <c r="B4716" s="292">
        <v>44</v>
      </c>
      <c r="C4716" s="292"/>
      <c r="D4716" s="292"/>
      <c r="F4716" s="283" t="s">
        <v>233</v>
      </c>
      <c r="G4716" s="283"/>
      <c r="J4716" s="293">
        <v>2</v>
      </c>
      <c r="K4716" s="293"/>
      <c r="L4716" s="293"/>
      <c r="M4716" s="293"/>
      <c r="N4716" s="293"/>
      <c r="P4716" s="42">
        <v>1960</v>
      </c>
      <c r="R4716" s="42">
        <v>150</v>
      </c>
      <c r="T4716" s="284">
        <v>1810</v>
      </c>
      <c r="U4716" s="284"/>
    </row>
    <row r="4717" spans="2:21" x14ac:dyDescent="0.25">
      <c r="B4717" s="292">
        <v>45</v>
      </c>
      <c r="C4717" s="292"/>
      <c r="D4717" s="292"/>
      <c r="F4717" s="283" t="s">
        <v>232</v>
      </c>
      <c r="G4717" s="283"/>
      <c r="J4717" s="293">
        <v>1</v>
      </c>
      <c r="K4717" s="293"/>
      <c r="L4717" s="293"/>
      <c r="M4717" s="293"/>
      <c r="N4717" s="293"/>
      <c r="P4717" s="42">
        <v>980</v>
      </c>
      <c r="R4717" s="42">
        <v>150</v>
      </c>
      <c r="T4717" s="284">
        <v>830</v>
      </c>
      <c r="U4717" s="284"/>
    </row>
    <row r="4718" spans="2:21" x14ac:dyDescent="0.25">
      <c r="B4718" s="292">
        <v>46</v>
      </c>
      <c r="C4718" s="292"/>
      <c r="D4718" s="292"/>
      <c r="F4718" s="283" t="s">
        <v>193</v>
      </c>
      <c r="G4718" s="283"/>
      <c r="J4718" s="293">
        <v>20</v>
      </c>
      <c r="K4718" s="293"/>
      <c r="L4718" s="293"/>
      <c r="M4718" s="293"/>
      <c r="N4718" s="293"/>
      <c r="P4718" s="42">
        <v>17800</v>
      </c>
      <c r="R4718" s="42">
        <v>260</v>
      </c>
      <c r="T4718" s="284">
        <v>17540</v>
      </c>
      <c r="U4718" s="284"/>
    </row>
    <row r="4719" spans="2:21" x14ac:dyDescent="0.25">
      <c r="B4719" s="292">
        <v>47</v>
      </c>
      <c r="C4719" s="292"/>
      <c r="D4719" s="292"/>
      <c r="F4719" s="283" t="s">
        <v>142</v>
      </c>
      <c r="G4719" s="283"/>
      <c r="J4719" s="293">
        <v>5</v>
      </c>
      <c r="K4719" s="293"/>
      <c r="L4719" s="293"/>
      <c r="M4719" s="293"/>
      <c r="N4719" s="293"/>
      <c r="P4719" s="42">
        <v>1750</v>
      </c>
      <c r="R4719" s="42">
        <v>750</v>
      </c>
      <c r="T4719" s="284">
        <v>1000</v>
      </c>
      <c r="U4719" s="284"/>
    </row>
    <row r="4720" spans="2:21" x14ac:dyDescent="0.25">
      <c r="B4720" s="292">
        <v>48</v>
      </c>
      <c r="C4720" s="292"/>
      <c r="D4720" s="292"/>
      <c r="F4720" s="283" t="s">
        <v>75</v>
      </c>
      <c r="G4720" s="283"/>
      <c r="J4720" s="293">
        <v>5055</v>
      </c>
      <c r="K4720" s="293"/>
      <c r="L4720" s="293"/>
      <c r="M4720" s="293"/>
      <c r="N4720" s="293"/>
      <c r="P4720" s="42">
        <v>12637500</v>
      </c>
      <c r="R4720" s="42">
        <v>12637500</v>
      </c>
      <c r="T4720" s="284">
        <v>0</v>
      </c>
      <c r="U4720" s="284"/>
    </row>
    <row r="4721" spans="2:21" x14ac:dyDescent="0.25">
      <c r="B4721" s="292">
        <v>49</v>
      </c>
      <c r="C4721" s="292"/>
      <c r="D4721" s="292"/>
      <c r="F4721" s="283" t="s">
        <v>231</v>
      </c>
      <c r="G4721" s="283"/>
      <c r="J4721" s="293">
        <v>2</v>
      </c>
      <c r="K4721" s="293"/>
      <c r="L4721" s="293"/>
      <c r="M4721" s="293"/>
      <c r="N4721" s="293"/>
      <c r="P4721" s="42">
        <v>1000</v>
      </c>
      <c r="R4721" s="42">
        <v>0</v>
      </c>
      <c r="T4721" s="284">
        <v>1000</v>
      </c>
      <c r="U4721" s="284"/>
    </row>
    <row r="4722" spans="2:21" x14ac:dyDescent="0.25">
      <c r="B4722" s="292">
        <v>50</v>
      </c>
      <c r="C4722" s="292"/>
      <c r="D4722" s="292"/>
      <c r="F4722" s="283" t="s">
        <v>137</v>
      </c>
      <c r="G4722" s="283"/>
      <c r="J4722" s="293">
        <v>1</v>
      </c>
      <c r="K4722" s="293"/>
      <c r="L4722" s="293"/>
      <c r="M4722" s="293"/>
      <c r="N4722" s="293"/>
      <c r="P4722" s="42">
        <v>800</v>
      </c>
      <c r="R4722" s="42">
        <v>0</v>
      </c>
      <c r="T4722" s="284">
        <v>800</v>
      </c>
      <c r="U4722" s="284"/>
    </row>
    <row r="4723" spans="2:21" x14ac:dyDescent="0.25">
      <c r="B4723" s="292">
        <v>51</v>
      </c>
      <c r="C4723" s="292"/>
      <c r="D4723" s="292"/>
      <c r="F4723" s="283" t="s">
        <v>136</v>
      </c>
      <c r="G4723" s="283"/>
      <c r="J4723" s="293">
        <v>82</v>
      </c>
      <c r="K4723" s="293"/>
      <c r="L4723" s="293"/>
      <c r="M4723" s="293"/>
      <c r="N4723" s="293"/>
      <c r="P4723" s="42">
        <v>69700</v>
      </c>
      <c r="R4723" s="42">
        <v>780</v>
      </c>
      <c r="T4723" s="284">
        <v>68920</v>
      </c>
      <c r="U4723" s="284"/>
    </row>
    <row r="4724" spans="2:21" x14ac:dyDescent="0.25">
      <c r="B4724" s="292">
        <v>52</v>
      </c>
      <c r="C4724" s="292"/>
      <c r="D4724" s="292"/>
      <c r="F4724" s="283" t="s">
        <v>74</v>
      </c>
      <c r="G4724" s="283"/>
      <c r="J4724" s="293">
        <v>7</v>
      </c>
      <c r="K4724" s="293"/>
      <c r="L4724" s="293"/>
      <c r="M4724" s="293"/>
      <c r="N4724" s="293"/>
      <c r="P4724" s="42">
        <v>5950</v>
      </c>
      <c r="R4724" s="42">
        <v>5950</v>
      </c>
      <c r="T4724" s="284">
        <v>0</v>
      </c>
      <c r="U4724" s="284"/>
    </row>
    <row r="4725" spans="2:21" x14ac:dyDescent="0.25">
      <c r="B4725" s="292">
        <v>53</v>
      </c>
      <c r="C4725" s="292"/>
      <c r="D4725" s="292"/>
      <c r="F4725" s="283" t="s">
        <v>190</v>
      </c>
      <c r="G4725" s="283"/>
      <c r="J4725" s="293">
        <v>6</v>
      </c>
      <c r="K4725" s="293"/>
      <c r="L4725" s="293"/>
      <c r="M4725" s="293"/>
      <c r="N4725" s="293"/>
      <c r="P4725" s="42">
        <v>9420</v>
      </c>
      <c r="R4725" s="42">
        <v>1200</v>
      </c>
      <c r="T4725" s="284">
        <v>8220</v>
      </c>
      <c r="U4725" s="284"/>
    </row>
    <row r="4726" spans="2:21" x14ac:dyDescent="0.25">
      <c r="B4726" s="292">
        <v>54</v>
      </c>
      <c r="C4726" s="292"/>
      <c r="D4726" s="292"/>
      <c r="F4726" s="283" t="s">
        <v>230</v>
      </c>
      <c r="G4726" s="283"/>
      <c r="J4726" s="293">
        <v>1</v>
      </c>
      <c r="K4726" s="293"/>
      <c r="L4726" s="293"/>
      <c r="M4726" s="293"/>
      <c r="N4726" s="293"/>
      <c r="P4726" s="42">
        <v>950</v>
      </c>
      <c r="R4726" s="42">
        <v>140</v>
      </c>
      <c r="T4726" s="284">
        <v>810</v>
      </c>
      <c r="U4726" s="284"/>
    </row>
    <row r="4727" spans="2:21" x14ac:dyDescent="0.25">
      <c r="B4727" s="292">
        <v>55</v>
      </c>
      <c r="C4727" s="292"/>
      <c r="D4727" s="292"/>
      <c r="F4727" s="283" t="s">
        <v>135</v>
      </c>
      <c r="G4727" s="283"/>
      <c r="J4727" s="293">
        <v>13</v>
      </c>
      <c r="K4727" s="293"/>
      <c r="L4727" s="293"/>
      <c r="M4727" s="293"/>
      <c r="N4727" s="293"/>
      <c r="P4727" s="42">
        <v>12350</v>
      </c>
      <c r="R4727" s="42">
        <v>3370</v>
      </c>
      <c r="T4727" s="284">
        <v>8980</v>
      </c>
      <c r="U4727" s="284"/>
    </row>
    <row r="4728" spans="2:21" x14ac:dyDescent="0.25">
      <c r="B4728" s="292">
        <v>56</v>
      </c>
      <c r="C4728" s="292"/>
      <c r="D4728" s="292"/>
      <c r="F4728" s="283" t="s">
        <v>134</v>
      </c>
      <c r="G4728" s="283"/>
      <c r="J4728" s="293">
        <v>1</v>
      </c>
      <c r="K4728" s="293"/>
      <c r="L4728" s="293"/>
      <c r="M4728" s="293"/>
      <c r="N4728" s="293"/>
      <c r="P4728" s="42">
        <v>3700</v>
      </c>
      <c r="R4728" s="42">
        <v>0</v>
      </c>
      <c r="T4728" s="284">
        <v>3700</v>
      </c>
      <c r="U4728" s="284"/>
    </row>
    <row r="4729" spans="2:21" x14ac:dyDescent="0.25">
      <c r="B4729" s="292">
        <v>57</v>
      </c>
      <c r="C4729" s="292"/>
      <c r="D4729" s="292"/>
      <c r="F4729" s="283" t="s">
        <v>229</v>
      </c>
      <c r="G4729" s="283"/>
      <c r="J4729" s="293">
        <v>1</v>
      </c>
      <c r="K4729" s="293"/>
      <c r="L4729" s="293"/>
      <c r="M4729" s="293"/>
      <c r="N4729" s="293"/>
      <c r="P4729" s="42">
        <v>7000</v>
      </c>
      <c r="R4729" s="42">
        <v>7000</v>
      </c>
      <c r="T4729" s="284">
        <v>0</v>
      </c>
      <c r="U4729" s="284"/>
    </row>
    <row r="4730" spans="2:21" x14ac:dyDescent="0.25">
      <c r="B4730" s="292">
        <v>58</v>
      </c>
      <c r="C4730" s="292"/>
      <c r="D4730" s="292"/>
      <c r="F4730" s="283" t="s">
        <v>132</v>
      </c>
      <c r="G4730" s="283"/>
      <c r="J4730" s="293">
        <v>19</v>
      </c>
      <c r="K4730" s="293"/>
      <c r="L4730" s="293"/>
      <c r="M4730" s="293"/>
      <c r="N4730" s="293"/>
      <c r="P4730" s="42">
        <v>23560</v>
      </c>
      <c r="R4730" s="42">
        <v>5556</v>
      </c>
      <c r="T4730" s="284">
        <v>18004</v>
      </c>
      <c r="U4730" s="284"/>
    </row>
    <row r="4731" spans="2:21" x14ac:dyDescent="0.25">
      <c r="B4731" s="292">
        <v>59</v>
      </c>
      <c r="C4731" s="292"/>
      <c r="D4731" s="292"/>
      <c r="F4731" s="283" t="s">
        <v>131</v>
      </c>
      <c r="G4731" s="283"/>
      <c r="J4731" s="293">
        <v>2</v>
      </c>
      <c r="K4731" s="293"/>
      <c r="L4731" s="293"/>
      <c r="M4731" s="293"/>
      <c r="N4731" s="293"/>
      <c r="P4731" s="42">
        <v>7400</v>
      </c>
      <c r="R4731" s="42">
        <v>1600</v>
      </c>
      <c r="T4731" s="284">
        <v>5800</v>
      </c>
      <c r="U4731" s="284"/>
    </row>
    <row r="4732" spans="2:21" x14ac:dyDescent="0.25">
      <c r="B4732" s="292">
        <v>60</v>
      </c>
      <c r="C4732" s="292"/>
      <c r="D4732" s="292"/>
      <c r="F4732" s="283" t="s">
        <v>130</v>
      </c>
      <c r="G4732" s="283"/>
      <c r="J4732" s="293">
        <v>1</v>
      </c>
      <c r="K4732" s="293"/>
      <c r="L4732" s="293"/>
      <c r="M4732" s="293"/>
      <c r="N4732" s="293"/>
      <c r="P4732" s="42">
        <v>8000</v>
      </c>
      <c r="R4732" s="42">
        <v>4100</v>
      </c>
      <c r="T4732" s="284">
        <v>3900</v>
      </c>
      <c r="U4732" s="284"/>
    </row>
    <row r="4733" spans="2:21" x14ac:dyDescent="0.25">
      <c r="B4733" s="292">
        <v>61</v>
      </c>
      <c r="C4733" s="292"/>
      <c r="D4733" s="292"/>
      <c r="F4733" s="283" t="s">
        <v>185</v>
      </c>
      <c r="G4733" s="283"/>
      <c r="J4733" s="293">
        <v>1</v>
      </c>
      <c r="K4733" s="293"/>
      <c r="L4733" s="293"/>
      <c r="M4733" s="293"/>
      <c r="N4733" s="293"/>
      <c r="P4733" s="42">
        <v>800</v>
      </c>
      <c r="R4733" s="42">
        <v>450</v>
      </c>
      <c r="T4733" s="284">
        <v>350</v>
      </c>
      <c r="U4733" s="284"/>
    </row>
    <row r="4734" spans="2:21" x14ac:dyDescent="0.25">
      <c r="B4734" s="292">
        <v>62</v>
      </c>
      <c r="C4734" s="292"/>
      <c r="D4734" s="292"/>
      <c r="F4734" s="283" t="s">
        <v>128</v>
      </c>
      <c r="G4734" s="283"/>
      <c r="J4734" s="293">
        <v>2</v>
      </c>
      <c r="K4734" s="293"/>
      <c r="L4734" s="293"/>
      <c r="M4734" s="293"/>
      <c r="N4734" s="293"/>
      <c r="P4734" s="42">
        <v>2300</v>
      </c>
      <c r="R4734" s="42">
        <v>0</v>
      </c>
      <c r="T4734" s="284">
        <v>2300</v>
      </c>
      <c r="U4734" s="284"/>
    </row>
    <row r="4735" spans="2:21" x14ac:dyDescent="0.25">
      <c r="B4735" s="292">
        <v>63</v>
      </c>
      <c r="C4735" s="292"/>
      <c r="D4735" s="292"/>
      <c r="F4735" s="283" t="s">
        <v>228</v>
      </c>
      <c r="G4735" s="283"/>
      <c r="J4735" s="293">
        <v>2</v>
      </c>
      <c r="K4735" s="293"/>
      <c r="L4735" s="293"/>
      <c r="M4735" s="293"/>
      <c r="N4735" s="293"/>
      <c r="P4735" s="42">
        <v>1760</v>
      </c>
      <c r="R4735" s="42">
        <v>0</v>
      </c>
      <c r="T4735" s="284">
        <v>1760</v>
      </c>
      <c r="U4735" s="284"/>
    </row>
    <row r="4736" spans="2:21" x14ac:dyDescent="0.25">
      <c r="B4736" s="292">
        <v>64</v>
      </c>
      <c r="C4736" s="292"/>
      <c r="D4736" s="292"/>
      <c r="F4736" s="283" t="s">
        <v>127</v>
      </c>
      <c r="G4736" s="283"/>
      <c r="J4736" s="293">
        <v>126</v>
      </c>
      <c r="K4736" s="293"/>
      <c r="L4736" s="293"/>
      <c r="M4736" s="293"/>
      <c r="N4736" s="293"/>
      <c r="P4736" s="42">
        <v>37800</v>
      </c>
      <c r="R4736" s="42">
        <v>6052</v>
      </c>
      <c r="T4736" s="284">
        <v>31748</v>
      </c>
      <c r="U4736" s="284"/>
    </row>
    <row r="4737" spans="2:21" x14ac:dyDescent="0.25">
      <c r="B4737" s="292">
        <v>65</v>
      </c>
      <c r="C4737" s="292"/>
      <c r="D4737" s="292"/>
      <c r="F4737" s="283" t="s">
        <v>126</v>
      </c>
      <c r="G4737" s="283"/>
      <c r="J4737" s="293">
        <v>107</v>
      </c>
      <c r="K4737" s="293"/>
      <c r="L4737" s="293"/>
      <c r="M4737" s="293"/>
      <c r="N4737" s="293"/>
      <c r="P4737" s="42">
        <v>21400</v>
      </c>
      <c r="R4737" s="42">
        <v>3138</v>
      </c>
      <c r="T4737" s="284">
        <v>18262</v>
      </c>
      <c r="U4737" s="284"/>
    </row>
    <row r="4738" spans="2:21" x14ac:dyDescent="0.25">
      <c r="B4738" s="292">
        <v>66</v>
      </c>
      <c r="C4738" s="292"/>
      <c r="D4738" s="292"/>
      <c r="F4738" s="283" t="s">
        <v>125</v>
      </c>
      <c r="G4738" s="283"/>
      <c r="J4738" s="293">
        <v>2</v>
      </c>
      <c r="K4738" s="293"/>
      <c r="L4738" s="293"/>
      <c r="M4738" s="293"/>
      <c r="N4738" s="293"/>
      <c r="P4738" s="42">
        <v>800</v>
      </c>
      <c r="R4738" s="42">
        <v>120</v>
      </c>
      <c r="T4738" s="284">
        <v>680</v>
      </c>
      <c r="U4738" s="284"/>
    </row>
    <row r="4739" spans="2:21" x14ac:dyDescent="0.25">
      <c r="B4739" s="292">
        <v>67</v>
      </c>
      <c r="C4739" s="292"/>
      <c r="D4739" s="292"/>
      <c r="F4739" s="283" t="s">
        <v>124</v>
      </c>
      <c r="G4739" s="283"/>
      <c r="J4739" s="293">
        <v>2</v>
      </c>
      <c r="K4739" s="293"/>
      <c r="L4739" s="293"/>
      <c r="M4739" s="293"/>
      <c r="N4739" s="293"/>
      <c r="P4739" s="42">
        <v>1180</v>
      </c>
      <c r="R4739" s="42">
        <v>120</v>
      </c>
      <c r="T4739" s="284">
        <v>1060</v>
      </c>
      <c r="U4739" s="284"/>
    </row>
    <row r="4740" spans="2:21" x14ac:dyDescent="0.25">
      <c r="B4740" s="292">
        <v>68</v>
      </c>
      <c r="C4740" s="292"/>
      <c r="D4740" s="292"/>
      <c r="F4740" s="283" t="s">
        <v>123</v>
      </c>
      <c r="G4740" s="283"/>
      <c r="J4740" s="293">
        <v>8</v>
      </c>
      <c r="K4740" s="293"/>
      <c r="L4740" s="293"/>
      <c r="M4740" s="293"/>
      <c r="N4740" s="293"/>
      <c r="P4740" s="42">
        <v>6240</v>
      </c>
      <c r="R4740" s="42">
        <v>1618</v>
      </c>
      <c r="T4740" s="284">
        <v>4622</v>
      </c>
      <c r="U4740" s="284"/>
    </row>
    <row r="4741" spans="2:21" x14ac:dyDescent="0.25">
      <c r="B4741" s="292">
        <v>69</v>
      </c>
      <c r="C4741" s="292"/>
      <c r="D4741" s="292"/>
      <c r="F4741" s="283" t="s">
        <v>227</v>
      </c>
      <c r="G4741" s="283"/>
      <c r="J4741" s="293">
        <v>2</v>
      </c>
      <c r="K4741" s="293"/>
      <c r="L4741" s="293"/>
      <c r="M4741" s="293"/>
      <c r="N4741" s="293"/>
      <c r="P4741" s="42">
        <v>1000</v>
      </c>
      <c r="R4741" s="42">
        <v>300</v>
      </c>
      <c r="T4741" s="284">
        <v>700</v>
      </c>
      <c r="U4741" s="284"/>
    </row>
    <row r="4742" spans="2:21" x14ac:dyDescent="0.25">
      <c r="B4742" s="292">
        <v>70</v>
      </c>
      <c r="C4742" s="292"/>
      <c r="D4742" s="292"/>
      <c r="F4742" s="283" t="s">
        <v>122</v>
      </c>
      <c r="G4742" s="283"/>
      <c r="J4742" s="293">
        <v>2</v>
      </c>
      <c r="K4742" s="293"/>
      <c r="L4742" s="293"/>
      <c r="M4742" s="293"/>
      <c r="N4742" s="293"/>
      <c r="P4742" s="42">
        <v>1000</v>
      </c>
      <c r="R4742" s="42">
        <v>300</v>
      </c>
      <c r="T4742" s="284">
        <v>700</v>
      </c>
      <c r="U4742" s="284"/>
    </row>
    <row r="4743" spans="2:21" x14ac:dyDescent="0.25">
      <c r="B4743" s="292">
        <v>71</v>
      </c>
      <c r="C4743" s="292"/>
      <c r="D4743" s="292"/>
      <c r="F4743" s="283" t="s">
        <v>121</v>
      </c>
      <c r="G4743" s="283"/>
      <c r="J4743" s="293">
        <v>3</v>
      </c>
      <c r="K4743" s="293"/>
      <c r="L4743" s="293"/>
      <c r="M4743" s="293"/>
      <c r="N4743" s="293"/>
      <c r="P4743" s="42">
        <v>1500</v>
      </c>
      <c r="R4743" s="42">
        <v>300</v>
      </c>
      <c r="T4743" s="284">
        <v>1200</v>
      </c>
      <c r="U4743" s="284"/>
    </row>
    <row r="4744" spans="2:21" x14ac:dyDescent="0.25">
      <c r="B4744" s="292">
        <v>72</v>
      </c>
      <c r="C4744" s="292"/>
      <c r="D4744" s="292"/>
      <c r="F4744" s="283" t="s">
        <v>226</v>
      </c>
      <c r="G4744" s="283"/>
      <c r="J4744" s="293">
        <v>1</v>
      </c>
      <c r="K4744" s="293"/>
      <c r="L4744" s="293"/>
      <c r="M4744" s="293"/>
      <c r="N4744" s="293"/>
      <c r="P4744" s="42">
        <v>500</v>
      </c>
      <c r="R4744" s="42">
        <v>150</v>
      </c>
      <c r="T4744" s="284">
        <v>350</v>
      </c>
      <c r="U4744" s="284"/>
    </row>
    <row r="4745" spans="2:21" x14ac:dyDescent="0.25">
      <c r="B4745" s="292">
        <v>73</v>
      </c>
      <c r="C4745" s="292"/>
      <c r="D4745" s="292"/>
      <c r="F4745" s="283" t="s">
        <v>182</v>
      </c>
      <c r="G4745" s="283"/>
      <c r="J4745" s="293">
        <v>21</v>
      </c>
      <c r="K4745" s="293"/>
      <c r="L4745" s="293"/>
      <c r="M4745" s="293"/>
      <c r="N4745" s="293"/>
      <c r="P4745" s="42">
        <v>16590</v>
      </c>
      <c r="R4745" s="42">
        <v>240</v>
      </c>
      <c r="T4745" s="284">
        <v>16350</v>
      </c>
      <c r="U4745" s="284"/>
    </row>
    <row r="4746" spans="2:21" x14ac:dyDescent="0.25">
      <c r="B4746" s="292">
        <v>74</v>
      </c>
      <c r="C4746" s="292"/>
      <c r="D4746" s="292"/>
      <c r="F4746" s="283" t="s">
        <v>119</v>
      </c>
      <c r="G4746" s="283"/>
      <c r="J4746" s="293">
        <v>58</v>
      </c>
      <c r="K4746" s="293"/>
      <c r="L4746" s="293"/>
      <c r="M4746" s="293"/>
      <c r="N4746" s="293"/>
      <c r="P4746" s="42">
        <v>51620</v>
      </c>
      <c r="R4746" s="42">
        <v>588</v>
      </c>
      <c r="T4746" s="284">
        <v>51032</v>
      </c>
      <c r="U4746" s="284"/>
    </row>
    <row r="4747" spans="2:21" x14ac:dyDescent="0.25">
      <c r="B4747" s="292">
        <v>75</v>
      </c>
      <c r="C4747" s="292"/>
      <c r="D4747" s="292"/>
      <c r="F4747" s="283" t="s">
        <v>118</v>
      </c>
      <c r="G4747" s="283"/>
      <c r="J4747" s="293">
        <v>95</v>
      </c>
      <c r="K4747" s="293"/>
      <c r="L4747" s="293"/>
      <c r="M4747" s="293"/>
      <c r="N4747" s="293"/>
      <c r="P4747" s="42">
        <v>94050</v>
      </c>
      <c r="R4747" s="42">
        <v>17159</v>
      </c>
      <c r="T4747" s="284">
        <v>76891</v>
      </c>
      <c r="U4747" s="284"/>
    </row>
    <row r="4748" spans="2:21" x14ac:dyDescent="0.25">
      <c r="B4748" s="292">
        <v>76</v>
      </c>
      <c r="C4748" s="292"/>
      <c r="D4748" s="292"/>
      <c r="F4748" s="283" t="s">
        <v>117</v>
      </c>
      <c r="G4748" s="283"/>
      <c r="J4748" s="293">
        <v>10</v>
      </c>
      <c r="K4748" s="293"/>
      <c r="L4748" s="293"/>
      <c r="M4748" s="293"/>
      <c r="N4748" s="293"/>
      <c r="P4748" s="42">
        <v>8200</v>
      </c>
      <c r="R4748" s="42">
        <v>1540</v>
      </c>
      <c r="T4748" s="284">
        <v>6660</v>
      </c>
      <c r="U4748" s="284"/>
    </row>
    <row r="4749" spans="2:21" x14ac:dyDescent="0.25">
      <c r="B4749" s="292">
        <v>77</v>
      </c>
      <c r="C4749" s="292"/>
      <c r="D4749" s="292"/>
      <c r="F4749" s="285" t="s">
        <v>116</v>
      </c>
      <c r="G4749" s="285"/>
      <c r="J4749" s="293">
        <v>2</v>
      </c>
      <c r="K4749" s="293"/>
      <c r="L4749" s="293"/>
      <c r="M4749" s="293"/>
      <c r="N4749" s="293"/>
      <c r="P4749" s="42">
        <v>1600</v>
      </c>
      <c r="R4749" s="42">
        <v>400</v>
      </c>
      <c r="T4749" s="284">
        <v>1200</v>
      </c>
      <c r="U4749" s="284"/>
    </row>
    <row r="4750" spans="2:21" x14ac:dyDescent="0.25">
      <c r="F4750" s="285"/>
      <c r="G4750" s="285"/>
    </row>
    <row r="4751" spans="2:21" x14ac:dyDescent="0.25">
      <c r="B4751" s="292">
        <v>78</v>
      </c>
      <c r="C4751" s="292"/>
      <c r="D4751" s="292"/>
      <c r="F4751" s="283" t="s">
        <v>115</v>
      </c>
      <c r="G4751" s="283"/>
      <c r="J4751" s="293">
        <v>41</v>
      </c>
      <c r="K4751" s="293"/>
      <c r="L4751" s="293"/>
      <c r="M4751" s="293"/>
      <c r="N4751" s="293"/>
      <c r="P4751" s="42">
        <v>11890</v>
      </c>
      <c r="R4751" s="42">
        <v>1670</v>
      </c>
      <c r="T4751" s="284">
        <v>10220</v>
      </c>
      <c r="U4751" s="284"/>
    </row>
    <row r="4752" spans="2:21" x14ac:dyDescent="0.25">
      <c r="B4752" s="292">
        <v>79</v>
      </c>
      <c r="C4752" s="292"/>
      <c r="D4752" s="292"/>
      <c r="F4752" s="283" t="s">
        <v>114</v>
      </c>
      <c r="G4752" s="283"/>
      <c r="J4752" s="293">
        <v>1</v>
      </c>
      <c r="K4752" s="293"/>
      <c r="L4752" s="293"/>
      <c r="M4752" s="293"/>
      <c r="N4752" s="293"/>
      <c r="P4752" s="42">
        <v>550</v>
      </c>
      <c r="R4752" s="42">
        <v>80</v>
      </c>
      <c r="T4752" s="284">
        <v>470</v>
      </c>
      <c r="U4752" s="284"/>
    </row>
    <row r="4753" spans="2:21" x14ac:dyDescent="0.25">
      <c r="B4753" s="292">
        <v>80</v>
      </c>
      <c r="C4753" s="292"/>
      <c r="D4753" s="292"/>
      <c r="F4753" s="283" t="s">
        <v>225</v>
      </c>
      <c r="G4753" s="283"/>
      <c r="J4753" s="293">
        <v>1</v>
      </c>
      <c r="K4753" s="293"/>
      <c r="L4753" s="293"/>
      <c r="M4753" s="293"/>
      <c r="N4753" s="293"/>
      <c r="P4753" s="42">
        <v>5000</v>
      </c>
      <c r="R4753" s="42">
        <v>4950</v>
      </c>
      <c r="T4753" s="284">
        <v>50</v>
      </c>
      <c r="U4753" s="284"/>
    </row>
    <row r="4754" spans="2:21" x14ac:dyDescent="0.25">
      <c r="B4754" s="292">
        <v>81</v>
      </c>
      <c r="C4754" s="292"/>
      <c r="D4754" s="292"/>
      <c r="F4754" s="283" t="s">
        <v>224</v>
      </c>
      <c r="G4754" s="283"/>
      <c r="J4754" s="293">
        <v>1</v>
      </c>
      <c r="K4754" s="293"/>
      <c r="L4754" s="293"/>
      <c r="M4754" s="293"/>
      <c r="N4754" s="293"/>
      <c r="P4754" s="42">
        <v>500</v>
      </c>
      <c r="R4754" s="42">
        <v>150</v>
      </c>
      <c r="T4754" s="284">
        <v>350</v>
      </c>
      <c r="U4754" s="284"/>
    </row>
    <row r="4755" spans="2:21" x14ac:dyDescent="0.25">
      <c r="B4755" s="292">
        <v>82</v>
      </c>
      <c r="C4755" s="292"/>
      <c r="D4755" s="292"/>
      <c r="F4755" s="283" t="s">
        <v>223</v>
      </c>
      <c r="G4755" s="283"/>
      <c r="J4755" s="293">
        <v>5</v>
      </c>
      <c r="K4755" s="293"/>
      <c r="L4755" s="293"/>
      <c r="M4755" s="293"/>
      <c r="N4755" s="293"/>
      <c r="P4755" s="42">
        <v>4950</v>
      </c>
      <c r="R4755" s="42">
        <v>0</v>
      </c>
      <c r="T4755" s="284">
        <v>4950</v>
      </c>
      <c r="U4755" s="284"/>
    </row>
    <row r="4756" spans="2:21" x14ac:dyDescent="0.25">
      <c r="B4756" s="292">
        <v>83</v>
      </c>
      <c r="C4756" s="292"/>
      <c r="D4756" s="292"/>
      <c r="F4756" s="283" t="s">
        <v>222</v>
      </c>
      <c r="G4756" s="283"/>
      <c r="J4756" s="293">
        <v>3</v>
      </c>
      <c r="K4756" s="293"/>
      <c r="L4756" s="293"/>
      <c r="M4756" s="293"/>
      <c r="N4756" s="293"/>
      <c r="P4756" s="42">
        <v>1500</v>
      </c>
      <c r="R4756" s="42">
        <v>300</v>
      </c>
      <c r="T4756" s="284">
        <v>1200</v>
      </c>
      <c r="U4756" s="284"/>
    </row>
    <row r="4757" spans="2:21" x14ac:dyDescent="0.25">
      <c r="B4757" s="292">
        <v>84</v>
      </c>
      <c r="C4757" s="292"/>
      <c r="D4757" s="292"/>
      <c r="F4757" s="283" t="s">
        <v>221</v>
      </c>
      <c r="G4757" s="283"/>
      <c r="J4757" s="293">
        <v>6</v>
      </c>
      <c r="K4757" s="293"/>
      <c r="L4757" s="293"/>
      <c r="M4757" s="293"/>
      <c r="N4757" s="293"/>
      <c r="P4757" s="42">
        <v>5940</v>
      </c>
      <c r="R4757" s="42">
        <v>900</v>
      </c>
      <c r="T4757" s="284">
        <v>5040</v>
      </c>
      <c r="U4757" s="284"/>
    </row>
    <row r="4758" spans="2:21" x14ac:dyDescent="0.25">
      <c r="B4758" s="292">
        <v>85</v>
      </c>
      <c r="C4758" s="292"/>
      <c r="D4758" s="292"/>
      <c r="F4758" s="283" t="s">
        <v>220</v>
      </c>
      <c r="G4758" s="283"/>
      <c r="J4758" s="293">
        <v>1</v>
      </c>
      <c r="K4758" s="293"/>
      <c r="L4758" s="293"/>
      <c r="M4758" s="293"/>
      <c r="N4758" s="293"/>
      <c r="P4758" s="42">
        <v>350</v>
      </c>
      <c r="R4758" s="42">
        <v>0</v>
      </c>
      <c r="T4758" s="284">
        <v>350</v>
      </c>
      <c r="U4758" s="284"/>
    </row>
    <row r="4759" spans="2:21" x14ac:dyDescent="0.25">
      <c r="B4759" s="292">
        <v>86</v>
      </c>
      <c r="C4759" s="292"/>
      <c r="D4759" s="292"/>
      <c r="F4759" s="283" t="s">
        <v>219</v>
      </c>
      <c r="G4759" s="283"/>
      <c r="J4759" s="293">
        <v>1</v>
      </c>
      <c r="K4759" s="293"/>
      <c r="L4759" s="293"/>
      <c r="M4759" s="293"/>
      <c r="N4759" s="293"/>
      <c r="P4759" s="42">
        <v>500</v>
      </c>
      <c r="R4759" s="42">
        <v>150</v>
      </c>
      <c r="T4759" s="284">
        <v>350</v>
      </c>
      <c r="U4759" s="284"/>
    </row>
    <row r="4760" spans="2:21" x14ac:dyDescent="0.25">
      <c r="B4760" s="292">
        <v>87</v>
      </c>
      <c r="C4760" s="292"/>
      <c r="D4760" s="292"/>
      <c r="F4760" s="283" t="s">
        <v>181</v>
      </c>
      <c r="G4760" s="283"/>
      <c r="J4760" s="293">
        <v>19</v>
      </c>
      <c r="K4760" s="293"/>
      <c r="L4760" s="293"/>
      <c r="M4760" s="293"/>
      <c r="N4760" s="293"/>
      <c r="P4760" s="42">
        <v>15010</v>
      </c>
      <c r="R4760" s="42">
        <v>252</v>
      </c>
      <c r="T4760" s="284">
        <v>14758</v>
      </c>
      <c r="U4760" s="284"/>
    </row>
    <row r="4761" spans="2:21" x14ac:dyDescent="0.25">
      <c r="B4761" s="292">
        <v>88</v>
      </c>
      <c r="C4761" s="292"/>
      <c r="D4761" s="292"/>
      <c r="F4761" s="283" t="s">
        <v>111</v>
      </c>
      <c r="G4761" s="283"/>
      <c r="J4761" s="293">
        <v>3</v>
      </c>
      <c r="K4761" s="293"/>
      <c r="L4761" s="293"/>
      <c r="M4761" s="293"/>
      <c r="N4761" s="293"/>
      <c r="P4761" s="42">
        <v>1290</v>
      </c>
      <c r="R4761" s="42">
        <v>130</v>
      </c>
      <c r="T4761" s="284">
        <v>1160</v>
      </c>
      <c r="U4761" s="284"/>
    </row>
    <row r="4762" spans="2:21" x14ac:dyDescent="0.25">
      <c r="B4762" s="292">
        <v>89</v>
      </c>
      <c r="C4762" s="292"/>
      <c r="D4762" s="292"/>
      <c r="F4762" s="283" t="s">
        <v>109</v>
      </c>
      <c r="G4762" s="283"/>
      <c r="J4762" s="293">
        <v>4</v>
      </c>
      <c r="K4762" s="293"/>
      <c r="L4762" s="293"/>
      <c r="M4762" s="293"/>
      <c r="N4762" s="293"/>
      <c r="P4762" s="42">
        <v>3120</v>
      </c>
      <c r="R4762" s="42">
        <v>230</v>
      </c>
      <c r="T4762" s="284">
        <v>2890</v>
      </c>
      <c r="U4762" s="284"/>
    </row>
    <row r="4763" spans="2:21" x14ac:dyDescent="0.25">
      <c r="B4763" s="292">
        <v>90</v>
      </c>
      <c r="C4763" s="292"/>
      <c r="D4763" s="292"/>
      <c r="F4763" s="283" t="s">
        <v>108</v>
      </c>
      <c r="G4763" s="283"/>
      <c r="J4763" s="293">
        <v>27</v>
      </c>
      <c r="K4763" s="293"/>
      <c r="L4763" s="293"/>
      <c r="M4763" s="293"/>
      <c r="N4763" s="293"/>
      <c r="P4763" s="42">
        <v>2700</v>
      </c>
      <c r="R4763" s="42">
        <v>180</v>
      </c>
      <c r="T4763" s="284">
        <v>2520</v>
      </c>
      <c r="U4763" s="284"/>
    </row>
    <row r="4764" spans="2:21" x14ac:dyDescent="0.25">
      <c r="B4764" s="292">
        <v>91</v>
      </c>
      <c r="C4764" s="292"/>
      <c r="D4764" s="292"/>
      <c r="F4764" s="283" t="s">
        <v>107</v>
      </c>
      <c r="G4764" s="283"/>
      <c r="J4764" s="293">
        <v>16</v>
      </c>
      <c r="K4764" s="293"/>
      <c r="L4764" s="293"/>
      <c r="M4764" s="293"/>
      <c r="N4764" s="293"/>
      <c r="P4764" s="42">
        <v>2720</v>
      </c>
      <c r="R4764" s="42">
        <v>969</v>
      </c>
      <c r="T4764" s="284">
        <v>1751</v>
      </c>
      <c r="U4764" s="284"/>
    </row>
    <row r="4765" spans="2:21" x14ac:dyDescent="0.25">
      <c r="B4765" s="292">
        <v>92</v>
      </c>
      <c r="C4765" s="292"/>
      <c r="D4765" s="292"/>
      <c r="F4765" s="283" t="s">
        <v>218</v>
      </c>
      <c r="G4765" s="283"/>
      <c r="J4765" s="293">
        <v>1</v>
      </c>
      <c r="K4765" s="293"/>
      <c r="L4765" s="293"/>
      <c r="M4765" s="293"/>
      <c r="N4765" s="293"/>
      <c r="P4765" s="42">
        <v>290</v>
      </c>
      <c r="R4765" s="42">
        <v>80</v>
      </c>
      <c r="T4765" s="284">
        <v>210</v>
      </c>
      <c r="U4765" s="284"/>
    </row>
    <row r="4766" spans="2:21" x14ac:dyDescent="0.25">
      <c r="B4766" s="292">
        <v>93</v>
      </c>
      <c r="C4766" s="292"/>
      <c r="D4766" s="292"/>
      <c r="F4766" s="283" t="s">
        <v>217</v>
      </c>
      <c r="G4766" s="283"/>
      <c r="J4766" s="293">
        <v>1</v>
      </c>
      <c r="K4766" s="293"/>
      <c r="L4766" s="293"/>
      <c r="M4766" s="293"/>
      <c r="N4766" s="293"/>
      <c r="P4766" s="42">
        <v>350</v>
      </c>
      <c r="R4766" s="42">
        <v>100</v>
      </c>
      <c r="T4766" s="284">
        <v>250</v>
      </c>
      <c r="U4766" s="284"/>
    </row>
    <row r="4767" spans="2:21" x14ac:dyDescent="0.25">
      <c r="B4767" s="292">
        <v>94</v>
      </c>
      <c r="C4767" s="292"/>
      <c r="D4767" s="292"/>
      <c r="F4767" s="283" t="s">
        <v>216</v>
      </c>
      <c r="G4767" s="283"/>
      <c r="J4767" s="293">
        <v>4</v>
      </c>
      <c r="K4767" s="293"/>
      <c r="L4767" s="293"/>
      <c r="M4767" s="293"/>
      <c r="N4767" s="293"/>
      <c r="P4767" s="42">
        <v>4320</v>
      </c>
      <c r="R4767" s="42">
        <v>165</v>
      </c>
      <c r="T4767" s="284">
        <v>4155</v>
      </c>
      <c r="U4767" s="284"/>
    </row>
    <row r="4768" spans="2:21" x14ac:dyDescent="0.25">
      <c r="B4768" s="292">
        <v>95</v>
      </c>
      <c r="C4768" s="292"/>
      <c r="D4768" s="292"/>
      <c r="F4768" s="283" t="s">
        <v>215</v>
      </c>
      <c r="G4768" s="283"/>
      <c r="J4768" s="293">
        <v>1</v>
      </c>
      <c r="K4768" s="293"/>
      <c r="L4768" s="293"/>
      <c r="M4768" s="293"/>
      <c r="N4768" s="293"/>
      <c r="P4768" s="42">
        <v>1150</v>
      </c>
      <c r="R4768" s="42">
        <v>0</v>
      </c>
      <c r="T4768" s="284">
        <v>1150</v>
      </c>
      <c r="U4768" s="284"/>
    </row>
    <row r="4769" spans="2:21" x14ac:dyDescent="0.25">
      <c r="B4769" s="292">
        <v>96</v>
      </c>
      <c r="C4769" s="292"/>
      <c r="D4769" s="292"/>
      <c r="F4769" s="283" t="s">
        <v>105</v>
      </c>
      <c r="G4769" s="283"/>
      <c r="J4769" s="293">
        <v>8</v>
      </c>
      <c r="K4769" s="293"/>
      <c r="L4769" s="293"/>
      <c r="M4769" s="293"/>
      <c r="N4769" s="293"/>
      <c r="P4769" s="42">
        <v>9200</v>
      </c>
      <c r="R4769" s="42">
        <v>0</v>
      </c>
      <c r="T4769" s="284">
        <v>9200</v>
      </c>
      <c r="U4769" s="284"/>
    </row>
    <row r="4770" spans="2:21" x14ac:dyDescent="0.25">
      <c r="B4770" s="292">
        <v>97</v>
      </c>
      <c r="C4770" s="292"/>
      <c r="D4770" s="292"/>
      <c r="F4770" s="283" t="s">
        <v>214</v>
      </c>
      <c r="G4770" s="283"/>
      <c r="J4770" s="293">
        <v>1</v>
      </c>
      <c r="K4770" s="293"/>
      <c r="L4770" s="293"/>
      <c r="M4770" s="293"/>
      <c r="N4770" s="293"/>
      <c r="P4770" s="42">
        <v>990</v>
      </c>
      <c r="R4770" s="42">
        <v>150</v>
      </c>
      <c r="T4770" s="284">
        <v>840</v>
      </c>
      <c r="U4770" s="284"/>
    </row>
    <row r="4771" spans="2:21" x14ac:dyDescent="0.25">
      <c r="B4771" s="292">
        <v>98</v>
      </c>
      <c r="C4771" s="292"/>
      <c r="D4771" s="292"/>
      <c r="F4771" s="283" t="s">
        <v>103</v>
      </c>
      <c r="G4771" s="283"/>
      <c r="J4771" s="293">
        <v>7</v>
      </c>
      <c r="K4771" s="293"/>
      <c r="L4771" s="293"/>
      <c r="M4771" s="293"/>
      <c r="N4771" s="293"/>
      <c r="P4771" s="42">
        <v>2310</v>
      </c>
      <c r="R4771" s="42">
        <v>800</v>
      </c>
      <c r="T4771" s="284">
        <v>1510</v>
      </c>
      <c r="U4771" s="284"/>
    </row>
    <row r="4772" spans="2:21" x14ac:dyDescent="0.25">
      <c r="B4772" s="292">
        <v>99</v>
      </c>
      <c r="C4772" s="292"/>
      <c r="D4772" s="292"/>
      <c r="F4772" s="283" t="s">
        <v>213</v>
      </c>
      <c r="G4772" s="283"/>
      <c r="J4772" s="293">
        <v>1</v>
      </c>
      <c r="K4772" s="293"/>
      <c r="L4772" s="293"/>
      <c r="M4772" s="293"/>
      <c r="N4772" s="293"/>
      <c r="P4772" s="42">
        <v>500</v>
      </c>
      <c r="R4772" s="42">
        <v>150</v>
      </c>
      <c r="T4772" s="284">
        <v>350</v>
      </c>
      <c r="U4772" s="284"/>
    </row>
    <row r="4773" spans="2:21" x14ac:dyDescent="0.25">
      <c r="B4773" s="292">
        <v>100</v>
      </c>
      <c r="C4773" s="292"/>
      <c r="D4773" s="292"/>
      <c r="F4773" s="283" t="s">
        <v>212</v>
      </c>
      <c r="G4773" s="283"/>
      <c r="J4773" s="293">
        <v>8</v>
      </c>
      <c r="K4773" s="293"/>
      <c r="L4773" s="293"/>
      <c r="M4773" s="293"/>
      <c r="N4773" s="293"/>
      <c r="P4773" s="42">
        <v>4000</v>
      </c>
      <c r="R4773" s="42">
        <v>750</v>
      </c>
      <c r="T4773" s="284">
        <v>3250</v>
      </c>
      <c r="U4773" s="284"/>
    </row>
    <row r="4774" spans="2:21" x14ac:dyDescent="0.25">
      <c r="B4774" s="292">
        <v>101</v>
      </c>
      <c r="C4774" s="292"/>
      <c r="D4774" s="292"/>
      <c r="F4774" s="283" t="s">
        <v>211</v>
      </c>
      <c r="G4774" s="283"/>
      <c r="J4774" s="293">
        <v>1</v>
      </c>
      <c r="K4774" s="293"/>
      <c r="L4774" s="293"/>
      <c r="M4774" s="293"/>
      <c r="N4774" s="293"/>
      <c r="P4774" s="42">
        <v>500</v>
      </c>
      <c r="R4774" s="42">
        <v>150</v>
      </c>
      <c r="T4774" s="284">
        <v>350</v>
      </c>
      <c r="U4774" s="284"/>
    </row>
    <row r="4775" spans="2:21" x14ac:dyDescent="0.25">
      <c r="B4775" s="292">
        <v>102</v>
      </c>
      <c r="C4775" s="292"/>
      <c r="D4775" s="292"/>
      <c r="F4775" s="283" t="s">
        <v>210</v>
      </c>
      <c r="G4775" s="283"/>
      <c r="J4775" s="293">
        <v>1</v>
      </c>
      <c r="K4775" s="293"/>
      <c r="L4775" s="293"/>
      <c r="M4775" s="293"/>
      <c r="N4775" s="293"/>
      <c r="P4775" s="42">
        <v>390</v>
      </c>
      <c r="R4775" s="42">
        <v>0</v>
      </c>
      <c r="T4775" s="284">
        <v>390</v>
      </c>
      <c r="U4775" s="284"/>
    </row>
    <row r="4776" spans="2:21" x14ac:dyDescent="0.25">
      <c r="B4776" s="292">
        <v>103</v>
      </c>
      <c r="C4776" s="292"/>
      <c r="D4776" s="292"/>
      <c r="F4776" s="283" t="s">
        <v>209</v>
      </c>
      <c r="G4776" s="283"/>
      <c r="J4776" s="293">
        <v>1</v>
      </c>
      <c r="K4776" s="293"/>
      <c r="L4776" s="293"/>
      <c r="M4776" s="293"/>
      <c r="N4776" s="293"/>
      <c r="P4776" s="42">
        <v>390</v>
      </c>
      <c r="R4776" s="42">
        <v>120</v>
      </c>
      <c r="T4776" s="284">
        <v>270</v>
      </c>
      <c r="U4776" s="284"/>
    </row>
    <row r="4777" spans="2:21" x14ac:dyDescent="0.25">
      <c r="B4777" s="292">
        <v>104</v>
      </c>
      <c r="C4777" s="292"/>
      <c r="D4777" s="292"/>
      <c r="F4777" s="283" t="s">
        <v>99</v>
      </c>
      <c r="G4777" s="283"/>
      <c r="J4777" s="293">
        <v>9</v>
      </c>
      <c r="K4777" s="293"/>
      <c r="L4777" s="293"/>
      <c r="M4777" s="293"/>
      <c r="N4777" s="293"/>
      <c r="P4777" s="42">
        <v>5310</v>
      </c>
      <c r="R4777" s="42">
        <v>360</v>
      </c>
      <c r="T4777" s="284">
        <v>4950</v>
      </c>
      <c r="U4777" s="284"/>
    </row>
    <row r="4778" spans="2:21" x14ac:dyDescent="0.25">
      <c r="B4778" s="292">
        <v>105</v>
      </c>
      <c r="C4778" s="292"/>
      <c r="D4778" s="292"/>
      <c r="F4778" s="283" t="s">
        <v>98</v>
      </c>
      <c r="G4778" s="283"/>
      <c r="J4778" s="293">
        <v>11</v>
      </c>
      <c r="K4778" s="293"/>
      <c r="L4778" s="293"/>
      <c r="M4778" s="293"/>
      <c r="N4778" s="293"/>
      <c r="P4778" s="42">
        <v>6270</v>
      </c>
      <c r="R4778" s="42">
        <v>480</v>
      </c>
      <c r="T4778" s="284">
        <v>5790</v>
      </c>
      <c r="U4778" s="284"/>
    </row>
    <row r="4779" spans="2:21" x14ac:dyDescent="0.25">
      <c r="B4779" s="292">
        <v>106</v>
      </c>
      <c r="C4779" s="292"/>
      <c r="D4779" s="292"/>
      <c r="F4779" s="283" t="s">
        <v>176</v>
      </c>
      <c r="G4779" s="283"/>
      <c r="J4779" s="293">
        <v>16</v>
      </c>
      <c r="K4779" s="293"/>
      <c r="L4779" s="293"/>
      <c r="M4779" s="293"/>
      <c r="N4779" s="293"/>
      <c r="P4779" s="42">
        <v>16960</v>
      </c>
      <c r="R4779" s="42">
        <v>0</v>
      </c>
      <c r="T4779" s="284">
        <v>16960</v>
      </c>
      <c r="U4779" s="284"/>
    </row>
    <row r="4780" spans="2:21" x14ac:dyDescent="0.25">
      <c r="B4780" s="292">
        <v>107</v>
      </c>
      <c r="C4780" s="292"/>
      <c r="D4780" s="292"/>
      <c r="F4780" s="283" t="s">
        <v>96</v>
      </c>
      <c r="G4780" s="283"/>
      <c r="J4780" s="293">
        <v>2</v>
      </c>
      <c r="K4780" s="293"/>
      <c r="L4780" s="293"/>
      <c r="M4780" s="293"/>
      <c r="N4780" s="293"/>
      <c r="P4780" s="42">
        <v>880</v>
      </c>
      <c r="R4780" s="42">
        <v>260</v>
      </c>
      <c r="T4780" s="284">
        <v>620</v>
      </c>
      <c r="U4780" s="284"/>
    </row>
    <row r="4781" spans="2:21" x14ac:dyDescent="0.25">
      <c r="B4781" s="292">
        <v>108</v>
      </c>
      <c r="C4781" s="292"/>
      <c r="D4781" s="292"/>
      <c r="F4781" s="283" t="s">
        <v>93</v>
      </c>
      <c r="G4781" s="283"/>
      <c r="J4781" s="293">
        <v>26</v>
      </c>
      <c r="K4781" s="293"/>
      <c r="L4781" s="293"/>
      <c r="M4781" s="293"/>
      <c r="N4781" s="293"/>
      <c r="P4781" s="42">
        <v>15340</v>
      </c>
      <c r="R4781" s="42">
        <v>1125</v>
      </c>
      <c r="T4781" s="284">
        <v>14215</v>
      </c>
      <c r="U4781" s="284"/>
    </row>
    <row r="4782" spans="2:21" x14ac:dyDescent="0.25">
      <c r="B4782" s="292">
        <v>109</v>
      </c>
      <c r="C4782" s="292"/>
      <c r="D4782" s="292"/>
      <c r="F4782" s="283" t="s">
        <v>92</v>
      </c>
      <c r="G4782" s="283"/>
      <c r="J4782" s="293">
        <v>15</v>
      </c>
      <c r="K4782" s="293"/>
      <c r="L4782" s="293"/>
      <c r="M4782" s="293"/>
      <c r="N4782" s="293"/>
      <c r="P4782" s="42">
        <v>10080</v>
      </c>
      <c r="R4782" s="42">
        <v>800</v>
      </c>
      <c r="T4782" s="284">
        <v>9280</v>
      </c>
      <c r="U4782" s="284"/>
    </row>
    <row r="4783" spans="2:21" x14ac:dyDescent="0.25">
      <c r="B4783" s="292">
        <v>110</v>
      </c>
      <c r="C4783" s="292"/>
      <c r="D4783" s="292"/>
      <c r="F4783" s="283" t="s">
        <v>174</v>
      </c>
      <c r="G4783" s="283"/>
      <c r="J4783" s="293">
        <v>85</v>
      </c>
      <c r="K4783" s="293"/>
      <c r="L4783" s="293"/>
      <c r="M4783" s="293"/>
      <c r="N4783" s="293"/>
      <c r="P4783" s="42">
        <v>34000</v>
      </c>
      <c r="R4783" s="42">
        <v>360</v>
      </c>
      <c r="T4783" s="284">
        <v>33640</v>
      </c>
      <c r="U4783" s="284"/>
    </row>
    <row r="4784" spans="2:21" x14ac:dyDescent="0.25">
      <c r="B4784" s="292">
        <v>111</v>
      </c>
      <c r="C4784" s="292"/>
      <c r="D4784" s="292"/>
      <c r="F4784" s="283" t="s">
        <v>91</v>
      </c>
      <c r="G4784" s="283"/>
      <c r="J4784" s="293">
        <v>40</v>
      </c>
      <c r="K4784" s="293"/>
      <c r="L4784" s="293"/>
      <c r="M4784" s="293"/>
      <c r="N4784" s="293"/>
      <c r="P4784" s="42">
        <v>10000</v>
      </c>
      <c r="R4784" s="42">
        <v>1347</v>
      </c>
      <c r="T4784" s="284">
        <v>8653</v>
      </c>
      <c r="U4784" s="284"/>
    </row>
    <row r="4785" spans="1:21" x14ac:dyDescent="0.25">
      <c r="B4785" s="292">
        <v>112</v>
      </c>
      <c r="C4785" s="292"/>
      <c r="D4785" s="292"/>
      <c r="F4785" s="283" t="s">
        <v>90</v>
      </c>
      <c r="G4785" s="283"/>
      <c r="J4785" s="293">
        <v>19</v>
      </c>
      <c r="K4785" s="293"/>
      <c r="L4785" s="293"/>
      <c r="M4785" s="293"/>
      <c r="N4785" s="293"/>
      <c r="P4785" s="42">
        <v>5510</v>
      </c>
      <c r="R4785" s="42">
        <v>481</v>
      </c>
      <c r="T4785" s="284">
        <v>5029</v>
      </c>
      <c r="U4785" s="284"/>
    </row>
    <row r="4786" spans="1:21" x14ac:dyDescent="0.25">
      <c r="B4786" s="292">
        <v>113</v>
      </c>
      <c r="C4786" s="292"/>
      <c r="D4786" s="292"/>
      <c r="F4786" s="283" t="s">
        <v>89</v>
      </c>
      <c r="G4786" s="283"/>
      <c r="J4786" s="293">
        <v>3</v>
      </c>
      <c r="K4786" s="293"/>
      <c r="L4786" s="293"/>
      <c r="M4786" s="293"/>
      <c r="N4786" s="293"/>
      <c r="P4786" s="42">
        <v>2640</v>
      </c>
      <c r="R4786" s="42">
        <v>260</v>
      </c>
      <c r="T4786" s="284">
        <v>2380</v>
      </c>
      <c r="U4786" s="284"/>
    </row>
    <row r="4787" spans="1:21" x14ac:dyDescent="0.25">
      <c r="B4787" s="292">
        <v>114</v>
      </c>
      <c r="C4787" s="292"/>
      <c r="D4787" s="292"/>
      <c r="F4787" s="283" t="s">
        <v>88</v>
      </c>
      <c r="G4787" s="283"/>
      <c r="J4787" s="293">
        <v>107</v>
      </c>
      <c r="K4787" s="293"/>
      <c r="L4787" s="293"/>
      <c r="M4787" s="293"/>
      <c r="N4787" s="293"/>
      <c r="P4787" s="42">
        <v>19260</v>
      </c>
      <c r="R4787" s="42">
        <v>2905</v>
      </c>
      <c r="T4787" s="284">
        <v>16355</v>
      </c>
      <c r="U4787" s="284"/>
    </row>
    <row r="4788" spans="1:21" x14ac:dyDescent="0.25">
      <c r="B4788" s="292">
        <v>115</v>
      </c>
      <c r="C4788" s="292"/>
      <c r="D4788" s="292"/>
      <c r="F4788" s="283" t="s">
        <v>87</v>
      </c>
      <c r="G4788" s="283"/>
      <c r="J4788" s="293">
        <v>2</v>
      </c>
      <c r="K4788" s="293"/>
      <c r="L4788" s="293"/>
      <c r="M4788" s="293"/>
      <c r="N4788" s="293"/>
      <c r="P4788" s="42">
        <v>580</v>
      </c>
      <c r="R4788" s="42">
        <v>80</v>
      </c>
      <c r="T4788" s="284">
        <v>500</v>
      </c>
      <c r="U4788" s="284"/>
    </row>
    <row r="4789" spans="1:21" x14ac:dyDescent="0.25">
      <c r="B4789" s="292">
        <v>116</v>
      </c>
      <c r="C4789" s="292"/>
      <c r="D4789" s="292"/>
      <c r="F4789" s="283" t="s">
        <v>85</v>
      </c>
      <c r="G4789" s="283"/>
      <c r="J4789" s="293">
        <v>14</v>
      </c>
      <c r="K4789" s="293"/>
      <c r="L4789" s="293"/>
      <c r="M4789" s="293"/>
      <c r="N4789" s="293"/>
      <c r="P4789" s="42">
        <v>29120</v>
      </c>
      <c r="R4789" s="42">
        <v>620</v>
      </c>
      <c r="T4789" s="284">
        <v>28500</v>
      </c>
      <c r="U4789" s="284"/>
    </row>
    <row r="4790" spans="1:21" x14ac:dyDescent="0.25">
      <c r="B4790" s="292">
        <v>117</v>
      </c>
      <c r="C4790" s="292"/>
      <c r="D4790" s="292"/>
      <c r="F4790" s="283" t="s">
        <v>84</v>
      </c>
      <c r="G4790" s="283"/>
      <c r="J4790" s="293">
        <v>25</v>
      </c>
      <c r="K4790" s="293"/>
      <c r="L4790" s="293"/>
      <c r="M4790" s="293"/>
      <c r="N4790" s="293"/>
      <c r="P4790" s="42">
        <v>14750</v>
      </c>
      <c r="R4790" s="42">
        <v>2340</v>
      </c>
      <c r="T4790" s="284">
        <v>12410</v>
      </c>
      <c r="U4790" s="284"/>
    </row>
    <row r="4791" spans="1:21" x14ac:dyDescent="0.25">
      <c r="B4791" s="292">
        <v>118</v>
      </c>
      <c r="C4791" s="292"/>
      <c r="D4791" s="292"/>
      <c r="F4791" s="283" t="s">
        <v>208</v>
      </c>
      <c r="G4791" s="283"/>
      <c r="J4791" s="293">
        <v>1</v>
      </c>
      <c r="K4791" s="293"/>
      <c r="L4791" s="293"/>
      <c r="M4791" s="293"/>
      <c r="N4791" s="293"/>
      <c r="P4791" s="42">
        <v>500</v>
      </c>
      <c r="R4791" s="42">
        <v>0</v>
      </c>
      <c r="T4791" s="284">
        <v>500</v>
      </c>
      <c r="U4791" s="284"/>
    </row>
    <row r="4792" spans="1:21" x14ac:dyDescent="0.25">
      <c r="B4792" s="292">
        <v>119</v>
      </c>
      <c r="C4792" s="292"/>
      <c r="D4792" s="292"/>
      <c r="F4792" s="283" t="s">
        <v>207</v>
      </c>
      <c r="G4792" s="283"/>
      <c r="J4792" s="293">
        <v>2</v>
      </c>
      <c r="K4792" s="293"/>
      <c r="L4792" s="293"/>
      <c r="M4792" s="293"/>
      <c r="N4792" s="293"/>
      <c r="P4792" s="42">
        <v>1000</v>
      </c>
      <c r="R4792" s="42">
        <v>150</v>
      </c>
      <c r="T4792" s="284">
        <v>850</v>
      </c>
      <c r="U4792" s="284"/>
    </row>
    <row r="4793" spans="1:21" x14ac:dyDescent="0.25">
      <c r="B4793" s="292">
        <v>120</v>
      </c>
      <c r="C4793" s="292"/>
      <c r="D4793" s="292"/>
      <c r="F4793" s="283" t="s">
        <v>206</v>
      </c>
      <c r="G4793" s="283"/>
      <c r="J4793" s="293">
        <v>1</v>
      </c>
      <c r="K4793" s="293"/>
      <c r="L4793" s="293"/>
      <c r="M4793" s="293"/>
      <c r="N4793" s="293"/>
      <c r="P4793" s="42">
        <v>500</v>
      </c>
      <c r="R4793" s="42">
        <v>150</v>
      </c>
      <c r="T4793" s="284">
        <v>350</v>
      </c>
      <c r="U4793" s="284"/>
    </row>
    <row r="4794" spans="1:21" x14ac:dyDescent="0.25">
      <c r="B4794" s="292">
        <v>121</v>
      </c>
      <c r="C4794" s="292"/>
      <c r="D4794" s="292"/>
      <c r="F4794" s="283" t="s">
        <v>205</v>
      </c>
      <c r="G4794" s="283"/>
      <c r="J4794" s="293">
        <v>9</v>
      </c>
      <c r="K4794" s="293"/>
      <c r="L4794" s="293"/>
      <c r="M4794" s="293"/>
      <c r="N4794" s="293"/>
      <c r="P4794" s="42">
        <v>4500</v>
      </c>
      <c r="R4794" s="42">
        <v>1055</v>
      </c>
      <c r="T4794" s="284">
        <v>3445</v>
      </c>
      <c r="U4794" s="284"/>
    </row>
    <row r="4795" spans="1:21" x14ac:dyDescent="0.25">
      <c r="B4795" s="292">
        <v>122</v>
      </c>
      <c r="C4795" s="292"/>
      <c r="D4795" s="292"/>
      <c r="F4795" s="283" t="s">
        <v>204</v>
      </c>
      <c r="G4795" s="283"/>
      <c r="J4795" s="293">
        <v>1</v>
      </c>
      <c r="K4795" s="293"/>
      <c r="L4795" s="293"/>
      <c r="M4795" s="293"/>
      <c r="N4795" s="293"/>
      <c r="P4795" s="42">
        <v>500</v>
      </c>
      <c r="R4795" s="42">
        <v>150</v>
      </c>
      <c r="T4795" s="284">
        <v>350</v>
      </c>
      <c r="U4795" s="284"/>
    </row>
    <row r="4796" spans="1:21" x14ac:dyDescent="0.25">
      <c r="B4796" s="292">
        <v>123</v>
      </c>
      <c r="C4796" s="292"/>
      <c r="D4796" s="292"/>
      <c r="F4796" s="283" t="s">
        <v>83</v>
      </c>
      <c r="G4796" s="283"/>
      <c r="J4796" s="293">
        <v>2</v>
      </c>
      <c r="K4796" s="293"/>
      <c r="L4796" s="293"/>
      <c r="M4796" s="293"/>
      <c r="N4796" s="293"/>
      <c r="P4796" s="42">
        <v>1000</v>
      </c>
      <c r="R4796" s="42">
        <v>300</v>
      </c>
      <c r="T4796" s="284">
        <v>700</v>
      </c>
      <c r="U4796" s="284"/>
    </row>
    <row r="4797" spans="1:21" x14ac:dyDescent="0.25">
      <c r="B4797" s="292">
        <v>124</v>
      </c>
      <c r="C4797" s="292"/>
      <c r="D4797" s="292"/>
      <c r="F4797" s="283" t="s">
        <v>203</v>
      </c>
      <c r="G4797" s="283"/>
      <c r="J4797" s="293">
        <v>1</v>
      </c>
      <c r="K4797" s="293"/>
      <c r="L4797" s="293"/>
      <c r="M4797" s="293"/>
      <c r="N4797" s="293"/>
      <c r="P4797" s="42">
        <v>500</v>
      </c>
      <c r="R4797" s="42">
        <v>150</v>
      </c>
      <c r="T4797" s="284">
        <v>350</v>
      </c>
      <c r="U4797" s="284"/>
    </row>
    <row r="4798" spans="1:21" x14ac:dyDescent="0.25">
      <c r="B4798" s="292">
        <v>125</v>
      </c>
      <c r="C4798" s="292"/>
      <c r="D4798" s="292"/>
      <c r="F4798" s="283" t="s">
        <v>202</v>
      </c>
      <c r="G4798" s="283"/>
      <c r="J4798" s="293">
        <v>1</v>
      </c>
      <c r="K4798" s="293"/>
      <c r="L4798" s="293"/>
      <c r="M4798" s="293"/>
      <c r="N4798" s="293"/>
      <c r="P4798" s="42">
        <v>500</v>
      </c>
      <c r="R4798" s="42">
        <v>130</v>
      </c>
      <c r="T4798" s="284">
        <v>370</v>
      </c>
      <c r="U4798" s="284"/>
    </row>
    <row r="4799" spans="1:21" s="40" customFormat="1" x14ac:dyDescent="0.25">
      <c r="A4799" s="290" t="s">
        <v>201</v>
      </c>
      <c r="B4799" s="290"/>
      <c r="C4799" s="290"/>
      <c r="D4799" s="290"/>
      <c r="E4799" s="290"/>
      <c r="F4799" s="290"/>
      <c r="G4799" s="290"/>
      <c r="H4799" s="290"/>
      <c r="I4799" s="290"/>
      <c r="J4799" s="290"/>
      <c r="K4799" s="291">
        <v>3828</v>
      </c>
      <c r="L4799" s="291"/>
      <c r="M4799" s="291"/>
      <c r="N4799" s="291"/>
      <c r="O4799" s="291"/>
      <c r="P4799" s="41">
        <v>4152750</v>
      </c>
      <c r="R4799" s="41">
        <v>3626764</v>
      </c>
      <c r="T4799" s="287">
        <v>526051</v>
      </c>
      <c r="U4799" s="287"/>
    </row>
    <row r="4800" spans="1:21" x14ac:dyDescent="0.25">
      <c r="B4800" s="292">
        <v>1</v>
      </c>
      <c r="C4800" s="292"/>
      <c r="D4800" s="292"/>
      <c r="F4800" s="283" t="s">
        <v>200</v>
      </c>
      <c r="G4800" s="283"/>
      <c r="J4800" s="293">
        <v>1</v>
      </c>
      <c r="K4800" s="293"/>
      <c r="L4800" s="293"/>
      <c r="M4800" s="293"/>
      <c r="N4800" s="293"/>
      <c r="P4800" s="42">
        <v>500</v>
      </c>
      <c r="R4800" s="42">
        <v>130</v>
      </c>
      <c r="T4800" s="284">
        <v>370</v>
      </c>
      <c r="U4800" s="284"/>
    </row>
    <row r="4801" spans="2:21" x14ac:dyDescent="0.25">
      <c r="B4801" s="292">
        <v>2</v>
      </c>
      <c r="C4801" s="292"/>
      <c r="D4801" s="292"/>
      <c r="F4801" s="283" t="s">
        <v>168</v>
      </c>
      <c r="G4801" s="283"/>
      <c r="J4801" s="293">
        <v>1</v>
      </c>
      <c r="K4801" s="293"/>
      <c r="L4801" s="293"/>
      <c r="M4801" s="293"/>
      <c r="N4801" s="293"/>
      <c r="P4801" s="42">
        <v>2200</v>
      </c>
      <c r="R4801" s="42">
        <v>330</v>
      </c>
      <c r="T4801" s="284">
        <v>1870</v>
      </c>
      <c r="U4801" s="284"/>
    </row>
    <row r="4802" spans="2:21" x14ac:dyDescent="0.25">
      <c r="B4802" s="292">
        <v>3</v>
      </c>
      <c r="C4802" s="292"/>
      <c r="D4802" s="292"/>
      <c r="F4802" s="283" t="s">
        <v>78</v>
      </c>
      <c r="G4802" s="283"/>
      <c r="J4802" s="293">
        <v>114</v>
      </c>
      <c r="K4802" s="293"/>
      <c r="L4802" s="293"/>
      <c r="M4802" s="293"/>
      <c r="N4802" s="293"/>
      <c r="P4802" s="42">
        <v>33060</v>
      </c>
      <c r="R4802" s="42">
        <v>33060</v>
      </c>
      <c r="T4802" s="284">
        <v>0</v>
      </c>
      <c r="U4802" s="284"/>
    </row>
    <row r="4803" spans="2:21" x14ac:dyDescent="0.25">
      <c r="B4803" s="292">
        <v>4</v>
      </c>
      <c r="C4803" s="292"/>
      <c r="D4803" s="292"/>
      <c r="F4803" s="283" t="s">
        <v>199</v>
      </c>
      <c r="G4803" s="283"/>
      <c r="J4803" s="293">
        <v>2</v>
      </c>
      <c r="K4803" s="293"/>
      <c r="L4803" s="293"/>
      <c r="M4803" s="293"/>
      <c r="N4803" s="293"/>
      <c r="P4803" s="42">
        <v>580</v>
      </c>
      <c r="R4803" s="42">
        <v>180</v>
      </c>
      <c r="T4803" s="284">
        <v>400</v>
      </c>
      <c r="U4803" s="284"/>
    </row>
    <row r="4804" spans="2:21" x14ac:dyDescent="0.25">
      <c r="B4804" s="292">
        <v>5</v>
      </c>
      <c r="C4804" s="292"/>
      <c r="D4804" s="292"/>
      <c r="F4804" s="283" t="s">
        <v>167</v>
      </c>
      <c r="G4804" s="283"/>
      <c r="J4804" s="293">
        <v>2</v>
      </c>
      <c r="K4804" s="293"/>
      <c r="L4804" s="293"/>
      <c r="M4804" s="293"/>
      <c r="N4804" s="293"/>
      <c r="P4804" s="42">
        <v>1140</v>
      </c>
      <c r="R4804" s="42">
        <v>340</v>
      </c>
      <c r="T4804" s="284">
        <v>800</v>
      </c>
      <c r="U4804" s="284"/>
    </row>
    <row r="4805" spans="2:21" x14ac:dyDescent="0.25">
      <c r="B4805" s="292">
        <v>6</v>
      </c>
      <c r="C4805" s="292"/>
      <c r="D4805" s="292"/>
      <c r="F4805" s="283" t="s">
        <v>163</v>
      </c>
      <c r="G4805" s="283"/>
      <c r="J4805" s="293">
        <v>10</v>
      </c>
      <c r="K4805" s="293"/>
      <c r="L4805" s="293"/>
      <c r="M4805" s="293"/>
      <c r="N4805" s="293"/>
      <c r="P4805" s="42">
        <v>11900</v>
      </c>
      <c r="R4805" s="42">
        <v>1800</v>
      </c>
      <c r="T4805" s="284">
        <v>10100</v>
      </c>
      <c r="U4805" s="284"/>
    </row>
    <row r="4806" spans="2:21" x14ac:dyDescent="0.25">
      <c r="B4806" s="292">
        <v>7</v>
      </c>
      <c r="C4806" s="292"/>
      <c r="D4806" s="292"/>
      <c r="F4806" s="283" t="s">
        <v>162</v>
      </c>
      <c r="G4806" s="283"/>
      <c r="J4806" s="293">
        <v>27</v>
      </c>
      <c r="K4806" s="293"/>
      <c r="L4806" s="293"/>
      <c r="M4806" s="293"/>
      <c r="N4806" s="293"/>
      <c r="P4806" s="42">
        <v>11610</v>
      </c>
      <c r="R4806" s="42">
        <v>5193</v>
      </c>
      <c r="T4806" s="284">
        <v>6417</v>
      </c>
      <c r="U4806" s="284"/>
    </row>
    <row r="4807" spans="2:21" x14ac:dyDescent="0.25">
      <c r="B4807" s="292">
        <v>8</v>
      </c>
      <c r="C4807" s="292"/>
      <c r="D4807" s="292"/>
      <c r="F4807" s="283" t="s">
        <v>198</v>
      </c>
      <c r="G4807" s="283"/>
      <c r="J4807" s="293">
        <v>1</v>
      </c>
      <c r="K4807" s="293"/>
      <c r="L4807" s="293"/>
      <c r="M4807" s="293"/>
      <c r="N4807" s="293"/>
      <c r="P4807" s="42">
        <v>290</v>
      </c>
      <c r="R4807" s="42">
        <v>80</v>
      </c>
      <c r="T4807" s="284">
        <v>210</v>
      </c>
      <c r="U4807" s="284"/>
    </row>
    <row r="4808" spans="2:21" x14ac:dyDescent="0.25">
      <c r="B4808" s="292">
        <v>9</v>
      </c>
      <c r="C4808" s="292"/>
      <c r="D4808" s="292"/>
      <c r="F4808" s="283" t="s">
        <v>161</v>
      </c>
      <c r="G4808" s="283"/>
      <c r="J4808" s="293">
        <v>10</v>
      </c>
      <c r="K4808" s="293"/>
      <c r="L4808" s="293"/>
      <c r="M4808" s="293"/>
      <c r="N4808" s="293"/>
      <c r="P4808" s="42">
        <v>250</v>
      </c>
      <c r="R4808" s="42">
        <v>45</v>
      </c>
      <c r="T4808" s="284">
        <v>205</v>
      </c>
      <c r="U4808" s="284"/>
    </row>
    <row r="4809" spans="2:21" x14ac:dyDescent="0.25">
      <c r="B4809" s="292">
        <v>10</v>
      </c>
      <c r="C4809" s="292"/>
      <c r="D4809" s="292"/>
      <c r="F4809" s="283" t="s">
        <v>160</v>
      </c>
      <c r="G4809" s="283"/>
      <c r="J4809" s="293">
        <v>5</v>
      </c>
      <c r="K4809" s="293"/>
      <c r="L4809" s="293"/>
      <c r="M4809" s="293"/>
      <c r="N4809" s="293"/>
      <c r="P4809" s="42">
        <v>1450</v>
      </c>
      <c r="R4809" s="42">
        <v>419</v>
      </c>
      <c r="T4809" s="284">
        <v>1031</v>
      </c>
      <c r="U4809" s="284"/>
    </row>
    <row r="4810" spans="2:21" x14ac:dyDescent="0.25">
      <c r="B4810" s="292">
        <v>11</v>
      </c>
      <c r="C4810" s="292"/>
      <c r="D4810" s="292"/>
      <c r="F4810" s="283" t="s">
        <v>158</v>
      </c>
      <c r="G4810" s="283"/>
      <c r="J4810" s="293">
        <v>341</v>
      </c>
      <c r="K4810" s="293"/>
      <c r="L4810" s="293"/>
      <c r="M4810" s="293"/>
      <c r="N4810" s="293"/>
      <c r="P4810" s="42">
        <v>187550</v>
      </c>
      <c r="R4810" s="42">
        <v>56644</v>
      </c>
      <c r="T4810" s="284">
        <v>130906</v>
      </c>
      <c r="U4810" s="284"/>
    </row>
    <row r="4811" spans="2:21" x14ac:dyDescent="0.25">
      <c r="B4811" s="292">
        <v>12</v>
      </c>
      <c r="C4811" s="292"/>
      <c r="D4811" s="292"/>
      <c r="F4811" s="283" t="s">
        <v>157</v>
      </c>
      <c r="G4811" s="283"/>
      <c r="J4811" s="293">
        <v>108</v>
      </c>
      <c r="K4811" s="293"/>
      <c r="L4811" s="293"/>
      <c r="M4811" s="293"/>
      <c r="N4811" s="293"/>
      <c r="P4811" s="42">
        <v>52920</v>
      </c>
      <c r="R4811" s="42">
        <v>23077</v>
      </c>
      <c r="T4811" s="284">
        <v>29908</v>
      </c>
      <c r="U4811" s="284"/>
    </row>
    <row r="4812" spans="2:21" x14ac:dyDescent="0.25">
      <c r="B4812" s="292">
        <v>13</v>
      </c>
      <c r="C4812" s="292"/>
      <c r="D4812" s="292"/>
      <c r="F4812" s="283" t="s">
        <v>197</v>
      </c>
      <c r="G4812" s="283"/>
      <c r="J4812" s="293">
        <v>1</v>
      </c>
      <c r="K4812" s="293"/>
      <c r="L4812" s="293"/>
      <c r="M4812" s="293"/>
      <c r="N4812" s="293"/>
      <c r="P4812" s="42">
        <v>500</v>
      </c>
      <c r="R4812" s="42">
        <v>150</v>
      </c>
      <c r="T4812" s="284">
        <v>350</v>
      </c>
      <c r="U4812" s="284"/>
    </row>
    <row r="4813" spans="2:21" x14ac:dyDescent="0.25">
      <c r="B4813" s="292">
        <v>14</v>
      </c>
      <c r="C4813" s="292"/>
      <c r="D4813" s="292"/>
      <c r="F4813" s="283" t="s">
        <v>196</v>
      </c>
      <c r="G4813" s="283"/>
      <c r="J4813" s="293">
        <v>1</v>
      </c>
      <c r="K4813" s="293"/>
      <c r="L4813" s="293"/>
      <c r="M4813" s="293"/>
      <c r="N4813" s="293"/>
      <c r="P4813" s="42">
        <v>700</v>
      </c>
      <c r="R4813" s="42">
        <v>350</v>
      </c>
      <c r="T4813" s="284">
        <v>350</v>
      </c>
      <c r="U4813" s="284"/>
    </row>
    <row r="4814" spans="2:21" x14ac:dyDescent="0.25">
      <c r="B4814" s="292">
        <v>15</v>
      </c>
      <c r="C4814" s="292"/>
      <c r="D4814" s="292"/>
      <c r="F4814" s="283" t="s">
        <v>77</v>
      </c>
      <c r="G4814" s="283"/>
      <c r="J4814" s="293">
        <v>1016</v>
      </c>
      <c r="K4814" s="293"/>
      <c r="L4814" s="293"/>
      <c r="M4814" s="293"/>
      <c r="N4814" s="293"/>
      <c r="P4814" s="42">
        <v>418400</v>
      </c>
      <c r="R4814" s="42">
        <v>418400</v>
      </c>
      <c r="T4814" s="284">
        <v>0</v>
      </c>
      <c r="U4814" s="284"/>
    </row>
    <row r="4815" spans="2:21" x14ac:dyDescent="0.25">
      <c r="B4815" s="292">
        <v>16</v>
      </c>
      <c r="C4815" s="292"/>
      <c r="D4815" s="292"/>
      <c r="F4815" s="283" t="s">
        <v>156</v>
      </c>
      <c r="G4815" s="283"/>
      <c r="J4815" s="293">
        <v>11</v>
      </c>
      <c r="K4815" s="293"/>
      <c r="L4815" s="293"/>
      <c r="M4815" s="293"/>
      <c r="N4815" s="293"/>
      <c r="P4815" s="42">
        <v>2090</v>
      </c>
      <c r="R4815" s="42">
        <v>673</v>
      </c>
      <c r="T4815" s="284">
        <v>1417</v>
      </c>
      <c r="U4815" s="284"/>
    </row>
    <row r="4816" spans="2:21" x14ac:dyDescent="0.25">
      <c r="B4816" s="292">
        <v>17</v>
      </c>
      <c r="C4816" s="292"/>
      <c r="D4816" s="292"/>
      <c r="F4816" s="283" t="s">
        <v>155</v>
      </c>
      <c r="G4816" s="283"/>
      <c r="J4816" s="293">
        <v>19</v>
      </c>
      <c r="K4816" s="293"/>
      <c r="L4816" s="293"/>
      <c r="M4816" s="293"/>
      <c r="N4816" s="293"/>
      <c r="P4816" s="42">
        <v>4750</v>
      </c>
      <c r="R4816" s="42">
        <v>1820</v>
      </c>
      <c r="T4816" s="284">
        <v>2930</v>
      </c>
      <c r="U4816" s="284"/>
    </row>
    <row r="4817" spans="2:21" x14ac:dyDescent="0.25">
      <c r="B4817" s="292">
        <v>18</v>
      </c>
      <c r="C4817" s="292"/>
      <c r="D4817" s="292"/>
      <c r="F4817" s="283" t="s">
        <v>154</v>
      </c>
      <c r="G4817" s="283"/>
      <c r="J4817" s="293">
        <v>11</v>
      </c>
      <c r="K4817" s="293"/>
      <c r="L4817" s="293"/>
      <c r="M4817" s="293"/>
      <c r="N4817" s="293"/>
      <c r="P4817" s="42">
        <v>9790</v>
      </c>
      <c r="R4817" s="42">
        <v>1430</v>
      </c>
      <c r="T4817" s="284">
        <v>8360</v>
      </c>
      <c r="U4817" s="284"/>
    </row>
    <row r="4818" spans="2:21" x14ac:dyDescent="0.25">
      <c r="B4818" s="292">
        <v>19</v>
      </c>
      <c r="C4818" s="292"/>
      <c r="D4818" s="292"/>
      <c r="F4818" s="283" t="s">
        <v>195</v>
      </c>
      <c r="G4818" s="283"/>
      <c r="J4818" s="293">
        <v>3</v>
      </c>
      <c r="K4818" s="293"/>
      <c r="L4818" s="293"/>
      <c r="M4818" s="293"/>
      <c r="N4818" s="293"/>
      <c r="P4818" s="42">
        <v>3000</v>
      </c>
      <c r="R4818" s="42">
        <v>750</v>
      </c>
      <c r="T4818" s="284">
        <v>2250</v>
      </c>
      <c r="U4818" s="284"/>
    </row>
    <row r="4819" spans="2:21" x14ac:dyDescent="0.25">
      <c r="B4819" s="292">
        <v>20</v>
      </c>
      <c r="C4819" s="292"/>
      <c r="D4819" s="292"/>
      <c r="F4819" s="283" t="s">
        <v>194</v>
      </c>
      <c r="G4819" s="283"/>
      <c r="J4819" s="293">
        <v>2</v>
      </c>
      <c r="K4819" s="293"/>
      <c r="L4819" s="293"/>
      <c r="M4819" s="293"/>
      <c r="N4819" s="293"/>
      <c r="P4819" s="42">
        <v>1400</v>
      </c>
      <c r="R4819" s="42">
        <v>360</v>
      </c>
      <c r="T4819" s="284">
        <v>1040</v>
      </c>
      <c r="U4819" s="284"/>
    </row>
    <row r="4820" spans="2:21" x14ac:dyDescent="0.25">
      <c r="B4820" s="292">
        <v>21</v>
      </c>
      <c r="C4820" s="292"/>
      <c r="D4820" s="292"/>
      <c r="F4820" s="283" t="s">
        <v>152</v>
      </c>
      <c r="G4820" s="283"/>
      <c r="J4820" s="293">
        <v>11</v>
      </c>
      <c r="K4820" s="293"/>
      <c r="L4820" s="293"/>
      <c r="M4820" s="293"/>
      <c r="N4820" s="293"/>
      <c r="P4820" s="42">
        <v>6490</v>
      </c>
      <c r="R4820" s="42">
        <v>2040</v>
      </c>
      <c r="T4820" s="284">
        <v>4450</v>
      </c>
      <c r="U4820" s="284"/>
    </row>
    <row r="4821" spans="2:21" x14ac:dyDescent="0.25">
      <c r="B4821" s="292">
        <v>22</v>
      </c>
      <c r="C4821" s="292"/>
      <c r="D4821" s="292"/>
      <c r="F4821" s="283" t="s">
        <v>151</v>
      </c>
      <c r="G4821" s="283"/>
      <c r="J4821" s="293">
        <v>15</v>
      </c>
      <c r="K4821" s="293"/>
      <c r="L4821" s="293"/>
      <c r="M4821" s="293"/>
      <c r="N4821" s="293"/>
      <c r="P4821" s="42">
        <v>3450</v>
      </c>
      <c r="R4821" s="42">
        <v>1130</v>
      </c>
      <c r="T4821" s="284">
        <v>2320</v>
      </c>
      <c r="U4821" s="284"/>
    </row>
    <row r="4822" spans="2:21" x14ac:dyDescent="0.25">
      <c r="B4822" s="292">
        <v>23</v>
      </c>
      <c r="C4822" s="292"/>
      <c r="D4822" s="292"/>
      <c r="F4822" s="283" t="s">
        <v>150</v>
      </c>
      <c r="G4822" s="283"/>
      <c r="J4822" s="293">
        <v>16</v>
      </c>
      <c r="K4822" s="293"/>
      <c r="L4822" s="293"/>
      <c r="M4822" s="293"/>
      <c r="N4822" s="293"/>
      <c r="P4822" s="42">
        <v>2720</v>
      </c>
      <c r="R4822" s="42">
        <v>800</v>
      </c>
      <c r="T4822" s="284">
        <v>1920</v>
      </c>
      <c r="U4822" s="284"/>
    </row>
    <row r="4823" spans="2:21" x14ac:dyDescent="0.25">
      <c r="B4823" s="292">
        <v>24</v>
      </c>
      <c r="C4823" s="292"/>
      <c r="D4823" s="292"/>
      <c r="F4823" s="283" t="s">
        <v>147</v>
      </c>
      <c r="G4823" s="283"/>
      <c r="J4823" s="293">
        <v>1</v>
      </c>
      <c r="K4823" s="293"/>
      <c r="L4823" s="293"/>
      <c r="M4823" s="293"/>
      <c r="N4823" s="293"/>
      <c r="P4823" s="42">
        <v>30</v>
      </c>
      <c r="R4823" s="42">
        <v>0</v>
      </c>
      <c r="T4823" s="284">
        <v>30</v>
      </c>
      <c r="U4823" s="284"/>
    </row>
    <row r="4824" spans="2:21" x14ac:dyDescent="0.25">
      <c r="B4824" s="292">
        <v>25</v>
      </c>
      <c r="C4824" s="292"/>
      <c r="D4824" s="292"/>
      <c r="F4824" s="283" t="s">
        <v>146</v>
      </c>
      <c r="G4824" s="283"/>
      <c r="J4824" s="293">
        <v>7</v>
      </c>
      <c r="K4824" s="293"/>
      <c r="L4824" s="293"/>
      <c r="M4824" s="293"/>
      <c r="N4824" s="293"/>
      <c r="P4824" s="42">
        <v>350</v>
      </c>
      <c r="R4824" s="42">
        <v>0</v>
      </c>
      <c r="T4824" s="284">
        <v>350</v>
      </c>
      <c r="U4824" s="284"/>
    </row>
    <row r="4825" spans="2:21" x14ac:dyDescent="0.25">
      <c r="B4825" s="292">
        <v>26</v>
      </c>
      <c r="C4825" s="292"/>
      <c r="D4825" s="292"/>
      <c r="F4825" s="283" t="s">
        <v>193</v>
      </c>
      <c r="G4825" s="283"/>
      <c r="J4825" s="293">
        <v>4</v>
      </c>
      <c r="K4825" s="293"/>
      <c r="L4825" s="293"/>
      <c r="M4825" s="293"/>
      <c r="N4825" s="293"/>
      <c r="P4825" s="42">
        <v>3560</v>
      </c>
      <c r="R4825" s="42">
        <v>520</v>
      </c>
      <c r="T4825" s="284">
        <v>3040</v>
      </c>
      <c r="U4825" s="284"/>
    </row>
    <row r="4826" spans="2:21" x14ac:dyDescent="0.25">
      <c r="B4826" s="292">
        <v>27</v>
      </c>
      <c r="C4826" s="292"/>
      <c r="D4826" s="292"/>
      <c r="F4826" s="283" t="s">
        <v>142</v>
      </c>
      <c r="G4826" s="283"/>
      <c r="J4826" s="293">
        <v>3</v>
      </c>
      <c r="K4826" s="293"/>
      <c r="L4826" s="293"/>
      <c r="M4826" s="293"/>
      <c r="N4826" s="293"/>
      <c r="P4826" s="42">
        <v>1050</v>
      </c>
      <c r="R4826" s="42">
        <v>450</v>
      </c>
      <c r="T4826" s="284">
        <v>600</v>
      </c>
      <c r="U4826" s="284"/>
    </row>
    <row r="4827" spans="2:21" x14ac:dyDescent="0.25">
      <c r="B4827" s="292">
        <v>28</v>
      </c>
      <c r="C4827" s="292"/>
      <c r="D4827" s="292"/>
      <c r="F4827" s="283" t="s">
        <v>75</v>
      </c>
      <c r="G4827" s="283"/>
      <c r="J4827" s="293">
        <v>1162</v>
      </c>
      <c r="K4827" s="293"/>
      <c r="L4827" s="293"/>
      <c r="M4827" s="293"/>
      <c r="N4827" s="293"/>
      <c r="P4827" s="42">
        <v>2905000</v>
      </c>
      <c r="R4827" s="42">
        <v>2905000</v>
      </c>
      <c r="T4827" s="284">
        <v>0</v>
      </c>
      <c r="U4827" s="284"/>
    </row>
    <row r="4828" spans="2:21" x14ac:dyDescent="0.25">
      <c r="B4828" s="292">
        <v>29</v>
      </c>
      <c r="C4828" s="292"/>
      <c r="D4828" s="292"/>
      <c r="F4828" s="283" t="s">
        <v>192</v>
      </c>
      <c r="G4828" s="283"/>
      <c r="J4828" s="293">
        <v>1</v>
      </c>
      <c r="K4828" s="293"/>
      <c r="L4828" s="293"/>
      <c r="M4828" s="293"/>
      <c r="N4828" s="293"/>
      <c r="P4828" s="42">
        <v>1550</v>
      </c>
      <c r="R4828" s="42">
        <v>310</v>
      </c>
      <c r="T4828" s="284">
        <v>1240</v>
      </c>
      <c r="U4828" s="284"/>
    </row>
    <row r="4829" spans="2:21" x14ac:dyDescent="0.25">
      <c r="B4829" s="292">
        <v>30</v>
      </c>
      <c r="C4829" s="292"/>
      <c r="D4829" s="292"/>
      <c r="F4829" s="283" t="s">
        <v>136</v>
      </c>
      <c r="G4829" s="283"/>
      <c r="J4829" s="293">
        <v>18</v>
      </c>
      <c r="K4829" s="293"/>
      <c r="L4829" s="293"/>
      <c r="M4829" s="293"/>
      <c r="N4829" s="293"/>
      <c r="P4829" s="42">
        <v>15300</v>
      </c>
      <c r="R4829" s="42">
        <v>3640</v>
      </c>
      <c r="T4829" s="284">
        <v>11660</v>
      </c>
      <c r="U4829" s="284"/>
    </row>
    <row r="4830" spans="2:21" x14ac:dyDescent="0.25">
      <c r="B4830" s="292">
        <v>31</v>
      </c>
      <c r="C4830" s="292"/>
      <c r="D4830" s="292"/>
      <c r="F4830" s="283" t="s">
        <v>74</v>
      </c>
      <c r="G4830" s="283"/>
      <c r="J4830" s="293">
        <v>54</v>
      </c>
      <c r="K4830" s="293"/>
      <c r="L4830" s="293"/>
      <c r="M4830" s="293"/>
      <c r="N4830" s="293"/>
      <c r="P4830" s="42">
        <v>45900</v>
      </c>
      <c r="R4830" s="42">
        <v>45900</v>
      </c>
      <c r="T4830" s="284">
        <v>0</v>
      </c>
      <c r="U4830" s="284"/>
    </row>
    <row r="4831" spans="2:21" x14ac:dyDescent="0.25">
      <c r="B4831" s="292">
        <v>32</v>
      </c>
      <c r="C4831" s="292"/>
      <c r="D4831" s="292"/>
      <c r="F4831" s="283" t="s">
        <v>191</v>
      </c>
      <c r="G4831" s="283"/>
      <c r="J4831" s="293">
        <v>1</v>
      </c>
      <c r="K4831" s="293"/>
      <c r="L4831" s="293"/>
      <c r="M4831" s="293"/>
      <c r="N4831" s="293"/>
      <c r="P4831" s="42">
        <v>350</v>
      </c>
      <c r="R4831" s="42">
        <v>130</v>
      </c>
      <c r="T4831" s="284">
        <v>220</v>
      </c>
      <c r="U4831" s="284"/>
    </row>
    <row r="4832" spans="2:21" x14ac:dyDescent="0.25">
      <c r="B4832" s="292">
        <v>33</v>
      </c>
      <c r="C4832" s="292"/>
      <c r="D4832" s="292"/>
      <c r="F4832" s="283" t="s">
        <v>190</v>
      </c>
      <c r="G4832" s="283"/>
      <c r="J4832" s="293">
        <v>5</v>
      </c>
      <c r="K4832" s="293"/>
      <c r="L4832" s="293"/>
      <c r="M4832" s="293"/>
      <c r="N4832" s="293"/>
      <c r="P4832" s="42">
        <v>7850</v>
      </c>
      <c r="R4832" s="42">
        <v>1200</v>
      </c>
      <c r="T4832" s="284">
        <v>6650</v>
      </c>
      <c r="U4832" s="284"/>
    </row>
    <row r="4833" spans="2:21" x14ac:dyDescent="0.25">
      <c r="B4833" s="292">
        <v>34</v>
      </c>
      <c r="C4833" s="292"/>
      <c r="D4833" s="292"/>
      <c r="F4833" s="283" t="s">
        <v>189</v>
      </c>
      <c r="G4833" s="283"/>
      <c r="J4833" s="293">
        <v>1</v>
      </c>
      <c r="K4833" s="293"/>
      <c r="L4833" s="293"/>
      <c r="M4833" s="293"/>
      <c r="N4833" s="293"/>
      <c r="P4833" s="42">
        <v>1140</v>
      </c>
      <c r="R4833" s="42">
        <v>0</v>
      </c>
      <c r="T4833" s="284">
        <v>1140</v>
      </c>
      <c r="U4833" s="284"/>
    </row>
    <row r="4834" spans="2:21" x14ac:dyDescent="0.25">
      <c r="B4834" s="292">
        <v>35</v>
      </c>
      <c r="C4834" s="292"/>
      <c r="D4834" s="292"/>
      <c r="F4834" s="283" t="s">
        <v>135</v>
      </c>
      <c r="G4834" s="283"/>
      <c r="J4834" s="293">
        <v>4</v>
      </c>
      <c r="K4834" s="293"/>
      <c r="L4834" s="293"/>
      <c r="M4834" s="293"/>
      <c r="N4834" s="293"/>
      <c r="P4834" s="42">
        <v>3800</v>
      </c>
      <c r="R4834" s="42">
        <v>1120</v>
      </c>
      <c r="T4834" s="284">
        <v>2680</v>
      </c>
      <c r="U4834" s="284"/>
    </row>
    <row r="4835" spans="2:21" x14ac:dyDescent="0.25">
      <c r="B4835" s="292">
        <v>36</v>
      </c>
      <c r="C4835" s="292"/>
      <c r="D4835" s="292"/>
      <c r="F4835" s="283" t="s">
        <v>132</v>
      </c>
      <c r="G4835" s="283"/>
      <c r="J4835" s="293">
        <v>6</v>
      </c>
      <c r="K4835" s="293"/>
      <c r="L4835" s="293"/>
      <c r="M4835" s="293"/>
      <c r="N4835" s="293"/>
      <c r="P4835" s="42">
        <v>7440</v>
      </c>
      <c r="R4835" s="42">
        <v>2220</v>
      </c>
      <c r="T4835" s="284">
        <v>5220</v>
      </c>
      <c r="U4835" s="284"/>
    </row>
    <row r="4836" spans="2:21" x14ac:dyDescent="0.25">
      <c r="B4836" s="292">
        <v>37</v>
      </c>
      <c r="C4836" s="292"/>
      <c r="D4836" s="292"/>
      <c r="F4836" s="283" t="s">
        <v>131</v>
      </c>
      <c r="G4836" s="283"/>
      <c r="J4836" s="293">
        <v>2</v>
      </c>
      <c r="K4836" s="293"/>
      <c r="L4836" s="293"/>
      <c r="M4836" s="293"/>
      <c r="N4836" s="293"/>
      <c r="P4836" s="42">
        <v>7400</v>
      </c>
      <c r="R4836" s="42">
        <v>1600</v>
      </c>
      <c r="T4836" s="284">
        <v>5800</v>
      </c>
      <c r="U4836" s="284"/>
    </row>
    <row r="4837" spans="2:21" x14ac:dyDescent="0.25">
      <c r="B4837" s="292">
        <v>38</v>
      </c>
      <c r="C4837" s="292"/>
      <c r="D4837" s="292"/>
      <c r="F4837" s="283" t="s">
        <v>130</v>
      </c>
      <c r="G4837" s="283"/>
      <c r="J4837" s="293">
        <v>3</v>
      </c>
      <c r="K4837" s="293"/>
      <c r="L4837" s="293"/>
      <c r="M4837" s="293"/>
      <c r="N4837" s="293"/>
      <c r="P4837" s="42">
        <v>24000</v>
      </c>
      <c r="R4837" s="42">
        <v>12300</v>
      </c>
      <c r="T4837" s="284">
        <v>11700</v>
      </c>
      <c r="U4837" s="284"/>
    </row>
    <row r="4838" spans="2:21" x14ac:dyDescent="0.25">
      <c r="B4838" s="292">
        <v>39</v>
      </c>
      <c r="C4838" s="292"/>
      <c r="D4838" s="292"/>
      <c r="F4838" s="285" t="s">
        <v>188</v>
      </c>
      <c r="G4838" s="285"/>
      <c r="J4838" s="293">
        <v>1</v>
      </c>
      <c r="K4838" s="293"/>
      <c r="L4838" s="293"/>
      <c r="M4838" s="293"/>
      <c r="N4838" s="293"/>
      <c r="P4838" s="42">
        <v>8000</v>
      </c>
      <c r="R4838" s="42">
        <v>4000</v>
      </c>
      <c r="T4838" s="284">
        <v>4000</v>
      </c>
      <c r="U4838" s="284"/>
    </row>
    <row r="4839" spans="2:21" x14ac:dyDescent="0.25">
      <c r="F4839" s="285"/>
      <c r="G4839" s="285"/>
    </row>
    <row r="4840" spans="2:21" x14ac:dyDescent="0.25">
      <c r="B4840" s="292">
        <v>40</v>
      </c>
      <c r="C4840" s="292"/>
      <c r="D4840" s="292"/>
      <c r="F4840" s="283" t="s">
        <v>187</v>
      </c>
      <c r="G4840" s="283"/>
      <c r="J4840" s="293">
        <v>88</v>
      </c>
      <c r="K4840" s="293"/>
      <c r="L4840" s="293"/>
      <c r="M4840" s="293"/>
      <c r="N4840" s="293"/>
      <c r="P4840" s="42">
        <v>8800</v>
      </c>
      <c r="R4840" s="42">
        <v>0</v>
      </c>
      <c r="T4840" s="284">
        <v>8800</v>
      </c>
      <c r="U4840" s="284"/>
    </row>
    <row r="4841" spans="2:21" x14ac:dyDescent="0.25">
      <c r="B4841" s="292">
        <v>41</v>
      </c>
      <c r="C4841" s="292"/>
      <c r="D4841" s="292"/>
      <c r="F4841" s="285" t="s">
        <v>186</v>
      </c>
      <c r="G4841" s="285"/>
      <c r="J4841" s="293">
        <v>39</v>
      </c>
      <c r="K4841" s="293"/>
      <c r="L4841" s="293"/>
      <c r="M4841" s="293"/>
      <c r="N4841" s="293"/>
      <c r="P4841" s="42">
        <v>2340</v>
      </c>
      <c r="R4841" s="42">
        <v>0</v>
      </c>
      <c r="T4841" s="284">
        <v>2340</v>
      </c>
      <c r="U4841" s="284"/>
    </row>
    <row r="4842" spans="2:21" x14ac:dyDescent="0.25">
      <c r="F4842" s="285"/>
      <c r="G4842" s="285"/>
    </row>
    <row r="4843" spans="2:21" x14ac:dyDescent="0.25">
      <c r="B4843" s="292">
        <v>42</v>
      </c>
      <c r="C4843" s="292"/>
      <c r="D4843" s="292"/>
      <c r="F4843" s="283" t="s">
        <v>185</v>
      </c>
      <c r="G4843" s="283"/>
      <c r="J4843" s="293">
        <v>1</v>
      </c>
      <c r="K4843" s="293"/>
      <c r="L4843" s="293"/>
      <c r="M4843" s="293"/>
      <c r="N4843" s="293"/>
      <c r="P4843" s="42">
        <v>800</v>
      </c>
      <c r="R4843" s="42">
        <v>450</v>
      </c>
      <c r="T4843" s="284">
        <v>350</v>
      </c>
      <c r="U4843" s="284"/>
    </row>
    <row r="4844" spans="2:21" x14ac:dyDescent="0.25">
      <c r="B4844" s="292">
        <v>43</v>
      </c>
      <c r="C4844" s="292"/>
      <c r="D4844" s="292"/>
      <c r="F4844" s="283" t="s">
        <v>128</v>
      </c>
      <c r="G4844" s="283"/>
      <c r="J4844" s="293">
        <v>3</v>
      </c>
      <c r="K4844" s="293"/>
      <c r="L4844" s="293"/>
      <c r="M4844" s="293"/>
      <c r="N4844" s="293"/>
      <c r="P4844" s="42">
        <v>3450</v>
      </c>
      <c r="R4844" s="42">
        <v>510</v>
      </c>
      <c r="T4844" s="284">
        <v>2940</v>
      </c>
      <c r="U4844" s="284"/>
    </row>
    <row r="4845" spans="2:21" x14ac:dyDescent="0.25">
      <c r="B4845" s="292">
        <v>44</v>
      </c>
      <c r="C4845" s="292"/>
      <c r="D4845" s="292"/>
      <c r="F4845" s="283" t="s">
        <v>127</v>
      </c>
      <c r="G4845" s="283"/>
      <c r="J4845" s="293">
        <v>47</v>
      </c>
      <c r="K4845" s="293"/>
      <c r="L4845" s="293"/>
      <c r="M4845" s="293"/>
      <c r="N4845" s="293"/>
      <c r="P4845" s="42">
        <v>14100</v>
      </c>
      <c r="R4845" s="42">
        <v>4419</v>
      </c>
      <c r="T4845" s="284">
        <v>9681</v>
      </c>
      <c r="U4845" s="284"/>
    </row>
    <row r="4846" spans="2:21" x14ac:dyDescent="0.25">
      <c r="B4846" s="292">
        <v>45</v>
      </c>
      <c r="C4846" s="292"/>
      <c r="D4846" s="292"/>
      <c r="F4846" s="283" t="s">
        <v>126</v>
      </c>
      <c r="G4846" s="283"/>
      <c r="J4846" s="293">
        <v>47</v>
      </c>
      <c r="K4846" s="293"/>
      <c r="L4846" s="293"/>
      <c r="M4846" s="293"/>
      <c r="N4846" s="293"/>
      <c r="P4846" s="42">
        <v>9400</v>
      </c>
      <c r="R4846" s="42">
        <v>2943</v>
      </c>
      <c r="T4846" s="284">
        <v>6457</v>
      </c>
      <c r="U4846" s="284"/>
    </row>
    <row r="4847" spans="2:21" x14ac:dyDescent="0.25">
      <c r="B4847" s="292">
        <v>46</v>
      </c>
      <c r="C4847" s="292"/>
      <c r="D4847" s="292"/>
      <c r="F4847" s="283" t="s">
        <v>125</v>
      </c>
      <c r="G4847" s="283"/>
      <c r="J4847" s="293">
        <v>6</v>
      </c>
      <c r="K4847" s="293"/>
      <c r="L4847" s="293"/>
      <c r="M4847" s="293"/>
      <c r="N4847" s="293"/>
      <c r="P4847" s="42">
        <v>2400</v>
      </c>
      <c r="R4847" s="42">
        <v>720</v>
      </c>
      <c r="T4847" s="284">
        <v>1680</v>
      </c>
      <c r="U4847" s="284"/>
    </row>
    <row r="4848" spans="2:21" x14ac:dyDescent="0.25">
      <c r="B4848" s="292">
        <v>47</v>
      </c>
      <c r="C4848" s="292"/>
      <c r="D4848" s="292"/>
      <c r="F4848" s="283" t="s">
        <v>124</v>
      </c>
      <c r="G4848" s="283"/>
      <c r="J4848" s="293">
        <v>1</v>
      </c>
      <c r="K4848" s="293"/>
      <c r="L4848" s="293"/>
      <c r="M4848" s="293"/>
      <c r="N4848" s="293"/>
      <c r="P4848" s="42">
        <v>400</v>
      </c>
      <c r="R4848" s="42">
        <v>120</v>
      </c>
      <c r="T4848" s="284">
        <v>280</v>
      </c>
      <c r="U4848" s="284"/>
    </row>
    <row r="4849" spans="2:21" x14ac:dyDescent="0.25">
      <c r="B4849" s="292">
        <v>48</v>
      </c>
      <c r="C4849" s="292"/>
      <c r="D4849" s="292"/>
      <c r="F4849" s="283" t="s">
        <v>123</v>
      </c>
      <c r="G4849" s="283"/>
      <c r="J4849" s="293">
        <v>71</v>
      </c>
      <c r="K4849" s="293"/>
      <c r="L4849" s="293"/>
      <c r="M4849" s="293"/>
      <c r="N4849" s="293"/>
      <c r="P4849" s="42">
        <v>55380</v>
      </c>
      <c r="R4849" s="42">
        <v>16330</v>
      </c>
      <c r="T4849" s="284">
        <v>39050</v>
      </c>
      <c r="U4849" s="284"/>
    </row>
    <row r="4850" spans="2:21" x14ac:dyDescent="0.25">
      <c r="B4850" s="292">
        <v>49</v>
      </c>
      <c r="C4850" s="292"/>
      <c r="D4850" s="292"/>
      <c r="F4850" s="283" t="s">
        <v>184</v>
      </c>
      <c r="G4850" s="283"/>
      <c r="J4850" s="293">
        <v>3</v>
      </c>
      <c r="K4850" s="293"/>
      <c r="L4850" s="293"/>
      <c r="M4850" s="293"/>
      <c r="N4850" s="293"/>
      <c r="P4850" s="42">
        <v>3240</v>
      </c>
      <c r="R4850" s="42">
        <v>480</v>
      </c>
      <c r="T4850" s="284">
        <v>2760</v>
      </c>
      <c r="U4850" s="284"/>
    </row>
    <row r="4851" spans="2:21" x14ac:dyDescent="0.25">
      <c r="B4851" s="292">
        <v>50</v>
      </c>
      <c r="C4851" s="292"/>
      <c r="D4851" s="292"/>
      <c r="F4851" s="283" t="s">
        <v>183</v>
      </c>
      <c r="G4851" s="283"/>
      <c r="J4851" s="293">
        <v>2</v>
      </c>
      <c r="K4851" s="293"/>
      <c r="L4851" s="293"/>
      <c r="M4851" s="293"/>
      <c r="N4851" s="293"/>
      <c r="P4851" s="42">
        <v>880</v>
      </c>
      <c r="R4851" s="42">
        <v>260</v>
      </c>
      <c r="T4851" s="284">
        <v>620</v>
      </c>
      <c r="U4851" s="284"/>
    </row>
    <row r="4852" spans="2:21" x14ac:dyDescent="0.25">
      <c r="B4852" s="292">
        <v>51</v>
      </c>
      <c r="C4852" s="292"/>
      <c r="D4852" s="292"/>
      <c r="F4852" s="283" t="s">
        <v>182</v>
      </c>
      <c r="G4852" s="283"/>
      <c r="J4852" s="293">
        <v>4</v>
      </c>
      <c r="K4852" s="293"/>
      <c r="L4852" s="293"/>
      <c r="M4852" s="293"/>
      <c r="N4852" s="293"/>
      <c r="P4852" s="42">
        <v>3160</v>
      </c>
      <c r="R4852" s="42">
        <v>480</v>
      </c>
      <c r="T4852" s="284">
        <v>2680</v>
      </c>
      <c r="U4852" s="284"/>
    </row>
    <row r="4853" spans="2:21" x14ac:dyDescent="0.25">
      <c r="B4853" s="292">
        <v>52</v>
      </c>
      <c r="C4853" s="292"/>
      <c r="D4853" s="292"/>
      <c r="F4853" s="283" t="s">
        <v>119</v>
      </c>
      <c r="G4853" s="283"/>
      <c r="J4853" s="293">
        <v>14</v>
      </c>
      <c r="K4853" s="293"/>
      <c r="L4853" s="293"/>
      <c r="M4853" s="293"/>
      <c r="N4853" s="293"/>
      <c r="P4853" s="42">
        <v>12460</v>
      </c>
      <c r="R4853" s="42">
        <v>3930</v>
      </c>
      <c r="T4853" s="284">
        <v>8530</v>
      </c>
      <c r="U4853" s="284"/>
    </row>
    <row r="4854" spans="2:21" x14ac:dyDescent="0.25">
      <c r="B4854" s="292">
        <v>53</v>
      </c>
      <c r="C4854" s="292"/>
      <c r="D4854" s="292"/>
      <c r="F4854" s="283" t="s">
        <v>118</v>
      </c>
      <c r="G4854" s="283"/>
      <c r="J4854" s="293">
        <v>79</v>
      </c>
      <c r="K4854" s="293"/>
      <c r="L4854" s="293"/>
      <c r="M4854" s="293"/>
      <c r="N4854" s="293"/>
      <c r="P4854" s="42">
        <v>78210</v>
      </c>
      <c r="R4854" s="42">
        <v>26017</v>
      </c>
      <c r="T4854" s="284">
        <v>52193</v>
      </c>
      <c r="U4854" s="284"/>
    </row>
    <row r="4855" spans="2:21" x14ac:dyDescent="0.25">
      <c r="B4855" s="292">
        <v>54</v>
      </c>
      <c r="C4855" s="292"/>
      <c r="D4855" s="292"/>
      <c r="F4855" s="283" t="s">
        <v>117</v>
      </c>
      <c r="G4855" s="283"/>
      <c r="J4855" s="293">
        <v>2</v>
      </c>
      <c r="K4855" s="293"/>
      <c r="L4855" s="293"/>
      <c r="M4855" s="293"/>
      <c r="N4855" s="293"/>
      <c r="P4855" s="42">
        <v>1600</v>
      </c>
      <c r="R4855" s="42">
        <v>400</v>
      </c>
      <c r="T4855" s="284">
        <v>1200</v>
      </c>
      <c r="U4855" s="284"/>
    </row>
    <row r="4856" spans="2:21" x14ac:dyDescent="0.25">
      <c r="B4856" s="292">
        <v>55</v>
      </c>
      <c r="C4856" s="292"/>
      <c r="D4856" s="292"/>
      <c r="F4856" s="283" t="s">
        <v>115</v>
      </c>
      <c r="G4856" s="283"/>
      <c r="J4856" s="293">
        <v>22</v>
      </c>
      <c r="K4856" s="293"/>
      <c r="L4856" s="293"/>
      <c r="M4856" s="293"/>
      <c r="N4856" s="293"/>
      <c r="P4856" s="42">
        <v>6380</v>
      </c>
      <c r="R4856" s="42">
        <v>2060</v>
      </c>
      <c r="T4856" s="284">
        <v>4320</v>
      </c>
      <c r="U4856" s="284"/>
    </row>
    <row r="4857" spans="2:21" x14ac:dyDescent="0.25">
      <c r="B4857" s="292">
        <v>56</v>
      </c>
      <c r="C4857" s="292"/>
      <c r="D4857" s="292"/>
      <c r="F4857" s="283" t="s">
        <v>114</v>
      </c>
      <c r="G4857" s="283"/>
      <c r="J4857" s="293">
        <v>1</v>
      </c>
      <c r="K4857" s="293"/>
      <c r="L4857" s="293"/>
      <c r="M4857" s="293"/>
      <c r="N4857" s="293"/>
      <c r="P4857" s="42">
        <v>550</v>
      </c>
      <c r="R4857" s="42">
        <v>80</v>
      </c>
      <c r="T4857" s="284">
        <v>470</v>
      </c>
      <c r="U4857" s="284"/>
    </row>
    <row r="4858" spans="2:21" x14ac:dyDescent="0.25">
      <c r="B4858" s="292">
        <v>57</v>
      </c>
      <c r="C4858" s="292"/>
      <c r="D4858" s="292"/>
      <c r="F4858" s="283" t="s">
        <v>181</v>
      </c>
      <c r="G4858" s="283"/>
      <c r="J4858" s="293">
        <v>2</v>
      </c>
      <c r="K4858" s="293"/>
      <c r="L4858" s="293"/>
      <c r="M4858" s="293"/>
      <c r="N4858" s="293"/>
      <c r="P4858" s="42">
        <v>1580</v>
      </c>
      <c r="R4858" s="42">
        <v>240</v>
      </c>
      <c r="T4858" s="284">
        <v>1340</v>
      </c>
      <c r="U4858" s="284"/>
    </row>
    <row r="4859" spans="2:21" x14ac:dyDescent="0.25">
      <c r="B4859" s="292">
        <v>58</v>
      </c>
      <c r="C4859" s="292"/>
      <c r="D4859" s="292"/>
      <c r="F4859" s="283" t="s">
        <v>111</v>
      </c>
      <c r="G4859" s="283"/>
      <c r="J4859" s="293">
        <v>1</v>
      </c>
      <c r="K4859" s="293"/>
      <c r="L4859" s="293"/>
      <c r="M4859" s="293"/>
      <c r="N4859" s="293"/>
      <c r="P4859" s="42">
        <v>430</v>
      </c>
      <c r="R4859" s="42">
        <v>130</v>
      </c>
      <c r="T4859" s="284">
        <v>300</v>
      </c>
      <c r="U4859" s="284"/>
    </row>
    <row r="4860" spans="2:21" x14ac:dyDescent="0.25">
      <c r="B4860" s="292">
        <v>59</v>
      </c>
      <c r="C4860" s="292"/>
      <c r="D4860" s="292"/>
      <c r="F4860" s="283" t="s">
        <v>109</v>
      </c>
      <c r="G4860" s="283"/>
      <c r="J4860" s="293">
        <v>5</v>
      </c>
      <c r="K4860" s="293"/>
      <c r="L4860" s="293"/>
      <c r="M4860" s="293"/>
      <c r="N4860" s="293"/>
      <c r="P4860" s="42">
        <v>3900</v>
      </c>
      <c r="R4860" s="42">
        <v>1150</v>
      </c>
      <c r="T4860" s="284">
        <v>2750</v>
      </c>
      <c r="U4860" s="284"/>
    </row>
    <row r="4861" spans="2:21" x14ac:dyDescent="0.25">
      <c r="B4861" s="292">
        <v>60</v>
      </c>
      <c r="C4861" s="292"/>
      <c r="D4861" s="292"/>
      <c r="F4861" s="283" t="s">
        <v>108</v>
      </c>
      <c r="G4861" s="283"/>
      <c r="J4861" s="293">
        <v>85</v>
      </c>
      <c r="K4861" s="293"/>
      <c r="L4861" s="293"/>
      <c r="M4861" s="293"/>
      <c r="N4861" s="293"/>
      <c r="P4861" s="42">
        <v>8500</v>
      </c>
      <c r="R4861" s="42">
        <v>1110</v>
      </c>
      <c r="T4861" s="284">
        <v>7390</v>
      </c>
      <c r="U4861" s="284"/>
    </row>
    <row r="4862" spans="2:21" x14ac:dyDescent="0.25">
      <c r="B4862" s="292">
        <v>61</v>
      </c>
      <c r="C4862" s="292"/>
      <c r="D4862" s="292"/>
      <c r="F4862" s="283" t="s">
        <v>107</v>
      </c>
      <c r="G4862" s="283"/>
      <c r="J4862" s="293">
        <v>48</v>
      </c>
      <c r="K4862" s="293"/>
      <c r="L4862" s="293"/>
      <c r="M4862" s="293"/>
      <c r="N4862" s="293"/>
      <c r="P4862" s="42">
        <v>8160</v>
      </c>
      <c r="R4862" s="42">
        <v>2656</v>
      </c>
      <c r="T4862" s="284">
        <v>5504</v>
      </c>
      <c r="U4862" s="284"/>
    </row>
    <row r="4863" spans="2:21" x14ac:dyDescent="0.25">
      <c r="B4863" s="292">
        <v>62</v>
      </c>
      <c r="C4863" s="292"/>
      <c r="D4863" s="292"/>
      <c r="F4863" s="283" t="s">
        <v>106</v>
      </c>
      <c r="G4863" s="283"/>
      <c r="J4863" s="293">
        <v>3</v>
      </c>
      <c r="K4863" s="293"/>
      <c r="L4863" s="293"/>
      <c r="M4863" s="293"/>
      <c r="N4863" s="293"/>
      <c r="P4863" s="42">
        <v>300</v>
      </c>
      <c r="R4863" s="42">
        <v>0</v>
      </c>
      <c r="T4863" s="284">
        <v>300</v>
      </c>
      <c r="U4863" s="284"/>
    </row>
    <row r="4864" spans="2:21" x14ac:dyDescent="0.25">
      <c r="B4864" s="292">
        <v>63</v>
      </c>
      <c r="C4864" s="292"/>
      <c r="D4864" s="292"/>
      <c r="F4864" s="283" t="s">
        <v>180</v>
      </c>
      <c r="G4864" s="283"/>
      <c r="J4864" s="293">
        <v>1</v>
      </c>
      <c r="K4864" s="293"/>
      <c r="L4864" s="293"/>
      <c r="M4864" s="293"/>
      <c r="N4864" s="293"/>
      <c r="P4864" s="42">
        <v>590</v>
      </c>
      <c r="R4864" s="42">
        <v>180</v>
      </c>
      <c r="T4864" s="284">
        <v>410</v>
      </c>
      <c r="U4864" s="284"/>
    </row>
    <row r="4865" spans="2:21" x14ac:dyDescent="0.25">
      <c r="B4865" s="292">
        <v>64</v>
      </c>
      <c r="C4865" s="292"/>
      <c r="D4865" s="292"/>
      <c r="F4865" s="283" t="s">
        <v>105</v>
      </c>
      <c r="G4865" s="283"/>
      <c r="J4865" s="293">
        <v>5</v>
      </c>
      <c r="K4865" s="293"/>
      <c r="L4865" s="293"/>
      <c r="M4865" s="293"/>
      <c r="N4865" s="293"/>
      <c r="P4865" s="42">
        <v>5750</v>
      </c>
      <c r="R4865" s="42">
        <v>0</v>
      </c>
      <c r="T4865" s="284">
        <v>5750</v>
      </c>
      <c r="U4865" s="284"/>
    </row>
    <row r="4866" spans="2:21" x14ac:dyDescent="0.25">
      <c r="B4866" s="292">
        <v>65</v>
      </c>
      <c r="C4866" s="292"/>
      <c r="D4866" s="292"/>
      <c r="F4866" s="283" t="s">
        <v>103</v>
      </c>
      <c r="G4866" s="283"/>
      <c r="J4866" s="293">
        <v>29</v>
      </c>
      <c r="K4866" s="293"/>
      <c r="L4866" s="293"/>
      <c r="M4866" s="293"/>
      <c r="N4866" s="293"/>
      <c r="P4866" s="42">
        <v>9570</v>
      </c>
      <c r="R4866" s="42">
        <v>3220</v>
      </c>
      <c r="T4866" s="284">
        <v>6350</v>
      </c>
      <c r="U4866" s="284"/>
    </row>
    <row r="4867" spans="2:21" x14ac:dyDescent="0.25">
      <c r="B4867" s="292">
        <v>66</v>
      </c>
      <c r="C4867" s="292"/>
      <c r="D4867" s="292"/>
      <c r="F4867" s="283" t="s">
        <v>102</v>
      </c>
      <c r="G4867" s="283"/>
      <c r="J4867" s="293">
        <v>6</v>
      </c>
      <c r="K4867" s="293"/>
      <c r="L4867" s="293"/>
      <c r="M4867" s="293"/>
      <c r="N4867" s="293"/>
      <c r="P4867" s="42">
        <v>5280</v>
      </c>
      <c r="R4867" s="42">
        <v>780</v>
      </c>
      <c r="T4867" s="284">
        <v>4500</v>
      </c>
      <c r="U4867" s="284"/>
    </row>
    <row r="4868" spans="2:21" x14ac:dyDescent="0.25">
      <c r="B4868" s="292">
        <v>67</v>
      </c>
      <c r="C4868" s="292"/>
      <c r="D4868" s="292"/>
      <c r="F4868" s="283" t="s">
        <v>179</v>
      </c>
      <c r="G4868" s="283"/>
      <c r="J4868" s="293">
        <v>1</v>
      </c>
      <c r="K4868" s="293"/>
      <c r="L4868" s="293"/>
      <c r="M4868" s="293"/>
      <c r="N4868" s="293"/>
      <c r="P4868" s="42">
        <v>880</v>
      </c>
      <c r="R4868" s="42">
        <v>130</v>
      </c>
      <c r="T4868" s="284">
        <v>750</v>
      </c>
      <c r="U4868" s="284"/>
    </row>
    <row r="4869" spans="2:21" x14ac:dyDescent="0.25">
      <c r="B4869" s="292">
        <v>68</v>
      </c>
      <c r="C4869" s="292"/>
      <c r="D4869" s="292"/>
      <c r="F4869" s="283" t="s">
        <v>100</v>
      </c>
      <c r="G4869" s="283"/>
      <c r="J4869" s="293">
        <v>8</v>
      </c>
      <c r="K4869" s="293"/>
      <c r="L4869" s="293"/>
      <c r="M4869" s="293"/>
      <c r="N4869" s="293"/>
      <c r="P4869" s="42">
        <v>1440</v>
      </c>
      <c r="R4869" s="42">
        <v>400</v>
      </c>
      <c r="T4869" s="284">
        <v>1040</v>
      </c>
      <c r="U4869" s="284"/>
    </row>
    <row r="4870" spans="2:21" x14ac:dyDescent="0.25">
      <c r="B4870" s="292">
        <v>69</v>
      </c>
      <c r="C4870" s="292"/>
      <c r="D4870" s="292"/>
      <c r="F4870" s="283" t="s">
        <v>178</v>
      </c>
      <c r="G4870" s="283"/>
      <c r="J4870" s="293">
        <v>1</v>
      </c>
      <c r="K4870" s="293"/>
      <c r="L4870" s="293"/>
      <c r="M4870" s="293"/>
      <c r="N4870" s="293"/>
      <c r="P4870" s="42">
        <v>1650</v>
      </c>
      <c r="R4870" s="42">
        <v>0</v>
      </c>
      <c r="T4870" s="284">
        <v>1650</v>
      </c>
      <c r="U4870" s="284"/>
    </row>
    <row r="4871" spans="2:21" x14ac:dyDescent="0.25">
      <c r="B4871" s="292">
        <v>70</v>
      </c>
      <c r="C4871" s="292"/>
      <c r="D4871" s="292"/>
      <c r="F4871" s="283" t="s">
        <v>177</v>
      </c>
      <c r="G4871" s="283"/>
      <c r="J4871" s="293">
        <v>1</v>
      </c>
      <c r="K4871" s="293"/>
      <c r="L4871" s="293"/>
      <c r="M4871" s="293"/>
      <c r="N4871" s="293"/>
      <c r="P4871" s="42">
        <v>960</v>
      </c>
      <c r="R4871" s="42">
        <v>290</v>
      </c>
      <c r="T4871" s="284">
        <v>670</v>
      </c>
      <c r="U4871" s="284"/>
    </row>
    <row r="4872" spans="2:21" x14ac:dyDescent="0.25">
      <c r="B4872" s="292">
        <v>71</v>
      </c>
      <c r="C4872" s="292"/>
      <c r="D4872" s="292"/>
      <c r="F4872" s="283" t="s">
        <v>98</v>
      </c>
      <c r="G4872" s="283"/>
      <c r="J4872" s="293">
        <v>1</v>
      </c>
      <c r="K4872" s="293"/>
      <c r="L4872" s="293"/>
      <c r="M4872" s="293"/>
      <c r="N4872" s="293"/>
      <c r="P4872" s="42">
        <v>570</v>
      </c>
      <c r="R4872" s="42">
        <v>80</v>
      </c>
      <c r="T4872" s="284">
        <v>490</v>
      </c>
      <c r="U4872" s="284"/>
    </row>
    <row r="4873" spans="2:21" x14ac:dyDescent="0.25">
      <c r="B4873" s="292">
        <v>72</v>
      </c>
      <c r="C4873" s="292"/>
      <c r="D4873" s="292"/>
      <c r="F4873" s="283" t="s">
        <v>176</v>
      </c>
      <c r="G4873" s="283"/>
      <c r="J4873" s="293">
        <v>2</v>
      </c>
      <c r="K4873" s="293"/>
      <c r="L4873" s="293"/>
      <c r="M4873" s="293"/>
      <c r="N4873" s="293"/>
      <c r="P4873" s="42">
        <v>2120</v>
      </c>
      <c r="R4873" s="42">
        <v>320</v>
      </c>
      <c r="T4873" s="284">
        <v>1800</v>
      </c>
      <c r="U4873" s="284"/>
    </row>
    <row r="4874" spans="2:21" x14ac:dyDescent="0.25">
      <c r="B4874" s="292">
        <v>73</v>
      </c>
      <c r="C4874" s="292"/>
      <c r="D4874" s="292"/>
      <c r="F4874" s="283" t="s">
        <v>97</v>
      </c>
      <c r="G4874" s="283"/>
      <c r="J4874" s="293">
        <v>3</v>
      </c>
      <c r="K4874" s="293"/>
      <c r="L4874" s="293"/>
      <c r="M4874" s="293"/>
      <c r="N4874" s="293"/>
      <c r="P4874" s="42">
        <v>4770</v>
      </c>
      <c r="R4874" s="42">
        <v>720</v>
      </c>
      <c r="T4874" s="284">
        <v>4050</v>
      </c>
      <c r="U4874" s="284"/>
    </row>
    <row r="4875" spans="2:21" x14ac:dyDescent="0.25">
      <c r="B4875" s="292">
        <v>74</v>
      </c>
      <c r="C4875" s="292"/>
      <c r="D4875" s="292"/>
      <c r="F4875" s="283" t="s">
        <v>94</v>
      </c>
      <c r="G4875" s="283"/>
      <c r="J4875" s="293">
        <v>1</v>
      </c>
      <c r="K4875" s="293"/>
      <c r="L4875" s="293"/>
      <c r="M4875" s="293"/>
      <c r="N4875" s="293"/>
      <c r="P4875" s="42">
        <v>1990</v>
      </c>
      <c r="R4875" s="42">
        <v>300</v>
      </c>
      <c r="T4875" s="284">
        <v>1690</v>
      </c>
      <c r="U4875" s="284"/>
    </row>
    <row r="4876" spans="2:21" x14ac:dyDescent="0.25">
      <c r="B4876" s="292">
        <v>75</v>
      </c>
      <c r="C4876" s="292"/>
      <c r="D4876" s="292"/>
      <c r="F4876" s="283" t="s">
        <v>93</v>
      </c>
      <c r="G4876" s="283"/>
      <c r="J4876" s="293">
        <v>9</v>
      </c>
      <c r="K4876" s="293"/>
      <c r="L4876" s="293"/>
      <c r="M4876" s="293"/>
      <c r="N4876" s="293"/>
      <c r="P4876" s="42">
        <v>5310</v>
      </c>
      <c r="R4876" s="42">
        <v>810</v>
      </c>
      <c r="T4876" s="284">
        <v>4500</v>
      </c>
      <c r="U4876" s="284"/>
    </row>
    <row r="4877" spans="2:21" x14ac:dyDescent="0.25">
      <c r="B4877" s="292">
        <v>76</v>
      </c>
      <c r="C4877" s="292"/>
      <c r="D4877" s="292"/>
      <c r="F4877" s="283" t="s">
        <v>92</v>
      </c>
      <c r="G4877" s="283"/>
      <c r="J4877" s="293">
        <v>21</v>
      </c>
      <c r="K4877" s="293"/>
      <c r="L4877" s="293"/>
      <c r="M4877" s="293"/>
      <c r="N4877" s="293"/>
      <c r="P4877" s="42">
        <v>17920</v>
      </c>
      <c r="R4877" s="42">
        <v>5200</v>
      </c>
      <c r="T4877" s="284">
        <v>12720</v>
      </c>
      <c r="U4877" s="284"/>
    </row>
    <row r="4878" spans="2:21" x14ac:dyDescent="0.25">
      <c r="B4878" s="292">
        <v>77</v>
      </c>
      <c r="C4878" s="292"/>
      <c r="D4878" s="292"/>
      <c r="F4878" s="283" t="s">
        <v>175</v>
      </c>
      <c r="G4878" s="283"/>
      <c r="J4878" s="293">
        <v>7</v>
      </c>
      <c r="K4878" s="293"/>
      <c r="L4878" s="293"/>
      <c r="M4878" s="293"/>
      <c r="N4878" s="293"/>
      <c r="P4878" s="42">
        <v>4200</v>
      </c>
      <c r="R4878" s="42">
        <v>1260</v>
      </c>
      <c r="T4878" s="284">
        <v>2940</v>
      </c>
      <c r="U4878" s="284"/>
    </row>
    <row r="4879" spans="2:21" x14ac:dyDescent="0.25">
      <c r="B4879" s="292">
        <v>78</v>
      </c>
      <c r="C4879" s="292"/>
      <c r="D4879" s="292"/>
      <c r="F4879" s="283" t="s">
        <v>174</v>
      </c>
      <c r="G4879" s="283"/>
      <c r="J4879" s="293">
        <v>5</v>
      </c>
      <c r="K4879" s="293"/>
      <c r="L4879" s="293"/>
      <c r="M4879" s="293"/>
      <c r="N4879" s="293"/>
      <c r="P4879" s="42">
        <v>2000</v>
      </c>
      <c r="R4879" s="42">
        <v>600</v>
      </c>
      <c r="T4879" s="284">
        <v>1400</v>
      </c>
      <c r="U4879" s="284"/>
    </row>
    <row r="4880" spans="2:21" x14ac:dyDescent="0.25">
      <c r="B4880" s="292">
        <v>79</v>
      </c>
      <c r="C4880" s="292"/>
      <c r="D4880" s="292"/>
      <c r="F4880" s="283" t="s">
        <v>173</v>
      </c>
      <c r="G4880" s="283"/>
      <c r="J4880" s="293">
        <v>8</v>
      </c>
      <c r="K4880" s="293"/>
      <c r="L4880" s="293"/>
      <c r="M4880" s="293"/>
      <c r="N4880" s="293"/>
      <c r="P4880" s="42">
        <v>8000</v>
      </c>
      <c r="R4880" s="42">
        <v>2400</v>
      </c>
      <c r="T4880" s="284">
        <v>5600</v>
      </c>
      <c r="U4880" s="284"/>
    </row>
    <row r="4881" spans="1:21" x14ac:dyDescent="0.25">
      <c r="B4881" s="292">
        <v>80</v>
      </c>
      <c r="C4881" s="292"/>
      <c r="D4881" s="292"/>
      <c r="F4881" s="283" t="s">
        <v>91</v>
      </c>
      <c r="G4881" s="283"/>
      <c r="J4881" s="293">
        <v>20</v>
      </c>
      <c r="K4881" s="293"/>
      <c r="L4881" s="293"/>
      <c r="M4881" s="293"/>
      <c r="N4881" s="293"/>
      <c r="P4881" s="42">
        <v>5000</v>
      </c>
      <c r="R4881" s="42">
        <v>1430</v>
      </c>
      <c r="T4881" s="284">
        <v>3570</v>
      </c>
      <c r="U4881" s="284"/>
    </row>
    <row r="4882" spans="1:21" x14ac:dyDescent="0.25">
      <c r="B4882" s="292">
        <v>81</v>
      </c>
      <c r="C4882" s="292"/>
      <c r="D4882" s="292"/>
      <c r="F4882" s="283" t="s">
        <v>90</v>
      </c>
      <c r="G4882" s="283"/>
      <c r="J4882" s="293">
        <v>5</v>
      </c>
      <c r="K4882" s="293"/>
      <c r="L4882" s="293"/>
      <c r="M4882" s="293"/>
      <c r="N4882" s="293"/>
      <c r="P4882" s="42">
        <v>1450</v>
      </c>
      <c r="R4882" s="42">
        <v>400</v>
      </c>
      <c r="T4882" s="284">
        <v>1050</v>
      </c>
      <c r="U4882" s="284"/>
    </row>
    <row r="4883" spans="1:21" x14ac:dyDescent="0.25">
      <c r="B4883" s="292">
        <v>82</v>
      </c>
      <c r="C4883" s="292"/>
      <c r="D4883" s="292"/>
      <c r="F4883" s="283" t="s">
        <v>89</v>
      </c>
      <c r="G4883" s="283"/>
      <c r="J4883" s="293">
        <v>1</v>
      </c>
      <c r="K4883" s="293"/>
      <c r="L4883" s="293"/>
      <c r="M4883" s="293"/>
      <c r="N4883" s="293"/>
      <c r="P4883" s="42">
        <v>880</v>
      </c>
      <c r="R4883" s="42">
        <v>130</v>
      </c>
      <c r="T4883" s="284">
        <v>750</v>
      </c>
      <c r="U4883" s="284"/>
    </row>
    <row r="4884" spans="1:21" x14ac:dyDescent="0.25">
      <c r="B4884" s="292">
        <v>83</v>
      </c>
      <c r="C4884" s="292"/>
      <c r="D4884" s="292"/>
      <c r="F4884" s="283" t="s">
        <v>88</v>
      </c>
      <c r="G4884" s="283"/>
      <c r="J4884" s="293">
        <v>61</v>
      </c>
      <c r="K4884" s="293"/>
      <c r="L4884" s="293"/>
      <c r="M4884" s="293"/>
      <c r="N4884" s="293"/>
      <c r="P4884" s="42">
        <v>10980</v>
      </c>
      <c r="R4884" s="42">
        <v>3682</v>
      </c>
      <c r="T4884" s="284">
        <v>7298</v>
      </c>
      <c r="U4884" s="284"/>
    </row>
    <row r="4885" spans="1:21" x14ac:dyDescent="0.25">
      <c r="B4885" s="292">
        <v>84</v>
      </c>
      <c r="C4885" s="292"/>
      <c r="D4885" s="292"/>
      <c r="F4885" s="283" t="s">
        <v>87</v>
      </c>
      <c r="G4885" s="283"/>
      <c r="J4885" s="293">
        <v>2</v>
      </c>
      <c r="K4885" s="293"/>
      <c r="L4885" s="293"/>
      <c r="M4885" s="293"/>
      <c r="N4885" s="293"/>
      <c r="P4885" s="42">
        <v>580</v>
      </c>
      <c r="R4885" s="42">
        <v>160</v>
      </c>
      <c r="T4885" s="284">
        <v>420</v>
      </c>
      <c r="U4885" s="284"/>
    </row>
    <row r="4886" spans="1:21" x14ac:dyDescent="0.25">
      <c r="B4886" s="292">
        <v>85</v>
      </c>
      <c r="C4886" s="292"/>
      <c r="D4886" s="292"/>
      <c r="F4886" s="283" t="s">
        <v>86</v>
      </c>
      <c r="G4886" s="283"/>
      <c r="J4886" s="293">
        <v>3</v>
      </c>
      <c r="K4886" s="293"/>
      <c r="L4886" s="293"/>
      <c r="M4886" s="293"/>
      <c r="N4886" s="293"/>
      <c r="P4886" s="42">
        <v>3420</v>
      </c>
      <c r="R4886" s="42">
        <v>510</v>
      </c>
      <c r="T4886" s="284">
        <v>2910</v>
      </c>
      <c r="U4886" s="284"/>
    </row>
    <row r="4887" spans="1:21" x14ac:dyDescent="0.25">
      <c r="B4887" s="292">
        <v>86</v>
      </c>
      <c r="C4887" s="292"/>
      <c r="D4887" s="292"/>
      <c r="F4887" s="283" t="s">
        <v>85</v>
      </c>
      <c r="G4887" s="283"/>
      <c r="J4887" s="293">
        <v>13</v>
      </c>
      <c r="K4887" s="293"/>
      <c r="L4887" s="293"/>
      <c r="M4887" s="293"/>
      <c r="N4887" s="293"/>
      <c r="P4887" s="42">
        <v>27040</v>
      </c>
      <c r="R4887" s="42">
        <v>4136</v>
      </c>
      <c r="T4887" s="284">
        <v>22904</v>
      </c>
      <c r="U4887" s="284"/>
    </row>
    <row r="4888" spans="1:21" x14ac:dyDescent="0.25">
      <c r="B4888" s="292">
        <v>87</v>
      </c>
      <c r="C4888" s="292"/>
      <c r="D4888" s="292"/>
      <c r="F4888" s="283" t="s">
        <v>84</v>
      </c>
      <c r="G4888" s="283"/>
      <c r="J4888" s="293">
        <v>10</v>
      </c>
      <c r="K4888" s="293"/>
      <c r="L4888" s="293"/>
      <c r="M4888" s="293"/>
      <c r="N4888" s="293"/>
      <c r="P4888" s="42">
        <v>5900</v>
      </c>
      <c r="R4888" s="42">
        <v>1800</v>
      </c>
      <c r="T4888" s="284">
        <v>4100</v>
      </c>
      <c r="U4888" s="284"/>
    </row>
    <row r="4889" spans="1:21" x14ac:dyDescent="0.25">
      <c r="B4889" s="292">
        <v>88</v>
      </c>
      <c r="C4889" s="292"/>
      <c r="D4889" s="292"/>
      <c r="F4889" s="283" t="s">
        <v>83</v>
      </c>
      <c r="G4889" s="283"/>
      <c r="J4889" s="293">
        <v>1</v>
      </c>
      <c r="K4889" s="293"/>
      <c r="L4889" s="293"/>
      <c r="M4889" s="293"/>
      <c r="N4889" s="293"/>
      <c r="P4889" s="42">
        <v>500</v>
      </c>
      <c r="R4889" s="42">
        <v>150</v>
      </c>
      <c r="T4889" s="284">
        <v>350</v>
      </c>
      <c r="U4889" s="284"/>
    </row>
    <row r="4890" spans="1:21" x14ac:dyDescent="0.25">
      <c r="B4890" s="292">
        <v>89</v>
      </c>
      <c r="C4890" s="292"/>
      <c r="D4890" s="292"/>
      <c r="F4890" s="283" t="s">
        <v>82</v>
      </c>
      <c r="G4890" s="283"/>
      <c r="J4890" s="293">
        <v>16</v>
      </c>
      <c r="K4890" s="293"/>
      <c r="L4890" s="293"/>
      <c r="M4890" s="293"/>
      <c r="N4890" s="293"/>
      <c r="P4890" s="42">
        <v>4640</v>
      </c>
      <c r="R4890" s="42">
        <v>4640</v>
      </c>
      <c r="T4890" s="284">
        <v>0</v>
      </c>
      <c r="U4890" s="284"/>
    </row>
    <row r="4891" spans="1:21" x14ac:dyDescent="0.25">
      <c r="B4891" s="292">
        <v>90</v>
      </c>
      <c r="C4891" s="292"/>
      <c r="D4891" s="292"/>
      <c r="F4891" s="283" t="s">
        <v>81</v>
      </c>
      <c r="G4891" s="283"/>
      <c r="J4891" s="293">
        <v>12</v>
      </c>
      <c r="K4891" s="293"/>
      <c r="L4891" s="293"/>
      <c r="M4891" s="293"/>
      <c r="N4891" s="293"/>
      <c r="P4891" s="42">
        <v>3480</v>
      </c>
      <c r="R4891" s="42">
        <v>960</v>
      </c>
      <c r="T4891" s="284">
        <v>2520</v>
      </c>
      <c r="U4891" s="284"/>
    </row>
    <row r="4892" spans="1:21" s="40" customFormat="1" x14ac:dyDescent="0.25">
      <c r="A4892" s="290" t="s">
        <v>172</v>
      </c>
      <c r="B4892" s="290"/>
      <c r="C4892" s="290"/>
      <c r="D4892" s="290"/>
      <c r="E4892" s="290"/>
      <c r="F4892" s="290"/>
      <c r="G4892" s="290"/>
      <c r="H4892" s="290"/>
      <c r="I4892" s="290"/>
      <c r="J4892" s="290"/>
      <c r="K4892" s="291">
        <v>1104</v>
      </c>
      <c r="L4892" s="291"/>
      <c r="M4892" s="291"/>
      <c r="N4892" s="291"/>
      <c r="O4892" s="291"/>
      <c r="P4892" s="41">
        <v>1308920</v>
      </c>
      <c r="R4892" s="41">
        <v>1247015</v>
      </c>
      <c r="T4892" s="287">
        <v>61905</v>
      </c>
      <c r="U4892" s="287"/>
    </row>
    <row r="4893" spans="1:21" x14ac:dyDescent="0.25">
      <c r="B4893" s="292">
        <v>1</v>
      </c>
      <c r="C4893" s="292"/>
      <c r="D4893" s="292"/>
      <c r="F4893" s="283" t="s">
        <v>78</v>
      </c>
      <c r="G4893" s="283"/>
      <c r="J4893" s="293">
        <v>49</v>
      </c>
      <c r="K4893" s="293"/>
      <c r="L4893" s="293"/>
      <c r="M4893" s="293"/>
      <c r="N4893" s="293"/>
      <c r="P4893" s="42">
        <v>14210</v>
      </c>
      <c r="R4893" s="42">
        <v>14210</v>
      </c>
      <c r="T4893" s="284">
        <v>0</v>
      </c>
      <c r="U4893" s="284"/>
    </row>
    <row r="4894" spans="1:21" x14ac:dyDescent="0.25">
      <c r="B4894" s="292">
        <v>2</v>
      </c>
      <c r="C4894" s="292"/>
      <c r="D4894" s="292"/>
      <c r="F4894" s="283" t="s">
        <v>162</v>
      </c>
      <c r="G4894" s="283"/>
      <c r="J4894" s="293">
        <v>3</v>
      </c>
      <c r="K4894" s="293"/>
      <c r="L4894" s="293"/>
      <c r="M4894" s="293"/>
      <c r="N4894" s="293"/>
      <c r="P4894" s="42">
        <v>1290</v>
      </c>
      <c r="R4894" s="42">
        <v>594</v>
      </c>
      <c r="T4894" s="284">
        <v>696</v>
      </c>
      <c r="U4894" s="284"/>
    </row>
    <row r="4895" spans="1:21" x14ac:dyDescent="0.25">
      <c r="B4895" s="292">
        <v>3</v>
      </c>
      <c r="C4895" s="292"/>
      <c r="D4895" s="292"/>
      <c r="F4895" s="283" t="s">
        <v>160</v>
      </c>
      <c r="G4895" s="283"/>
      <c r="J4895" s="293">
        <v>1</v>
      </c>
      <c r="K4895" s="293"/>
      <c r="L4895" s="293"/>
      <c r="M4895" s="293"/>
      <c r="N4895" s="293"/>
      <c r="P4895" s="42">
        <v>290</v>
      </c>
      <c r="R4895" s="42">
        <v>80</v>
      </c>
      <c r="T4895" s="284">
        <v>210</v>
      </c>
      <c r="U4895" s="284"/>
    </row>
    <row r="4896" spans="1:21" x14ac:dyDescent="0.25">
      <c r="B4896" s="292">
        <v>4</v>
      </c>
      <c r="C4896" s="292"/>
      <c r="D4896" s="292"/>
      <c r="F4896" s="283" t="s">
        <v>159</v>
      </c>
      <c r="G4896" s="283"/>
      <c r="J4896" s="293">
        <v>19</v>
      </c>
      <c r="K4896" s="293"/>
      <c r="L4896" s="293"/>
      <c r="M4896" s="293"/>
      <c r="N4896" s="293"/>
      <c r="P4896" s="42">
        <v>0</v>
      </c>
      <c r="R4896" s="42">
        <v>0</v>
      </c>
      <c r="T4896" s="284">
        <v>0</v>
      </c>
      <c r="U4896" s="284"/>
    </row>
    <row r="4897" spans="2:21" x14ac:dyDescent="0.25">
      <c r="B4897" s="292">
        <v>5</v>
      </c>
      <c r="C4897" s="292"/>
      <c r="D4897" s="292"/>
      <c r="F4897" s="283" t="s">
        <v>158</v>
      </c>
      <c r="G4897" s="283"/>
      <c r="J4897" s="293">
        <v>94</v>
      </c>
      <c r="K4897" s="293"/>
      <c r="L4897" s="293"/>
      <c r="M4897" s="293"/>
      <c r="N4897" s="293"/>
      <c r="P4897" s="42">
        <v>51700</v>
      </c>
      <c r="R4897" s="42">
        <v>15570</v>
      </c>
      <c r="T4897" s="284">
        <v>36130</v>
      </c>
      <c r="U4897" s="284"/>
    </row>
    <row r="4898" spans="2:21" x14ac:dyDescent="0.25">
      <c r="B4898" s="292">
        <v>6</v>
      </c>
      <c r="C4898" s="292"/>
      <c r="D4898" s="292"/>
      <c r="F4898" s="283" t="s">
        <v>157</v>
      </c>
      <c r="G4898" s="283"/>
      <c r="J4898" s="293">
        <v>35</v>
      </c>
      <c r="K4898" s="293"/>
      <c r="L4898" s="293"/>
      <c r="M4898" s="293"/>
      <c r="N4898" s="293"/>
      <c r="P4898" s="42">
        <v>17150</v>
      </c>
      <c r="R4898" s="42">
        <v>7521</v>
      </c>
      <c r="T4898" s="284">
        <v>9629</v>
      </c>
      <c r="U4898" s="284"/>
    </row>
    <row r="4899" spans="2:21" x14ac:dyDescent="0.25">
      <c r="B4899" s="292">
        <v>7</v>
      </c>
      <c r="C4899" s="292"/>
      <c r="D4899" s="292"/>
      <c r="F4899" s="283" t="s">
        <v>77</v>
      </c>
      <c r="G4899" s="283"/>
      <c r="J4899" s="293">
        <v>405</v>
      </c>
      <c r="K4899" s="293"/>
      <c r="L4899" s="293"/>
      <c r="M4899" s="293"/>
      <c r="N4899" s="293"/>
      <c r="P4899" s="42">
        <v>162000</v>
      </c>
      <c r="R4899" s="42">
        <v>162000</v>
      </c>
      <c r="T4899" s="284">
        <v>0</v>
      </c>
      <c r="U4899" s="284"/>
    </row>
    <row r="4900" spans="2:21" x14ac:dyDescent="0.25">
      <c r="B4900" s="292">
        <v>8</v>
      </c>
      <c r="C4900" s="292"/>
      <c r="D4900" s="292"/>
      <c r="F4900" s="283" t="s">
        <v>155</v>
      </c>
      <c r="G4900" s="283"/>
      <c r="J4900" s="293">
        <v>3</v>
      </c>
      <c r="K4900" s="293"/>
      <c r="L4900" s="293"/>
      <c r="M4900" s="293"/>
      <c r="N4900" s="293"/>
      <c r="P4900" s="42">
        <v>750</v>
      </c>
      <c r="R4900" s="42">
        <v>240</v>
      </c>
      <c r="T4900" s="284">
        <v>510</v>
      </c>
      <c r="U4900" s="284"/>
    </row>
    <row r="4901" spans="2:21" x14ac:dyDescent="0.25">
      <c r="B4901" s="292">
        <v>9</v>
      </c>
      <c r="C4901" s="292"/>
      <c r="D4901" s="292"/>
      <c r="F4901" s="283" t="s">
        <v>151</v>
      </c>
      <c r="G4901" s="283"/>
      <c r="J4901" s="293">
        <v>11</v>
      </c>
      <c r="K4901" s="293"/>
      <c r="L4901" s="293"/>
      <c r="M4901" s="293"/>
      <c r="N4901" s="293"/>
      <c r="P4901" s="42">
        <v>2530</v>
      </c>
      <c r="R4901" s="42">
        <v>870</v>
      </c>
      <c r="T4901" s="284">
        <v>1660</v>
      </c>
      <c r="U4901" s="284"/>
    </row>
    <row r="4902" spans="2:21" x14ac:dyDescent="0.25">
      <c r="B4902" s="292">
        <v>10</v>
      </c>
      <c r="C4902" s="292"/>
      <c r="D4902" s="292"/>
      <c r="F4902" s="283" t="s">
        <v>150</v>
      </c>
      <c r="G4902" s="283"/>
      <c r="J4902" s="293">
        <v>1</v>
      </c>
      <c r="K4902" s="293"/>
      <c r="L4902" s="293"/>
      <c r="M4902" s="293"/>
      <c r="N4902" s="293"/>
      <c r="P4902" s="42">
        <v>170</v>
      </c>
      <c r="R4902" s="42">
        <v>50</v>
      </c>
      <c r="T4902" s="284">
        <v>120</v>
      </c>
      <c r="U4902" s="284"/>
    </row>
    <row r="4903" spans="2:21" x14ac:dyDescent="0.25">
      <c r="B4903" s="292">
        <v>11</v>
      </c>
      <c r="C4903" s="292"/>
      <c r="D4903" s="292"/>
      <c r="F4903" s="283" t="s">
        <v>75</v>
      </c>
      <c r="G4903" s="283"/>
      <c r="J4903" s="293">
        <v>402</v>
      </c>
      <c r="K4903" s="293"/>
      <c r="L4903" s="293"/>
      <c r="M4903" s="293"/>
      <c r="N4903" s="293"/>
      <c r="P4903" s="42">
        <v>1005000</v>
      </c>
      <c r="R4903" s="42">
        <v>1005000</v>
      </c>
      <c r="T4903" s="284">
        <v>0</v>
      </c>
      <c r="U4903" s="284"/>
    </row>
    <row r="4904" spans="2:21" x14ac:dyDescent="0.25">
      <c r="B4904" s="292">
        <v>12</v>
      </c>
      <c r="C4904" s="292"/>
      <c r="D4904" s="292"/>
      <c r="F4904" s="283" t="s">
        <v>74</v>
      </c>
      <c r="G4904" s="283"/>
      <c r="J4904" s="293">
        <v>40</v>
      </c>
      <c r="K4904" s="293"/>
      <c r="L4904" s="293"/>
      <c r="M4904" s="293"/>
      <c r="N4904" s="293"/>
      <c r="P4904" s="42">
        <v>34000</v>
      </c>
      <c r="R4904" s="42">
        <v>34000</v>
      </c>
      <c r="T4904" s="284">
        <v>0</v>
      </c>
      <c r="U4904" s="284"/>
    </row>
    <row r="4905" spans="2:21" x14ac:dyDescent="0.25">
      <c r="B4905" s="292">
        <v>13</v>
      </c>
      <c r="C4905" s="292"/>
      <c r="D4905" s="292"/>
      <c r="F4905" s="283" t="s">
        <v>127</v>
      </c>
      <c r="G4905" s="283"/>
      <c r="J4905" s="293">
        <v>2</v>
      </c>
      <c r="K4905" s="293"/>
      <c r="L4905" s="293"/>
      <c r="M4905" s="293"/>
      <c r="N4905" s="293"/>
      <c r="P4905" s="42">
        <v>600</v>
      </c>
      <c r="R4905" s="42">
        <v>262</v>
      </c>
      <c r="T4905" s="284">
        <v>338</v>
      </c>
      <c r="U4905" s="284"/>
    </row>
    <row r="4906" spans="2:21" x14ac:dyDescent="0.25">
      <c r="B4906" s="292">
        <v>14</v>
      </c>
      <c r="C4906" s="292"/>
      <c r="D4906" s="292"/>
      <c r="F4906" s="283" t="s">
        <v>126</v>
      </c>
      <c r="G4906" s="283"/>
      <c r="J4906" s="293">
        <v>2</v>
      </c>
      <c r="K4906" s="293"/>
      <c r="L4906" s="293"/>
      <c r="M4906" s="293"/>
      <c r="N4906" s="293"/>
      <c r="P4906" s="42">
        <v>400</v>
      </c>
      <c r="R4906" s="42">
        <v>174</v>
      </c>
      <c r="T4906" s="284">
        <v>226</v>
      </c>
      <c r="U4906" s="284"/>
    </row>
    <row r="4907" spans="2:21" x14ac:dyDescent="0.25">
      <c r="B4907" s="292">
        <v>15</v>
      </c>
      <c r="C4907" s="292"/>
      <c r="D4907" s="292"/>
      <c r="F4907" s="283" t="s">
        <v>119</v>
      </c>
      <c r="G4907" s="283"/>
      <c r="J4907" s="293">
        <v>1</v>
      </c>
      <c r="K4907" s="293"/>
      <c r="L4907" s="293"/>
      <c r="M4907" s="293"/>
      <c r="N4907" s="293"/>
      <c r="P4907" s="42">
        <v>890</v>
      </c>
      <c r="R4907" s="42">
        <v>300</v>
      </c>
      <c r="T4907" s="284">
        <v>590</v>
      </c>
      <c r="U4907" s="284"/>
    </row>
    <row r="4908" spans="2:21" x14ac:dyDescent="0.25">
      <c r="B4908" s="292">
        <v>16</v>
      </c>
      <c r="C4908" s="292"/>
      <c r="D4908" s="292"/>
      <c r="F4908" s="283" t="s">
        <v>118</v>
      </c>
      <c r="G4908" s="283"/>
      <c r="J4908" s="293">
        <v>9</v>
      </c>
      <c r="K4908" s="293"/>
      <c r="L4908" s="293"/>
      <c r="M4908" s="293"/>
      <c r="N4908" s="293"/>
      <c r="P4908" s="42">
        <v>8910</v>
      </c>
      <c r="R4908" s="42">
        <v>3330</v>
      </c>
      <c r="T4908" s="284">
        <v>5580</v>
      </c>
      <c r="U4908" s="284"/>
    </row>
    <row r="4909" spans="2:21" x14ac:dyDescent="0.25">
      <c r="B4909" s="292">
        <v>17</v>
      </c>
      <c r="C4909" s="292"/>
      <c r="D4909" s="292"/>
      <c r="F4909" s="283" t="s">
        <v>115</v>
      </c>
      <c r="G4909" s="283"/>
      <c r="J4909" s="293">
        <v>1</v>
      </c>
      <c r="K4909" s="293"/>
      <c r="L4909" s="293"/>
      <c r="M4909" s="293"/>
      <c r="N4909" s="293"/>
      <c r="P4909" s="42">
        <v>290</v>
      </c>
      <c r="R4909" s="42">
        <v>110</v>
      </c>
      <c r="T4909" s="284">
        <v>180</v>
      </c>
      <c r="U4909" s="284"/>
    </row>
    <row r="4910" spans="2:21" x14ac:dyDescent="0.25">
      <c r="B4910" s="292">
        <v>18</v>
      </c>
      <c r="C4910" s="292"/>
      <c r="D4910" s="292"/>
      <c r="F4910" s="283" t="s">
        <v>171</v>
      </c>
      <c r="G4910" s="283"/>
      <c r="J4910" s="293">
        <v>1</v>
      </c>
      <c r="K4910" s="293"/>
      <c r="L4910" s="293"/>
      <c r="M4910" s="293"/>
      <c r="N4910" s="293"/>
      <c r="P4910" s="42">
        <v>530</v>
      </c>
      <c r="R4910" s="42">
        <v>160</v>
      </c>
      <c r="T4910" s="284">
        <v>370</v>
      </c>
      <c r="U4910" s="284"/>
    </row>
    <row r="4911" spans="2:21" x14ac:dyDescent="0.25">
      <c r="B4911" s="292">
        <v>19</v>
      </c>
      <c r="C4911" s="292"/>
      <c r="D4911" s="292"/>
      <c r="F4911" s="283" t="s">
        <v>107</v>
      </c>
      <c r="G4911" s="283"/>
      <c r="J4911" s="293">
        <v>5</v>
      </c>
      <c r="K4911" s="293"/>
      <c r="L4911" s="293"/>
      <c r="M4911" s="293"/>
      <c r="N4911" s="293"/>
      <c r="P4911" s="42">
        <v>850</v>
      </c>
      <c r="R4911" s="42">
        <v>298</v>
      </c>
      <c r="T4911" s="284">
        <v>552</v>
      </c>
      <c r="U4911" s="284"/>
    </row>
    <row r="4912" spans="2:21" x14ac:dyDescent="0.25">
      <c r="B4912" s="292">
        <v>20</v>
      </c>
      <c r="C4912" s="292"/>
      <c r="D4912" s="292"/>
      <c r="F4912" s="283" t="s">
        <v>92</v>
      </c>
      <c r="G4912" s="283"/>
      <c r="J4912" s="293">
        <v>3</v>
      </c>
      <c r="K4912" s="293"/>
      <c r="L4912" s="293"/>
      <c r="M4912" s="293"/>
      <c r="N4912" s="293"/>
      <c r="P4912" s="42">
        <v>3240</v>
      </c>
      <c r="R4912" s="42">
        <v>960</v>
      </c>
      <c r="T4912" s="284">
        <v>2280</v>
      </c>
      <c r="U4912" s="284"/>
    </row>
    <row r="4913" spans="1:21" x14ac:dyDescent="0.25">
      <c r="B4913" s="292">
        <v>21</v>
      </c>
      <c r="C4913" s="292"/>
      <c r="D4913" s="292"/>
      <c r="F4913" s="283" t="s">
        <v>91</v>
      </c>
      <c r="G4913" s="283"/>
      <c r="J4913" s="293">
        <v>3</v>
      </c>
      <c r="K4913" s="293"/>
      <c r="L4913" s="293"/>
      <c r="M4913" s="293"/>
      <c r="N4913" s="293"/>
      <c r="P4913" s="42">
        <v>750</v>
      </c>
      <c r="R4913" s="42">
        <v>210</v>
      </c>
      <c r="T4913" s="284">
        <v>540</v>
      </c>
      <c r="U4913" s="284"/>
    </row>
    <row r="4914" spans="1:21" x14ac:dyDescent="0.25">
      <c r="B4914" s="292">
        <v>22</v>
      </c>
      <c r="C4914" s="292"/>
      <c r="D4914" s="292"/>
      <c r="F4914" s="283" t="s">
        <v>90</v>
      </c>
      <c r="G4914" s="283"/>
      <c r="J4914" s="293">
        <v>1</v>
      </c>
      <c r="K4914" s="293"/>
      <c r="L4914" s="293"/>
      <c r="M4914" s="293"/>
      <c r="N4914" s="293"/>
      <c r="P4914" s="42">
        <v>290</v>
      </c>
      <c r="R4914" s="42">
        <v>80</v>
      </c>
      <c r="T4914" s="284">
        <v>210</v>
      </c>
      <c r="U4914" s="284"/>
    </row>
    <row r="4915" spans="1:21" x14ac:dyDescent="0.25">
      <c r="B4915" s="292">
        <v>23</v>
      </c>
      <c r="C4915" s="292"/>
      <c r="D4915" s="292"/>
      <c r="F4915" s="283" t="s">
        <v>88</v>
      </c>
      <c r="G4915" s="283"/>
      <c r="J4915" s="293">
        <v>9</v>
      </c>
      <c r="K4915" s="293"/>
      <c r="L4915" s="293"/>
      <c r="M4915" s="293"/>
      <c r="N4915" s="293"/>
      <c r="P4915" s="42">
        <v>1620</v>
      </c>
      <c r="R4915" s="42">
        <v>576</v>
      </c>
      <c r="T4915" s="284">
        <v>1044</v>
      </c>
      <c r="U4915" s="284"/>
    </row>
    <row r="4916" spans="1:21" x14ac:dyDescent="0.25">
      <c r="B4916" s="292">
        <v>24</v>
      </c>
      <c r="C4916" s="292"/>
      <c r="D4916" s="292"/>
      <c r="F4916" s="283" t="s">
        <v>84</v>
      </c>
      <c r="G4916" s="283"/>
      <c r="J4916" s="293">
        <v>1</v>
      </c>
      <c r="K4916" s="293"/>
      <c r="L4916" s="293"/>
      <c r="M4916" s="293"/>
      <c r="N4916" s="293"/>
      <c r="P4916" s="42">
        <v>590</v>
      </c>
      <c r="R4916" s="42">
        <v>180</v>
      </c>
      <c r="T4916" s="284">
        <v>410</v>
      </c>
      <c r="U4916" s="284"/>
    </row>
    <row r="4917" spans="1:21" x14ac:dyDescent="0.25">
      <c r="B4917" s="292">
        <v>25</v>
      </c>
      <c r="C4917" s="292"/>
      <c r="D4917" s="292"/>
      <c r="F4917" s="283" t="s">
        <v>81</v>
      </c>
      <c r="G4917" s="283"/>
      <c r="J4917" s="293">
        <v>3</v>
      </c>
      <c r="K4917" s="293"/>
      <c r="L4917" s="293"/>
      <c r="M4917" s="293"/>
      <c r="N4917" s="293"/>
      <c r="P4917" s="42">
        <v>870</v>
      </c>
      <c r="R4917" s="42">
        <v>240</v>
      </c>
      <c r="T4917" s="284">
        <v>630</v>
      </c>
      <c r="U4917" s="284"/>
    </row>
    <row r="4918" spans="1:21" s="40" customFormat="1" x14ac:dyDescent="0.25">
      <c r="A4918" s="290" t="s">
        <v>170</v>
      </c>
      <c r="B4918" s="290"/>
      <c r="C4918" s="290"/>
      <c r="D4918" s="290"/>
      <c r="E4918" s="290"/>
      <c r="F4918" s="290"/>
      <c r="G4918" s="290"/>
      <c r="H4918" s="290"/>
      <c r="I4918" s="290"/>
      <c r="J4918" s="290"/>
      <c r="K4918" s="291">
        <v>4262</v>
      </c>
      <c r="L4918" s="291"/>
      <c r="M4918" s="291"/>
      <c r="N4918" s="291"/>
      <c r="O4918" s="291"/>
      <c r="P4918" s="41">
        <v>4256725</v>
      </c>
      <c r="R4918" s="41">
        <v>3704678</v>
      </c>
      <c r="T4918" s="287">
        <v>552047</v>
      </c>
      <c r="U4918" s="287"/>
    </row>
    <row r="4919" spans="1:21" x14ac:dyDescent="0.25">
      <c r="B4919" s="292">
        <v>1</v>
      </c>
      <c r="C4919" s="292"/>
      <c r="D4919" s="292"/>
      <c r="F4919" s="283" t="s">
        <v>169</v>
      </c>
      <c r="G4919" s="283"/>
      <c r="J4919" s="293">
        <v>1</v>
      </c>
      <c r="K4919" s="293"/>
      <c r="L4919" s="293"/>
      <c r="M4919" s="293"/>
      <c r="N4919" s="293"/>
      <c r="P4919" s="42">
        <v>1030</v>
      </c>
      <c r="R4919" s="42">
        <v>150</v>
      </c>
      <c r="T4919" s="284">
        <v>880</v>
      </c>
      <c r="U4919" s="284"/>
    </row>
    <row r="4920" spans="1:21" x14ac:dyDescent="0.25">
      <c r="B4920" s="292">
        <v>2</v>
      </c>
      <c r="C4920" s="292"/>
      <c r="D4920" s="292"/>
      <c r="F4920" s="283" t="s">
        <v>168</v>
      </c>
      <c r="G4920" s="283"/>
      <c r="J4920" s="293">
        <v>1</v>
      </c>
      <c r="K4920" s="293"/>
      <c r="L4920" s="293"/>
      <c r="M4920" s="293"/>
      <c r="N4920" s="293"/>
      <c r="P4920" s="42">
        <v>2200</v>
      </c>
      <c r="R4920" s="42">
        <v>330</v>
      </c>
      <c r="T4920" s="284">
        <v>1870</v>
      </c>
      <c r="U4920" s="284"/>
    </row>
    <row r="4921" spans="1:21" x14ac:dyDescent="0.25">
      <c r="B4921" s="292">
        <v>3</v>
      </c>
      <c r="C4921" s="292"/>
      <c r="D4921" s="292"/>
      <c r="F4921" s="283" t="s">
        <v>78</v>
      </c>
      <c r="G4921" s="283"/>
      <c r="J4921" s="293">
        <v>117</v>
      </c>
      <c r="K4921" s="293"/>
      <c r="L4921" s="293"/>
      <c r="M4921" s="293"/>
      <c r="N4921" s="293"/>
      <c r="P4921" s="42">
        <v>33930</v>
      </c>
      <c r="R4921" s="42">
        <v>33930</v>
      </c>
      <c r="T4921" s="284">
        <v>0</v>
      </c>
      <c r="U4921" s="284"/>
    </row>
    <row r="4922" spans="1:21" x14ac:dyDescent="0.25">
      <c r="B4922" s="292">
        <v>4</v>
      </c>
      <c r="C4922" s="292"/>
      <c r="D4922" s="292"/>
      <c r="F4922" s="283" t="s">
        <v>167</v>
      </c>
      <c r="G4922" s="283"/>
      <c r="J4922" s="293">
        <v>3</v>
      </c>
      <c r="K4922" s="293"/>
      <c r="L4922" s="293"/>
      <c r="M4922" s="293"/>
      <c r="N4922" s="293"/>
      <c r="P4922" s="42">
        <v>1710</v>
      </c>
      <c r="R4922" s="42">
        <v>510</v>
      </c>
      <c r="T4922" s="284">
        <v>1200</v>
      </c>
      <c r="U4922" s="284"/>
    </row>
    <row r="4923" spans="1:21" x14ac:dyDescent="0.25">
      <c r="B4923" s="292">
        <v>5</v>
      </c>
      <c r="C4923" s="292"/>
      <c r="D4923" s="292"/>
      <c r="F4923" s="283" t="s">
        <v>166</v>
      </c>
      <c r="G4923" s="283"/>
      <c r="J4923" s="293">
        <v>1</v>
      </c>
      <c r="K4923" s="293"/>
      <c r="L4923" s="293"/>
      <c r="M4923" s="293"/>
      <c r="N4923" s="293"/>
      <c r="P4923" s="42">
        <v>1900</v>
      </c>
      <c r="R4923" s="42">
        <v>280</v>
      </c>
      <c r="T4923" s="284">
        <v>1620</v>
      </c>
      <c r="U4923" s="284"/>
    </row>
    <row r="4924" spans="1:21" x14ac:dyDescent="0.25">
      <c r="B4924" s="292">
        <v>6</v>
      </c>
      <c r="C4924" s="292"/>
      <c r="D4924" s="292"/>
      <c r="F4924" s="283" t="s">
        <v>165</v>
      </c>
      <c r="G4924" s="283"/>
      <c r="J4924" s="293">
        <v>1</v>
      </c>
      <c r="K4924" s="293"/>
      <c r="L4924" s="293"/>
      <c r="M4924" s="293"/>
      <c r="N4924" s="293"/>
      <c r="P4924" s="42">
        <v>590</v>
      </c>
      <c r="R4924" s="42">
        <v>180</v>
      </c>
      <c r="T4924" s="284">
        <v>410</v>
      </c>
      <c r="U4924" s="284"/>
    </row>
    <row r="4925" spans="1:21" x14ac:dyDescent="0.25">
      <c r="B4925" s="292">
        <v>7</v>
      </c>
      <c r="C4925" s="292"/>
      <c r="D4925" s="292"/>
      <c r="F4925" s="283" t="s">
        <v>164</v>
      </c>
      <c r="G4925" s="283"/>
      <c r="J4925" s="293">
        <v>1</v>
      </c>
      <c r="K4925" s="293"/>
      <c r="L4925" s="293"/>
      <c r="M4925" s="293"/>
      <c r="N4925" s="293"/>
      <c r="P4925" s="42">
        <v>590</v>
      </c>
      <c r="R4925" s="42">
        <v>180</v>
      </c>
      <c r="T4925" s="284">
        <v>410</v>
      </c>
      <c r="U4925" s="284"/>
    </row>
    <row r="4926" spans="1:21" x14ac:dyDescent="0.25">
      <c r="B4926" s="292">
        <v>8</v>
      </c>
      <c r="C4926" s="292"/>
      <c r="D4926" s="292"/>
      <c r="F4926" s="283" t="s">
        <v>163</v>
      </c>
      <c r="G4926" s="283"/>
      <c r="J4926" s="293">
        <v>4</v>
      </c>
      <c r="K4926" s="293"/>
      <c r="L4926" s="293"/>
      <c r="M4926" s="293"/>
      <c r="N4926" s="293"/>
      <c r="P4926" s="42">
        <v>4760</v>
      </c>
      <c r="R4926" s="42">
        <v>180</v>
      </c>
      <c r="T4926" s="284">
        <v>4580</v>
      </c>
      <c r="U4926" s="284"/>
    </row>
    <row r="4927" spans="1:21" x14ac:dyDescent="0.25">
      <c r="B4927" s="292">
        <v>9</v>
      </c>
      <c r="C4927" s="292"/>
      <c r="D4927" s="292"/>
      <c r="F4927" s="283" t="s">
        <v>162</v>
      </c>
      <c r="G4927" s="283"/>
      <c r="J4927" s="293">
        <v>22</v>
      </c>
      <c r="K4927" s="293"/>
      <c r="L4927" s="293"/>
      <c r="M4927" s="293"/>
      <c r="N4927" s="293"/>
      <c r="P4927" s="42">
        <v>9460</v>
      </c>
      <c r="R4927" s="42">
        <v>3849</v>
      </c>
      <c r="T4927" s="284">
        <v>5611</v>
      </c>
      <c r="U4927" s="284"/>
    </row>
    <row r="4928" spans="1:21" x14ac:dyDescent="0.25">
      <c r="B4928" s="292">
        <v>10</v>
      </c>
      <c r="C4928" s="292"/>
      <c r="D4928" s="292"/>
      <c r="F4928" s="283" t="s">
        <v>161</v>
      </c>
      <c r="G4928" s="283"/>
      <c r="J4928" s="293">
        <v>3</v>
      </c>
      <c r="K4928" s="293"/>
      <c r="L4928" s="293"/>
      <c r="M4928" s="293"/>
      <c r="N4928" s="293"/>
      <c r="P4928" s="42">
        <v>75</v>
      </c>
      <c r="R4928" s="42">
        <v>15</v>
      </c>
      <c r="T4928" s="284">
        <v>60</v>
      </c>
      <c r="U4928" s="284"/>
    </row>
    <row r="4929" spans="2:21" x14ac:dyDescent="0.25">
      <c r="B4929" s="292">
        <v>11</v>
      </c>
      <c r="C4929" s="292"/>
      <c r="D4929" s="292"/>
      <c r="F4929" s="283" t="s">
        <v>160</v>
      </c>
      <c r="G4929" s="283"/>
      <c r="J4929" s="293">
        <v>15</v>
      </c>
      <c r="K4929" s="293"/>
      <c r="L4929" s="293"/>
      <c r="M4929" s="293"/>
      <c r="N4929" s="293"/>
      <c r="P4929" s="42">
        <v>4350</v>
      </c>
      <c r="R4929" s="42">
        <v>880</v>
      </c>
      <c r="T4929" s="284">
        <v>3470</v>
      </c>
      <c r="U4929" s="284"/>
    </row>
    <row r="4930" spans="2:21" x14ac:dyDescent="0.25">
      <c r="B4930" s="292">
        <v>12</v>
      </c>
      <c r="C4930" s="292"/>
      <c r="D4930" s="292"/>
      <c r="F4930" s="283" t="s">
        <v>159</v>
      </c>
      <c r="G4930" s="283"/>
      <c r="J4930" s="293">
        <v>572</v>
      </c>
      <c r="K4930" s="293"/>
      <c r="L4930" s="293"/>
      <c r="M4930" s="293"/>
      <c r="N4930" s="293"/>
      <c r="P4930" s="42">
        <v>0</v>
      </c>
      <c r="R4930" s="42">
        <v>0</v>
      </c>
      <c r="T4930" s="284">
        <v>0</v>
      </c>
      <c r="U4930" s="284"/>
    </row>
    <row r="4931" spans="2:21" x14ac:dyDescent="0.25">
      <c r="B4931" s="292">
        <v>13</v>
      </c>
      <c r="C4931" s="292"/>
      <c r="D4931" s="292"/>
      <c r="F4931" s="283" t="s">
        <v>158</v>
      </c>
      <c r="G4931" s="283"/>
      <c r="J4931" s="293">
        <v>218</v>
      </c>
      <c r="K4931" s="293"/>
      <c r="L4931" s="293"/>
      <c r="M4931" s="293"/>
      <c r="N4931" s="293"/>
      <c r="P4931" s="42">
        <v>119900</v>
      </c>
      <c r="R4931" s="42">
        <v>28062</v>
      </c>
      <c r="T4931" s="284">
        <v>91838</v>
      </c>
      <c r="U4931" s="284"/>
    </row>
    <row r="4932" spans="2:21" x14ac:dyDescent="0.25">
      <c r="B4932" s="292">
        <v>14</v>
      </c>
      <c r="C4932" s="292"/>
      <c r="D4932" s="292"/>
      <c r="F4932" s="283" t="s">
        <v>157</v>
      </c>
      <c r="G4932" s="283"/>
      <c r="J4932" s="293">
        <v>141</v>
      </c>
      <c r="K4932" s="293"/>
      <c r="L4932" s="293"/>
      <c r="M4932" s="293"/>
      <c r="N4932" s="293"/>
      <c r="P4932" s="42">
        <v>69090</v>
      </c>
      <c r="R4932" s="42">
        <v>23546</v>
      </c>
      <c r="T4932" s="284">
        <v>45544</v>
      </c>
      <c r="U4932" s="284"/>
    </row>
    <row r="4933" spans="2:21" x14ac:dyDescent="0.25">
      <c r="B4933" s="292">
        <v>15</v>
      </c>
      <c r="C4933" s="292"/>
      <c r="D4933" s="292"/>
      <c r="F4933" s="283" t="s">
        <v>77</v>
      </c>
      <c r="G4933" s="283"/>
      <c r="J4933" s="293">
        <v>566</v>
      </c>
      <c r="K4933" s="293"/>
      <c r="L4933" s="293"/>
      <c r="M4933" s="293"/>
      <c r="N4933" s="293"/>
      <c r="P4933" s="42">
        <v>231100</v>
      </c>
      <c r="R4933" s="42">
        <v>231100</v>
      </c>
      <c r="T4933" s="284">
        <v>0</v>
      </c>
      <c r="U4933" s="284"/>
    </row>
    <row r="4934" spans="2:21" x14ac:dyDescent="0.25">
      <c r="B4934" s="292">
        <v>16</v>
      </c>
      <c r="C4934" s="292"/>
      <c r="D4934" s="292"/>
      <c r="F4934" s="283" t="s">
        <v>156</v>
      </c>
      <c r="G4934" s="283"/>
      <c r="J4934" s="293">
        <v>15</v>
      </c>
      <c r="K4934" s="293"/>
      <c r="L4934" s="293"/>
      <c r="M4934" s="293"/>
      <c r="N4934" s="293"/>
      <c r="P4934" s="42">
        <v>2850</v>
      </c>
      <c r="R4934" s="42">
        <v>670</v>
      </c>
      <c r="T4934" s="284">
        <v>2180</v>
      </c>
      <c r="U4934" s="284"/>
    </row>
    <row r="4935" spans="2:21" x14ac:dyDescent="0.25">
      <c r="B4935" s="292">
        <v>17</v>
      </c>
      <c r="C4935" s="292"/>
      <c r="D4935" s="292"/>
      <c r="F4935" s="283" t="s">
        <v>155</v>
      </c>
      <c r="G4935" s="283"/>
      <c r="J4935" s="293">
        <v>38</v>
      </c>
      <c r="K4935" s="293"/>
      <c r="L4935" s="293"/>
      <c r="M4935" s="293"/>
      <c r="N4935" s="293"/>
      <c r="P4935" s="42">
        <v>9500</v>
      </c>
      <c r="R4935" s="42">
        <v>2658</v>
      </c>
      <c r="T4935" s="284">
        <v>6842</v>
      </c>
      <c r="U4935" s="284"/>
    </row>
    <row r="4936" spans="2:21" x14ac:dyDescent="0.25">
      <c r="B4936" s="292">
        <v>18</v>
      </c>
      <c r="C4936" s="292"/>
      <c r="D4936" s="292"/>
      <c r="F4936" s="283" t="s">
        <v>154</v>
      </c>
      <c r="G4936" s="283"/>
      <c r="J4936" s="293">
        <v>1</v>
      </c>
      <c r="K4936" s="293"/>
      <c r="L4936" s="293"/>
      <c r="M4936" s="293"/>
      <c r="N4936" s="293"/>
      <c r="P4936" s="42">
        <v>890</v>
      </c>
      <c r="R4936" s="42">
        <v>89</v>
      </c>
      <c r="T4936" s="284">
        <v>801</v>
      </c>
      <c r="U4936" s="284"/>
    </row>
    <row r="4937" spans="2:21" x14ac:dyDescent="0.25">
      <c r="B4937" s="292">
        <v>19</v>
      </c>
      <c r="C4937" s="292"/>
      <c r="D4937" s="292"/>
      <c r="F4937" s="283" t="s">
        <v>153</v>
      </c>
      <c r="G4937" s="283"/>
      <c r="J4937" s="293">
        <v>3</v>
      </c>
      <c r="K4937" s="293"/>
      <c r="L4937" s="293"/>
      <c r="M4937" s="293"/>
      <c r="N4937" s="293"/>
      <c r="P4937" s="42">
        <v>3540</v>
      </c>
      <c r="R4937" s="42">
        <v>0</v>
      </c>
      <c r="T4937" s="284">
        <v>3540</v>
      </c>
      <c r="U4937" s="284"/>
    </row>
    <row r="4938" spans="2:21" x14ac:dyDescent="0.25">
      <c r="B4938" s="292">
        <v>20</v>
      </c>
      <c r="C4938" s="292"/>
      <c r="D4938" s="292"/>
      <c r="F4938" s="283" t="s">
        <v>152</v>
      </c>
      <c r="G4938" s="283"/>
      <c r="J4938" s="293">
        <v>11</v>
      </c>
      <c r="K4938" s="293"/>
      <c r="L4938" s="293"/>
      <c r="M4938" s="293"/>
      <c r="N4938" s="293"/>
      <c r="P4938" s="42">
        <v>6490</v>
      </c>
      <c r="R4938" s="42">
        <v>1980</v>
      </c>
      <c r="T4938" s="284">
        <v>4510</v>
      </c>
      <c r="U4938" s="284"/>
    </row>
    <row r="4939" spans="2:21" x14ac:dyDescent="0.25">
      <c r="B4939" s="292">
        <v>21</v>
      </c>
      <c r="C4939" s="292"/>
      <c r="D4939" s="292"/>
      <c r="F4939" s="283" t="s">
        <v>151</v>
      </c>
      <c r="G4939" s="283"/>
      <c r="J4939" s="293">
        <v>7</v>
      </c>
      <c r="K4939" s="293"/>
      <c r="L4939" s="293"/>
      <c r="M4939" s="293"/>
      <c r="N4939" s="293"/>
      <c r="P4939" s="42">
        <v>1610</v>
      </c>
      <c r="R4939" s="42">
        <v>370</v>
      </c>
      <c r="T4939" s="284">
        <v>1240</v>
      </c>
      <c r="U4939" s="284"/>
    </row>
    <row r="4940" spans="2:21" x14ac:dyDescent="0.25">
      <c r="B4940" s="292">
        <v>22</v>
      </c>
      <c r="C4940" s="292"/>
      <c r="D4940" s="292"/>
      <c r="F4940" s="283" t="s">
        <v>150</v>
      </c>
      <c r="G4940" s="283"/>
      <c r="J4940" s="293">
        <v>23</v>
      </c>
      <c r="K4940" s="293"/>
      <c r="L4940" s="293"/>
      <c r="M4940" s="293"/>
      <c r="N4940" s="293"/>
      <c r="P4940" s="42">
        <v>3910</v>
      </c>
      <c r="R4940" s="42">
        <v>1000</v>
      </c>
      <c r="T4940" s="284">
        <v>2910</v>
      </c>
      <c r="U4940" s="284"/>
    </row>
    <row r="4941" spans="2:21" x14ac:dyDescent="0.25">
      <c r="B4941" s="292">
        <v>23</v>
      </c>
      <c r="C4941" s="292"/>
      <c r="D4941" s="292"/>
      <c r="F4941" s="283" t="s">
        <v>149</v>
      </c>
      <c r="G4941" s="283"/>
      <c r="J4941" s="293">
        <v>36</v>
      </c>
      <c r="K4941" s="293"/>
      <c r="L4941" s="293"/>
      <c r="M4941" s="293"/>
      <c r="N4941" s="293"/>
      <c r="P4941" s="42">
        <v>1800</v>
      </c>
      <c r="R4941" s="42">
        <v>340</v>
      </c>
      <c r="T4941" s="284">
        <v>1460</v>
      </c>
      <c r="U4941" s="284"/>
    </row>
    <row r="4942" spans="2:21" x14ac:dyDescent="0.25">
      <c r="B4942" s="292">
        <v>24</v>
      </c>
      <c r="C4942" s="292"/>
      <c r="D4942" s="292"/>
      <c r="F4942" s="283" t="s">
        <v>148</v>
      </c>
      <c r="G4942" s="283"/>
      <c r="J4942" s="293">
        <v>1</v>
      </c>
      <c r="K4942" s="293"/>
      <c r="L4942" s="293"/>
      <c r="M4942" s="293"/>
      <c r="N4942" s="293"/>
      <c r="P4942" s="42">
        <v>980</v>
      </c>
      <c r="R4942" s="42">
        <v>0</v>
      </c>
      <c r="T4942" s="284">
        <v>980</v>
      </c>
      <c r="U4942" s="284"/>
    </row>
    <row r="4943" spans="2:21" x14ac:dyDescent="0.25">
      <c r="B4943" s="292">
        <v>25</v>
      </c>
      <c r="C4943" s="292"/>
      <c r="D4943" s="292"/>
      <c r="F4943" s="283" t="s">
        <v>147</v>
      </c>
      <c r="G4943" s="283"/>
      <c r="J4943" s="293">
        <v>9</v>
      </c>
      <c r="K4943" s="293"/>
      <c r="L4943" s="293"/>
      <c r="M4943" s="293"/>
      <c r="N4943" s="293"/>
      <c r="P4943" s="42">
        <v>270</v>
      </c>
      <c r="R4943" s="42">
        <v>0</v>
      </c>
      <c r="T4943" s="284">
        <v>270</v>
      </c>
      <c r="U4943" s="284"/>
    </row>
    <row r="4944" spans="2:21" x14ac:dyDescent="0.25">
      <c r="B4944" s="292">
        <v>26</v>
      </c>
      <c r="C4944" s="292"/>
      <c r="D4944" s="292"/>
      <c r="F4944" s="283" t="s">
        <v>146</v>
      </c>
      <c r="G4944" s="283"/>
      <c r="J4944" s="293">
        <v>19</v>
      </c>
      <c r="K4944" s="293"/>
      <c r="L4944" s="293"/>
      <c r="M4944" s="293"/>
      <c r="N4944" s="293"/>
      <c r="P4944" s="42">
        <v>950</v>
      </c>
      <c r="R4944" s="42">
        <v>0</v>
      </c>
      <c r="T4944" s="284">
        <v>950</v>
      </c>
      <c r="U4944" s="284"/>
    </row>
    <row r="4945" spans="2:21" x14ac:dyDescent="0.25">
      <c r="B4945" s="292">
        <v>27</v>
      </c>
      <c r="C4945" s="292"/>
      <c r="D4945" s="292"/>
      <c r="F4945" s="283" t="s">
        <v>145</v>
      </c>
      <c r="G4945" s="283"/>
      <c r="J4945" s="293">
        <v>9</v>
      </c>
      <c r="K4945" s="293"/>
      <c r="L4945" s="293"/>
      <c r="M4945" s="293"/>
      <c r="N4945" s="293"/>
      <c r="P4945" s="42">
        <v>1350</v>
      </c>
      <c r="R4945" s="42">
        <v>0</v>
      </c>
      <c r="T4945" s="284">
        <v>1350</v>
      </c>
      <c r="U4945" s="284"/>
    </row>
    <row r="4946" spans="2:21" x14ac:dyDescent="0.25">
      <c r="B4946" s="292">
        <v>28</v>
      </c>
      <c r="C4946" s="292"/>
      <c r="D4946" s="292"/>
      <c r="F4946" s="283" t="s">
        <v>144</v>
      </c>
      <c r="G4946" s="283"/>
      <c r="J4946" s="293">
        <v>9</v>
      </c>
      <c r="K4946" s="293"/>
      <c r="L4946" s="293"/>
      <c r="M4946" s="293"/>
      <c r="N4946" s="293"/>
      <c r="P4946" s="42">
        <v>2700</v>
      </c>
      <c r="R4946" s="42">
        <v>0</v>
      </c>
      <c r="T4946" s="284">
        <v>2700</v>
      </c>
      <c r="U4946" s="284"/>
    </row>
    <row r="4947" spans="2:21" x14ac:dyDescent="0.25">
      <c r="B4947" s="292">
        <v>29</v>
      </c>
      <c r="C4947" s="292"/>
      <c r="D4947" s="292"/>
      <c r="F4947" s="283" t="s">
        <v>143</v>
      </c>
      <c r="G4947" s="283"/>
      <c r="J4947" s="293">
        <v>1</v>
      </c>
      <c r="K4947" s="293"/>
      <c r="L4947" s="293"/>
      <c r="M4947" s="293"/>
      <c r="N4947" s="293"/>
      <c r="P4947" s="42">
        <v>100</v>
      </c>
      <c r="R4947" s="42">
        <v>0</v>
      </c>
      <c r="T4947" s="284">
        <v>100</v>
      </c>
      <c r="U4947" s="284"/>
    </row>
    <row r="4948" spans="2:21" x14ac:dyDescent="0.25">
      <c r="B4948" s="292">
        <v>30</v>
      </c>
      <c r="C4948" s="292"/>
      <c r="D4948" s="292"/>
      <c r="F4948" s="283" t="s">
        <v>142</v>
      </c>
      <c r="G4948" s="283"/>
      <c r="J4948" s="293">
        <v>1</v>
      </c>
      <c r="K4948" s="293"/>
      <c r="L4948" s="293"/>
      <c r="M4948" s="293"/>
      <c r="N4948" s="293"/>
      <c r="P4948" s="42">
        <v>350</v>
      </c>
      <c r="R4948" s="42">
        <v>150</v>
      </c>
      <c r="T4948" s="284">
        <v>200</v>
      </c>
      <c r="U4948" s="284"/>
    </row>
    <row r="4949" spans="2:21" x14ac:dyDescent="0.25">
      <c r="B4949" s="292">
        <v>31</v>
      </c>
      <c r="C4949" s="292"/>
      <c r="D4949" s="292"/>
      <c r="F4949" s="283" t="s">
        <v>75</v>
      </c>
      <c r="G4949" s="283"/>
      <c r="J4949" s="293">
        <v>1274</v>
      </c>
      <c r="K4949" s="293"/>
      <c r="L4949" s="293"/>
      <c r="M4949" s="293"/>
      <c r="N4949" s="293"/>
      <c r="P4949" s="42">
        <v>3185000</v>
      </c>
      <c r="R4949" s="42">
        <v>3182500</v>
      </c>
      <c r="T4949" s="284">
        <v>2500</v>
      </c>
      <c r="U4949" s="284"/>
    </row>
    <row r="4950" spans="2:21" x14ac:dyDescent="0.25">
      <c r="B4950" s="292">
        <v>32</v>
      </c>
      <c r="C4950" s="292"/>
      <c r="D4950" s="292"/>
      <c r="F4950" s="283" t="s">
        <v>141</v>
      </c>
      <c r="G4950" s="283"/>
      <c r="J4950" s="293">
        <v>8</v>
      </c>
      <c r="K4950" s="293"/>
      <c r="L4950" s="293"/>
      <c r="M4950" s="293"/>
      <c r="N4950" s="293"/>
      <c r="P4950" s="42">
        <v>600</v>
      </c>
      <c r="R4950" s="42">
        <v>154</v>
      </c>
      <c r="T4950" s="284">
        <v>446</v>
      </c>
      <c r="U4950" s="284"/>
    </row>
    <row r="4951" spans="2:21" x14ac:dyDescent="0.25">
      <c r="B4951" s="292">
        <v>33</v>
      </c>
      <c r="C4951" s="292"/>
      <c r="D4951" s="292"/>
      <c r="F4951" s="283" t="s">
        <v>140</v>
      </c>
      <c r="G4951" s="283"/>
      <c r="J4951" s="293">
        <v>1</v>
      </c>
      <c r="K4951" s="293"/>
      <c r="L4951" s="293"/>
      <c r="M4951" s="293"/>
      <c r="N4951" s="293"/>
      <c r="P4951" s="42">
        <v>290</v>
      </c>
      <c r="R4951" s="42">
        <v>0</v>
      </c>
      <c r="T4951" s="284">
        <v>290</v>
      </c>
      <c r="U4951" s="284"/>
    </row>
    <row r="4952" spans="2:21" x14ac:dyDescent="0.25">
      <c r="B4952" s="292">
        <v>34</v>
      </c>
      <c r="C4952" s="292"/>
      <c r="D4952" s="292"/>
      <c r="F4952" s="283" t="s">
        <v>139</v>
      </c>
      <c r="G4952" s="283"/>
      <c r="J4952" s="293">
        <v>4</v>
      </c>
      <c r="K4952" s="293"/>
      <c r="L4952" s="293"/>
      <c r="M4952" s="293"/>
      <c r="N4952" s="293"/>
      <c r="P4952" s="42">
        <v>1080</v>
      </c>
      <c r="R4952" s="42">
        <v>320</v>
      </c>
      <c r="T4952" s="284">
        <v>760</v>
      </c>
      <c r="U4952" s="284"/>
    </row>
    <row r="4953" spans="2:21" x14ac:dyDescent="0.25">
      <c r="B4953" s="292">
        <v>35</v>
      </c>
      <c r="C4953" s="292"/>
      <c r="D4953" s="292"/>
      <c r="F4953" s="283" t="s">
        <v>138</v>
      </c>
      <c r="G4953" s="283"/>
      <c r="J4953" s="293">
        <v>1</v>
      </c>
      <c r="K4953" s="293"/>
      <c r="L4953" s="293"/>
      <c r="M4953" s="293"/>
      <c r="N4953" s="293"/>
      <c r="P4953" s="42">
        <v>800</v>
      </c>
      <c r="R4953" s="42">
        <v>450</v>
      </c>
      <c r="T4953" s="284">
        <v>350</v>
      </c>
      <c r="U4953" s="284"/>
    </row>
    <row r="4954" spans="2:21" x14ac:dyDescent="0.25">
      <c r="B4954" s="292">
        <v>36</v>
      </c>
      <c r="C4954" s="292"/>
      <c r="D4954" s="292"/>
      <c r="F4954" s="283" t="s">
        <v>137</v>
      </c>
      <c r="G4954" s="283"/>
      <c r="J4954" s="293">
        <v>1</v>
      </c>
      <c r="K4954" s="293"/>
      <c r="L4954" s="293"/>
      <c r="M4954" s="293"/>
      <c r="N4954" s="293"/>
      <c r="P4954" s="42">
        <v>800</v>
      </c>
      <c r="R4954" s="42">
        <v>450</v>
      </c>
      <c r="T4954" s="284">
        <v>350</v>
      </c>
      <c r="U4954" s="284"/>
    </row>
    <row r="4955" spans="2:21" x14ac:dyDescent="0.25">
      <c r="B4955" s="292">
        <v>37</v>
      </c>
      <c r="C4955" s="292"/>
      <c r="D4955" s="292"/>
      <c r="F4955" s="283" t="s">
        <v>136</v>
      </c>
      <c r="G4955" s="283"/>
      <c r="J4955" s="293">
        <v>23</v>
      </c>
      <c r="K4955" s="293"/>
      <c r="L4955" s="293"/>
      <c r="M4955" s="293"/>
      <c r="N4955" s="293"/>
      <c r="P4955" s="42">
        <v>19550</v>
      </c>
      <c r="R4955" s="42">
        <v>3412</v>
      </c>
      <c r="T4955" s="284">
        <v>16138</v>
      </c>
      <c r="U4955" s="284"/>
    </row>
    <row r="4956" spans="2:21" x14ac:dyDescent="0.25">
      <c r="B4956" s="292">
        <v>38</v>
      </c>
      <c r="C4956" s="292"/>
      <c r="D4956" s="292"/>
      <c r="F4956" s="283" t="s">
        <v>74</v>
      </c>
      <c r="G4956" s="283"/>
      <c r="J4956" s="293">
        <v>86</v>
      </c>
      <c r="K4956" s="293"/>
      <c r="L4956" s="293"/>
      <c r="M4956" s="293"/>
      <c r="N4956" s="293"/>
      <c r="P4956" s="42">
        <v>73100</v>
      </c>
      <c r="R4956" s="42">
        <v>73100</v>
      </c>
      <c r="T4956" s="284">
        <v>0</v>
      </c>
      <c r="U4956" s="284"/>
    </row>
    <row r="4957" spans="2:21" x14ac:dyDescent="0.25">
      <c r="B4957" s="292">
        <v>39</v>
      </c>
      <c r="C4957" s="292"/>
      <c r="D4957" s="292"/>
      <c r="F4957" s="283" t="s">
        <v>135</v>
      </c>
      <c r="G4957" s="283"/>
      <c r="J4957" s="293">
        <v>4</v>
      </c>
      <c r="K4957" s="293"/>
      <c r="L4957" s="293"/>
      <c r="M4957" s="293"/>
      <c r="N4957" s="293"/>
      <c r="P4957" s="42">
        <v>3800</v>
      </c>
      <c r="R4957" s="42">
        <v>1120</v>
      </c>
      <c r="T4957" s="284">
        <v>2680</v>
      </c>
      <c r="U4957" s="284"/>
    </row>
    <row r="4958" spans="2:21" x14ac:dyDescent="0.25">
      <c r="B4958" s="292">
        <v>40</v>
      </c>
      <c r="C4958" s="292"/>
      <c r="D4958" s="292"/>
      <c r="F4958" s="283" t="s">
        <v>134</v>
      </c>
      <c r="G4958" s="283"/>
      <c r="J4958" s="293">
        <v>1</v>
      </c>
      <c r="K4958" s="293"/>
      <c r="L4958" s="293"/>
      <c r="M4958" s="293"/>
      <c r="N4958" s="293"/>
      <c r="P4958" s="42">
        <v>3700</v>
      </c>
      <c r="R4958" s="42">
        <v>800</v>
      </c>
      <c r="T4958" s="284">
        <v>2900</v>
      </c>
      <c r="U4958" s="284"/>
    </row>
    <row r="4959" spans="2:21" x14ac:dyDescent="0.25">
      <c r="B4959" s="292">
        <v>41</v>
      </c>
      <c r="C4959" s="292"/>
      <c r="D4959" s="292"/>
      <c r="F4959" s="283" t="s">
        <v>133</v>
      </c>
      <c r="G4959" s="283"/>
      <c r="J4959" s="293">
        <v>1</v>
      </c>
      <c r="K4959" s="293"/>
      <c r="L4959" s="293"/>
      <c r="M4959" s="293"/>
      <c r="N4959" s="293"/>
      <c r="P4959" s="42">
        <v>1090</v>
      </c>
      <c r="R4959" s="42">
        <v>0</v>
      </c>
      <c r="T4959" s="284">
        <v>1090</v>
      </c>
      <c r="U4959" s="284"/>
    </row>
    <row r="4960" spans="2:21" x14ac:dyDescent="0.25">
      <c r="B4960" s="292">
        <v>42</v>
      </c>
      <c r="C4960" s="292"/>
      <c r="D4960" s="292"/>
      <c r="F4960" s="283" t="s">
        <v>132</v>
      </c>
      <c r="G4960" s="283"/>
      <c r="J4960" s="293">
        <v>6</v>
      </c>
      <c r="K4960" s="293"/>
      <c r="L4960" s="293"/>
      <c r="M4960" s="293"/>
      <c r="N4960" s="293"/>
      <c r="P4960" s="42">
        <v>7440</v>
      </c>
      <c r="R4960" s="42">
        <v>2220</v>
      </c>
      <c r="T4960" s="284">
        <v>5220</v>
      </c>
      <c r="U4960" s="284"/>
    </row>
    <row r="4961" spans="2:21" x14ac:dyDescent="0.25">
      <c r="B4961" s="292">
        <v>43</v>
      </c>
      <c r="C4961" s="292"/>
      <c r="D4961" s="292"/>
      <c r="F4961" s="283" t="s">
        <v>131</v>
      </c>
      <c r="G4961" s="283"/>
      <c r="J4961" s="293">
        <v>3</v>
      </c>
      <c r="K4961" s="293"/>
      <c r="L4961" s="293"/>
      <c r="M4961" s="293"/>
      <c r="N4961" s="293"/>
      <c r="P4961" s="42">
        <v>11100</v>
      </c>
      <c r="R4961" s="42">
        <v>2400</v>
      </c>
      <c r="T4961" s="284">
        <v>8700</v>
      </c>
      <c r="U4961" s="284"/>
    </row>
    <row r="4962" spans="2:21" x14ac:dyDescent="0.25">
      <c r="B4962" s="292">
        <v>44</v>
      </c>
      <c r="C4962" s="292"/>
      <c r="D4962" s="292"/>
      <c r="F4962" s="283" t="s">
        <v>130</v>
      </c>
      <c r="G4962" s="283"/>
      <c r="J4962" s="293">
        <v>2</v>
      </c>
      <c r="K4962" s="293"/>
      <c r="L4962" s="293"/>
      <c r="M4962" s="293"/>
      <c r="N4962" s="293"/>
      <c r="P4962" s="42">
        <v>16000</v>
      </c>
      <c r="R4962" s="42">
        <v>8200</v>
      </c>
      <c r="T4962" s="284">
        <v>7800</v>
      </c>
      <c r="U4962" s="284"/>
    </row>
    <row r="4963" spans="2:21" x14ac:dyDescent="0.25">
      <c r="B4963" s="292">
        <v>45</v>
      </c>
      <c r="C4963" s="292"/>
      <c r="D4963" s="292"/>
      <c r="F4963" s="283" t="s">
        <v>129</v>
      </c>
      <c r="G4963" s="283"/>
      <c r="J4963" s="293">
        <v>1</v>
      </c>
      <c r="K4963" s="293"/>
      <c r="L4963" s="293"/>
      <c r="M4963" s="293"/>
      <c r="N4963" s="293"/>
      <c r="P4963" s="42">
        <v>30</v>
      </c>
      <c r="R4963" s="42">
        <v>30</v>
      </c>
      <c r="T4963" s="284">
        <v>0</v>
      </c>
      <c r="U4963" s="284"/>
    </row>
    <row r="4964" spans="2:21" x14ac:dyDescent="0.25">
      <c r="B4964" s="292">
        <v>46</v>
      </c>
      <c r="C4964" s="292"/>
      <c r="D4964" s="292"/>
      <c r="F4964" s="283" t="s">
        <v>128</v>
      </c>
      <c r="G4964" s="283"/>
      <c r="J4964" s="293">
        <v>3</v>
      </c>
      <c r="K4964" s="293"/>
      <c r="L4964" s="293"/>
      <c r="M4964" s="293"/>
      <c r="N4964" s="293"/>
      <c r="P4964" s="42">
        <v>3450</v>
      </c>
      <c r="R4964" s="42">
        <v>228</v>
      </c>
      <c r="T4964" s="284">
        <v>3222</v>
      </c>
      <c r="U4964" s="284"/>
    </row>
    <row r="4965" spans="2:21" x14ac:dyDescent="0.25">
      <c r="B4965" s="292">
        <v>47</v>
      </c>
      <c r="C4965" s="292"/>
      <c r="D4965" s="292"/>
      <c r="F4965" s="283" t="s">
        <v>127</v>
      </c>
      <c r="G4965" s="283"/>
      <c r="J4965" s="293">
        <v>44</v>
      </c>
      <c r="K4965" s="293"/>
      <c r="L4965" s="293"/>
      <c r="M4965" s="293"/>
      <c r="N4965" s="293"/>
      <c r="P4965" s="42">
        <v>13200</v>
      </c>
      <c r="R4965" s="42">
        <v>3411</v>
      </c>
      <c r="T4965" s="284">
        <v>9789</v>
      </c>
      <c r="U4965" s="284"/>
    </row>
    <row r="4966" spans="2:21" x14ac:dyDescent="0.25">
      <c r="B4966" s="292">
        <v>48</v>
      </c>
      <c r="C4966" s="292"/>
      <c r="D4966" s="292"/>
      <c r="F4966" s="283" t="s">
        <v>126</v>
      </c>
      <c r="G4966" s="283"/>
      <c r="J4966" s="293">
        <v>44</v>
      </c>
      <c r="K4966" s="293"/>
      <c r="L4966" s="293"/>
      <c r="M4966" s="293"/>
      <c r="N4966" s="293"/>
      <c r="P4966" s="42">
        <v>8800</v>
      </c>
      <c r="R4966" s="42">
        <v>2310</v>
      </c>
      <c r="T4966" s="284">
        <v>6490</v>
      </c>
      <c r="U4966" s="284"/>
    </row>
    <row r="4967" spans="2:21" x14ac:dyDescent="0.25">
      <c r="B4967" s="292">
        <v>49</v>
      </c>
      <c r="C4967" s="292"/>
      <c r="D4967" s="292"/>
      <c r="F4967" s="283" t="s">
        <v>125</v>
      </c>
      <c r="G4967" s="283"/>
      <c r="J4967" s="293">
        <v>13</v>
      </c>
      <c r="K4967" s="293"/>
      <c r="L4967" s="293"/>
      <c r="M4967" s="293"/>
      <c r="N4967" s="293"/>
      <c r="P4967" s="42">
        <v>5200</v>
      </c>
      <c r="R4967" s="42">
        <v>1180</v>
      </c>
      <c r="T4967" s="284">
        <v>4020</v>
      </c>
      <c r="U4967" s="284"/>
    </row>
    <row r="4968" spans="2:21" x14ac:dyDescent="0.25">
      <c r="B4968" s="292">
        <v>50</v>
      </c>
      <c r="C4968" s="292"/>
      <c r="D4968" s="292"/>
      <c r="F4968" s="283" t="s">
        <v>124</v>
      </c>
      <c r="G4968" s="283"/>
      <c r="J4968" s="293">
        <v>11</v>
      </c>
      <c r="K4968" s="293"/>
      <c r="L4968" s="293"/>
      <c r="M4968" s="293"/>
      <c r="N4968" s="293"/>
      <c r="P4968" s="42">
        <v>6680</v>
      </c>
      <c r="R4968" s="42">
        <v>1740</v>
      </c>
      <c r="T4968" s="284">
        <v>4940</v>
      </c>
      <c r="U4968" s="284"/>
    </row>
    <row r="4969" spans="2:21" x14ac:dyDescent="0.25">
      <c r="B4969" s="292">
        <v>51</v>
      </c>
      <c r="C4969" s="292"/>
      <c r="D4969" s="292"/>
      <c r="F4969" s="283" t="s">
        <v>123</v>
      </c>
      <c r="G4969" s="283"/>
      <c r="J4969" s="293">
        <v>20</v>
      </c>
      <c r="K4969" s="293"/>
      <c r="L4969" s="293"/>
      <c r="M4969" s="293"/>
      <c r="N4969" s="293"/>
      <c r="P4969" s="42">
        <v>15600</v>
      </c>
      <c r="R4969" s="42">
        <v>4487</v>
      </c>
      <c r="T4969" s="284">
        <v>11113</v>
      </c>
      <c r="U4969" s="284"/>
    </row>
    <row r="4970" spans="2:21" x14ac:dyDescent="0.25">
      <c r="B4970" s="292">
        <v>52</v>
      </c>
      <c r="C4970" s="292"/>
      <c r="D4970" s="292"/>
      <c r="F4970" s="283" t="s">
        <v>122</v>
      </c>
      <c r="G4970" s="283"/>
      <c r="J4970" s="293">
        <v>1</v>
      </c>
      <c r="K4970" s="293"/>
      <c r="L4970" s="293"/>
      <c r="M4970" s="293"/>
      <c r="N4970" s="293"/>
      <c r="P4970" s="42">
        <v>500</v>
      </c>
      <c r="R4970" s="42">
        <v>150</v>
      </c>
      <c r="T4970" s="284">
        <v>350</v>
      </c>
      <c r="U4970" s="284"/>
    </row>
    <row r="4971" spans="2:21" x14ac:dyDescent="0.25">
      <c r="B4971" s="292">
        <v>53</v>
      </c>
      <c r="C4971" s="292"/>
      <c r="D4971" s="292"/>
      <c r="F4971" s="283" t="s">
        <v>121</v>
      </c>
      <c r="G4971" s="283"/>
      <c r="J4971" s="293">
        <v>1</v>
      </c>
      <c r="K4971" s="293"/>
      <c r="L4971" s="293"/>
      <c r="M4971" s="293"/>
      <c r="N4971" s="293"/>
      <c r="P4971" s="42">
        <v>500</v>
      </c>
      <c r="R4971" s="42">
        <v>0</v>
      </c>
      <c r="T4971" s="284">
        <v>500</v>
      </c>
      <c r="U4971" s="284"/>
    </row>
    <row r="4972" spans="2:21" x14ac:dyDescent="0.25">
      <c r="B4972" s="292">
        <v>54</v>
      </c>
      <c r="C4972" s="292"/>
      <c r="D4972" s="292"/>
      <c r="F4972" s="283" t="s">
        <v>120</v>
      </c>
      <c r="G4972" s="283"/>
      <c r="J4972" s="293">
        <v>1</v>
      </c>
      <c r="K4972" s="293"/>
      <c r="L4972" s="293"/>
      <c r="M4972" s="293"/>
      <c r="N4972" s="293"/>
      <c r="P4972" s="42">
        <v>350</v>
      </c>
      <c r="R4972" s="42">
        <v>100</v>
      </c>
      <c r="T4972" s="284">
        <v>250</v>
      </c>
      <c r="U4972" s="284"/>
    </row>
    <row r="4973" spans="2:21" x14ac:dyDescent="0.25">
      <c r="B4973" s="292">
        <v>55</v>
      </c>
      <c r="C4973" s="292"/>
      <c r="D4973" s="292"/>
      <c r="F4973" s="283" t="s">
        <v>119</v>
      </c>
      <c r="G4973" s="283"/>
      <c r="J4973" s="293">
        <v>22</v>
      </c>
      <c r="K4973" s="293"/>
      <c r="L4973" s="293"/>
      <c r="M4973" s="293"/>
      <c r="N4973" s="293"/>
      <c r="P4973" s="42">
        <v>19580</v>
      </c>
      <c r="R4973" s="42">
        <v>4560</v>
      </c>
      <c r="T4973" s="284">
        <v>15020</v>
      </c>
      <c r="U4973" s="284"/>
    </row>
    <row r="4974" spans="2:21" x14ac:dyDescent="0.25">
      <c r="B4974" s="292">
        <v>56</v>
      </c>
      <c r="C4974" s="292"/>
      <c r="D4974" s="292"/>
      <c r="F4974" s="283" t="s">
        <v>118</v>
      </c>
      <c r="G4974" s="283"/>
      <c r="J4974" s="293">
        <v>160</v>
      </c>
      <c r="K4974" s="293"/>
      <c r="L4974" s="293"/>
      <c r="M4974" s="293"/>
      <c r="N4974" s="293"/>
      <c r="P4974" s="42">
        <v>158400</v>
      </c>
      <c r="R4974" s="42">
        <v>46905</v>
      </c>
      <c r="T4974" s="284">
        <v>111495</v>
      </c>
      <c r="U4974" s="284"/>
    </row>
    <row r="4975" spans="2:21" x14ac:dyDescent="0.25">
      <c r="B4975" s="292">
        <v>57</v>
      </c>
      <c r="C4975" s="292"/>
      <c r="D4975" s="292"/>
      <c r="F4975" s="283" t="s">
        <v>117</v>
      </c>
      <c r="G4975" s="283"/>
      <c r="J4975" s="293">
        <v>4</v>
      </c>
      <c r="K4975" s="293"/>
      <c r="L4975" s="293"/>
      <c r="M4975" s="293"/>
      <c r="N4975" s="293"/>
      <c r="P4975" s="42">
        <v>3300</v>
      </c>
      <c r="R4975" s="42">
        <v>862</v>
      </c>
      <c r="T4975" s="284">
        <v>2438</v>
      </c>
      <c r="U4975" s="284"/>
    </row>
    <row r="4976" spans="2:21" x14ac:dyDescent="0.25">
      <c r="B4976" s="292">
        <v>58</v>
      </c>
      <c r="C4976" s="292"/>
      <c r="D4976" s="292"/>
      <c r="F4976" s="285" t="s">
        <v>116</v>
      </c>
      <c r="G4976" s="285"/>
      <c r="J4976" s="293">
        <v>1</v>
      </c>
      <c r="K4976" s="293"/>
      <c r="L4976" s="293"/>
      <c r="M4976" s="293"/>
      <c r="N4976" s="293"/>
      <c r="P4976" s="42">
        <v>800</v>
      </c>
      <c r="R4976" s="42">
        <v>200</v>
      </c>
      <c r="T4976" s="284">
        <v>600</v>
      </c>
      <c r="U4976" s="284"/>
    </row>
    <row r="4977" spans="2:21" x14ac:dyDescent="0.25">
      <c r="F4977" s="285"/>
      <c r="G4977" s="285"/>
    </row>
    <row r="4978" spans="2:21" x14ac:dyDescent="0.25">
      <c r="B4978" s="292">
        <v>59</v>
      </c>
      <c r="C4978" s="292"/>
      <c r="D4978" s="292"/>
      <c r="F4978" s="283" t="s">
        <v>115</v>
      </c>
      <c r="G4978" s="283"/>
      <c r="J4978" s="293">
        <v>25</v>
      </c>
      <c r="K4978" s="293"/>
      <c r="L4978" s="293"/>
      <c r="M4978" s="293"/>
      <c r="N4978" s="293"/>
      <c r="P4978" s="42">
        <v>7250</v>
      </c>
      <c r="R4978" s="42">
        <v>1399</v>
      </c>
      <c r="T4978" s="284">
        <v>5851</v>
      </c>
      <c r="U4978" s="284"/>
    </row>
    <row r="4979" spans="2:21" x14ac:dyDescent="0.25">
      <c r="B4979" s="292">
        <v>60</v>
      </c>
      <c r="C4979" s="292"/>
      <c r="D4979" s="292"/>
      <c r="F4979" s="283" t="s">
        <v>114</v>
      </c>
      <c r="G4979" s="283"/>
      <c r="J4979" s="293">
        <v>1</v>
      </c>
      <c r="K4979" s="293"/>
      <c r="L4979" s="293"/>
      <c r="M4979" s="293"/>
      <c r="N4979" s="293"/>
      <c r="P4979" s="42">
        <v>550</v>
      </c>
      <c r="R4979" s="42">
        <v>80</v>
      </c>
      <c r="T4979" s="284">
        <v>470</v>
      </c>
      <c r="U4979" s="284"/>
    </row>
    <row r="4980" spans="2:21" x14ac:dyDescent="0.25">
      <c r="B4980" s="292">
        <v>61</v>
      </c>
      <c r="C4980" s="292"/>
      <c r="D4980" s="292"/>
      <c r="F4980" s="285" t="s">
        <v>113</v>
      </c>
      <c r="G4980" s="285"/>
      <c r="J4980" s="293">
        <v>4</v>
      </c>
      <c r="K4980" s="293"/>
      <c r="L4980" s="293"/>
      <c r="M4980" s="293"/>
      <c r="N4980" s="293"/>
      <c r="P4980" s="42">
        <v>360</v>
      </c>
      <c r="R4980" s="42">
        <v>0</v>
      </c>
      <c r="T4980" s="284">
        <v>360</v>
      </c>
      <c r="U4980" s="284"/>
    </row>
    <row r="4981" spans="2:21" x14ac:dyDescent="0.25">
      <c r="F4981" s="285"/>
      <c r="G4981" s="285"/>
    </row>
    <row r="4982" spans="2:21" x14ac:dyDescent="0.25">
      <c r="B4982" s="292">
        <v>62</v>
      </c>
      <c r="C4982" s="292"/>
      <c r="D4982" s="292"/>
      <c r="F4982" s="283" t="s">
        <v>112</v>
      </c>
      <c r="G4982" s="283"/>
      <c r="J4982" s="293">
        <v>3</v>
      </c>
      <c r="K4982" s="293"/>
      <c r="L4982" s="293"/>
      <c r="M4982" s="293"/>
      <c r="N4982" s="293"/>
      <c r="P4982" s="42">
        <v>180</v>
      </c>
      <c r="R4982" s="42">
        <v>0</v>
      </c>
      <c r="T4982" s="284">
        <v>180</v>
      </c>
      <c r="U4982" s="284"/>
    </row>
    <row r="4983" spans="2:21" x14ac:dyDescent="0.25">
      <c r="B4983" s="292">
        <v>63</v>
      </c>
      <c r="C4983" s="292"/>
      <c r="D4983" s="292"/>
      <c r="F4983" s="283" t="s">
        <v>111</v>
      </c>
      <c r="G4983" s="283"/>
      <c r="J4983" s="293">
        <v>3</v>
      </c>
      <c r="K4983" s="293"/>
      <c r="L4983" s="293"/>
      <c r="M4983" s="293"/>
      <c r="N4983" s="293"/>
      <c r="P4983" s="42">
        <v>1290</v>
      </c>
      <c r="R4983" s="42">
        <v>390</v>
      </c>
      <c r="T4983" s="284">
        <v>900</v>
      </c>
      <c r="U4983" s="284"/>
    </row>
    <row r="4984" spans="2:21" x14ac:dyDescent="0.25">
      <c r="B4984" s="292">
        <v>64</v>
      </c>
      <c r="C4984" s="292"/>
      <c r="D4984" s="292"/>
      <c r="F4984" s="283" t="s">
        <v>110</v>
      </c>
      <c r="G4984" s="283"/>
      <c r="J4984" s="293">
        <v>5</v>
      </c>
      <c r="K4984" s="293"/>
      <c r="L4984" s="293"/>
      <c r="M4984" s="293"/>
      <c r="N4984" s="293"/>
      <c r="P4984" s="42">
        <v>5400</v>
      </c>
      <c r="R4984" s="42">
        <v>800</v>
      </c>
      <c r="T4984" s="284">
        <v>4600</v>
      </c>
      <c r="U4984" s="284"/>
    </row>
    <row r="4985" spans="2:21" x14ac:dyDescent="0.25">
      <c r="B4985" s="292">
        <v>65</v>
      </c>
      <c r="C4985" s="292"/>
      <c r="D4985" s="292"/>
      <c r="F4985" s="283" t="s">
        <v>109</v>
      </c>
      <c r="G4985" s="283"/>
      <c r="J4985" s="293">
        <v>1</v>
      </c>
      <c r="K4985" s="293"/>
      <c r="L4985" s="293"/>
      <c r="M4985" s="293"/>
      <c r="N4985" s="293"/>
      <c r="P4985" s="42">
        <v>780</v>
      </c>
      <c r="R4985" s="42">
        <v>230</v>
      </c>
      <c r="T4985" s="284">
        <v>550</v>
      </c>
      <c r="U4985" s="284"/>
    </row>
    <row r="4986" spans="2:21" x14ac:dyDescent="0.25">
      <c r="B4986" s="292">
        <v>66</v>
      </c>
      <c r="C4986" s="292"/>
      <c r="D4986" s="292"/>
      <c r="F4986" s="283" t="s">
        <v>108</v>
      </c>
      <c r="G4986" s="283"/>
      <c r="J4986" s="293">
        <v>153</v>
      </c>
      <c r="K4986" s="293"/>
      <c r="L4986" s="293"/>
      <c r="M4986" s="293"/>
      <c r="N4986" s="293"/>
      <c r="P4986" s="42">
        <v>15300</v>
      </c>
      <c r="R4986" s="42">
        <v>540</v>
      </c>
      <c r="T4986" s="284">
        <v>14760</v>
      </c>
      <c r="U4986" s="284"/>
    </row>
    <row r="4987" spans="2:21" x14ac:dyDescent="0.25">
      <c r="B4987" s="292">
        <v>67</v>
      </c>
      <c r="C4987" s="292"/>
      <c r="D4987" s="292"/>
      <c r="F4987" s="283" t="s">
        <v>107</v>
      </c>
      <c r="G4987" s="283"/>
      <c r="J4987" s="293">
        <v>50</v>
      </c>
      <c r="K4987" s="293"/>
      <c r="L4987" s="293"/>
      <c r="M4987" s="293"/>
      <c r="N4987" s="293"/>
      <c r="P4987" s="42">
        <v>8500</v>
      </c>
      <c r="R4987" s="42">
        <v>2771</v>
      </c>
      <c r="T4987" s="284">
        <v>5729</v>
      </c>
      <c r="U4987" s="284"/>
    </row>
    <row r="4988" spans="2:21" x14ac:dyDescent="0.25">
      <c r="B4988" s="292">
        <v>68</v>
      </c>
      <c r="C4988" s="292"/>
      <c r="D4988" s="292"/>
      <c r="F4988" s="283" t="s">
        <v>106</v>
      </c>
      <c r="G4988" s="283"/>
      <c r="J4988" s="293">
        <v>141</v>
      </c>
      <c r="K4988" s="293"/>
      <c r="L4988" s="293"/>
      <c r="M4988" s="293"/>
      <c r="N4988" s="293"/>
      <c r="P4988" s="42">
        <v>14100</v>
      </c>
      <c r="R4988" s="42">
        <v>3265</v>
      </c>
      <c r="T4988" s="284">
        <v>10835</v>
      </c>
      <c r="U4988" s="284"/>
    </row>
    <row r="4989" spans="2:21" x14ac:dyDescent="0.25">
      <c r="B4989" s="292">
        <v>69</v>
      </c>
      <c r="C4989" s="292"/>
      <c r="D4989" s="292"/>
      <c r="F4989" s="283" t="s">
        <v>105</v>
      </c>
      <c r="G4989" s="283"/>
      <c r="J4989" s="293">
        <v>4</v>
      </c>
      <c r="K4989" s="293"/>
      <c r="L4989" s="293"/>
      <c r="M4989" s="293"/>
      <c r="N4989" s="293"/>
      <c r="P4989" s="42">
        <v>4600</v>
      </c>
      <c r="R4989" s="42">
        <v>0</v>
      </c>
      <c r="T4989" s="284">
        <v>4600</v>
      </c>
      <c r="U4989" s="284"/>
    </row>
    <row r="4990" spans="2:21" x14ac:dyDescent="0.25">
      <c r="B4990" s="292">
        <v>70</v>
      </c>
      <c r="C4990" s="292"/>
      <c r="D4990" s="292"/>
      <c r="F4990" s="283" t="s">
        <v>104</v>
      </c>
      <c r="G4990" s="283"/>
      <c r="J4990" s="293">
        <v>1</v>
      </c>
      <c r="K4990" s="293"/>
      <c r="L4990" s="293"/>
      <c r="M4990" s="293"/>
      <c r="N4990" s="293"/>
      <c r="P4990" s="42">
        <v>330</v>
      </c>
      <c r="R4990" s="42">
        <v>100</v>
      </c>
      <c r="T4990" s="284">
        <v>230</v>
      </c>
      <c r="U4990" s="284"/>
    </row>
    <row r="4991" spans="2:21" x14ac:dyDescent="0.25">
      <c r="B4991" s="292">
        <v>71</v>
      </c>
      <c r="C4991" s="292"/>
      <c r="D4991" s="292"/>
      <c r="F4991" s="283" t="s">
        <v>103</v>
      </c>
      <c r="G4991" s="283"/>
      <c r="J4991" s="293">
        <v>15</v>
      </c>
      <c r="K4991" s="293"/>
      <c r="L4991" s="293"/>
      <c r="M4991" s="293"/>
      <c r="N4991" s="293"/>
      <c r="P4991" s="42">
        <v>4950</v>
      </c>
      <c r="R4991" s="42">
        <v>1256</v>
      </c>
      <c r="T4991" s="284">
        <v>3694</v>
      </c>
      <c r="U4991" s="284"/>
    </row>
    <row r="4992" spans="2:21" x14ac:dyDescent="0.25">
      <c r="B4992" s="292">
        <v>72</v>
      </c>
      <c r="C4992" s="292"/>
      <c r="D4992" s="292"/>
      <c r="F4992" s="283" t="s">
        <v>102</v>
      </c>
      <c r="G4992" s="283"/>
      <c r="J4992" s="293">
        <v>3</v>
      </c>
      <c r="K4992" s="293"/>
      <c r="L4992" s="293"/>
      <c r="M4992" s="293"/>
      <c r="N4992" s="293"/>
      <c r="P4992" s="42">
        <v>2640</v>
      </c>
      <c r="R4992" s="42">
        <v>130</v>
      </c>
      <c r="T4992" s="284">
        <v>2510</v>
      </c>
      <c r="U4992" s="284"/>
    </row>
    <row r="4993" spans="2:21" x14ac:dyDescent="0.25">
      <c r="B4993" s="292">
        <v>73</v>
      </c>
      <c r="C4993" s="292"/>
      <c r="D4993" s="292"/>
      <c r="F4993" s="283" t="s">
        <v>101</v>
      </c>
      <c r="G4993" s="283"/>
      <c r="J4993" s="293">
        <v>2</v>
      </c>
      <c r="K4993" s="293"/>
      <c r="L4993" s="293"/>
      <c r="M4993" s="293"/>
      <c r="N4993" s="293"/>
      <c r="P4993" s="42">
        <v>920</v>
      </c>
      <c r="R4993" s="42">
        <v>140</v>
      </c>
      <c r="T4993" s="284">
        <v>780</v>
      </c>
      <c r="U4993" s="284"/>
    </row>
    <row r="4994" spans="2:21" x14ac:dyDescent="0.25">
      <c r="B4994" s="292">
        <v>74</v>
      </c>
      <c r="C4994" s="292"/>
      <c r="D4994" s="292"/>
      <c r="F4994" s="283" t="s">
        <v>100</v>
      </c>
      <c r="G4994" s="283"/>
      <c r="J4994" s="293">
        <v>3</v>
      </c>
      <c r="K4994" s="293"/>
      <c r="L4994" s="293"/>
      <c r="M4994" s="293"/>
      <c r="N4994" s="293"/>
      <c r="P4994" s="42">
        <v>540</v>
      </c>
      <c r="R4994" s="42">
        <v>100</v>
      </c>
      <c r="T4994" s="284">
        <v>440</v>
      </c>
      <c r="U4994" s="284"/>
    </row>
    <row r="4995" spans="2:21" x14ac:dyDescent="0.25">
      <c r="B4995" s="292">
        <v>75</v>
      </c>
      <c r="C4995" s="292"/>
      <c r="D4995" s="292"/>
      <c r="F4995" s="283" t="s">
        <v>99</v>
      </c>
      <c r="G4995" s="283"/>
      <c r="J4995" s="293">
        <v>2</v>
      </c>
      <c r="K4995" s="293"/>
      <c r="L4995" s="293"/>
      <c r="M4995" s="293"/>
      <c r="N4995" s="293"/>
      <c r="P4995" s="42">
        <v>1180</v>
      </c>
      <c r="R4995" s="42">
        <v>149</v>
      </c>
      <c r="T4995" s="284">
        <v>1031</v>
      </c>
      <c r="U4995" s="284"/>
    </row>
    <row r="4996" spans="2:21" x14ac:dyDescent="0.25">
      <c r="B4996" s="292">
        <v>76</v>
      </c>
      <c r="C4996" s="292"/>
      <c r="D4996" s="292"/>
      <c r="F4996" s="283" t="s">
        <v>98</v>
      </c>
      <c r="G4996" s="283"/>
      <c r="J4996" s="293">
        <v>3</v>
      </c>
      <c r="K4996" s="293"/>
      <c r="L4996" s="293"/>
      <c r="M4996" s="293"/>
      <c r="N4996" s="293"/>
      <c r="P4996" s="42">
        <v>1710</v>
      </c>
      <c r="R4996" s="42">
        <v>228</v>
      </c>
      <c r="T4996" s="284">
        <v>1482</v>
      </c>
      <c r="U4996" s="284"/>
    </row>
    <row r="4997" spans="2:21" x14ac:dyDescent="0.25">
      <c r="B4997" s="292">
        <v>77</v>
      </c>
      <c r="C4997" s="292"/>
      <c r="D4997" s="292"/>
      <c r="F4997" s="283" t="s">
        <v>97</v>
      </c>
      <c r="G4997" s="283"/>
      <c r="J4997" s="293">
        <v>5</v>
      </c>
      <c r="K4997" s="293"/>
      <c r="L4997" s="293"/>
      <c r="M4997" s="293"/>
      <c r="N4997" s="293"/>
      <c r="P4997" s="42">
        <v>7950</v>
      </c>
      <c r="R4997" s="42">
        <v>1119</v>
      </c>
      <c r="T4997" s="284">
        <v>6831</v>
      </c>
      <c r="U4997" s="284"/>
    </row>
    <row r="4998" spans="2:21" x14ac:dyDescent="0.25">
      <c r="B4998" s="292">
        <v>78</v>
      </c>
      <c r="C4998" s="292"/>
      <c r="D4998" s="292"/>
      <c r="F4998" s="283" t="s">
        <v>96</v>
      </c>
      <c r="G4998" s="283"/>
      <c r="J4998" s="293">
        <v>1</v>
      </c>
      <c r="K4998" s="293"/>
      <c r="L4998" s="293"/>
      <c r="M4998" s="293"/>
      <c r="N4998" s="293"/>
      <c r="P4998" s="42">
        <v>440</v>
      </c>
      <c r="R4998" s="42">
        <v>0</v>
      </c>
      <c r="T4998" s="284">
        <v>440</v>
      </c>
      <c r="U4998" s="284"/>
    </row>
    <row r="4999" spans="2:21" x14ac:dyDescent="0.25">
      <c r="B4999" s="292">
        <v>79</v>
      </c>
      <c r="C4999" s="292"/>
      <c r="D4999" s="292"/>
      <c r="F4999" s="283" t="s">
        <v>95</v>
      </c>
      <c r="G4999" s="283"/>
      <c r="J4999" s="293">
        <v>7</v>
      </c>
      <c r="K4999" s="293"/>
      <c r="L4999" s="293"/>
      <c r="M4999" s="293"/>
      <c r="N4999" s="293"/>
      <c r="P4999" s="42">
        <v>2030</v>
      </c>
      <c r="R4999" s="42">
        <v>560</v>
      </c>
      <c r="T4999" s="284">
        <v>1470</v>
      </c>
      <c r="U4999" s="284"/>
    </row>
    <row r="5000" spans="2:21" x14ac:dyDescent="0.25">
      <c r="B5000" s="292">
        <v>80</v>
      </c>
      <c r="C5000" s="292"/>
      <c r="D5000" s="292"/>
      <c r="F5000" s="283" t="s">
        <v>94</v>
      </c>
      <c r="G5000" s="283"/>
      <c r="J5000" s="293">
        <v>1</v>
      </c>
      <c r="K5000" s="293"/>
      <c r="L5000" s="293"/>
      <c r="M5000" s="293"/>
      <c r="N5000" s="293"/>
      <c r="P5000" s="42">
        <v>1990</v>
      </c>
      <c r="R5000" s="42">
        <v>300</v>
      </c>
      <c r="T5000" s="284">
        <v>1690</v>
      </c>
      <c r="U5000" s="284"/>
    </row>
    <row r="5001" spans="2:21" x14ac:dyDescent="0.25">
      <c r="B5001" s="292">
        <v>81</v>
      </c>
      <c r="C5001" s="292"/>
      <c r="D5001" s="292"/>
      <c r="F5001" s="283" t="s">
        <v>93</v>
      </c>
      <c r="G5001" s="283"/>
      <c r="J5001" s="293">
        <v>5</v>
      </c>
      <c r="K5001" s="293"/>
      <c r="L5001" s="293"/>
      <c r="M5001" s="293"/>
      <c r="N5001" s="293"/>
      <c r="P5001" s="42">
        <v>2950</v>
      </c>
      <c r="R5001" s="42">
        <v>450</v>
      </c>
      <c r="T5001" s="284">
        <v>2500</v>
      </c>
      <c r="U5001" s="284"/>
    </row>
    <row r="5002" spans="2:21" x14ac:dyDescent="0.25">
      <c r="B5002" s="292">
        <v>82</v>
      </c>
      <c r="C5002" s="292"/>
      <c r="D5002" s="292"/>
      <c r="F5002" s="283" t="s">
        <v>92</v>
      </c>
      <c r="G5002" s="283"/>
      <c r="J5002" s="293">
        <v>39</v>
      </c>
      <c r="K5002" s="293"/>
      <c r="L5002" s="293"/>
      <c r="M5002" s="293"/>
      <c r="N5002" s="293"/>
      <c r="P5002" s="42">
        <v>20360</v>
      </c>
      <c r="R5002" s="42">
        <v>4640</v>
      </c>
      <c r="T5002" s="284">
        <v>15720</v>
      </c>
      <c r="U5002" s="284"/>
    </row>
    <row r="5003" spans="2:21" x14ac:dyDescent="0.25">
      <c r="B5003" s="292">
        <v>83</v>
      </c>
      <c r="C5003" s="292"/>
      <c r="D5003" s="292"/>
      <c r="F5003" s="283" t="s">
        <v>91</v>
      </c>
      <c r="G5003" s="283"/>
      <c r="J5003" s="293">
        <v>37</v>
      </c>
      <c r="K5003" s="293"/>
      <c r="L5003" s="293"/>
      <c r="M5003" s="293"/>
      <c r="N5003" s="293"/>
      <c r="P5003" s="42">
        <v>9250</v>
      </c>
      <c r="R5003" s="42">
        <v>2220</v>
      </c>
      <c r="T5003" s="284">
        <v>7030</v>
      </c>
      <c r="U5003" s="284"/>
    </row>
    <row r="5004" spans="2:21" x14ac:dyDescent="0.25">
      <c r="B5004" s="292">
        <v>84</v>
      </c>
      <c r="C5004" s="292"/>
      <c r="D5004" s="292"/>
      <c r="F5004" s="283" t="s">
        <v>90</v>
      </c>
      <c r="G5004" s="283"/>
      <c r="J5004" s="293">
        <v>17</v>
      </c>
      <c r="K5004" s="293"/>
      <c r="L5004" s="293"/>
      <c r="M5004" s="293"/>
      <c r="N5004" s="293"/>
      <c r="P5004" s="42">
        <v>4930</v>
      </c>
      <c r="R5004" s="42">
        <v>1120</v>
      </c>
      <c r="T5004" s="284">
        <v>3810</v>
      </c>
      <c r="U5004" s="284"/>
    </row>
    <row r="5005" spans="2:21" x14ac:dyDescent="0.25">
      <c r="B5005" s="292">
        <v>85</v>
      </c>
      <c r="C5005" s="292"/>
      <c r="D5005" s="292"/>
      <c r="F5005" s="283" t="s">
        <v>89</v>
      </c>
      <c r="G5005" s="283"/>
      <c r="J5005" s="293">
        <v>3</v>
      </c>
      <c r="K5005" s="293"/>
      <c r="L5005" s="293"/>
      <c r="M5005" s="293"/>
      <c r="N5005" s="293"/>
      <c r="P5005" s="42">
        <v>2640</v>
      </c>
      <c r="R5005" s="42">
        <v>390</v>
      </c>
      <c r="T5005" s="284">
        <v>2250</v>
      </c>
      <c r="U5005" s="284"/>
    </row>
    <row r="5006" spans="2:21" x14ac:dyDescent="0.25">
      <c r="B5006" s="292">
        <v>86</v>
      </c>
      <c r="C5006" s="292"/>
      <c r="D5006" s="292"/>
      <c r="F5006" s="283" t="s">
        <v>88</v>
      </c>
      <c r="G5006" s="283"/>
      <c r="J5006" s="293">
        <v>105</v>
      </c>
      <c r="K5006" s="293"/>
      <c r="L5006" s="293"/>
      <c r="M5006" s="293"/>
      <c r="N5006" s="293"/>
      <c r="P5006" s="42">
        <v>18900</v>
      </c>
      <c r="R5006" s="42">
        <v>4993</v>
      </c>
      <c r="T5006" s="284">
        <v>13907</v>
      </c>
      <c r="U5006" s="284"/>
    </row>
    <row r="5007" spans="2:21" x14ac:dyDescent="0.25">
      <c r="B5007" s="292">
        <v>87</v>
      </c>
      <c r="C5007" s="292"/>
      <c r="D5007" s="292"/>
      <c r="F5007" s="283" t="s">
        <v>87</v>
      </c>
      <c r="G5007" s="283"/>
      <c r="J5007" s="293">
        <v>1</v>
      </c>
      <c r="K5007" s="293"/>
      <c r="L5007" s="293"/>
      <c r="M5007" s="293"/>
      <c r="N5007" s="293"/>
      <c r="P5007" s="42">
        <v>290</v>
      </c>
      <c r="R5007" s="42">
        <v>80</v>
      </c>
      <c r="T5007" s="284">
        <v>210</v>
      </c>
      <c r="U5007" s="284"/>
    </row>
    <row r="5008" spans="2:21" x14ac:dyDescent="0.25">
      <c r="B5008" s="292">
        <v>88</v>
      </c>
      <c r="C5008" s="292"/>
      <c r="D5008" s="292"/>
      <c r="F5008" s="283" t="s">
        <v>86</v>
      </c>
      <c r="G5008" s="283"/>
      <c r="J5008" s="293">
        <v>1</v>
      </c>
      <c r="K5008" s="293"/>
      <c r="L5008" s="293"/>
      <c r="M5008" s="293"/>
      <c r="N5008" s="293"/>
      <c r="P5008" s="42">
        <v>1140</v>
      </c>
      <c r="R5008" s="42">
        <v>0</v>
      </c>
      <c r="T5008" s="284">
        <v>1140</v>
      </c>
      <c r="U5008" s="284"/>
    </row>
    <row r="5009" spans="1:21" x14ac:dyDescent="0.25">
      <c r="B5009" s="292">
        <v>89</v>
      </c>
      <c r="C5009" s="292"/>
      <c r="D5009" s="292"/>
      <c r="F5009" s="283" t="s">
        <v>85</v>
      </c>
      <c r="G5009" s="283"/>
      <c r="J5009" s="293">
        <v>14</v>
      </c>
      <c r="K5009" s="293"/>
      <c r="L5009" s="293"/>
      <c r="M5009" s="293"/>
      <c r="N5009" s="293"/>
      <c r="P5009" s="42">
        <v>29120</v>
      </c>
      <c r="R5009" s="42">
        <v>3990</v>
      </c>
      <c r="T5009" s="284">
        <v>25130</v>
      </c>
      <c r="U5009" s="284"/>
    </row>
    <row r="5010" spans="1:21" x14ac:dyDescent="0.25">
      <c r="B5010" s="292">
        <v>90</v>
      </c>
      <c r="C5010" s="292"/>
      <c r="D5010" s="292"/>
      <c r="F5010" s="283" t="s">
        <v>84</v>
      </c>
      <c r="G5010" s="283"/>
      <c r="J5010" s="293">
        <v>1</v>
      </c>
      <c r="K5010" s="293"/>
      <c r="L5010" s="293"/>
      <c r="M5010" s="293"/>
      <c r="N5010" s="293"/>
      <c r="P5010" s="42">
        <v>590</v>
      </c>
      <c r="R5010" s="42">
        <v>180</v>
      </c>
      <c r="T5010" s="284">
        <v>410</v>
      </c>
      <c r="U5010" s="284"/>
    </row>
    <row r="5011" spans="1:21" x14ac:dyDescent="0.25">
      <c r="B5011" s="292">
        <v>91</v>
      </c>
      <c r="C5011" s="292"/>
      <c r="D5011" s="292"/>
      <c r="F5011" s="283" t="s">
        <v>83</v>
      </c>
      <c r="G5011" s="283"/>
      <c r="J5011" s="293">
        <v>1</v>
      </c>
      <c r="K5011" s="293"/>
      <c r="L5011" s="293"/>
      <c r="M5011" s="293"/>
      <c r="N5011" s="293"/>
      <c r="P5011" s="42">
        <v>500</v>
      </c>
      <c r="R5011" s="42">
        <v>150</v>
      </c>
      <c r="T5011" s="284">
        <v>350</v>
      </c>
      <c r="U5011" s="284"/>
    </row>
    <row r="5012" spans="1:21" x14ac:dyDescent="0.25">
      <c r="B5012" s="292">
        <v>92</v>
      </c>
      <c r="C5012" s="292"/>
      <c r="D5012" s="292"/>
      <c r="F5012" s="283" t="s">
        <v>82</v>
      </c>
      <c r="G5012" s="283"/>
      <c r="J5012" s="293">
        <v>1</v>
      </c>
      <c r="K5012" s="293"/>
      <c r="L5012" s="293"/>
      <c r="M5012" s="293"/>
      <c r="N5012" s="293"/>
      <c r="P5012" s="42">
        <v>290</v>
      </c>
      <c r="R5012" s="42">
        <v>290</v>
      </c>
      <c r="T5012" s="284">
        <v>0</v>
      </c>
      <c r="U5012" s="284"/>
    </row>
    <row r="5013" spans="1:21" x14ac:dyDescent="0.25">
      <c r="B5013" s="292">
        <v>93</v>
      </c>
      <c r="C5013" s="292"/>
      <c r="D5013" s="292"/>
      <c r="F5013" s="283" t="s">
        <v>81</v>
      </c>
      <c r="G5013" s="283"/>
      <c r="J5013" s="293">
        <v>14</v>
      </c>
      <c r="K5013" s="293"/>
      <c r="L5013" s="293"/>
      <c r="M5013" s="293"/>
      <c r="N5013" s="293"/>
      <c r="P5013" s="42">
        <v>4060</v>
      </c>
      <c r="R5013" s="42">
        <v>880</v>
      </c>
      <c r="T5013" s="284">
        <v>3180</v>
      </c>
      <c r="U5013" s="284"/>
    </row>
    <row r="5014" spans="1:21" s="40" customFormat="1" x14ac:dyDescent="0.25">
      <c r="A5014" s="290" t="s">
        <v>80</v>
      </c>
      <c r="B5014" s="290"/>
      <c r="C5014" s="290"/>
      <c r="D5014" s="290"/>
      <c r="E5014" s="290"/>
      <c r="F5014" s="290"/>
      <c r="G5014" s="290"/>
      <c r="H5014" s="290"/>
      <c r="I5014" s="290"/>
      <c r="J5014" s="290"/>
      <c r="K5014" s="291">
        <v>1610</v>
      </c>
      <c r="L5014" s="291"/>
      <c r="M5014" s="291"/>
      <c r="N5014" s="291"/>
      <c r="O5014" s="291"/>
      <c r="P5014" s="41">
        <v>3240860</v>
      </c>
      <c r="R5014" s="41">
        <v>3240510</v>
      </c>
      <c r="T5014" s="287">
        <v>350</v>
      </c>
      <c r="U5014" s="287"/>
    </row>
    <row r="5015" spans="1:21" x14ac:dyDescent="0.25">
      <c r="B5015" s="292">
        <v>1</v>
      </c>
      <c r="C5015" s="292"/>
      <c r="D5015" s="292"/>
      <c r="F5015" s="283" t="s">
        <v>79</v>
      </c>
      <c r="G5015" s="283"/>
      <c r="J5015" s="293">
        <v>1</v>
      </c>
      <c r="K5015" s="293"/>
      <c r="L5015" s="293"/>
      <c r="M5015" s="293"/>
      <c r="N5015" s="293"/>
      <c r="P5015" s="42">
        <v>500</v>
      </c>
      <c r="R5015" s="42">
        <v>150</v>
      </c>
      <c r="T5015" s="284">
        <v>350</v>
      </c>
      <c r="U5015" s="284"/>
    </row>
    <row r="5016" spans="1:21" x14ac:dyDescent="0.25">
      <c r="B5016" s="292">
        <v>2</v>
      </c>
      <c r="C5016" s="292"/>
      <c r="D5016" s="292"/>
      <c r="F5016" s="283" t="s">
        <v>78</v>
      </c>
      <c r="G5016" s="283"/>
      <c r="J5016" s="293">
        <v>189</v>
      </c>
      <c r="K5016" s="293"/>
      <c r="L5016" s="293"/>
      <c r="M5016" s="293"/>
      <c r="N5016" s="293"/>
      <c r="P5016" s="42">
        <v>54810</v>
      </c>
      <c r="R5016" s="42">
        <v>54810</v>
      </c>
      <c r="T5016" s="284">
        <v>0</v>
      </c>
      <c r="U5016" s="284"/>
    </row>
    <row r="5017" spans="1:21" x14ac:dyDescent="0.25">
      <c r="B5017" s="292">
        <v>3</v>
      </c>
      <c r="C5017" s="292"/>
      <c r="D5017" s="292"/>
      <c r="F5017" s="283" t="s">
        <v>77</v>
      </c>
      <c r="G5017" s="283"/>
      <c r="J5017" s="293">
        <v>37</v>
      </c>
      <c r="K5017" s="293"/>
      <c r="L5017" s="293"/>
      <c r="M5017" s="293"/>
      <c r="N5017" s="293"/>
      <c r="P5017" s="42">
        <v>14800</v>
      </c>
      <c r="R5017" s="42">
        <v>14800</v>
      </c>
      <c r="T5017" s="284">
        <v>0</v>
      </c>
      <c r="U5017" s="284"/>
    </row>
    <row r="5018" spans="1:21" x14ac:dyDescent="0.25">
      <c r="B5018" s="292">
        <v>4</v>
      </c>
      <c r="C5018" s="292"/>
      <c r="D5018" s="292"/>
      <c r="F5018" s="283" t="s">
        <v>76</v>
      </c>
      <c r="G5018" s="283"/>
      <c r="J5018" s="293">
        <v>148</v>
      </c>
      <c r="K5018" s="293"/>
      <c r="L5018" s="293"/>
      <c r="M5018" s="293"/>
      <c r="N5018" s="293"/>
      <c r="P5018" s="42">
        <v>88200</v>
      </c>
      <c r="R5018" s="42">
        <v>88200</v>
      </c>
      <c r="T5018" s="284">
        <v>0</v>
      </c>
      <c r="U5018" s="284"/>
    </row>
    <row r="5019" spans="1:21" x14ac:dyDescent="0.25">
      <c r="B5019" s="292">
        <v>5</v>
      </c>
      <c r="C5019" s="292"/>
      <c r="D5019" s="292"/>
      <c r="F5019" s="283" t="s">
        <v>75</v>
      </c>
      <c r="G5019" s="283"/>
      <c r="J5019" s="293">
        <v>1232</v>
      </c>
      <c r="K5019" s="293"/>
      <c r="L5019" s="293"/>
      <c r="M5019" s="293"/>
      <c r="N5019" s="293"/>
      <c r="P5019" s="42">
        <v>3080000</v>
      </c>
      <c r="R5019" s="42">
        <v>3080000</v>
      </c>
      <c r="T5019" s="284">
        <v>0</v>
      </c>
      <c r="U5019" s="284"/>
    </row>
    <row r="5020" spans="1:21" x14ac:dyDescent="0.25">
      <c r="B5020" s="292">
        <v>6</v>
      </c>
      <c r="C5020" s="292"/>
      <c r="D5020" s="292"/>
      <c r="F5020" s="283" t="s">
        <v>74</v>
      </c>
      <c r="G5020" s="283"/>
      <c r="J5020" s="293">
        <v>3</v>
      </c>
      <c r="K5020" s="293"/>
      <c r="L5020" s="293"/>
      <c r="M5020" s="293"/>
      <c r="N5020" s="293"/>
      <c r="P5020" s="42">
        <v>2550</v>
      </c>
      <c r="R5020" s="42">
        <v>2550</v>
      </c>
      <c r="T5020" s="284">
        <v>0</v>
      </c>
      <c r="U5020" s="284"/>
    </row>
    <row r="5021" spans="1:21" ht="9.75" customHeight="1" x14ac:dyDescent="0.25"/>
    <row r="5022" spans="1:21" s="40" customFormat="1" ht="17.25" customHeight="1" x14ac:dyDescent="0.25">
      <c r="B5022" s="286" t="s">
        <v>73</v>
      </c>
      <c r="C5022" s="286"/>
      <c r="D5022" s="286"/>
      <c r="E5022" s="286"/>
      <c r="F5022" s="286"/>
      <c r="G5022" s="286"/>
      <c r="H5022" s="286"/>
      <c r="I5022" s="286"/>
      <c r="J5022" s="286"/>
      <c r="K5022" s="286"/>
      <c r="L5022" s="286"/>
      <c r="M5022" s="286"/>
      <c r="N5022" s="286"/>
      <c r="P5022" s="41">
        <v>297315900</v>
      </c>
      <c r="R5022" s="41">
        <v>258400282</v>
      </c>
      <c r="T5022" s="287">
        <v>38916383</v>
      </c>
      <c r="U5022" s="287"/>
    </row>
    <row r="5023" spans="1:21" ht="9" customHeight="1" x14ac:dyDescent="0.25"/>
    <row r="5024" spans="1:21" ht="261" customHeight="1" x14ac:dyDescent="0.25"/>
    <row r="5025" spans="18:21" ht="6" customHeight="1" x14ac:dyDescent="0.25"/>
    <row r="5026" spans="18:21" x14ac:dyDescent="0.25">
      <c r="R5026" s="294" t="s">
        <v>72</v>
      </c>
      <c r="S5026" s="294"/>
      <c r="T5026" s="294"/>
      <c r="U5026" s="294"/>
    </row>
  </sheetData>
  <mergeCells count="19714">
    <mergeCell ref="T5020:U5020"/>
    <mergeCell ref="B5017:D5017"/>
    <mergeCell ref="F5017:G5017"/>
    <mergeCell ref="J5017:N5017"/>
    <mergeCell ref="T5017:U5017"/>
    <mergeCell ref="B5018:D5018"/>
    <mergeCell ref="F5018:G5018"/>
    <mergeCell ref="J5018:N5018"/>
    <mergeCell ref="T5018:U5018"/>
    <mergeCell ref="B5022:N5022"/>
    <mergeCell ref="T5022:U5022"/>
    <mergeCell ref="R5026:U5026"/>
    <mergeCell ref="B5019:D5019"/>
    <mergeCell ref="F5019:G5019"/>
    <mergeCell ref="J5019:N5019"/>
    <mergeCell ref="T5019:U5019"/>
    <mergeCell ref="B5020:D5020"/>
    <mergeCell ref="F5020:G5020"/>
    <mergeCell ref="J5020:N5020"/>
    <mergeCell ref="B5008:D5008"/>
    <mergeCell ref="F5008:G5008"/>
    <mergeCell ref="J5008:N5008"/>
    <mergeCell ref="T5008:U5008"/>
    <mergeCell ref="B5009:D5009"/>
    <mergeCell ref="F5009:G5009"/>
    <mergeCell ref="J5009:N5009"/>
    <mergeCell ref="T5009:U5009"/>
    <mergeCell ref="B5010:D5010"/>
    <mergeCell ref="F5010:G5010"/>
    <mergeCell ref="J5010:N5010"/>
    <mergeCell ref="T5010:U5010"/>
    <mergeCell ref="B5011:D5011"/>
    <mergeCell ref="F5011:G5011"/>
    <mergeCell ref="J5011:N5011"/>
    <mergeCell ref="T5011:U5011"/>
    <mergeCell ref="B5012:D5012"/>
    <mergeCell ref="F5012:G5012"/>
    <mergeCell ref="J5012:N5012"/>
    <mergeCell ref="T5012:U5012"/>
    <mergeCell ref="B5013:D5013"/>
    <mergeCell ref="F5013:G5013"/>
    <mergeCell ref="J5013:N5013"/>
    <mergeCell ref="T5013:U5013"/>
    <mergeCell ref="A5014:J5014"/>
    <mergeCell ref="K5014:O5014"/>
    <mergeCell ref="T5014:U5014"/>
    <mergeCell ref="B5015:D5015"/>
    <mergeCell ref="F5015:G5015"/>
    <mergeCell ref="J5015:N5015"/>
    <mergeCell ref="T5015:U5015"/>
    <mergeCell ref="B5016:D5016"/>
    <mergeCell ref="F5016:G5016"/>
    <mergeCell ref="J5016:N5016"/>
    <mergeCell ref="T5016:U5016"/>
    <mergeCell ref="B4999:D4999"/>
    <mergeCell ref="F4999:G4999"/>
    <mergeCell ref="J4999:N4999"/>
    <mergeCell ref="T4999:U4999"/>
    <mergeCell ref="B5000:D5000"/>
    <mergeCell ref="F5000:G5000"/>
    <mergeCell ref="J5000:N5000"/>
    <mergeCell ref="T5000:U5000"/>
    <mergeCell ref="B5001:D5001"/>
    <mergeCell ref="F5001:G5001"/>
    <mergeCell ref="J5001:N5001"/>
    <mergeCell ref="T5001:U5001"/>
    <mergeCell ref="B5002:D5002"/>
    <mergeCell ref="F5002:G5002"/>
    <mergeCell ref="J5002:N5002"/>
    <mergeCell ref="T5002:U5002"/>
    <mergeCell ref="B5003:D5003"/>
    <mergeCell ref="F5003:G5003"/>
    <mergeCell ref="J5003:N5003"/>
    <mergeCell ref="T5003:U5003"/>
    <mergeCell ref="B5004:D5004"/>
    <mergeCell ref="F5004:G5004"/>
    <mergeCell ref="J5004:N5004"/>
    <mergeCell ref="T5004:U5004"/>
    <mergeCell ref="B5005:D5005"/>
    <mergeCell ref="F5005:G5005"/>
    <mergeCell ref="J5005:N5005"/>
    <mergeCell ref="T5005:U5005"/>
    <mergeCell ref="B5006:D5006"/>
    <mergeCell ref="F5006:G5006"/>
    <mergeCell ref="J5006:N5006"/>
    <mergeCell ref="T5006:U5006"/>
    <mergeCell ref="B5007:D5007"/>
    <mergeCell ref="F5007:G5007"/>
    <mergeCell ref="J5007:N5007"/>
    <mergeCell ref="T5007:U5007"/>
    <mergeCell ref="B4990:D4990"/>
    <mergeCell ref="F4990:G4990"/>
    <mergeCell ref="J4990:N4990"/>
    <mergeCell ref="T4990:U4990"/>
    <mergeCell ref="B4991:D4991"/>
    <mergeCell ref="F4991:G4991"/>
    <mergeCell ref="J4991:N4991"/>
    <mergeCell ref="T4991:U4991"/>
    <mergeCell ref="B4992:D4992"/>
    <mergeCell ref="F4992:G4992"/>
    <mergeCell ref="J4992:N4992"/>
    <mergeCell ref="T4992:U4992"/>
    <mergeCell ref="B4993:D4993"/>
    <mergeCell ref="F4993:G4993"/>
    <mergeCell ref="J4993:N4993"/>
    <mergeCell ref="T4993:U4993"/>
    <mergeCell ref="B4994:D4994"/>
    <mergeCell ref="F4994:G4994"/>
    <mergeCell ref="J4994:N4994"/>
    <mergeCell ref="T4994:U4994"/>
    <mergeCell ref="B4995:D4995"/>
    <mergeCell ref="F4995:G4995"/>
    <mergeCell ref="J4995:N4995"/>
    <mergeCell ref="T4995:U4995"/>
    <mergeCell ref="B4996:D4996"/>
    <mergeCell ref="F4996:G4996"/>
    <mergeCell ref="J4996:N4996"/>
    <mergeCell ref="T4996:U4996"/>
    <mergeCell ref="B4997:D4997"/>
    <mergeCell ref="F4997:G4997"/>
    <mergeCell ref="J4997:N4997"/>
    <mergeCell ref="T4997:U4997"/>
    <mergeCell ref="B4998:D4998"/>
    <mergeCell ref="F4998:G4998"/>
    <mergeCell ref="J4998:N4998"/>
    <mergeCell ref="T4998:U4998"/>
    <mergeCell ref="B4980:D4980"/>
    <mergeCell ref="F4980:G4981"/>
    <mergeCell ref="J4980:N4980"/>
    <mergeCell ref="T4980:U4980"/>
    <mergeCell ref="B4982:D4982"/>
    <mergeCell ref="F4982:G4982"/>
    <mergeCell ref="J4982:N4982"/>
    <mergeCell ref="T4982:U4982"/>
    <mergeCell ref="B4983:D4983"/>
    <mergeCell ref="F4983:G4983"/>
    <mergeCell ref="J4983:N4983"/>
    <mergeCell ref="T4983:U4983"/>
    <mergeCell ref="B4984:D4984"/>
    <mergeCell ref="F4984:G4984"/>
    <mergeCell ref="J4984:N4984"/>
    <mergeCell ref="T4984:U4984"/>
    <mergeCell ref="B4985:D4985"/>
    <mergeCell ref="F4985:G4985"/>
    <mergeCell ref="J4985:N4985"/>
    <mergeCell ref="T4985:U4985"/>
    <mergeCell ref="B4986:D4986"/>
    <mergeCell ref="F4986:G4986"/>
    <mergeCell ref="J4986:N4986"/>
    <mergeCell ref="T4986:U4986"/>
    <mergeCell ref="B4987:D4987"/>
    <mergeCell ref="F4987:G4987"/>
    <mergeCell ref="J4987:N4987"/>
    <mergeCell ref="T4987:U4987"/>
    <mergeCell ref="B4988:D4988"/>
    <mergeCell ref="F4988:G4988"/>
    <mergeCell ref="J4988:N4988"/>
    <mergeCell ref="T4988:U4988"/>
    <mergeCell ref="B4989:D4989"/>
    <mergeCell ref="F4989:G4989"/>
    <mergeCell ref="J4989:N4989"/>
    <mergeCell ref="T4989:U4989"/>
    <mergeCell ref="B4970:D4970"/>
    <mergeCell ref="F4970:G4970"/>
    <mergeCell ref="J4970:N4970"/>
    <mergeCell ref="T4970:U4970"/>
    <mergeCell ref="B4971:D4971"/>
    <mergeCell ref="F4971:G4971"/>
    <mergeCell ref="J4971:N4971"/>
    <mergeCell ref="T4971:U4971"/>
    <mergeCell ref="B4972:D4972"/>
    <mergeCell ref="F4972:G4972"/>
    <mergeCell ref="J4972:N4972"/>
    <mergeCell ref="T4972:U4972"/>
    <mergeCell ref="B4973:D4973"/>
    <mergeCell ref="F4973:G4973"/>
    <mergeCell ref="J4973:N4973"/>
    <mergeCell ref="T4973:U4973"/>
    <mergeCell ref="B4974:D4974"/>
    <mergeCell ref="F4974:G4974"/>
    <mergeCell ref="J4974:N4974"/>
    <mergeCell ref="T4974:U4974"/>
    <mergeCell ref="B4975:D4975"/>
    <mergeCell ref="F4975:G4975"/>
    <mergeCell ref="J4975:N4975"/>
    <mergeCell ref="T4975:U4975"/>
    <mergeCell ref="B4976:D4976"/>
    <mergeCell ref="F4976:G4977"/>
    <mergeCell ref="J4976:N4976"/>
    <mergeCell ref="T4976:U4976"/>
    <mergeCell ref="B4978:D4978"/>
    <mergeCell ref="F4978:G4978"/>
    <mergeCell ref="J4978:N4978"/>
    <mergeCell ref="T4978:U4978"/>
    <mergeCell ref="B4979:D4979"/>
    <mergeCell ref="F4979:G4979"/>
    <mergeCell ref="J4979:N4979"/>
    <mergeCell ref="T4979:U4979"/>
    <mergeCell ref="B4961:D4961"/>
    <mergeCell ref="F4961:G4961"/>
    <mergeCell ref="J4961:N4961"/>
    <mergeCell ref="T4961:U4961"/>
    <mergeCell ref="B4962:D4962"/>
    <mergeCell ref="F4962:G4962"/>
    <mergeCell ref="J4962:N4962"/>
    <mergeCell ref="T4962:U4962"/>
    <mergeCell ref="B4963:D4963"/>
    <mergeCell ref="F4963:G4963"/>
    <mergeCell ref="J4963:N4963"/>
    <mergeCell ref="T4963:U4963"/>
    <mergeCell ref="B4964:D4964"/>
    <mergeCell ref="F4964:G4964"/>
    <mergeCell ref="J4964:N4964"/>
    <mergeCell ref="T4964:U4964"/>
    <mergeCell ref="B4965:D4965"/>
    <mergeCell ref="F4965:G4965"/>
    <mergeCell ref="J4965:N4965"/>
    <mergeCell ref="T4965:U4965"/>
    <mergeCell ref="B4966:D4966"/>
    <mergeCell ref="F4966:G4966"/>
    <mergeCell ref="J4966:N4966"/>
    <mergeCell ref="T4966:U4966"/>
    <mergeCell ref="B4967:D4967"/>
    <mergeCell ref="F4967:G4967"/>
    <mergeCell ref="J4967:N4967"/>
    <mergeCell ref="T4967:U4967"/>
    <mergeCell ref="B4968:D4968"/>
    <mergeCell ref="F4968:G4968"/>
    <mergeCell ref="J4968:N4968"/>
    <mergeCell ref="T4968:U4968"/>
    <mergeCell ref="B4969:D4969"/>
    <mergeCell ref="F4969:G4969"/>
    <mergeCell ref="J4969:N4969"/>
    <mergeCell ref="T4969:U4969"/>
    <mergeCell ref="B4952:D4952"/>
    <mergeCell ref="F4952:G4952"/>
    <mergeCell ref="J4952:N4952"/>
    <mergeCell ref="T4952:U4952"/>
    <mergeCell ref="B4953:D4953"/>
    <mergeCell ref="F4953:G4953"/>
    <mergeCell ref="J4953:N4953"/>
    <mergeCell ref="T4953:U4953"/>
    <mergeCell ref="B4954:D4954"/>
    <mergeCell ref="F4954:G4954"/>
    <mergeCell ref="J4954:N4954"/>
    <mergeCell ref="T4954:U4954"/>
    <mergeCell ref="B4955:D4955"/>
    <mergeCell ref="F4955:G4955"/>
    <mergeCell ref="J4955:N4955"/>
    <mergeCell ref="T4955:U4955"/>
    <mergeCell ref="B4956:D4956"/>
    <mergeCell ref="F4956:G4956"/>
    <mergeCell ref="J4956:N4956"/>
    <mergeCell ref="T4956:U4956"/>
    <mergeCell ref="B4957:D4957"/>
    <mergeCell ref="F4957:G4957"/>
    <mergeCell ref="J4957:N4957"/>
    <mergeCell ref="T4957:U4957"/>
    <mergeCell ref="B4958:D4958"/>
    <mergeCell ref="F4958:G4958"/>
    <mergeCell ref="J4958:N4958"/>
    <mergeCell ref="T4958:U4958"/>
    <mergeCell ref="B4959:D4959"/>
    <mergeCell ref="F4959:G4959"/>
    <mergeCell ref="J4959:N4959"/>
    <mergeCell ref="T4959:U4959"/>
    <mergeCell ref="B4960:D4960"/>
    <mergeCell ref="F4960:G4960"/>
    <mergeCell ref="J4960:N4960"/>
    <mergeCell ref="T4960:U4960"/>
    <mergeCell ref="B4943:D4943"/>
    <mergeCell ref="F4943:G4943"/>
    <mergeCell ref="J4943:N4943"/>
    <mergeCell ref="T4943:U4943"/>
    <mergeCell ref="B4944:D4944"/>
    <mergeCell ref="F4944:G4944"/>
    <mergeCell ref="J4944:N4944"/>
    <mergeCell ref="T4944:U4944"/>
    <mergeCell ref="B4945:D4945"/>
    <mergeCell ref="F4945:G4945"/>
    <mergeCell ref="J4945:N4945"/>
    <mergeCell ref="T4945:U4945"/>
    <mergeCell ref="B4946:D4946"/>
    <mergeCell ref="F4946:G4946"/>
    <mergeCell ref="J4946:N4946"/>
    <mergeCell ref="T4946:U4946"/>
    <mergeCell ref="B4947:D4947"/>
    <mergeCell ref="F4947:G4947"/>
    <mergeCell ref="J4947:N4947"/>
    <mergeCell ref="T4947:U4947"/>
    <mergeCell ref="B4948:D4948"/>
    <mergeCell ref="F4948:G4948"/>
    <mergeCell ref="J4948:N4948"/>
    <mergeCell ref="T4948:U4948"/>
    <mergeCell ref="B4949:D4949"/>
    <mergeCell ref="F4949:G4949"/>
    <mergeCell ref="J4949:N4949"/>
    <mergeCell ref="T4949:U4949"/>
    <mergeCell ref="B4950:D4950"/>
    <mergeCell ref="F4950:G4950"/>
    <mergeCell ref="J4950:N4950"/>
    <mergeCell ref="T4950:U4950"/>
    <mergeCell ref="B4951:D4951"/>
    <mergeCell ref="F4951:G4951"/>
    <mergeCell ref="J4951:N4951"/>
    <mergeCell ref="T4951:U4951"/>
    <mergeCell ref="B4934:D4934"/>
    <mergeCell ref="F4934:G4934"/>
    <mergeCell ref="J4934:N4934"/>
    <mergeCell ref="T4934:U4934"/>
    <mergeCell ref="B4935:D4935"/>
    <mergeCell ref="F4935:G4935"/>
    <mergeCell ref="J4935:N4935"/>
    <mergeCell ref="T4935:U4935"/>
    <mergeCell ref="B4936:D4936"/>
    <mergeCell ref="F4936:G4936"/>
    <mergeCell ref="J4936:N4936"/>
    <mergeCell ref="T4936:U4936"/>
    <mergeCell ref="B4937:D4937"/>
    <mergeCell ref="F4937:G4937"/>
    <mergeCell ref="J4937:N4937"/>
    <mergeCell ref="T4937:U4937"/>
    <mergeCell ref="B4938:D4938"/>
    <mergeCell ref="F4938:G4938"/>
    <mergeCell ref="J4938:N4938"/>
    <mergeCell ref="T4938:U4938"/>
    <mergeCell ref="B4939:D4939"/>
    <mergeCell ref="F4939:G4939"/>
    <mergeCell ref="J4939:N4939"/>
    <mergeCell ref="T4939:U4939"/>
    <mergeCell ref="B4940:D4940"/>
    <mergeCell ref="F4940:G4940"/>
    <mergeCell ref="J4940:N4940"/>
    <mergeCell ref="T4940:U4940"/>
    <mergeCell ref="B4941:D4941"/>
    <mergeCell ref="F4941:G4941"/>
    <mergeCell ref="J4941:N4941"/>
    <mergeCell ref="T4941:U4941"/>
    <mergeCell ref="B4942:D4942"/>
    <mergeCell ref="F4942:G4942"/>
    <mergeCell ref="J4942:N4942"/>
    <mergeCell ref="T4942:U4942"/>
    <mergeCell ref="B4925:D4925"/>
    <mergeCell ref="F4925:G4925"/>
    <mergeCell ref="J4925:N4925"/>
    <mergeCell ref="T4925:U4925"/>
    <mergeCell ref="B4926:D4926"/>
    <mergeCell ref="F4926:G4926"/>
    <mergeCell ref="J4926:N4926"/>
    <mergeCell ref="T4926:U4926"/>
    <mergeCell ref="B4927:D4927"/>
    <mergeCell ref="F4927:G4927"/>
    <mergeCell ref="J4927:N4927"/>
    <mergeCell ref="T4927:U4927"/>
    <mergeCell ref="B4928:D4928"/>
    <mergeCell ref="F4928:G4928"/>
    <mergeCell ref="J4928:N4928"/>
    <mergeCell ref="T4928:U4928"/>
    <mergeCell ref="B4929:D4929"/>
    <mergeCell ref="F4929:G4929"/>
    <mergeCell ref="J4929:N4929"/>
    <mergeCell ref="T4929:U4929"/>
    <mergeCell ref="B4930:D4930"/>
    <mergeCell ref="F4930:G4930"/>
    <mergeCell ref="J4930:N4930"/>
    <mergeCell ref="T4930:U4930"/>
    <mergeCell ref="B4931:D4931"/>
    <mergeCell ref="F4931:G4931"/>
    <mergeCell ref="J4931:N4931"/>
    <mergeCell ref="T4931:U4931"/>
    <mergeCell ref="B4932:D4932"/>
    <mergeCell ref="F4932:G4932"/>
    <mergeCell ref="J4932:N4932"/>
    <mergeCell ref="T4932:U4932"/>
    <mergeCell ref="B4933:D4933"/>
    <mergeCell ref="F4933:G4933"/>
    <mergeCell ref="J4933:N4933"/>
    <mergeCell ref="T4933:U4933"/>
    <mergeCell ref="B4916:D4916"/>
    <mergeCell ref="F4916:G4916"/>
    <mergeCell ref="J4916:N4916"/>
    <mergeCell ref="T4916:U4916"/>
    <mergeCell ref="B4917:D4917"/>
    <mergeCell ref="F4917:G4917"/>
    <mergeCell ref="J4917:N4917"/>
    <mergeCell ref="T4917:U4917"/>
    <mergeCell ref="A4918:J4918"/>
    <mergeCell ref="K4918:O4918"/>
    <mergeCell ref="T4918:U4918"/>
    <mergeCell ref="B4919:D4919"/>
    <mergeCell ref="F4919:G4919"/>
    <mergeCell ref="J4919:N4919"/>
    <mergeCell ref="T4919:U4919"/>
    <mergeCell ref="B4920:D4920"/>
    <mergeCell ref="F4920:G4920"/>
    <mergeCell ref="J4920:N4920"/>
    <mergeCell ref="T4920:U4920"/>
    <mergeCell ref="B4921:D4921"/>
    <mergeCell ref="F4921:G4921"/>
    <mergeCell ref="J4921:N4921"/>
    <mergeCell ref="T4921:U4921"/>
    <mergeCell ref="B4922:D4922"/>
    <mergeCell ref="F4922:G4922"/>
    <mergeCell ref="J4922:N4922"/>
    <mergeCell ref="T4922:U4922"/>
    <mergeCell ref="B4923:D4923"/>
    <mergeCell ref="F4923:G4923"/>
    <mergeCell ref="J4923:N4923"/>
    <mergeCell ref="T4923:U4923"/>
    <mergeCell ref="B4924:D4924"/>
    <mergeCell ref="F4924:G4924"/>
    <mergeCell ref="J4924:N4924"/>
    <mergeCell ref="T4924:U4924"/>
    <mergeCell ref="B4907:D4907"/>
    <mergeCell ref="F4907:G4907"/>
    <mergeCell ref="J4907:N4907"/>
    <mergeCell ref="T4907:U4907"/>
    <mergeCell ref="B4908:D4908"/>
    <mergeCell ref="F4908:G4908"/>
    <mergeCell ref="J4908:N4908"/>
    <mergeCell ref="T4908:U4908"/>
    <mergeCell ref="B4909:D4909"/>
    <mergeCell ref="F4909:G4909"/>
    <mergeCell ref="J4909:N4909"/>
    <mergeCell ref="T4909:U4909"/>
    <mergeCell ref="B4910:D4910"/>
    <mergeCell ref="F4910:G4910"/>
    <mergeCell ref="J4910:N4910"/>
    <mergeCell ref="T4910:U4910"/>
    <mergeCell ref="B4911:D4911"/>
    <mergeCell ref="F4911:G4911"/>
    <mergeCell ref="J4911:N4911"/>
    <mergeCell ref="T4911:U4911"/>
    <mergeCell ref="B4912:D4912"/>
    <mergeCell ref="F4912:G4912"/>
    <mergeCell ref="J4912:N4912"/>
    <mergeCell ref="T4912:U4912"/>
    <mergeCell ref="B4913:D4913"/>
    <mergeCell ref="F4913:G4913"/>
    <mergeCell ref="J4913:N4913"/>
    <mergeCell ref="T4913:U4913"/>
    <mergeCell ref="B4914:D4914"/>
    <mergeCell ref="F4914:G4914"/>
    <mergeCell ref="J4914:N4914"/>
    <mergeCell ref="T4914:U4914"/>
    <mergeCell ref="B4915:D4915"/>
    <mergeCell ref="F4915:G4915"/>
    <mergeCell ref="J4915:N4915"/>
    <mergeCell ref="T4915:U4915"/>
    <mergeCell ref="B4898:D4898"/>
    <mergeCell ref="F4898:G4898"/>
    <mergeCell ref="J4898:N4898"/>
    <mergeCell ref="T4898:U4898"/>
    <mergeCell ref="B4899:D4899"/>
    <mergeCell ref="F4899:G4899"/>
    <mergeCell ref="J4899:N4899"/>
    <mergeCell ref="T4899:U4899"/>
    <mergeCell ref="B4900:D4900"/>
    <mergeCell ref="F4900:G4900"/>
    <mergeCell ref="J4900:N4900"/>
    <mergeCell ref="T4900:U4900"/>
    <mergeCell ref="B4901:D4901"/>
    <mergeCell ref="F4901:G4901"/>
    <mergeCell ref="J4901:N4901"/>
    <mergeCell ref="T4901:U4901"/>
    <mergeCell ref="B4902:D4902"/>
    <mergeCell ref="F4902:G4902"/>
    <mergeCell ref="J4902:N4902"/>
    <mergeCell ref="T4902:U4902"/>
    <mergeCell ref="B4903:D4903"/>
    <mergeCell ref="F4903:G4903"/>
    <mergeCell ref="J4903:N4903"/>
    <mergeCell ref="T4903:U4903"/>
    <mergeCell ref="B4904:D4904"/>
    <mergeCell ref="F4904:G4904"/>
    <mergeCell ref="J4904:N4904"/>
    <mergeCell ref="T4904:U4904"/>
    <mergeCell ref="B4905:D4905"/>
    <mergeCell ref="F4905:G4905"/>
    <mergeCell ref="J4905:N4905"/>
    <mergeCell ref="T4905:U4905"/>
    <mergeCell ref="B4906:D4906"/>
    <mergeCell ref="F4906:G4906"/>
    <mergeCell ref="J4906:N4906"/>
    <mergeCell ref="T4906:U4906"/>
    <mergeCell ref="B4889:D4889"/>
    <mergeCell ref="F4889:G4889"/>
    <mergeCell ref="J4889:N4889"/>
    <mergeCell ref="T4889:U4889"/>
    <mergeCell ref="B4890:D4890"/>
    <mergeCell ref="F4890:G4890"/>
    <mergeCell ref="J4890:N4890"/>
    <mergeCell ref="T4890:U4890"/>
    <mergeCell ref="B4891:D4891"/>
    <mergeCell ref="F4891:G4891"/>
    <mergeCell ref="J4891:N4891"/>
    <mergeCell ref="T4891:U4891"/>
    <mergeCell ref="A4892:J4892"/>
    <mergeCell ref="K4892:O4892"/>
    <mergeCell ref="T4892:U4892"/>
    <mergeCell ref="B4893:D4893"/>
    <mergeCell ref="F4893:G4893"/>
    <mergeCell ref="J4893:N4893"/>
    <mergeCell ref="T4893:U4893"/>
    <mergeCell ref="B4894:D4894"/>
    <mergeCell ref="F4894:G4894"/>
    <mergeCell ref="J4894:N4894"/>
    <mergeCell ref="T4894:U4894"/>
    <mergeCell ref="B4895:D4895"/>
    <mergeCell ref="F4895:G4895"/>
    <mergeCell ref="J4895:N4895"/>
    <mergeCell ref="T4895:U4895"/>
    <mergeCell ref="B4896:D4896"/>
    <mergeCell ref="F4896:G4896"/>
    <mergeCell ref="J4896:N4896"/>
    <mergeCell ref="T4896:U4896"/>
    <mergeCell ref="B4897:D4897"/>
    <mergeCell ref="F4897:G4897"/>
    <mergeCell ref="J4897:N4897"/>
    <mergeCell ref="T4897:U4897"/>
    <mergeCell ref="B4880:D4880"/>
    <mergeCell ref="F4880:G4880"/>
    <mergeCell ref="J4880:N4880"/>
    <mergeCell ref="T4880:U4880"/>
    <mergeCell ref="B4881:D4881"/>
    <mergeCell ref="F4881:G4881"/>
    <mergeCell ref="J4881:N4881"/>
    <mergeCell ref="T4881:U4881"/>
    <mergeCell ref="B4882:D4882"/>
    <mergeCell ref="F4882:G4882"/>
    <mergeCell ref="J4882:N4882"/>
    <mergeCell ref="T4882:U4882"/>
    <mergeCell ref="B4883:D4883"/>
    <mergeCell ref="F4883:G4883"/>
    <mergeCell ref="J4883:N4883"/>
    <mergeCell ref="T4883:U4883"/>
    <mergeCell ref="B4884:D4884"/>
    <mergeCell ref="F4884:G4884"/>
    <mergeCell ref="J4884:N4884"/>
    <mergeCell ref="T4884:U4884"/>
    <mergeCell ref="B4885:D4885"/>
    <mergeCell ref="F4885:G4885"/>
    <mergeCell ref="J4885:N4885"/>
    <mergeCell ref="T4885:U4885"/>
    <mergeCell ref="B4886:D4886"/>
    <mergeCell ref="F4886:G4886"/>
    <mergeCell ref="J4886:N4886"/>
    <mergeCell ref="T4886:U4886"/>
    <mergeCell ref="B4887:D4887"/>
    <mergeCell ref="F4887:G4887"/>
    <mergeCell ref="J4887:N4887"/>
    <mergeCell ref="T4887:U4887"/>
    <mergeCell ref="B4888:D4888"/>
    <mergeCell ref="F4888:G4888"/>
    <mergeCell ref="J4888:N4888"/>
    <mergeCell ref="T4888:U4888"/>
    <mergeCell ref="B4871:D4871"/>
    <mergeCell ref="F4871:G4871"/>
    <mergeCell ref="J4871:N4871"/>
    <mergeCell ref="T4871:U4871"/>
    <mergeCell ref="B4872:D4872"/>
    <mergeCell ref="F4872:G4872"/>
    <mergeCell ref="J4872:N4872"/>
    <mergeCell ref="T4872:U4872"/>
    <mergeCell ref="B4873:D4873"/>
    <mergeCell ref="F4873:G4873"/>
    <mergeCell ref="J4873:N4873"/>
    <mergeCell ref="T4873:U4873"/>
    <mergeCell ref="B4874:D4874"/>
    <mergeCell ref="F4874:G4874"/>
    <mergeCell ref="J4874:N4874"/>
    <mergeCell ref="T4874:U4874"/>
    <mergeCell ref="B4875:D4875"/>
    <mergeCell ref="F4875:G4875"/>
    <mergeCell ref="J4875:N4875"/>
    <mergeCell ref="T4875:U4875"/>
    <mergeCell ref="B4876:D4876"/>
    <mergeCell ref="F4876:G4876"/>
    <mergeCell ref="J4876:N4876"/>
    <mergeCell ref="T4876:U4876"/>
    <mergeCell ref="B4877:D4877"/>
    <mergeCell ref="F4877:G4877"/>
    <mergeCell ref="J4877:N4877"/>
    <mergeCell ref="T4877:U4877"/>
    <mergeCell ref="B4878:D4878"/>
    <mergeCell ref="F4878:G4878"/>
    <mergeCell ref="J4878:N4878"/>
    <mergeCell ref="T4878:U4878"/>
    <mergeCell ref="B4879:D4879"/>
    <mergeCell ref="F4879:G4879"/>
    <mergeCell ref="J4879:N4879"/>
    <mergeCell ref="T4879:U4879"/>
    <mergeCell ref="B4862:D4862"/>
    <mergeCell ref="F4862:G4862"/>
    <mergeCell ref="J4862:N4862"/>
    <mergeCell ref="T4862:U4862"/>
    <mergeCell ref="B4863:D4863"/>
    <mergeCell ref="F4863:G4863"/>
    <mergeCell ref="J4863:N4863"/>
    <mergeCell ref="T4863:U4863"/>
    <mergeCell ref="B4864:D4864"/>
    <mergeCell ref="F4864:G4864"/>
    <mergeCell ref="J4864:N4864"/>
    <mergeCell ref="T4864:U4864"/>
    <mergeCell ref="B4865:D4865"/>
    <mergeCell ref="F4865:G4865"/>
    <mergeCell ref="J4865:N4865"/>
    <mergeCell ref="T4865:U4865"/>
    <mergeCell ref="B4866:D4866"/>
    <mergeCell ref="F4866:G4866"/>
    <mergeCell ref="J4866:N4866"/>
    <mergeCell ref="T4866:U4866"/>
    <mergeCell ref="B4867:D4867"/>
    <mergeCell ref="F4867:G4867"/>
    <mergeCell ref="J4867:N4867"/>
    <mergeCell ref="T4867:U4867"/>
    <mergeCell ref="B4868:D4868"/>
    <mergeCell ref="F4868:G4868"/>
    <mergeCell ref="J4868:N4868"/>
    <mergeCell ref="T4868:U4868"/>
    <mergeCell ref="B4869:D4869"/>
    <mergeCell ref="F4869:G4869"/>
    <mergeCell ref="J4869:N4869"/>
    <mergeCell ref="T4869:U4869"/>
    <mergeCell ref="B4870:D4870"/>
    <mergeCell ref="F4870:G4870"/>
    <mergeCell ref="J4870:N4870"/>
    <mergeCell ref="T4870:U4870"/>
    <mergeCell ref="B4853:D4853"/>
    <mergeCell ref="F4853:G4853"/>
    <mergeCell ref="J4853:N4853"/>
    <mergeCell ref="T4853:U4853"/>
    <mergeCell ref="B4854:D4854"/>
    <mergeCell ref="F4854:G4854"/>
    <mergeCell ref="J4854:N4854"/>
    <mergeCell ref="T4854:U4854"/>
    <mergeCell ref="B4855:D4855"/>
    <mergeCell ref="F4855:G4855"/>
    <mergeCell ref="J4855:N4855"/>
    <mergeCell ref="T4855:U4855"/>
    <mergeCell ref="B4856:D4856"/>
    <mergeCell ref="F4856:G4856"/>
    <mergeCell ref="J4856:N4856"/>
    <mergeCell ref="T4856:U4856"/>
    <mergeCell ref="B4857:D4857"/>
    <mergeCell ref="F4857:G4857"/>
    <mergeCell ref="J4857:N4857"/>
    <mergeCell ref="T4857:U4857"/>
    <mergeCell ref="B4858:D4858"/>
    <mergeCell ref="F4858:G4858"/>
    <mergeCell ref="J4858:N4858"/>
    <mergeCell ref="T4858:U4858"/>
    <mergeCell ref="B4859:D4859"/>
    <mergeCell ref="F4859:G4859"/>
    <mergeCell ref="J4859:N4859"/>
    <mergeCell ref="T4859:U4859"/>
    <mergeCell ref="B4860:D4860"/>
    <mergeCell ref="F4860:G4860"/>
    <mergeCell ref="J4860:N4860"/>
    <mergeCell ref="T4860:U4860"/>
    <mergeCell ref="B4861:D4861"/>
    <mergeCell ref="F4861:G4861"/>
    <mergeCell ref="J4861:N4861"/>
    <mergeCell ref="T4861:U4861"/>
    <mergeCell ref="B4844:D4844"/>
    <mergeCell ref="F4844:G4844"/>
    <mergeCell ref="J4844:N4844"/>
    <mergeCell ref="T4844:U4844"/>
    <mergeCell ref="B4845:D4845"/>
    <mergeCell ref="F4845:G4845"/>
    <mergeCell ref="J4845:N4845"/>
    <mergeCell ref="T4845:U4845"/>
    <mergeCell ref="B4846:D4846"/>
    <mergeCell ref="F4846:G4846"/>
    <mergeCell ref="J4846:N4846"/>
    <mergeCell ref="T4846:U4846"/>
    <mergeCell ref="B4847:D4847"/>
    <mergeCell ref="F4847:G4847"/>
    <mergeCell ref="J4847:N4847"/>
    <mergeCell ref="T4847:U4847"/>
    <mergeCell ref="B4848:D4848"/>
    <mergeCell ref="F4848:G4848"/>
    <mergeCell ref="J4848:N4848"/>
    <mergeCell ref="T4848:U4848"/>
    <mergeCell ref="B4849:D4849"/>
    <mergeCell ref="F4849:G4849"/>
    <mergeCell ref="J4849:N4849"/>
    <mergeCell ref="T4849:U4849"/>
    <mergeCell ref="B4850:D4850"/>
    <mergeCell ref="F4850:G4850"/>
    <mergeCell ref="J4850:N4850"/>
    <mergeCell ref="T4850:U4850"/>
    <mergeCell ref="B4851:D4851"/>
    <mergeCell ref="F4851:G4851"/>
    <mergeCell ref="J4851:N4851"/>
    <mergeCell ref="T4851:U4851"/>
    <mergeCell ref="B4852:D4852"/>
    <mergeCell ref="F4852:G4852"/>
    <mergeCell ref="J4852:N4852"/>
    <mergeCell ref="T4852:U4852"/>
    <mergeCell ref="B4833:D4833"/>
    <mergeCell ref="F4833:G4833"/>
    <mergeCell ref="J4833:N4833"/>
    <mergeCell ref="T4833:U4833"/>
    <mergeCell ref="B4834:D4834"/>
    <mergeCell ref="F4834:G4834"/>
    <mergeCell ref="J4834:N4834"/>
    <mergeCell ref="T4834:U4834"/>
    <mergeCell ref="B4835:D4835"/>
    <mergeCell ref="F4835:G4835"/>
    <mergeCell ref="J4835:N4835"/>
    <mergeCell ref="T4835:U4835"/>
    <mergeCell ref="B4836:D4836"/>
    <mergeCell ref="F4836:G4836"/>
    <mergeCell ref="J4836:N4836"/>
    <mergeCell ref="T4836:U4836"/>
    <mergeCell ref="B4837:D4837"/>
    <mergeCell ref="F4837:G4837"/>
    <mergeCell ref="J4837:N4837"/>
    <mergeCell ref="T4837:U4837"/>
    <mergeCell ref="B4838:D4838"/>
    <mergeCell ref="F4838:G4839"/>
    <mergeCell ref="J4838:N4838"/>
    <mergeCell ref="T4838:U4838"/>
    <mergeCell ref="B4840:D4840"/>
    <mergeCell ref="F4840:G4840"/>
    <mergeCell ref="J4840:N4840"/>
    <mergeCell ref="T4840:U4840"/>
    <mergeCell ref="B4841:D4841"/>
    <mergeCell ref="F4841:G4842"/>
    <mergeCell ref="J4841:N4841"/>
    <mergeCell ref="T4841:U4841"/>
    <mergeCell ref="B4843:D4843"/>
    <mergeCell ref="F4843:G4843"/>
    <mergeCell ref="J4843:N4843"/>
    <mergeCell ref="T4843:U4843"/>
    <mergeCell ref="B4824:D4824"/>
    <mergeCell ref="F4824:G4824"/>
    <mergeCell ref="J4824:N4824"/>
    <mergeCell ref="T4824:U4824"/>
    <mergeCell ref="B4825:D4825"/>
    <mergeCell ref="F4825:G4825"/>
    <mergeCell ref="J4825:N4825"/>
    <mergeCell ref="T4825:U4825"/>
    <mergeCell ref="B4826:D4826"/>
    <mergeCell ref="F4826:G4826"/>
    <mergeCell ref="J4826:N4826"/>
    <mergeCell ref="T4826:U4826"/>
    <mergeCell ref="B4827:D4827"/>
    <mergeCell ref="F4827:G4827"/>
    <mergeCell ref="J4827:N4827"/>
    <mergeCell ref="T4827:U4827"/>
    <mergeCell ref="B4828:D4828"/>
    <mergeCell ref="F4828:G4828"/>
    <mergeCell ref="J4828:N4828"/>
    <mergeCell ref="T4828:U4828"/>
    <mergeCell ref="B4829:D4829"/>
    <mergeCell ref="F4829:G4829"/>
    <mergeCell ref="J4829:N4829"/>
    <mergeCell ref="T4829:U4829"/>
    <mergeCell ref="B4830:D4830"/>
    <mergeCell ref="F4830:G4830"/>
    <mergeCell ref="J4830:N4830"/>
    <mergeCell ref="T4830:U4830"/>
    <mergeCell ref="B4831:D4831"/>
    <mergeCell ref="F4831:G4831"/>
    <mergeCell ref="J4831:N4831"/>
    <mergeCell ref="T4831:U4831"/>
    <mergeCell ref="B4832:D4832"/>
    <mergeCell ref="F4832:G4832"/>
    <mergeCell ref="J4832:N4832"/>
    <mergeCell ref="T4832:U4832"/>
    <mergeCell ref="B4815:D4815"/>
    <mergeCell ref="F4815:G4815"/>
    <mergeCell ref="J4815:N4815"/>
    <mergeCell ref="T4815:U4815"/>
    <mergeCell ref="B4816:D4816"/>
    <mergeCell ref="F4816:G4816"/>
    <mergeCell ref="J4816:N4816"/>
    <mergeCell ref="T4816:U4816"/>
    <mergeCell ref="B4817:D4817"/>
    <mergeCell ref="F4817:G4817"/>
    <mergeCell ref="J4817:N4817"/>
    <mergeCell ref="T4817:U4817"/>
    <mergeCell ref="B4818:D4818"/>
    <mergeCell ref="F4818:G4818"/>
    <mergeCell ref="J4818:N4818"/>
    <mergeCell ref="T4818:U4818"/>
    <mergeCell ref="B4819:D4819"/>
    <mergeCell ref="F4819:G4819"/>
    <mergeCell ref="J4819:N4819"/>
    <mergeCell ref="T4819:U4819"/>
    <mergeCell ref="B4820:D4820"/>
    <mergeCell ref="F4820:G4820"/>
    <mergeCell ref="J4820:N4820"/>
    <mergeCell ref="T4820:U4820"/>
    <mergeCell ref="B4821:D4821"/>
    <mergeCell ref="F4821:G4821"/>
    <mergeCell ref="J4821:N4821"/>
    <mergeCell ref="T4821:U4821"/>
    <mergeCell ref="B4822:D4822"/>
    <mergeCell ref="F4822:G4822"/>
    <mergeCell ref="J4822:N4822"/>
    <mergeCell ref="T4822:U4822"/>
    <mergeCell ref="B4823:D4823"/>
    <mergeCell ref="F4823:G4823"/>
    <mergeCell ref="J4823:N4823"/>
    <mergeCell ref="T4823:U4823"/>
    <mergeCell ref="B4806:D4806"/>
    <mergeCell ref="F4806:G4806"/>
    <mergeCell ref="J4806:N4806"/>
    <mergeCell ref="T4806:U4806"/>
    <mergeCell ref="B4807:D4807"/>
    <mergeCell ref="F4807:G4807"/>
    <mergeCell ref="J4807:N4807"/>
    <mergeCell ref="T4807:U4807"/>
    <mergeCell ref="B4808:D4808"/>
    <mergeCell ref="F4808:G4808"/>
    <mergeCell ref="J4808:N4808"/>
    <mergeCell ref="T4808:U4808"/>
    <mergeCell ref="B4809:D4809"/>
    <mergeCell ref="F4809:G4809"/>
    <mergeCell ref="J4809:N4809"/>
    <mergeCell ref="T4809:U4809"/>
    <mergeCell ref="B4810:D4810"/>
    <mergeCell ref="F4810:G4810"/>
    <mergeCell ref="J4810:N4810"/>
    <mergeCell ref="T4810:U4810"/>
    <mergeCell ref="B4811:D4811"/>
    <mergeCell ref="F4811:G4811"/>
    <mergeCell ref="J4811:N4811"/>
    <mergeCell ref="T4811:U4811"/>
    <mergeCell ref="B4812:D4812"/>
    <mergeCell ref="F4812:G4812"/>
    <mergeCell ref="J4812:N4812"/>
    <mergeCell ref="T4812:U4812"/>
    <mergeCell ref="B4813:D4813"/>
    <mergeCell ref="F4813:G4813"/>
    <mergeCell ref="J4813:N4813"/>
    <mergeCell ref="T4813:U4813"/>
    <mergeCell ref="B4814:D4814"/>
    <mergeCell ref="F4814:G4814"/>
    <mergeCell ref="J4814:N4814"/>
    <mergeCell ref="T4814:U4814"/>
    <mergeCell ref="B4797:D4797"/>
    <mergeCell ref="F4797:G4797"/>
    <mergeCell ref="J4797:N4797"/>
    <mergeCell ref="T4797:U4797"/>
    <mergeCell ref="B4798:D4798"/>
    <mergeCell ref="F4798:G4798"/>
    <mergeCell ref="J4798:N4798"/>
    <mergeCell ref="T4798:U4798"/>
    <mergeCell ref="A4799:J4799"/>
    <mergeCell ref="K4799:O4799"/>
    <mergeCell ref="T4799:U4799"/>
    <mergeCell ref="B4800:D4800"/>
    <mergeCell ref="F4800:G4800"/>
    <mergeCell ref="J4800:N4800"/>
    <mergeCell ref="T4800:U4800"/>
    <mergeCell ref="B4801:D4801"/>
    <mergeCell ref="F4801:G4801"/>
    <mergeCell ref="J4801:N4801"/>
    <mergeCell ref="T4801:U4801"/>
    <mergeCell ref="B4802:D4802"/>
    <mergeCell ref="F4802:G4802"/>
    <mergeCell ref="J4802:N4802"/>
    <mergeCell ref="T4802:U4802"/>
    <mergeCell ref="B4803:D4803"/>
    <mergeCell ref="F4803:G4803"/>
    <mergeCell ref="J4803:N4803"/>
    <mergeCell ref="T4803:U4803"/>
    <mergeCell ref="B4804:D4804"/>
    <mergeCell ref="F4804:G4804"/>
    <mergeCell ref="J4804:N4804"/>
    <mergeCell ref="T4804:U4804"/>
    <mergeCell ref="B4805:D4805"/>
    <mergeCell ref="F4805:G4805"/>
    <mergeCell ref="J4805:N4805"/>
    <mergeCell ref="T4805:U4805"/>
    <mergeCell ref="B4788:D4788"/>
    <mergeCell ref="F4788:G4788"/>
    <mergeCell ref="J4788:N4788"/>
    <mergeCell ref="T4788:U4788"/>
    <mergeCell ref="B4789:D4789"/>
    <mergeCell ref="F4789:G4789"/>
    <mergeCell ref="J4789:N4789"/>
    <mergeCell ref="T4789:U4789"/>
    <mergeCell ref="B4790:D4790"/>
    <mergeCell ref="F4790:G4790"/>
    <mergeCell ref="J4790:N4790"/>
    <mergeCell ref="T4790:U4790"/>
    <mergeCell ref="B4791:D4791"/>
    <mergeCell ref="F4791:G4791"/>
    <mergeCell ref="J4791:N4791"/>
    <mergeCell ref="T4791:U4791"/>
    <mergeCell ref="B4792:D4792"/>
    <mergeCell ref="F4792:G4792"/>
    <mergeCell ref="J4792:N4792"/>
    <mergeCell ref="T4792:U4792"/>
    <mergeCell ref="B4793:D4793"/>
    <mergeCell ref="F4793:G4793"/>
    <mergeCell ref="J4793:N4793"/>
    <mergeCell ref="T4793:U4793"/>
    <mergeCell ref="B4794:D4794"/>
    <mergeCell ref="F4794:G4794"/>
    <mergeCell ref="J4794:N4794"/>
    <mergeCell ref="T4794:U4794"/>
    <mergeCell ref="B4795:D4795"/>
    <mergeCell ref="F4795:G4795"/>
    <mergeCell ref="J4795:N4795"/>
    <mergeCell ref="T4795:U4795"/>
    <mergeCell ref="B4796:D4796"/>
    <mergeCell ref="F4796:G4796"/>
    <mergeCell ref="J4796:N4796"/>
    <mergeCell ref="T4796:U4796"/>
    <mergeCell ref="B4779:D4779"/>
    <mergeCell ref="F4779:G4779"/>
    <mergeCell ref="J4779:N4779"/>
    <mergeCell ref="T4779:U4779"/>
    <mergeCell ref="B4780:D4780"/>
    <mergeCell ref="F4780:G4780"/>
    <mergeCell ref="J4780:N4780"/>
    <mergeCell ref="T4780:U4780"/>
    <mergeCell ref="B4781:D4781"/>
    <mergeCell ref="F4781:G4781"/>
    <mergeCell ref="J4781:N4781"/>
    <mergeCell ref="T4781:U4781"/>
    <mergeCell ref="B4782:D4782"/>
    <mergeCell ref="F4782:G4782"/>
    <mergeCell ref="J4782:N4782"/>
    <mergeCell ref="T4782:U4782"/>
    <mergeCell ref="B4783:D4783"/>
    <mergeCell ref="F4783:G4783"/>
    <mergeCell ref="J4783:N4783"/>
    <mergeCell ref="T4783:U4783"/>
    <mergeCell ref="B4784:D4784"/>
    <mergeCell ref="F4784:G4784"/>
    <mergeCell ref="J4784:N4784"/>
    <mergeCell ref="T4784:U4784"/>
    <mergeCell ref="B4785:D4785"/>
    <mergeCell ref="F4785:G4785"/>
    <mergeCell ref="J4785:N4785"/>
    <mergeCell ref="T4785:U4785"/>
    <mergeCell ref="B4786:D4786"/>
    <mergeCell ref="F4786:G4786"/>
    <mergeCell ref="J4786:N4786"/>
    <mergeCell ref="T4786:U4786"/>
    <mergeCell ref="B4787:D4787"/>
    <mergeCell ref="F4787:G4787"/>
    <mergeCell ref="J4787:N4787"/>
    <mergeCell ref="T4787:U4787"/>
    <mergeCell ref="B4770:D4770"/>
    <mergeCell ref="F4770:G4770"/>
    <mergeCell ref="J4770:N4770"/>
    <mergeCell ref="T4770:U4770"/>
    <mergeCell ref="B4771:D4771"/>
    <mergeCell ref="F4771:G4771"/>
    <mergeCell ref="J4771:N4771"/>
    <mergeCell ref="T4771:U4771"/>
    <mergeCell ref="B4772:D4772"/>
    <mergeCell ref="F4772:G4772"/>
    <mergeCell ref="J4772:N4772"/>
    <mergeCell ref="T4772:U4772"/>
    <mergeCell ref="B4773:D4773"/>
    <mergeCell ref="F4773:G4773"/>
    <mergeCell ref="J4773:N4773"/>
    <mergeCell ref="T4773:U4773"/>
    <mergeCell ref="B4774:D4774"/>
    <mergeCell ref="F4774:G4774"/>
    <mergeCell ref="J4774:N4774"/>
    <mergeCell ref="T4774:U4774"/>
    <mergeCell ref="B4775:D4775"/>
    <mergeCell ref="F4775:G4775"/>
    <mergeCell ref="J4775:N4775"/>
    <mergeCell ref="T4775:U4775"/>
    <mergeCell ref="B4776:D4776"/>
    <mergeCell ref="F4776:G4776"/>
    <mergeCell ref="J4776:N4776"/>
    <mergeCell ref="T4776:U4776"/>
    <mergeCell ref="B4777:D4777"/>
    <mergeCell ref="F4777:G4777"/>
    <mergeCell ref="J4777:N4777"/>
    <mergeCell ref="T4777:U4777"/>
    <mergeCell ref="B4778:D4778"/>
    <mergeCell ref="F4778:G4778"/>
    <mergeCell ref="J4778:N4778"/>
    <mergeCell ref="T4778:U4778"/>
    <mergeCell ref="B4761:D4761"/>
    <mergeCell ref="F4761:G4761"/>
    <mergeCell ref="J4761:N4761"/>
    <mergeCell ref="T4761:U4761"/>
    <mergeCell ref="B4762:D4762"/>
    <mergeCell ref="F4762:G4762"/>
    <mergeCell ref="J4762:N4762"/>
    <mergeCell ref="T4762:U4762"/>
    <mergeCell ref="B4763:D4763"/>
    <mergeCell ref="F4763:G4763"/>
    <mergeCell ref="J4763:N4763"/>
    <mergeCell ref="T4763:U4763"/>
    <mergeCell ref="B4764:D4764"/>
    <mergeCell ref="F4764:G4764"/>
    <mergeCell ref="J4764:N4764"/>
    <mergeCell ref="T4764:U4764"/>
    <mergeCell ref="B4765:D4765"/>
    <mergeCell ref="F4765:G4765"/>
    <mergeCell ref="J4765:N4765"/>
    <mergeCell ref="T4765:U4765"/>
    <mergeCell ref="B4766:D4766"/>
    <mergeCell ref="F4766:G4766"/>
    <mergeCell ref="J4766:N4766"/>
    <mergeCell ref="T4766:U4766"/>
    <mergeCell ref="B4767:D4767"/>
    <mergeCell ref="F4767:G4767"/>
    <mergeCell ref="J4767:N4767"/>
    <mergeCell ref="T4767:U4767"/>
    <mergeCell ref="B4768:D4768"/>
    <mergeCell ref="F4768:G4768"/>
    <mergeCell ref="J4768:N4768"/>
    <mergeCell ref="T4768:U4768"/>
    <mergeCell ref="B4769:D4769"/>
    <mergeCell ref="F4769:G4769"/>
    <mergeCell ref="J4769:N4769"/>
    <mergeCell ref="T4769:U4769"/>
    <mergeCell ref="B4752:D4752"/>
    <mergeCell ref="F4752:G4752"/>
    <mergeCell ref="J4752:N4752"/>
    <mergeCell ref="T4752:U4752"/>
    <mergeCell ref="B4753:D4753"/>
    <mergeCell ref="F4753:G4753"/>
    <mergeCell ref="J4753:N4753"/>
    <mergeCell ref="T4753:U4753"/>
    <mergeCell ref="B4754:D4754"/>
    <mergeCell ref="F4754:G4754"/>
    <mergeCell ref="J4754:N4754"/>
    <mergeCell ref="T4754:U4754"/>
    <mergeCell ref="B4755:D4755"/>
    <mergeCell ref="F4755:G4755"/>
    <mergeCell ref="J4755:N4755"/>
    <mergeCell ref="T4755:U4755"/>
    <mergeCell ref="B4756:D4756"/>
    <mergeCell ref="F4756:G4756"/>
    <mergeCell ref="J4756:N4756"/>
    <mergeCell ref="T4756:U4756"/>
    <mergeCell ref="B4757:D4757"/>
    <mergeCell ref="F4757:G4757"/>
    <mergeCell ref="J4757:N4757"/>
    <mergeCell ref="T4757:U4757"/>
    <mergeCell ref="B4758:D4758"/>
    <mergeCell ref="F4758:G4758"/>
    <mergeCell ref="J4758:N4758"/>
    <mergeCell ref="T4758:U4758"/>
    <mergeCell ref="B4759:D4759"/>
    <mergeCell ref="F4759:G4759"/>
    <mergeCell ref="J4759:N4759"/>
    <mergeCell ref="T4759:U4759"/>
    <mergeCell ref="B4760:D4760"/>
    <mergeCell ref="F4760:G4760"/>
    <mergeCell ref="J4760:N4760"/>
    <mergeCell ref="T4760:U4760"/>
    <mergeCell ref="B4742:D4742"/>
    <mergeCell ref="F4742:G4742"/>
    <mergeCell ref="J4742:N4742"/>
    <mergeCell ref="T4742:U4742"/>
    <mergeCell ref="B4743:D4743"/>
    <mergeCell ref="F4743:G4743"/>
    <mergeCell ref="J4743:N4743"/>
    <mergeCell ref="T4743:U4743"/>
    <mergeCell ref="B4744:D4744"/>
    <mergeCell ref="F4744:G4744"/>
    <mergeCell ref="J4744:N4744"/>
    <mergeCell ref="T4744:U4744"/>
    <mergeCell ref="B4745:D4745"/>
    <mergeCell ref="F4745:G4745"/>
    <mergeCell ref="J4745:N4745"/>
    <mergeCell ref="T4745:U4745"/>
    <mergeCell ref="B4746:D4746"/>
    <mergeCell ref="F4746:G4746"/>
    <mergeCell ref="J4746:N4746"/>
    <mergeCell ref="T4746:U4746"/>
    <mergeCell ref="B4747:D4747"/>
    <mergeCell ref="F4747:G4747"/>
    <mergeCell ref="J4747:N4747"/>
    <mergeCell ref="T4747:U4747"/>
    <mergeCell ref="B4748:D4748"/>
    <mergeCell ref="F4748:G4748"/>
    <mergeCell ref="J4748:N4748"/>
    <mergeCell ref="T4748:U4748"/>
    <mergeCell ref="B4749:D4749"/>
    <mergeCell ref="F4749:G4750"/>
    <mergeCell ref="J4749:N4749"/>
    <mergeCell ref="T4749:U4749"/>
    <mergeCell ref="B4751:D4751"/>
    <mergeCell ref="F4751:G4751"/>
    <mergeCell ref="J4751:N4751"/>
    <mergeCell ref="T4751:U4751"/>
    <mergeCell ref="B4733:D4733"/>
    <mergeCell ref="F4733:G4733"/>
    <mergeCell ref="J4733:N4733"/>
    <mergeCell ref="T4733:U4733"/>
    <mergeCell ref="B4734:D4734"/>
    <mergeCell ref="F4734:G4734"/>
    <mergeCell ref="J4734:N4734"/>
    <mergeCell ref="T4734:U4734"/>
    <mergeCell ref="B4735:D4735"/>
    <mergeCell ref="F4735:G4735"/>
    <mergeCell ref="J4735:N4735"/>
    <mergeCell ref="T4735:U4735"/>
    <mergeCell ref="B4736:D4736"/>
    <mergeCell ref="F4736:G4736"/>
    <mergeCell ref="J4736:N4736"/>
    <mergeCell ref="T4736:U4736"/>
    <mergeCell ref="B4737:D4737"/>
    <mergeCell ref="F4737:G4737"/>
    <mergeCell ref="J4737:N4737"/>
    <mergeCell ref="T4737:U4737"/>
    <mergeCell ref="B4738:D4738"/>
    <mergeCell ref="F4738:G4738"/>
    <mergeCell ref="J4738:N4738"/>
    <mergeCell ref="T4738:U4738"/>
    <mergeCell ref="B4739:D4739"/>
    <mergeCell ref="F4739:G4739"/>
    <mergeCell ref="J4739:N4739"/>
    <mergeCell ref="T4739:U4739"/>
    <mergeCell ref="B4740:D4740"/>
    <mergeCell ref="F4740:G4740"/>
    <mergeCell ref="J4740:N4740"/>
    <mergeCell ref="T4740:U4740"/>
    <mergeCell ref="B4741:D4741"/>
    <mergeCell ref="F4741:G4741"/>
    <mergeCell ref="J4741:N4741"/>
    <mergeCell ref="T4741:U4741"/>
    <mergeCell ref="B4724:D4724"/>
    <mergeCell ref="F4724:G4724"/>
    <mergeCell ref="J4724:N4724"/>
    <mergeCell ref="T4724:U4724"/>
    <mergeCell ref="B4725:D4725"/>
    <mergeCell ref="F4725:G4725"/>
    <mergeCell ref="J4725:N4725"/>
    <mergeCell ref="T4725:U4725"/>
    <mergeCell ref="B4726:D4726"/>
    <mergeCell ref="F4726:G4726"/>
    <mergeCell ref="J4726:N4726"/>
    <mergeCell ref="T4726:U4726"/>
    <mergeCell ref="B4727:D4727"/>
    <mergeCell ref="F4727:G4727"/>
    <mergeCell ref="J4727:N4727"/>
    <mergeCell ref="T4727:U4727"/>
    <mergeCell ref="B4728:D4728"/>
    <mergeCell ref="F4728:G4728"/>
    <mergeCell ref="J4728:N4728"/>
    <mergeCell ref="T4728:U4728"/>
    <mergeCell ref="B4729:D4729"/>
    <mergeCell ref="F4729:G4729"/>
    <mergeCell ref="J4729:N4729"/>
    <mergeCell ref="T4729:U4729"/>
    <mergeCell ref="B4730:D4730"/>
    <mergeCell ref="F4730:G4730"/>
    <mergeCell ref="J4730:N4730"/>
    <mergeCell ref="T4730:U4730"/>
    <mergeCell ref="B4731:D4731"/>
    <mergeCell ref="F4731:G4731"/>
    <mergeCell ref="J4731:N4731"/>
    <mergeCell ref="T4731:U4731"/>
    <mergeCell ref="B4732:D4732"/>
    <mergeCell ref="F4732:G4732"/>
    <mergeCell ref="J4732:N4732"/>
    <mergeCell ref="T4732:U4732"/>
    <mergeCell ref="B4715:D4715"/>
    <mergeCell ref="F4715:G4715"/>
    <mergeCell ref="J4715:N4715"/>
    <mergeCell ref="T4715:U4715"/>
    <mergeCell ref="B4716:D4716"/>
    <mergeCell ref="F4716:G4716"/>
    <mergeCell ref="J4716:N4716"/>
    <mergeCell ref="T4716:U4716"/>
    <mergeCell ref="B4717:D4717"/>
    <mergeCell ref="F4717:G4717"/>
    <mergeCell ref="J4717:N4717"/>
    <mergeCell ref="T4717:U4717"/>
    <mergeCell ref="B4718:D4718"/>
    <mergeCell ref="F4718:G4718"/>
    <mergeCell ref="J4718:N4718"/>
    <mergeCell ref="T4718:U4718"/>
    <mergeCell ref="B4719:D4719"/>
    <mergeCell ref="F4719:G4719"/>
    <mergeCell ref="J4719:N4719"/>
    <mergeCell ref="T4719:U4719"/>
    <mergeCell ref="B4720:D4720"/>
    <mergeCell ref="F4720:G4720"/>
    <mergeCell ref="J4720:N4720"/>
    <mergeCell ref="T4720:U4720"/>
    <mergeCell ref="B4721:D4721"/>
    <mergeCell ref="F4721:G4721"/>
    <mergeCell ref="J4721:N4721"/>
    <mergeCell ref="T4721:U4721"/>
    <mergeCell ref="B4722:D4722"/>
    <mergeCell ref="F4722:G4722"/>
    <mergeCell ref="J4722:N4722"/>
    <mergeCell ref="T4722:U4722"/>
    <mergeCell ref="B4723:D4723"/>
    <mergeCell ref="F4723:G4723"/>
    <mergeCell ref="J4723:N4723"/>
    <mergeCell ref="T4723:U4723"/>
    <mergeCell ref="B4706:D4706"/>
    <mergeCell ref="F4706:G4706"/>
    <mergeCell ref="J4706:N4706"/>
    <mergeCell ref="T4706:U4706"/>
    <mergeCell ref="B4707:D4707"/>
    <mergeCell ref="F4707:G4707"/>
    <mergeCell ref="J4707:N4707"/>
    <mergeCell ref="T4707:U4707"/>
    <mergeCell ref="B4708:D4708"/>
    <mergeCell ref="F4708:G4708"/>
    <mergeCell ref="J4708:N4708"/>
    <mergeCell ref="T4708:U4708"/>
    <mergeCell ref="B4709:D4709"/>
    <mergeCell ref="F4709:G4709"/>
    <mergeCell ref="J4709:N4709"/>
    <mergeCell ref="T4709:U4709"/>
    <mergeCell ref="B4710:D4710"/>
    <mergeCell ref="F4710:G4710"/>
    <mergeCell ref="J4710:N4710"/>
    <mergeCell ref="T4710:U4710"/>
    <mergeCell ref="B4711:D4711"/>
    <mergeCell ref="F4711:G4711"/>
    <mergeCell ref="J4711:N4711"/>
    <mergeCell ref="T4711:U4711"/>
    <mergeCell ref="B4712:D4712"/>
    <mergeCell ref="F4712:G4712"/>
    <mergeCell ref="J4712:N4712"/>
    <mergeCell ref="T4712:U4712"/>
    <mergeCell ref="B4713:D4713"/>
    <mergeCell ref="F4713:G4713"/>
    <mergeCell ref="J4713:N4713"/>
    <mergeCell ref="T4713:U4713"/>
    <mergeCell ref="B4714:D4714"/>
    <mergeCell ref="F4714:G4714"/>
    <mergeCell ref="J4714:N4714"/>
    <mergeCell ref="T4714:U4714"/>
    <mergeCell ref="B4697:D4697"/>
    <mergeCell ref="F4697:G4697"/>
    <mergeCell ref="J4697:N4697"/>
    <mergeCell ref="T4697:U4697"/>
    <mergeCell ref="B4698:D4698"/>
    <mergeCell ref="F4698:G4698"/>
    <mergeCell ref="J4698:N4698"/>
    <mergeCell ref="T4698:U4698"/>
    <mergeCell ref="B4699:D4699"/>
    <mergeCell ref="F4699:G4699"/>
    <mergeCell ref="J4699:N4699"/>
    <mergeCell ref="T4699:U4699"/>
    <mergeCell ref="B4700:D4700"/>
    <mergeCell ref="F4700:G4700"/>
    <mergeCell ref="J4700:N4700"/>
    <mergeCell ref="T4700:U4700"/>
    <mergeCell ref="B4701:D4701"/>
    <mergeCell ref="F4701:G4701"/>
    <mergeCell ref="J4701:N4701"/>
    <mergeCell ref="T4701:U4701"/>
    <mergeCell ref="B4702:D4702"/>
    <mergeCell ref="F4702:G4702"/>
    <mergeCell ref="J4702:N4702"/>
    <mergeCell ref="T4702:U4702"/>
    <mergeCell ref="B4703:D4703"/>
    <mergeCell ref="F4703:G4703"/>
    <mergeCell ref="J4703:N4703"/>
    <mergeCell ref="T4703:U4703"/>
    <mergeCell ref="B4704:D4704"/>
    <mergeCell ref="F4704:G4704"/>
    <mergeCell ref="J4704:N4704"/>
    <mergeCell ref="T4704:U4704"/>
    <mergeCell ref="B4705:D4705"/>
    <mergeCell ref="F4705:G4705"/>
    <mergeCell ref="J4705:N4705"/>
    <mergeCell ref="T4705:U4705"/>
    <mergeCell ref="B4688:D4688"/>
    <mergeCell ref="F4688:G4688"/>
    <mergeCell ref="J4688:N4688"/>
    <mergeCell ref="T4688:U4688"/>
    <mergeCell ref="B4689:D4689"/>
    <mergeCell ref="F4689:G4689"/>
    <mergeCell ref="J4689:N4689"/>
    <mergeCell ref="T4689:U4689"/>
    <mergeCell ref="B4690:D4690"/>
    <mergeCell ref="F4690:G4690"/>
    <mergeCell ref="J4690:N4690"/>
    <mergeCell ref="T4690:U4690"/>
    <mergeCell ref="B4691:D4691"/>
    <mergeCell ref="F4691:G4691"/>
    <mergeCell ref="J4691:N4691"/>
    <mergeCell ref="T4691:U4691"/>
    <mergeCell ref="B4692:D4692"/>
    <mergeCell ref="F4692:G4692"/>
    <mergeCell ref="J4692:N4692"/>
    <mergeCell ref="T4692:U4692"/>
    <mergeCell ref="B4693:D4693"/>
    <mergeCell ref="F4693:G4693"/>
    <mergeCell ref="J4693:N4693"/>
    <mergeCell ref="T4693:U4693"/>
    <mergeCell ref="B4694:D4694"/>
    <mergeCell ref="F4694:G4694"/>
    <mergeCell ref="J4694:N4694"/>
    <mergeCell ref="T4694:U4694"/>
    <mergeCell ref="B4695:D4695"/>
    <mergeCell ref="F4695:G4695"/>
    <mergeCell ref="J4695:N4695"/>
    <mergeCell ref="T4695:U4695"/>
    <mergeCell ref="B4696:D4696"/>
    <mergeCell ref="F4696:G4696"/>
    <mergeCell ref="J4696:N4696"/>
    <mergeCell ref="T4696:U4696"/>
    <mergeCell ref="B4679:D4679"/>
    <mergeCell ref="F4679:G4679"/>
    <mergeCell ref="J4679:N4679"/>
    <mergeCell ref="T4679:U4679"/>
    <mergeCell ref="B4680:D4680"/>
    <mergeCell ref="F4680:G4680"/>
    <mergeCell ref="J4680:N4680"/>
    <mergeCell ref="T4680:U4680"/>
    <mergeCell ref="B4681:D4681"/>
    <mergeCell ref="F4681:G4681"/>
    <mergeCell ref="J4681:N4681"/>
    <mergeCell ref="T4681:U4681"/>
    <mergeCell ref="B4682:D4682"/>
    <mergeCell ref="F4682:G4682"/>
    <mergeCell ref="J4682:N4682"/>
    <mergeCell ref="T4682:U4682"/>
    <mergeCell ref="B4683:D4683"/>
    <mergeCell ref="F4683:G4683"/>
    <mergeCell ref="J4683:N4683"/>
    <mergeCell ref="T4683:U4683"/>
    <mergeCell ref="B4684:D4684"/>
    <mergeCell ref="F4684:G4684"/>
    <mergeCell ref="J4684:N4684"/>
    <mergeCell ref="T4684:U4684"/>
    <mergeCell ref="B4685:D4685"/>
    <mergeCell ref="F4685:G4685"/>
    <mergeCell ref="J4685:N4685"/>
    <mergeCell ref="T4685:U4685"/>
    <mergeCell ref="B4686:D4686"/>
    <mergeCell ref="F4686:G4686"/>
    <mergeCell ref="J4686:N4686"/>
    <mergeCell ref="T4686:U4686"/>
    <mergeCell ref="B4687:D4687"/>
    <mergeCell ref="F4687:G4687"/>
    <mergeCell ref="J4687:N4687"/>
    <mergeCell ref="T4687:U4687"/>
    <mergeCell ref="B4670:D4670"/>
    <mergeCell ref="F4670:G4670"/>
    <mergeCell ref="J4670:N4670"/>
    <mergeCell ref="T4670:U4670"/>
    <mergeCell ref="B4671:D4671"/>
    <mergeCell ref="F4671:G4671"/>
    <mergeCell ref="J4671:N4671"/>
    <mergeCell ref="T4671:U4671"/>
    <mergeCell ref="A4672:J4672"/>
    <mergeCell ref="K4672:O4672"/>
    <mergeCell ref="T4672:U4672"/>
    <mergeCell ref="B4673:D4673"/>
    <mergeCell ref="F4673:G4673"/>
    <mergeCell ref="J4673:N4673"/>
    <mergeCell ref="T4673:U4673"/>
    <mergeCell ref="B4674:D4674"/>
    <mergeCell ref="F4674:G4674"/>
    <mergeCell ref="J4674:N4674"/>
    <mergeCell ref="T4674:U4674"/>
    <mergeCell ref="B4675:D4675"/>
    <mergeCell ref="F4675:G4675"/>
    <mergeCell ref="J4675:N4675"/>
    <mergeCell ref="T4675:U4675"/>
    <mergeCell ref="B4676:D4676"/>
    <mergeCell ref="F4676:G4676"/>
    <mergeCell ref="J4676:N4676"/>
    <mergeCell ref="T4676:U4676"/>
    <mergeCell ref="B4677:D4677"/>
    <mergeCell ref="F4677:G4677"/>
    <mergeCell ref="J4677:N4677"/>
    <mergeCell ref="T4677:U4677"/>
    <mergeCell ref="B4678:D4678"/>
    <mergeCell ref="F4678:G4678"/>
    <mergeCell ref="J4678:N4678"/>
    <mergeCell ref="T4678:U4678"/>
    <mergeCell ref="B4661:D4661"/>
    <mergeCell ref="F4661:G4661"/>
    <mergeCell ref="J4661:N4661"/>
    <mergeCell ref="T4661:U4661"/>
    <mergeCell ref="B4662:D4662"/>
    <mergeCell ref="F4662:G4662"/>
    <mergeCell ref="J4662:N4662"/>
    <mergeCell ref="T4662:U4662"/>
    <mergeCell ref="B4663:D4663"/>
    <mergeCell ref="F4663:G4663"/>
    <mergeCell ref="J4663:N4663"/>
    <mergeCell ref="T4663:U4663"/>
    <mergeCell ref="B4664:D4664"/>
    <mergeCell ref="F4664:G4664"/>
    <mergeCell ref="J4664:N4664"/>
    <mergeCell ref="T4664:U4664"/>
    <mergeCell ref="B4665:D4665"/>
    <mergeCell ref="F4665:G4665"/>
    <mergeCell ref="J4665:N4665"/>
    <mergeCell ref="T4665:U4665"/>
    <mergeCell ref="B4666:D4666"/>
    <mergeCell ref="F4666:G4666"/>
    <mergeCell ref="J4666:N4666"/>
    <mergeCell ref="T4666:U4666"/>
    <mergeCell ref="B4667:D4667"/>
    <mergeCell ref="F4667:G4667"/>
    <mergeCell ref="J4667:N4667"/>
    <mergeCell ref="T4667:U4667"/>
    <mergeCell ref="B4668:D4668"/>
    <mergeCell ref="F4668:G4668"/>
    <mergeCell ref="J4668:N4668"/>
    <mergeCell ref="T4668:U4668"/>
    <mergeCell ref="B4669:D4669"/>
    <mergeCell ref="F4669:G4669"/>
    <mergeCell ref="J4669:N4669"/>
    <mergeCell ref="T4669:U4669"/>
    <mergeCell ref="B4652:D4652"/>
    <mergeCell ref="F4652:G4652"/>
    <mergeCell ref="J4652:N4652"/>
    <mergeCell ref="T4652:U4652"/>
    <mergeCell ref="B4653:D4653"/>
    <mergeCell ref="F4653:G4653"/>
    <mergeCell ref="J4653:N4653"/>
    <mergeCell ref="T4653:U4653"/>
    <mergeCell ref="B4654:D4654"/>
    <mergeCell ref="F4654:G4654"/>
    <mergeCell ref="J4654:N4654"/>
    <mergeCell ref="T4654:U4654"/>
    <mergeCell ref="B4655:D4655"/>
    <mergeCell ref="F4655:G4655"/>
    <mergeCell ref="J4655:N4655"/>
    <mergeCell ref="T4655:U4655"/>
    <mergeCell ref="B4656:D4656"/>
    <mergeCell ref="F4656:G4656"/>
    <mergeCell ref="J4656:N4656"/>
    <mergeCell ref="T4656:U4656"/>
    <mergeCell ref="B4657:D4657"/>
    <mergeCell ref="F4657:G4657"/>
    <mergeCell ref="J4657:N4657"/>
    <mergeCell ref="T4657:U4657"/>
    <mergeCell ref="B4658:D4658"/>
    <mergeCell ref="F4658:G4658"/>
    <mergeCell ref="J4658:N4658"/>
    <mergeCell ref="T4658:U4658"/>
    <mergeCell ref="B4659:D4659"/>
    <mergeCell ref="F4659:G4659"/>
    <mergeCell ref="J4659:N4659"/>
    <mergeCell ref="T4659:U4659"/>
    <mergeCell ref="B4660:D4660"/>
    <mergeCell ref="F4660:G4660"/>
    <mergeCell ref="J4660:N4660"/>
    <mergeCell ref="T4660:U4660"/>
    <mergeCell ref="B4643:D4643"/>
    <mergeCell ref="F4643:G4643"/>
    <mergeCell ref="J4643:N4643"/>
    <mergeCell ref="T4643:U4643"/>
    <mergeCell ref="B4644:D4644"/>
    <mergeCell ref="F4644:G4644"/>
    <mergeCell ref="J4644:N4644"/>
    <mergeCell ref="T4644:U4644"/>
    <mergeCell ref="B4645:D4645"/>
    <mergeCell ref="F4645:G4645"/>
    <mergeCell ref="J4645:N4645"/>
    <mergeCell ref="T4645:U4645"/>
    <mergeCell ref="B4646:D4646"/>
    <mergeCell ref="F4646:G4646"/>
    <mergeCell ref="J4646:N4646"/>
    <mergeCell ref="T4646:U4646"/>
    <mergeCell ref="B4647:D4647"/>
    <mergeCell ref="F4647:G4647"/>
    <mergeCell ref="J4647:N4647"/>
    <mergeCell ref="T4647:U4647"/>
    <mergeCell ref="B4648:D4648"/>
    <mergeCell ref="F4648:G4648"/>
    <mergeCell ref="J4648:N4648"/>
    <mergeCell ref="T4648:U4648"/>
    <mergeCell ref="B4649:D4649"/>
    <mergeCell ref="F4649:G4649"/>
    <mergeCell ref="J4649:N4649"/>
    <mergeCell ref="T4649:U4649"/>
    <mergeCell ref="B4650:D4650"/>
    <mergeCell ref="F4650:G4650"/>
    <mergeCell ref="J4650:N4650"/>
    <mergeCell ref="T4650:U4650"/>
    <mergeCell ref="B4651:D4651"/>
    <mergeCell ref="F4651:G4651"/>
    <mergeCell ref="J4651:N4651"/>
    <mergeCell ref="T4651:U4651"/>
    <mergeCell ref="B4631:D4631"/>
    <mergeCell ref="F4631:G4631"/>
    <mergeCell ref="J4631:N4631"/>
    <mergeCell ref="T4631:U4631"/>
    <mergeCell ref="B4632:D4632"/>
    <mergeCell ref="F4632:G4633"/>
    <mergeCell ref="J4632:N4632"/>
    <mergeCell ref="T4632:U4632"/>
    <mergeCell ref="B4634:D4634"/>
    <mergeCell ref="F4634:G4635"/>
    <mergeCell ref="J4634:N4634"/>
    <mergeCell ref="T4634:U4634"/>
    <mergeCell ref="B4636:D4636"/>
    <mergeCell ref="F4636:G4637"/>
    <mergeCell ref="J4636:N4636"/>
    <mergeCell ref="T4636:U4636"/>
    <mergeCell ref="B4638:D4638"/>
    <mergeCell ref="F4638:G4638"/>
    <mergeCell ref="J4638:N4638"/>
    <mergeCell ref="T4638:U4638"/>
    <mergeCell ref="B4639:D4639"/>
    <mergeCell ref="F4639:G4639"/>
    <mergeCell ref="J4639:N4639"/>
    <mergeCell ref="T4639:U4639"/>
    <mergeCell ref="B4640:D4640"/>
    <mergeCell ref="F4640:G4640"/>
    <mergeCell ref="J4640:N4640"/>
    <mergeCell ref="T4640:U4640"/>
    <mergeCell ref="B4641:D4641"/>
    <mergeCell ref="F4641:G4641"/>
    <mergeCell ref="J4641:N4641"/>
    <mergeCell ref="T4641:U4641"/>
    <mergeCell ref="B4642:D4642"/>
    <mergeCell ref="F4642:G4642"/>
    <mergeCell ref="J4642:N4642"/>
    <mergeCell ref="T4642:U4642"/>
    <mergeCell ref="B4622:D4622"/>
    <mergeCell ref="F4622:G4622"/>
    <mergeCell ref="J4622:N4622"/>
    <mergeCell ref="T4622:U4622"/>
    <mergeCell ref="B4623:D4623"/>
    <mergeCell ref="F4623:G4623"/>
    <mergeCell ref="J4623:N4623"/>
    <mergeCell ref="T4623:U4623"/>
    <mergeCell ref="B4624:D4624"/>
    <mergeCell ref="F4624:G4624"/>
    <mergeCell ref="J4624:N4624"/>
    <mergeCell ref="T4624:U4624"/>
    <mergeCell ref="B4625:D4625"/>
    <mergeCell ref="F4625:G4625"/>
    <mergeCell ref="J4625:N4625"/>
    <mergeCell ref="T4625:U4625"/>
    <mergeCell ref="B4626:D4626"/>
    <mergeCell ref="F4626:G4626"/>
    <mergeCell ref="J4626:N4626"/>
    <mergeCell ref="T4626:U4626"/>
    <mergeCell ref="B4627:D4627"/>
    <mergeCell ref="F4627:G4627"/>
    <mergeCell ref="J4627:N4627"/>
    <mergeCell ref="T4627:U4627"/>
    <mergeCell ref="B4628:D4628"/>
    <mergeCell ref="F4628:G4628"/>
    <mergeCell ref="J4628:N4628"/>
    <mergeCell ref="T4628:U4628"/>
    <mergeCell ref="B4629:D4629"/>
    <mergeCell ref="F4629:G4629"/>
    <mergeCell ref="J4629:N4629"/>
    <mergeCell ref="T4629:U4629"/>
    <mergeCell ref="B4630:D4630"/>
    <mergeCell ref="F4630:G4630"/>
    <mergeCell ref="J4630:N4630"/>
    <mergeCell ref="T4630:U4630"/>
    <mergeCell ref="B4613:D4613"/>
    <mergeCell ref="F4613:G4613"/>
    <mergeCell ref="J4613:N4613"/>
    <mergeCell ref="T4613:U4613"/>
    <mergeCell ref="B4614:D4614"/>
    <mergeCell ref="F4614:G4614"/>
    <mergeCell ref="J4614:N4614"/>
    <mergeCell ref="T4614:U4614"/>
    <mergeCell ref="B4615:D4615"/>
    <mergeCell ref="F4615:G4615"/>
    <mergeCell ref="J4615:N4615"/>
    <mergeCell ref="T4615:U4615"/>
    <mergeCell ref="B4616:D4616"/>
    <mergeCell ref="F4616:G4616"/>
    <mergeCell ref="J4616:N4616"/>
    <mergeCell ref="T4616:U4616"/>
    <mergeCell ref="B4617:D4617"/>
    <mergeCell ref="F4617:G4617"/>
    <mergeCell ref="J4617:N4617"/>
    <mergeCell ref="T4617:U4617"/>
    <mergeCell ref="B4618:D4618"/>
    <mergeCell ref="F4618:G4618"/>
    <mergeCell ref="J4618:N4618"/>
    <mergeCell ref="T4618:U4618"/>
    <mergeCell ref="B4619:D4619"/>
    <mergeCell ref="F4619:G4619"/>
    <mergeCell ref="J4619:N4619"/>
    <mergeCell ref="T4619:U4619"/>
    <mergeCell ref="B4620:D4620"/>
    <mergeCell ref="F4620:G4620"/>
    <mergeCell ref="J4620:N4620"/>
    <mergeCell ref="T4620:U4620"/>
    <mergeCell ref="B4621:D4621"/>
    <mergeCell ref="F4621:G4621"/>
    <mergeCell ref="J4621:N4621"/>
    <mergeCell ref="T4621:U4621"/>
    <mergeCell ref="B4604:D4604"/>
    <mergeCell ref="F4604:G4604"/>
    <mergeCell ref="J4604:N4604"/>
    <mergeCell ref="T4604:U4604"/>
    <mergeCell ref="B4605:D4605"/>
    <mergeCell ref="F4605:G4605"/>
    <mergeCell ref="J4605:N4605"/>
    <mergeCell ref="T4605:U4605"/>
    <mergeCell ref="B4606:D4606"/>
    <mergeCell ref="F4606:G4606"/>
    <mergeCell ref="J4606:N4606"/>
    <mergeCell ref="T4606:U4606"/>
    <mergeCell ref="B4607:D4607"/>
    <mergeCell ref="F4607:G4607"/>
    <mergeCell ref="J4607:N4607"/>
    <mergeCell ref="T4607:U4607"/>
    <mergeCell ref="B4608:D4608"/>
    <mergeCell ref="F4608:G4608"/>
    <mergeCell ref="J4608:N4608"/>
    <mergeCell ref="T4608:U4608"/>
    <mergeCell ref="B4609:D4609"/>
    <mergeCell ref="F4609:G4609"/>
    <mergeCell ref="J4609:N4609"/>
    <mergeCell ref="T4609:U4609"/>
    <mergeCell ref="B4610:D4610"/>
    <mergeCell ref="F4610:G4610"/>
    <mergeCell ref="J4610:N4610"/>
    <mergeCell ref="T4610:U4610"/>
    <mergeCell ref="B4611:D4611"/>
    <mergeCell ref="F4611:G4611"/>
    <mergeCell ref="J4611:N4611"/>
    <mergeCell ref="T4611:U4611"/>
    <mergeCell ref="B4612:D4612"/>
    <mergeCell ref="F4612:G4612"/>
    <mergeCell ref="J4612:N4612"/>
    <mergeCell ref="T4612:U4612"/>
    <mergeCell ref="B4595:D4595"/>
    <mergeCell ref="F4595:G4595"/>
    <mergeCell ref="J4595:N4595"/>
    <mergeCell ref="T4595:U4595"/>
    <mergeCell ref="B4596:D4596"/>
    <mergeCell ref="F4596:G4596"/>
    <mergeCell ref="J4596:N4596"/>
    <mergeCell ref="T4596:U4596"/>
    <mergeCell ref="B4597:D4597"/>
    <mergeCell ref="F4597:G4597"/>
    <mergeCell ref="J4597:N4597"/>
    <mergeCell ref="T4597:U4597"/>
    <mergeCell ref="B4598:D4598"/>
    <mergeCell ref="F4598:G4598"/>
    <mergeCell ref="J4598:N4598"/>
    <mergeCell ref="T4598:U4598"/>
    <mergeCell ref="B4599:D4599"/>
    <mergeCell ref="F4599:G4599"/>
    <mergeCell ref="J4599:N4599"/>
    <mergeCell ref="T4599:U4599"/>
    <mergeCell ref="B4600:D4600"/>
    <mergeCell ref="F4600:G4600"/>
    <mergeCell ref="J4600:N4600"/>
    <mergeCell ref="T4600:U4600"/>
    <mergeCell ref="B4601:D4601"/>
    <mergeCell ref="F4601:G4601"/>
    <mergeCell ref="J4601:N4601"/>
    <mergeCell ref="T4601:U4601"/>
    <mergeCell ref="B4602:D4602"/>
    <mergeCell ref="F4602:G4602"/>
    <mergeCell ref="J4602:N4602"/>
    <mergeCell ref="T4602:U4602"/>
    <mergeCell ref="B4603:D4603"/>
    <mergeCell ref="F4603:G4603"/>
    <mergeCell ref="J4603:N4603"/>
    <mergeCell ref="T4603:U4603"/>
    <mergeCell ref="B4586:D4586"/>
    <mergeCell ref="F4586:G4586"/>
    <mergeCell ref="J4586:N4586"/>
    <mergeCell ref="T4586:U4586"/>
    <mergeCell ref="B4587:D4587"/>
    <mergeCell ref="F4587:G4587"/>
    <mergeCell ref="J4587:N4587"/>
    <mergeCell ref="T4587:U4587"/>
    <mergeCell ref="B4588:D4588"/>
    <mergeCell ref="F4588:G4588"/>
    <mergeCell ref="J4588:N4588"/>
    <mergeCell ref="T4588:U4588"/>
    <mergeCell ref="B4589:D4589"/>
    <mergeCell ref="F4589:G4589"/>
    <mergeCell ref="J4589:N4589"/>
    <mergeCell ref="T4589:U4589"/>
    <mergeCell ref="B4590:D4590"/>
    <mergeCell ref="F4590:G4590"/>
    <mergeCell ref="J4590:N4590"/>
    <mergeCell ref="T4590:U4590"/>
    <mergeCell ref="B4591:D4591"/>
    <mergeCell ref="F4591:G4591"/>
    <mergeCell ref="J4591:N4591"/>
    <mergeCell ref="T4591:U4591"/>
    <mergeCell ref="B4592:D4592"/>
    <mergeCell ref="F4592:G4592"/>
    <mergeCell ref="J4592:N4592"/>
    <mergeCell ref="T4592:U4592"/>
    <mergeCell ref="B4593:D4593"/>
    <mergeCell ref="F4593:G4593"/>
    <mergeCell ref="J4593:N4593"/>
    <mergeCell ref="T4593:U4593"/>
    <mergeCell ref="B4594:D4594"/>
    <mergeCell ref="F4594:G4594"/>
    <mergeCell ref="J4594:N4594"/>
    <mergeCell ref="T4594:U4594"/>
    <mergeCell ref="B4577:D4577"/>
    <mergeCell ref="F4577:G4577"/>
    <mergeCell ref="J4577:N4577"/>
    <mergeCell ref="T4577:U4577"/>
    <mergeCell ref="B4578:D4578"/>
    <mergeCell ref="F4578:G4578"/>
    <mergeCell ref="J4578:N4578"/>
    <mergeCell ref="T4578:U4578"/>
    <mergeCell ref="B4579:D4579"/>
    <mergeCell ref="F4579:G4579"/>
    <mergeCell ref="J4579:N4579"/>
    <mergeCell ref="T4579:U4579"/>
    <mergeCell ref="B4580:D4580"/>
    <mergeCell ref="F4580:G4580"/>
    <mergeCell ref="J4580:N4580"/>
    <mergeCell ref="T4580:U4580"/>
    <mergeCell ref="B4581:D4581"/>
    <mergeCell ref="F4581:G4581"/>
    <mergeCell ref="J4581:N4581"/>
    <mergeCell ref="T4581:U4581"/>
    <mergeCell ref="B4582:D4582"/>
    <mergeCell ref="F4582:G4582"/>
    <mergeCell ref="J4582:N4582"/>
    <mergeCell ref="T4582:U4582"/>
    <mergeCell ref="B4583:D4583"/>
    <mergeCell ref="F4583:G4583"/>
    <mergeCell ref="J4583:N4583"/>
    <mergeCell ref="T4583:U4583"/>
    <mergeCell ref="B4584:D4584"/>
    <mergeCell ref="F4584:G4584"/>
    <mergeCell ref="J4584:N4584"/>
    <mergeCell ref="T4584:U4584"/>
    <mergeCell ref="B4585:D4585"/>
    <mergeCell ref="F4585:G4585"/>
    <mergeCell ref="J4585:N4585"/>
    <mergeCell ref="T4585:U4585"/>
    <mergeCell ref="B4568:D4568"/>
    <mergeCell ref="F4568:G4568"/>
    <mergeCell ref="J4568:N4568"/>
    <mergeCell ref="T4568:U4568"/>
    <mergeCell ref="B4569:D4569"/>
    <mergeCell ref="F4569:G4569"/>
    <mergeCell ref="J4569:N4569"/>
    <mergeCell ref="T4569:U4569"/>
    <mergeCell ref="B4570:D4570"/>
    <mergeCell ref="F4570:G4570"/>
    <mergeCell ref="J4570:N4570"/>
    <mergeCell ref="T4570:U4570"/>
    <mergeCell ref="B4571:D4571"/>
    <mergeCell ref="F4571:G4571"/>
    <mergeCell ref="J4571:N4571"/>
    <mergeCell ref="T4571:U4571"/>
    <mergeCell ref="B4572:D4572"/>
    <mergeCell ref="F4572:G4572"/>
    <mergeCell ref="J4572:N4572"/>
    <mergeCell ref="T4572:U4572"/>
    <mergeCell ref="B4573:D4573"/>
    <mergeCell ref="F4573:G4573"/>
    <mergeCell ref="J4573:N4573"/>
    <mergeCell ref="T4573:U4573"/>
    <mergeCell ref="B4574:D4574"/>
    <mergeCell ref="F4574:G4574"/>
    <mergeCell ref="J4574:N4574"/>
    <mergeCell ref="T4574:U4574"/>
    <mergeCell ref="A4575:J4575"/>
    <mergeCell ref="K4575:O4575"/>
    <mergeCell ref="T4575:U4575"/>
    <mergeCell ref="B4576:D4576"/>
    <mergeCell ref="F4576:G4576"/>
    <mergeCell ref="J4576:N4576"/>
    <mergeCell ref="T4576:U4576"/>
    <mergeCell ref="B4559:D4559"/>
    <mergeCell ref="F4559:G4559"/>
    <mergeCell ref="J4559:N4559"/>
    <mergeCell ref="T4559:U4559"/>
    <mergeCell ref="B4560:D4560"/>
    <mergeCell ref="F4560:G4560"/>
    <mergeCell ref="J4560:N4560"/>
    <mergeCell ref="T4560:U4560"/>
    <mergeCell ref="B4561:D4561"/>
    <mergeCell ref="F4561:G4561"/>
    <mergeCell ref="J4561:N4561"/>
    <mergeCell ref="T4561:U4561"/>
    <mergeCell ref="B4562:D4562"/>
    <mergeCell ref="F4562:G4562"/>
    <mergeCell ref="J4562:N4562"/>
    <mergeCell ref="T4562:U4562"/>
    <mergeCell ref="B4563:D4563"/>
    <mergeCell ref="F4563:G4563"/>
    <mergeCell ref="J4563:N4563"/>
    <mergeCell ref="T4563:U4563"/>
    <mergeCell ref="B4564:D4564"/>
    <mergeCell ref="F4564:G4564"/>
    <mergeCell ref="J4564:N4564"/>
    <mergeCell ref="T4564:U4564"/>
    <mergeCell ref="B4565:D4565"/>
    <mergeCell ref="F4565:G4565"/>
    <mergeCell ref="J4565:N4565"/>
    <mergeCell ref="T4565:U4565"/>
    <mergeCell ref="B4566:D4566"/>
    <mergeCell ref="F4566:G4566"/>
    <mergeCell ref="J4566:N4566"/>
    <mergeCell ref="T4566:U4566"/>
    <mergeCell ref="B4567:D4567"/>
    <mergeCell ref="F4567:G4567"/>
    <mergeCell ref="J4567:N4567"/>
    <mergeCell ref="T4567:U4567"/>
    <mergeCell ref="B4550:D4550"/>
    <mergeCell ref="F4550:G4550"/>
    <mergeCell ref="J4550:N4550"/>
    <mergeCell ref="T4550:U4550"/>
    <mergeCell ref="B4551:D4551"/>
    <mergeCell ref="F4551:G4551"/>
    <mergeCell ref="J4551:N4551"/>
    <mergeCell ref="T4551:U4551"/>
    <mergeCell ref="B4552:D4552"/>
    <mergeCell ref="F4552:G4552"/>
    <mergeCell ref="J4552:N4552"/>
    <mergeCell ref="T4552:U4552"/>
    <mergeCell ref="B4553:D4553"/>
    <mergeCell ref="F4553:G4553"/>
    <mergeCell ref="J4553:N4553"/>
    <mergeCell ref="T4553:U4553"/>
    <mergeCell ref="B4554:D4554"/>
    <mergeCell ref="F4554:G4554"/>
    <mergeCell ref="J4554:N4554"/>
    <mergeCell ref="T4554:U4554"/>
    <mergeCell ref="B4555:D4555"/>
    <mergeCell ref="F4555:G4555"/>
    <mergeCell ref="J4555:N4555"/>
    <mergeCell ref="T4555:U4555"/>
    <mergeCell ref="B4556:D4556"/>
    <mergeCell ref="F4556:G4556"/>
    <mergeCell ref="J4556:N4556"/>
    <mergeCell ref="T4556:U4556"/>
    <mergeCell ref="B4557:D4557"/>
    <mergeCell ref="F4557:G4557"/>
    <mergeCell ref="J4557:N4557"/>
    <mergeCell ref="T4557:U4557"/>
    <mergeCell ref="B4558:D4558"/>
    <mergeCell ref="F4558:G4558"/>
    <mergeCell ref="J4558:N4558"/>
    <mergeCell ref="T4558:U4558"/>
    <mergeCell ref="B4541:D4541"/>
    <mergeCell ref="F4541:G4541"/>
    <mergeCell ref="J4541:N4541"/>
    <mergeCell ref="T4541:U4541"/>
    <mergeCell ref="B4542:D4542"/>
    <mergeCell ref="F4542:G4542"/>
    <mergeCell ref="J4542:N4542"/>
    <mergeCell ref="T4542:U4542"/>
    <mergeCell ref="B4543:D4543"/>
    <mergeCell ref="F4543:G4543"/>
    <mergeCell ref="J4543:N4543"/>
    <mergeCell ref="T4543:U4543"/>
    <mergeCell ref="B4544:D4544"/>
    <mergeCell ref="F4544:G4544"/>
    <mergeCell ref="J4544:N4544"/>
    <mergeCell ref="T4544:U4544"/>
    <mergeCell ref="B4545:D4545"/>
    <mergeCell ref="F4545:G4545"/>
    <mergeCell ref="J4545:N4545"/>
    <mergeCell ref="T4545:U4545"/>
    <mergeCell ref="B4546:D4546"/>
    <mergeCell ref="F4546:G4546"/>
    <mergeCell ref="J4546:N4546"/>
    <mergeCell ref="T4546:U4546"/>
    <mergeCell ref="B4547:D4547"/>
    <mergeCell ref="F4547:G4547"/>
    <mergeCell ref="J4547:N4547"/>
    <mergeCell ref="T4547:U4547"/>
    <mergeCell ref="B4548:D4548"/>
    <mergeCell ref="F4548:G4548"/>
    <mergeCell ref="J4548:N4548"/>
    <mergeCell ref="T4548:U4548"/>
    <mergeCell ref="B4549:D4549"/>
    <mergeCell ref="F4549:G4549"/>
    <mergeCell ref="J4549:N4549"/>
    <mergeCell ref="T4549:U4549"/>
    <mergeCell ref="B4531:D4531"/>
    <mergeCell ref="F4531:G4531"/>
    <mergeCell ref="J4531:N4531"/>
    <mergeCell ref="T4531:U4531"/>
    <mergeCell ref="B4532:D4532"/>
    <mergeCell ref="F4532:G4532"/>
    <mergeCell ref="J4532:N4532"/>
    <mergeCell ref="T4532:U4532"/>
    <mergeCell ref="B4533:D4533"/>
    <mergeCell ref="F4533:G4533"/>
    <mergeCell ref="J4533:N4533"/>
    <mergeCell ref="T4533:U4533"/>
    <mergeCell ref="B4534:D4534"/>
    <mergeCell ref="F4534:G4535"/>
    <mergeCell ref="J4534:N4534"/>
    <mergeCell ref="T4534:U4534"/>
    <mergeCell ref="B4536:D4536"/>
    <mergeCell ref="F4536:G4536"/>
    <mergeCell ref="J4536:N4536"/>
    <mergeCell ref="T4536:U4536"/>
    <mergeCell ref="B4537:D4537"/>
    <mergeCell ref="F4537:G4537"/>
    <mergeCell ref="J4537:N4537"/>
    <mergeCell ref="T4537:U4537"/>
    <mergeCell ref="B4538:D4538"/>
    <mergeCell ref="F4538:G4538"/>
    <mergeCell ref="J4538:N4538"/>
    <mergeCell ref="T4538:U4538"/>
    <mergeCell ref="B4539:D4539"/>
    <mergeCell ref="F4539:G4539"/>
    <mergeCell ref="J4539:N4539"/>
    <mergeCell ref="T4539:U4539"/>
    <mergeCell ref="B4540:D4540"/>
    <mergeCell ref="F4540:G4540"/>
    <mergeCell ref="J4540:N4540"/>
    <mergeCell ref="T4540:U4540"/>
    <mergeCell ref="B4521:D4521"/>
    <mergeCell ref="F4521:G4522"/>
    <mergeCell ref="J4521:N4521"/>
    <mergeCell ref="T4521:U4521"/>
    <mergeCell ref="B4523:D4523"/>
    <mergeCell ref="F4523:G4523"/>
    <mergeCell ref="J4523:N4523"/>
    <mergeCell ref="T4523:U4523"/>
    <mergeCell ref="B4524:D4524"/>
    <mergeCell ref="F4524:G4524"/>
    <mergeCell ref="J4524:N4524"/>
    <mergeCell ref="T4524:U4524"/>
    <mergeCell ref="B4525:D4525"/>
    <mergeCell ref="F4525:G4525"/>
    <mergeCell ref="J4525:N4525"/>
    <mergeCell ref="T4525:U4525"/>
    <mergeCell ref="B4526:D4526"/>
    <mergeCell ref="F4526:G4526"/>
    <mergeCell ref="J4526:N4526"/>
    <mergeCell ref="T4526:U4526"/>
    <mergeCell ref="B4527:D4527"/>
    <mergeCell ref="F4527:G4527"/>
    <mergeCell ref="J4527:N4527"/>
    <mergeCell ref="T4527:U4527"/>
    <mergeCell ref="B4528:D4528"/>
    <mergeCell ref="F4528:G4528"/>
    <mergeCell ref="J4528:N4528"/>
    <mergeCell ref="T4528:U4528"/>
    <mergeCell ref="B4529:D4529"/>
    <mergeCell ref="F4529:G4529"/>
    <mergeCell ref="J4529:N4529"/>
    <mergeCell ref="T4529:U4529"/>
    <mergeCell ref="B4530:D4530"/>
    <mergeCell ref="F4530:G4530"/>
    <mergeCell ref="J4530:N4530"/>
    <mergeCell ref="T4530:U4530"/>
    <mergeCell ref="B4512:D4512"/>
    <mergeCell ref="F4512:G4512"/>
    <mergeCell ref="J4512:N4512"/>
    <mergeCell ref="T4512:U4512"/>
    <mergeCell ref="B4513:D4513"/>
    <mergeCell ref="F4513:G4513"/>
    <mergeCell ref="J4513:N4513"/>
    <mergeCell ref="T4513:U4513"/>
    <mergeCell ref="B4514:D4514"/>
    <mergeCell ref="F4514:G4514"/>
    <mergeCell ref="J4514:N4514"/>
    <mergeCell ref="T4514:U4514"/>
    <mergeCell ref="B4515:D4515"/>
    <mergeCell ref="F4515:G4515"/>
    <mergeCell ref="J4515:N4515"/>
    <mergeCell ref="T4515:U4515"/>
    <mergeCell ref="B4516:D4516"/>
    <mergeCell ref="F4516:G4516"/>
    <mergeCell ref="J4516:N4516"/>
    <mergeCell ref="T4516:U4516"/>
    <mergeCell ref="B4517:D4517"/>
    <mergeCell ref="F4517:G4517"/>
    <mergeCell ref="J4517:N4517"/>
    <mergeCell ref="T4517:U4517"/>
    <mergeCell ref="B4518:D4518"/>
    <mergeCell ref="F4518:G4518"/>
    <mergeCell ref="J4518:N4518"/>
    <mergeCell ref="T4518:U4518"/>
    <mergeCell ref="B4519:D4519"/>
    <mergeCell ref="F4519:G4519"/>
    <mergeCell ref="J4519:N4519"/>
    <mergeCell ref="T4519:U4519"/>
    <mergeCell ref="B4520:D4520"/>
    <mergeCell ref="F4520:G4520"/>
    <mergeCell ref="J4520:N4520"/>
    <mergeCell ref="T4520:U4520"/>
    <mergeCell ref="B4503:D4503"/>
    <mergeCell ref="F4503:G4503"/>
    <mergeCell ref="J4503:N4503"/>
    <mergeCell ref="T4503:U4503"/>
    <mergeCell ref="B4504:D4504"/>
    <mergeCell ref="F4504:G4504"/>
    <mergeCell ref="J4504:N4504"/>
    <mergeCell ref="T4504:U4504"/>
    <mergeCell ref="B4505:D4505"/>
    <mergeCell ref="F4505:G4505"/>
    <mergeCell ref="J4505:N4505"/>
    <mergeCell ref="T4505:U4505"/>
    <mergeCell ref="B4506:D4506"/>
    <mergeCell ref="F4506:G4506"/>
    <mergeCell ref="J4506:N4506"/>
    <mergeCell ref="T4506:U4506"/>
    <mergeCell ref="B4507:D4507"/>
    <mergeCell ref="F4507:G4507"/>
    <mergeCell ref="J4507:N4507"/>
    <mergeCell ref="T4507:U4507"/>
    <mergeCell ref="B4508:D4508"/>
    <mergeCell ref="F4508:G4508"/>
    <mergeCell ref="J4508:N4508"/>
    <mergeCell ref="T4508:U4508"/>
    <mergeCell ref="B4509:D4509"/>
    <mergeCell ref="F4509:G4509"/>
    <mergeCell ref="J4509:N4509"/>
    <mergeCell ref="T4509:U4509"/>
    <mergeCell ref="B4510:D4510"/>
    <mergeCell ref="F4510:G4510"/>
    <mergeCell ref="J4510:N4510"/>
    <mergeCell ref="T4510:U4510"/>
    <mergeCell ref="B4511:D4511"/>
    <mergeCell ref="F4511:G4511"/>
    <mergeCell ref="J4511:N4511"/>
    <mergeCell ref="T4511:U4511"/>
    <mergeCell ref="B4494:D4494"/>
    <mergeCell ref="F4494:G4494"/>
    <mergeCell ref="J4494:N4494"/>
    <mergeCell ref="T4494:U4494"/>
    <mergeCell ref="B4495:D4495"/>
    <mergeCell ref="F4495:G4495"/>
    <mergeCell ref="J4495:N4495"/>
    <mergeCell ref="T4495:U4495"/>
    <mergeCell ref="B4496:D4496"/>
    <mergeCell ref="F4496:G4496"/>
    <mergeCell ref="J4496:N4496"/>
    <mergeCell ref="T4496:U4496"/>
    <mergeCell ref="B4497:D4497"/>
    <mergeCell ref="F4497:G4497"/>
    <mergeCell ref="J4497:N4497"/>
    <mergeCell ref="T4497:U4497"/>
    <mergeCell ref="B4498:D4498"/>
    <mergeCell ref="F4498:G4498"/>
    <mergeCell ref="J4498:N4498"/>
    <mergeCell ref="T4498:U4498"/>
    <mergeCell ref="B4499:D4499"/>
    <mergeCell ref="F4499:G4499"/>
    <mergeCell ref="J4499:N4499"/>
    <mergeCell ref="T4499:U4499"/>
    <mergeCell ref="B4500:D4500"/>
    <mergeCell ref="F4500:G4500"/>
    <mergeCell ref="J4500:N4500"/>
    <mergeCell ref="T4500:U4500"/>
    <mergeCell ref="B4501:D4501"/>
    <mergeCell ref="F4501:G4501"/>
    <mergeCell ref="J4501:N4501"/>
    <mergeCell ref="T4501:U4501"/>
    <mergeCell ref="B4502:D4502"/>
    <mergeCell ref="F4502:G4502"/>
    <mergeCell ref="J4502:N4502"/>
    <mergeCell ref="T4502:U4502"/>
    <mergeCell ref="B4485:D4485"/>
    <mergeCell ref="F4485:G4485"/>
    <mergeCell ref="J4485:N4485"/>
    <mergeCell ref="T4485:U4485"/>
    <mergeCell ref="B4486:D4486"/>
    <mergeCell ref="F4486:G4486"/>
    <mergeCell ref="J4486:N4486"/>
    <mergeCell ref="T4486:U4486"/>
    <mergeCell ref="B4487:D4487"/>
    <mergeCell ref="F4487:G4487"/>
    <mergeCell ref="J4487:N4487"/>
    <mergeCell ref="T4487:U4487"/>
    <mergeCell ref="B4488:D4488"/>
    <mergeCell ref="F4488:G4488"/>
    <mergeCell ref="J4488:N4488"/>
    <mergeCell ref="T4488:U4488"/>
    <mergeCell ref="B4489:D4489"/>
    <mergeCell ref="F4489:G4489"/>
    <mergeCell ref="J4489:N4489"/>
    <mergeCell ref="T4489:U4489"/>
    <mergeCell ref="B4490:D4490"/>
    <mergeCell ref="F4490:G4490"/>
    <mergeCell ref="J4490:N4490"/>
    <mergeCell ref="T4490:U4490"/>
    <mergeCell ref="B4491:D4491"/>
    <mergeCell ref="F4491:G4491"/>
    <mergeCell ref="J4491:N4491"/>
    <mergeCell ref="T4491:U4491"/>
    <mergeCell ref="B4492:D4492"/>
    <mergeCell ref="F4492:G4492"/>
    <mergeCell ref="J4492:N4492"/>
    <mergeCell ref="T4492:U4492"/>
    <mergeCell ref="B4493:D4493"/>
    <mergeCell ref="F4493:G4493"/>
    <mergeCell ref="J4493:N4493"/>
    <mergeCell ref="T4493:U4493"/>
    <mergeCell ref="B4476:D4476"/>
    <mergeCell ref="F4476:G4476"/>
    <mergeCell ref="J4476:N4476"/>
    <mergeCell ref="T4476:U4476"/>
    <mergeCell ref="B4477:D4477"/>
    <mergeCell ref="F4477:G4477"/>
    <mergeCell ref="J4477:N4477"/>
    <mergeCell ref="T4477:U4477"/>
    <mergeCell ref="B4478:D4478"/>
    <mergeCell ref="F4478:G4478"/>
    <mergeCell ref="J4478:N4478"/>
    <mergeCell ref="T4478:U4478"/>
    <mergeCell ref="B4479:D4479"/>
    <mergeCell ref="F4479:G4479"/>
    <mergeCell ref="J4479:N4479"/>
    <mergeCell ref="T4479:U4479"/>
    <mergeCell ref="B4480:D4480"/>
    <mergeCell ref="F4480:G4480"/>
    <mergeCell ref="J4480:N4480"/>
    <mergeCell ref="T4480:U4480"/>
    <mergeCell ref="B4481:D4481"/>
    <mergeCell ref="F4481:G4481"/>
    <mergeCell ref="J4481:N4481"/>
    <mergeCell ref="T4481:U4481"/>
    <mergeCell ref="B4482:D4482"/>
    <mergeCell ref="F4482:G4482"/>
    <mergeCell ref="J4482:N4482"/>
    <mergeCell ref="T4482:U4482"/>
    <mergeCell ref="B4483:D4483"/>
    <mergeCell ref="F4483:G4483"/>
    <mergeCell ref="J4483:N4483"/>
    <mergeCell ref="T4483:U4483"/>
    <mergeCell ref="B4484:D4484"/>
    <mergeCell ref="F4484:G4484"/>
    <mergeCell ref="J4484:N4484"/>
    <mergeCell ref="T4484:U4484"/>
    <mergeCell ref="B4467:D4467"/>
    <mergeCell ref="F4467:G4467"/>
    <mergeCell ref="J4467:N4467"/>
    <mergeCell ref="T4467:U4467"/>
    <mergeCell ref="B4468:D4468"/>
    <mergeCell ref="F4468:G4468"/>
    <mergeCell ref="J4468:N4468"/>
    <mergeCell ref="T4468:U4468"/>
    <mergeCell ref="B4469:D4469"/>
    <mergeCell ref="F4469:G4469"/>
    <mergeCell ref="J4469:N4469"/>
    <mergeCell ref="T4469:U4469"/>
    <mergeCell ref="A4470:J4470"/>
    <mergeCell ref="K4470:O4470"/>
    <mergeCell ref="T4470:U4470"/>
    <mergeCell ref="B4471:D4471"/>
    <mergeCell ref="F4471:G4471"/>
    <mergeCell ref="J4471:N4471"/>
    <mergeCell ref="T4471:U4471"/>
    <mergeCell ref="B4472:D4472"/>
    <mergeCell ref="F4472:G4472"/>
    <mergeCell ref="J4472:N4472"/>
    <mergeCell ref="T4472:U4472"/>
    <mergeCell ref="B4473:D4473"/>
    <mergeCell ref="F4473:G4473"/>
    <mergeCell ref="J4473:N4473"/>
    <mergeCell ref="T4473:U4473"/>
    <mergeCell ref="B4474:D4474"/>
    <mergeCell ref="F4474:G4474"/>
    <mergeCell ref="J4474:N4474"/>
    <mergeCell ref="T4474:U4474"/>
    <mergeCell ref="B4475:D4475"/>
    <mergeCell ref="F4475:G4475"/>
    <mergeCell ref="J4475:N4475"/>
    <mergeCell ref="T4475:U4475"/>
    <mergeCell ref="B4458:D4458"/>
    <mergeCell ref="F4458:G4458"/>
    <mergeCell ref="J4458:N4458"/>
    <mergeCell ref="T4458:U4458"/>
    <mergeCell ref="B4459:D4459"/>
    <mergeCell ref="F4459:G4459"/>
    <mergeCell ref="J4459:N4459"/>
    <mergeCell ref="T4459:U4459"/>
    <mergeCell ref="B4460:D4460"/>
    <mergeCell ref="F4460:G4460"/>
    <mergeCell ref="J4460:N4460"/>
    <mergeCell ref="T4460:U4460"/>
    <mergeCell ref="B4461:D4461"/>
    <mergeCell ref="F4461:G4461"/>
    <mergeCell ref="J4461:N4461"/>
    <mergeCell ref="T4461:U4461"/>
    <mergeCell ref="B4462:D4462"/>
    <mergeCell ref="F4462:G4462"/>
    <mergeCell ref="J4462:N4462"/>
    <mergeCell ref="T4462:U4462"/>
    <mergeCell ref="B4463:D4463"/>
    <mergeCell ref="F4463:G4463"/>
    <mergeCell ref="J4463:N4463"/>
    <mergeCell ref="T4463:U4463"/>
    <mergeCell ref="B4464:D4464"/>
    <mergeCell ref="F4464:G4464"/>
    <mergeCell ref="J4464:N4464"/>
    <mergeCell ref="T4464:U4464"/>
    <mergeCell ref="B4465:D4465"/>
    <mergeCell ref="F4465:G4465"/>
    <mergeCell ref="J4465:N4465"/>
    <mergeCell ref="T4465:U4465"/>
    <mergeCell ref="B4466:D4466"/>
    <mergeCell ref="F4466:G4466"/>
    <mergeCell ref="J4466:N4466"/>
    <mergeCell ref="T4466:U4466"/>
    <mergeCell ref="B4449:D4449"/>
    <mergeCell ref="F4449:G4449"/>
    <mergeCell ref="J4449:N4449"/>
    <mergeCell ref="T4449:U4449"/>
    <mergeCell ref="B4450:D4450"/>
    <mergeCell ref="F4450:G4450"/>
    <mergeCell ref="J4450:N4450"/>
    <mergeCell ref="T4450:U4450"/>
    <mergeCell ref="B4451:D4451"/>
    <mergeCell ref="F4451:G4451"/>
    <mergeCell ref="J4451:N4451"/>
    <mergeCell ref="T4451:U4451"/>
    <mergeCell ref="B4452:D4452"/>
    <mergeCell ref="F4452:G4452"/>
    <mergeCell ref="J4452:N4452"/>
    <mergeCell ref="T4452:U4452"/>
    <mergeCell ref="B4453:D4453"/>
    <mergeCell ref="F4453:G4453"/>
    <mergeCell ref="J4453:N4453"/>
    <mergeCell ref="T4453:U4453"/>
    <mergeCell ref="B4454:D4454"/>
    <mergeCell ref="F4454:G4454"/>
    <mergeCell ref="J4454:N4454"/>
    <mergeCell ref="T4454:U4454"/>
    <mergeCell ref="B4455:D4455"/>
    <mergeCell ref="F4455:G4455"/>
    <mergeCell ref="J4455:N4455"/>
    <mergeCell ref="T4455:U4455"/>
    <mergeCell ref="B4456:D4456"/>
    <mergeCell ref="F4456:G4456"/>
    <mergeCell ref="J4456:N4456"/>
    <mergeCell ref="T4456:U4456"/>
    <mergeCell ref="B4457:D4457"/>
    <mergeCell ref="F4457:G4457"/>
    <mergeCell ref="J4457:N4457"/>
    <mergeCell ref="T4457:U4457"/>
    <mergeCell ref="B4440:D4440"/>
    <mergeCell ref="F4440:G4440"/>
    <mergeCell ref="J4440:N4440"/>
    <mergeCell ref="T4440:U4440"/>
    <mergeCell ref="B4441:D4441"/>
    <mergeCell ref="F4441:G4441"/>
    <mergeCell ref="J4441:N4441"/>
    <mergeCell ref="T4441:U4441"/>
    <mergeCell ref="B4442:D4442"/>
    <mergeCell ref="F4442:G4442"/>
    <mergeCell ref="J4442:N4442"/>
    <mergeCell ref="T4442:U4442"/>
    <mergeCell ref="B4443:D4443"/>
    <mergeCell ref="F4443:G4443"/>
    <mergeCell ref="J4443:N4443"/>
    <mergeCell ref="T4443:U4443"/>
    <mergeCell ref="B4444:D4444"/>
    <mergeCell ref="F4444:G4444"/>
    <mergeCell ref="J4444:N4444"/>
    <mergeCell ref="T4444:U4444"/>
    <mergeCell ref="B4445:D4445"/>
    <mergeCell ref="F4445:G4445"/>
    <mergeCell ref="J4445:N4445"/>
    <mergeCell ref="T4445:U4445"/>
    <mergeCell ref="B4446:D4446"/>
    <mergeCell ref="F4446:G4446"/>
    <mergeCell ref="J4446:N4446"/>
    <mergeCell ref="T4446:U4446"/>
    <mergeCell ref="B4447:D4447"/>
    <mergeCell ref="F4447:G4447"/>
    <mergeCell ref="J4447:N4447"/>
    <mergeCell ref="T4447:U4447"/>
    <mergeCell ref="B4448:D4448"/>
    <mergeCell ref="F4448:G4448"/>
    <mergeCell ref="J4448:N4448"/>
    <mergeCell ref="T4448:U4448"/>
    <mergeCell ref="B4431:D4431"/>
    <mergeCell ref="F4431:G4431"/>
    <mergeCell ref="J4431:N4431"/>
    <mergeCell ref="T4431:U4431"/>
    <mergeCell ref="B4432:D4432"/>
    <mergeCell ref="F4432:G4432"/>
    <mergeCell ref="J4432:N4432"/>
    <mergeCell ref="T4432:U4432"/>
    <mergeCell ref="B4433:D4433"/>
    <mergeCell ref="F4433:G4433"/>
    <mergeCell ref="J4433:N4433"/>
    <mergeCell ref="T4433:U4433"/>
    <mergeCell ref="B4434:D4434"/>
    <mergeCell ref="F4434:G4434"/>
    <mergeCell ref="J4434:N4434"/>
    <mergeCell ref="T4434:U4434"/>
    <mergeCell ref="B4435:D4435"/>
    <mergeCell ref="F4435:G4435"/>
    <mergeCell ref="J4435:N4435"/>
    <mergeCell ref="T4435:U4435"/>
    <mergeCell ref="B4436:D4436"/>
    <mergeCell ref="F4436:G4436"/>
    <mergeCell ref="J4436:N4436"/>
    <mergeCell ref="T4436:U4436"/>
    <mergeCell ref="B4437:D4437"/>
    <mergeCell ref="F4437:G4437"/>
    <mergeCell ref="J4437:N4437"/>
    <mergeCell ref="T4437:U4437"/>
    <mergeCell ref="B4438:D4438"/>
    <mergeCell ref="F4438:G4438"/>
    <mergeCell ref="J4438:N4438"/>
    <mergeCell ref="T4438:U4438"/>
    <mergeCell ref="B4439:D4439"/>
    <mergeCell ref="F4439:G4439"/>
    <mergeCell ref="J4439:N4439"/>
    <mergeCell ref="T4439:U4439"/>
    <mergeCell ref="B4421:D4421"/>
    <mergeCell ref="F4421:G4422"/>
    <mergeCell ref="J4421:N4421"/>
    <mergeCell ref="T4421:U4421"/>
    <mergeCell ref="B4423:D4423"/>
    <mergeCell ref="F4423:G4423"/>
    <mergeCell ref="J4423:N4423"/>
    <mergeCell ref="T4423:U4423"/>
    <mergeCell ref="B4424:D4424"/>
    <mergeCell ref="F4424:G4424"/>
    <mergeCell ref="J4424:N4424"/>
    <mergeCell ref="T4424:U4424"/>
    <mergeCell ref="B4425:D4425"/>
    <mergeCell ref="F4425:G4425"/>
    <mergeCell ref="J4425:N4425"/>
    <mergeCell ref="T4425:U4425"/>
    <mergeCell ref="B4426:D4426"/>
    <mergeCell ref="F4426:G4426"/>
    <mergeCell ref="J4426:N4426"/>
    <mergeCell ref="T4426:U4426"/>
    <mergeCell ref="B4427:D4427"/>
    <mergeCell ref="F4427:G4427"/>
    <mergeCell ref="J4427:N4427"/>
    <mergeCell ref="T4427:U4427"/>
    <mergeCell ref="B4428:D4428"/>
    <mergeCell ref="F4428:G4428"/>
    <mergeCell ref="J4428:N4428"/>
    <mergeCell ref="T4428:U4428"/>
    <mergeCell ref="B4429:D4429"/>
    <mergeCell ref="F4429:G4429"/>
    <mergeCell ref="J4429:N4429"/>
    <mergeCell ref="T4429:U4429"/>
    <mergeCell ref="B4430:D4430"/>
    <mergeCell ref="F4430:G4430"/>
    <mergeCell ref="J4430:N4430"/>
    <mergeCell ref="T4430:U4430"/>
    <mergeCell ref="B4412:D4412"/>
    <mergeCell ref="F4412:G4412"/>
    <mergeCell ref="J4412:N4412"/>
    <mergeCell ref="T4412:U4412"/>
    <mergeCell ref="B4413:D4413"/>
    <mergeCell ref="F4413:G4413"/>
    <mergeCell ref="J4413:N4413"/>
    <mergeCell ref="T4413:U4413"/>
    <mergeCell ref="B4414:D4414"/>
    <mergeCell ref="F4414:G4414"/>
    <mergeCell ref="J4414:N4414"/>
    <mergeCell ref="T4414:U4414"/>
    <mergeCell ref="B4415:D4415"/>
    <mergeCell ref="F4415:G4415"/>
    <mergeCell ref="J4415:N4415"/>
    <mergeCell ref="T4415:U4415"/>
    <mergeCell ref="B4416:D4416"/>
    <mergeCell ref="F4416:G4416"/>
    <mergeCell ref="J4416:N4416"/>
    <mergeCell ref="T4416:U4416"/>
    <mergeCell ref="B4417:D4417"/>
    <mergeCell ref="F4417:G4417"/>
    <mergeCell ref="J4417:N4417"/>
    <mergeCell ref="T4417:U4417"/>
    <mergeCell ref="B4418:D4418"/>
    <mergeCell ref="F4418:G4418"/>
    <mergeCell ref="J4418:N4418"/>
    <mergeCell ref="T4418:U4418"/>
    <mergeCell ref="B4419:D4419"/>
    <mergeCell ref="F4419:G4419"/>
    <mergeCell ref="J4419:N4419"/>
    <mergeCell ref="T4419:U4419"/>
    <mergeCell ref="B4420:D4420"/>
    <mergeCell ref="F4420:G4420"/>
    <mergeCell ref="J4420:N4420"/>
    <mergeCell ref="T4420:U4420"/>
    <mergeCell ref="B4403:D4403"/>
    <mergeCell ref="F4403:G4403"/>
    <mergeCell ref="J4403:N4403"/>
    <mergeCell ref="T4403:U4403"/>
    <mergeCell ref="B4404:D4404"/>
    <mergeCell ref="F4404:G4404"/>
    <mergeCell ref="J4404:N4404"/>
    <mergeCell ref="T4404:U4404"/>
    <mergeCell ref="B4405:D4405"/>
    <mergeCell ref="F4405:G4405"/>
    <mergeCell ref="J4405:N4405"/>
    <mergeCell ref="T4405:U4405"/>
    <mergeCell ref="B4406:D4406"/>
    <mergeCell ref="F4406:G4406"/>
    <mergeCell ref="J4406:N4406"/>
    <mergeCell ref="T4406:U4406"/>
    <mergeCell ref="B4407:D4407"/>
    <mergeCell ref="F4407:G4407"/>
    <mergeCell ref="J4407:N4407"/>
    <mergeCell ref="T4407:U4407"/>
    <mergeCell ref="B4408:D4408"/>
    <mergeCell ref="F4408:G4408"/>
    <mergeCell ref="J4408:N4408"/>
    <mergeCell ref="T4408:U4408"/>
    <mergeCell ref="B4409:D4409"/>
    <mergeCell ref="F4409:G4409"/>
    <mergeCell ref="J4409:N4409"/>
    <mergeCell ref="T4409:U4409"/>
    <mergeCell ref="B4410:D4410"/>
    <mergeCell ref="F4410:G4410"/>
    <mergeCell ref="J4410:N4410"/>
    <mergeCell ref="T4410:U4410"/>
    <mergeCell ref="B4411:D4411"/>
    <mergeCell ref="F4411:G4411"/>
    <mergeCell ref="J4411:N4411"/>
    <mergeCell ref="T4411:U4411"/>
    <mergeCell ref="B4394:D4394"/>
    <mergeCell ref="F4394:G4394"/>
    <mergeCell ref="J4394:N4394"/>
    <mergeCell ref="T4394:U4394"/>
    <mergeCell ref="B4395:D4395"/>
    <mergeCell ref="F4395:G4395"/>
    <mergeCell ref="J4395:N4395"/>
    <mergeCell ref="T4395:U4395"/>
    <mergeCell ref="B4396:D4396"/>
    <mergeCell ref="F4396:G4396"/>
    <mergeCell ref="J4396:N4396"/>
    <mergeCell ref="T4396:U4396"/>
    <mergeCell ref="B4397:D4397"/>
    <mergeCell ref="F4397:G4397"/>
    <mergeCell ref="J4397:N4397"/>
    <mergeCell ref="T4397:U4397"/>
    <mergeCell ref="B4398:D4398"/>
    <mergeCell ref="F4398:G4398"/>
    <mergeCell ref="J4398:N4398"/>
    <mergeCell ref="T4398:U4398"/>
    <mergeCell ref="B4399:D4399"/>
    <mergeCell ref="F4399:G4399"/>
    <mergeCell ref="J4399:N4399"/>
    <mergeCell ref="T4399:U4399"/>
    <mergeCell ref="B4400:D4400"/>
    <mergeCell ref="F4400:G4400"/>
    <mergeCell ref="J4400:N4400"/>
    <mergeCell ref="T4400:U4400"/>
    <mergeCell ref="B4401:D4401"/>
    <mergeCell ref="F4401:G4401"/>
    <mergeCell ref="J4401:N4401"/>
    <mergeCell ref="T4401:U4401"/>
    <mergeCell ref="B4402:D4402"/>
    <mergeCell ref="F4402:G4402"/>
    <mergeCell ref="J4402:N4402"/>
    <mergeCell ref="T4402:U4402"/>
    <mergeCell ref="B4385:D4385"/>
    <mergeCell ref="F4385:G4385"/>
    <mergeCell ref="J4385:N4385"/>
    <mergeCell ref="T4385:U4385"/>
    <mergeCell ref="B4386:D4386"/>
    <mergeCell ref="F4386:G4386"/>
    <mergeCell ref="J4386:N4386"/>
    <mergeCell ref="T4386:U4386"/>
    <mergeCell ref="B4387:D4387"/>
    <mergeCell ref="F4387:G4387"/>
    <mergeCell ref="J4387:N4387"/>
    <mergeCell ref="T4387:U4387"/>
    <mergeCell ref="B4388:D4388"/>
    <mergeCell ref="F4388:G4388"/>
    <mergeCell ref="J4388:N4388"/>
    <mergeCell ref="T4388:U4388"/>
    <mergeCell ref="B4389:D4389"/>
    <mergeCell ref="F4389:G4389"/>
    <mergeCell ref="J4389:N4389"/>
    <mergeCell ref="T4389:U4389"/>
    <mergeCell ref="B4390:D4390"/>
    <mergeCell ref="F4390:G4390"/>
    <mergeCell ref="J4390:N4390"/>
    <mergeCell ref="T4390:U4390"/>
    <mergeCell ref="B4391:D4391"/>
    <mergeCell ref="F4391:G4391"/>
    <mergeCell ref="J4391:N4391"/>
    <mergeCell ref="T4391:U4391"/>
    <mergeCell ref="B4392:D4392"/>
    <mergeCell ref="F4392:G4392"/>
    <mergeCell ref="J4392:N4392"/>
    <mergeCell ref="T4392:U4392"/>
    <mergeCell ref="B4393:D4393"/>
    <mergeCell ref="F4393:G4393"/>
    <mergeCell ref="J4393:N4393"/>
    <mergeCell ref="T4393:U4393"/>
    <mergeCell ref="B4376:D4376"/>
    <mergeCell ref="F4376:G4376"/>
    <mergeCell ref="J4376:N4376"/>
    <mergeCell ref="T4376:U4376"/>
    <mergeCell ref="B4377:D4377"/>
    <mergeCell ref="F4377:G4377"/>
    <mergeCell ref="J4377:N4377"/>
    <mergeCell ref="T4377:U4377"/>
    <mergeCell ref="B4378:D4378"/>
    <mergeCell ref="F4378:G4378"/>
    <mergeCell ref="J4378:N4378"/>
    <mergeCell ref="T4378:U4378"/>
    <mergeCell ref="B4379:D4379"/>
    <mergeCell ref="F4379:G4379"/>
    <mergeCell ref="J4379:N4379"/>
    <mergeCell ref="T4379:U4379"/>
    <mergeCell ref="B4380:D4380"/>
    <mergeCell ref="F4380:G4380"/>
    <mergeCell ref="J4380:N4380"/>
    <mergeCell ref="T4380:U4380"/>
    <mergeCell ref="B4381:D4381"/>
    <mergeCell ref="F4381:G4381"/>
    <mergeCell ref="J4381:N4381"/>
    <mergeCell ref="T4381:U4381"/>
    <mergeCell ref="B4382:D4382"/>
    <mergeCell ref="F4382:G4382"/>
    <mergeCell ref="J4382:N4382"/>
    <mergeCell ref="T4382:U4382"/>
    <mergeCell ref="B4383:D4383"/>
    <mergeCell ref="F4383:G4383"/>
    <mergeCell ref="J4383:N4383"/>
    <mergeCell ref="T4383:U4383"/>
    <mergeCell ref="B4384:D4384"/>
    <mergeCell ref="F4384:G4384"/>
    <mergeCell ref="J4384:N4384"/>
    <mergeCell ref="T4384:U4384"/>
    <mergeCell ref="B4367:D4367"/>
    <mergeCell ref="F4367:G4367"/>
    <mergeCell ref="J4367:N4367"/>
    <mergeCell ref="T4367:U4367"/>
    <mergeCell ref="B4368:D4368"/>
    <mergeCell ref="F4368:G4368"/>
    <mergeCell ref="J4368:N4368"/>
    <mergeCell ref="T4368:U4368"/>
    <mergeCell ref="A4369:J4369"/>
    <mergeCell ref="K4369:O4369"/>
    <mergeCell ref="T4369:U4369"/>
    <mergeCell ref="B4370:D4370"/>
    <mergeCell ref="F4370:G4370"/>
    <mergeCell ref="J4370:N4370"/>
    <mergeCell ref="T4370:U4370"/>
    <mergeCell ref="B4371:D4371"/>
    <mergeCell ref="F4371:G4371"/>
    <mergeCell ref="J4371:N4371"/>
    <mergeCell ref="T4371:U4371"/>
    <mergeCell ref="B4372:D4372"/>
    <mergeCell ref="F4372:G4372"/>
    <mergeCell ref="J4372:N4372"/>
    <mergeCell ref="T4372:U4372"/>
    <mergeCell ref="B4373:D4373"/>
    <mergeCell ref="F4373:G4373"/>
    <mergeCell ref="J4373:N4373"/>
    <mergeCell ref="T4373:U4373"/>
    <mergeCell ref="B4374:D4374"/>
    <mergeCell ref="F4374:G4374"/>
    <mergeCell ref="J4374:N4374"/>
    <mergeCell ref="T4374:U4374"/>
    <mergeCell ref="B4375:D4375"/>
    <mergeCell ref="F4375:G4375"/>
    <mergeCell ref="J4375:N4375"/>
    <mergeCell ref="T4375:U4375"/>
    <mergeCell ref="B4358:D4358"/>
    <mergeCell ref="F4358:G4358"/>
    <mergeCell ref="J4358:N4358"/>
    <mergeCell ref="T4358:U4358"/>
    <mergeCell ref="B4359:D4359"/>
    <mergeCell ref="F4359:G4359"/>
    <mergeCell ref="J4359:N4359"/>
    <mergeCell ref="T4359:U4359"/>
    <mergeCell ref="B4360:D4360"/>
    <mergeCell ref="F4360:G4360"/>
    <mergeCell ref="J4360:N4360"/>
    <mergeCell ref="T4360:U4360"/>
    <mergeCell ref="B4361:D4361"/>
    <mergeCell ref="F4361:G4361"/>
    <mergeCell ref="J4361:N4361"/>
    <mergeCell ref="T4361:U4361"/>
    <mergeCell ref="B4362:D4362"/>
    <mergeCell ref="F4362:G4362"/>
    <mergeCell ref="J4362:N4362"/>
    <mergeCell ref="T4362:U4362"/>
    <mergeCell ref="A4363:J4363"/>
    <mergeCell ref="K4363:O4363"/>
    <mergeCell ref="T4363:U4363"/>
    <mergeCell ref="B4364:D4364"/>
    <mergeCell ref="F4364:G4364"/>
    <mergeCell ref="J4364:N4364"/>
    <mergeCell ref="T4364:U4364"/>
    <mergeCell ref="B4365:D4365"/>
    <mergeCell ref="F4365:G4365"/>
    <mergeCell ref="J4365:N4365"/>
    <mergeCell ref="T4365:U4365"/>
    <mergeCell ref="B4366:D4366"/>
    <mergeCell ref="F4366:G4366"/>
    <mergeCell ref="J4366:N4366"/>
    <mergeCell ref="T4366:U4366"/>
    <mergeCell ref="B4349:D4349"/>
    <mergeCell ref="F4349:G4349"/>
    <mergeCell ref="J4349:N4349"/>
    <mergeCell ref="T4349:U4349"/>
    <mergeCell ref="B4350:D4350"/>
    <mergeCell ref="F4350:G4350"/>
    <mergeCell ref="J4350:N4350"/>
    <mergeCell ref="T4350:U4350"/>
    <mergeCell ref="B4351:D4351"/>
    <mergeCell ref="F4351:G4351"/>
    <mergeCell ref="J4351:N4351"/>
    <mergeCell ref="T4351:U4351"/>
    <mergeCell ref="B4352:D4352"/>
    <mergeCell ref="F4352:G4352"/>
    <mergeCell ref="J4352:N4352"/>
    <mergeCell ref="T4352:U4352"/>
    <mergeCell ref="B4353:D4353"/>
    <mergeCell ref="F4353:G4353"/>
    <mergeCell ref="J4353:N4353"/>
    <mergeCell ref="T4353:U4353"/>
    <mergeCell ref="B4354:D4354"/>
    <mergeCell ref="F4354:G4354"/>
    <mergeCell ref="J4354:N4354"/>
    <mergeCell ref="T4354:U4354"/>
    <mergeCell ref="B4355:D4355"/>
    <mergeCell ref="F4355:G4355"/>
    <mergeCell ref="J4355:N4355"/>
    <mergeCell ref="T4355:U4355"/>
    <mergeCell ref="B4356:D4356"/>
    <mergeCell ref="F4356:G4356"/>
    <mergeCell ref="J4356:N4356"/>
    <mergeCell ref="T4356:U4356"/>
    <mergeCell ref="B4357:D4357"/>
    <mergeCell ref="F4357:G4357"/>
    <mergeCell ref="J4357:N4357"/>
    <mergeCell ref="T4357:U4357"/>
    <mergeCell ref="B4340:D4340"/>
    <mergeCell ref="F4340:G4340"/>
    <mergeCell ref="J4340:N4340"/>
    <mergeCell ref="T4340:U4340"/>
    <mergeCell ref="B4341:D4341"/>
    <mergeCell ref="F4341:G4341"/>
    <mergeCell ref="J4341:N4341"/>
    <mergeCell ref="T4341:U4341"/>
    <mergeCell ref="B4342:D4342"/>
    <mergeCell ref="F4342:G4342"/>
    <mergeCell ref="J4342:N4342"/>
    <mergeCell ref="T4342:U4342"/>
    <mergeCell ref="B4343:D4343"/>
    <mergeCell ref="F4343:G4343"/>
    <mergeCell ref="J4343:N4343"/>
    <mergeCell ref="T4343:U4343"/>
    <mergeCell ref="B4344:D4344"/>
    <mergeCell ref="F4344:G4344"/>
    <mergeCell ref="J4344:N4344"/>
    <mergeCell ref="T4344:U4344"/>
    <mergeCell ref="B4345:D4345"/>
    <mergeCell ref="F4345:G4345"/>
    <mergeCell ref="J4345:N4345"/>
    <mergeCell ref="T4345:U4345"/>
    <mergeCell ref="B4346:D4346"/>
    <mergeCell ref="F4346:G4346"/>
    <mergeCell ref="J4346:N4346"/>
    <mergeCell ref="T4346:U4346"/>
    <mergeCell ref="B4347:D4347"/>
    <mergeCell ref="F4347:G4347"/>
    <mergeCell ref="J4347:N4347"/>
    <mergeCell ref="T4347:U4347"/>
    <mergeCell ref="B4348:D4348"/>
    <mergeCell ref="F4348:G4348"/>
    <mergeCell ref="J4348:N4348"/>
    <mergeCell ref="T4348:U4348"/>
    <mergeCell ref="B4331:D4331"/>
    <mergeCell ref="F4331:G4331"/>
    <mergeCell ref="J4331:N4331"/>
    <mergeCell ref="T4331:U4331"/>
    <mergeCell ref="B4332:D4332"/>
    <mergeCell ref="F4332:G4332"/>
    <mergeCell ref="J4332:N4332"/>
    <mergeCell ref="T4332:U4332"/>
    <mergeCell ref="B4333:D4333"/>
    <mergeCell ref="F4333:G4333"/>
    <mergeCell ref="J4333:N4333"/>
    <mergeCell ref="T4333:U4333"/>
    <mergeCell ref="B4334:D4334"/>
    <mergeCell ref="F4334:G4334"/>
    <mergeCell ref="J4334:N4334"/>
    <mergeCell ref="T4334:U4334"/>
    <mergeCell ref="B4335:D4335"/>
    <mergeCell ref="F4335:G4335"/>
    <mergeCell ref="J4335:N4335"/>
    <mergeCell ref="T4335:U4335"/>
    <mergeCell ref="B4336:D4336"/>
    <mergeCell ref="F4336:G4336"/>
    <mergeCell ref="J4336:N4336"/>
    <mergeCell ref="T4336:U4336"/>
    <mergeCell ref="B4337:D4337"/>
    <mergeCell ref="F4337:G4337"/>
    <mergeCell ref="J4337:N4337"/>
    <mergeCell ref="T4337:U4337"/>
    <mergeCell ref="B4338:D4338"/>
    <mergeCell ref="F4338:G4338"/>
    <mergeCell ref="J4338:N4338"/>
    <mergeCell ref="T4338:U4338"/>
    <mergeCell ref="B4339:D4339"/>
    <mergeCell ref="F4339:G4339"/>
    <mergeCell ref="J4339:N4339"/>
    <mergeCell ref="T4339:U4339"/>
    <mergeCell ref="B4320:D4320"/>
    <mergeCell ref="F4320:G4320"/>
    <mergeCell ref="J4320:N4320"/>
    <mergeCell ref="T4320:U4320"/>
    <mergeCell ref="B4321:D4321"/>
    <mergeCell ref="F4321:G4321"/>
    <mergeCell ref="J4321:N4321"/>
    <mergeCell ref="T4321:U4321"/>
    <mergeCell ref="B4322:D4322"/>
    <mergeCell ref="F4322:G4323"/>
    <mergeCell ref="J4322:N4322"/>
    <mergeCell ref="T4322:U4322"/>
    <mergeCell ref="B4324:D4324"/>
    <mergeCell ref="F4324:G4324"/>
    <mergeCell ref="J4324:N4324"/>
    <mergeCell ref="T4324:U4324"/>
    <mergeCell ref="B4325:D4325"/>
    <mergeCell ref="F4325:G4326"/>
    <mergeCell ref="J4325:N4325"/>
    <mergeCell ref="T4325:U4325"/>
    <mergeCell ref="B4327:D4327"/>
    <mergeCell ref="F4327:G4327"/>
    <mergeCell ref="J4327:N4327"/>
    <mergeCell ref="T4327:U4327"/>
    <mergeCell ref="B4328:D4328"/>
    <mergeCell ref="F4328:G4328"/>
    <mergeCell ref="J4328:N4328"/>
    <mergeCell ref="T4328:U4328"/>
    <mergeCell ref="B4329:D4329"/>
    <mergeCell ref="F4329:G4329"/>
    <mergeCell ref="J4329:N4329"/>
    <mergeCell ref="T4329:U4329"/>
    <mergeCell ref="B4330:D4330"/>
    <mergeCell ref="F4330:G4330"/>
    <mergeCell ref="J4330:N4330"/>
    <mergeCell ref="T4330:U4330"/>
    <mergeCell ref="B4311:D4311"/>
    <mergeCell ref="F4311:G4311"/>
    <mergeCell ref="J4311:N4311"/>
    <mergeCell ref="T4311:U4311"/>
    <mergeCell ref="B4312:D4312"/>
    <mergeCell ref="F4312:G4312"/>
    <mergeCell ref="J4312:N4312"/>
    <mergeCell ref="T4312:U4312"/>
    <mergeCell ref="B4313:D4313"/>
    <mergeCell ref="F4313:G4313"/>
    <mergeCell ref="J4313:N4313"/>
    <mergeCell ref="T4313:U4313"/>
    <mergeCell ref="B4314:D4314"/>
    <mergeCell ref="F4314:G4314"/>
    <mergeCell ref="J4314:N4314"/>
    <mergeCell ref="T4314:U4314"/>
    <mergeCell ref="B4315:D4315"/>
    <mergeCell ref="F4315:G4315"/>
    <mergeCell ref="J4315:N4315"/>
    <mergeCell ref="T4315:U4315"/>
    <mergeCell ref="B4316:D4316"/>
    <mergeCell ref="F4316:G4316"/>
    <mergeCell ref="J4316:N4316"/>
    <mergeCell ref="T4316:U4316"/>
    <mergeCell ref="B4317:D4317"/>
    <mergeCell ref="F4317:G4317"/>
    <mergeCell ref="J4317:N4317"/>
    <mergeCell ref="T4317:U4317"/>
    <mergeCell ref="B4318:D4318"/>
    <mergeCell ref="F4318:G4318"/>
    <mergeCell ref="J4318:N4318"/>
    <mergeCell ref="T4318:U4318"/>
    <mergeCell ref="B4319:D4319"/>
    <mergeCell ref="F4319:G4319"/>
    <mergeCell ref="J4319:N4319"/>
    <mergeCell ref="T4319:U4319"/>
    <mergeCell ref="B4302:D4302"/>
    <mergeCell ref="F4302:G4302"/>
    <mergeCell ref="J4302:N4302"/>
    <mergeCell ref="T4302:U4302"/>
    <mergeCell ref="B4303:D4303"/>
    <mergeCell ref="F4303:G4303"/>
    <mergeCell ref="J4303:N4303"/>
    <mergeCell ref="T4303:U4303"/>
    <mergeCell ref="B4304:D4304"/>
    <mergeCell ref="F4304:G4304"/>
    <mergeCell ref="J4304:N4304"/>
    <mergeCell ref="T4304:U4304"/>
    <mergeCell ref="B4305:D4305"/>
    <mergeCell ref="F4305:G4305"/>
    <mergeCell ref="J4305:N4305"/>
    <mergeCell ref="T4305:U4305"/>
    <mergeCell ref="B4306:D4306"/>
    <mergeCell ref="F4306:G4306"/>
    <mergeCell ref="J4306:N4306"/>
    <mergeCell ref="T4306:U4306"/>
    <mergeCell ref="B4307:D4307"/>
    <mergeCell ref="F4307:G4307"/>
    <mergeCell ref="J4307:N4307"/>
    <mergeCell ref="T4307:U4307"/>
    <mergeCell ref="B4308:D4308"/>
    <mergeCell ref="F4308:G4308"/>
    <mergeCell ref="J4308:N4308"/>
    <mergeCell ref="T4308:U4308"/>
    <mergeCell ref="B4309:D4309"/>
    <mergeCell ref="F4309:G4309"/>
    <mergeCell ref="J4309:N4309"/>
    <mergeCell ref="T4309:U4309"/>
    <mergeCell ref="B4310:D4310"/>
    <mergeCell ref="F4310:G4310"/>
    <mergeCell ref="J4310:N4310"/>
    <mergeCell ref="T4310:U4310"/>
    <mergeCell ref="B4293:D4293"/>
    <mergeCell ref="F4293:G4293"/>
    <mergeCell ref="J4293:N4293"/>
    <mergeCell ref="T4293:U4293"/>
    <mergeCell ref="B4294:D4294"/>
    <mergeCell ref="F4294:G4294"/>
    <mergeCell ref="J4294:N4294"/>
    <mergeCell ref="T4294:U4294"/>
    <mergeCell ref="B4295:D4295"/>
    <mergeCell ref="F4295:G4295"/>
    <mergeCell ref="J4295:N4295"/>
    <mergeCell ref="T4295:U4295"/>
    <mergeCell ref="B4296:D4296"/>
    <mergeCell ref="F4296:G4296"/>
    <mergeCell ref="J4296:N4296"/>
    <mergeCell ref="T4296:U4296"/>
    <mergeCell ref="B4297:D4297"/>
    <mergeCell ref="F4297:G4297"/>
    <mergeCell ref="J4297:N4297"/>
    <mergeCell ref="T4297:U4297"/>
    <mergeCell ref="B4298:D4298"/>
    <mergeCell ref="F4298:G4298"/>
    <mergeCell ref="J4298:N4298"/>
    <mergeCell ref="T4298:U4298"/>
    <mergeCell ref="B4299:D4299"/>
    <mergeCell ref="F4299:G4299"/>
    <mergeCell ref="J4299:N4299"/>
    <mergeCell ref="T4299:U4299"/>
    <mergeCell ref="B4300:D4300"/>
    <mergeCell ref="F4300:G4300"/>
    <mergeCell ref="J4300:N4300"/>
    <mergeCell ref="T4300:U4300"/>
    <mergeCell ref="B4301:D4301"/>
    <mergeCell ref="F4301:G4301"/>
    <mergeCell ref="J4301:N4301"/>
    <mergeCell ref="T4301:U4301"/>
    <mergeCell ref="B4284:D4284"/>
    <mergeCell ref="F4284:G4284"/>
    <mergeCell ref="J4284:N4284"/>
    <mergeCell ref="T4284:U4284"/>
    <mergeCell ref="B4285:D4285"/>
    <mergeCell ref="F4285:G4285"/>
    <mergeCell ref="J4285:N4285"/>
    <mergeCell ref="T4285:U4285"/>
    <mergeCell ref="B4286:D4286"/>
    <mergeCell ref="F4286:G4286"/>
    <mergeCell ref="J4286:N4286"/>
    <mergeCell ref="T4286:U4286"/>
    <mergeCell ref="B4287:D4287"/>
    <mergeCell ref="F4287:G4287"/>
    <mergeCell ref="J4287:N4287"/>
    <mergeCell ref="T4287:U4287"/>
    <mergeCell ref="B4288:D4288"/>
    <mergeCell ref="F4288:G4288"/>
    <mergeCell ref="J4288:N4288"/>
    <mergeCell ref="T4288:U4288"/>
    <mergeCell ref="B4289:D4289"/>
    <mergeCell ref="F4289:G4289"/>
    <mergeCell ref="J4289:N4289"/>
    <mergeCell ref="T4289:U4289"/>
    <mergeCell ref="B4290:D4290"/>
    <mergeCell ref="F4290:G4290"/>
    <mergeCell ref="J4290:N4290"/>
    <mergeCell ref="T4290:U4290"/>
    <mergeCell ref="A4291:J4291"/>
    <mergeCell ref="K4291:O4291"/>
    <mergeCell ref="T4291:U4291"/>
    <mergeCell ref="B4292:D4292"/>
    <mergeCell ref="F4292:G4292"/>
    <mergeCell ref="J4292:N4292"/>
    <mergeCell ref="T4292:U4292"/>
    <mergeCell ref="B4275:D4275"/>
    <mergeCell ref="F4275:G4275"/>
    <mergeCell ref="J4275:N4275"/>
    <mergeCell ref="T4275:U4275"/>
    <mergeCell ref="B4276:D4276"/>
    <mergeCell ref="F4276:G4276"/>
    <mergeCell ref="J4276:N4276"/>
    <mergeCell ref="T4276:U4276"/>
    <mergeCell ref="B4277:D4277"/>
    <mergeCell ref="F4277:G4277"/>
    <mergeCell ref="J4277:N4277"/>
    <mergeCell ref="T4277:U4277"/>
    <mergeCell ref="B4278:D4278"/>
    <mergeCell ref="F4278:G4278"/>
    <mergeCell ref="J4278:N4278"/>
    <mergeCell ref="T4278:U4278"/>
    <mergeCell ref="B4279:D4279"/>
    <mergeCell ref="F4279:G4279"/>
    <mergeCell ref="J4279:N4279"/>
    <mergeCell ref="T4279:U4279"/>
    <mergeCell ref="B4280:D4280"/>
    <mergeCell ref="F4280:G4280"/>
    <mergeCell ref="J4280:N4280"/>
    <mergeCell ref="T4280:U4280"/>
    <mergeCell ref="B4281:D4281"/>
    <mergeCell ref="F4281:G4281"/>
    <mergeCell ref="J4281:N4281"/>
    <mergeCell ref="T4281:U4281"/>
    <mergeCell ref="B4282:D4282"/>
    <mergeCell ref="F4282:G4282"/>
    <mergeCell ref="J4282:N4282"/>
    <mergeCell ref="T4282:U4282"/>
    <mergeCell ref="B4283:D4283"/>
    <mergeCell ref="F4283:G4283"/>
    <mergeCell ref="J4283:N4283"/>
    <mergeCell ref="T4283:U4283"/>
    <mergeCell ref="B4265:D4265"/>
    <mergeCell ref="F4265:G4265"/>
    <mergeCell ref="J4265:N4265"/>
    <mergeCell ref="T4265:U4265"/>
    <mergeCell ref="B4266:D4266"/>
    <mergeCell ref="F4266:G4266"/>
    <mergeCell ref="J4266:N4266"/>
    <mergeCell ref="T4266:U4266"/>
    <mergeCell ref="B4267:D4267"/>
    <mergeCell ref="F4267:G4268"/>
    <mergeCell ref="J4267:N4267"/>
    <mergeCell ref="T4267:U4267"/>
    <mergeCell ref="B4269:D4269"/>
    <mergeCell ref="F4269:G4269"/>
    <mergeCell ref="J4269:N4269"/>
    <mergeCell ref="T4269:U4269"/>
    <mergeCell ref="B4270:D4270"/>
    <mergeCell ref="F4270:G4270"/>
    <mergeCell ref="J4270:N4270"/>
    <mergeCell ref="T4270:U4270"/>
    <mergeCell ref="B4271:D4271"/>
    <mergeCell ref="F4271:G4271"/>
    <mergeCell ref="J4271:N4271"/>
    <mergeCell ref="T4271:U4271"/>
    <mergeCell ref="B4272:D4272"/>
    <mergeCell ref="F4272:G4272"/>
    <mergeCell ref="J4272:N4272"/>
    <mergeCell ref="T4272:U4272"/>
    <mergeCell ref="B4273:D4273"/>
    <mergeCell ref="F4273:G4273"/>
    <mergeCell ref="J4273:N4273"/>
    <mergeCell ref="T4273:U4273"/>
    <mergeCell ref="B4274:D4274"/>
    <mergeCell ref="F4274:G4274"/>
    <mergeCell ref="J4274:N4274"/>
    <mergeCell ref="T4274:U4274"/>
    <mergeCell ref="B4256:D4256"/>
    <mergeCell ref="F4256:G4256"/>
    <mergeCell ref="J4256:N4256"/>
    <mergeCell ref="T4256:U4256"/>
    <mergeCell ref="B4257:D4257"/>
    <mergeCell ref="F4257:G4257"/>
    <mergeCell ref="J4257:N4257"/>
    <mergeCell ref="T4257:U4257"/>
    <mergeCell ref="B4258:D4258"/>
    <mergeCell ref="F4258:G4258"/>
    <mergeCell ref="J4258:N4258"/>
    <mergeCell ref="T4258:U4258"/>
    <mergeCell ref="B4259:D4259"/>
    <mergeCell ref="F4259:G4259"/>
    <mergeCell ref="J4259:N4259"/>
    <mergeCell ref="T4259:U4259"/>
    <mergeCell ref="B4260:D4260"/>
    <mergeCell ref="F4260:G4260"/>
    <mergeCell ref="J4260:N4260"/>
    <mergeCell ref="T4260:U4260"/>
    <mergeCell ref="B4261:D4261"/>
    <mergeCell ref="F4261:G4261"/>
    <mergeCell ref="J4261:N4261"/>
    <mergeCell ref="T4261:U4261"/>
    <mergeCell ref="B4262:D4262"/>
    <mergeCell ref="F4262:G4262"/>
    <mergeCell ref="J4262:N4262"/>
    <mergeCell ref="T4262:U4262"/>
    <mergeCell ref="B4263:D4263"/>
    <mergeCell ref="F4263:G4263"/>
    <mergeCell ref="J4263:N4263"/>
    <mergeCell ref="T4263:U4263"/>
    <mergeCell ref="B4264:D4264"/>
    <mergeCell ref="F4264:G4264"/>
    <mergeCell ref="J4264:N4264"/>
    <mergeCell ref="T4264:U4264"/>
    <mergeCell ref="B4247:D4247"/>
    <mergeCell ref="F4247:G4247"/>
    <mergeCell ref="J4247:N4247"/>
    <mergeCell ref="T4247:U4247"/>
    <mergeCell ref="B4248:D4248"/>
    <mergeCell ref="F4248:G4248"/>
    <mergeCell ref="J4248:N4248"/>
    <mergeCell ref="T4248:U4248"/>
    <mergeCell ref="B4249:D4249"/>
    <mergeCell ref="F4249:G4249"/>
    <mergeCell ref="J4249:N4249"/>
    <mergeCell ref="T4249:U4249"/>
    <mergeCell ref="B4250:D4250"/>
    <mergeCell ref="F4250:G4250"/>
    <mergeCell ref="J4250:N4250"/>
    <mergeCell ref="T4250:U4250"/>
    <mergeCell ref="B4251:D4251"/>
    <mergeCell ref="F4251:G4251"/>
    <mergeCell ref="J4251:N4251"/>
    <mergeCell ref="T4251:U4251"/>
    <mergeCell ref="B4252:D4252"/>
    <mergeCell ref="F4252:G4252"/>
    <mergeCell ref="J4252:N4252"/>
    <mergeCell ref="T4252:U4252"/>
    <mergeCell ref="B4253:D4253"/>
    <mergeCell ref="F4253:G4253"/>
    <mergeCell ref="J4253:N4253"/>
    <mergeCell ref="T4253:U4253"/>
    <mergeCell ref="B4254:D4254"/>
    <mergeCell ref="F4254:G4254"/>
    <mergeCell ref="J4254:N4254"/>
    <mergeCell ref="T4254:U4254"/>
    <mergeCell ref="B4255:D4255"/>
    <mergeCell ref="F4255:G4255"/>
    <mergeCell ref="J4255:N4255"/>
    <mergeCell ref="T4255:U4255"/>
    <mergeCell ref="B4238:D4238"/>
    <mergeCell ref="F4238:G4238"/>
    <mergeCell ref="J4238:N4238"/>
    <mergeCell ref="T4238:U4238"/>
    <mergeCell ref="B4239:D4239"/>
    <mergeCell ref="F4239:G4239"/>
    <mergeCell ref="J4239:N4239"/>
    <mergeCell ref="T4239:U4239"/>
    <mergeCell ref="B4240:D4240"/>
    <mergeCell ref="F4240:G4240"/>
    <mergeCell ref="J4240:N4240"/>
    <mergeCell ref="T4240:U4240"/>
    <mergeCell ref="B4241:D4241"/>
    <mergeCell ref="F4241:G4241"/>
    <mergeCell ref="J4241:N4241"/>
    <mergeCell ref="T4241:U4241"/>
    <mergeCell ref="B4242:D4242"/>
    <mergeCell ref="F4242:G4242"/>
    <mergeCell ref="J4242:N4242"/>
    <mergeCell ref="T4242:U4242"/>
    <mergeCell ref="A4243:J4243"/>
    <mergeCell ref="K4243:O4243"/>
    <mergeCell ref="T4243:U4243"/>
    <mergeCell ref="B4244:D4244"/>
    <mergeCell ref="F4244:G4244"/>
    <mergeCell ref="J4244:N4244"/>
    <mergeCell ref="T4244:U4244"/>
    <mergeCell ref="B4245:D4245"/>
    <mergeCell ref="F4245:G4245"/>
    <mergeCell ref="J4245:N4245"/>
    <mergeCell ref="T4245:U4245"/>
    <mergeCell ref="B4246:D4246"/>
    <mergeCell ref="F4246:G4246"/>
    <mergeCell ref="J4246:N4246"/>
    <mergeCell ref="T4246:U4246"/>
    <mergeCell ref="B4229:D4229"/>
    <mergeCell ref="F4229:G4229"/>
    <mergeCell ref="J4229:N4229"/>
    <mergeCell ref="T4229:U4229"/>
    <mergeCell ref="B4230:D4230"/>
    <mergeCell ref="F4230:G4230"/>
    <mergeCell ref="J4230:N4230"/>
    <mergeCell ref="T4230:U4230"/>
    <mergeCell ref="B4231:D4231"/>
    <mergeCell ref="F4231:G4231"/>
    <mergeCell ref="J4231:N4231"/>
    <mergeCell ref="T4231:U4231"/>
    <mergeCell ref="B4232:D4232"/>
    <mergeCell ref="F4232:G4232"/>
    <mergeCell ref="J4232:N4232"/>
    <mergeCell ref="T4232:U4232"/>
    <mergeCell ref="B4233:D4233"/>
    <mergeCell ref="F4233:G4233"/>
    <mergeCell ref="J4233:N4233"/>
    <mergeCell ref="T4233:U4233"/>
    <mergeCell ref="B4234:D4234"/>
    <mergeCell ref="F4234:G4234"/>
    <mergeCell ref="J4234:N4234"/>
    <mergeCell ref="T4234:U4234"/>
    <mergeCell ref="B4235:D4235"/>
    <mergeCell ref="F4235:G4235"/>
    <mergeCell ref="J4235:N4235"/>
    <mergeCell ref="T4235:U4235"/>
    <mergeCell ref="B4236:D4236"/>
    <mergeCell ref="F4236:G4236"/>
    <mergeCell ref="J4236:N4236"/>
    <mergeCell ref="T4236:U4236"/>
    <mergeCell ref="B4237:D4237"/>
    <mergeCell ref="F4237:G4237"/>
    <mergeCell ref="J4237:N4237"/>
    <mergeCell ref="T4237:U4237"/>
    <mergeCell ref="B4220:D4220"/>
    <mergeCell ref="F4220:G4220"/>
    <mergeCell ref="J4220:N4220"/>
    <mergeCell ref="T4220:U4220"/>
    <mergeCell ref="B4221:D4221"/>
    <mergeCell ref="F4221:G4221"/>
    <mergeCell ref="J4221:N4221"/>
    <mergeCell ref="T4221:U4221"/>
    <mergeCell ref="B4222:D4222"/>
    <mergeCell ref="F4222:G4222"/>
    <mergeCell ref="J4222:N4222"/>
    <mergeCell ref="T4222:U4222"/>
    <mergeCell ref="B4223:D4223"/>
    <mergeCell ref="F4223:G4223"/>
    <mergeCell ref="J4223:N4223"/>
    <mergeCell ref="T4223:U4223"/>
    <mergeCell ref="B4224:D4224"/>
    <mergeCell ref="F4224:G4224"/>
    <mergeCell ref="J4224:N4224"/>
    <mergeCell ref="T4224:U4224"/>
    <mergeCell ref="B4225:D4225"/>
    <mergeCell ref="F4225:G4225"/>
    <mergeCell ref="J4225:N4225"/>
    <mergeCell ref="T4225:U4225"/>
    <mergeCell ref="B4226:D4226"/>
    <mergeCell ref="F4226:G4226"/>
    <mergeCell ref="J4226:N4226"/>
    <mergeCell ref="T4226:U4226"/>
    <mergeCell ref="B4227:D4227"/>
    <mergeCell ref="F4227:G4227"/>
    <mergeCell ref="J4227:N4227"/>
    <mergeCell ref="T4227:U4227"/>
    <mergeCell ref="B4228:D4228"/>
    <mergeCell ref="F4228:G4228"/>
    <mergeCell ref="J4228:N4228"/>
    <mergeCell ref="T4228:U4228"/>
    <mergeCell ref="B4211:D4211"/>
    <mergeCell ref="F4211:G4211"/>
    <mergeCell ref="J4211:N4211"/>
    <mergeCell ref="T4211:U4211"/>
    <mergeCell ref="B4212:D4212"/>
    <mergeCell ref="F4212:G4212"/>
    <mergeCell ref="J4212:N4212"/>
    <mergeCell ref="T4212:U4212"/>
    <mergeCell ref="B4213:D4213"/>
    <mergeCell ref="F4213:G4213"/>
    <mergeCell ref="J4213:N4213"/>
    <mergeCell ref="T4213:U4213"/>
    <mergeCell ref="B4214:D4214"/>
    <mergeCell ref="F4214:G4214"/>
    <mergeCell ref="J4214:N4214"/>
    <mergeCell ref="T4214:U4214"/>
    <mergeCell ref="B4215:D4215"/>
    <mergeCell ref="F4215:G4215"/>
    <mergeCell ref="J4215:N4215"/>
    <mergeCell ref="T4215:U4215"/>
    <mergeCell ref="B4216:D4216"/>
    <mergeCell ref="F4216:G4216"/>
    <mergeCell ref="J4216:N4216"/>
    <mergeCell ref="T4216:U4216"/>
    <mergeCell ref="B4217:D4217"/>
    <mergeCell ref="F4217:G4217"/>
    <mergeCell ref="J4217:N4217"/>
    <mergeCell ref="T4217:U4217"/>
    <mergeCell ref="B4218:D4218"/>
    <mergeCell ref="F4218:G4218"/>
    <mergeCell ref="J4218:N4218"/>
    <mergeCell ref="T4218:U4218"/>
    <mergeCell ref="B4219:D4219"/>
    <mergeCell ref="F4219:G4219"/>
    <mergeCell ref="J4219:N4219"/>
    <mergeCell ref="T4219:U4219"/>
    <mergeCell ref="B4202:D4202"/>
    <mergeCell ref="F4202:G4202"/>
    <mergeCell ref="J4202:N4202"/>
    <mergeCell ref="T4202:U4202"/>
    <mergeCell ref="A4203:J4203"/>
    <mergeCell ref="K4203:O4203"/>
    <mergeCell ref="T4203:U4203"/>
    <mergeCell ref="B4204:D4204"/>
    <mergeCell ref="F4204:G4204"/>
    <mergeCell ref="J4204:N4204"/>
    <mergeCell ref="T4204:U4204"/>
    <mergeCell ref="B4205:D4205"/>
    <mergeCell ref="F4205:G4205"/>
    <mergeCell ref="J4205:N4205"/>
    <mergeCell ref="T4205:U4205"/>
    <mergeCell ref="B4206:D4206"/>
    <mergeCell ref="F4206:G4206"/>
    <mergeCell ref="J4206:N4206"/>
    <mergeCell ref="T4206:U4206"/>
    <mergeCell ref="B4207:D4207"/>
    <mergeCell ref="F4207:G4207"/>
    <mergeCell ref="J4207:N4207"/>
    <mergeCell ref="T4207:U4207"/>
    <mergeCell ref="B4208:D4208"/>
    <mergeCell ref="F4208:G4208"/>
    <mergeCell ref="J4208:N4208"/>
    <mergeCell ref="T4208:U4208"/>
    <mergeCell ref="B4209:D4209"/>
    <mergeCell ref="F4209:G4209"/>
    <mergeCell ref="J4209:N4209"/>
    <mergeCell ref="T4209:U4209"/>
    <mergeCell ref="B4210:D4210"/>
    <mergeCell ref="F4210:G4210"/>
    <mergeCell ref="J4210:N4210"/>
    <mergeCell ref="T4210:U4210"/>
    <mergeCell ref="B4193:D4193"/>
    <mergeCell ref="F4193:G4193"/>
    <mergeCell ref="J4193:N4193"/>
    <mergeCell ref="T4193:U4193"/>
    <mergeCell ref="B4194:D4194"/>
    <mergeCell ref="F4194:G4194"/>
    <mergeCell ref="J4194:N4194"/>
    <mergeCell ref="T4194:U4194"/>
    <mergeCell ref="B4195:D4195"/>
    <mergeCell ref="F4195:G4195"/>
    <mergeCell ref="J4195:N4195"/>
    <mergeCell ref="T4195:U4195"/>
    <mergeCell ref="B4196:D4196"/>
    <mergeCell ref="F4196:G4196"/>
    <mergeCell ref="J4196:N4196"/>
    <mergeCell ref="T4196:U4196"/>
    <mergeCell ref="B4197:D4197"/>
    <mergeCell ref="F4197:G4197"/>
    <mergeCell ref="J4197:N4197"/>
    <mergeCell ref="T4197:U4197"/>
    <mergeCell ref="B4198:D4198"/>
    <mergeCell ref="F4198:G4198"/>
    <mergeCell ref="J4198:N4198"/>
    <mergeCell ref="T4198:U4198"/>
    <mergeCell ref="B4199:D4199"/>
    <mergeCell ref="F4199:G4199"/>
    <mergeCell ref="J4199:N4199"/>
    <mergeCell ref="T4199:U4199"/>
    <mergeCell ref="B4200:D4200"/>
    <mergeCell ref="F4200:G4200"/>
    <mergeCell ref="J4200:N4200"/>
    <mergeCell ref="T4200:U4200"/>
    <mergeCell ref="B4201:D4201"/>
    <mergeCell ref="F4201:G4201"/>
    <mergeCell ref="J4201:N4201"/>
    <mergeCell ref="T4201:U4201"/>
    <mergeCell ref="B4184:D4184"/>
    <mergeCell ref="F4184:G4184"/>
    <mergeCell ref="J4184:N4184"/>
    <mergeCell ref="T4184:U4184"/>
    <mergeCell ref="B4185:D4185"/>
    <mergeCell ref="F4185:G4185"/>
    <mergeCell ref="J4185:N4185"/>
    <mergeCell ref="T4185:U4185"/>
    <mergeCell ref="B4186:D4186"/>
    <mergeCell ref="F4186:G4186"/>
    <mergeCell ref="J4186:N4186"/>
    <mergeCell ref="T4186:U4186"/>
    <mergeCell ref="B4187:D4187"/>
    <mergeCell ref="F4187:G4187"/>
    <mergeCell ref="J4187:N4187"/>
    <mergeCell ref="T4187:U4187"/>
    <mergeCell ref="B4188:D4188"/>
    <mergeCell ref="F4188:G4188"/>
    <mergeCell ref="J4188:N4188"/>
    <mergeCell ref="T4188:U4188"/>
    <mergeCell ref="B4189:D4189"/>
    <mergeCell ref="F4189:G4189"/>
    <mergeCell ref="J4189:N4189"/>
    <mergeCell ref="T4189:U4189"/>
    <mergeCell ref="B4190:D4190"/>
    <mergeCell ref="F4190:G4190"/>
    <mergeCell ref="J4190:N4190"/>
    <mergeCell ref="T4190:U4190"/>
    <mergeCell ref="B4191:D4191"/>
    <mergeCell ref="F4191:G4191"/>
    <mergeCell ref="J4191:N4191"/>
    <mergeCell ref="T4191:U4191"/>
    <mergeCell ref="B4192:D4192"/>
    <mergeCell ref="F4192:G4192"/>
    <mergeCell ref="J4192:N4192"/>
    <mergeCell ref="T4192:U4192"/>
    <mergeCell ref="B4175:D4175"/>
    <mergeCell ref="F4175:G4175"/>
    <mergeCell ref="J4175:N4175"/>
    <mergeCell ref="T4175:U4175"/>
    <mergeCell ref="B4176:D4176"/>
    <mergeCell ref="F4176:G4176"/>
    <mergeCell ref="J4176:N4176"/>
    <mergeCell ref="T4176:U4176"/>
    <mergeCell ref="B4177:D4177"/>
    <mergeCell ref="F4177:G4177"/>
    <mergeCell ref="J4177:N4177"/>
    <mergeCell ref="T4177:U4177"/>
    <mergeCell ref="B4178:D4178"/>
    <mergeCell ref="F4178:G4178"/>
    <mergeCell ref="J4178:N4178"/>
    <mergeCell ref="T4178:U4178"/>
    <mergeCell ref="B4179:D4179"/>
    <mergeCell ref="F4179:G4179"/>
    <mergeCell ref="J4179:N4179"/>
    <mergeCell ref="T4179:U4179"/>
    <mergeCell ref="B4180:D4180"/>
    <mergeCell ref="F4180:G4180"/>
    <mergeCell ref="J4180:N4180"/>
    <mergeCell ref="T4180:U4180"/>
    <mergeCell ref="B4181:D4181"/>
    <mergeCell ref="F4181:G4181"/>
    <mergeCell ref="J4181:N4181"/>
    <mergeCell ref="T4181:U4181"/>
    <mergeCell ref="B4182:D4182"/>
    <mergeCell ref="F4182:G4182"/>
    <mergeCell ref="J4182:N4182"/>
    <mergeCell ref="T4182:U4182"/>
    <mergeCell ref="B4183:D4183"/>
    <mergeCell ref="F4183:G4183"/>
    <mergeCell ref="J4183:N4183"/>
    <mergeCell ref="T4183:U4183"/>
    <mergeCell ref="B4165:D4165"/>
    <mergeCell ref="F4165:G4165"/>
    <mergeCell ref="J4165:N4165"/>
    <mergeCell ref="T4165:U4165"/>
    <mergeCell ref="B4166:D4166"/>
    <mergeCell ref="F4166:G4166"/>
    <mergeCell ref="J4166:N4166"/>
    <mergeCell ref="T4166:U4166"/>
    <mergeCell ref="B4167:D4167"/>
    <mergeCell ref="F4167:G4168"/>
    <mergeCell ref="J4167:N4167"/>
    <mergeCell ref="T4167:U4167"/>
    <mergeCell ref="B4169:D4169"/>
    <mergeCell ref="F4169:G4169"/>
    <mergeCell ref="J4169:N4169"/>
    <mergeCell ref="T4169:U4169"/>
    <mergeCell ref="B4170:D4170"/>
    <mergeCell ref="F4170:G4170"/>
    <mergeCell ref="J4170:N4170"/>
    <mergeCell ref="T4170:U4170"/>
    <mergeCell ref="B4171:D4171"/>
    <mergeCell ref="F4171:G4171"/>
    <mergeCell ref="J4171:N4171"/>
    <mergeCell ref="T4171:U4171"/>
    <mergeCell ref="B4172:D4172"/>
    <mergeCell ref="F4172:G4172"/>
    <mergeCell ref="J4172:N4172"/>
    <mergeCell ref="T4172:U4172"/>
    <mergeCell ref="B4173:D4173"/>
    <mergeCell ref="F4173:G4173"/>
    <mergeCell ref="J4173:N4173"/>
    <mergeCell ref="T4173:U4173"/>
    <mergeCell ref="B4174:D4174"/>
    <mergeCell ref="F4174:G4174"/>
    <mergeCell ref="J4174:N4174"/>
    <mergeCell ref="T4174:U4174"/>
    <mergeCell ref="B4155:D4155"/>
    <mergeCell ref="F4155:G4155"/>
    <mergeCell ref="J4155:N4155"/>
    <mergeCell ref="T4155:U4155"/>
    <mergeCell ref="B4156:D4156"/>
    <mergeCell ref="F4156:G4156"/>
    <mergeCell ref="J4156:N4156"/>
    <mergeCell ref="T4156:U4156"/>
    <mergeCell ref="B4157:D4157"/>
    <mergeCell ref="F4157:G4157"/>
    <mergeCell ref="J4157:N4157"/>
    <mergeCell ref="T4157:U4157"/>
    <mergeCell ref="B4158:D4158"/>
    <mergeCell ref="F4158:G4158"/>
    <mergeCell ref="J4158:N4158"/>
    <mergeCell ref="T4158:U4158"/>
    <mergeCell ref="B4159:D4159"/>
    <mergeCell ref="F4159:G4159"/>
    <mergeCell ref="J4159:N4159"/>
    <mergeCell ref="T4159:U4159"/>
    <mergeCell ref="B4160:D4160"/>
    <mergeCell ref="F4160:G4160"/>
    <mergeCell ref="J4160:N4160"/>
    <mergeCell ref="T4160:U4160"/>
    <mergeCell ref="B4161:D4161"/>
    <mergeCell ref="F4161:G4161"/>
    <mergeCell ref="J4161:N4161"/>
    <mergeCell ref="T4161:U4161"/>
    <mergeCell ref="B4162:D4162"/>
    <mergeCell ref="F4162:G4162"/>
    <mergeCell ref="J4162:N4162"/>
    <mergeCell ref="T4162:U4162"/>
    <mergeCell ref="B4163:D4163"/>
    <mergeCell ref="F4163:G4164"/>
    <mergeCell ref="J4163:N4163"/>
    <mergeCell ref="T4163:U4163"/>
    <mergeCell ref="B4146:D4146"/>
    <mergeCell ref="F4146:G4146"/>
    <mergeCell ref="J4146:N4146"/>
    <mergeCell ref="T4146:U4146"/>
    <mergeCell ref="B4147:D4147"/>
    <mergeCell ref="F4147:G4147"/>
    <mergeCell ref="J4147:N4147"/>
    <mergeCell ref="T4147:U4147"/>
    <mergeCell ref="B4148:D4148"/>
    <mergeCell ref="F4148:G4148"/>
    <mergeCell ref="J4148:N4148"/>
    <mergeCell ref="T4148:U4148"/>
    <mergeCell ref="B4149:D4149"/>
    <mergeCell ref="F4149:G4149"/>
    <mergeCell ref="J4149:N4149"/>
    <mergeCell ref="T4149:U4149"/>
    <mergeCell ref="B4150:D4150"/>
    <mergeCell ref="F4150:G4150"/>
    <mergeCell ref="J4150:N4150"/>
    <mergeCell ref="T4150:U4150"/>
    <mergeCell ref="B4151:D4151"/>
    <mergeCell ref="F4151:G4151"/>
    <mergeCell ref="J4151:N4151"/>
    <mergeCell ref="T4151:U4151"/>
    <mergeCell ref="B4152:D4152"/>
    <mergeCell ref="F4152:G4152"/>
    <mergeCell ref="J4152:N4152"/>
    <mergeCell ref="T4152:U4152"/>
    <mergeCell ref="B4153:D4153"/>
    <mergeCell ref="F4153:G4153"/>
    <mergeCell ref="J4153:N4153"/>
    <mergeCell ref="T4153:U4153"/>
    <mergeCell ref="B4154:D4154"/>
    <mergeCell ref="F4154:G4154"/>
    <mergeCell ref="J4154:N4154"/>
    <mergeCell ref="T4154:U4154"/>
    <mergeCell ref="B4137:D4137"/>
    <mergeCell ref="F4137:G4137"/>
    <mergeCell ref="J4137:N4137"/>
    <mergeCell ref="T4137:U4137"/>
    <mergeCell ref="B4138:D4138"/>
    <mergeCell ref="F4138:G4138"/>
    <mergeCell ref="J4138:N4138"/>
    <mergeCell ref="T4138:U4138"/>
    <mergeCell ref="B4139:D4139"/>
    <mergeCell ref="F4139:G4139"/>
    <mergeCell ref="J4139:N4139"/>
    <mergeCell ref="T4139:U4139"/>
    <mergeCell ref="B4140:D4140"/>
    <mergeCell ref="F4140:G4140"/>
    <mergeCell ref="J4140:N4140"/>
    <mergeCell ref="T4140:U4140"/>
    <mergeCell ref="B4141:D4141"/>
    <mergeCell ref="F4141:G4141"/>
    <mergeCell ref="J4141:N4141"/>
    <mergeCell ref="T4141:U4141"/>
    <mergeCell ref="B4142:D4142"/>
    <mergeCell ref="F4142:G4142"/>
    <mergeCell ref="J4142:N4142"/>
    <mergeCell ref="T4142:U4142"/>
    <mergeCell ref="B4143:D4143"/>
    <mergeCell ref="F4143:G4143"/>
    <mergeCell ref="J4143:N4143"/>
    <mergeCell ref="T4143:U4143"/>
    <mergeCell ref="B4144:D4144"/>
    <mergeCell ref="F4144:G4144"/>
    <mergeCell ref="J4144:N4144"/>
    <mergeCell ref="T4144:U4144"/>
    <mergeCell ref="B4145:D4145"/>
    <mergeCell ref="F4145:G4145"/>
    <mergeCell ref="J4145:N4145"/>
    <mergeCell ref="T4145:U4145"/>
    <mergeCell ref="B4128:D4128"/>
    <mergeCell ref="F4128:G4128"/>
    <mergeCell ref="J4128:N4128"/>
    <mergeCell ref="T4128:U4128"/>
    <mergeCell ref="B4129:D4129"/>
    <mergeCell ref="F4129:G4129"/>
    <mergeCell ref="J4129:N4129"/>
    <mergeCell ref="T4129:U4129"/>
    <mergeCell ref="B4130:D4130"/>
    <mergeCell ref="F4130:G4130"/>
    <mergeCell ref="J4130:N4130"/>
    <mergeCell ref="T4130:U4130"/>
    <mergeCell ref="B4131:D4131"/>
    <mergeCell ref="F4131:G4131"/>
    <mergeCell ref="J4131:N4131"/>
    <mergeCell ref="T4131:U4131"/>
    <mergeCell ref="B4132:D4132"/>
    <mergeCell ref="F4132:G4132"/>
    <mergeCell ref="J4132:N4132"/>
    <mergeCell ref="T4132:U4132"/>
    <mergeCell ref="B4133:D4133"/>
    <mergeCell ref="F4133:G4133"/>
    <mergeCell ref="J4133:N4133"/>
    <mergeCell ref="T4133:U4133"/>
    <mergeCell ref="B4134:D4134"/>
    <mergeCell ref="F4134:G4134"/>
    <mergeCell ref="J4134:N4134"/>
    <mergeCell ref="T4134:U4134"/>
    <mergeCell ref="B4135:D4135"/>
    <mergeCell ref="F4135:G4135"/>
    <mergeCell ref="J4135:N4135"/>
    <mergeCell ref="T4135:U4135"/>
    <mergeCell ref="B4136:D4136"/>
    <mergeCell ref="F4136:G4136"/>
    <mergeCell ref="J4136:N4136"/>
    <mergeCell ref="T4136:U4136"/>
    <mergeCell ref="B4119:D4119"/>
    <mergeCell ref="F4119:G4119"/>
    <mergeCell ref="J4119:N4119"/>
    <mergeCell ref="T4119:U4119"/>
    <mergeCell ref="B4120:D4120"/>
    <mergeCell ref="F4120:G4120"/>
    <mergeCell ref="J4120:N4120"/>
    <mergeCell ref="T4120:U4120"/>
    <mergeCell ref="B4121:D4121"/>
    <mergeCell ref="F4121:G4121"/>
    <mergeCell ref="J4121:N4121"/>
    <mergeCell ref="T4121:U4121"/>
    <mergeCell ref="B4122:D4122"/>
    <mergeCell ref="F4122:G4122"/>
    <mergeCell ref="J4122:N4122"/>
    <mergeCell ref="T4122:U4122"/>
    <mergeCell ref="B4123:D4123"/>
    <mergeCell ref="F4123:G4123"/>
    <mergeCell ref="J4123:N4123"/>
    <mergeCell ref="T4123:U4123"/>
    <mergeCell ref="B4124:D4124"/>
    <mergeCell ref="F4124:G4124"/>
    <mergeCell ref="J4124:N4124"/>
    <mergeCell ref="T4124:U4124"/>
    <mergeCell ref="B4125:D4125"/>
    <mergeCell ref="F4125:G4125"/>
    <mergeCell ref="J4125:N4125"/>
    <mergeCell ref="T4125:U4125"/>
    <mergeCell ref="B4126:D4126"/>
    <mergeCell ref="F4126:G4126"/>
    <mergeCell ref="J4126:N4126"/>
    <mergeCell ref="T4126:U4126"/>
    <mergeCell ref="B4127:D4127"/>
    <mergeCell ref="F4127:G4127"/>
    <mergeCell ref="J4127:N4127"/>
    <mergeCell ref="T4127:U4127"/>
    <mergeCell ref="B4110:D4110"/>
    <mergeCell ref="F4110:G4110"/>
    <mergeCell ref="J4110:N4110"/>
    <mergeCell ref="T4110:U4110"/>
    <mergeCell ref="B4111:D4111"/>
    <mergeCell ref="F4111:G4111"/>
    <mergeCell ref="J4111:N4111"/>
    <mergeCell ref="T4111:U4111"/>
    <mergeCell ref="B4112:D4112"/>
    <mergeCell ref="F4112:G4112"/>
    <mergeCell ref="J4112:N4112"/>
    <mergeCell ref="T4112:U4112"/>
    <mergeCell ref="B4113:D4113"/>
    <mergeCell ref="F4113:G4113"/>
    <mergeCell ref="J4113:N4113"/>
    <mergeCell ref="T4113:U4113"/>
    <mergeCell ref="B4114:D4114"/>
    <mergeCell ref="F4114:G4114"/>
    <mergeCell ref="J4114:N4114"/>
    <mergeCell ref="T4114:U4114"/>
    <mergeCell ref="B4115:D4115"/>
    <mergeCell ref="F4115:G4115"/>
    <mergeCell ref="J4115:N4115"/>
    <mergeCell ref="T4115:U4115"/>
    <mergeCell ref="B4116:D4116"/>
    <mergeCell ref="F4116:G4116"/>
    <mergeCell ref="J4116:N4116"/>
    <mergeCell ref="T4116:U4116"/>
    <mergeCell ref="B4117:D4117"/>
    <mergeCell ref="F4117:G4117"/>
    <mergeCell ref="J4117:N4117"/>
    <mergeCell ref="T4117:U4117"/>
    <mergeCell ref="B4118:D4118"/>
    <mergeCell ref="F4118:G4118"/>
    <mergeCell ref="J4118:N4118"/>
    <mergeCell ref="T4118:U4118"/>
    <mergeCell ref="B4101:D4101"/>
    <mergeCell ref="F4101:G4101"/>
    <mergeCell ref="J4101:N4101"/>
    <mergeCell ref="T4101:U4101"/>
    <mergeCell ref="B4102:D4102"/>
    <mergeCell ref="F4102:G4102"/>
    <mergeCell ref="J4102:N4102"/>
    <mergeCell ref="T4102:U4102"/>
    <mergeCell ref="B4103:D4103"/>
    <mergeCell ref="F4103:G4103"/>
    <mergeCell ref="J4103:N4103"/>
    <mergeCell ref="T4103:U4103"/>
    <mergeCell ref="B4104:D4104"/>
    <mergeCell ref="F4104:G4104"/>
    <mergeCell ref="J4104:N4104"/>
    <mergeCell ref="T4104:U4104"/>
    <mergeCell ref="B4105:D4105"/>
    <mergeCell ref="F4105:G4105"/>
    <mergeCell ref="J4105:N4105"/>
    <mergeCell ref="T4105:U4105"/>
    <mergeCell ref="B4106:D4106"/>
    <mergeCell ref="F4106:G4106"/>
    <mergeCell ref="J4106:N4106"/>
    <mergeCell ref="T4106:U4106"/>
    <mergeCell ref="B4107:D4107"/>
    <mergeCell ref="F4107:G4107"/>
    <mergeCell ref="J4107:N4107"/>
    <mergeCell ref="T4107:U4107"/>
    <mergeCell ref="B4108:D4108"/>
    <mergeCell ref="F4108:G4108"/>
    <mergeCell ref="J4108:N4108"/>
    <mergeCell ref="T4108:U4108"/>
    <mergeCell ref="A4109:J4109"/>
    <mergeCell ref="K4109:O4109"/>
    <mergeCell ref="T4109:U4109"/>
    <mergeCell ref="B4092:D4092"/>
    <mergeCell ref="F4092:G4092"/>
    <mergeCell ref="J4092:N4092"/>
    <mergeCell ref="T4092:U4092"/>
    <mergeCell ref="B4093:D4093"/>
    <mergeCell ref="F4093:G4093"/>
    <mergeCell ref="J4093:N4093"/>
    <mergeCell ref="T4093:U4093"/>
    <mergeCell ref="B4094:D4094"/>
    <mergeCell ref="F4094:G4094"/>
    <mergeCell ref="J4094:N4094"/>
    <mergeCell ref="T4094:U4094"/>
    <mergeCell ref="B4095:D4095"/>
    <mergeCell ref="F4095:G4095"/>
    <mergeCell ref="J4095:N4095"/>
    <mergeCell ref="T4095:U4095"/>
    <mergeCell ref="B4096:D4096"/>
    <mergeCell ref="F4096:G4096"/>
    <mergeCell ref="J4096:N4096"/>
    <mergeCell ref="T4096:U4096"/>
    <mergeCell ref="B4097:D4097"/>
    <mergeCell ref="F4097:G4097"/>
    <mergeCell ref="J4097:N4097"/>
    <mergeCell ref="T4097:U4097"/>
    <mergeCell ref="B4098:D4098"/>
    <mergeCell ref="F4098:G4098"/>
    <mergeCell ref="J4098:N4098"/>
    <mergeCell ref="T4098:U4098"/>
    <mergeCell ref="B4099:D4099"/>
    <mergeCell ref="F4099:G4099"/>
    <mergeCell ref="J4099:N4099"/>
    <mergeCell ref="T4099:U4099"/>
    <mergeCell ref="B4100:D4100"/>
    <mergeCell ref="F4100:G4100"/>
    <mergeCell ref="J4100:N4100"/>
    <mergeCell ref="T4100:U4100"/>
    <mergeCell ref="B4083:D4083"/>
    <mergeCell ref="F4083:G4083"/>
    <mergeCell ref="J4083:N4083"/>
    <mergeCell ref="T4083:U4083"/>
    <mergeCell ref="B4084:D4084"/>
    <mergeCell ref="F4084:G4084"/>
    <mergeCell ref="J4084:N4084"/>
    <mergeCell ref="T4084:U4084"/>
    <mergeCell ref="B4085:D4085"/>
    <mergeCell ref="F4085:G4085"/>
    <mergeCell ref="J4085:N4085"/>
    <mergeCell ref="T4085:U4085"/>
    <mergeCell ref="B4086:D4086"/>
    <mergeCell ref="F4086:G4086"/>
    <mergeCell ref="J4086:N4086"/>
    <mergeCell ref="T4086:U4086"/>
    <mergeCell ref="B4087:D4087"/>
    <mergeCell ref="F4087:G4087"/>
    <mergeCell ref="J4087:N4087"/>
    <mergeCell ref="T4087:U4087"/>
    <mergeCell ref="B4088:D4088"/>
    <mergeCell ref="F4088:G4088"/>
    <mergeCell ref="J4088:N4088"/>
    <mergeCell ref="T4088:U4088"/>
    <mergeCell ref="B4089:D4089"/>
    <mergeCell ref="F4089:G4089"/>
    <mergeCell ref="J4089:N4089"/>
    <mergeCell ref="T4089:U4089"/>
    <mergeCell ref="B4090:D4090"/>
    <mergeCell ref="F4090:G4090"/>
    <mergeCell ref="J4090:N4090"/>
    <mergeCell ref="T4090:U4090"/>
    <mergeCell ref="B4091:D4091"/>
    <mergeCell ref="F4091:G4091"/>
    <mergeCell ref="J4091:N4091"/>
    <mergeCell ref="T4091:U4091"/>
    <mergeCell ref="B4073:D4073"/>
    <mergeCell ref="F4073:G4073"/>
    <mergeCell ref="J4073:N4073"/>
    <mergeCell ref="T4073:U4073"/>
    <mergeCell ref="B4074:D4074"/>
    <mergeCell ref="F4074:G4075"/>
    <mergeCell ref="J4074:N4074"/>
    <mergeCell ref="T4074:U4074"/>
    <mergeCell ref="B4076:D4076"/>
    <mergeCell ref="F4076:G4076"/>
    <mergeCell ref="J4076:N4076"/>
    <mergeCell ref="T4076:U4076"/>
    <mergeCell ref="B4077:D4077"/>
    <mergeCell ref="F4077:G4077"/>
    <mergeCell ref="J4077:N4077"/>
    <mergeCell ref="T4077:U4077"/>
    <mergeCell ref="B4078:D4078"/>
    <mergeCell ref="F4078:G4078"/>
    <mergeCell ref="J4078:N4078"/>
    <mergeCell ref="T4078:U4078"/>
    <mergeCell ref="B4079:D4079"/>
    <mergeCell ref="F4079:G4079"/>
    <mergeCell ref="J4079:N4079"/>
    <mergeCell ref="T4079:U4079"/>
    <mergeCell ref="B4080:D4080"/>
    <mergeCell ref="F4080:G4080"/>
    <mergeCell ref="J4080:N4080"/>
    <mergeCell ref="T4080:U4080"/>
    <mergeCell ref="B4081:D4081"/>
    <mergeCell ref="F4081:G4081"/>
    <mergeCell ref="J4081:N4081"/>
    <mergeCell ref="T4081:U4081"/>
    <mergeCell ref="B4082:D4082"/>
    <mergeCell ref="F4082:G4082"/>
    <mergeCell ref="J4082:N4082"/>
    <mergeCell ref="T4082:U4082"/>
    <mergeCell ref="B4064:D4064"/>
    <mergeCell ref="F4064:G4064"/>
    <mergeCell ref="J4064:N4064"/>
    <mergeCell ref="T4064:U4064"/>
    <mergeCell ref="B4065:D4065"/>
    <mergeCell ref="F4065:G4065"/>
    <mergeCell ref="J4065:N4065"/>
    <mergeCell ref="T4065:U4065"/>
    <mergeCell ref="B4066:D4066"/>
    <mergeCell ref="F4066:G4066"/>
    <mergeCell ref="J4066:N4066"/>
    <mergeCell ref="T4066:U4066"/>
    <mergeCell ref="B4067:D4067"/>
    <mergeCell ref="F4067:G4067"/>
    <mergeCell ref="J4067:N4067"/>
    <mergeCell ref="T4067:U4067"/>
    <mergeCell ref="B4068:D4068"/>
    <mergeCell ref="F4068:G4068"/>
    <mergeCell ref="J4068:N4068"/>
    <mergeCell ref="T4068:U4068"/>
    <mergeCell ref="B4069:D4069"/>
    <mergeCell ref="F4069:G4069"/>
    <mergeCell ref="J4069:N4069"/>
    <mergeCell ref="T4069:U4069"/>
    <mergeCell ref="B4070:D4070"/>
    <mergeCell ref="F4070:G4070"/>
    <mergeCell ref="J4070:N4070"/>
    <mergeCell ref="T4070:U4070"/>
    <mergeCell ref="B4071:D4071"/>
    <mergeCell ref="F4071:G4071"/>
    <mergeCell ref="J4071:N4071"/>
    <mergeCell ref="T4071:U4071"/>
    <mergeCell ref="B4072:D4072"/>
    <mergeCell ref="F4072:G4072"/>
    <mergeCell ref="J4072:N4072"/>
    <mergeCell ref="T4072:U4072"/>
    <mergeCell ref="B4054:D4054"/>
    <mergeCell ref="F4054:G4054"/>
    <mergeCell ref="J4054:N4054"/>
    <mergeCell ref="T4054:U4054"/>
    <mergeCell ref="B4055:D4055"/>
    <mergeCell ref="F4055:G4055"/>
    <mergeCell ref="J4055:N4055"/>
    <mergeCell ref="T4055:U4055"/>
    <mergeCell ref="B4056:D4056"/>
    <mergeCell ref="F4056:G4056"/>
    <mergeCell ref="J4056:N4056"/>
    <mergeCell ref="T4056:U4056"/>
    <mergeCell ref="B4057:D4057"/>
    <mergeCell ref="F4057:G4057"/>
    <mergeCell ref="J4057:N4057"/>
    <mergeCell ref="T4057:U4057"/>
    <mergeCell ref="B4058:D4058"/>
    <mergeCell ref="F4058:G4059"/>
    <mergeCell ref="J4058:N4058"/>
    <mergeCell ref="T4058:U4058"/>
    <mergeCell ref="B4060:D4060"/>
    <mergeCell ref="F4060:G4060"/>
    <mergeCell ref="J4060:N4060"/>
    <mergeCell ref="T4060:U4060"/>
    <mergeCell ref="B4061:D4061"/>
    <mergeCell ref="F4061:G4061"/>
    <mergeCell ref="J4061:N4061"/>
    <mergeCell ref="T4061:U4061"/>
    <mergeCell ref="B4062:D4062"/>
    <mergeCell ref="F4062:G4062"/>
    <mergeCell ref="J4062:N4062"/>
    <mergeCell ref="T4062:U4062"/>
    <mergeCell ref="B4063:D4063"/>
    <mergeCell ref="F4063:G4063"/>
    <mergeCell ref="J4063:N4063"/>
    <mergeCell ref="T4063:U4063"/>
    <mergeCell ref="B4045:D4045"/>
    <mergeCell ref="F4045:G4045"/>
    <mergeCell ref="J4045:N4045"/>
    <mergeCell ref="T4045:U4045"/>
    <mergeCell ref="B4046:D4046"/>
    <mergeCell ref="F4046:G4046"/>
    <mergeCell ref="J4046:N4046"/>
    <mergeCell ref="T4046:U4046"/>
    <mergeCell ref="B4047:D4047"/>
    <mergeCell ref="F4047:G4047"/>
    <mergeCell ref="J4047:N4047"/>
    <mergeCell ref="T4047:U4047"/>
    <mergeCell ref="B4048:D4048"/>
    <mergeCell ref="F4048:G4048"/>
    <mergeCell ref="J4048:N4048"/>
    <mergeCell ref="T4048:U4048"/>
    <mergeCell ref="B4049:D4049"/>
    <mergeCell ref="F4049:G4049"/>
    <mergeCell ref="J4049:N4049"/>
    <mergeCell ref="T4049:U4049"/>
    <mergeCell ref="B4050:D4050"/>
    <mergeCell ref="F4050:G4050"/>
    <mergeCell ref="J4050:N4050"/>
    <mergeCell ref="T4050:U4050"/>
    <mergeCell ref="B4051:D4051"/>
    <mergeCell ref="F4051:G4051"/>
    <mergeCell ref="J4051:N4051"/>
    <mergeCell ref="T4051:U4051"/>
    <mergeCell ref="B4052:D4052"/>
    <mergeCell ref="F4052:G4052"/>
    <mergeCell ref="J4052:N4052"/>
    <mergeCell ref="T4052:U4052"/>
    <mergeCell ref="B4053:D4053"/>
    <mergeCell ref="F4053:G4053"/>
    <mergeCell ref="J4053:N4053"/>
    <mergeCell ref="T4053:U4053"/>
    <mergeCell ref="B4036:D4036"/>
    <mergeCell ref="F4036:G4036"/>
    <mergeCell ref="J4036:N4036"/>
    <mergeCell ref="T4036:U4036"/>
    <mergeCell ref="B4037:D4037"/>
    <mergeCell ref="F4037:G4037"/>
    <mergeCell ref="J4037:N4037"/>
    <mergeCell ref="T4037:U4037"/>
    <mergeCell ref="B4038:D4038"/>
    <mergeCell ref="F4038:G4038"/>
    <mergeCell ref="J4038:N4038"/>
    <mergeCell ref="T4038:U4038"/>
    <mergeCell ref="B4039:D4039"/>
    <mergeCell ref="F4039:G4039"/>
    <mergeCell ref="J4039:N4039"/>
    <mergeCell ref="T4039:U4039"/>
    <mergeCell ref="B4040:D4040"/>
    <mergeCell ref="F4040:G4040"/>
    <mergeCell ref="J4040:N4040"/>
    <mergeCell ref="T4040:U4040"/>
    <mergeCell ref="B4041:D4041"/>
    <mergeCell ref="F4041:G4041"/>
    <mergeCell ref="J4041:N4041"/>
    <mergeCell ref="T4041:U4041"/>
    <mergeCell ref="B4042:D4042"/>
    <mergeCell ref="F4042:G4042"/>
    <mergeCell ref="J4042:N4042"/>
    <mergeCell ref="T4042:U4042"/>
    <mergeCell ref="B4043:D4043"/>
    <mergeCell ref="F4043:G4043"/>
    <mergeCell ref="J4043:N4043"/>
    <mergeCell ref="T4043:U4043"/>
    <mergeCell ref="B4044:D4044"/>
    <mergeCell ref="F4044:G4044"/>
    <mergeCell ref="J4044:N4044"/>
    <mergeCell ref="T4044:U4044"/>
    <mergeCell ref="B4027:D4027"/>
    <mergeCell ref="F4027:G4027"/>
    <mergeCell ref="J4027:N4027"/>
    <mergeCell ref="T4027:U4027"/>
    <mergeCell ref="B4028:D4028"/>
    <mergeCell ref="F4028:G4028"/>
    <mergeCell ref="J4028:N4028"/>
    <mergeCell ref="T4028:U4028"/>
    <mergeCell ref="B4029:D4029"/>
    <mergeCell ref="F4029:G4029"/>
    <mergeCell ref="J4029:N4029"/>
    <mergeCell ref="T4029:U4029"/>
    <mergeCell ref="B4030:D4030"/>
    <mergeCell ref="F4030:G4030"/>
    <mergeCell ref="J4030:N4030"/>
    <mergeCell ref="T4030:U4030"/>
    <mergeCell ref="B4031:D4031"/>
    <mergeCell ref="F4031:G4031"/>
    <mergeCell ref="J4031:N4031"/>
    <mergeCell ref="T4031:U4031"/>
    <mergeCell ref="B4032:D4032"/>
    <mergeCell ref="F4032:G4032"/>
    <mergeCell ref="J4032:N4032"/>
    <mergeCell ref="T4032:U4032"/>
    <mergeCell ref="B4033:D4033"/>
    <mergeCell ref="F4033:G4033"/>
    <mergeCell ref="J4033:N4033"/>
    <mergeCell ref="T4033:U4033"/>
    <mergeCell ref="B4034:D4034"/>
    <mergeCell ref="F4034:G4034"/>
    <mergeCell ref="J4034:N4034"/>
    <mergeCell ref="T4034:U4034"/>
    <mergeCell ref="B4035:D4035"/>
    <mergeCell ref="F4035:G4035"/>
    <mergeCell ref="J4035:N4035"/>
    <mergeCell ref="T4035:U4035"/>
    <mergeCell ref="B4018:D4018"/>
    <mergeCell ref="F4018:G4018"/>
    <mergeCell ref="J4018:N4018"/>
    <mergeCell ref="T4018:U4018"/>
    <mergeCell ref="B4019:D4019"/>
    <mergeCell ref="F4019:G4019"/>
    <mergeCell ref="J4019:N4019"/>
    <mergeCell ref="T4019:U4019"/>
    <mergeCell ref="B4020:D4020"/>
    <mergeCell ref="F4020:G4020"/>
    <mergeCell ref="J4020:N4020"/>
    <mergeCell ref="T4020:U4020"/>
    <mergeCell ref="A4021:J4021"/>
    <mergeCell ref="K4021:O4021"/>
    <mergeCell ref="T4021:U4021"/>
    <mergeCell ref="B4022:D4022"/>
    <mergeCell ref="F4022:G4022"/>
    <mergeCell ref="J4022:N4022"/>
    <mergeCell ref="T4022:U4022"/>
    <mergeCell ref="B4023:D4023"/>
    <mergeCell ref="F4023:G4023"/>
    <mergeCell ref="J4023:N4023"/>
    <mergeCell ref="T4023:U4023"/>
    <mergeCell ref="B4024:D4024"/>
    <mergeCell ref="F4024:G4024"/>
    <mergeCell ref="J4024:N4024"/>
    <mergeCell ref="T4024:U4024"/>
    <mergeCell ref="B4025:D4025"/>
    <mergeCell ref="F4025:G4025"/>
    <mergeCell ref="J4025:N4025"/>
    <mergeCell ref="T4025:U4025"/>
    <mergeCell ref="B4026:D4026"/>
    <mergeCell ref="F4026:G4026"/>
    <mergeCell ref="J4026:N4026"/>
    <mergeCell ref="T4026:U4026"/>
    <mergeCell ref="B4009:D4009"/>
    <mergeCell ref="F4009:G4009"/>
    <mergeCell ref="J4009:N4009"/>
    <mergeCell ref="T4009:U4009"/>
    <mergeCell ref="B4010:D4010"/>
    <mergeCell ref="F4010:G4010"/>
    <mergeCell ref="J4010:N4010"/>
    <mergeCell ref="T4010:U4010"/>
    <mergeCell ref="B4011:D4011"/>
    <mergeCell ref="F4011:G4011"/>
    <mergeCell ref="J4011:N4011"/>
    <mergeCell ref="T4011:U4011"/>
    <mergeCell ref="B4012:D4012"/>
    <mergeCell ref="F4012:G4012"/>
    <mergeCell ref="J4012:N4012"/>
    <mergeCell ref="T4012:U4012"/>
    <mergeCell ref="B4013:D4013"/>
    <mergeCell ref="F4013:G4013"/>
    <mergeCell ref="J4013:N4013"/>
    <mergeCell ref="T4013:U4013"/>
    <mergeCell ref="B4014:D4014"/>
    <mergeCell ref="F4014:G4014"/>
    <mergeCell ref="J4014:N4014"/>
    <mergeCell ref="T4014:U4014"/>
    <mergeCell ref="B4015:D4015"/>
    <mergeCell ref="F4015:G4015"/>
    <mergeCell ref="J4015:N4015"/>
    <mergeCell ref="T4015:U4015"/>
    <mergeCell ref="B4016:D4016"/>
    <mergeCell ref="F4016:G4016"/>
    <mergeCell ref="J4016:N4016"/>
    <mergeCell ref="T4016:U4016"/>
    <mergeCell ref="B4017:D4017"/>
    <mergeCell ref="F4017:G4017"/>
    <mergeCell ref="J4017:N4017"/>
    <mergeCell ref="T4017:U4017"/>
    <mergeCell ref="B4000:D4000"/>
    <mergeCell ref="F4000:G4000"/>
    <mergeCell ref="J4000:N4000"/>
    <mergeCell ref="T4000:U4000"/>
    <mergeCell ref="B4001:D4001"/>
    <mergeCell ref="F4001:G4001"/>
    <mergeCell ref="J4001:N4001"/>
    <mergeCell ref="T4001:U4001"/>
    <mergeCell ref="B4002:D4002"/>
    <mergeCell ref="F4002:G4002"/>
    <mergeCell ref="J4002:N4002"/>
    <mergeCell ref="T4002:U4002"/>
    <mergeCell ref="B4003:D4003"/>
    <mergeCell ref="F4003:G4003"/>
    <mergeCell ref="J4003:N4003"/>
    <mergeCell ref="T4003:U4003"/>
    <mergeCell ref="B4004:D4004"/>
    <mergeCell ref="F4004:G4004"/>
    <mergeCell ref="J4004:N4004"/>
    <mergeCell ref="T4004:U4004"/>
    <mergeCell ref="B4005:D4005"/>
    <mergeCell ref="F4005:G4005"/>
    <mergeCell ref="J4005:N4005"/>
    <mergeCell ref="T4005:U4005"/>
    <mergeCell ref="B4006:D4006"/>
    <mergeCell ref="F4006:G4006"/>
    <mergeCell ref="J4006:N4006"/>
    <mergeCell ref="T4006:U4006"/>
    <mergeCell ref="B4007:D4007"/>
    <mergeCell ref="F4007:G4007"/>
    <mergeCell ref="J4007:N4007"/>
    <mergeCell ref="T4007:U4007"/>
    <mergeCell ref="B4008:D4008"/>
    <mergeCell ref="F4008:G4008"/>
    <mergeCell ref="J4008:N4008"/>
    <mergeCell ref="T4008:U4008"/>
    <mergeCell ref="B3991:D3991"/>
    <mergeCell ref="F3991:G3991"/>
    <mergeCell ref="J3991:N3991"/>
    <mergeCell ref="T3991:U3991"/>
    <mergeCell ref="B3992:D3992"/>
    <mergeCell ref="F3992:G3992"/>
    <mergeCell ref="J3992:N3992"/>
    <mergeCell ref="T3992:U3992"/>
    <mergeCell ref="B3993:D3993"/>
    <mergeCell ref="F3993:G3993"/>
    <mergeCell ref="J3993:N3993"/>
    <mergeCell ref="T3993:U3993"/>
    <mergeCell ref="B3994:D3994"/>
    <mergeCell ref="F3994:G3994"/>
    <mergeCell ref="J3994:N3994"/>
    <mergeCell ref="T3994:U3994"/>
    <mergeCell ref="B3995:D3995"/>
    <mergeCell ref="F3995:G3995"/>
    <mergeCell ref="J3995:N3995"/>
    <mergeCell ref="T3995:U3995"/>
    <mergeCell ref="B3996:D3996"/>
    <mergeCell ref="F3996:G3996"/>
    <mergeCell ref="J3996:N3996"/>
    <mergeCell ref="T3996:U3996"/>
    <mergeCell ref="B3997:D3997"/>
    <mergeCell ref="F3997:G3997"/>
    <mergeCell ref="J3997:N3997"/>
    <mergeCell ref="T3997:U3997"/>
    <mergeCell ref="B3998:D3998"/>
    <mergeCell ref="F3998:G3998"/>
    <mergeCell ref="J3998:N3998"/>
    <mergeCell ref="T3998:U3998"/>
    <mergeCell ref="B3999:D3999"/>
    <mergeCell ref="F3999:G3999"/>
    <mergeCell ref="J3999:N3999"/>
    <mergeCell ref="T3999:U3999"/>
    <mergeCell ref="B3982:D3982"/>
    <mergeCell ref="F3982:G3982"/>
    <mergeCell ref="J3982:N3982"/>
    <mergeCell ref="T3982:U3982"/>
    <mergeCell ref="B3983:D3983"/>
    <mergeCell ref="F3983:G3983"/>
    <mergeCell ref="J3983:N3983"/>
    <mergeCell ref="T3983:U3983"/>
    <mergeCell ref="B3984:D3984"/>
    <mergeCell ref="F3984:G3984"/>
    <mergeCell ref="J3984:N3984"/>
    <mergeCell ref="T3984:U3984"/>
    <mergeCell ref="B3985:D3985"/>
    <mergeCell ref="F3985:G3985"/>
    <mergeCell ref="J3985:N3985"/>
    <mergeCell ref="T3985:U3985"/>
    <mergeCell ref="B3986:D3986"/>
    <mergeCell ref="F3986:G3986"/>
    <mergeCell ref="J3986:N3986"/>
    <mergeCell ref="T3986:U3986"/>
    <mergeCell ref="B3987:D3987"/>
    <mergeCell ref="F3987:G3987"/>
    <mergeCell ref="J3987:N3987"/>
    <mergeCell ref="T3987:U3987"/>
    <mergeCell ref="B3988:D3988"/>
    <mergeCell ref="F3988:G3988"/>
    <mergeCell ref="J3988:N3988"/>
    <mergeCell ref="T3988:U3988"/>
    <mergeCell ref="B3989:D3989"/>
    <mergeCell ref="F3989:G3989"/>
    <mergeCell ref="J3989:N3989"/>
    <mergeCell ref="T3989:U3989"/>
    <mergeCell ref="B3990:D3990"/>
    <mergeCell ref="F3990:G3990"/>
    <mergeCell ref="J3990:N3990"/>
    <mergeCell ref="T3990:U3990"/>
    <mergeCell ref="B3972:D3972"/>
    <mergeCell ref="F3972:G3972"/>
    <mergeCell ref="J3972:N3972"/>
    <mergeCell ref="T3972:U3972"/>
    <mergeCell ref="B3973:D3973"/>
    <mergeCell ref="F3973:G3973"/>
    <mergeCell ref="J3973:N3973"/>
    <mergeCell ref="T3973:U3973"/>
    <mergeCell ref="B3974:D3974"/>
    <mergeCell ref="F3974:G3974"/>
    <mergeCell ref="J3974:N3974"/>
    <mergeCell ref="T3974:U3974"/>
    <mergeCell ref="B3975:D3975"/>
    <mergeCell ref="F3975:G3975"/>
    <mergeCell ref="J3975:N3975"/>
    <mergeCell ref="T3975:U3975"/>
    <mergeCell ref="B3976:D3976"/>
    <mergeCell ref="F3976:G3976"/>
    <mergeCell ref="J3976:N3976"/>
    <mergeCell ref="T3976:U3976"/>
    <mergeCell ref="B3977:D3977"/>
    <mergeCell ref="F3977:G3978"/>
    <mergeCell ref="J3977:N3977"/>
    <mergeCell ref="T3977:U3977"/>
    <mergeCell ref="B3979:D3979"/>
    <mergeCell ref="F3979:G3979"/>
    <mergeCell ref="J3979:N3979"/>
    <mergeCell ref="T3979:U3979"/>
    <mergeCell ref="B3980:D3980"/>
    <mergeCell ref="F3980:G3980"/>
    <mergeCell ref="J3980:N3980"/>
    <mergeCell ref="T3980:U3980"/>
    <mergeCell ref="B3981:D3981"/>
    <mergeCell ref="F3981:G3981"/>
    <mergeCell ref="J3981:N3981"/>
    <mergeCell ref="T3981:U3981"/>
    <mergeCell ref="B3963:D3963"/>
    <mergeCell ref="F3963:G3963"/>
    <mergeCell ref="J3963:N3963"/>
    <mergeCell ref="T3963:U3963"/>
    <mergeCell ref="B3964:D3964"/>
    <mergeCell ref="F3964:G3964"/>
    <mergeCell ref="J3964:N3964"/>
    <mergeCell ref="T3964:U3964"/>
    <mergeCell ref="B3965:D3965"/>
    <mergeCell ref="F3965:G3965"/>
    <mergeCell ref="J3965:N3965"/>
    <mergeCell ref="T3965:U3965"/>
    <mergeCell ref="B3966:D3966"/>
    <mergeCell ref="F3966:G3966"/>
    <mergeCell ref="J3966:N3966"/>
    <mergeCell ref="T3966:U3966"/>
    <mergeCell ref="B3967:D3967"/>
    <mergeCell ref="F3967:G3967"/>
    <mergeCell ref="J3967:N3967"/>
    <mergeCell ref="T3967:U3967"/>
    <mergeCell ref="B3968:D3968"/>
    <mergeCell ref="F3968:G3968"/>
    <mergeCell ref="J3968:N3968"/>
    <mergeCell ref="T3968:U3968"/>
    <mergeCell ref="B3969:D3969"/>
    <mergeCell ref="F3969:G3969"/>
    <mergeCell ref="J3969:N3969"/>
    <mergeCell ref="T3969:U3969"/>
    <mergeCell ref="B3970:D3970"/>
    <mergeCell ref="F3970:G3970"/>
    <mergeCell ref="J3970:N3970"/>
    <mergeCell ref="T3970:U3970"/>
    <mergeCell ref="B3971:D3971"/>
    <mergeCell ref="F3971:G3971"/>
    <mergeCell ref="J3971:N3971"/>
    <mergeCell ref="T3971:U3971"/>
    <mergeCell ref="B3952:D3952"/>
    <mergeCell ref="F3952:G3952"/>
    <mergeCell ref="J3952:N3952"/>
    <mergeCell ref="T3952:U3952"/>
    <mergeCell ref="B3953:D3953"/>
    <mergeCell ref="F3953:G3953"/>
    <mergeCell ref="J3953:N3953"/>
    <mergeCell ref="T3953:U3953"/>
    <mergeCell ref="B3954:D3954"/>
    <mergeCell ref="F3954:G3954"/>
    <mergeCell ref="J3954:N3954"/>
    <mergeCell ref="T3954:U3954"/>
    <mergeCell ref="B3955:D3955"/>
    <mergeCell ref="F3955:G3955"/>
    <mergeCell ref="J3955:N3955"/>
    <mergeCell ref="T3955:U3955"/>
    <mergeCell ref="B3956:D3956"/>
    <mergeCell ref="F3956:G3956"/>
    <mergeCell ref="J3956:N3956"/>
    <mergeCell ref="T3956:U3956"/>
    <mergeCell ref="B3957:D3957"/>
    <mergeCell ref="F3957:G3958"/>
    <mergeCell ref="J3957:N3957"/>
    <mergeCell ref="T3957:U3957"/>
    <mergeCell ref="B3959:D3959"/>
    <mergeCell ref="F3959:G3959"/>
    <mergeCell ref="J3959:N3959"/>
    <mergeCell ref="T3959:U3959"/>
    <mergeCell ref="B3960:D3960"/>
    <mergeCell ref="F3960:G3961"/>
    <mergeCell ref="J3960:N3960"/>
    <mergeCell ref="T3960:U3960"/>
    <mergeCell ref="B3962:D3962"/>
    <mergeCell ref="F3962:G3962"/>
    <mergeCell ref="J3962:N3962"/>
    <mergeCell ref="T3962:U3962"/>
    <mergeCell ref="B3943:D3943"/>
    <mergeCell ref="F3943:G3943"/>
    <mergeCell ref="J3943:N3943"/>
    <mergeCell ref="T3943:U3943"/>
    <mergeCell ref="B3944:D3944"/>
    <mergeCell ref="F3944:G3944"/>
    <mergeCell ref="J3944:N3944"/>
    <mergeCell ref="T3944:U3944"/>
    <mergeCell ref="B3945:D3945"/>
    <mergeCell ref="F3945:G3945"/>
    <mergeCell ref="J3945:N3945"/>
    <mergeCell ref="T3945:U3945"/>
    <mergeCell ref="B3946:D3946"/>
    <mergeCell ref="F3946:G3946"/>
    <mergeCell ref="J3946:N3946"/>
    <mergeCell ref="T3946:U3946"/>
    <mergeCell ref="B3947:D3947"/>
    <mergeCell ref="F3947:G3947"/>
    <mergeCell ref="J3947:N3947"/>
    <mergeCell ref="T3947:U3947"/>
    <mergeCell ref="B3948:D3948"/>
    <mergeCell ref="F3948:G3948"/>
    <mergeCell ref="J3948:N3948"/>
    <mergeCell ref="T3948:U3948"/>
    <mergeCell ref="B3949:D3949"/>
    <mergeCell ref="F3949:G3949"/>
    <mergeCell ref="J3949:N3949"/>
    <mergeCell ref="T3949:U3949"/>
    <mergeCell ref="B3950:D3950"/>
    <mergeCell ref="F3950:G3950"/>
    <mergeCell ref="J3950:N3950"/>
    <mergeCell ref="T3950:U3950"/>
    <mergeCell ref="B3951:D3951"/>
    <mergeCell ref="F3951:G3951"/>
    <mergeCell ref="J3951:N3951"/>
    <mergeCell ref="T3951:U3951"/>
    <mergeCell ref="B3934:D3934"/>
    <mergeCell ref="F3934:G3934"/>
    <mergeCell ref="J3934:N3934"/>
    <mergeCell ref="T3934:U3934"/>
    <mergeCell ref="B3935:D3935"/>
    <mergeCell ref="F3935:G3935"/>
    <mergeCell ref="J3935:N3935"/>
    <mergeCell ref="T3935:U3935"/>
    <mergeCell ref="B3936:D3936"/>
    <mergeCell ref="F3936:G3936"/>
    <mergeCell ref="J3936:N3936"/>
    <mergeCell ref="T3936:U3936"/>
    <mergeCell ref="B3937:D3937"/>
    <mergeCell ref="F3937:G3937"/>
    <mergeCell ref="J3937:N3937"/>
    <mergeCell ref="T3937:U3937"/>
    <mergeCell ref="B3938:D3938"/>
    <mergeCell ref="F3938:G3938"/>
    <mergeCell ref="J3938:N3938"/>
    <mergeCell ref="T3938:U3938"/>
    <mergeCell ref="B3939:D3939"/>
    <mergeCell ref="F3939:G3939"/>
    <mergeCell ref="J3939:N3939"/>
    <mergeCell ref="T3939:U3939"/>
    <mergeCell ref="B3940:D3940"/>
    <mergeCell ref="F3940:G3940"/>
    <mergeCell ref="J3940:N3940"/>
    <mergeCell ref="T3940:U3940"/>
    <mergeCell ref="B3941:D3941"/>
    <mergeCell ref="F3941:G3941"/>
    <mergeCell ref="J3941:N3941"/>
    <mergeCell ref="T3941:U3941"/>
    <mergeCell ref="B3942:D3942"/>
    <mergeCell ref="F3942:G3942"/>
    <mergeCell ref="J3942:N3942"/>
    <mergeCell ref="T3942:U3942"/>
    <mergeCell ref="B3925:D3925"/>
    <mergeCell ref="F3925:G3925"/>
    <mergeCell ref="J3925:N3925"/>
    <mergeCell ref="T3925:U3925"/>
    <mergeCell ref="B3926:D3926"/>
    <mergeCell ref="F3926:G3926"/>
    <mergeCell ref="J3926:N3926"/>
    <mergeCell ref="T3926:U3926"/>
    <mergeCell ref="B3927:D3927"/>
    <mergeCell ref="F3927:G3927"/>
    <mergeCell ref="J3927:N3927"/>
    <mergeCell ref="T3927:U3927"/>
    <mergeCell ref="B3928:D3928"/>
    <mergeCell ref="F3928:G3928"/>
    <mergeCell ref="J3928:N3928"/>
    <mergeCell ref="T3928:U3928"/>
    <mergeCell ref="B3929:D3929"/>
    <mergeCell ref="F3929:G3929"/>
    <mergeCell ref="J3929:N3929"/>
    <mergeCell ref="T3929:U3929"/>
    <mergeCell ref="B3930:D3930"/>
    <mergeCell ref="F3930:G3930"/>
    <mergeCell ref="J3930:N3930"/>
    <mergeCell ref="T3930:U3930"/>
    <mergeCell ref="B3931:D3931"/>
    <mergeCell ref="F3931:G3931"/>
    <mergeCell ref="J3931:N3931"/>
    <mergeCell ref="T3931:U3931"/>
    <mergeCell ref="B3932:D3932"/>
    <mergeCell ref="F3932:G3932"/>
    <mergeCell ref="J3932:N3932"/>
    <mergeCell ref="T3932:U3932"/>
    <mergeCell ref="B3933:D3933"/>
    <mergeCell ref="F3933:G3933"/>
    <mergeCell ref="J3933:N3933"/>
    <mergeCell ref="T3933:U3933"/>
    <mergeCell ref="B3916:D3916"/>
    <mergeCell ref="F3916:G3916"/>
    <mergeCell ref="J3916:N3916"/>
    <mergeCell ref="T3916:U3916"/>
    <mergeCell ref="B3917:D3917"/>
    <mergeCell ref="F3917:G3917"/>
    <mergeCell ref="J3917:N3917"/>
    <mergeCell ref="T3917:U3917"/>
    <mergeCell ref="B3918:D3918"/>
    <mergeCell ref="F3918:G3918"/>
    <mergeCell ref="J3918:N3918"/>
    <mergeCell ref="T3918:U3918"/>
    <mergeCell ref="B3919:D3919"/>
    <mergeCell ref="F3919:G3919"/>
    <mergeCell ref="J3919:N3919"/>
    <mergeCell ref="T3919:U3919"/>
    <mergeCell ref="B3920:D3920"/>
    <mergeCell ref="F3920:G3920"/>
    <mergeCell ref="J3920:N3920"/>
    <mergeCell ref="T3920:U3920"/>
    <mergeCell ref="B3921:D3921"/>
    <mergeCell ref="F3921:G3921"/>
    <mergeCell ref="J3921:N3921"/>
    <mergeCell ref="T3921:U3921"/>
    <mergeCell ref="B3922:D3922"/>
    <mergeCell ref="F3922:G3922"/>
    <mergeCell ref="J3922:N3922"/>
    <mergeCell ref="T3922:U3922"/>
    <mergeCell ref="B3923:D3923"/>
    <mergeCell ref="F3923:G3923"/>
    <mergeCell ref="J3923:N3923"/>
    <mergeCell ref="T3923:U3923"/>
    <mergeCell ref="B3924:D3924"/>
    <mergeCell ref="F3924:G3924"/>
    <mergeCell ref="J3924:N3924"/>
    <mergeCell ref="T3924:U3924"/>
    <mergeCell ref="B3907:D3907"/>
    <mergeCell ref="F3907:G3907"/>
    <mergeCell ref="J3907:N3907"/>
    <mergeCell ref="T3907:U3907"/>
    <mergeCell ref="B3908:D3908"/>
    <mergeCell ref="F3908:G3908"/>
    <mergeCell ref="J3908:N3908"/>
    <mergeCell ref="T3908:U3908"/>
    <mergeCell ref="B3909:D3909"/>
    <mergeCell ref="F3909:G3909"/>
    <mergeCell ref="J3909:N3909"/>
    <mergeCell ref="T3909:U3909"/>
    <mergeCell ref="B3910:D3910"/>
    <mergeCell ref="F3910:G3910"/>
    <mergeCell ref="J3910:N3910"/>
    <mergeCell ref="T3910:U3910"/>
    <mergeCell ref="B3911:D3911"/>
    <mergeCell ref="F3911:G3911"/>
    <mergeCell ref="J3911:N3911"/>
    <mergeCell ref="T3911:U3911"/>
    <mergeCell ref="B3912:D3912"/>
    <mergeCell ref="F3912:G3912"/>
    <mergeCell ref="J3912:N3912"/>
    <mergeCell ref="T3912:U3912"/>
    <mergeCell ref="B3913:D3913"/>
    <mergeCell ref="F3913:G3913"/>
    <mergeCell ref="J3913:N3913"/>
    <mergeCell ref="T3913:U3913"/>
    <mergeCell ref="B3914:D3914"/>
    <mergeCell ref="F3914:G3914"/>
    <mergeCell ref="J3914:N3914"/>
    <mergeCell ref="T3914:U3914"/>
    <mergeCell ref="B3915:D3915"/>
    <mergeCell ref="F3915:G3915"/>
    <mergeCell ref="J3915:N3915"/>
    <mergeCell ref="T3915:U3915"/>
    <mergeCell ref="A3898:J3898"/>
    <mergeCell ref="K3898:O3898"/>
    <mergeCell ref="T3898:U3898"/>
    <mergeCell ref="B3899:D3899"/>
    <mergeCell ref="F3899:G3899"/>
    <mergeCell ref="J3899:N3899"/>
    <mergeCell ref="T3899:U3899"/>
    <mergeCell ref="B3900:D3900"/>
    <mergeCell ref="F3900:G3900"/>
    <mergeCell ref="J3900:N3900"/>
    <mergeCell ref="T3900:U3900"/>
    <mergeCell ref="B3901:D3901"/>
    <mergeCell ref="F3901:G3901"/>
    <mergeCell ref="J3901:N3901"/>
    <mergeCell ref="T3901:U3901"/>
    <mergeCell ref="B3902:D3902"/>
    <mergeCell ref="F3902:G3902"/>
    <mergeCell ref="J3902:N3902"/>
    <mergeCell ref="T3902:U3902"/>
    <mergeCell ref="B3903:D3903"/>
    <mergeCell ref="F3903:G3903"/>
    <mergeCell ref="J3903:N3903"/>
    <mergeCell ref="T3903:U3903"/>
    <mergeCell ref="B3904:D3904"/>
    <mergeCell ref="F3904:G3904"/>
    <mergeCell ref="J3904:N3904"/>
    <mergeCell ref="T3904:U3904"/>
    <mergeCell ref="B3905:D3905"/>
    <mergeCell ref="F3905:G3905"/>
    <mergeCell ref="J3905:N3905"/>
    <mergeCell ref="T3905:U3905"/>
    <mergeCell ref="B3906:D3906"/>
    <mergeCell ref="F3906:G3906"/>
    <mergeCell ref="J3906:N3906"/>
    <mergeCell ref="T3906:U3906"/>
    <mergeCell ref="B3889:D3889"/>
    <mergeCell ref="F3889:G3889"/>
    <mergeCell ref="J3889:N3889"/>
    <mergeCell ref="T3889:U3889"/>
    <mergeCell ref="B3890:D3890"/>
    <mergeCell ref="F3890:G3890"/>
    <mergeCell ref="J3890:N3890"/>
    <mergeCell ref="T3890:U3890"/>
    <mergeCell ref="B3891:D3891"/>
    <mergeCell ref="F3891:G3891"/>
    <mergeCell ref="J3891:N3891"/>
    <mergeCell ref="T3891:U3891"/>
    <mergeCell ref="B3892:D3892"/>
    <mergeCell ref="F3892:G3892"/>
    <mergeCell ref="J3892:N3892"/>
    <mergeCell ref="T3892:U3892"/>
    <mergeCell ref="B3893:D3893"/>
    <mergeCell ref="F3893:G3893"/>
    <mergeCell ref="J3893:N3893"/>
    <mergeCell ref="T3893:U3893"/>
    <mergeCell ref="B3894:D3894"/>
    <mergeCell ref="F3894:G3894"/>
    <mergeCell ref="J3894:N3894"/>
    <mergeCell ref="T3894:U3894"/>
    <mergeCell ref="B3895:D3895"/>
    <mergeCell ref="F3895:G3895"/>
    <mergeCell ref="J3895:N3895"/>
    <mergeCell ref="T3895:U3895"/>
    <mergeCell ref="B3896:D3896"/>
    <mergeCell ref="F3896:G3896"/>
    <mergeCell ref="J3896:N3896"/>
    <mergeCell ref="T3896:U3896"/>
    <mergeCell ref="B3897:D3897"/>
    <mergeCell ref="F3897:G3897"/>
    <mergeCell ref="J3897:N3897"/>
    <mergeCell ref="T3897:U3897"/>
    <mergeCell ref="B3880:D3880"/>
    <mergeCell ref="F3880:G3880"/>
    <mergeCell ref="J3880:N3880"/>
    <mergeCell ref="T3880:U3880"/>
    <mergeCell ref="B3881:D3881"/>
    <mergeCell ref="F3881:G3881"/>
    <mergeCell ref="J3881:N3881"/>
    <mergeCell ref="T3881:U3881"/>
    <mergeCell ref="B3882:D3882"/>
    <mergeCell ref="F3882:G3882"/>
    <mergeCell ref="J3882:N3882"/>
    <mergeCell ref="T3882:U3882"/>
    <mergeCell ref="B3883:D3883"/>
    <mergeCell ref="F3883:G3883"/>
    <mergeCell ref="J3883:N3883"/>
    <mergeCell ref="T3883:U3883"/>
    <mergeCell ref="B3884:D3884"/>
    <mergeCell ref="F3884:G3884"/>
    <mergeCell ref="J3884:N3884"/>
    <mergeCell ref="T3884:U3884"/>
    <mergeCell ref="B3885:D3885"/>
    <mergeCell ref="F3885:G3885"/>
    <mergeCell ref="J3885:N3885"/>
    <mergeCell ref="T3885:U3885"/>
    <mergeCell ref="B3886:D3886"/>
    <mergeCell ref="F3886:G3886"/>
    <mergeCell ref="J3886:N3886"/>
    <mergeCell ref="T3886:U3886"/>
    <mergeCell ref="B3887:D3887"/>
    <mergeCell ref="F3887:G3887"/>
    <mergeCell ref="J3887:N3887"/>
    <mergeCell ref="T3887:U3887"/>
    <mergeCell ref="B3888:D3888"/>
    <mergeCell ref="F3888:G3888"/>
    <mergeCell ref="J3888:N3888"/>
    <mergeCell ref="T3888:U3888"/>
    <mergeCell ref="B3871:D3871"/>
    <mergeCell ref="F3871:G3871"/>
    <mergeCell ref="J3871:N3871"/>
    <mergeCell ref="T3871:U3871"/>
    <mergeCell ref="B3872:D3872"/>
    <mergeCell ref="F3872:G3872"/>
    <mergeCell ref="J3872:N3872"/>
    <mergeCell ref="T3872:U3872"/>
    <mergeCell ref="B3873:D3873"/>
    <mergeCell ref="F3873:G3873"/>
    <mergeCell ref="J3873:N3873"/>
    <mergeCell ref="T3873:U3873"/>
    <mergeCell ref="B3874:D3874"/>
    <mergeCell ref="F3874:G3874"/>
    <mergeCell ref="J3874:N3874"/>
    <mergeCell ref="T3874:U3874"/>
    <mergeCell ref="B3875:D3875"/>
    <mergeCell ref="F3875:G3875"/>
    <mergeCell ref="J3875:N3875"/>
    <mergeCell ref="T3875:U3875"/>
    <mergeCell ref="B3876:D3876"/>
    <mergeCell ref="F3876:G3876"/>
    <mergeCell ref="J3876:N3876"/>
    <mergeCell ref="T3876:U3876"/>
    <mergeCell ref="B3877:D3877"/>
    <mergeCell ref="F3877:G3877"/>
    <mergeCell ref="J3877:N3877"/>
    <mergeCell ref="T3877:U3877"/>
    <mergeCell ref="B3878:D3878"/>
    <mergeCell ref="F3878:G3878"/>
    <mergeCell ref="J3878:N3878"/>
    <mergeCell ref="T3878:U3878"/>
    <mergeCell ref="B3879:D3879"/>
    <mergeCell ref="F3879:G3879"/>
    <mergeCell ref="J3879:N3879"/>
    <mergeCell ref="T3879:U3879"/>
    <mergeCell ref="B3861:D3861"/>
    <mergeCell ref="F3861:G3861"/>
    <mergeCell ref="J3861:N3861"/>
    <mergeCell ref="T3861:U3861"/>
    <mergeCell ref="B3862:D3862"/>
    <mergeCell ref="F3862:G3862"/>
    <mergeCell ref="J3862:N3862"/>
    <mergeCell ref="T3862:U3862"/>
    <mergeCell ref="B3863:D3863"/>
    <mergeCell ref="F3863:G3864"/>
    <mergeCell ref="J3863:N3863"/>
    <mergeCell ref="T3863:U3863"/>
    <mergeCell ref="B3865:D3865"/>
    <mergeCell ref="F3865:G3865"/>
    <mergeCell ref="J3865:N3865"/>
    <mergeCell ref="T3865:U3865"/>
    <mergeCell ref="B3866:D3866"/>
    <mergeCell ref="F3866:G3866"/>
    <mergeCell ref="J3866:N3866"/>
    <mergeCell ref="T3866:U3866"/>
    <mergeCell ref="B3867:D3867"/>
    <mergeCell ref="F3867:G3867"/>
    <mergeCell ref="J3867:N3867"/>
    <mergeCell ref="T3867:U3867"/>
    <mergeCell ref="B3868:D3868"/>
    <mergeCell ref="F3868:G3868"/>
    <mergeCell ref="J3868:N3868"/>
    <mergeCell ref="T3868:U3868"/>
    <mergeCell ref="B3869:D3869"/>
    <mergeCell ref="F3869:G3869"/>
    <mergeCell ref="J3869:N3869"/>
    <mergeCell ref="T3869:U3869"/>
    <mergeCell ref="B3870:D3870"/>
    <mergeCell ref="F3870:G3870"/>
    <mergeCell ref="J3870:N3870"/>
    <mergeCell ref="T3870:U3870"/>
    <mergeCell ref="B3852:D3852"/>
    <mergeCell ref="F3852:G3852"/>
    <mergeCell ref="J3852:N3852"/>
    <mergeCell ref="T3852:U3852"/>
    <mergeCell ref="B3853:D3853"/>
    <mergeCell ref="F3853:G3853"/>
    <mergeCell ref="J3853:N3853"/>
    <mergeCell ref="T3853:U3853"/>
    <mergeCell ref="B3854:D3854"/>
    <mergeCell ref="F3854:G3854"/>
    <mergeCell ref="J3854:N3854"/>
    <mergeCell ref="T3854:U3854"/>
    <mergeCell ref="B3855:D3855"/>
    <mergeCell ref="F3855:G3855"/>
    <mergeCell ref="J3855:N3855"/>
    <mergeCell ref="T3855:U3855"/>
    <mergeCell ref="B3856:D3856"/>
    <mergeCell ref="F3856:G3856"/>
    <mergeCell ref="J3856:N3856"/>
    <mergeCell ref="T3856:U3856"/>
    <mergeCell ref="B3857:D3857"/>
    <mergeCell ref="F3857:G3857"/>
    <mergeCell ref="J3857:N3857"/>
    <mergeCell ref="T3857:U3857"/>
    <mergeCell ref="B3858:D3858"/>
    <mergeCell ref="F3858:G3858"/>
    <mergeCell ref="J3858:N3858"/>
    <mergeCell ref="T3858:U3858"/>
    <mergeCell ref="B3859:D3859"/>
    <mergeCell ref="F3859:G3859"/>
    <mergeCell ref="J3859:N3859"/>
    <mergeCell ref="T3859:U3859"/>
    <mergeCell ref="B3860:D3860"/>
    <mergeCell ref="F3860:G3860"/>
    <mergeCell ref="J3860:N3860"/>
    <mergeCell ref="T3860:U3860"/>
    <mergeCell ref="B3843:D3843"/>
    <mergeCell ref="F3843:G3843"/>
    <mergeCell ref="J3843:N3843"/>
    <mergeCell ref="T3843:U3843"/>
    <mergeCell ref="B3844:D3844"/>
    <mergeCell ref="F3844:G3844"/>
    <mergeCell ref="J3844:N3844"/>
    <mergeCell ref="T3844:U3844"/>
    <mergeCell ref="B3845:D3845"/>
    <mergeCell ref="F3845:G3845"/>
    <mergeCell ref="J3845:N3845"/>
    <mergeCell ref="T3845:U3845"/>
    <mergeCell ref="B3846:D3846"/>
    <mergeCell ref="F3846:G3846"/>
    <mergeCell ref="J3846:N3846"/>
    <mergeCell ref="T3846:U3846"/>
    <mergeCell ref="B3847:D3847"/>
    <mergeCell ref="F3847:G3847"/>
    <mergeCell ref="J3847:N3847"/>
    <mergeCell ref="T3847:U3847"/>
    <mergeCell ref="B3848:D3848"/>
    <mergeCell ref="F3848:G3848"/>
    <mergeCell ref="J3848:N3848"/>
    <mergeCell ref="T3848:U3848"/>
    <mergeCell ref="B3849:D3849"/>
    <mergeCell ref="F3849:G3849"/>
    <mergeCell ref="J3849:N3849"/>
    <mergeCell ref="T3849:U3849"/>
    <mergeCell ref="B3850:D3850"/>
    <mergeCell ref="F3850:G3850"/>
    <mergeCell ref="J3850:N3850"/>
    <mergeCell ref="T3850:U3850"/>
    <mergeCell ref="B3851:D3851"/>
    <mergeCell ref="F3851:G3851"/>
    <mergeCell ref="J3851:N3851"/>
    <mergeCell ref="T3851:U3851"/>
    <mergeCell ref="B3834:D3834"/>
    <mergeCell ref="F3834:G3834"/>
    <mergeCell ref="J3834:N3834"/>
    <mergeCell ref="T3834:U3834"/>
    <mergeCell ref="B3835:D3835"/>
    <mergeCell ref="F3835:G3835"/>
    <mergeCell ref="J3835:N3835"/>
    <mergeCell ref="T3835:U3835"/>
    <mergeCell ref="B3836:D3836"/>
    <mergeCell ref="F3836:G3836"/>
    <mergeCell ref="J3836:N3836"/>
    <mergeCell ref="T3836:U3836"/>
    <mergeCell ref="B3837:D3837"/>
    <mergeCell ref="F3837:G3837"/>
    <mergeCell ref="J3837:N3837"/>
    <mergeCell ref="T3837:U3837"/>
    <mergeCell ref="B3838:D3838"/>
    <mergeCell ref="F3838:G3838"/>
    <mergeCell ref="J3838:N3838"/>
    <mergeCell ref="T3838:U3838"/>
    <mergeCell ref="B3839:D3839"/>
    <mergeCell ref="F3839:G3839"/>
    <mergeCell ref="J3839:N3839"/>
    <mergeCell ref="T3839:U3839"/>
    <mergeCell ref="B3840:D3840"/>
    <mergeCell ref="F3840:G3840"/>
    <mergeCell ref="J3840:N3840"/>
    <mergeCell ref="T3840:U3840"/>
    <mergeCell ref="B3841:D3841"/>
    <mergeCell ref="F3841:G3841"/>
    <mergeCell ref="J3841:N3841"/>
    <mergeCell ref="T3841:U3841"/>
    <mergeCell ref="B3842:D3842"/>
    <mergeCell ref="F3842:G3842"/>
    <mergeCell ref="J3842:N3842"/>
    <mergeCell ref="T3842:U3842"/>
    <mergeCell ref="B3825:D3825"/>
    <mergeCell ref="F3825:G3825"/>
    <mergeCell ref="J3825:N3825"/>
    <mergeCell ref="T3825:U3825"/>
    <mergeCell ref="B3826:D3826"/>
    <mergeCell ref="F3826:G3826"/>
    <mergeCell ref="J3826:N3826"/>
    <mergeCell ref="T3826:U3826"/>
    <mergeCell ref="B3827:D3827"/>
    <mergeCell ref="F3827:G3827"/>
    <mergeCell ref="J3827:N3827"/>
    <mergeCell ref="T3827:U3827"/>
    <mergeCell ref="B3828:D3828"/>
    <mergeCell ref="F3828:G3828"/>
    <mergeCell ref="J3828:N3828"/>
    <mergeCell ref="T3828:U3828"/>
    <mergeCell ref="B3829:D3829"/>
    <mergeCell ref="F3829:G3829"/>
    <mergeCell ref="J3829:N3829"/>
    <mergeCell ref="T3829:U3829"/>
    <mergeCell ref="B3830:D3830"/>
    <mergeCell ref="F3830:G3830"/>
    <mergeCell ref="J3830:N3830"/>
    <mergeCell ref="T3830:U3830"/>
    <mergeCell ref="B3831:D3831"/>
    <mergeCell ref="F3831:G3831"/>
    <mergeCell ref="J3831:N3831"/>
    <mergeCell ref="T3831:U3831"/>
    <mergeCell ref="B3832:D3832"/>
    <mergeCell ref="F3832:G3832"/>
    <mergeCell ref="J3832:N3832"/>
    <mergeCell ref="T3832:U3832"/>
    <mergeCell ref="B3833:D3833"/>
    <mergeCell ref="F3833:G3833"/>
    <mergeCell ref="J3833:N3833"/>
    <mergeCell ref="T3833:U3833"/>
    <mergeCell ref="B3816:D3816"/>
    <mergeCell ref="F3816:G3816"/>
    <mergeCell ref="J3816:N3816"/>
    <mergeCell ref="T3816:U3816"/>
    <mergeCell ref="B3817:D3817"/>
    <mergeCell ref="F3817:G3817"/>
    <mergeCell ref="J3817:N3817"/>
    <mergeCell ref="T3817:U3817"/>
    <mergeCell ref="B3818:D3818"/>
    <mergeCell ref="F3818:G3818"/>
    <mergeCell ref="J3818:N3818"/>
    <mergeCell ref="T3818:U3818"/>
    <mergeCell ref="B3819:D3819"/>
    <mergeCell ref="F3819:G3819"/>
    <mergeCell ref="J3819:N3819"/>
    <mergeCell ref="T3819:U3819"/>
    <mergeCell ref="B3820:D3820"/>
    <mergeCell ref="F3820:G3820"/>
    <mergeCell ref="J3820:N3820"/>
    <mergeCell ref="T3820:U3820"/>
    <mergeCell ref="B3821:D3821"/>
    <mergeCell ref="F3821:G3821"/>
    <mergeCell ref="J3821:N3821"/>
    <mergeCell ref="T3821:U3821"/>
    <mergeCell ref="B3822:D3822"/>
    <mergeCell ref="F3822:G3822"/>
    <mergeCell ref="J3822:N3822"/>
    <mergeCell ref="T3822:U3822"/>
    <mergeCell ref="B3823:D3823"/>
    <mergeCell ref="F3823:G3823"/>
    <mergeCell ref="J3823:N3823"/>
    <mergeCell ref="T3823:U3823"/>
    <mergeCell ref="B3824:D3824"/>
    <mergeCell ref="F3824:G3824"/>
    <mergeCell ref="J3824:N3824"/>
    <mergeCell ref="T3824:U3824"/>
    <mergeCell ref="B3807:D3807"/>
    <mergeCell ref="F3807:G3807"/>
    <mergeCell ref="J3807:N3807"/>
    <mergeCell ref="T3807:U3807"/>
    <mergeCell ref="B3808:D3808"/>
    <mergeCell ref="F3808:G3808"/>
    <mergeCell ref="J3808:N3808"/>
    <mergeCell ref="T3808:U3808"/>
    <mergeCell ref="B3809:D3809"/>
    <mergeCell ref="F3809:G3809"/>
    <mergeCell ref="J3809:N3809"/>
    <mergeCell ref="T3809:U3809"/>
    <mergeCell ref="B3810:D3810"/>
    <mergeCell ref="F3810:G3810"/>
    <mergeCell ref="J3810:N3810"/>
    <mergeCell ref="T3810:U3810"/>
    <mergeCell ref="B3811:D3811"/>
    <mergeCell ref="F3811:G3811"/>
    <mergeCell ref="J3811:N3811"/>
    <mergeCell ref="T3811:U3811"/>
    <mergeCell ref="B3812:D3812"/>
    <mergeCell ref="F3812:G3812"/>
    <mergeCell ref="J3812:N3812"/>
    <mergeCell ref="T3812:U3812"/>
    <mergeCell ref="B3813:D3813"/>
    <mergeCell ref="F3813:G3813"/>
    <mergeCell ref="J3813:N3813"/>
    <mergeCell ref="T3813:U3813"/>
    <mergeCell ref="B3814:D3814"/>
    <mergeCell ref="F3814:G3814"/>
    <mergeCell ref="J3814:N3814"/>
    <mergeCell ref="T3814:U3814"/>
    <mergeCell ref="B3815:D3815"/>
    <mergeCell ref="F3815:G3815"/>
    <mergeCell ref="J3815:N3815"/>
    <mergeCell ref="T3815:U3815"/>
    <mergeCell ref="B3798:D3798"/>
    <mergeCell ref="F3798:G3798"/>
    <mergeCell ref="J3798:N3798"/>
    <mergeCell ref="T3798:U3798"/>
    <mergeCell ref="B3799:D3799"/>
    <mergeCell ref="F3799:G3799"/>
    <mergeCell ref="J3799:N3799"/>
    <mergeCell ref="T3799:U3799"/>
    <mergeCell ref="B3800:D3800"/>
    <mergeCell ref="F3800:G3800"/>
    <mergeCell ref="J3800:N3800"/>
    <mergeCell ref="T3800:U3800"/>
    <mergeCell ref="B3801:D3801"/>
    <mergeCell ref="F3801:G3801"/>
    <mergeCell ref="J3801:N3801"/>
    <mergeCell ref="T3801:U3801"/>
    <mergeCell ref="B3802:D3802"/>
    <mergeCell ref="F3802:G3802"/>
    <mergeCell ref="J3802:N3802"/>
    <mergeCell ref="T3802:U3802"/>
    <mergeCell ref="B3803:D3803"/>
    <mergeCell ref="F3803:G3803"/>
    <mergeCell ref="J3803:N3803"/>
    <mergeCell ref="T3803:U3803"/>
    <mergeCell ref="B3804:D3804"/>
    <mergeCell ref="F3804:G3804"/>
    <mergeCell ref="J3804:N3804"/>
    <mergeCell ref="T3804:U3804"/>
    <mergeCell ref="A3805:J3805"/>
    <mergeCell ref="K3805:O3805"/>
    <mergeCell ref="T3805:U3805"/>
    <mergeCell ref="B3806:D3806"/>
    <mergeCell ref="F3806:G3806"/>
    <mergeCell ref="J3806:N3806"/>
    <mergeCell ref="T3806:U3806"/>
    <mergeCell ref="B3789:D3789"/>
    <mergeCell ref="F3789:G3789"/>
    <mergeCell ref="J3789:N3789"/>
    <mergeCell ref="T3789:U3789"/>
    <mergeCell ref="B3790:D3790"/>
    <mergeCell ref="F3790:G3790"/>
    <mergeCell ref="J3790:N3790"/>
    <mergeCell ref="T3790:U3790"/>
    <mergeCell ref="B3791:D3791"/>
    <mergeCell ref="F3791:G3791"/>
    <mergeCell ref="J3791:N3791"/>
    <mergeCell ref="T3791:U3791"/>
    <mergeCell ref="B3792:D3792"/>
    <mergeCell ref="F3792:G3792"/>
    <mergeCell ref="J3792:N3792"/>
    <mergeCell ref="T3792:U3792"/>
    <mergeCell ref="B3793:D3793"/>
    <mergeCell ref="F3793:G3793"/>
    <mergeCell ref="J3793:N3793"/>
    <mergeCell ref="T3793:U3793"/>
    <mergeCell ref="B3794:D3794"/>
    <mergeCell ref="F3794:G3794"/>
    <mergeCell ref="J3794:N3794"/>
    <mergeCell ref="T3794:U3794"/>
    <mergeCell ref="B3795:D3795"/>
    <mergeCell ref="F3795:G3795"/>
    <mergeCell ref="J3795:N3795"/>
    <mergeCell ref="T3795:U3795"/>
    <mergeCell ref="B3796:D3796"/>
    <mergeCell ref="F3796:G3796"/>
    <mergeCell ref="J3796:N3796"/>
    <mergeCell ref="T3796:U3796"/>
    <mergeCell ref="B3797:D3797"/>
    <mergeCell ref="F3797:G3797"/>
    <mergeCell ref="J3797:N3797"/>
    <mergeCell ref="T3797:U3797"/>
    <mergeCell ref="B3780:D3780"/>
    <mergeCell ref="F3780:G3780"/>
    <mergeCell ref="J3780:N3780"/>
    <mergeCell ref="T3780:U3780"/>
    <mergeCell ref="B3781:D3781"/>
    <mergeCell ref="F3781:G3781"/>
    <mergeCell ref="J3781:N3781"/>
    <mergeCell ref="T3781:U3781"/>
    <mergeCell ref="B3782:D3782"/>
    <mergeCell ref="F3782:G3782"/>
    <mergeCell ref="J3782:N3782"/>
    <mergeCell ref="T3782:U3782"/>
    <mergeCell ref="B3783:D3783"/>
    <mergeCell ref="F3783:G3783"/>
    <mergeCell ref="J3783:N3783"/>
    <mergeCell ref="T3783:U3783"/>
    <mergeCell ref="B3784:D3784"/>
    <mergeCell ref="F3784:G3784"/>
    <mergeCell ref="J3784:N3784"/>
    <mergeCell ref="T3784:U3784"/>
    <mergeCell ref="B3785:D3785"/>
    <mergeCell ref="F3785:G3785"/>
    <mergeCell ref="J3785:N3785"/>
    <mergeCell ref="T3785:U3785"/>
    <mergeCell ref="B3786:D3786"/>
    <mergeCell ref="F3786:G3786"/>
    <mergeCell ref="J3786:N3786"/>
    <mergeCell ref="T3786:U3786"/>
    <mergeCell ref="B3787:D3787"/>
    <mergeCell ref="F3787:G3787"/>
    <mergeCell ref="J3787:N3787"/>
    <mergeCell ref="T3787:U3787"/>
    <mergeCell ref="B3788:D3788"/>
    <mergeCell ref="F3788:G3788"/>
    <mergeCell ref="J3788:N3788"/>
    <mergeCell ref="T3788:U3788"/>
    <mergeCell ref="B3771:D3771"/>
    <mergeCell ref="F3771:G3771"/>
    <mergeCell ref="J3771:N3771"/>
    <mergeCell ref="T3771:U3771"/>
    <mergeCell ref="B3772:D3772"/>
    <mergeCell ref="F3772:G3772"/>
    <mergeCell ref="J3772:N3772"/>
    <mergeCell ref="T3772:U3772"/>
    <mergeCell ref="B3773:D3773"/>
    <mergeCell ref="F3773:G3773"/>
    <mergeCell ref="J3773:N3773"/>
    <mergeCell ref="T3773:U3773"/>
    <mergeCell ref="B3774:D3774"/>
    <mergeCell ref="F3774:G3774"/>
    <mergeCell ref="J3774:N3774"/>
    <mergeCell ref="T3774:U3774"/>
    <mergeCell ref="B3775:D3775"/>
    <mergeCell ref="F3775:G3775"/>
    <mergeCell ref="J3775:N3775"/>
    <mergeCell ref="T3775:U3775"/>
    <mergeCell ref="B3776:D3776"/>
    <mergeCell ref="F3776:G3776"/>
    <mergeCell ref="J3776:N3776"/>
    <mergeCell ref="T3776:U3776"/>
    <mergeCell ref="B3777:D3777"/>
    <mergeCell ref="F3777:G3777"/>
    <mergeCell ref="J3777:N3777"/>
    <mergeCell ref="T3777:U3777"/>
    <mergeCell ref="B3778:D3778"/>
    <mergeCell ref="F3778:G3778"/>
    <mergeCell ref="J3778:N3778"/>
    <mergeCell ref="T3778:U3778"/>
    <mergeCell ref="B3779:D3779"/>
    <mergeCell ref="F3779:G3779"/>
    <mergeCell ref="J3779:N3779"/>
    <mergeCell ref="T3779:U3779"/>
    <mergeCell ref="B3762:D3762"/>
    <mergeCell ref="F3762:G3762"/>
    <mergeCell ref="J3762:N3762"/>
    <mergeCell ref="T3762:U3762"/>
    <mergeCell ref="B3763:D3763"/>
    <mergeCell ref="F3763:G3763"/>
    <mergeCell ref="J3763:N3763"/>
    <mergeCell ref="T3763:U3763"/>
    <mergeCell ref="B3764:D3764"/>
    <mergeCell ref="F3764:G3764"/>
    <mergeCell ref="J3764:N3764"/>
    <mergeCell ref="T3764:U3764"/>
    <mergeCell ref="B3765:D3765"/>
    <mergeCell ref="F3765:G3765"/>
    <mergeCell ref="J3765:N3765"/>
    <mergeCell ref="T3765:U3765"/>
    <mergeCell ref="B3766:D3766"/>
    <mergeCell ref="F3766:G3766"/>
    <mergeCell ref="J3766:N3766"/>
    <mergeCell ref="T3766:U3766"/>
    <mergeCell ref="B3767:D3767"/>
    <mergeCell ref="F3767:G3767"/>
    <mergeCell ref="J3767:N3767"/>
    <mergeCell ref="T3767:U3767"/>
    <mergeCell ref="B3768:D3768"/>
    <mergeCell ref="F3768:G3768"/>
    <mergeCell ref="J3768:N3768"/>
    <mergeCell ref="T3768:U3768"/>
    <mergeCell ref="B3769:D3769"/>
    <mergeCell ref="F3769:G3769"/>
    <mergeCell ref="J3769:N3769"/>
    <mergeCell ref="T3769:U3769"/>
    <mergeCell ref="B3770:D3770"/>
    <mergeCell ref="F3770:G3770"/>
    <mergeCell ref="J3770:N3770"/>
    <mergeCell ref="T3770:U3770"/>
    <mergeCell ref="B3753:D3753"/>
    <mergeCell ref="F3753:G3753"/>
    <mergeCell ref="J3753:N3753"/>
    <mergeCell ref="T3753:U3753"/>
    <mergeCell ref="B3754:D3754"/>
    <mergeCell ref="F3754:G3754"/>
    <mergeCell ref="J3754:N3754"/>
    <mergeCell ref="T3754:U3754"/>
    <mergeCell ref="B3755:D3755"/>
    <mergeCell ref="F3755:G3755"/>
    <mergeCell ref="J3755:N3755"/>
    <mergeCell ref="T3755:U3755"/>
    <mergeCell ref="B3756:D3756"/>
    <mergeCell ref="F3756:G3756"/>
    <mergeCell ref="J3756:N3756"/>
    <mergeCell ref="T3756:U3756"/>
    <mergeCell ref="B3757:D3757"/>
    <mergeCell ref="F3757:G3757"/>
    <mergeCell ref="J3757:N3757"/>
    <mergeCell ref="T3757:U3757"/>
    <mergeCell ref="B3758:D3758"/>
    <mergeCell ref="F3758:G3758"/>
    <mergeCell ref="J3758:N3758"/>
    <mergeCell ref="T3758:U3758"/>
    <mergeCell ref="B3759:D3759"/>
    <mergeCell ref="F3759:G3759"/>
    <mergeCell ref="J3759:N3759"/>
    <mergeCell ref="T3759:U3759"/>
    <mergeCell ref="B3760:D3760"/>
    <mergeCell ref="F3760:G3760"/>
    <mergeCell ref="J3760:N3760"/>
    <mergeCell ref="T3760:U3760"/>
    <mergeCell ref="B3761:D3761"/>
    <mergeCell ref="F3761:G3761"/>
    <mergeCell ref="J3761:N3761"/>
    <mergeCell ref="T3761:U3761"/>
    <mergeCell ref="B3743:D3743"/>
    <mergeCell ref="F3743:G3743"/>
    <mergeCell ref="J3743:N3743"/>
    <mergeCell ref="T3743:U3743"/>
    <mergeCell ref="B3744:D3744"/>
    <mergeCell ref="F3744:G3744"/>
    <mergeCell ref="J3744:N3744"/>
    <mergeCell ref="T3744:U3744"/>
    <mergeCell ref="B3745:D3745"/>
    <mergeCell ref="F3745:G3745"/>
    <mergeCell ref="J3745:N3745"/>
    <mergeCell ref="T3745:U3745"/>
    <mergeCell ref="B3746:D3746"/>
    <mergeCell ref="F3746:G3747"/>
    <mergeCell ref="J3746:N3746"/>
    <mergeCell ref="T3746:U3746"/>
    <mergeCell ref="B3748:D3748"/>
    <mergeCell ref="F3748:G3748"/>
    <mergeCell ref="J3748:N3748"/>
    <mergeCell ref="T3748:U3748"/>
    <mergeCell ref="B3749:D3749"/>
    <mergeCell ref="F3749:G3749"/>
    <mergeCell ref="J3749:N3749"/>
    <mergeCell ref="T3749:U3749"/>
    <mergeCell ref="B3750:D3750"/>
    <mergeCell ref="F3750:G3750"/>
    <mergeCell ref="J3750:N3750"/>
    <mergeCell ref="T3750:U3750"/>
    <mergeCell ref="B3751:D3751"/>
    <mergeCell ref="F3751:G3751"/>
    <mergeCell ref="J3751:N3751"/>
    <mergeCell ref="T3751:U3751"/>
    <mergeCell ref="B3752:D3752"/>
    <mergeCell ref="F3752:G3752"/>
    <mergeCell ref="J3752:N3752"/>
    <mergeCell ref="T3752:U3752"/>
    <mergeCell ref="B3734:D3734"/>
    <mergeCell ref="F3734:G3734"/>
    <mergeCell ref="J3734:N3734"/>
    <mergeCell ref="T3734:U3734"/>
    <mergeCell ref="B3735:D3735"/>
    <mergeCell ref="F3735:G3735"/>
    <mergeCell ref="J3735:N3735"/>
    <mergeCell ref="T3735:U3735"/>
    <mergeCell ref="B3736:D3736"/>
    <mergeCell ref="F3736:G3736"/>
    <mergeCell ref="J3736:N3736"/>
    <mergeCell ref="T3736:U3736"/>
    <mergeCell ref="B3737:D3737"/>
    <mergeCell ref="F3737:G3737"/>
    <mergeCell ref="J3737:N3737"/>
    <mergeCell ref="T3737:U3737"/>
    <mergeCell ref="B3738:D3738"/>
    <mergeCell ref="F3738:G3738"/>
    <mergeCell ref="J3738:N3738"/>
    <mergeCell ref="T3738:U3738"/>
    <mergeCell ref="B3739:D3739"/>
    <mergeCell ref="F3739:G3739"/>
    <mergeCell ref="J3739:N3739"/>
    <mergeCell ref="T3739:U3739"/>
    <mergeCell ref="B3740:D3740"/>
    <mergeCell ref="F3740:G3740"/>
    <mergeCell ref="J3740:N3740"/>
    <mergeCell ref="T3740:U3740"/>
    <mergeCell ref="B3741:D3741"/>
    <mergeCell ref="F3741:G3741"/>
    <mergeCell ref="J3741:N3741"/>
    <mergeCell ref="T3741:U3741"/>
    <mergeCell ref="B3742:D3742"/>
    <mergeCell ref="F3742:G3742"/>
    <mergeCell ref="J3742:N3742"/>
    <mergeCell ref="T3742:U3742"/>
    <mergeCell ref="B3725:D3725"/>
    <mergeCell ref="F3725:G3725"/>
    <mergeCell ref="J3725:N3725"/>
    <mergeCell ref="T3725:U3725"/>
    <mergeCell ref="B3726:D3726"/>
    <mergeCell ref="F3726:G3726"/>
    <mergeCell ref="J3726:N3726"/>
    <mergeCell ref="T3726:U3726"/>
    <mergeCell ref="B3727:D3727"/>
    <mergeCell ref="F3727:G3727"/>
    <mergeCell ref="J3727:N3727"/>
    <mergeCell ref="T3727:U3727"/>
    <mergeCell ref="B3728:D3728"/>
    <mergeCell ref="F3728:G3728"/>
    <mergeCell ref="J3728:N3728"/>
    <mergeCell ref="T3728:U3728"/>
    <mergeCell ref="B3729:D3729"/>
    <mergeCell ref="F3729:G3729"/>
    <mergeCell ref="J3729:N3729"/>
    <mergeCell ref="T3729:U3729"/>
    <mergeCell ref="B3730:D3730"/>
    <mergeCell ref="F3730:G3730"/>
    <mergeCell ref="J3730:N3730"/>
    <mergeCell ref="T3730:U3730"/>
    <mergeCell ref="B3731:D3731"/>
    <mergeCell ref="F3731:G3731"/>
    <mergeCell ref="J3731:N3731"/>
    <mergeCell ref="T3731:U3731"/>
    <mergeCell ref="B3732:D3732"/>
    <mergeCell ref="F3732:G3732"/>
    <mergeCell ref="J3732:N3732"/>
    <mergeCell ref="T3732:U3732"/>
    <mergeCell ref="B3733:D3733"/>
    <mergeCell ref="F3733:G3733"/>
    <mergeCell ref="J3733:N3733"/>
    <mergeCell ref="T3733:U3733"/>
    <mergeCell ref="B3716:D3716"/>
    <mergeCell ref="F3716:G3716"/>
    <mergeCell ref="J3716:N3716"/>
    <mergeCell ref="T3716:U3716"/>
    <mergeCell ref="B3717:D3717"/>
    <mergeCell ref="F3717:G3717"/>
    <mergeCell ref="J3717:N3717"/>
    <mergeCell ref="T3717:U3717"/>
    <mergeCell ref="B3718:D3718"/>
    <mergeCell ref="F3718:G3718"/>
    <mergeCell ref="J3718:N3718"/>
    <mergeCell ref="T3718:U3718"/>
    <mergeCell ref="B3719:D3719"/>
    <mergeCell ref="F3719:G3719"/>
    <mergeCell ref="J3719:N3719"/>
    <mergeCell ref="T3719:U3719"/>
    <mergeCell ref="B3720:D3720"/>
    <mergeCell ref="F3720:G3720"/>
    <mergeCell ref="J3720:N3720"/>
    <mergeCell ref="T3720:U3720"/>
    <mergeCell ref="B3721:D3721"/>
    <mergeCell ref="F3721:G3721"/>
    <mergeCell ref="J3721:N3721"/>
    <mergeCell ref="T3721:U3721"/>
    <mergeCell ref="B3722:D3722"/>
    <mergeCell ref="F3722:G3722"/>
    <mergeCell ref="J3722:N3722"/>
    <mergeCell ref="T3722:U3722"/>
    <mergeCell ref="B3723:D3723"/>
    <mergeCell ref="F3723:G3723"/>
    <mergeCell ref="J3723:N3723"/>
    <mergeCell ref="T3723:U3723"/>
    <mergeCell ref="B3724:D3724"/>
    <mergeCell ref="F3724:G3724"/>
    <mergeCell ref="J3724:N3724"/>
    <mergeCell ref="T3724:U3724"/>
    <mergeCell ref="B3707:D3707"/>
    <mergeCell ref="F3707:G3707"/>
    <mergeCell ref="J3707:N3707"/>
    <mergeCell ref="T3707:U3707"/>
    <mergeCell ref="B3708:D3708"/>
    <mergeCell ref="F3708:G3708"/>
    <mergeCell ref="J3708:N3708"/>
    <mergeCell ref="T3708:U3708"/>
    <mergeCell ref="B3709:D3709"/>
    <mergeCell ref="F3709:G3709"/>
    <mergeCell ref="J3709:N3709"/>
    <mergeCell ref="T3709:U3709"/>
    <mergeCell ref="B3710:D3710"/>
    <mergeCell ref="F3710:G3710"/>
    <mergeCell ref="J3710:N3710"/>
    <mergeCell ref="T3710:U3710"/>
    <mergeCell ref="B3711:D3711"/>
    <mergeCell ref="F3711:G3711"/>
    <mergeCell ref="J3711:N3711"/>
    <mergeCell ref="T3711:U3711"/>
    <mergeCell ref="B3712:D3712"/>
    <mergeCell ref="F3712:G3712"/>
    <mergeCell ref="J3712:N3712"/>
    <mergeCell ref="T3712:U3712"/>
    <mergeCell ref="B3713:D3713"/>
    <mergeCell ref="F3713:G3713"/>
    <mergeCell ref="J3713:N3713"/>
    <mergeCell ref="T3713:U3713"/>
    <mergeCell ref="B3714:D3714"/>
    <mergeCell ref="F3714:G3714"/>
    <mergeCell ref="J3714:N3714"/>
    <mergeCell ref="T3714:U3714"/>
    <mergeCell ref="B3715:D3715"/>
    <mergeCell ref="F3715:G3715"/>
    <mergeCell ref="J3715:N3715"/>
    <mergeCell ref="T3715:U3715"/>
    <mergeCell ref="B3698:D3698"/>
    <mergeCell ref="F3698:G3698"/>
    <mergeCell ref="J3698:N3698"/>
    <mergeCell ref="T3698:U3698"/>
    <mergeCell ref="B3699:D3699"/>
    <mergeCell ref="F3699:G3699"/>
    <mergeCell ref="J3699:N3699"/>
    <mergeCell ref="T3699:U3699"/>
    <mergeCell ref="B3700:D3700"/>
    <mergeCell ref="F3700:G3700"/>
    <mergeCell ref="J3700:N3700"/>
    <mergeCell ref="T3700:U3700"/>
    <mergeCell ref="B3701:D3701"/>
    <mergeCell ref="F3701:G3701"/>
    <mergeCell ref="J3701:N3701"/>
    <mergeCell ref="T3701:U3701"/>
    <mergeCell ref="B3702:D3702"/>
    <mergeCell ref="F3702:G3702"/>
    <mergeCell ref="J3702:N3702"/>
    <mergeCell ref="T3702:U3702"/>
    <mergeCell ref="B3703:D3703"/>
    <mergeCell ref="F3703:G3703"/>
    <mergeCell ref="J3703:N3703"/>
    <mergeCell ref="T3703:U3703"/>
    <mergeCell ref="B3704:D3704"/>
    <mergeCell ref="F3704:G3704"/>
    <mergeCell ref="J3704:N3704"/>
    <mergeCell ref="T3704:U3704"/>
    <mergeCell ref="B3705:D3705"/>
    <mergeCell ref="F3705:G3705"/>
    <mergeCell ref="J3705:N3705"/>
    <mergeCell ref="T3705:U3705"/>
    <mergeCell ref="B3706:D3706"/>
    <mergeCell ref="F3706:G3706"/>
    <mergeCell ref="J3706:N3706"/>
    <mergeCell ref="T3706:U3706"/>
    <mergeCell ref="B3689:D3689"/>
    <mergeCell ref="F3689:G3689"/>
    <mergeCell ref="J3689:N3689"/>
    <mergeCell ref="T3689:U3689"/>
    <mergeCell ref="B3690:D3690"/>
    <mergeCell ref="F3690:G3690"/>
    <mergeCell ref="J3690:N3690"/>
    <mergeCell ref="T3690:U3690"/>
    <mergeCell ref="B3691:D3691"/>
    <mergeCell ref="F3691:G3691"/>
    <mergeCell ref="J3691:N3691"/>
    <mergeCell ref="T3691:U3691"/>
    <mergeCell ref="B3692:D3692"/>
    <mergeCell ref="F3692:G3692"/>
    <mergeCell ref="J3692:N3692"/>
    <mergeCell ref="T3692:U3692"/>
    <mergeCell ref="B3693:D3693"/>
    <mergeCell ref="F3693:G3693"/>
    <mergeCell ref="J3693:N3693"/>
    <mergeCell ref="T3693:U3693"/>
    <mergeCell ref="B3694:D3694"/>
    <mergeCell ref="F3694:G3694"/>
    <mergeCell ref="J3694:N3694"/>
    <mergeCell ref="T3694:U3694"/>
    <mergeCell ref="B3695:D3695"/>
    <mergeCell ref="F3695:G3695"/>
    <mergeCell ref="J3695:N3695"/>
    <mergeCell ref="T3695:U3695"/>
    <mergeCell ref="B3696:D3696"/>
    <mergeCell ref="F3696:G3696"/>
    <mergeCell ref="J3696:N3696"/>
    <mergeCell ref="T3696:U3696"/>
    <mergeCell ref="B3697:D3697"/>
    <mergeCell ref="F3697:G3697"/>
    <mergeCell ref="J3697:N3697"/>
    <mergeCell ref="T3697:U3697"/>
    <mergeCell ref="B3680:D3680"/>
    <mergeCell ref="F3680:G3680"/>
    <mergeCell ref="J3680:N3680"/>
    <mergeCell ref="T3680:U3680"/>
    <mergeCell ref="B3681:D3681"/>
    <mergeCell ref="F3681:G3681"/>
    <mergeCell ref="J3681:N3681"/>
    <mergeCell ref="T3681:U3681"/>
    <mergeCell ref="B3682:D3682"/>
    <mergeCell ref="F3682:G3682"/>
    <mergeCell ref="J3682:N3682"/>
    <mergeCell ref="T3682:U3682"/>
    <mergeCell ref="B3683:D3683"/>
    <mergeCell ref="F3683:G3683"/>
    <mergeCell ref="J3683:N3683"/>
    <mergeCell ref="T3683:U3683"/>
    <mergeCell ref="B3684:D3684"/>
    <mergeCell ref="F3684:G3684"/>
    <mergeCell ref="J3684:N3684"/>
    <mergeCell ref="T3684:U3684"/>
    <mergeCell ref="B3685:D3685"/>
    <mergeCell ref="F3685:G3685"/>
    <mergeCell ref="J3685:N3685"/>
    <mergeCell ref="T3685:U3685"/>
    <mergeCell ref="B3686:D3686"/>
    <mergeCell ref="F3686:G3686"/>
    <mergeCell ref="J3686:N3686"/>
    <mergeCell ref="T3686:U3686"/>
    <mergeCell ref="B3687:D3687"/>
    <mergeCell ref="F3687:G3687"/>
    <mergeCell ref="J3687:N3687"/>
    <mergeCell ref="T3687:U3687"/>
    <mergeCell ref="B3688:D3688"/>
    <mergeCell ref="F3688:G3688"/>
    <mergeCell ref="J3688:N3688"/>
    <mergeCell ref="T3688:U3688"/>
    <mergeCell ref="B3671:D3671"/>
    <mergeCell ref="F3671:G3671"/>
    <mergeCell ref="J3671:N3671"/>
    <mergeCell ref="T3671:U3671"/>
    <mergeCell ref="B3672:D3672"/>
    <mergeCell ref="F3672:G3672"/>
    <mergeCell ref="J3672:N3672"/>
    <mergeCell ref="T3672:U3672"/>
    <mergeCell ref="B3673:D3673"/>
    <mergeCell ref="F3673:G3673"/>
    <mergeCell ref="J3673:N3673"/>
    <mergeCell ref="T3673:U3673"/>
    <mergeCell ref="B3674:D3674"/>
    <mergeCell ref="F3674:G3674"/>
    <mergeCell ref="J3674:N3674"/>
    <mergeCell ref="T3674:U3674"/>
    <mergeCell ref="B3675:D3675"/>
    <mergeCell ref="F3675:G3675"/>
    <mergeCell ref="J3675:N3675"/>
    <mergeCell ref="T3675:U3675"/>
    <mergeCell ref="B3676:D3676"/>
    <mergeCell ref="F3676:G3676"/>
    <mergeCell ref="J3676:N3676"/>
    <mergeCell ref="T3676:U3676"/>
    <mergeCell ref="B3677:D3677"/>
    <mergeCell ref="F3677:G3677"/>
    <mergeCell ref="J3677:N3677"/>
    <mergeCell ref="T3677:U3677"/>
    <mergeCell ref="B3678:D3678"/>
    <mergeCell ref="F3678:G3678"/>
    <mergeCell ref="J3678:N3678"/>
    <mergeCell ref="T3678:U3678"/>
    <mergeCell ref="A3679:J3679"/>
    <mergeCell ref="K3679:O3679"/>
    <mergeCell ref="T3679:U3679"/>
    <mergeCell ref="B3662:D3662"/>
    <mergeCell ref="F3662:G3662"/>
    <mergeCell ref="J3662:N3662"/>
    <mergeCell ref="T3662:U3662"/>
    <mergeCell ref="B3663:D3663"/>
    <mergeCell ref="F3663:G3663"/>
    <mergeCell ref="J3663:N3663"/>
    <mergeCell ref="T3663:U3663"/>
    <mergeCell ref="B3664:D3664"/>
    <mergeCell ref="F3664:G3664"/>
    <mergeCell ref="J3664:N3664"/>
    <mergeCell ref="T3664:U3664"/>
    <mergeCell ref="B3665:D3665"/>
    <mergeCell ref="F3665:G3665"/>
    <mergeCell ref="J3665:N3665"/>
    <mergeCell ref="T3665:U3665"/>
    <mergeCell ref="B3666:D3666"/>
    <mergeCell ref="F3666:G3666"/>
    <mergeCell ref="J3666:N3666"/>
    <mergeCell ref="T3666:U3666"/>
    <mergeCell ref="B3667:D3667"/>
    <mergeCell ref="F3667:G3667"/>
    <mergeCell ref="J3667:N3667"/>
    <mergeCell ref="T3667:U3667"/>
    <mergeCell ref="B3668:D3668"/>
    <mergeCell ref="F3668:G3668"/>
    <mergeCell ref="J3668:N3668"/>
    <mergeCell ref="T3668:U3668"/>
    <mergeCell ref="B3669:D3669"/>
    <mergeCell ref="F3669:G3669"/>
    <mergeCell ref="J3669:N3669"/>
    <mergeCell ref="T3669:U3669"/>
    <mergeCell ref="B3670:D3670"/>
    <mergeCell ref="F3670:G3670"/>
    <mergeCell ref="J3670:N3670"/>
    <mergeCell ref="T3670:U3670"/>
    <mergeCell ref="B3653:D3653"/>
    <mergeCell ref="F3653:G3653"/>
    <mergeCell ref="J3653:N3653"/>
    <mergeCell ref="T3653:U3653"/>
    <mergeCell ref="B3654:D3654"/>
    <mergeCell ref="F3654:G3654"/>
    <mergeCell ref="J3654:N3654"/>
    <mergeCell ref="T3654:U3654"/>
    <mergeCell ref="B3655:D3655"/>
    <mergeCell ref="F3655:G3655"/>
    <mergeCell ref="J3655:N3655"/>
    <mergeCell ref="T3655:U3655"/>
    <mergeCell ref="B3656:D3656"/>
    <mergeCell ref="F3656:G3656"/>
    <mergeCell ref="J3656:N3656"/>
    <mergeCell ref="T3656:U3656"/>
    <mergeCell ref="B3657:D3657"/>
    <mergeCell ref="F3657:G3657"/>
    <mergeCell ref="J3657:N3657"/>
    <mergeCell ref="T3657:U3657"/>
    <mergeCell ref="B3658:D3658"/>
    <mergeCell ref="F3658:G3658"/>
    <mergeCell ref="J3658:N3658"/>
    <mergeCell ref="T3658:U3658"/>
    <mergeCell ref="B3659:D3659"/>
    <mergeCell ref="F3659:G3659"/>
    <mergeCell ref="J3659:N3659"/>
    <mergeCell ref="T3659:U3659"/>
    <mergeCell ref="B3660:D3660"/>
    <mergeCell ref="F3660:G3660"/>
    <mergeCell ref="J3660:N3660"/>
    <mergeCell ref="T3660:U3660"/>
    <mergeCell ref="B3661:D3661"/>
    <mergeCell ref="F3661:G3661"/>
    <mergeCell ref="J3661:N3661"/>
    <mergeCell ref="T3661:U3661"/>
    <mergeCell ref="B3644:D3644"/>
    <mergeCell ref="F3644:G3644"/>
    <mergeCell ref="J3644:N3644"/>
    <mergeCell ref="T3644:U3644"/>
    <mergeCell ref="B3645:D3645"/>
    <mergeCell ref="F3645:G3645"/>
    <mergeCell ref="J3645:N3645"/>
    <mergeCell ref="T3645:U3645"/>
    <mergeCell ref="B3646:D3646"/>
    <mergeCell ref="F3646:G3646"/>
    <mergeCell ref="J3646:N3646"/>
    <mergeCell ref="T3646:U3646"/>
    <mergeCell ref="B3647:D3647"/>
    <mergeCell ref="F3647:G3647"/>
    <mergeCell ref="J3647:N3647"/>
    <mergeCell ref="T3647:U3647"/>
    <mergeCell ref="B3648:D3648"/>
    <mergeCell ref="F3648:G3648"/>
    <mergeCell ref="J3648:N3648"/>
    <mergeCell ref="T3648:U3648"/>
    <mergeCell ref="B3649:D3649"/>
    <mergeCell ref="F3649:G3649"/>
    <mergeCell ref="J3649:N3649"/>
    <mergeCell ref="T3649:U3649"/>
    <mergeCell ref="B3650:D3650"/>
    <mergeCell ref="F3650:G3650"/>
    <mergeCell ref="J3650:N3650"/>
    <mergeCell ref="T3650:U3650"/>
    <mergeCell ref="B3651:D3651"/>
    <mergeCell ref="F3651:G3651"/>
    <mergeCell ref="J3651:N3651"/>
    <mergeCell ref="T3651:U3651"/>
    <mergeCell ref="B3652:D3652"/>
    <mergeCell ref="F3652:G3652"/>
    <mergeCell ref="J3652:N3652"/>
    <mergeCell ref="T3652:U3652"/>
    <mergeCell ref="B3634:D3634"/>
    <mergeCell ref="F3634:G3634"/>
    <mergeCell ref="J3634:N3634"/>
    <mergeCell ref="T3634:U3634"/>
    <mergeCell ref="B3635:D3635"/>
    <mergeCell ref="F3635:G3636"/>
    <mergeCell ref="J3635:N3635"/>
    <mergeCell ref="T3635:U3635"/>
    <mergeCell ref="B3637:D3637"/>
    <mergeCell ref="F3637:G3637"/>
    <mergeCell ref="J3637:N3637"/>
    <mergeCell ref="T3637:U3637"/>
    <mergeCell ref="B3638:D3638"/>
    <mergeCell ref="F3638:G3638"/>
    <mergeCell ref="J3638:N3638"/>
    <mergeCell ref="T3638:U3638"/>
    <mergeCell ref="B3639:D3639"/>
    <mergeCell ref="F3639:G3639"/>
    <mergeCell ref="J3639:N3639"/>
    <mergeCell ref="T3639:U3639"/>
    <mergeCell ref="B3640:D3640"/>
    <mergeCell ref="F3640:G3640"/>
    <mergeCell ref="J3640:N3640"/>
    <mergeCell ref="T3640:U3640"/>
    <mergeCell ref="B3641:D3641"/>
    <mergeCell ref="F3641:G3641"/>
    <mergeCell ref="J3641:N3641"/>
    <mergeCell ref="T3641:U3641"/>
    <mergeCell ref="B3642:D3642"/>
    <mergeCell ref="F3642:G3642"/>
    <mergeCell ref="J3642:N3642"/>
    <mergeCell ref="T3642:U3642"/>
    <mergeCell ref="B3643:D3643"/>
    <mergeCell ref="F3643:G3643"/>
    <mergeCell ref="J3643:N3643"/>
    <mergeCell ref="T3643:U3643"/>
    <mergeCell ref="B3625:D3625"/>
    <mergeCell ref="F3625:G3625"/>
    <mergeCell ref="J3625:N3625"/>
    <mergeCell ref="T3625:U3625"/>
    <mergeCell ref="B3626:D3626"/>
    <mergeCell ref="F3626:G3626"/>
    <mergeCell ref="J3626:N3626"/>
    <mergeCell ref="T3626:U3626"/>
    <mergeCell ref="B3627:D3627"/>
    <mergeCell ref="F3627:G3627"/>
    <mergeCell ref="J3627:N3627"/>
    <mergeCell ref="T3627:U3627"/>
    <mergeCell ref="B3628:D3628"/>
    <mergeCell ref="F3628:G3628"/>
    <mergeCell ref="J3628:N3628"/>
    <mergeCell ref="T3628:U3628"/>
    <mergeCell ref="B3629:D3629"/>
    <mergeCell ref="F3629:G3629"/>
    <mergeCell ref="J3629:N3629"/>
    <mergeCell ref="T3629:U3629"/>
    <mergeCell ref="B3630:D3630"/>
    <mergeCell ref="F3630:G3630"/>
    <mergeCell ref="J3630:N3630"/>
    <mergeCell ref="T3630:U3630"/>
    <mergeCell ref="B3631:D3631"/>
    <mergeCell ref="F3631:G3631"/>
    <mergeCell ref="J3631:N3631"/>
    <mergeCell ref="T3631:U3631"/>
    <mergeCell ref="B3632:D3632"/>
    <mergeCell ref="F3632:G3632"/>
    <mergeCell ref="J3632:N3632"/>
    <mergeCell ref="T3632:U3632"/>
    <mergeCell ref="B3633:D3633"/>
    <mergeCell ref="F3633:G3633"/>
    <mergeCell ref="J3633:N3633"/>
    <mergeCell ref="T3633:U3633"/>
    <mergeCell ref="B3616:D3616"/>
    <mergeCell ref="F3616:G3616"/>
    <mergeCell ref="J3616:N3616"/>
    <mergeCell ref="T3616:U3616"/>
    <mergeCell ref="B3617:D3617"/>
    <mergeCell ref="F3617:G3617"/>
    <mergeCell ref="J3617:N3617"/>
    <mergeCell ref="T3617:U3617"/>
    <mergeCell ref="B3618:D3618"/>
    <mergeCell ref="F3618:G3618"/>
    <mergeCell ref="J3618:N3618"/>
    <mergeCell ref="T3618:U3618"/>
    <mergeCell ref="B3619:D3619"/>
    <mergeCell ref="F3619:G3619"/>
    <mergeCell ref="J3619:N3619"/>
    <mergeCell ref="T3619:U3619"/>
    <mergeCell ref="B3620:D3620"/>
    <mergeCell ref="F3620:G3620"/>
    <mergeCell ref="J3620:N3620"/>
    <mergeCell ref="T3620:U3620"/>
    <mergeCell ref="B3621:D3621"/>
    <mergeCell ref="F3621:G3621"/>
    <mergeCell ref="J3621:N3621"/>
    <mergeCell ref="T3621:U3621"/>
    <mergeCell ref="B3622:D3622"/>
    <mergeCell ref="F3622:G3622"/>
    <mergeCell ref="J3622:N3622"/>
    <mergeCell ref="T3622:U3622"/>
    <mergeCell ref="B3623:D3623"/>
    <mergeCell ref="F3623:G3623"/>
    <mergeCell ref="J3623:N3623"/>
    <mergeCell ref="T3623:U3623"/>
    <mergeCell ref="B3624:D3624"/>
    <mergeCell ref="F3624:G3624"/>
    <mergeCell ref="J3624:N3624"/>
    <mergeCell ref="T3624:U3624"/>
    <mergeCell ref="B3607:D3607"/>
    <mergeCell ref="F3607:G3607"/>
    <mergeCell ref="J3607:N3607"/>
    <mergeCell ref="T3607:U3607"/>
    <mergeCell ref="B3608:D3608"/>
    <mergeCell ref="F3608:G3608"/>
    <mergeCell ref="J3608:N3608"/>
    <mergeCell ref="T3608:U3608"/>
    <mergeCell ref="B3609:D3609"/>
    <mergeCell ref="F3609:G3609"/>
    <mergeCell ref="J3609:N3609"/>
    <mergeCell ref="T3609:U3609"/>
    <mergeCell ref="B3610:D3610"/>
    <mergeCell ref="F3610:G3610"/>
    <mergeCell ref="J3610:N3610"/>
    <mergeCell ref="T3610:U3610"/>
    <mergeCell ref="B3611:D3611"/>
    <mergeCell ref="F3611:G3611"/>
    <mergeCell ref="J3611:N3611"/>
    <mergeCell ref="T3611:U3611"/>
    <mergeCell ref="B3612:D3612"/>
    <mergeCell ref="F3612:G3612"/>
    <mergeCell ref="J3612:N3612"/>
    <mergeCell ref="T3612:U3612"/>
    <mergeCell ref="B3613:D3613"/>
    <mergeCell ref="F3613:G3613"/>
    <mergeCell ref="J3613:N3613"/>
    <mergeCell ref="T3613:U3613"/>
    <mergeCell ref="B3614:D3614"/>
    <mergeCell ref="F3614:G3614"/>
    <mergeCell ref="J3614:N3614"/>
    <mergeCell ref="T3614:U3614"/>
    <mergeCell ref="B3615:D3615"/>
    <mergeCell ref="F3615:G3615"/>
    <mergeCell ref="J3615:N3615"/>
    <mergeCell ref="T3615:U3615"/>
    <mergeCell ref="B3598:D3598"/>
    <mergeCell ref="F3598:G3598"/>
    <mergeCell ref="J3598:N3598"/>
    <mergeCell ref="T3598:U3598"/>
    <mergeCell ref="B3599:D3599"/>
    <mergeCell ref="F3599:G3599"/>
    <mergeCell ref="J3599:N3599"/>
    <mergeCell ref="T3599:U3599"/>
    <mergeCell ref="B3600:D3600"/>
    <mergeCell ref="F3600:G3600"/>
    <mergeCell ref="J3600:N3600"/>
    <mergeCell ref="T3600:U3600"/>
    <mergeCell ref="B3601:D3601"/>
    <mergeCell ref="F3601:G3601"/>
    <mergeCell ref="J3601:N3601"/>
    <mergeCell ref="T3601:U3601"/>
    <mergeCell ref="B3602:D3602"/>
    <mergeCell ref="F3602:G3602"/>
    <mergeCell ref="J3602:N3602"/>
    <mergeCell ref="T3602:U3602"/>
    <mergeCell ref="B3603:D3603"/>
    <mergeCell ref="F3603:G3603"/>
    <mergeCell ref="J3603:N3603"/>
    <mergeCell ref="T3603:U3603"/>
    <mergeCell ref="B3604:D3604"/>
    <mergeCell ref="F3604:G3604"/>
    <mergeCell ref="J3604:N3604"/>
    <mergeCell ref="T3604:U3604"/>
    <mergeCell ref="B3605:D3605"/>
    <mergeCell ref="F3605:G3605"/>
    <mergeCell ref="J3605:N3605"/>
    <mergeCell ref="T3605:U3605"/>
    <mergeCell ref="B3606:D3606"/>
    <mergeCell ref="F3606:G3606"/>
    <mergeCell ref="J3606:N3606"/>
    <mergeCell ref="T3606:U3606"/>
    <mergeCell ref="B3589:D3589"/>
    <mergeCell ref="F3589:G3589"/>
    <mergeCell ref="J3589:N3589"/>
    <mergeCell ref="T3589:U3589"/>
    <mergeCell ref="B3590:D3590"/>
    <mergeCell ref="F3590:G3590"/>
    <mergeCell ref="J3590:N3590"/>
    <mergeCell ref="T3590:U3590"/>
    <mergeCell ref="B3591:D3591"/>
    <mergeCell ref="F3591:G3591"/>
    <mergeCell ref="J3591:N3591"/>
    <mergeCell ref="T3591:U3591"/>
    <mergeCell ref="B3592:D3592"/>
    <mergeCell ref="F3592:G3592"/>
    <mergeCell ref="J3592:N3592"/>
    <mergeCell ref="T3592:U3592"/>
    <mergeCell ref="B3593:D3593"/>
    <mergeCell ref="F3593:G3593"/>
    <mergeCell ref="J3593:N3593"/>
    <mergeCell ref="T3593:U3593"/>
    <mergeCell ref="B3594:D3594"/>
    <mergeCell ref="F3594:G3594"/>
    <mergeCell ref="J3594:N3594"/>
    <mergeCell ref="T3594:U3594"/>
    <mergeCell ref="B3595:D3595"/>
    <mergeCell ref="F3595:G3595"/>
    <mergeCell ref="J3595:N3595"/>
    <mergeCell ref="T3595:U3595"/>
    <mergeCell ref="B3596:D3596"/>
    <mergeCell ref="F3596:G3596"/>
    <mergeCell ref="J3596:N3596"/>
    <mergeCell ref="T3596:U3596"/>
    <mergeCell ref="B3597:D3597"/>
    <mergeCell ref="F3597:G3597"/>
    <mergeCell ref="J3597:N3597"/>
    <mergeCell ref="T3597:U3597"/>
    <mergeCell ref="B3580:D3580"/>
    <mergeCell ref="F3580:G3580"/>
    <mergeCell ref="J3580:N3580"/>
    <mergeCell ref="T3580:U3580"/>
    <mergeCell ref="B3581:D3581"/>
    <mergeCell ref="F3581:G3581"/>
    <mergeCell ref="J3581:N3581"/>
    <mergeCell ref="T3581:U3581"/>
    <mergeCell ref="B3582:D3582"/>
    <mergeCell ref="F3582:G3582"/>
    <mergeCell ref="J3582:N3582"/>
    <mergeCell ref="T3582:U3582"/>
    <mergeCell ref="B3583:D3583"/>
    <mergeCell ref="F3583:G3583"/>
    <mergeCell ref="J3583:N3583"/>
    <mergeCell ref="T3583:U3583"/>
    <mergeCell ref="B3584:D3584"/>
    <mergeCell ref="F3584:G3584"/>
    <mergeCell ref="J3584:N3584"/>
    <mergeCell ref="T3584:U3584"/>
    <mergeCell ref="A3585:J3585"/>
    <mergeCell ref="K3585:O3585"/>
    <mergeCell ref="T3585:U3585"/>
    <mergeCell ref="B3586:D3586"/>
    <mergeCell ref="F3586:G3586"/>
    <mergeCell ref="J3586:N3586"/>
    <mergeCell ref="T3586:U3586"/>
    <mergeCell ref="B3587:D3587"/>
    <mergeCell ref="F3587:G3587"/>
    <mergeCell ref="J3587:N3587"/>
    <mergeCell ref="T3587:U3587"/>
    <mergeCell ref="B3588:D3588"/>
    <mergeCell ref="F3588:G3588"/>
    <mergeCell ref="J3588:N3588"/>
    <mergeCell ref="T3588:U3588"/>
    <mergeCell ref="B3571:D3571"/>
    <mergeCell ref="F3571:G3571"/>
    <mergeCell ref="J3571:N3571"/>
    <mergeCell ref="T3571:U3571"/>
    <mergeCell ref="B3572:D3572"/>
    <mergeCell ref="F3572:G3572"/>
    <mergeCell ref="J3572:N3572"/>
    <mergeCell ref="T3572:U3572"/>
    <mergeCell ref="B3573:D3573"/>
    <mergeCell ref="F3573:G3573"/>
    <mergeCell ref="J3573:N3573"/>
    <mergeCell ref="T3573:U3573"/>
    <mergeCell ref="B3574:D3574"/>
    <mergeCell ref="F3574:G3574"/>
    <mergeCell ref="J3574:N3574"/>
    <mergeCell ref="T3574:U3574"/>
    <mergeCell ref="B3575:D3575"/>
    <mergeCell ref="F3575:G3575"/>
    <mergeCell ref="J3575:N3575"/>
    <mergeCell ref="T3575:U3575"/>
    <mergeCell ref="B3576:D3576"/>
    <mergeCell ref="F3576:G3576"/>
    <mergeCell ref="J3576:N3576"/>
    <mergeCell ref="T3576:U3576"/>
    <mergeCell ref="B3577:D3577"/>
    <mergeCell ref="F3577:G3577"/>
    <mergeCell ref="J3577:N3577"/>
    <mergeCell ref="T3577:U3577"/>
    <mergeCell ref="B3578:D3578"/>
    <mergeCell ref="F3578:G3578"/>
    <mergeCell ref="J3578:N3578"/>
    <mergeCell ref="T3578:U3578"/>
    <mergeCell ref="B3579:D3579"/>
    <mergeCell ref="F3579:G3579"/>
    <mergeCell ref="J3579:N3579"/>
    <mergeCell ref="T3579:U3579"/>
    <mergeCell ref="B3562:D3562"/>
    <mergeCell ref="F3562:G3562"/>
    <mergeCell ref="J3562:N3562"/>
    <mergeCell ref="T3562:U3562"/>
    <mergeCell ref="B3563:D3563"/>
    <mergeCell ref="F3563:G3563"/>
    <mergeCell ref="J3563:N3563"/>
    <mergeCell ref="T3563:U3563"/>
    <mergeCell ref="B3564:D3564"/>
    <mergeCell ref="F3564:G3564"/>
    <mergeCell ref="J3564:N3564"/>
    <mergeCell ref="T3564:U3564"/>
    <mergeCell ref="B3565:D3565"/>
    <mergeCell ref="F3565:G3565"/>
    <mergeCell ref="J3565:N3565"/>
    <mergeCell ref="T3565:U3565"/>
    <mergeCell ref="B3566:D3566"/>
    <mergeCell ref="F3566:G3566"/>
    <mergeCell ref="J3566:N3566"/>
    <mergeCell ref="T3566:U3566"/>
    <mergeCell ref="B3567:D3567"/>
    <mergeCell ref="F3567:G3567"/>
    <mergeCell ref="J3567:N3567"/>
    <mergeCell ref="T3567:U3567"/>
    <mergeCell ref="B3568:D3568"/>
    <mergeCell ref="F3568:G3568"/>
    <mergeCell ref="J3568:N3568"/>
    <mergeCell ref="T3568:U3568"/>
    <mergeCell ref="B3569:D3569"/>
    <mergeCell ref="F3569:G3569"/>
    <mergeCell ref="J3569:N3569"/>
    <mergeCell ref="T3569:U3569"/>
    <mergeCell ref="B3570:D3570"/>
    <mergeCell ref="F3570:G3570"/>
    <mergeCell ref="J3570:N3570"/>
    <mergeCell ref="T3570:U3570"/>
    <mergeCell ref="B3553:D3553"/>
    <mergeCell ref="F3553:G3553"/>
    <mergeCell ref="J3553:N3553"/>
    <mergeCell ref="T3553:U3553"/>
    <mergeCell ref="B3554:D3554"/>
    <mergeCell ref="F3554:G3554"/>
    <mergeCell ref="J3554:N3554"/>
    <mergeCell ref="T3554:U3554"/>
    <mergeCell ref="B3555:D3555"/>
    <mergeCell ref="F3555:G3555"/>
    <mergeCell ref="J3555:N3555"/>
    <mergeCell ref="T3555:U3555"/>
    <mergeCell ref="B3556:D3556"/>
    <mergeCell ref="F3556:G3556"/>
    <mergeCell ref="J3556:N3556"/>
    <mergeCell ref="T3556:U3556"/>
    <mergeCell ref="B3557:D3557"/>
    <mergeCell ref="F3557:G3557"/>
    <mergeCell ref="J3557:N3557"/>
    <mergeCell ref="T3557:U3557"/>
    <mergeCell ref="B3558:D3558"/>
    <mergeCell ref="F3558:G3558"/>
    <mergeCell ref="J3558:N3558"/>
    <mergeCell ref="T3558:U3558"/>
    <mergeCell ref="B3559:D3559"/>
    <mergeCell ref="F3559:G3559"/>
    <mergeCell ref="J3559:N3559"/>
    <mergeCell ref="T3559:U3559"/>
    <mergeCell ref="B3560:D3560"/>
    <mergeCell ref="F3560:G3560"/>
    <mergeCell ref="J3560:N3560"/>
    <mergeCell ref="T3560:U3560"/>
    <mergeCell ref="B3561:D3561"/>
    <mergeCell ref="F3561:G3561"/>
    <mergeCell ref="J3561:N3561"/>
    <mergeCell ref="T3561:U3561"/>
    <mergeCell ref="B3544:D3544"/>
    <mergeCell ref="F3544:G3544"/>
    <mergeCell ref="J3544:N3544"/>
    <mergeCell ref="T3544:U3544"/>
    <mergeCell ref="B3545:D3545"/>
    <mergeCell ref="F3545:G3545"/>
    <mergeCell ref="J3545:N3545"/>
    <mergeCell ref="T3545:U3545"/>
    <mergeCell ref="B3546:D3546"/>
    <mergeCell ref="F3546:G3546"/>
    <mergeCell ref="J3546:N3546"/>
    <mergeCell ref="T3546:U3546"/>
    <mergeCell ref="B3547:D3547"/>
    <mergeCell ref="F3547:G3547"/>
    <mergeCell ref="J3547:N3547"/>
    <mergeCell ref="T3547:U3547"/>
    <mergeCell ref="B3548:D3548"/>
    <mergeCell ref="F3548:G3548"/>
    <mergeCell ref="J3548:N3548"/>
    <mergeCell ref="T3548:U3548"/>
    <mergeCell ref="B3549:D3549"/>
    <mergeCell ref="F3549:G3549"/>
    <mergeCell ref="J3549:N3549"/>
    <mergeCell ref="T3549:U3549"/>
    <mergeCell ref="B3550:D3550"/>
    <mergeCell ref="F3550:G3550"/>
    <mergeCell ref="J3550:N3550"/>
    <mergeCell ref="T3550:U3550"/>
    <mergeCell ref="B3551:D3551"/>
    <mergeCell ref="F3551:G3551"/>
    <mergeCell ref="J3551:N3551"/>
    <mergeCell ref="T3551:U3551"/>
    <mergeCell ref="B3552:D3552"/>
    <mergeCell ref="F3552:G3552"/>
    <mergeCell ref="J3552:N3552"/>
    <mergeCell ref="T3552:U3552"/>
    <mergeCell ref="B3535:D3535"/>
    <mergeCell ref="F3535:G3535"/>
    <mergeCell ref="J3535:N3535"/>
    <mergeCell ref="T3535:U3535"/>
    <mergeCell ref="B3536:D3536"/>
    <mergeCell ref="F3536:G3536"/>
    <mergeCell ref="J3536:N3536"/>
    <mergeCell ref="T3536:U3536"/>
    <mergeCell ref="B3537:D3537"/>
    <mergeCell ref="F3537:G3537"/>
    <mergeCell ref="J3537:N3537"/>
    <mergeCell ref="T3537:U3537"/>
    <mergeCell ref="B3538:D3538"/>
    <mergeCell ref="F3538:G3538"/>
    <mergeCell ref="J3538:N3538"/>
    <mergeCell ref="T3538:U3538"/>
    <mergeCell ref="B3539:D3539"/>
    <mergeCell ref="F3539:G3539"/>
    <mergeCell ref="J3539:N3539"/>
    <mergeCell ref="T3539:U3539"/>
    <mergeCell ref="B3540:D3540"/>
    <mergeCell ref="F3540:G3540"/>
    <mergeCell ref="J3540:N3540"/>
    <mergeCell ref="T3540:U3540"/>
    <mergeCell ref="B3541:D3541"/>
    <mergeCell ref="F3541:G3541"/>
    <mergeCell ref="J3541:N3541"/>
    <mergeCell ref="T3541:U3541"/>
    <mergeCell ref="B3542:D3542"/>
    <mergeCell ref="F3542:G3542"/>
    <mergeCell ref="J3542:N3542"/>
    <mergeCell ref="T3542:U3542"/>
    <mergeCell ref="B3543:D3543"/>
    <mergeCell ref="F3543:G3543"/>
    <mergeCell ref="J3543:N3543"/>
    <mergeCell ref="T3543:U3543"/>
    <mergeCell ref="B3526:D3526"/>
    <mergeCell ref="F3526:G3526"/>
    <mergeCell ref="J3526:N3526"/>
    <mergeCell ref="T3526:U3526"/>
    <mergeCell ref="B3527:D3527"/>
    <mergeCell ref="F3527:G3527"/>
    <mergeCell ref="J3527:N3527"/>
    <mergeCell ref="T3527:U3527"/>
    <mergeCell ref="B3528:D3528"/>
    <mergeCell ref="F3528:G3528"/>
    <mergeCell ref="J3528:N3528"/>
    <mergeCell ref="T3528:U3528"/>
    <mergeCell ref="B3529:D3529"/>
    <mergeCell ref="F3529:G3529"/>
    <mergeCell ref="J3529:N3529"/>
    <mergeCell ref="T3529:U3529"/>
    <mergeCell ref="B3530:D3530"/>
    <mergeCell ref="F3530:G3530"/>
    <mergeCell ref="J3530:N3530"/>
    <mergeCell ref="T3530:U3530"/>
    <mergeCell ref="B3531:D3531"/>
    <mergeCell ref="F3531:G3531"/>
    <mergeCell ref="J3531:N3531"/>
    <mergeCell ref="T3531:U3531"/>
    <mergeCell ref="B3532:D3532"/>
    <mergeCell ref="F3532:G3532"/>
    <mergeCell ref="J3532:N3532"/>
    <mergeCell ref="T3532:U3532"/>
    <mergeCell ref="B3533:D3533"/>
    <mergeCell ref="F3533:G3533"/>
    <mergeCell ref="J3533:N3533"/>
    <mergeCell ref="T3533:U3533"/>
    <mergeCell ref="B3534:D3534"/>
    <mergeCell ref="F3534:G3534"/>
    <mergeCell ref="J3534:N3534"/>
    <mergeCell ref="T3534:U3534"/>
    <mergeCell ref="B3517:D3517"/>
    <mergeCell ref="F3517:G3517"/>
    <mergeCell ref="J3517:N3517"/>
    <mergeCell ref="T3517:U3517"/>
    <mergeCell ref="B3518:D3518"/>
    <mergeCell ref="F3518:G3518"/>
    <mergeCell ref="J3518:N3518"/>
    <mergeCell ref="T3518:U3518"/>
    <mergeCell ref="B3519:D3519"/>
    <mergeCell ref="F3519:G3519"/>
    <mergeCell ref="J3519:N3519"/>
    <mergeCell ref="T3519:U3519"/>
    <mergeCell ref="B3520:D3520"/>
    <mergeCell ref="F3520:G3520"/>
    <mergeCell ref="J3520:N3520"/>
    <mergeCell ref="T3520:U3520"/>
    <mergeCell ref="B3521:D3521"/>
    <mergeCell ref="F3521:G3521"/>
    <mergeCell ref="J3521:N3521"/>
    <mergeCell ref="T3521:U3521"/>
    <mergeCell ref="B3522:D3522"/>
    <mergeCell ref="F3522:G3522"/>
    <mergeCell ref="J3522:N3522"/>
    <mergeCell ref="T3522:U3522"/>
    <mergeCell ref="B3523:D3523"/>
    <mergeCell ref="F3523:G3523"/>
    <mergeCell ref="J3523:N3523"/>
    <mergeCell ref="T3523:U3523"/>
    <mergeCell ref="B3524:D3524"/>
    <mergeCell ref="F3524:G3524"/>
    <mergeCell ref="J3524:N3524"/>
    <mergeCell ref="T3524:U3524"/>
    <mergeCell ref="B3525:D3525"/>
    <mergeCell ref="F3525:G3525"/>
    <mergeCell ref="J3525:N3525"/>
    <mergeCell ref="T3525:U3525"/>
    <mergeCell ref="B3508:D3508"/>
    <mergeCell ref="F3508:G3508"/>
    <mergeCell ref="J3508:N3508"/>
    <mergeCell ref="T3508:U3508"/>
    <mergeCell ref="B3509:D3509"/>
    <mergeCell ref="F3509:G3509"/>
    <mergeCell ref="J3509:N3509"/>
    <mergeCell ref="T3509:U3509"/>
    <mergeCell ref="B3510:D3510"/>
    <mergeCell ref="F3510:G3510"/>
    <mergeCell ref="J3510:N3510"/>
    <mergeCell ref="T3510:U3510"/>
    <mergeCell ref="B3511:D3511"/>
    <mergeCell ref="F3511:G3511"/>
    <mergeCell ref="J3511:N3511"/>
    <mergeCell ref="T3511:U3511"/>
    <mergeCell ref="B3512:D3512"/>
    <mergeCell ref="F3512:G3512"/>
    <mergeCell ref="J3512:N3512"/>
    <mergeCell ref="T3512:U3512"/>
    <mergeCell ref="B3513:D3513"/>
    <mergeCell ref="F3513:G3513"/>
    <mergeCell ref="J3513:N3513"/>
    <mergeCell ref="T3513:U3513"/>
    <mergeCell ref="B3514:D3514"/>
    <mergeCell ref="F3514:G3514"/>
    <mergeCell ref="J3514:N3514"/>
    <mergeCell ref="T3514:U3514"/>
    <mergeCell ref="B3515:D3515"/>
    <mergeCell ref="F3515:G3515"/>
    <mergeCell ref="J3515:N3515"/>
    <mergeCell ref="T3515:U3515"/>
    <mergeCell ref="B3516:D3516"/>
    <mergeCell ref="F3516:G3516"/>
    <mergeCell ref="J3516:N3516"/>
    <mergeCell ref="T3516:U3516"/>
    <mergeCell ref="B3499:D3499"/>
    <mergeCell ref="F3499:G3499"/>
    <mergeCell ref="J3499:N3499"/>
    <mergeCell ref="T3499:U3499"/>
    <mergeCell ref="B3500:D3500"/>
    <mergeCell ref="F3500:G3500"/>
    <mergeCell ref="J3500:N3500"/>
    <mergeCell ref="T3500:U3500"/>
    <mergeCell ref="B3501:D3501"/>
    <mergeCell ref="F3501:G3501"/>
    <mergeCell ref="J3501:N3501"/>
    <mergeCell ref="T3501:U3501"/>
    <mergeCell ref="B3502:D3502"/>
    <mergeCell ref="F3502:G3502"/>
    <mergeCell ref="J3502:N3502"/>
    <mergeCell ref="T3502:U3502"/>
    <mergeCell ref="B3503:D3503"/>
    <mergeCell ref="F3503:G3503"/>
    <mergeCell ref="J3503:N3503"/>
    <mergeCell ref="T3503:U3503"/>
    <mergeCell ref="B3504:D3504"/>
    <mergeCell ref="F3504:G3504"/>
    <mergeCell ref="J3504:N3504"/>
    <mergeCell ref="T3504:U3504"/>
    <mergeCell ref="B3505:D3505"/>
    <mergeCell ref="F3505:G3505"/>
    <mergeCell ref="J3505:N3505"/>
    <mergeCell ref="T3505:U3505"/>
    <mergeCell ref="B3506:D3506"/>
    <mergeCell ref="F3506:G3506"/>
    <mergeCell ref="J3506:N3506"/>
    <mergeCell ref="T3506:U3506"/>
    <mergeCell ref="B3507:D3507"/>
    <mergeCell ref="F3507:G3507"/>
    <mergeCell ref="J3507:N3507"/>
    <mergeCell ref="T3507:U3507"/>
    <mergeCell ref="B3490:D3490"/>
    <mergeCell ref="F3490:G3490"/>
    <mergeCell ref="J3490:N3490"/>
    <mergeCell ref="T3490:U3490"/>
    <mergeCell ref="B3491:D3491"/>
    <mergeCell ref="F3491:G3491"/>
    <mergeCell ref="J3491:N3491"/>
    <mergeCell ref="T3491:U3491"/>
    <mergeCell ref="B3492:D3492"/>
    <mergeCell ref="F3492:G3492"/>
    <mergeCell ref="J3492:N3492"/>
    <mergeCell ref="T3492:U3492"/>
    <mergeCell ref="B3493:D3493"/>
    <mergeCell ref="F3493:G3493"/>
    <mergeCell ref="J3493:N3493"/>
    <mergeCell ref="T3493:U3493"/>
    <mergeCell ref="B3494:D3494"/>
    <mergeCell ref="F3494:G3494"/>
    <mergeCell ref="J3494:N3494"/>
    <mergeCell ref="T3494:U3494"/>
    <mergeCell ref="B3495:D3495"/>
    <mergeCell ref="F3495:G3495"/>
    <mergeCell ref="J3495:N3495"/>
    <mergeCell ref="T3495:U3495"/>
    <mergeCell ref="B3496:D3496"/>
    <mergeCell ref="F3496:G3496"/>
    <mergeCell ref="J3496:N3496"/>
    <mergeCell ref="T3496:U3496"/>
    <mergeCell ref="B3497:D3497"/>
    <mergeCell ref="F3497:G3497"/>
    <mergeCell ref="J3497:N3497"/>
    <mergeCell ref="T3497:U3497"/>
    <mergeCell ref="B3498:D3498"/>
    <mergeCell ref="F3498:G3498"/>
    <mergeCell ref="J3498:N3498"/>
    <mergeCell ref="T3498:U3498"/>
    <mergeCell ref="B3481:D3481"/>
    <mergeCell ref="F3481:G3481"/>
    <mergeCell ref="J3481:N3481"/>
    <mergeCell ref="T3481:U3481"/>
    <mergeCell ref="B3482:D3482"/>
    <mergeCell ref="F3482:G3482"/>
    <mergeCell ref="J3482:N3482"/>
    <mergeCell ref="T3482:U3482"/>
    <mergeCell ref="B3483:D3483"/>
    <mergeCell ref="F3483:G3483"/>
    <mergeCell ref="J3483:N3483"/>
    <mergeCell ref="T3483:U3483"/>
    <mergeCell ref="B3484:D3484"/>
    <mergeCell ref="F3484:G3484"/>
    <mergeCell ref="J3484:N3484"/>
    <mergeCell ref="T3484:U3484"/>
    <mergeCell ref="B3485:D3485"/>
    <mergeCell ref="F3485:G3485"/>
    <mergeCell ref="J3485:N3485"/>
    <mergeCell ref="T3485:U3485"/>
    <mergeCell ref="A3486:J3486"/>
    <mergeCell ref="K3486:O3486"/>
    <mergeCell ref="T3486:U3486"/>
    <mergeCell ref="B3487:D3487"/>
    <mergeCell ref="F3487:G3487"/>
    <mergeCell ref="J3487:N3487"/>
    <mergeCell ref="T3487:U3487"/>
    <mergeCell ref="B3488:D3488"/>
    <mergeCell ref="F3488:G3488"/>
    <mergeCell ref="J3488:N3488"/>
    <mergeCell ref="T3488:U3488"/>
    <mergeCell ref="B3489:D3489"/>
    <mergeCell ref="F3489:G3489"/>
    <mergeCell ref="J3489:N3489"/>
    <mergeCell ref="T3489:U3489"/>
    <mergeCell ref="B3472:D3472"/>
    <mergeCell ref="F3472:G3472"/>
    <mergeCell ref="J3472:N3472"/>
    <mergeCell ref="T3472:U3472"/>
    <mergeCell ref="B3473:D3473"/>
    <mergeCell ref="F3473:G3473"/>
    <mergeCell ref="J3473:N3473"/>
    <mergeCell ref="T3473:U3473"/>
    <mergeCell ref="B3474:D3474"/>
    <mergeCell ref="F3474:G3474"/>
    <mergeCell ref="J3474:N3474"/>
    <mergeCell ref="T3474:U3474"/>
    <mergeCell ref="B3475:D3475"/>
    <mergeCell ref="F3475:G3475"/>
    <mergeCell ref="J3475:N3475"/>
    <mergeCell ref="T3475:U3475"/>
    <mergeCell ref="B3476:D3476"/>
    <mergeCell ref="F3476:G3476"/>
    <mergeCell ref="J3476:N3476"/>
    <mergeCell ref="T3476:U3476"/>
    <mergeCell ref="B3477:D3477"/>
    <mergeCell ref="F3477:G3477"/>
    <mergeCell ref="J3477:N3477"/>
    <mergeCell ref="T3477:U3477"/>
    <mergeCell ref="B3478:D3478"/>
    <mergeCell ref="F3478:G3478"/>
    <mergeCell ref="J3478:N3478"/>
    <mergeCell ref="T3478:U3478"/>
    <mergeCell ref="B3479:D3479"/>
    <mergeCell ref="F3479:G3479"/>
    <mergeCell ref="J3479:N3479"/>
    <mergeCell ref="T3479:U3479"/>
    <mergeCell ref="B3480:D3480"/>
    <mergeCell ref="F3480:G3480"/>
    <mergeCell ref="J3480:N3480"/>
    <mergeCell ref="T3480:U3480"/>
    <mergeCell ref="B3463:D3463"/>
    <mergeCell ref="F3463:G3463"/>
    <mergeCell ref="J3463:N3463"/>
    <mergeCell ref="T3463:U3463"/>
    <mergeCell ref="B3464:D3464"/>
    <mergeCell ref="F3464:G3464"/>
    <mergeCell ref="J3464:N3464"/>
    <mergeCell ref="T3464:U3464"/>
    <mergeCell ref="B3465:D3465"/>
    <mergeCell ref="F3465:G3465"/>
    <mergeCell ref="J3465:N3465"/>
    <mergeCell ref="T3465:U3465"/>
    <mergeCell ref="B3466:D3466"/>
    <mergeCell ref="F3466:G3466"/>
    <mergeCell ref="J3466:N3466"/>
    <mergeCell ref="T3466:U3466"/>
    <mergeCell ref="B3467:D3467"/>
    <mergeCell ref="F3467:G3467"/>
    <mergeCell ref="J3467:N3467"/>
    <mergeCell ref="T3467:U3467"/>
    <mergeCell ref="B3468:D3468"/>
    <mergeCell ref="F3468:G3468"/>
    <mergeCell ref="J3468:N3468"/>
    <mergeCell ref="T3468:U3468"/>
    <mergeCell ref="B3469:D3469"/>
    <mergeCell ref="F3469:G3469"/>
    <mergeCell ref="J3469:N3469"/>
    <mergeCell ref="T3469:U3469"/>
    <mergeCell ref="B3470:D3470"/>
    <mergeCell ref="F3470:G3470"/>
    <mergeCell ref="J3470:N3470"/>
    <mergeCell ref="T3470:U3470"/>
    <mergeCell ref="B3471:D3471"/>
    <mergeCell ref="F3471:G3471"/>
    <mergeCell ref="J3471:N3471"/>
    <mergeCell ref="T3471:U3471"/>
    <mergeCell ref="B3454:D3454"/>
    <mergeCell ref="F3454:G3454"/>
    <mergeCell ref="J3454:N3454"/>
    <mergeCell ref="T3454:U3454"/>
    <mergeCell ref="B3455:D3455"/>
    <mergeCell ref="F3455:G3455"/>
    <mergeCell ref="J3455:N3455"/>
    <mergeCell ref="T3455:U3455"/>
    <mergeCell ref="B3456:D3456"/>
    <mergeCell ref="F3456:G3456"/>
    <mergeCell ref="J3456:N3456"/>
    <mergeCell ref="T3456:U3456"/>
    <mergeCell ref="B3457:D3457"/>
    <mergeCell ref="F3457:G3457"/>
    <mergeCell ref="J3457:N3457"/>
    <mergeCell ref="T3457:U3457"/>
    <mergeCell ref="B3458:D3458"/>
    <mergeCell ref="F3458:G3458"/>
    <mergeCell ref="J3458:N3458"/>
    <mergeCell ref="T3458:U3458"/>
    <mergeCell ref="B3459:D3459"/>
    <mergeCell ref="F3459:G3459"/>
    <mergeCell ref="J3459:N3459"/>
    <mergeCell ref="T3459:U3459"/>
    <mergeCell ref="B3460:D3460"/>
    <mergeCell ref="F3460:G3460"/>
    <mergeCell ref="J3460:N3460"/>
    <mergeCell ref="T3460:U3460"/>
    <mergeCell ref="B3461:D3461"/>
    <mergeCell ref="F3461:G3461"/>
    <mergeCell ref="J3461:N3461"/>
    <mergeCell ref="T3461:U3461"/>
    <mergeCell ref="B3462:D3462"/>
    <mergeCell ref="F3462:G3462"/>
    <mergeCell ref="J3462:N3462"/>
    <mergeCell ref="T3462:U3462"/>
    <mergeCell ref="B3445:D3445"/>
    <mergeCell ref="F3445:G3445"/>
    <mergeCell ref="J3445:N3445"/>
    <mergeCell ref="T3445:U3445"/>
    <mergeCell ref="B3446:D3446"/>
    <mergeCell ref="F3446:G3446"/>
    <mergeCell ref="J3446:N3446"/>
    <mergeCell ref="T3446:U3446"/>
    <mergeCell ref="B3447:D3447"/>
    <mergeCell ref="F3447:G3447"/>
    <mergeCell ref="J3447:N3447"/>
    <mergeCell ref="T3447:U3447"/>
    <mergeCell ref="B3448:D3448"/>
    <mergeCell ref="F3448:G3448"/>
    <mergeCell ref="J3448:N3448"/>
    <mergeCell ref="T3448:U3448"/>
    <mergeCell ref="B3449:D3449"/>
    <mergeCell ref="F3449:G3449"/>
    <mergeCell ref="J3449:N3449"/>
    <mergeCell ref="T3449:U3449"/>
    <mergeCell ref="B3450:D3450"/>
    <mergeCell ref="F3450:G3450"/>
    <mergeCell ref="J3450:N3450"/>
    <mergeCell ref="T3450:U3450"/>
    <mergeCell ref="B3451:D3451"/>
    <mergeCell ref="F3451:G3451"/>
    <mergeCell ref="J3451:N3451"/>
    <mergeCell ref="T3451:U3451"/>
    <mergeCell ref="B3452:D3452"/>
    <mergeCell ref="F3452:G3452"/>
    <mergeCell ref="J3452:N3452"/>
    <mergeCell ref="T3452:U3452"/>
    <mergeCell ref="B3453:D3453"/>
    <mergeCell ref="F3453:G3453"/>
    <mergeCell ref="J3453:N3453"/>
    <mergeCell ref="T3453:U3453"/>
    <mergeCell ref="B3436:D3436"/>
    <mergeCell ref="F3436:G3436"/>
    <mergeCell ref="J3436:N3436"/>
    <mergeCell ref="T3436:U3436"/>
    <mergeCell ref="B3437:D3437"/>
    <mergeCell ref="F3437:G3437"/>
    <mergeCell ref="J3437:N3437"/>
    <mergeCell ref="T3437:U3437"/>
    <mergeCell ref="B3438:D3438"/>
    <mergeCell ref="F3438:G3438"/>
    <mergeCell ref="J3438:N3438"/>
    <mergeCell ref="T3438:U3438"/>
    <mergeCell ref="B3439:D3439"/>
    <mergeCell ref="F3439:G3439"/>
    <mergeCell ref="J3439:N3439"/>
    <mergeCell ref="T3439:U3439"/>
    <mergeCell ref="B3440:D3440"/>
    <mergeCell ref="F3440:G3440"/>
    <mergeCell ref="J3440:N3440"/>
    <mergeCell ref="T3440:U3440"/>
    <mergeCell ref="B3441:D3441"/>
    <mergeCell ref="F3441:G3441"/>
    <mergeCell ref="J3441:N3441"/>
    <mergeCell ref="T3441:U3441"/>
    <mergeCell ref="B3442:D3442"/>
    <mergeCell ref="F3442:G3442"/>
    <mergeCell ref="J3442:N3442"/>
    <mergeCell ref="T3442:U3442"/>
    <mergeCell ref="B3443:D3443"/>
    <mergeCell ref="F3443:G3443"/>
    <mergeCell ref="J3443:N3443"/>
    <mergeCell ref="T3443:U3443"/>
    <mergeCell ref="B3444:D3444"/>
    <mergeCell ref="F3444:G3444"/>
    <mergeCell ref="J3444:N3444"/>
    <mergeCell ref="T3444:U3444"/>
    <mergeCell ref="B3427:D3427"/>
    <mergeCell ref="F3427:G3427"/>
    <mergeCell ref="J3427:N3427"/>
    <mergeCell ref="T3427:U3427"/>
    <mergeCell ref="B3428:D3428"/>
    <mergeCell ref="F3428:G3428"/>
    <mergeCell ref="J3428:N3428"/>
    <mergeCell ref="T3428:U3428"/>
    <mergeCell ref="B3429:D3429"/>
    <mergeCell ref="F3429:G3429"/>
    <mergeCell ref="J3429:N3429"/>
    <mergeCell ref="T3429:U3429"/>
    <mergeCell ref="B3430:D3430"/>
    <mergeCell ref="F3430:G3430"/>
    <mergeCell ref="J3430:N3430"/>
    <mergeCell ref="T3430:U3430"/>
    <mergeCell ref="B3431:D3431"/>
    <mergeCell ref="F3431:G3431"/>
    <mergeCell ref="J3431:N3431"/>
    <mergeCell ref="T3431:U3431"/>
    <mergeCell ref="B3432:D3432"/>
    <mergeCell ref="F3432:G3432"/>
    <mergeCell ref="J3432:N3432"/>
    <mergeCell ref="T3432:U3432"/>
    <mergeCell ref="B3433:D3433"/>
    <mergeCell ref="F3433:G3433"/>
    <mergeCell ref="J3433:N3433"/>
    <mergeCell ref="T3433:U3433"/>
    <mergeCell ref="B3434:D3434"/>
    <mergeCell ref="F3434:G3434"/>
    <mergeCell ref="J3434:N3434"/>
    <mergeCell ref="T3434:U3434"/>
    <mergeCell ref="B3435:D3435"/>
    <mergeCell ref="F3435:G3435"/>
    <mergeCell ref="J3435:N3435"/>
    <mergeCell ref="T3435:U3435"/>
    <mergeCell ref="B3418:D3418"/>
    <mergeCell ref="F3418:G3418"/>
    <mergeCell ref="J3418:N3418"/>
    <mergeCell ref="T3418:U3418"/>
    <mergeCell ref="B3419:D3419"/>
    <mergeCell ref="F3419:G3419"/>
    <mergeCell ref="J3419:N3419"/>
    <mergeCell ref="T3419:U3419"/>
    <mergeCell ref="B3420:D3420"/>
    <mergeCell ref="F3420:G3420"/>
    <mergeCell ref="J3420:N3420"/>
    <mergeCell ref="T3420:U3420"/>
    <mergeCell ref="B3421:D3421"/>
    <mergeCell ref="F3421:G3421"/>
    <mergeCell ref="J3421:N3421"/>
    <mergeCell ref="T3421:U3421"/>
    <mergeCell ref="B3422:D3422"/>
    <mergeCell ref="F3422:G3422"/>
    <mergeCell ref="J3422:N3422"/>
    <mergeCell ref="T3422:U3422"/>
    <mergeCell ref="B3423:D3423"/>
    <mergeCell ref="F3423:G3423"/>
    <mergeCell ref="J3423:N3423"/>
    <mergeCell ref="T3423:U3423"/>
    <mergeCell ref="B3424:D3424"/>
    <mergeCell ref="F3424:G3424"/>
    <mergeCell ref="J3424:N3424"/>
    <mergeCell ref="T3424:U3424"/>
    <mergeCell ref="B3425:D3425"/>
    <mergeCell ref="F3425:G3425"/>
    <mergeCell ref="J3425:N3425"/>
    <mergeCell ref="T3425:U3425"/>
    <mergeCell ref="B3426:D3426"/>
    <mergeCell ref="F3426:G3426"/>
    <mergeCell ref="J3426:N3426"/>
    <mergeCell ref="T3426:U3426"/>
    <mergeCell ref="B3409:D3409"/>
    <mergeCell ref="F3409:G3409"/>
    <mergeCell ref="J3409:N3409"/>
    <mergeCell ref="T3409:U3409"/>
    <mergeCell ref="B3410:D3410"/>
    <mergeCell ref="F3410:G3410"/>
    <mergeCell ref="J3410:N3410"/>
    <mergeCell ref="T3410:U3410"/>
    <mergeCell ref="B3411:D3411"/>
    <mergeCell ref="F3411:G3411"/>
    <mergeCell ref="J3411:N3411"/>
    <mergeCell ref="T3411:U3411"/>
    <mergeCell ref="B3412:D3412"/>
    <mergeCell ref="F3412:G3412"/>
    <mergeCell ref="J3412:N3412"/>
    <mergeCell ref="T3412:U3412"/>
    <mergeCell ref="B3413:D3413"/>
    <mergeCell ref="F3413:G3413"/>
    <mergeCell ref="J3413:N3413"/>
    <mergeCell ref="T3413:U3413"/>
    <mergeCell ref="B3414:D3414"/>
    <mergeCell ref="F3414:G3414"/>
    <mergeCell ref="J3414:N3414"/>
    <mergeCell ref="T3414:U3414"/>
    <mergeCell ref="B3415:D3415"/>
    <mergeCell ref="F3415:G3415"/>
    <mergeCell ref="J3415:N3415"/>
    <mergeCell ref="T3415:U3415"/>
    <mergeCell ref="B3416:D3416"/>
    <mergeCell ref="F3416:G3416"/>
    <mergeCell ref="J3416:N3416"/>
    <mergeCell ref="T3416:U3416"/>
    <mergeCell ref="B3417:D3417"/>
    <mergeCell ref="F3417:G3417"/>
    <mergeCell ref="J3417:N3417"/>
    <mergeCell ref="T3417:U3417"/>
    <mergeCell ref="B3400:D3400"/>
    <mergeCell ref="F3400:G3400"/>
    <mergeCell ref="J3400:N3400"/>
    <mergeCell ref="T3400:U3400"/>
    <mergeCell ref="B3401:D3401"/>
    <mergeCell ref="F3401:G3401"/>
    <mergeCell ref="J3401:N3401"/>
    <mergeCell ref="T3401:U3401"/>
    <mergeCell ref="B3402:D3402"/>
    <mergeCell ref="F3402:G3402"/>
    <mergeCell ref="J3402:N3402"/>
    <mergeCell ref="T3402:U3402"/>
    <mergeCell ref="B3403:D3403"/>
    <mergeCell ref="F3403:G3403"/>
    <mergeCell ref="J3403:N3403"/>
    <mergeCell ref="T3403:U3403"/>
    <mergeCell ref="B3404:D3404"/>
    <mergeCell ref="F3404:G3404"/>
    <mergeCell ref="J3404:N3404"/>
    <mergeCell ref="T3404:U3404"/>
    <mergeCell ref="B3405:D3405"/>
    <mergeCell ref="F3405:G3405"/>
    <mergeCell ref="J3405:N3405"/>
    <mergeCell ref="T3405:U3405"/>
    <mergeCell ref="B3406:D3406"/>
    <mergeCell ref="F3406:G3406"/>
    <mergeCell ref="J3406:N3406"/>
    <mergeCell ref="T3406:U3406"/>
    <mergeCell ref="B3407:D3407"/>
    <mergeCell ref="F3407:G3407"/>
    <mergeCell ref="J3407:N3407"/>
    <mergeCell ref="T3407:U3407"/>
    <mergeCell ref="B3408:D3408"/>
    <mergeCell ref="F3408:G3408"/>
    <mergeCell ref="J3408:N3408"/>
    <mergeCell ref="T3408:U3408"/>
    <mergeCell ref="B3391:D3391"/>
    <mergeCell ref="F3391:G3391"/>
    <mergeCell ref="J3391:N3391"/>
    <mergeCell ref="T3391:U3391"/>
    <mergeCell ref="B3392:D3392"/>
    <mergeCell ref="F3392:G3392"/>
    <mergeCell ref="J3392:N3392"/>
    <mergeCell ref="T3392:U3392"/>
    <mergeCell ref="B3393:D3393"/>
    <mergeCell ref="F3393:G3393"/>
    <mergeCell ref="J3393:N3393"/>
    <mergeCell ref="T3393:U3393"/>
    <mergeCell ref="B3394:D3394"/>
    <mergeCell ref="F3394:G3394"/>
    <mergeCell ref="J3394:N3394"/>
    <mergeCell ref="T3394:U3394"/>
    <mergeCell ref="B3395:D3395"/>
    <mergeCell ref="F3395:G3395"/>
    <mergeCell ref="J3395:N3395"/>
    <mergeCell ref="T3395:U3395"/>
    <mergeCell ref="B3396:D3396"/>
    <mergeCell ref="F3396:G3396"/>
    <mergeCell ref="J3396:N3396"/>
    <mergeCell ref="T3396:U3396"/>
    <mergeCell ref="B3397:D3397"/>
    <mergeCell ref="F3397:G3397"/>
    <mergeCell ref="J3397:N3397"/>
    <mergeCell ref="T3397:U3397"/>
    <mergeCell ref="B3398:D3398"/>
    <mergeCell ref="F3398:G3398"/>
    <mergeCell ref="J3398:N3398"/>
    <mergeCell ref="T3398:U3398"/>
    <mergeCell ref="B3399:D3399"/>
    <mergeCell ref="F3399:G3399"/>
    <mergeCell ref="J3399:N3399"/>
    <mergeCell ref="T3399:U3399"/>
    <mergeCell ref="B3382:D3382"/>
    <mergeCell ref="F3382:G3382"/>
    <mergeCell ref="J3382:N3382"/>
    <mergeCell ref="T3382:U3382"/>
    <mergeCell ref="B3383:D3383"/>
    <mergeCell ref="F3383:G3383"/>
    <mergeCell ref="J3383:N3383"/>
    <mergeCell ref="T3383:U3383"/>
    <mergeCell ref="B3384:D3384"/>
    <mergeCell ref="F3384:G3384"/>
    <mergeCell ref="J3384:N3384"/>
    <mergeCell ref="T3384:U3384"/>
    <mergeCell ref="B3385:D3385"/>
    <mergeCell ref="F3385:G3385"/>
    <mergeCell ref="J3385:N3385"/>
    <mergeCell ref="T3385:U3385"/>
    <mergeCell ref="B3386:D3386"/>
    <mergeCell ref="F3386:G3386"/>
    <mergeCell ref="J3386:N3386"/>
    <mergeCell ref="T3386:U3386"/>
    <mergeCell ref="B3387:D3387"/>
    <mergeCell ref="F3387:G3387"/>
    <mergeCell ref="J3387:N3387"/>
    <mergeCell ref="T3387:U3387"/>
    <mergeCell ref="B3388:D3388"/>
    <mergeCell ref="F3388:G3388"/>
    <mergeCell ref="J3388:N3388"/>
    <mergeCell ref="T3388:U3388"/>
    <mergeCell ref="B3389:D3389"/>
    <mergeCell ref="F3389:G3389"/>
    <mergeCell ref="J3389:N3389"/>
    <mergeCell ref="T3389:U3389"/>
    <mergeCell ref="B3390:D3390"/>
    <mergeCell ref="F3390:G3390"/>
    <mergeCell ref="J3390:N3390"/>
    <mergeCell ref="T3390:U3390"/>
    <mergeCell ref="B3373:D3373"/>
    <mergeCell ref="F3373:G3373"/>
    <mergeCell ref="J3373:N3373"/>
    <mergeCell ref="T3373:U3373"/>
    <mergeCell ref="B3374:D3374"/>
    <mergeCell ref="F3374:G3374"/>
    <mergeCell ref="J3374:N3374"/>
    <mergeCell ref="T3374:U3374"/>
    <mergeCell ref="B3375:D3375"/>
    <mergeCell ref="F3375:G3375"/>
    <mergeCell ref="J3375:N3375"/>
    <mergeCell ref="T3375:U3375"/>
    <mergeCell ref="B3376:D3376"/>
    <mergeCell ref="F3376:G3376"/>
    <mergeCell ref="J3376:N3376"/>
    <mergeCell ref="T3376:U3376"/>
    <mergeCell ref="B3377:D3377"/>
    <mergeCell ref="F3377:G3377"/>
    <mergeCell ref="J3377:N3377"/>
    <mergeCell ref="T3377:U3377"/>
    <mergeCell ref="B3378:D3378"/>
    <mergeCell ref="F3378:G3378"/>
    <mergeCell ref="J3378:N3378"/>
    <mergeCell ref="T3378:U3378"/>
    <mergeCell ref="B3379:D3379"/>
    <mergeCell ref="F3379:G3379"/>
    <mergeCell ref="J3379:N3379"/>
    <mergeCell ref="T3379:U3379"/>
    <mergeCell ref="B3380:D3380"/>
    <mergeCell ref="F3380:G3380"/>
    <mergeCell ref="J3380:N3380"/>
    <mergeCell ref="T3380:U3380"/>
    <mergeCell ref="B3381:D3381"/>
    <mergeCell ref="F3381:G3381"/>
    <mergeCell ref="J3381:N3381"/>
    <mergeCell ref="T3381:U3381"/>
    <mergeCell ref="B3364:D3364"/>
    <mergeCell ref="F3364:G3364"/>
    <mergeCell ref="J3364:N3364"/>
    <mergeCell ref="T3364:U3364"/>
    <mergeCell ref="B3365:D3365"/>
    <mergeCell ref="F3365:G3365"/>
    <mergeCell ref="J3365:N3365"/>
    <mergeCell ref="T3365:U3365"/>
    <mergeCell ref="B3366:D3366"/>
    <mergeCell ref="F3366:G3366"/>
    <mergeCell ref="J3366:N3366"/>
    <mergeCell ref="T3366:U3366"/>
    <mergeCell ref="B3367:D3367"/>
    <mergeCell ref="F3367:G3367"/>
    <mergeCell ref="J3367:N3367"/>
    <mergeCell ref="T3367:U3367"/>
    <mergeCell ref="B3368:D3368"/>
    <mergeCell ref="F3368:G3368"/>
    <mergeCell ref="J3368:N3368"/>
    <mergeCell ref="T3368:U3368"/>
    <mergeCell ref="B3369:D3369"/>
    <mergeCell ref="F3369:G3369"/>
    <mergeCell ref="J3369:N3369"/>
    <mergeCell ref="T3369:U3369"/>
    <mergeCell ref="B3370:D3370"/>
    <mergeCell ref="F3370:G3370"/>
    <mergeCell ref="J3370:N3370"/>
    <mergeCell ref="T3370:U3370"/>
    <mergeCell ref="B3371:D3371"/>
    <mergeCell ref="F3371:G3371"/>
    <mergeCell ref="J3371:N3371"/>
    <mergeCell ref="T3371:U3371"/>
    <mergeCell ref="B3372:D3372"/>
    <mergeCell ref="F3372:G3372"/>
    <mergeCell ref="J3372:N3372"/>
    <mergeCell ref="T3372:U3372"/>
    <mergeCell ref="B3355:D3355"/>
    <mergeCell ref="F3355:G3355"/>
    <mergeCell ref="J3355:N3355"/>
    <mergeCell ref="T3355:U3355"/>
    <mergeCell ref="B3356:D3356"/>
    <mergeCell ref="F3356:G3356"/>
    <mergeCell ref="J3356:N3356"/>
    <mergeCell ref="T3356:U3356"/>
    <mergeCell ref="B3357:D3357"/>
    <mergeCell ref="F3357:G3357"/>
    <mergeCell ref="J3357:N3357"/>
    <mergeCell ref="T3357:U3357"/>
    <mergeCell ref="B3358:D3358"/>
    <mergeCell ref="F3358:G3358"/>
    <mergeCell ref="J3358:N3358"/>
    <mergeCell ref="T3358:U3358"/>
    <mergeCell ref="B3359:D3359"/>
    <mergeCell ref="F3359:G3359"/>
    <mergeCell ref="J3359:N3359"/>
    <mergeCell ref="T3359:U3359"/>
    <mergeCell ref="B3360:D3360"/>
    <mergeCell ref="F3360:G3360"/>
    <mergeCell ref="J3360:N3360"/>
    <mergeCell ref="T3360:U3360"/>
    <mergeCell ref="B3361:D3361"/>
    <mergeCell ref="F3361:G3361"/>
    <mergeCell ref="J3361:N3361"/>
    <mergeCell ref="T3361:U3361"/>
    <mergeCell ref="B3362:D3362"/>
    <mergeCell ref="F3362:G3362"/>
    <mergeCell ref="J3362:N3362"/>
    <mergeCell ref="T3362:U3362"/>
    <mergeCell ref="B3363:D3363"/>
    <mergeCell ref="F3363:G3363"/>
    <mergeCell ref="J3363:N3363"/>
    <mergeCell ref="T3363:U3363"/>
    <mergeCell ref="B3346:D3346"/>
    <mergeCell ref="F3346:G3346"/>
    <mergeCell ref="J3346:N3346"/>
    <mergeCell ref="T3346:U3346"/>
    <mergeCell ref="B3347:D3347"/>
    <mergeCell ref="F3347:G3347"/>
    <mergeCell ref="J3347:N3347"/>
    <mergeCell ref="T3347:U3347"/>
    <mergeCell ref="B3348:D3348"/>
    <mergeCell ref="F3348:G3348"/>
    <mergeCell ref="J3348:N3348"/>
    <mergeCell ref="T3348:U3348"/>
    <mergeCell ref="B3349:D3349"/>
    <mergeCell ref="F3349:G3349"/>
    <mergeCell ref="J3349:N3349"/>
    <mergeCell ref="T3349:U3349"/>
    <mergeCell ref="B3350:D3350"/>
    <mergeCell ref="F3350:G3350"/>
    <mergeCell ref="J3350:N3350"/>
    <mergeCell ref="T3350:U3350"/>
    <mergeCell ref="B3351:D3351"/>
    <mergeCell ref="F3351:G3351"/>
    <mergeCell ref="J3351:N3351"/>
    <mergeCell ref="T3351:U3351"/>
    <mergeCell ref="B3352:D3352"/>
    <mergeCell ref="F3352:G3352"/>
    <mergeCell ref="J3352:N3352"/>
    <mergeCell ref="T3352:U3352"/>
    <mergeCell ref="B3353:D3353"/>
    <mergeCell ref="F3353:G3353"/>
    <mergeCell ref="J3353:N3353"/>
    <mergeCell ref="T3353:U3353"/>
    <mergeCell ref="B3354:D3354"/>
    <mergeCell ref="F3354:G3354"/>
    <mergeCell ref="J3354:N3354"/>
    <mergeCell ref="T3354:U3354"/>
    <mergeCell ref="B3337:D3337"/>
    <mergeCell ref="F3337:G3337"/>
    <mergeCell ref="J3337:N3337"/>
    <mergeCell ref="T3337:U3337"/>
    <mergeCell ref="B3338:D3338"/>
    <mergeCell ref="F3338:G3338"/>
    <mergeCell ref="J3338:N3338"/>
    <mergeCell ref="T3338:U3338"/>
    <mergeCell ref="B3339:D3339"/>
    <mergeCell ref="F3339:G3339"/>
    <mergeCell ref="J3339:N3339"/>
    <mergeCell ref="T3339:U3339"/>
    <mergeCell ref="B3340:D3340"/>
    <mergeCell ref="F3340:G3340"/>
    <mergeCell ref="J3340:N3340"/>
    <mergeCell ref="T3340:U3340"/>
    <mergeCell ref="B3341:D3341"/>
    <mergeCell ref="F3341:G3341"/>
    <mergeCell ref="J3341:N3341"/>
    <mergeCell ref="T3341:U3341"/>
    <mergeCell ref="B3342:D3342"/>
    <mergeCell ref="F3342:G3342"/>
    <mergeCell ref="J3342:N3342"/>
    <mergeCell ref="T3342:U3342"/>
    <mergeCell ref="B3343:D3343"/>
    <mergeCell ref="F3343:G3343"/>
    <mergeCell ref="J3343:N3343"/>
    <mergeCell ref="T3343:U3343"/>
    <mergeCell ref="B3344:D3344"/>
    <mergeCell ref="F3344:G3344"/>
    <mergeCell ref="J3344:N3344"/>
    <mergeCell ref="T3344:U3344"/>
    <mergeCell ref="B3345:D3345"/>
    <mergeCell ref="F3345:G3345"/>
    <mergeCell ref="J3345:N3345"/>
    <mergeCell ref="T3345:U3345"/>
    <mergeCell ref="B3328:D3328"/>
    <mergeCell ref="F3328:G3328"/>
    <mergeCell ref="J3328:N3328"/>
    <mergeCell ref="T3328:U3328"/>
    <mergeCell ref="B3329:D3329"/>
    <mergeCell ref="F3329:G3329"/>
    <mergeCell ref="J3329:N3329"/>
    <mergeCell ref="T3329:U3329"/>
    <mergeCell ref="B3330:D3330"/>
    <mergeCell ref="F3330:G3330"/>
    <mergeCell ref="J3330:N3330"/>
    <mergeCell ref="T3330:U3330"/>
    <mergeCell ref="A3331:J3331"/>
    <mergeCell ref="K3331:O3331"/>
    <mergeCell ref="T3331:U3331"/>
    <mergeCell ref="B3332:D3332"/>
    <mergeCell ref="F3332:G3332"/>
    <mergeCell ref="J3332:N3332"/>
    <mergeCell ref="T3332:U3332"/>
    <mergeCell ref="B3333:D3333"/>
    <mergeCell ref="F3333:G3333"/>
    <mergeCell ref="J3333:N3333"/>
    <mergeCell ref="T3333:U3333"/>
    <mergeCell ref="B3334:D3334"/>
    <mergeCell ref="F3334:G3334"/>
    <mergeCell ref="J3334:N3334"/>
    <mergeCell ref="T3334:U3334"/>
    <mergeCell ref="B3335:D3335"/>
    <mergeCell ref="F3335:G3335"/>
    <mergeCell ref="J3335:N3335"/>
    <mergeCell ref="T3335:U3335"/>
    <mergeCell ref="B3336:D3336"/>
    <mergeCell ref="F3336:G3336"/>
    <mergeCell ref="J3336:N3336"/>
    <mergeCell ref="T3336:U3336"/>
    <mergeCell ref="B3319:D3319"/>
    <mergeCell ref="F3319:G3319"/>
    <mergeCell ref="J3319:N3319"/>
    <mergeCell ref="T3319:U3319"/>
    <mergeCell ref="B3320:D3320"/>
    <mergeCell ref="F3320:G3320"/>
    <mergeCell ref="J3320:N3320"/>
    <mergeCell ref="T3320:U3320"/>
    <mergeCell ref="B3321:D3321"/>
    <mergeCell ref="F3321:G3321"/>
    <mergeCell ref="J3321:N3321"/>
    <mergeCell ref="T3321:U3321"/>
    <mergeCell ref="B3322:D3322"/>
    <mergeCell ref="F3322:G3322"/>
    <mergeCell ref="J3322:N3322"/>
    <mergeCell ref="T3322:U3322"/>
    <mergeCell ref="B3323:D3323"/>
    <mergeCell ref="F3323:G3323"/>
    <mergeCell ref="J3323:N3323"/>
    <mergeCell ref="T3323:U3323"/>
    <mergeCell ref="B3324:D3324"/>
    <mergeCell ref="F3324:G3324"/>
    <mergeCell ref="J3324:N3324"/>
    <mergeCell ref="T3324:U3324"/>
    <mergeCell ref="B3325:D3325"/>
    <mergeCell ref="F3325:G3325"/>
    <mergeCell ref="J3325:N3325"/>
    <mergeCell ref="T3325:U3325"/>
    <mergeCell ref="B3326:D3326"/>
    <mergeCell ref="F3326:G3326"/>
    <mergeCell ref="J3326:N3326"/>
    <mergeCell ref="T3326:U3326"/>
    <mergeCell ref="B3327:D3327"/>
    <mergeCell ref="F3327:G3327"/>
    <mergeCell ref="J3327:N3327"/>
    <mergeCell ref="T3327:U3327"/>
    <mergeCell ref="B3310:D3310"/>
    <mergeCell ref="F3310:G3310"/>
    <mergeCell ref="J3310:N3310"/>
    <mergeCell ref="T3310:U3310"/>
    <mergeCell ref="B3311:D3311"/>
    <mergeCell ref="F3311:G3311"/>
    <mergeCell ref="J3311:N3311"/>
    <mergeCell ref="T3311:U3311"/>
    <mergeCell ref="B3312:D3312"/>
    <mergeCell ref="F3312:G3312"/>
    <mergeCell ref="J3312:N3312"/>
    <mergeCell ref="T3312:U3312"/>
    <mergeCell ref="B3313:D3313"/>
    <mergeCell ref="F3313:G3313"/>
    <mergeCell ref="J3313:N3313"/>
    <mergeCell ref="T3313:U3313"/>
    <mergeCell ref="B3314:D3314"/>
    <mergeCell ref="F3314:G3314"/>
    <mergeCell ref="J3314:N3314"/>
    <mergeCell ref="T3314:U3314"/>
    <mergeCell ref="B3315:D3315"/>
    <mergeCell ref="F3315:G3315"/>
    <mergeCell ref="J3315:N3315"/>
    <mergeCell ref="T3315:U3315"/>
    <mergeCell ref="B3316:D3316"/>
    <mergeCell ref="F3316:G3316"/>
    <mergeCell ref="J3316:N3316"/>
    <mergeCell ref="T3316:U3316"/>
    <mergeCell ref="B3317:D3317"/>
    <mergeCell ref="F3317:G3317"/>
    <mergeCell ref="J3317:N3317"/>
    <mergeCell ref="T3317:U3317"/>
    <mergeCell ref="B3318:D3318"/>
    <mergeCell ref="F3318:G3318"/>
    <mergeCell ref="J3318:N3318"/>
    <mergeCell ref="T3318:U3318"/>
    <mergeCell ref="B3300:D3300"/>
    <mergeCell ref="F3300:G3300"/>
    <mergeCell ref="J3300:N3300"/>
    <mergeCell ref="T3300:U3300"/>
    <mergeCell ref="B3301:D3301"/>
    <mergeCell ref="F3301:G3301"/>
    <mergeCell ref="J3301:N3301"/>
    <mergeCell ref="T3301:U3301"/>
    <mergeCell ref="B3302:D3302"/>
    <mergeCell ref="F3302:G3302"/>
    <mergeCell ref="J3302:N3302"/>
    <mergeCell ref="T3302:U3302"/>
    <mergeCell ref="B3303:D3303"/>
    <mergeCell ref="F3303:G3303"/>
    <mergeCell ref="J3303:N3303"/>
    <mergeCell ref="T3303:U3303"/>
    <mergeCell ref="B3304:D3304"/>
    <mergeCell ref="F3304:G3305"/>
    <mergeCell ref="J3304:N3304"/>
    <mergeCell ref="T3304:U3304"/>
    <mergeCell ref="B3306:D3306"/>
    <mergeCell ref="F3306:G3306"/>
    <mergeCell ref="J3306:N3306"/>
    <mergeCell ref="T3306:U3306"/>
    <mergeCell ref="B3307:D3307"/>
    <mergeCell ref="F3307:G3307"/>
    <mergeCell ref="J3307:N3307"/>
    <mergeCell ref="T3307:U3307"/>
    <mergeCell ref="B3308:D3308"/>
    <mergeCell ref="F3308:G3308"/>
    <mergeCell ref="J3308:N3308"/>
    <mergeCell ref="T3308:U3308"/>
    <mergeCell ref="B3309:D3309"/>
    <mergeCell ref="F3309:G3309"/>
    <mergeCell ref="J3309:N3309"/>
    <mergeCell ref="T3309:U3309"/>
    <mergeCell ref="B3291:D3291"/>
    <mergeCell ref="F3291:G3291"/>
    <mergeCell ref="J3291:N3291"/>
    <mergeCell ref="T3291:U3291"/>
    <mergeCell ref="B3292:D3292"/>
    <mergeCell ref="F3292:G3292"/>
    <mergeCell ref="J3292:N3292"/>
    <mergeCell ref="T3292:U3292"/>
    <mergeCell ref="B3293:D3293"/>
    <mergeCell ref="F3293:G3293"/>
    <mergeCell ref="J3293:N3293"/>
    <mergeCell ref="T3293:U3293"/>
    <mergeCell ref="B3294:D3294"/>
    <mergeCell ref="F3294:G3294"/>
    <mergeCell ref="J3294:N3294"/>
    <mergeCell ref="T3294:U3294"/>
    <mergeCell ref="B3295:D3295"/>
    <mergeCell ref="F3295:G3295"/>
    <mergeCell ref="J3295:N3295"/>
    <mergeCell ref="T3295:U3295"/>
    <mergeCell ref="B3296:D3296"/>
    <mergeCell ref="F3296:G3296"/>
    <mergeCell ref="J3296:N3296"/>
    <mergeCell ref="T3296:U3296"/>
    <mergeCell ref="B3297:D3297"/>
    <mergeCell ref="F3297:G3297"/>
    <mergeCell ref="J3297:N3297"/>
    <mergeCell ref="T3297:U3297"/>
    <mergeCell ref="B3298:D3298"/>
    <mergeCell ref="F3298:G3298"/>
    <mergeCell ref="J3298:N3298"/>
    <mergeCell ref="T3298:U3298"/>
    <mergeCell ref="B3299:D3299"/>
    <mergeCell ref="F3299:G3299"/>
    <mergeCell ref="J3299:N3299"/>
    <mergeCell ref="T3299:U3299"/>
    <mergeCell ref="B3282:D3282"/>
    <mergeCell ref="F3282:G3282"/>
    <mergeCell ref="J3282:N3282"/>
    <mergeCell ref="T3282:U3282"/>
    <mergeCell ref="B3283:D3283"/>
    <mergeCell ref="F3283:G3283"/>
    <mergeCell ref="J3283:N3283"/>
    <mergeCell ref="T3283:U3283"/>
    <mergeCell ref="B3284:D3284"/>
    <mergeCell ref="F3284:G3284"/>
    <mergeCell ref="J3284:N3284"/>
    <mergeCell ref="T3284:U3284"/>
    <mergeCell ref="B3285:D3285"/>
    <mergeCell ref="F3285:G3285"/>
    <mergeCell ref="J3285:N3285"/>
    <mergeCell ref="T3285:U3285"/>
    <mergeCell ref="B3286:D3286"/>
    <mergeCell ref="F3286:G3286"/>
    <mergeCell ref="J3286:N3286"/>
    <mergeCell ref="T3286:U3286"/>
    <mergeCell ref="B3287:D3287"/>
    <mergeCell ref="F3287:G3287"/>
    <mergeCell ref="J3287:N3287"/>
    <mergeCell ref="T3287:U3287"/>
    <mergeCell ref="B3288:D3288"/>
    <mergeCell ref="F3288:G3288"/>
    <mergeCell ref="J3288:N3288"/>
    <mergeCell ref="T3288:U3288"/>
    <mergeCell ref="B3289:D3289"/>
    <mergeCell ref="F3289:G3289"/>
    <mergeCell ref="J3289:N3289"/>
    <mergeCell ref="T3289:U3289"/>
    <mergeCell ref="B3290:D3290"/>
    <mergeCell ref="F3290:G3290"/>
    <mergeCell ref="J3290:N3290"/>
    <mergeCell ref="T3290:U3290"/>
    <mergeCell ref="B3273:D3273"/>
    <mergeCell ref="F3273:G3273"/>
    <mergeCell ref="J3273:N3273"/>
    <mergeCell ref="T3273:U3273"/>
    <mergeCell ref="B3274:D3274"/>
    <mergeCell ref="F3274:G3274"/>
    <mergeCell ref="J3274:N3274"/>
    <mergeCell ref="T3274:U3274"/>
    <mergeCell ref="B3275:D3275"/>
    <mergeCell ref="F3275:G3275"/>
    <mergeCell ref="J3275:N3275"/>
    <mergeCell ref="T3275:U3275"/>
    <mergeCell ref="B3276:D3276"/>
    <mergeCell ref="F3276:G3276"/>
    <mergeCell ref="J3276:N3276"/>
    <mergeCell ref="T3276:U3276"/>
    <mergeCell ref="B3277:D3277"/>
    <mergeCell ref="F3277:G3277"/>
    <mergeCell ref="J3277:N3277"/>
    <mergeCell ref="T3277:U3277"/>
    <mergeCell ref="A3278:J3278"/>
    <mergeCell ref="K3278:O3278"/>
    <mergeCell ref="T3278:U3278"/>
    <mergeCell ref="B3279:D3279"/>
    <mergeCell ref="F3279:G3279"/>
    <mergeCell ref="J3279:N3279"/>
    <mergeCell ref="T3279:U3279"/>
    <mergeCell ref="B3280:D3280"/>
    <mergeCell ref="F3280:G3280"/>
    <mergeCell ref="J3280:N3280"/>
    <mergeCell ref="T3280:U3280"/>
    <mergeCell ref="B3281:D3281"/>
    <mergeCell ref="F3281:G3281"/>
    <mergeCell ref="J3281:N3281"/>
    <mergeCell ref="T3281:U3281"/>
    <mergeCell ref="B3264:D3264"/>
    <mergeCell ref="F3264:G3264"/>
    <mergeCell ref="J3264:N3264"/>
    <mergeCell ref="T3264:U3264"/>
    <mergeCell ref="B3265:D3265"/>
    <mergeCell ref="F3265:G3265"/>
    <mergeCell ref="J3265:N3265"/>
    <mergeCell ref="T3265:U3265"/>
    <mergeCell ref="B3266:D3266"/>
    <mergeCell ref="F3266:G3266"/>
    <mergeCell ref="J3266:N3266"/>
    <mergeCell ref="T3266:U3266"/>
    <mergeCell ref="B3267:D3267"/>
    <mergeCell ref="F3267:G3267"/>
    <mergeCell ref="J3267:N3267"/>
    <mergeCell ref="T3267:U3267"/>
    <mergeCell ref="B3268:D3268"/>
    <mergeCell ref="F3268:G3268"/>
    <mergeCell ref="J3268:N3268"/>
    <mergeCell ref="T3268:U3268"/>
    <mergeCell ref="B3269:D3269"/>
    <mergeCell ref="F3269:G3269"/>
    <mergeCell ref="J3269:N3269"/>
    <mergeCell ref="T3269:U3269"/>
    <mergeCell ref="B3270:D3270"/>
    <mergeCell ref="F3270:G3270"/>
    <mergeCell ref="J3270:N3270"/>
    <mergeCell ref="T3270:U3270"/>
    <mergeCell ref="B3271:D3271"/>
    <mergeCell ref="F3271:G3271"/>
    <mergeCell ref="J3271:N3271"/>
    <mergeCell ref="T3271:U3271"/>
    <mergeCell ref="B3272:D3272"/>
    <mergeCell ref="F3272:G3272"/>
    <mergeCell ref="J3272:N3272"/>
    <mergeCell ref="T3272:U3272"/>
    <mergeCell ref="B3254:D3254"/>
    <mergeCell ref="F3254:G3254"/>
    <mergeCell ref="J3254:N3254"/>
    <mergeCell ref="T3254:U3254"/>
    <mergeCell ref="B3255:D3255"/>
    <mergeCell ref="F3255:G3255"/>
    <mergeCell ref="J3255:N3255"/>
    <mergeCell ref="T3255:U3255"/>
    <mergeCell ref="B3256:D3256"/>
    <mergeCell ref="F3256:G3256"/>
    <mergeCell ref="J3256:N3256"/>
    <mergeCell ref="T3256:U3256"/>
    <mergeCell ref="B3257:D3257"/>
    <mergeCell ref="F3257:G3257"/>
    <mergeCell ref="J3257:N3257"/>
    <mergeCell ref="T3257:U3257"/>
    <mergeCell ref="B3258:D3258"/>
    <mergeCell ref="F3258:G3259"/>
    <mergeCell ref="J3258:N3258"/>
    <mergeCell ref="T3258:U3258"/>
    <mergeCell ref="B3260:D3260"/>
    <mergeCell ref="F3260:G3260"/>
    <mergeCell ref="J3260:N3260"/>
    <mergeCell ref="T3260:U3260"/>
    <mergeCell ref="B3261:D3261"/>
    <mergeCell ref="F3261:G3261"/>
    <mergeCell ref="J3261:N3261"/>
    <mergeCell ref="T3261:U3261"/>
    <mergeCell ref="B3262:D3262"/>
    <mergeCell ref="F3262:G3262"/>
    <mergeCell ref="J3262:N3262"/>
    <mergeCell ref="T3262:U3262"/>
    <mergeCell ref="B3263:D3263"/>
    <mergeCell ref="F3263:G3263"/>
    <mergeCell ref="J3263:N3263"/>
    <mergeCell ref="T3263:U3263"/>
    <mergeCell ref="B3245:D3245"/>
    <mergeCell ref="F3245:G3245"/>
    <mergeCell ref="J3245:N3245"/>
    <mergeCell ref="T3245:U3245"/>
    <mergeCell ref="B3246:D3246"/>
    <mergeCell ref="F3246:G3246"/>
    <mergeCell ref="J3246:N3246"/>
    <mergeCell ref="T3246:U3246"/>
    <mergeCell ref="B3247:D3247"/>
    <mergeCell ref="F3247:G3247"/>
    <mergeCell ref="J3247:N3247"/>
    <mergeCell ref="T3247:U3247"/>
    <mergeCell ref="B3248:D3248"/>
    <mergeCell ref="F3248:G3248"/>
    <mergeCell ref="J3248:N3248"/>
    <mergeCell ref="T3248:U3248"/>
    <mergeCell ref="B3249:D3249"/>
    <mergeCell ref="F3249:G3249"/>
    <mergeCell ref="J3249:N3249"/>
    <mergeCell ref="T3249:U3249"/>
    <mergeCell ref="B3250:D3250"/>
    <mergeCell ref="F3250:G3250"/>
    <mergeCell ref="J3250:N3250"/>
    <mergeCell ref="T3250:U3250"/>
    <mergeCell ref="B3251:D3251"/>
    <mergeCell ref="F3251:G3251"/>
    <mergeCell ref="J3251:N3251"/>
    <mergeCell ref="T3251:U3251"/>
    <mergeCell ref="B3252:D3252"/>
    <mergeCell ref="F3252:G3252"/>
    <mergeCell ref="J3252:N3252"/>
    <mergeCell ref="T3252:U3252"/>
    <mergeCell ref="B3253:D3253"/>
    <mergeCell ref="F3253:G3253"/>
    <mergeCell ref="J3253:N3253"/>
    <mergeCell ref="T3253:U3253"/>
    <mergeCell ref="B3236:D3236"/>
    <mergeCell ref="F3236:G3236"/>
    <mergeCell ref="J3236:N3236"/>
    <mergeCell ref="T3236:U3236"/>
    <mergeCell ref="B3237:D3237"/>
    <mergeCell ref="F3237:G3237"/>
    <mergeCell ref="J3237:N3237"/>
    <mergeCell ref="T3237:U3237"/>
    <mergeCell ref="B3238:D3238"/>
    <mergeCell ref="F3238:G3238"/>
    <mergeCell ref="J3238:N3238"/>
    <mergeCell ref="T3238:U3238"/>
    <mergeCell ref="B3239:D3239"/>
    <mergeCell ref="F3239:G3239"/>
    <mergeCell ref="J3239:N3239"/>
    <mergeCell ref="T3239:U3239"/>
    <mergeCell ref="B3240:D3240"/>
    <mergeCell ref="F3240:G3240"/>
    <mergeCell ref="J3240:N3240"/>
    <mergeCell ref="T3240:U3240"/>
    <mergeCell ref="B3241:D3241"/>
    <mergeCell ref="F3241:G3241"/>
    <mergeCell ref="J3241:N3241"/>
    <mergeCell ref="T3241:U3241"/>
    <mergeCell ref="B3242:D3242"/>
    <mergeCell ref="F3242:G3242"/>
    <mergeCell ref="J3242:N3242"/>
    <mergeCell ref="T3242:U3242"/>
    <mergeCell ref="B3243:D3243"/>
    <mergeCell ref="F3243:G3243"/>
    <mergeCell ref="J3243:N3243"/>
    <mergeCell ref="T3243:U3243"/>
    <mergeCell ref="B3244:D3244"/>
    <mergeCell ref="F3244:G3244"/>
    <mergeCell ref="J3244:N3244"/>
    <mergeCell ref="T3244:U3244"/>
    <mergeCell ref="B3227:D3227"/>
    <mergeCell ref="F3227:G3227"/>
    <mergeCell ref="J3227:N3227"/>
    <mergeCell ref="T3227:U3227"/>
    <mergeCell ref="A3228:J3228"/>
    <mergeCell ref="K3228:O3228"/>
    <mergeCell ref="T3228:U3228"/>
    <mergeCell ref="B3229:D3229"/>
    <mergeCell ref="F3229:G3229"/>
    <mergeCell ref="J3229:N3229"/>
    <mergeCell ref="T3229:U3229"/>
    <mergeCell ref="B3230:D3230"/>
    <mergeCell ref="F3230:G3230"/>
    <mergeCell ref="J3230:N3230"/>
    <mergeCell ref="T3230:U3230"/>
    <mergeCell ref="B3231:D3231"/>
    <mergeCell ref="F3231:G3231"/>
    <mergeCell ref="J3231:N3231"/>
    <mergeCell ref="T3231:U3231"/>
    <mergeCell ref="B3232:D3232"/>
    <mergeCell ref="F3232:G3232"/>
    <mergeCell ref="J3232:N3232"/>
    <mergeCell ref="T3232:U3232"/>
    <mergeCell ref="B3233:D3233"/>
    <mergeCell ref="F3233:G3233"/>
    <mergeCell ref="J3233:N3233"/>
    <mergeCell ref="T3233:U3233"/>
    <mergeCell ref="B3234:D3234"/>
    <mergeCell ref="F3234:G3234"/>
    <mergeCell ref="J3234:N3234"/>
    <mergeCell ref="T3234:U3234"/>
    <mergeCell ref="B3235:D3235"/>
    <mergeCell ref="F3235:G3235"/>
    <mergeCell ref="J3235:N3235"/>
    <mergeCell ref="T3235:U3235"/>
    <mergeCell ref="B3218:D3218"/>
    <mergeCell ref="F3218:G3218"/>
    <mergeCell ref="J3218:N3218"/>
    <mergeCell ref="T3218:U3218"/>
    <mergeCell ref="B3219:D3219"/>
    <mergeCell ref="F3219:G3219"/>
    <mergeCell ref="J3219:N3219"/>
    <mergeCell ref="T3219:U3219"/>
    <mergeCell ref="B3220:D3220"/>
    <mergeCell ref="F3220:G3220"/>
    <mergeCell ref="J3220:N3220"/>
    <mergeCell ref="T3220:U3220"/>
    <mergeCell ref="B3221:D3221"/>
    <mergeCell ref="F3221:G3221"/>
    <mergeCell ref="J3221:N3221"/>
    <mergeCell ref="T3221:U3221"/>
    <mergeCell ref="B3222:D3222"/>
    <mergeCell ref="F3222:G3222"/>
    <mergeCell ref="J3222:N3222"/>
    <mergeCell ref="T3222:U3222"/>
    <mergeCell ref="B3223:D3223"/>
    <mergeCell ref="F3223:G3223"/>
    <mergeCell ref="J3223:N3223"/>
    <mergeCell ref="T3223:U3223"/>
    <mergeCell ref="B3224:D3224"/>
    <mergeCell ref="F3224:G3224"/>
    <mergeCell ref="J3224:N3224"/>
    <mergeCell ref="T3224:U3224"/>
    <mergeCell ref="B3225:D3225"/>
    <mergeCell ref="F3225:G3225"/>
    <mergeCell ref="J3225:N3225"/>
    <mergeCell ref="T3225:U3225"/>
    <mergeCell ref="B3226:D3226"/>
    <mergeCell ref="F3226:G3226"/>
    <mergeCell ref="J3226:N3226"/>
    <mergeCell ref="T3226:U3226"/>
    <mergeCell ref="B3209:D3209"/>
    <mergeCell ref="F3209:G3209"/>
    <mergeCell ref="J3209:N3209"/>
    <mergeCell ref="T3209:U3209"/>
    <mergeCell ref="B3210:D3210"/>
    <mergeCell ref="F3210:G3210"/>
    <mergeCell ref="J3210:N3210"/>
    <mergeCell ref="T3210:U3210"/>
    <mergeCell ref="B3211:D3211"/>
    <mergeCell ref="F3211:G3211"/>
    <mergeCell ref="J3211:N3211"/>
    <mergeCell ref="T3211:U3211"/>
    <mergeCell ref="B3212:D3212"/>
    <mergeCell ref="F3212:G3212"/>
    <mergeCell ref="J3212:N3212"/>
    <mergeCell ref="T3212:U3212"/>
    <mergeCell ref="B3213:D3213"/>
    <mergeCell ref="F3213:G3213"/>
    <mergeCell ref="J3213:N3213"/>
    <mergeCell ref="T3213:U3213"/>
    <mergeCell ref="B3214:D3214"/>
    <mergeCell ref="F3214:G3214"/>
    <mergeCell ref="J3214:N3214"/>
    <mergeCell ref="T3214:U3214"/>
    <mergeCell ref="B3215:D3215"/>
    <mergeCell ref="F3215:G3215"/>
    <mergeCell ref="J3215:N3215"/>
    <mergeCell ref="T3215:U3215"/>
    <mergeCell ref="B3216:D3216"/>
    <mergeCell ref="F3216:G3216"/>
    <mergeCell ref="J3216:N3216"/>
    <mergeCell ref="T3216:U3216"/>
    <mergeCell ref="B3217:D3217"/>
    <mergeCell ref="F3217:G3217"/>
    <mergeCell ref="J3217:N3217"/>
    <mergeCell ref="T3217:U3217"/>
    <mergeCell ref="B3200:D3200"/>
    <mergeCell ref="F3200:G3200"/>
    <mergeCell ref="J3200:N3200"/>
    <mergeCell ref="T3200:U3200"/>
    <mergeCell ref="B3201:D3201"/>
    <mergeCell ref="F3201:G3201"/>
    <mergeCell ref="J3201:N3201"/>
    <mergeCell ref="T3201:U3201"/>
    <mergeCell ref="B3202:D3202"/>
    <mergeCell ref="F3202:G3202"/>
    <mergeCell ref="J3202:N3202"/>
    <mergeCell ref="T3202:U3202"/>
    <mergeCell ref="B3203:D3203"/>
    <mergeCell ref="F3203:G3203"/>
    <mergeCell ref="J3203:N3203"/>
    <mergeCell ref="T3203:U3203"/>
    <mergeCell ref="B3204:D3204"/>
    <mergeCell ref="F3204:G3204"/>
    <mergeCell ref="J3204:N3204"/>
    <mergeCell ref="T3204:U3204"/>
    <mergeCell ref="B3205:D3205"/>
    <mergeCell ref="F3205:G3205"/>
    <mergeCell ref="J3205:N3205"/>
    <mergeCell ref="T3205:U3205"/>
    <mergeCell ref="B3206:D3206"/>
    <mergeCell ref="F3206:G3206"/>
    <mergeCell ref="J3206:N3206"/>
    <mergeCell ref="T3206:U3206"/>
    <mergeCell ref="B3207:D3207"/>
    <mergeCell ref="F3207:G3207"/>
    <mergeCell ref="J3207:N3207"/>
    <mergeCell ref="T3207:U3207"/>
    <mergeCell ref="B3208:D3208"/>
    <mergeCell ref="F3208:G3208"/>
    <mergeCell ref="J3208:N3208"/>
    <mergeCell ref="T3208:U3208"/>
    <mergeCell ref="B3190:D3190"/>
    <mergeCell ref="F3190:G3191"/>
    <mergeCell ref="J3190:N3190"/>
    <mergeCell ref="T3190:U3190"/>
    <mergeCell ref="B3192:D3192"/>
    <mergeCell ref="F3192:G3192"/>
    <mergeCell ref="J3192:N3192"/>
    <mergeCell ref="T3192:U3192"/>
    <mergeCell ref="B3193:D3193"/>
    <mergeCell ref="F3193:G3193"/>
    <mergeCell ref="J3193:N3193"/>
    <mergeCell ref="T3193:U3193"/>
    <mergeCell ref="B3194:D3194"/>
    <mergeCell ref="F3194:G3194"/>
    <mergeCell ref="J3194:N3194"/>
    <mergeCell ref="T3194:U3194"/>
    <mergeCell ref="B3195:D3195"/>
    <mergeCell ref="F3195:G3195"/>
    <mergeCell ref="J3195:N3195"/>
    <mergeCell ref="T3195:U3195"/>
    <mergeCell ref="B3196:D3196"/>
    <mergeCell ref="F3196:G3196"/>
    <mergeCell ref="J3196:N3196"/>
    <mergeCell ref="T3196:U3196"/>
    <mergeCell ref="B3197:D3197"/>
    <mergeCell ref="F3197:G3197"/>
    <mergeCell ref="J3197:N3197"/>
    <mergeCell ref="T3197:U3197"/>
    <mergeCell ref="B3198:D3198"/>
    <mergeCell ref="F3198:G3198"/>
    <mergeCell ref="J3198:N3198"/>
    <mergeCell ref="T3198:U3198"/>
    <mergeCell ref="B3199:D3199"/>
    <mergeCell ref="F3199:G3199"/>
    <mergeCell ref="J3199:N3199"/>
    <mergeCell ref="T3199:U3199"/>
    <mergeCell ref="B3181:D3181"/>
    <mergeCell ref="F3181:G3181"/>
    <mergeCell ref="J3181:N3181"/>
    <mergeCell ref="T3181:U3181"/>
    <mergeCell ref="B3182:D3182"/>
    <mergeCell ref="F3182:G3182"/>
    <mergeCell ref="J3182:N3182"/>
    <mergeCell ref="T3182:U3182"/>
    <mergeCell ref="B3183:D3183"/>
    <mergeCell ref="F3183:G3183"/>
    <mergeCell ref="J3183:N3183"/>
    <mergeCell ref="T3183:U3183"/>
    <mergeCell ref="B3184:D3184"/>
    <mergeCell ref="F3184:G3184"/>
    <mergeCell ref="J3184:N3184"/>
    <mergeCell ref="T3184:U3184"/>
    <mergeCell ref="B3185:D3185"/>
    <mergeCell ref="F3185:G3185"/>
    <mergeCell ref="J3185:N3185"/>
    <mergeCell ref="T3185:U3185"/>
    <mergeCell ref="B3186:D3186"/>
    <mergeCell ref="F3186:G3186"/>
    <mergeCell ref="J3186:N3186"/>
    <mergeCell ref="T3186:U3186"/>
    <mergeCell ref="B3187:D3187"/>
    <mergeCell ref="F3187:G3187"/>
    <mergeCell ref="J3187:N3187"/>
    <mergeCell ref="T3187:U3187"/>
    <mergeCell ref="B3188:D3188"/>
    <mergeCell ref="F3188:G3188"/>
    <mergeCell ref="J3188:N3188"/>
    <mergeCell ref="T3188:U3188"/>
    <mergeCell ref="B3189:D3189"/>
    <mergeCell ref="F3189:G3189"/>
    <mergeCell ref="J3189:N3189"/>
    <mergeCell ref="T3189:U3189"/>
    <mergeCell ref="B3171:D3171"/>
    <mergeCell ref="F3171:G3171"/>
    <mergeCell ref="J3171:N3171"/>
    <mergeCell ref="T3171:U3171"/>
    <mergeCell ref="B3172:D3172"/>
    <mergeCell ref="F3172:G3172"/>
    <mergeCell ref="J3172:N3172"/>
    <mergeCell ref="T3172:U3172"/>
    <mergeCell ref="B3173:D3173"/>
    <mergeCell ref="F3173:G3173"/>
    <mergeCell ref="J3173:N3173"/>
    <mergeCell ref="T3173:U3173"/>
    <mergeCell ref="B3174:D3174"/>
    <mergeCell ref="F3174:G3175"/>
    <mergeCell ref="J3174:N3174"/>
    <mergeCell ref="T3174:U3174"/>
    <mergeCell ref="B3176:D3176"/>
    <mergeCell ref="F3176:G3176"/>
    <mergeCell ref="J3176:N3176"/>
    <mergeCell ref="T3176:U3176"/>
    <mergeCell ref="B3177:D3177"/>
    <mergeCell ref="F3177:G3177"/>
    <mergeCell ref="J3177:N3177"/>
    <mergeCell ref="T3177:U3177"/>
    <mergeCell ref="B3178:D3178"/>
    <mergeCell ref="F3178:G3178"/>
    <mergeCell ref="J3178:N3178"/>
    <mergeCell ref="T3178:U3178"/>
    <mergeCell ref="B3179:D3179"/>
    <mergeCell ref="F3179:G3179"/>
    <mergeCell ref="J3179:N3179"/>
    <mergeCell ref="T3179:U3179"/>
    <mergeCell ref="B3180:D3180"/>
    <mergeCell ref="F3180:G3180"/>
    <mergeCell ref="J3180:N3180"/>
    <mergeCell ref="T3180:U3180"/>
    <mergeCell ref="B3162:D3162"/>
    <mergeCell ref="F3162:G3162"/>
    <mergeCell ref="J3162:N3162"/>
    <mergeCell ref="T3162:U3162"/>
    <mergeCell ref="B3163:D3163"/>
    <mergeCell ref="F3163:G3163"/>
    <mergeCell ref="J3163:N3163"/>
    <mergeCell ref="T3163:U3163"/>
    <mergeCell ref="B3164:D3164"/>
    <mergeCell ref="F3164:G3164"/>
    <mergeCell ref="J3164:N3164"/>
    <mergeCell ref="T3164:U3164"/>
    <mergeCell ref="B3165:D3165"/>
    <mergeCell ref="F3165:G3165"/>
    <mergeCell ref="J3165:N3165"/>
    <mergeCell ref="T3165:U3165"/>
    <mergeCell ref="B3166:D3166"/>
    <mergeCell ref="F3166:G3166"/>
    <mergeCell ref="J3166:N3166"/>
    <mergeCell ref="T3166:U3166"/>
    <mergeCell ref="B3167:D3167"/>
    <mergeCell ref="F3167:G3167"/>
    <mergeCell ref="J3167:N3167"/>
    <mergeCell ref="T3167:U3167"/>
    <mergeCell ref="B3168:D3168"/>
    <mergeCell ref="F3168:G3168"/>
    <mergeCell ref="J3168:N3168"/>
    <mergeCell ref="T3168:U3168"/>
    <mergeCell ref="B3169:D3169"/>
    <mergeCell ref="F3169:G3169"/>
    <mergeCell ref="J3169:N3169"/>
    <mergeCell ref="T3169:U3169"/>
    <mergeCell ref="B3170:D3170"/>
    <mergeCell ref="F3170:G3170"/>
    <mergeCell ref="J3170:N3170"/>
    <mergeCell ref="T3170:U3170"/>
    <mergeCell ref="B3153:D3153"/>
    <mergeCell ref="F3153:G3153"/>
    <mergeCell ref="J3153:N3153"/>
    <mergeCell ref="T3153:U3153"/>
    <mergeCell ref="B3154:D3154"/>
    <mergeCell ref="F3154:G3154"/>
    <mergeCell ref="J3154:N3154"/>
    <mergeCell ref="T3154:U3154"/>
    <mergeCell ref="B3155:D3155"/>
    <mergeCell ref="F3155:G3155"/>
    <mergeCell ref="J3155:N3155"/>
    <mergeCell ref="T3155:U3155"/>
    <mergeCell ref="B3156:D3156"/>
    <mergeCell ref="F3156:G3156"/>
    <mergeCell ref="J3156:N3156"/>
    <mergeCell ref="T3156:U3156"/>
    <mergeCell ref="B3157:D3157"/>
    <mergeCell ref="F3157:G3157"/>
    <mergeCell ref="J3157:N3157"/>
    <mergeCell ref="T3157:U3157"/>
    <mergeCell ref="B3158:D3158"/>
    <mergeCell ref="F3158:G3158"/>
    <mergeCell ref="J3158:N3158"/>
    <mergeCell ref="T3158:U3158"/>
    <mergeCell ref="B3159:D3159"/>
    <mergeCell ref="F3159:G3159"/>
    <mergeCell ref="J3159:N3159"/>
    <mergeCell ref="T3159:U3159"/>
    <mergeCell ref="B3160:D3160"/>
    <mergeCell ref="F3160:G3160"/>
    <mergeCell ref="J3160:N3160"/>
    <mergeCell ref="T3160:U3160"/>
    <mergeCell ref="B3161:D3161"/>
    <mergeCell ref="F3161:G3161"/>
    <mergeCell ref="J3161:N3161"/>
    <mergeCell ref="T3161:U3161"/>
    <mergeCell ref="B3144:D3144"/>
    <mergeCell ref="F3144:G3144"/>
    <mergeCell ref="J3144:N3144"/>
    <mergeCell ref="T3144:U3144"/>
    <mergeCell ref="B3145:D3145"/>
    <mergeCell ref="F3145:G3145"/>
    <mergeCell ref="J3145:N3145"/>
    <mergeCell ref="T3145:U3145"/>
    <mergeCell ref="B3146:D3146"/>
    <mergeCell ref="F3146:G3146"/>
    <mergeCell ref="J3146:N3146"/>
    <mergeCell ref="T3146:U3146"/>
    <mergeCell ref="B3147:D3147"/>
    <mergeCell ref="F3147:G3147"/>
    <mergeCell ref="J3147:N3147"/>
    <mergeCell ref="T3147:U3147"/>
    <mergeCell ref="B3148:D3148"/>
    <mergeCell ref="F3148:G3148"/>
    <mergeCell ref="J3148:N3148"/>
    <mergeCell ref="T3148:U3148"/>
    <mergeCell ref="B3149:D3149"/>
    <mergeCell ref="F3149:G3149"/>
    <mergeCell ref="J3149:N3149"/>
    <mergeCell ref="T3149:U3149"/>
    <mergeCell ref="B3150:D3150"/>
    <mergeCell ref="F3150:G3150"/>
    <mergeCell ref="J3150:N3150"/>
    <mergeCell ref="T3150:U3150"/>
    <mergeCell ref="B3151:D3151"/>
    <mergeCell ref="F3151:G3151"/>
    <mergeCell ref="J3151:N3151"/>
    <mergeCell ref="T3151:U3151"/>
    <mergeCell ref="B3152:D3152"/>
    <mergeCell ref="F3152:G3152"/>
    <mergeCell ref="J3152:N3152"/>
    <mergeCell ref="T3152:U3152"/>
    <mergeCell ref="B3135:D3135"/>
    <mergeCell ref="F3135:G3135"/>
    <mergeCell ref="J3135:N3135"/>
    <mergeCell ref="T3135:U3135"/>
    <mergeCell ref="B3136:D3136"/>
    <mergeCell ref="F3136:G3136"/>
    <mergeCell ref="J3136:N3136"/>
    <mergeCell ref="T3136:U3136"/>
    <mergeCell ref="B3137:D3137"/>
    <mergeCell ref="F3137:G3137"/>
    <mergeCell ref="J3137:N3137"/>
    <mergeCell ref="T3137:U3137"/>
    <mergeCell ref="B3138:D3138"/>
    <mergeCell ref="F3138:G3138"/>
    <mergeCell ref="J3138:N3138"/>
    <mergeCell ref="T3138:U3138"/>
    <mergeCell ref="B3139:D3139"/>
    <mergeCell ref="F3139:G3139"/>
    <mergeCell ref="J3139:N3139"/>
    <mergeCell ref="T3139:U3139"/>
    <mergeCell ref="B3140:D3140"/>
    <mergeCell ref="F3140:G3140"/>
    <mergeCell ref="J3140:N3140"/>
    <mergeCell ref="T3140:U3140"/>
    <mergeCell ref="B3141:D3141"/>
    <mergeCell ref="F3141:G3141"/>
    <mergeCell ref="J3141:N3141"/>
    <mergeCell ref="T3141:U3141"/>
    <mergeCell ref="B3142:D3142"/>
    <mergeCell ref="F3142:G3142"/>
    <mergeCell ref="J3142:N3142"/>
    <mergeCell ref="T3142:U3142"/>
    <mergeCell ref="B3143:D3143"/>
    <mergeCell ref="F3143:G3143"/>
    <mergeCell ref="J3143:N3143"/>
    <mergeCell ref="T3143:U3143"/>
    <mergeCell ref="B3126:D3126"/>
    <mergeCell ref="F3126:G3126"/>
    <mergeCell ref="J3126:N3126"/>
    <mergeCell ref="T3126:U3126"/>
    <mergeCell ref="B3127:D3127"/>
    <mergeCell ref="F3127:G3127"/>
    <mergeCell ref="J3127:N3127"/>
    <mergeCell ref="T3127:U3127"/>
    <mergeCell ref="A3128:J3128"/>
    <mergeCell ref="K3128:O3128"/>
    <mergeCell ref="T3128:U3128"/>
    <mergeCell ref="B3129:D3129"/>
    <mergeCell ref="F3129:G3129"/>
    <mergeCell ref="J3129:N3129"/>
    <mergeCell ref="T3129:U3129"/>
    <mergeCell ref="B3130:D3130"/>
    <mergeCell ref="F3130:G3130"/>
    <mergeCell ref="J3130:N3130"/>
    <mergeCell ref="T3130:U3130"/>
    <mergeCell ref="B3131:D3131"/>
    <mergeCell ref="F3131:G3131"/>
    <mergeCell ref="J3131:N3131"/>
    <mergeCell ref="T3131:U3131"/>
    <mergeCell ref="B3132:D3132"/>
    <mergeCell ref="F3132:G3132"/>
    <mergeCell ref="J3132:N3132"/>
    <mergeCell ref="T3132:U3132"/>
    <mergeCell ref="B3133:D3133"/>
    <mergeCell ref="F3133:G3133"/>
    <mergeCell ref="J3133:N3133"/>
    <mergeCell ref="T3133:U3133"/>
    <mergeCell ref="B3134:D3134"/>
    <mergeCell ref="F3134:G3134"/>
    <mergeCell ref="J3134:N3134"/>
    <mergeCell ref="T3134:U3134"/>
    <mergeCell ref="B3117:D3117"/>
    <mergeCell ref="F3117:G3117"/>
    <mergeCell ref="J3117:N3117"/>
    <mergeCell ref="T3117:U3117"/>
    <mergeCell ref="B3118:D3118"/>
    <mergeCell ref="F3118:G3118"/>
    <mergeCell ref="J3118:N3118"/>
    <mergeCell ref="T3118:U3118"/>
    <mergeCell ref="B3119:D3119"/>
    <mergeCell ref="F3119:G3119"/>
    <mergeCell ref="J3119:N3119"/>
    <mergeCell ref="T3119:U3119"/>
    <mergeCell ref="B3120:D3120"/>
    <mergeCell ref="F3120:G3120"/>
    <mergeCell ref="J3120:N3120"/>
    <mergeCell ref="T3120:U3120"/>
    <mergeCell ref="A3121:J3121"/>
    <mergeCell ref="K3121:O3121"/>
    <mergeCell ref="T3121:U3121"/>
    <mergeCell ref="B3122:D3122"/>
    <mergeCell ref="F3122:G3122"/>
    <mergeCell ref="J3122:N3122"/>
    <mergeCell ref="T3122:U3122"/>
    <mergeCell ref="B3123:D3123"/>
    <mergeCell ref="F3123:G3123"/>
    <mergeCell ref="J3123:N3123"/>
    <mergeCell ref="T3123:U3123"/>
    <mergeCell ref="B3124:D3124"/>
    <mergeCell ref="F3124:G3124"/>
    <mergeCell ref="J3124:N3124"/>
    <mergeCell ref="T3124:U3124"/>
    <mergeCell ref="B3125:D3125"/>
    <mergeCell ref="F3125:G3125"/>
    <mergeCell ref="J3125:N3125"/>
    <mergeCell ref="T3125:U3125"/>
    <mergeCell ref="B3108:D3108"/>
    <mergeCell ref="F3108:G3108"/>
    <mergeCell ref="J3108:N3108"/>
    <mergeCell ref="T3108:U3108"/>
    <mergeCell ref="B3109:D3109"/>
    <mergeCell ref="F3109:G3109"/>
    <mergeCell ref="J3109:N3109"/>
    <mergeCell ref="T3109:U3109"/>
    <mergeCell ref="B3110:D3110"/>
    <mergeCell ref="F3110:G3110"/>
    <mergeCell ref="J3110:N3110"/>
    <mergeCell ref="T3110:U3110"/>
    <mergeCell ref="B3111:D3111"/>
    <mergeCell ref="F3111:G3111"/>
    <mergeCell ref="J3111:N3111"/>
    <mergeCell ref="T3111:U3111"/>
    <mergeCell ref="B3112:D3112"/>
    <mergeCell ref="F3112:G3112"/>
    <mergeCell ref="J3112:N3112"/>
    <mergeCell ref="T3112:U3112"/>
    <mergeCell ref="B3113:D3113"/>
    <mergeCell ref="F3113:G3113"/>
    <mergeCell ref="J3113:N3113"/>
    <mergeCell ref="T3113:U3113"/>
    <mergeCell ref="B3114:D3114"/>
    <mergeCell ref="F3114:G3114"/>
    <mergeCell ref="J3114:N3114"/>
    <mergeCell ref="T3114:U3114"/>
    <mergeCell ref="B3115:D3115"/>
    <mergeCell ref="F3115:G3115"/>
    <mergeCell ref="J3115:N3115"/>
    <mergeCell ref="T3115:U3115"/>
    <mergeCell ref="B3116:D3116"/>
    <mergeCell ref="F3116:G3116"/>
    <mergeCell ref="J3116:N3116"/>
    <mergeCell ref="T3116:U3116"/>
    <mergeCell ref="B3099:D3099"/>
    <mergeCell ref="F3099:G3099"/>
    <mergeCell ref="J3099:N3099"/>
    <mergeCell ref="T3099:U3099"/>
    <mergeCell ref="B3100:D3100"/>
    <mergeCell ref="F3100:G3100"/>
    <mergeCell ref="J3100:N3100"/>
    <mergeCell ref="T3100:U3100"/>
    <mergeCell ref="B3101:D3101"/>
    <mergeCell ref="F3101:G3101"/>
    <mergeCell ref="J3101:N3101"/>
    <mergeCell ref="T3101:U3101"/>
    <mergeCell ref="B3102:D3102"/>
    <mergeCell ref="F3102:G3102"/>
    <mergeCell ref="J3102:N3102"/>
    <mergeCell ref="T3102:U3102"/>
    <mergeCell ref="B3103:D3103"/>
    <mergeCell ref="F3103:G3103"/>
    <mergeCell ref="J3103:N3103"/>
    <mergeCell ref="T3103:U3103"/>
    <mergeCell ref="B3104:D3104"/>
    <mergeCell ref="F3104:G3104"/>
    <mergeCell ref="J3104:N3104"/>
    <mergeCell ref="T3104:U3104"/>
    <mergeCell ref="B3105:D3105"/>
    <mergeCell ref="F3105:G3105"/>
    <mergeCell ref="J3105:N3105"/>
    <mergeCell ref="T3105:U3105"/>
    <mergeCell ref="B3106:D3106"/>
    <mergeCell ref="F3106:G3106"/>
    <mergeCell ref="J3106:N3106"/>
    <mergeCell ref="T3106:U3106"/>
    <mergeCell ref="B3107:D3107"/>
    <mergeCell ref="F3107:G3107"/>
    <mergeCell ref="J3107:N3107"/>
    <mergeCell ref="T3107:U3107"/>
    <mergeCell ref="B3090:D3090"/>
    <mergeCell ref="F3090:G3090"/>
    <mergeCell ref="J3090:N3090"/>
    <mergeCell ref="T3090:U3090"/>
    <mergeCell ref="B3091:D3091"/>
    <mergeCell ref="F3091:G3091"/>
    <mergeCell ref="J3091:N3091"/>
    <mergeCell ref="T3091:U3091"/>
    <mergeCell ref="B3092:D3092"/>
    <mergeCell ref="F3092:G3092"/>
    <mergeCell ref="J3092:N3092"/>
    <mergeCell ref="T3092:U3092"/>
    <mergeCell ref="B3093:D3093"/>
    <mergeCell ref="F3093:G3093"/>
    <mergeCell ref="J3093:N3093"/>
    <mergeCell ref="T3093:U3093"/>
    <mergeCell ref="B3094:D3094"/>
    <mergeCell ref="F3094:G3094"/>
    <mergeCell ref="J3094:N3094"/>
    <mergeCell ref="T3094:U3094"/>
    <mergeCell ref="B3095:D3095"/>
    <mergeCell ref="F3095:G3095"/>
    <mergeCell ref="J3095:N3095"/>
    <mergeCell ref="T3095:U3095"/>
    <mergeCell ref="B3096:D3096"/>
    <mergeCell ref="F3096:G3096"/>
    <mergeCell ref="J3096:N3096"/>
    <mergeCell ref="T3096:U3096"/>
    <mergeCell ref="B3097:D3097"/>
    <mergeCell ref="F3097:G3097"/>
    <mergeCell ref="J3097:N3097"/>
    <mergeCell ref="T3097:U3097"/>
    <mergeCell ref="B3098:D3098"/>
    <mergeCell ref="F3098:G3098"/>
    <mergeCell ref="J3098:N3098"/>
    <mergeCell ref="T3098:U3098"/>
    <mergeCell ref="B3081:D3081"/>
    <mergeCell ref="F3081:G3081"/>
    <mergeCell ref="J3081:N3081"/>
    <mergeCell ref="T3081:U3081"/>
    <mergeCell ref="B3082:D3082"/>
    <mergeCell ref="F3082:G3082"/>
    <mergeCell ref="J3082:N3082"/>
    <mergeCell ref="T3082:U3082"/>
    <mergeCell ref="B3083:D3083"/>
    <mergeCell ref="F3083:G3083"/>
    <mergeCell ref="J3083:N3083"/>
    <mergeCell ref="T3083:U3083"/>
    <mergeCell ref="B3084:D3084"/>
    <mergeCell ref="F3084:G3084"/>
    <mergeCell ref="J3084:N3084"/>
    <mergeCell ref="T3084:U3084"/>
    <mergeCell ref="B3085:D3085"/>
    <mergeCell ref="F3085:G3085"/>
    <mergeCell ref="J3085:N3085"/>
    <mergeCell ref="T3085:U3085"/>
    <mergeCell ref="B3086:D3086"/>
    <mergeCell ref="F3086:G3086"/>
    <mergeCell ref="J3086:N3086"/>
    <mergeCell ref="T3086:U3086"/>
    <mergeCell ref="B3087:D3087"/>
    <mergeCell ref="F3087:G3087"/>
    <mergeCell ref="J3087:N3087"/>
    <mergeCell ref="T3087:U3087"/>
    <mergeCell ref="B3088:D3088"/>
    <mergeCell ref="F3088:G3088"/>
    <mergeCell ref="J3088:N3088"/>
    <mergeCell ref="T3088:U3088"/>
    <mergeCell ref="B3089:D3089"/>
    <mergeCell ref="F3089:G3089"/>
    <mergeCell ref="J3089:N3089"/>
    <mergeCell ref="T3089:U3089"/>
    <mergeCell ref="B3072:D3072"/>
    <mergeCell ref="F3072:G3072"/>
    <mergeCell ref="J3072:N3072"/>
    <mergeCell ref="T3072:U3072"/>
    <mergeCell ref="B3073:D3073"/>
    <mergeCell ref="F3073:G3073"/>
    <mergeCell ref="J3073:N3073"/>
    <mergeCell ref="T3073:U3073"/>
    <mergeCell ref="B3074:D3074"/>
    <mergeCell ref="F3074:G3074"/>
    <mergeCell ref="J3074:N3074"/>
    <mergeCell ref="T3074:U3074"/>
    <mergeCell ref="B3075:D3075"/>
    <mergeCell ref="F3075:G3075"/>
    <mergeCell ref="J3075:N3075"/>
    <mergeCell ref="T3075:U3075"/>
    <mergeCell ref="B3076:D3076"/>
    <mergeCell ref="F3076:G3076"/>
    <mergeCell ref="J3076:N3076"/>
    <mergeCell ref="T3076:U3076"/>
    <mergeCell ref="B3077:D3077"/>
    <mergeCell ref="F3077:G3077"/>
    <mergeCell ref="J3077:N3077"/>
    <mergeCell ref="T3077:U3077"/>
    <mergeCell ref="B3078:D3078"/>
    <mergeCell ref="F3078:G3078"/>
    <mergeCell ref="J3078:N3078"/>
    <mergeCell ref="T3078:U3078"/>
    <mergeCell ref="B3079:D3079"/>
    <mergeCell ref="F3079:G3079"/>
    <mergeCell ref="J3079:N3079"/>
    <mergeCell ref="T3079:U3079"/>
    <mergeCell ref="B3080:D3080"/>
    <mergeCell ref="F3080:G3080"/>
    <mergeCell ref="J3080:N3080"/>
    <mergeCell ref="T3080:U3080"/>
    <mergeCell ref="B3063:D3063"/>
    <mergeCell ref="F3063:G3063"/>
    <mergeCell ref="J3063:N3063"/>
    <mergeCell ref="T3063:U3063"/>
    <mergeCell ref="B3064:D3064"/>
    <mergeCell ref="F3064:G3064"/>
    <mergeCell ref="J3064:N3064"/>
    <mergeCell ref="T3064:U3064"/>
    <mergeCell ref="B3065:D3065"/>
    <mergeCell ref="F3065:G3065"/>
    <mergeCell ref="J3065:N3065"/>
    <mergeCell ref="T3065:U3065"/>
    <mergeCell ref="B3066:D3066"/>
    <mergeCell ref="F3066:G3066"/>
    <mergeCell ref="J3066:N3066"/>
    <mergeCell ref="T3066:U3066"/>
    <mergeCell ref="B3067:D3067"/>
    <mergeCell ref="F3067:G3067"/>
    <mergeCell ref="J3067:N3067"/>
    <mergeCell ref="T3067:U3067"/>
    <mergeCell ref="B3068:D3068"/>
    <mergeCell ref="F3068:G3068"/>
    <mergeCell ref="J3068:N3068"/>
    <mergeCell ref="T3068:U3068"/>
    <mergeCell ref="B3069:D3069"/>
    <mergeCell ref="F3069:G3069"/>
    <mergeCell ref="J3069:N3069"/>
    <mergeCell ref="T3069:U3069"/>
    <mergeCell ref="A3070:J3070"/>
    <mergeCell ref="K3070:O3070"/>
    <mergeCell ref="T3070:U3070"/>
    <mergeCell ref="B3071:D3071"/>
    <mergeCell ref="F3071:G3071"/>
    <mergeCell ref="J3071:N3071"/>
    <mergeCell ref="T3071:U3071"/>
    <mergeCell ref="B3054:D3054"/>
    <mergeCell ref="F3054:G3054"/>
    <mergeCell ref="J3054:N3054"/>
    <mergeCell ref="T3054:U3054"/>
    <mergeCell ref="B3055:D3055"/>
    <mergeCell ref="F3055:G3055"/>
    <mergeCell ref="J3055:N3055"/>
    <mergeCell ref="T3055:U3055"/>
    <mergeCell ref="B3056:D3056"/>
    <mergeCell ref="F3056:G3056"/>
    <mergeCell ref="J3056:N3056"/>
    <mergeCell ref="T3056:U3056"/>
    <mergeCell ref="B3057:D3057"/>
    <mergeCell ref="F3057:G3057"/>
    <mergeCell ref="J3057:N3057"/>
    <mergeCell ref="T3057:U3057"/>
    <mergeCell ref="B3058:D3058"/>
    <mergeCell ref="F3058:G3058"/>
    <mergeCell ref="J3058:N3058"/>
    <mergeCell ref="T3058:U3058"/>
    <mergeCell ref="B3059:D3059"/>
    <mergeCell ref="F3059:G3059"/>
    <mergeCell ref="J3059:N3059"/>
    <mergeCell ref="T3059:U3059"/>
    <mergeCell ref="B3060:D3060"/>
    <mergeCell ref="F3060:G3060"/>
    <mergeCell ref="J3060:N3060"/>
    <mergeCell ref="T3060:U3060"/>
    <mergeCell ref="B3061:D3061"/>
    <mergeCell ref="F3061:G3061"/>
    <mergeCell ref="J3061:N3061"/>
    <mergeCell ref="T3061:U3061"/>
    <mergeCell ref="B3062:D3062"/>
    <mergeCell ref="F3062:G3062"/>
    <mergeCell ref="J3062:N3062"/>
    <mergeCell ref="T3062:U3062"/>
    <mergeCell ref="B3045:D3045"/>
    <mergeCell ref="F3045:G3045"/>
    <mergeCell ref="J3045:N3045"/>
    <mergeCell ref="T3045:U3045"/>
    <mergeCell ref="B3046:D3046"/>
    <mergeCell ref="F3046:G3046"/>
    <mergeCell ref="J3046:N3046"/>
    <mergeCell ref="T3046:U3046"/>
    <mergeCell ref="B3047:D3047"/>
    <mergeCell ref="F3047:G3047"/>
    <mergeCell ref="J3047:N3047"/>
    <mergeCell ref="T3047:U3047"/>
    <mergeCell ref="B3048:D3048"/>
    <mergeCell ref="F3048:G3048"/>
    <mergeCell ref="J3048:N3048"/>
    <mergeCell ref="T3048:U3048"/>
    <mergeCell ref="B3049:D3049"/>
    <mergeCell ref="F3049:G3049"/>
    <mergeCell ref="J3049:N3049"/>
    <mergeCell ref="T3049:U3049"/>
    <mergeCell ref="B3050:D3050"/>
    <mergeCell ref="F3050:G3050"/>
    <mergeCell ref="J3050:N3050"/>
    <mergeCell ref="T3050:U3050"/>
    <mergeCell ref="B3051:D3051"/>
    <mergeCell ref="F3051:G3051"/>
    <mergeCell ref="J3051:N3051"/>
    <mergeCell ref="T3051:U3051"/>
    <mergeCell ref="B3052:D3052"/>
    <mergeCell ref="F3052:G3052"/>
    <mergeCell ref="J3052:N3052"/>
    <mergeCell ref="T3052:U3052"/>
    <mergeCell ref="B3053:D3053"/>
    <mergeCell ref="F3053:G3053"/>
    <mergeCell ref="J3053:N3053"/>
    <mergeCell ref="T3053:U3053"/>
    <mergeCell ref="B3036:D3036"/>
    <mergeCell ref="F3036:G3036"/>
    <mergeCell ref="J3036:N3036"/>
    <mergeCell ref="T3036:U3036"/>
    <mergeCell ref="B3037:D3037"/>
    <mergeCell ref="F3037:G3037"/>
    <mergeCell ref="J3037:N3037"/>
    <mergeCell ref="T3037:U3037"/>
    <mergeCell ref="B3038:D3038"/>
    <mergeCell ref="F3038:G3038"/>
    <mergeCell ref="J3038:N3038"/>
    <mergeCell ref="T3038:U3038"/>
    <mergeCell ref="B3039:D3039"/>
    <mergeCell ref="F3039:G3039"/>
    <mergeCell ref="J3039:N3039"/>
    <mergeCell ref="T3039:U3039"/>
    <mergeCell ref="B3040:D3040"/>
    <mergeCell ref="F3040:G3040"/>
    <mergeCell ref="J3040:N3040"/>
    <mergeCell ref="T3040:U3040"/>
    <mergeCell ref="B3041:D3041"/>
    <mergeCell ref="F3041:G3041"/>
    <mergeCell ref="J3041:N3041"/>
    <mergeCell ref="T3041:U3041"/>
    <mergeCell ref="B3042:D3042"/>
    <mergeCell ref="F3042:G3042"/>
    <mergeCell ref="J3042:N3042"/>
    <mergeCell ref="T3042:U3042"/>
    <mergeCell ref="B3043:D3043"/>
    <mergeCell ref="F3043:G3043"/>
    <mergeCell ref="J3043:N3043"/>
    <mergeCell ref="T3043:U3043"/>
    <mergeCell ref="B3044:D3044"/>
    <mergeCell ref="F3044:G3044"/>
    <mergeCell ref="J3044:N3044"/>
    <mergeCell ref="T3044:U3044"/>
    <mergeCell ref="B3027:D3027"/>
    <mergeCell ref="F3027:G3027"/>
    <mergeCell ref="J3027:N3027"/>
    <mergeCell ref="T3027:U3027"/>
    <mergeCell ref="B3028:D3028"/>
    <mergeCell ref="F3028:G3028"/>
    <mergeCell ref="J3028:N3028"/>
    <mergeCell ref="T3028:U3028"/>
    <mergeCell ref="B3029:D3029"/>
    <mergeCell ref="F3029:G3029"/>
    <mergeCell ref="J3029:N3029"/>
    <mergeCell ref="T3029:U3029"/>
    <mergeCell ref="B3030:D3030"/>
    <mergeCell ref="F3030:G3030"/>
    <mergeCell ref="J3030:N3030"/>
    <mergeCell ref="T3030:U3030"/>
    <mergeCell ref="B3031:D3031"/>
    <mergeCell ref="F3031:G3031"/>
    <mergeCell ref="J3031:N3031"/>
    <mergeCell ref="T3031:U3031"/>
    <mergeCell ref="B3032:D3032"/>
    <mergeCell ref="F3032:G3032"/>
    <mergeCell ref="J3032:N3032"/>
    <mergeCell ref="T3032:U3032"/>
    <mergeCell ref="B3033:D3033"/>
    <mergeCell ref="F3033:G3033"/>
    <mergeCell ref="J3033:N3033"/>
    <mergeCell ref="T3033:U3033"/>
    <mergeCell ref="B3034:D3034"/>
    <mergeCell ref="F3034:G3034"/>
    <mergeCell ref="J3034:N3034"/>
    <mergeCell ref="T3034:U3034"/>
    <mergeCell ref="B3035:D3035"/>
    <mergeCell ref="F3035:G3035"/>
    <mergeCell ref="J3035:N3035"/>
    <mergeCell ref="T3035:U3035"/>
    <mergeCell ref="B3018:D3018"/>
    <mergeCell ref="F3018:G3018"/>
    <mergeCell ref="J3018:N3018"/>
    <mergeCell ref="T3018:U3018"/>
    <mergeCell ref="B3019:D3019"/>
    <mergeCell ref="F3019:G3019"/>
    <mergeCell ref="J3019:N3019"/>
    <mergeCell ref="T3019:U3019"/>
    <mergeCell ref="B3020:D3020"/>
    <mergeCell ref="F3020:G3020"/>
    <mergeCell ref="J3020:N3020"/>
    <mergeCell ref="T3020:U3020"/>
    <mergeCell ref="B3021:D3021"/>
    <mergeCell ref="F3021:G3021"/>
    <mergeCell ref="J3021:N3021"/>
    <mergeCell ref="T3021:U3021"/>
    <mergeCell ref="B3022:D3022"/>
    <mergeCell ref="F3022:G3022"/>
    <mergeCell ref="J3022:N3022"/>
    <mergeCell ref="T3022:U3022"/>
    <mergeCell ref="B3023:D3023"/>
    <mergeCell ref="F3023:G3023"/>
    <mergeCell ref="J3023:N3023"/>
    <mergeCell ref="T3023:U3023"/>
    <mergeCell ref="B3024:D3024"/>
    <mergeCell ref="F3024:G3024"/>
    <mergeCell ref="J3024:N3024"/>
    <mergeCell ref="T3024:U3024"/>
    <mergeCell ref="B3025:D3025"/>
    <mergeCell ref="F3025:G3025"/>
    <mergeCell ref="J3025:N3025"/>
    <mergeCell ref="T3025:U3025"/>
    <mergeCell ref="B3026:D3026"/>
    <mergeCell ref="F3026:G3026"/>
    <mergeCell ref="J3026:N3026"/>
    <mergeCell ref="T3026:U3026"/>
    <mergeCell ref="B3009:D3009"/>
    <mergeCell ref="F3009:G3009"/>
    <mergeCell ref="J3009:N3009"/>
    <mergeCell ref="T3009:U3009"/>
    <mergeCell ref="B3010:D3010"/>
    <mergeCell ref="F3010:G3010"/>
    <mergeCell ref="J3010:N3010"/>
    <mergeCell ref="T3010:U3010"/>
    <mergeCell ref="B3011:D3011"/>
    <mergeCell ref="F3011:G3011"/>
    <mergeCell ref="J3011:N3011"/>
    <mergeCell ref="T3011:U3011"/>
    <mergeCell ref="B3012:D3012"/>
    <mergeCell ref="F3012:G3012"/>
    <mergeCell ref="J3012:N3012"/>
    <mergeCell ref="T3012:U3012"/>
    <mergeCell ref="B3013:D3013"/>
    <mergeCell ref="F3013:G3013"/>
    <mergeCell ref="J3013:N3013"/>
    <mergeCell ref="T3013:U3013"/>
    <mergeCell ref="B3014:D3014"/>
    <mergeCell ref="F3014:G3014"/>
    <mergeCell ref="J3014:N3014"/>
    <mergeCell ref="T3014:U3014"/>
    <mergeCell ref="B3015:D3015"/>
    <mergeCell ref="F3015:G3015"/>
    <mergeCell ref="J3015:N3015"/>
    <mergeCell ref="T3015:U3015"/>
    <mergeCell ref="B3016:D3016"/>
    <mergeCell ref="F3016:G3016"/>
    <mergeCell ref="J3016:N3016"/>
    <mergeCell ref="T3016:U3016"/>
    <mergeCell ref="B3017:D3017"/>
    <mergeCell ref="F3017:G3017"/>
    <mergeCell ref="J3017:N3017"/>
    <mergeCell ref="T3017:U3017"/>
    <mergeCell ref="B3000:D3000"/>
    <mergeCell ref="F3000:G3000"/>
    <mergeCell ref="J3000:N3000"/>
    <mergeCell ref="T3000:U3000"/>
    <mergeCell ref="B3001:D3001"/>
    <mergeCell ref="F3001:G3001"/>
    <mergeCell ref="J3001:N3001"/>
    <mergeCell ref="T3001:U3001"/>
    <mergeCell ref="B3002:D3002"/>
    <mergeCell ref="F3002:G3002"/>
    <mergeCell ref="J3002:N3002"/>
    <mergeCell ref="T3002:U3002"/>
    <mergeCell ref="B3003:D3003"/>
    <mergeCell ref="F3003:G3003"/>
    <mergeCell ref="J3003:N3003"/>
    <mergeCell ref="T3003:U3003"/>
    <mergeCell ref="B3004:D3004"/>
    <mergeCell ref="F3004:G3004"/>
    <mergeCell ref="J3004:N3004"/>
    <mergeCell ref="T3004:U3004"/>
    <mergeCell ref="B3005:D3005"/>
    <mergeCell ref="F3005:G3005"/>
    <mergeCell ref="J3005:N3005"/>
    <mergeCell ref="T3005:U3005"/>
    <mergeCell ref="A3006:J3006"/>
    <mergeCell ref="K3006:O3006"/>
    <mergeCell ref="T3006:U3006"/>
    <mergeCell ref="B3007:D3007"/>
    <mergeCell ref="F3007:G3007"/>
    <mergeCell ref="J3007:N3007"/>
    <mergeCell ref="T3007:U3007"/>
    <mergeCell ref="B3008:D3008"/>
    <mergeCell ref="F3008:G3008"/>
    <mergeCell ref="J3008:N3008"/>
    <mergeCell ref="T3008:U3008"/>
    <mergeCell ref="B2991:D2991"/>
    <mergeCell ref="F2991:G2991"/>
    <mergeCell ref="J2991:N2991"/>
    <mergeCell ref="T2991:U2991"/>
    <mergeCell ref="B2992:D2992"/>
    <mergeCell ref="F2992:G2992"/>
    <mergeCell ref="J2992:N2992"/>
    <mergeCell ref="T2992:U2992"/>
    <mergeCell ref="B2993:D2993"/>
    <mergeCell ref="F2993:G2993"/>
    <mergeCell ref="J2993:N2993"/>
    <mergeCell ref="T2993:U2993"/>
    <mergeCell ref="B2994:D2994"/>
    <mergeCell ref="F2994:G2994"/>
    <mergeCell ref="J2994:N2994"/>
    <mergeCell ref="T2994:U2994"/>
    <mergeCell ref="B2995:D2995"/>
    <mergeCell ref="F2995:G2995"/>
    <mergeCell ref="J2995:N2995"/>
    <mergeCell ref="T2995:U2995"/>
    <mergeCell ref="B2996:D2996"/>
    <mergeCell ref="F2996:G2996"/>
    <mergeCell ref="J2996:N2996"/>
    <mergeCell ref="T2996:U2996"/>
    <mergeCell ref="B2997:D2997"/>
    <mergeCell ref="F2997:G2997"/>
    <mergeCell ref="J2997:N2997"/>
    <mergeCell ref="T2997:U2997"/>
    <mergeCell ref="B2998:D2998"/>
    <mergeCell ref="F2998:G2998"/>
    <mergeCell ref="J2998:N2998"/>
    <mergeCell ref="T2998:U2998"/>
    <mergeCell ref="B2999:D2999"/>
    <mergeCell ref="F2999:G2999"/>
    <mergeCell ref="J2999:N2999"/>
    <mergeCell ref="T2999:U2999"/>
    <mergeCell ref="B2982:D2982"/>
    <mergeCell ref="F2982:G2982"/>
    <mergeCell ref="J2982:N2982"/>
    <mergeCell ref="T2982:U2982"/>
    <mergeCell ref="B2983:D2983"/>
    <mergeCell ref="F2983:G2983"/>
    <mergeCell ref="J2983:N2983"/>
    <mergeCell ref="T2983:U2983"/>
    <mergeCell ref="B2984:D2984"/>
    <mergeCell ref="F2984:G2984"/>
    <mergeCell ref="J2984:N2984"/>
    <mergeCell ref="T2984:U2984"/>
    <mergeCell ref="B2985:D2985"/>
    <mergeCell ref="F2985:G2985"/>
    <mergeCell ref="J2985:N2985"/>
    <mergeCell ref="T2985:U2985"/>
    <mergeCell ref="B2986:D2986"/>
    <mergeCell ref="F2986:G2986"/>
    <mergeCell ref="J2986:N2986"/>
    <mergeCell ref="T2986:U2986"/>
    <mergeCell ref="B2987:D2987"/>
    <mergeCell ref="F2987:G2987"/>
    <mergeCell ref="J2987:N2987"/>
    <mergeCell ref="T2987:U2987"/>
    <mergeCell ref="B2988:D2988"/>
    <mergeCell ref="F2988:G2988"/>
    <mergeCell ref="J2988:N2988"/>
    <mergeCell ref="T2988:U2988"/>
    <mergeCell ref="B2989:D2989"/>
    <mergeCell ref="F2989:G2989"/>
    <mergeCell ref="J2989:N2989"/>
    <mergeCell ref="T2989:U2989"/>
    <mergeCell ref="B2990:D2990"/>
    <mergeCell ref="F2990:G2990"/>
    <mergeCell ref="J2990:N2990"/>
    <mergeCell ref="T2990:U2990"/>
    <mergeCell ref="B2973:D2973"/>
    <mergeCell ref="F2973:G2973"/>
    <mergeCell ref="J2973:N2973"/>
    <mergeCell ref="T2973:U2973"/>
    <mergeCell ref="B2974:D2974"/>
    <mergeCell ref="F2974:G2974"/>
    <mergeCell ref="J2974:N2974"/>
    <mergeCell ref="T2974:U2974"/>
    <mergeCell ref="B2975:D2975"/>
    <mergeCell ref="F2975:G2975"/>
    <mergeCell ref="J2975:N2975"/>
    <mergeCell ref="T2975:U2975"/>
    <mergeCell ref="B2976:D2976"/>
    <mergeCell ref="F2976:G2976"/>
    <mergeCell ref="J2976:N2976"/>
    <mergeCell ref="T2976:U2976"/>
    <mergeCell ref="B2977:D2977"/>
    <mergeCell ref="F2977:G2977"/>
    <mergeCell ref="J2977:N2977"/>
    <mergeCell ref="T2977:U2977"/>
    <mergeCell ref="B2978:D2978"/>
    <mergeCell ref="F2978:G2978"/>
    <mergeCell ref="J2978:N2978"/>
    <mergeCell ref="T2978:U2978"/>
    <mergeCell ref="B2979:D2979"/>
    <mergeCell ref="F2979:G2979"/>
    <mergeCell ref="J2979:N2979"/>
    <mergeCell ref="T2979:U2979"/>
    <mergeCell ref="B2980:D2980"/>
    <mergeCell ref="F2980:G2980"/>
    <mergeCell ref="J2980:N2980"/>
    <mergeCell ref="T2980:U2980"/>
    <mergeCell ref="B2981:D2981"/>
    <mergeCell ref="F2981:G2981"/>
    <mergeCell ref="J2981:N2981"/>
    <mergeCell ref="T2981:U2981"/>
    <mergeCell ref="B2963:D2963"/>
    <mergeCell ref="F2963:G2963"/>
    <mergeCell ref="J2963:N2963"/>
    <mergeCell ref="T2963:U2963"/>
    <mergeCell ref="B2964:D2964"/>
    <mergeCell ref="F2964:G2964"/>
    <mergeCell ref="J2964:N2964"/>
    <mergeCell ref="T2964:U2964"/>
    <mergeCell ref="B2965:D2965"/>
    <mergeCell ref="F2965:G2965"/>
    <mergeCell ref="J2965:N2965"/>
    <mergeCell ref="T2965:U2965"/>
    <mergeCell ref="B2966:D2966"/>
    <mergeCell ref="F2966:G2966"/>
    <mergeCell ref="J2966:N2966"/>
    <mergeCell ref="T2966:U2966"/>
    <mergeCell ref="B2967:D2967"/>
    <mergeCell ref="F2967:G2968"/>
    <mergeCell ref="J2967:N2967"/>
    <mergeCell ref="T2967:U2967"/>
    <mergeCell ref="B2969:D2969"/>
    <mergeCell ref="F2969:G2969"/>
    <mergeCell ref="J2969:N2969"/>
    <mergeCell ref="T2969:U2969"/>
    <mergeCell ref="B2970:D2970"/>
    <mergeCell ref="F2970:G2970"/>
    <mergeCell ref="J2970:N2970"/>
    <mergeCell ref="T2970:U2970"/>
    <mergeCell ref="B2971:D2971"/>
    <mergeCell ref="F2971:G2971"/>
    <mergeCell ref="J2971:N2971"/>
    <mergeCell ref="T2971:U2971"/>
    <mergeCell ref="B2972:D2972"/>
    <mergeCell ref="F2972:G2972"/>
    <mergeCell ref="J2972:N2972"/>
    <mergeCell ref="T2972:U2972"/>
    <mergeCell ref="B2954:D2954"/>
    <mergeCell ref="F2954:G2954"/>
    <mergeCell ref="J2954:N2954"/>
    <mergeCell ref="T2954:U2954"/>
    <mergeCell ref="B2955:D2955"/>
    <mergeCell ref="F2955:G2955"/>
    <mergeCell ref="J2955:N2955"/>
    <mergeCell ref="T2955:U2955"/>
    <mergeCell ref="B2956:D2956"/>
    <mergeCell ref="F2956:G2956"/>
    <mergeCell ref="J2956:N2956"/>
    <mergeCell ref="T2956:U2956"/>
    <mergeCell ref="B2957:D2957"/>
    <mergeCell ref="F2957:G2957"/>
    <mergeCell ref="J2957:N2957"/>
    <mergeCell ref="T2957:U2957"/>
    <mergeCell ref="B2958:D2958"/>
    <mergeCell ref="F2958:G2958"/>
    <mergeCell ref="J2958:N2958"/>
    <mergeCell ref="T2958:U2958"/>
    <mergeCell ref="B2959:D2959"/>
    <mergeCell ref="F2959:G2959"/>
    <mergeCell ref="J2959:N2959"/>
    <mergeCell ref="T2959:U2959"/>
    <mergeCell ref="B2960:D2960"/>
    <mergeCell ref="F2960:G2960"/>
    <mergeCell ref="J2960:N2960"/>
    <mergeCell ref="T2960:U2960"/>
    <mergeCell ref="B2961:D2961"/>
    <mergeCell ref="F2961:G2961"/>
    <mergeCell ref="J2961:N2961"/>
    <mergeCell ref="T2961:U2961"/>
    <mergeCell ref="B2962:D2962"/>
    <mergeCell ref="F2962:G2962"/>
    <mergeCell ref="J2962:N2962"/>
    <mergeCell ref="T2962:U2962"/>
    <mergeCell ref="B2945:D2945"/>
    <mergeCell ref="F2945:G2945"/>
    <mergeCell ref="J2945:N2945"/>
    <mergeCell ref="T2945:U2945"/>
    <mergeCell ref="B2946:D2946"/>
    <mergeCell ref="F2946:G2946"/>
    <mergeCell ref="J2946:N2946"/>
    <mergeCell ref="T2946:U2946"/>
    <mergeCell ref="B2947:D2947"/>
    <mergeCell ref="F2947:G2947"/>
    <mergeCell ref="J2947:N2947"/>
    <mergeCell ref="T2947:U2947"/>
    <mergeCell ref="B2948:D2948"/>
    <mergeCell ref="F2948:G2948"/>
    <mergeCell ref="J2948:N2948"/>
    <mergeCell ref="T2948:U2948"/>
    <mergeCell ref="B2949:D2949"/>
    <mergeCell ref="F2949:G2949"/>
    <mergeCell ref="J2949:N2949"/>
    <mergeCell ref="T2949:U2949"/>
    <mergeCell ref="B2950:D2950"/>
    <mergeCell ref="F2950:G2950"/>
    <mergeCell ref="J2950:N2950"/>
    <mergeCell ref="T2950:U2950"/>
    <mergeCell ref="B2951:D2951"/>
    <mergeCell ref="F2951:G2951"/>
    <mergeCell ref="J2951:N2951"/>
    <mergeCell ref="T2951:U2951"/>
    <mergeCell ref="B2952:D2952"/>
    <mergeCell ref="F2952:G2952"/>
    <mergeCell ref="J2952:N2952"/>
    <mergeCell ref="T2952:U2952"/>
    <mergeCell ref="B2953:D2953"/>
    <mergeCell ref="F2953:G2953"/>
    <mergeCell ref="J2953:N2953"/>
    <mergeCell ref="T2953:U2953"/>
    <mergeCell ref="B2936:D2936"/>
    <mergeCell ref="F2936:G2936"/>
    <mergeCell ref="J2936:N2936"/>
    <mergeCell ref="T2936:U2936"/>
    <mergeCell ref="B2937:D2937"/>
    <mergeCell ref="F2937:G2937"/>
    <mergeCell ref="J2937:N2937"/>
    <mergeCell ref="T2937:U2937"/>
    <mergeCell ref="B2938:D2938"/>
    <mergeCell ref="F2938:G2938"/>
    <mergeCell ref="J2938:N2938"/>
    <mergeCell ref="T2938:U2938"/>
    <mergeCell ref="B2939:D2939"/>
    <mergeCell ref="F2939:G2939"/>
    <mergeCell ref="J2939:N2939"/>
    <mergeCell ref="T2939:U2939"/>
    <mergeCell ref="B2940:D2940"/>
    <mergeCell ref="F2940:G2940"/>
    <mergeCell ref="J2940:N2940"/>
    <mergeCell ref="T2940:U2940"/>
    <mergeCell ref="B2941:D2941"/>
    <mergeCell ref="F2941:G2941"/>
    <mergeCell ref="J2941:N2941"/>
    <mergeCell ref="T2941:U2941"/>
    <mergeCell ref="B2942:D2942"/>
    <mergeCell ref="F2942:G2942"/>
    <mergeCell ref="J2942:N2942"/>
    <mergeCell ref="T2942:U2942"/>
    <mergeCell ref="B2943:D2943"/>
    <mergeCell ref="F2943:G2943"/>
    <mergeCell ref="J2943:N2943"/>
    <mergeCell ref="T2943:U2943"/>
    <mergeCell ref="B2944:D2944"/>
    <mergeCell ref="F2944:G2944"/>
    <mergeCell ref="J2944:N2944"/>
    <mergeCell ref="T2944:U2944"/>
    <mergeCell ref="B2927:D2927"/>
    <mergeCell ref="F2927:G2927"/>
    <mergeCell ref="J2927:N2927"/>
    <mergeCell ref="T2927:U2927"/>
    <mergeCell ref="B2928:D2928"/>
    <mergeCell ref="F2928:G2928"/>
    <mergeCell ref="J2928:N2928"/>
    <mergeCell ref="T2928:U2928"/>
    <mergeCell ref="B2929:D2929"/>
    <mergeCell ref="F2929:G2929"/>
    <mergeCell ref="J2929:N2929"/>
    <mergeCell ref="T2929:U2929"/>
    <mergeCell ref="B2930:D2930"/>
    <mergeCell ref="F2930:G2930"/>
    <mergeCell ref="J2930:N2930"/>
    <mergeCell ref="T2930:U2930"/>
    <mergeCell ref="B2931:D2931"/>
    <mergeCell ref="F2931:G2931"/>
    <mergeCell ref="J2931:N2931"/>
    <mergeCell ref="T2931:U2931"/>
    <mergeCell ref="B2932:D2932"/>
    <mergeCell ref="F2932:G2932"/>
    <mergeCell ref="J2932:N2932"/>
    <mergeCell ref="T2932:U2932"/>
    <mergeCell ref="B2933:D2933"/>
    <mergeCell ref="F2933:G2933"/>
    <mergeCell ref="J2933:N2933"/>
    <mergeCell ref="T2933:U2933"/>
    <mergeCell ref="B2934:D2934"/>
    <mergeCell ref="F2934:G2934"/>
    <mergeCell ref="J2934:N2934"/>
    <mergeCell ref="T2934:U2934"/>
    <mergeCell ref="B2935:D2935"/>
    <mergeCell ref="F2935:G2935"/>
    <mergeCell ref="J2935:N2935"/>
    <mergeCell ref="T2935:U2935"/>
    <mergeCell ref="B2918:D2918"/>
    <mergeCell ref="F2918:G2918"/>
    <mergeCell ref="J2918:N2918"/>
    <mergeCell ref="T2918:U2918"/>
    <mergeCell ref="B2919:D2919"/>
    <mergeCell ref="F2919:G2919"/>
    <mergeCell ref="J2919:N2919"/>
    <mergeCell ref="T2919:U2919"/>
    <mergeCell ref="B2920:D2920"/>
    <mergeCell ref="F2920:G2920"/>
    <mergeCell ref="J2920:N2920"/>
    <mergeCell ref="T2920:U2920"/>
    <mergeCell ref="B2921:D2921"/>
    <mergeCell ref="F2921:G2921"/>
    <mergeCell ref="J2921:N2921"/>
    <mergeCell ref="T2921:U2921"/>
    <mergeCell ref="B2922:D2922"/>
    <mergeCell ref="F2922:G2922"/>
    <mergeCell ref="J2922:N2922"/>
    <mergeCell ref="T2922:U2922"/>
    <mergeCell ref="B2923:D2923"/>
    <mergeCell ref="F2923:G2923"/>
    <mergeCell ref="J2923:N2923"/>
    <mergeCell ref="T2923:U2923"/>
    <mergeCell ref="B2924:D2924"/>
    <mergeCell ref="F2924:G2924"/>
    <mergeCell ref="J2924:N2924"/>
    <mergeCell ref="T2924:U2924"/>
    <mergeCell ref="B2925:D2925"/>
    <mergeCell ref="F2925:G2925"/>
    <mergeCell ref="J2925:N2925"/>
    <mergeCell ref="T2925:U2925"/>
    <mergeCell ref="B2926:D2926"/>
    <mergeCell ref="F2926:G2926"/>
    <mergeCell ref="J2926:N2926"/>
    <mergeCell ref="T2926:U2926"/>
    <mergeCell ref="B2909:D2909"/>
    <mergeCell ref="F2909:G2909"/>
    <mergeCell ref="J2909:N2909"/>
    <mergeCell ref="T2909:U2909"/>
    <mergeCell ref="B2910:D2910"/>
    <mergeCell ref="F2910:G2910"/>
    <mergeCell ref="J2910:N2910"/>
    <mergeCell ref="T2910:U2910"/>
    <mergeCell ref="B2911:D2911"/>
    <mergeCell ref="F2911:G2911"/>
    <mergeCell ref="J2911:N2911"/>
    <mergeCell ref="T2911:U2911"/>
    <mergeCell ref="B2912:D2912"/>
    <mergeCell ref="F2912:G2912"/>
    <mergeCell ref="J2912:N2912"/>
    <mergeCell ref="T2912:U2912"/>
    <mergeCell ref="B2913:D2913"/>
    <mergeCell ref="F2913:G2913"/>
    <mergeCell ref="J2913:N2913"/>
    <mergeCell ref="T2913:U2913"/>
    <mergeCell ref="B2914:D2914"/>
    <mergeCell ref="F2914:G2914"/>
    <mergeCell ref="J2914:N2914"/>
    <mergeCell ref="T2914:U2914"/>
    <mergeCell ref="B2915:D2915"/>
    <mergeCell ref="F2915:G2915"/>
    <mergeCell ref="J2915:N2915"/>
    <mergeCell ref="T2915:U2915"/>
    <mergeCell ref="B2916:D2916"/>
    <mergeCell ref="F2916:G2916"/>
    <mergeCell ref="J2916:N2916"/>
    <mergeCell ref="T2916:U2916"/>
    <mergeCell ref="B2917:D2917"/>
    <mergeCell ref="F2917:G2917"/>
    <mergeCell ref="J2917:N2917"/>
    <mergeCell ref="T2917:U2917"/>
    <mergeCell ref="B2900:D2900"/>
    <mergeCell ref="F2900:G2900"/>
    <mergeCell ref="J2900:N2900"/>
    <mergeCell ref="T2900:U2900"/>
    <mergeCell ref="B2901:D2901"/>
    <mergeCell ref="F2901:G2901"/>
    <mergeCell ref="J2901:N2901"/>
    <mergeCell ref="T2901:U2901"/>
    <mergeCell ref="B2902:D2902"/>
    <mergeCell ref="F2902:G2902"/>
    <mergeCell ref="J2902:N2902"/>
    <mergeCell ref="T2902:U2902"/>
    <mergeCell ref="B2903:D2903"/>
    <mergeCell ref="F2903:G2903"/>
    <mergeCell ref="J2903:N2903"/>
    <mergeCell ref="T2903:U2903"/>
    <mergeCell ref="B2904:D2904"/>
    <mergeCell ref="F2904:G2904"/>
    <mergeCell ref="J2904:N2904"/>
    <mergeCell ref="T2904:U2904"/>
    <mergeCell ref="B2905:D2905"/>
    <mergeCell ref="F2905:G2905"/>
    <mergeCell ref="J2905:N2905"/>
    <mergeCell ref="T2905:U2905"/>
    <mergeCell ref="B2906:D2906"/>
    <mergeCell ref="F2906:G2906"/>
    <mergeCell ref="J2906:N2906"/>
    <mergeCell ref="T2906:U2906"/>
    <mergeCell ref="B2907:D2907"/>
    <mergeCell ref="F2907:G2907"/>
    <mergeCell ref="J2907:N2907"/>
    <mergeCell ref="T2907:U2907"/>
    <mergeCell ref="A2908:J2908"/>
    <mergeCell ref="K2908:O2908"/>
    <mergeCell ref="T2908:U2908"/>
    <mergeCell ref="B2891:D2891"/>
    <mergeCell ref="F2891:G2891"/>
    <mergeCell ref="J2891:N2891"/>
    <mergeCell ref="T2891:U2891"/>
    <mergeCell ref="B2892:D2892"/>
    <mergeCell ref="F2892:G2892"/>
    <mergeCell ref="J2892:N2892"/>
    <mergeCell ref="T2892:U2892"/>
    <mergeCell ref="B2893:D2893"/>
    <mergeCell ref="F2893:G2893"/>
    <mergeCell ref="J2893:N2893"/>
    <mergeCell ref="T2893:U2893"/>
    <mergeCell ref="B2894:D2894"/>
    <mergeCell ref="F2894:G2894"/>
    <mergeCell ref="J2894:N2894"/>
    <mergeCell ref="T2894:U2894"/>
    <mergeCell ref="B2895:D2895"/>
    <mergeCell ref="F2895:G2895"/>
    <mergeCell ref="J2895:N2895"/>
    <mergeCell ref="T2895:U2895"/>
    <mergeCell ref="B2896:D2896"/>
    <mergeCell ref="F2896:G2896"/>
    <mergeCell ref="J2896:N2896"/>
    <mergeCell ref="T2896:U2896"/>
    <mergeCell ref="B2897:D2897"/>
    <mergeCell ref="F2897:G2897"/>
    <mergeCell ref="J2897:N2897"/>
    <mergeCell ref="T2897:U2897"/>
    <mergeCell ref="B2898:D2898"/>
    <mergeCell ref="F2898:G2898"/>
    <mergeCell ref="J2898:N2898"/>
    <mergeCell ref="T2898:U2898"/>
    <mergeCell ref="B2899:D2899"/>
    <mergeCell ref="F2899:G2899"/>
    <mergeCell ref="J2899:N2899"/>
    <mergeCell ref="T2899:U2899"/>
    <mergeCell ref="B2882:D2882"/>
    <mergeCell ref="F2882:G2882"/>
    <mergeCell ref="J2882:N2882"/>
    <mergeCell ref="T2882:U2882"/>
    <mergeCell ref="B2883:D2883"/>
    <mergeCell ref="F2883:G2883"/>
    <mergeCell ref="J2883:N2883"/>
    <mergeCell ref="T2883:U2883"/>
    <mergeCell ref="B2884:D2884"/>
    <mergeCell ref="F2884:G2884"/>
    <mergeCell ref="J2884:N2884"/>
    <mergeCell ref="T2884:U2884"/>
    <mergeCell ref="B2885:D2885"/>
    <mergeCell ref="F2885:G2885"/>
    <mergeCell ref="J2885:N2885"/>
    <mergeCell ref="T2885:U2885"/>
    <mergeCell ref="B2886:D2886"/>
    <mergeCell ref="F2886:G2886"/>
    <mergeCell ref="J2886:N2886"/>
    <mergeCell ref="T2886:U2886"/>
    <mergeCell ref="B2887:D2887"/>
    <mergeCell ref="F2887:G2887"/>
    <mergeCell ref="J2887:N2887"/>
    <mergeCell ref="T2887:U2887"/>
    <mergeCell ref="B2888:D2888"/>
    <mergeCell ref="F2888:G2888"/>
    <mergeCell ref="J2888:N2888"/>
    <mergeCell ref="T2888:U2888"/>
    <mergeCell ref="B2889:D2889"/>
    <mergeCell ref="F2889:G2889"/>
    <mergeCell ref="J2889:N2889"/>
    <mergeCell ref="T2889:U2889"/>
    <mergeCell ref="B2890:D2890"/>
    <mergeCell ref="F2890:G2890"/>
    <mergeCell ref="J2890:N2890"/>
    <mergeCell ref="T2890:U2890"/>
    <mergeCell ref="B2873:D2873"/>
    <mergeCell ref="F2873:G2873"/>
    <mergeCell ref="J2873:N2873"/>
    <mergeCell ref="T2873:U2873"/>
    <mergeCell ref="B2874:D2874"/>
    <mergeCell ref="F2874:G2874"/>
    <mergeCell ref="J2874:N2874"/>
    <mergeCell ref="T2874:U2874"/>
    <mergeCell ref="B2875:D2875"/>
    <mergeCell ref="F2875:G2875"/>
    <mergeCell ref="J2875:N2875"/>
    <mergeCell ref="T2875:U2875"/>
    <mergeCell ref="B2876:D2876"/>
    <mergeCell ref="F2876:G2876"/>
    <mergeCell ref="J2876:N2876"/>
    <mergeCell ref="T2876:U2876"/>
    <mergeCell ref="B2877:D2877"/>
    <mergeCell ref="F2877:G2877"/>
    <mergeCell ref="J2877:N2877"/>
    <mergeCell ref="T2877:U2877"/>
    <mergeCell ref="B2878:D2878"/>
    <mergeCell ref="F2878:G2878"/>
    <mergeCell ref="J2878:N2878"/>
    <mergeCell ref="T2878:U2878"/>
    <mergeCell ref="B2879:D2879"/>
    <mergeCell ref="F2879:G2879"/>
    <mergeCell ref="J2879:N2879"/>
    <mergeCell ref="T2879:U2879"/>
    <mergeCell ref="B2880:D2880"/>
    <mergeCell ref="F2880:G2880"/>
    <mergeCell ref="J2880:N2880"/>
    <mergeCell ref="T2880:U2880"/>
    <mergeCell ref="B2881:D2881"/>
    <mergeCell ref="F2881:G2881"/>
    <mergeCell ref="J2881:N2881"/>
    <mergeCell ref="T2881:U2881"/>
    <mergeCell ref="B2864:D2864"/>
    <mergeCell ref="F2864:G2864"/>
    <mergeCell ref="J2864:N2864"/>
    <mergeCell ref="T2864:U2864"/>
    <mergeCell ref="B2865:D2865"/>
    <mergeCell ref="F2865:G2865"/>
    <mergeCell ref="J2865:N2865"/>
    <mergeCell ref="T2865:U2865"/>
    <mergeCell ref="B2866:D2866"/>
    <mergeCell ref="F2866:G2866"/>
    <mergeCell ref="J2866:N2866"/>
    <mergeCell ref="T2866:U2866"/>
    <mergeCell ref="B2867:D2867"/>
    <mergeCell ref="F2867:G2867"/>
    <mergeCell ref="J2867:N2867"/>
    <mergeCell ref="T2867:U2867"/>
    <mergeCell ref="B2868:D2868"/>
    <mergeCell ref="F2868:G2868"/>
    <mergeCell ref="J2868:N2868"/>
    <mergeCell ref="T2868:U2868"/>
    <mergeCell ref="B2869:D2869"/>
    <mergeCell ref="F2869:G2869"/>
    <mergeCell ref="J2869:N2869"/>
    <mergeCell ref="T2869:U2869"/>
    <mergeCell ref="B2870:D2870"/>
    <mergeCell ref="F2870:G2870"/>
    <mergeCell ref="J2870:N2870"/>
    <mergeCell ref="T2870:U2870"/>
    <mergeCell ref="B2871:D2871"/>
    <mergeCell ref="F2871:G2871"/>
    <mergeCell ref="J2871:N2871"/>
    <mergeCell ref="T2871:U2871"/>
    <mergeCell ref="B2872:D2872"/>
    <mergeCell ref="F2872:G2872"/>
    <mergeCell ref="J2872:N2872"/>
    <mergeCell ref="T2872:U2872"/>
    <mergeCell ref="B2854:D2854"/>
    <mergeCell ref="F2854:G2854"/>
    <mergeCell ref="J2854:N2854"/>
    <mergeCell ref="T2854:U2854"/>
    <mergeCell ref="B2855:D2855"/>
    <mergeCell ref="F2855:G2855"/>
    <mergeCell ref="J2855:N2855"/>
    <mergeCell ref="T2855:U2855"/>
    <mergeCell ref="B2856:D2856"/>
    <mergeCell ref="F2856:G2856"/>
    <mergeCell ref="J2856:N2856"/>
    <mergeCell ref="T2856:U2856"/>
    <mergeCell ref="B2857:D2857"/>
    <mergeCell ref="F2857:G2857"/>
    <mergeCell ref="J2857:N2857"/>
    <mergeCell ref="T2857:U2857"/>
    <mergeCell ref="B2858:D2858"/>
    <mergeCell ref="F2858:G2858"/>
    <mergeCell ref="J2858:N2858"/>
    <mergeCell ref="T2858:U2858"/>
    <mergeCell ref="B2859:D2859"/>
    <mergeCell ref="F2859:G2859"/>
    <mergeCell ref="J2859:N2859"/>
    <mergeCell ref="T2859:U2859"/>
    <mergeCell ref="B2860:D2860"/>
    <mergeCell ref="F2860:G2860"/>
    <mergeCell ref="J2860:N2860"/>
    <mergeCell ref="T2860:U2860"/>
    <mergeCell ref="B2861:D2861"/>
    <mergeCell ref="F2861:G2861"/>
    <mergeCell ref="J2861:N2861"/>
    <mergeCell ref="T2861:U2861"/>
    <mergeCell ref="B2862:D2862"/>
    <mergeCell ref="F2862:G2863"/>
    <mergeCell ref="J2862:N2862"/>
    <mergeCell ref="T2862:U2862"/>
    <mergeCell ref="B2845:D2845"/>
    <mergeCell ref="F2845:G2845"/>
    <mergeCell ref="J2845:N2845"/>
    <mergeCell ref="T2845:U2845"/>
    <mergeCell ref="B2846:D2846"/>
    <mergeCell ref="F2846:G2846"/>
    <mergeCell ref="J2846:N2846"/>
    <mergeCell ref="T2846:U2846"/>
    <mergeCell ref="B2847:D2847"/>
    <mergeCell ref="F2847:G2847"/>
    <mergeCell ref="J2847:N2847"/>
    <mergeCell ref="T2847:U2847"/>
    <mergeCell ref="B2848:D2848"/>
    <mergeCell ref="F2848:G2848"/>
    <mergeCell ref="J2848:N2848"/>
    <mergeCell ref="T2848:U2848"/>
    <mergeCell ref="B2849:D2849"/>
    <mergeCell ref="F2849:G2849"/>
    <mergeCell ref="J2849:N2849"/>
    <mergeCell ref="T2849:U2849"/>
    <mergeCell ref="B2850:D2850"/>
    <mergeCell ref="F2850:G2850"/>
    <mergeCell ref="J2850:N2850"/>
    <mergeCell ref="T2850:U2850"/>
    <mergeCell ref="B2851:D2851"/>
    <mergeCell ref="F2851:G2851"/>
    <mergeCell ref="J2851:N2851"/>
    <mergeCell ref="T2851:U2851"/>
    <mergeCell ref="B2852:D2852"/>
    <mergeCell ref="F2852:G2852"/>
    <mergeCell ref="J2852:N2852"/>
    <mergeCell ref="T2852:U2852"/>
    <mergeCell ref="B2853:D2853"/>
    <mergeCell ref="F2853:G2853"/>
    <mergeCell ref="J2853:N2853"/>
    <mergeCell ref="T2853:U2853"/>
    <mergeCell ref="B2836:D2836"/>
    <mergeCell ref="F2836:G2836"/>
    <mergeCell ref="J2836:N2836"/>
    <mergeCell ref="T2836:U2836"/>
    <mergeCell ref="B2837:D2837"/>
    <mergeCell ref="F2837:G2837"/>
    <mergeCell ref="J2837:N2837"/>
    <mergeCell ref="T2837:U2837"/>
    <mergeCell ref="B2838:D2838"/>
    <mergeCell ref="F2838:G2838"/>
    <mergeCell ref="J2838:N2838"/>
    <mergeCell ref="T2838:U2838"/>
    <mergeCell ref="B2839:D2839"/>
    <mergeCell ref="F2839:G2839"/>
    <mergeCell ref="J2839:N2839"/>
    <mergeCell ref="T2839:U2839"/>
    <mergeCell ref="B2840:D2840"/>
    <mergeCell ref="F2840:G2840"/>
    <mergeCell ref="J2840:N2840"/>
    <mergeCell ref="T2840:U2840"/>
    <mergeCell ref="B2841:D2841"/>
    <mergeCell ref="F2841:G2841"/>
    <mergeCell ref="J2841:N2841"/>
    <mergeCell ref="T2841:U2841"/>
    <mergeCell ref="B2842:D2842"/>
    <mergeCell ref="F2842:G2842"/>
    <mergeCell ref="J2842:N2842"/>
    <mergeCell ref="T2842:U2842"/>
    <mergeCell ref="B2843:D2843"/>
    <mergeCell ref="F2843:G2843"/>
    <mergeCell ref="J2843:N2843"/>
    <mergeCell ref="T2843:U2843"/>
    <mergeCell ref="B2844:D2844"/>
    <mergeCell ref="F2844:G2844"/>
    <mergeCell ref="J2844:N2844"/>
    <mergeCell ref="T2844:U2844"/>
    <mergeCell ref="B2827:D2827"/>
    <mergeCell ref="F2827:G2827"/>
    <mergeCell ref="J2827:N2827"/>
    <mergeCell ref="T2827:U2827"/>
    <mergeCell ref="B2828:D2828"/>
    <mergeCell ref="F2828:G2828"/>
    <mergeCell ref="J2828:N2828"/>
    <mergeCell ref="T2828:U2828"/>
    <mergeCell ref="B2829:D2829"/>
    <mergeCell ref="F2829:G2829"/>
    <mergeCell ref="J2829:N2829"/>
    <mergeCell ref="T2829:U2829"/>
    <mergeCell ref="B2830:D2830"/>
    <mergeCell ref="F2830:G2830"/>
    <mergeCell ref="J2830:N2830"/>
    <mergeCell ref="T2830:U2830"/>
    <mergeCell ref="B2831:D2831"/>
    <mergeCell ref="F2831:G2831"/>
    <mergeCell ref="J2831:N2831"/>
    <mergeCell ref="T2831:U2831"/>
    <mergeCell ref="B2832:D2832"/>
    <mergeCell ref="F2832:G2832"/>
    <mergeCell ref="J2832:N2832"/>
    <mergeCell ref="T2832:U2832"/>
    <mergeCell ref="B2833:D2833"/>
    <mergeCell ref="F2833:G2833"/>
    <mergeCell ref="J2833:N2833"/>
    <mergeCell ref="T2833:U2833"/>
    <mergeCell ref="B2834:D2834"/>
    <mergeCell ref="F2834:G2834"/>
    <mergeCell ref="J2834:N2834"/>
    <mergeCell ref="T2834:U2834"/>
    <mergeCell ref="B2835:D2835"/>
    <mergeCell ref="F2835:G2835"/>
    <mergeCell ref="J2835:N2835"/>
    <mergeCell ref="T2835:U2835"/>
    <mergeCell ref="B2818:D2818"/>
    <mergeCell ref="F2818:G2818"/>
    <mergeCell ref="J2818:N2818"/>
    <mergeCell ref="T2818:U2818"/>
    <mergeCell ref="B2819:D2819"/>
    <mergeCell ref="F2819:G2819"/>
    <mergeCell ref="J2819:N2819"/>
    <mergeCell ref="T2819:U2819"/>
    <mergeCell ref="B2820:D2820"/>
    <mergeCell ref="F2820:G2820"/>
    <mergeCell ref="J2820:N2820"/>
    <mergeCell ref="T2820:U2820"/>
    <mergeCell ref="B2821:D2821"/>
    <mergeCell ref="F2821:G2821"/>
    <mergeCell ref="J2821:N2821"/>
    <mergeCell ref="T2821:U2821"/>
    <mergeCell ref="B2822:D2822"/>
    <mergeCell ref="F2822:G2822"/>
    <mergeCell ref="J2822:N2822"/>
    <mergeCell ref="T2822:U2822"/>
    <mergeCell ref="B2823:D2823"/>
    <mergeCell ref="F2823:G2823"/>
    <mergeCell ref="J2823:N2823"/>
    <mergeCell ref="T2823:U2823"/>
    <mergeCell ref="B2824:D2824"/>
    <mergeCell ref="F2824:G2824"/>
    <mergeCell ref="J2824:N2824"/>
    <mergeCell ref="T2824:U2824"/>
    <mergeCell ref="B2825:D2825"/>
    <mergeCell ref="F2825:G2825"/>
    <mergeCell ref="J2825:N2825"/>
    <mergeCell ref="T2825:U2825"/>
    <mergeCell ref="B2826:D2826"/>
    <mergeCell ref="F2826:G2826"/>
    <mergeCell ref="J2826:N2826"/>
    <mergeCell ref="T2826:U2826"/>
    <mergeCell ref="B2809:D2809"/>
    <mergeCell ref="F2809:G2809"/>
    <mergeCell ref="J2809:N2809"/>
    <mergeCell ref="T2809:U2809"/>
    <mergeCell ref="B2810:D2810"/>
    <mergeCell ref="F2810:G2810"/>
    <mergeCell ref="J2810:N2810"/>
    <mergeCell ref="T2810:U2810"/>
    <mergeCell ref="B2811:D2811"/>
    <mergeCell ref="F2811:G2811"/>
    <mergeCell ref="J2811:N2811"/>
    <mergeCell ref="T2811:U2811"/>
    <mergeCell ref="B2812:D2812"/>
    <mergeCell ref="F2812:G2812"/>
    <mergeCell ref="J2812:N2812"/>
    <mergeCell ref="T2812:U2812"/>
    <mergeCell ref="B2813:D2813"/>
    <mergeCell ref="F2813:G2813"/>
    <mergeCell ref="J2813:N2813"/>
    <mergeCell ref="T2813:U2813"/>
    <mergeCell ref="B2814:D2814"/>
    <mergeCell ref="F2814:G2814"/>
    <mergeCell ref="J2814:N2814"/>
    <mergeCell ref="T2814:U2814"/>
    <mergeCell ref="B2815:D2815"/>
    <mergeCell ref="F2815:G2815"/>
    <mergeCell ref="J2815:N2815"/>
    <mergeCell ref="T2815:U2815"/>
    <mergeCell ref="B2816:D2816"/>
    <mergeCell ref="F2816:G2816"/>
    <mergeCell ref="J2816:N2816"/>
    <mergeCell ref="T2816:U2816"/>
    <mergeCell ref="B2817:D2817"/>
    <mergeCell ref="F2817:G2817"/>
    <mergeCell ref="J2817:N2817"/>
    <mergeCell ref="T2817:U2817"/>
    <mergeCell ref="B2800:D2800"/>
    <mergeCell ref="F2800:G2800"/>
    <mergeCell ref="J2800:N2800"/>
    <mergeCell ref="T2800:U2800"/>
    <mergeCell ref="B2801:D2801"/>
    <mergeCell ref="F2801:G2801"/>
    <mergeCell ref="J2801:N2801"/>
    <mergeCell ref="T2801:U2801"/>
    <mergeCell ref="B2802:D2802"/>
    <mergeCell ref="F2802:G2802"/>
    <mergeCell ref="J2802:N2802"/>
    <mergeCell ref="T2802:U2802"/>
    <mergeCell ref="B2803:D2803"/>
    <mergeCell ref="F2803:G2803"/>
    <mergeCell ref="J2803:N2803"/>
    <mergeCell ref="T2803:U2803"/>
    <mergeCell ref="B2804:D2804"/>
    <mergeCell ref="F2804:G2804"/>
    <mergeCell ref="J2804:N2804"/>
    <mergeCell ref="T2804:U2804"/>
    <mergeCell ref="B2805:D2805"/>
    <mergeCell ref="F2805:G2805"/>
    <mergeCell ref="J2805:N2805"/>
    <mergeCell ref="T2805:U2805"/>
    <mergeCell ref="B2806:D2806"/>
    <mergeCell ref="F2806:G2806"/>
    <mergeCell ref="J2806:N2806"/>
    <mergeCell ref="T2806:U2806"/>
    <mergeCell ref="B2807:D2807"/>
    <mergeCell ref="F2807:G2807"/>
    <mergeCell ref="J2807:N2807"/>
    <mergeCell ref="T2807:U2807"/>
    <mergeCell ref="A2808:J2808"/>
    <mergeCell ref="K2808:O2808"/>
    <mergeCell ref="T2808:U2808"/>
    <mergeCell ref="B2791:D2791"/>
    <mergeCell ref="F2791:G2791"/>
    <mergeCell ref="J2791:N2791"/>
    <mergeCell ref="T2791:U2791"/>
    <mergeCell ref="B2792:D2792"/>
    <mergeCell ref="F2792:G2792"/>
    <mergeCell ref="J2792:N2792"/>
    <mergeCell ref="T2792:U2792"/>
    <mergeCell ref="B2793:D2793"/>
    <mergeCell ref="F2793:G2793"/>
    <mergeCell ref="J2793:N2793"/>
    <mergeCell ref="T2793:U2793"/>
    <mergeCell ref="B2794:D2794"/>
    <mergeCell ref="F2794:G2794"/>
    <mergeCell ref="J2794:N2794"/>
    <mergeCell ref="T2794:U2794"/>
    <mergeCell ref="B2795:D2795"/>
    <mergeCell ref="F2795:G2795"/>
    <mergeCell ref="J2795:N2795"/>
    <mergeCell ref="T2795:U2795"/>
    <mergeCell ref="B2796:D2796"/>
    <mergeCell ref="F2796:G2796"/>
    <mergeCell ref="J2796:N2796"/>
    <mergeCell ref="T2796:U2796"/>
    <mergeCell ref="B2797:D2797"/>
    <mergeCell ref="F2797:G2797"/>
    <mergeCell ref="J2797:N2797"/>
    <mergeCell ref="T2797:U2797"/>
    <mergeCell ref="B2798:D2798"/>
    <mergeCell ref="F2798:G2798"/>
    <mergeCell ref="J2798:N2798"/>
    <mergeCell ref="T2798:U2798"/>
    <mergeCell ref="B2799:D2799"/>
    <mergeCell ref="F2799:G2799"/>
    <mergeCell ref="J2799:N2799"/>
    <mergeCell ref="T2799:U2799"/>
    <mergeCell ref="B2782:D2782"/>
    <mergeCell ref="F2782:G2782"/>
    <mergeCell ref="J2782:N2782"/>
    <mergeCell ref="T2782:U2782"/>
    <mergeCell ref="B2783:D2783"/>
    <mergeCell ref="F2783:G2783"/>
    <mergeCell ref="J2783:N2783"/>
    <mergeCell ref="T2783:U2783"/>
    <mergeCell ref="B2784:D2784"/>
    <mergeCell ref="F2784:G2784"/>
    <mergeCell ref="J2784:N2784"/>
    <mergeCell ref="T2784:U2784"/>
    <mergeCell ref="B2785:D2785"/>
    <mergeCell ref="F2785:G2785"/>
    <mergeCell ref="J2785:N2785"/>
    <mergeCell ref="T2785:U2785"/>
    <mergeCell ref="B2786:D2786"/>
    <mergeCell ref="F2786:G2786"/>
    <mergeCell ref="J2786:N2786"/>
    <mergeCell ref="T2786:U2786"/>
    <mergeCell ref="B2787:D2787"/>
    <mergeCell ref="F2787:G2787"/>
    <mergeCell ref="J2787:N2787"/>
    <mergeCell ref="T2787:U2787"/>
    <mergeCell ref="B2788:D2788"/>
    <mergeCell ref="F2788:G2788"/>
    <mergeCell ref="J2788:N2788"/>
    <mergeCell ref="T2788:U2788"/>
    <mergeCell ref="B2789:D2789"/>
    <mergeCell ref="F2789:G2789"/>
    <mergeCell ref="J2789:N2789"/>
    <mergeCell ref="T2789:U2789"/>
    <mergeCell ref="B2790:D2790"/>
    <mergeCell ref="F2790:G2790"/>
    <mergeCell ref="J2790:N2790"/>
    <mergeCell ref="T2790:U2790"/>
    <mergeCell ref="B2773:D2773"/>
    <mergeCell ref="F2773:G2773"/>
    <mergeCell ref="J2773:N2773"/>
    <mergeCell ref="T2773:U2773"/>
    <mergeCell ref="B2774:D2774"/>
    <mergeCell ref="F2774:G2774"/>
    <mergeCell ref="J2774:N2774"/>
    <mergeCell ref="T2774:U2774"/>
    <mergeCell ref="B2775:D2775"/>
    <mergeCell ref="F2775:G2775"/>
    <mergeCell ref="J2775:N2775"/>
    <mergeCell ref="T2775:U2775"/>
    <mergeCell ref="B2776:D2776"/>
    <mergeCell ref="F2776:G2776"/>
    <mergeCell ref="J2776:N2776"/>
    <mergeCell ref="T2776:U2776"/>
    <mergeCell ref="B2777:D2777"/>
    <mergeCell ref="F2777:G2777"/>
    <mergeCell ref="J2777:N2777"/>
    <mergeCell ref="T2777:U2777"/>
    <mergeCell ref="B2778:D2778"/>
    <mergeCell ref="F2778:G2778"/>
    <mergeCell ref="J2778:N2778"/>
    <mergeCell ref="T2778:U2778"/>
    <mergeCell ref="B2779:D2779"/>
    <mergeCell ref="F2779:G2779"/>
    <mergeCell ref="J2779:N2779"/>
    <mergeCell ref="T2779:U2779"/>
    <mergeCell ref="B2780:D2780"/>
    <mergeCell ref="F2780:G2780"/>
    <mergeCell ref="J2780:N2780"/>
    <mergeCell ref="T2780:U2780"/>
    <mergeCell ref="B2781:D2781"/>
    <mergeCell ref="F2781:G2781"/>
    <mergeCell ref="J2781:N2781"/>
    <mergeCell ref="T2781:U2781"/>
    <mergeCell ref="B2764:D2764"/>
    <mergeCell ref="F2764:G2764"/>
    <mergeCell ref="J2764:N2764"/>
    <mergeCell ref="T2764:U2764"/>
    <mergeCell ref="B2765:D2765"/>
    <mergeCell ref="F2765:G2765"/>
    <mergeCell ref="J2765:N2765"/>
    <mergeCell ref="T2765:U2765"/>
    <mergeCell ref="B2766:D2766"/>
    <mergeCell ref="F2766:G2766"/>
    <mergeCell ref="J2766:N2766"/>
    <mergeCell ref="T2766:U2766"/>
    <mergeCell ref="B2767:D2767"/>
    <mergeCell ref="F2767:G2767"/>
    <mergeCell ref="J2767:N2767"/>
    <mergeCell ref="T2767:U2767"/>
    <mergeCell ref="B2768:D2768"/>
    <mergeCell ref="F2768:G2768"/>
    <mergeCell ref="J2768:N2768"/>
    <mergeCell ref="T2768:U2768"/>
    <mergeCell ref="B2769:D2769"/>
    <mergeCell ref="F2769:G2769"/>
    <mergeCell ref="J2769:N2769"/>
    <mergeCell ref="T2769:U2769"/>
    <mergeCell ref="B2770:D2770"/>
    <mergeCell ref="F2770:G2770"/>
    <mergeCell ref="J2770:N2770"/>
    <mergeCell ref="T2770:U2770"/>
    <mergeCell ref="B2771:D2771"/>
    <mergeCell ref="F2771:G2771"/>
    <mergeCell ref="J2771:N2771"/>
    <mergeCell ref="T2771:U2771"/>
    <mergeCell ref="B2772:D2772"/>
    <mergeCell ref="F2772:G2772"/>
    <mergeCell ref="J2772:N2772"/>
    <mergeCell ref="T2772:U2772"/>
    <mergeCell ref="B2755:D2755"/>
    <mergeCell ref="F2755:G2755"/>
    <mergeCell ref="J2755:N2755"/>
    <mergeCell ref="T2755:U2755"/>
    <mergeCell ref="B2756:D2756"/>
    <mergeCell ref="F2756:G2756"/>
    <mergeCell ref="J2756:N2756"/>
    <mergeCell ref="T2756:U2756"/>
    <mergeCell ref="B2757:D2757"/>
    <mergeCell ref="F2757:G2757"/>
    <mergeCell ref="J2757:N2757"/>
    <mergeCell ref="T2757:U2757"/>
    <mergeCell ref="B2758:D2758"/>
    <mergeCell ref="F2758:G2758"/>
    <mergeCell ref="J2758:N2758"/>
    <mergeCell ref="T2758:U2758"/>
    <mergeCell ref="B2759:D2759"/>
    <mergeCell ref="F2759:G2759"/>
    <mergeCell ref="J2759:N2759"/>
    <mergeCell ref="T2759:U2759"/>
    <mergeCell ref="B2760:D2760"/>
    <mergeCell ref="F2760:G2760"/>
    <mergeCell ref="J2760:N2760"/>
    <mergeCell ref="T2760:U2760"/>
    <mergeCell ref="B2761:D2761"/>
    <mergeCell ref="F2761:G2761"/>
    <mergeCell ref="J2761:N2761"/>
    <mergeCell ref="T2761:U2761"/>
    <mergeCell ref="B2762:D2762"/>
    <mergeCell ref="F2762:G2762"/>
    <mergeCell ref="J2762:N2762"/>
    <mergeCell ref="T2762:U2762"/>
    <mergeCell ref="B2763:D2763"/>
    <mergeCell ref="F2763:G2763"/>
    <mergeCell ref="J2763:N2763"/>
    <mergeCell ref="T2763:U2763"/>
    <mergeCell ref="B2746:D2746"/>
    <mergeCell ref="F2746:G2746"/>
    <mergeCell ref="J2746:N2746"/>
    <mergeCell ref="T2746:U2746"/>
    <mergeCell ref="B2747:D2747"/>
    <mergeCell ref="F2747:G2747"/>
    <mergeCell ref="J2747:N2747"/>
    <mergeCell ref="T2747:U2747"/>
    <mergeCell ref="B2748:D2748"/>
    <mergeCell ref="F2748:G2748"/>
    <mergeCell ref="J2748:N2748"/>
    <mergeCell ref="T2748:U2748"/>
    <mergeCell ref="B2749:D2749"/>
    <mergeCell ref="F2749:G2749"/>
    <mergeCell ref="J2749:N2749"/>
    <mergeCell ref="T2749:U2749"/>
    <mergeCell ref="B2750:D2750"/>
    <mergeCell ref="F2750:G2750"/>
    <mergeCell ref="J2750:N2750"/>
    <mergeCell ref="T2750:U2750"/>
    <mergeCell ref="B2751:D2751"/>
    <mergeCell ref="F2751:G2751"/>
    <mergeCell ref="J2751:N2751"/>
    <mergeCell ref="T2751:U2751"/>
    <mergeCell ref="B2752:D2752"/>
    <mergeCell ref="F2752:G2752"/>
    <mergeCell ref="J2752:N2752"/>
    <mergeCell ref="T2752:U2752"/>
    <mergeCell ref="B2753:D2753"/>
    <mergeCell ref="F2753:G2753"/>
    <mergeCell ref="J2753:N2753"/>
    <mergeCell ref="T2753:U2753"/>
    <mergeCell ref="B2754:D2754"/>
    <mergeCell ref="F2754:G2754"/>
    <mergeCell ref="J2754:N2754"/>
    <mergeCell ref="T2754:U2754"/>
    <mergeCell ref="B2737:D2737"/>
    <mergeCell ref="F2737:G2737"/>
    <mergeCell ref="J2737:N2737"/>
    <mergeCell ref="T2737:U2737"/>
    <mergeCell ref="B2738:D2738"/>
    <mergeCell ref="F2738:G2738"/>
    <mergeCell ref="J2738:N2738"/>
    <mergeCell ref="T2738:U2738"/>
    <mergeCell ref="A2739:J2739"/>
    <mergeCell ref="K2739:O2739"/>
    <mergeCell ref="T2739:U2739"/>
    <mergeCell ref="B2740:D2740"/>
    <mergeCell ref="F2740:G2740"/>
    <mergeCell ref="J2740:N2740"/>
    <mergeCell ref="T2740:U2740"/>
    <mergeCell ref="B2741:D2741"/>
    <mergeCell ref="F2741:G2741"/>
    <mergeCell ref="J2741:N2741"/>
    <mergeCell ref="T2741:U2741"/>
    <mergeCell ref="B2742:D2742"/>
    <mergeCell ref="F2742:G2742"/>
    <mergeCell ref="J2742:N2742"/>
    <mergeCell ref="T2742:U2742"/>
    <mergeCell ref="B2743:D2743"/>
    <mergeCell ref="F2743:G2743"/>
    <mergeCell ref="J2743:N2743"/>
    <mergeCell ref="T2743:U2743"/>
    <mergeCell ref="B2744:D2744"/>
    <mergeCell ref="F2744:G2744"/>
    <mergeCell ref="J2744:N2744"/>
    <mergeCell ref="T2744:U2744"/>
    <mergeCell ref="B2745:D2745"/>
    <mergeCell ref="F2745:G2745"/>
    <mergeCell ref="J2745:N2745"/>
    <mergeCell ref="T2745:U2745"/>
    <mergeCell ref="B2728:D2728"/>
    <mergeCell ref="F2728:G2728"/>
    <mergeCell ref="J2728:N2728"/>
    <mergeCell ref="T2728:U2728"/>
    <mergeCell ref="B2729:D2729"/>
    <mergeCell ref="F2729:G2729"/>
    <mergeCell ref="J2729:N2729"/>
    <mergeCell ref="T2729:U2729"/>
    <mergeCell ref="B2730:D2730"/>
    <mergeCell ref="F2730:G2730"/>
    <mergeCell ref="J2730:N2730"/>
    <mergeCell ref="T2730:U2730"/>
    <mergeCell ref="B2731:D2731"/>
    <mergeCell ref="F2731:G2731"/>
    <mergeCell ref="J2731:N2731"/>
    <mergeCell ref="T2731:U2731"/>
    <mergeCell ref="B2732:D2732"/>
    <mergeCell ref="F2732:G2732"/>
    <mergeCell ref="J2732:N2732"/>
    <mergeCell ref="T2732:U2732"/>
    <mergeCell ref="B2733:D2733"/>
    <mergeCell ref="F2733:G2733"/>
    <mergeCell ref="J2733:N2733"/>
    <mergeCell ref="T2733:U2733"/>
    <mergeCell ref="B2734:D2734"/>
    <mergeCell ref="F2734:G2734"/>
    <mergeCell ref="J2734:N2734"/>
    <mergeCell ref="T2734:U2734"/>
    <mergeCell ref="B2735:D2735"/>
    <mergeCell ref="F2735:G2735"/>
    <mergeCell ref="J2735:N2735"/>
    <mergeCell ref="T2735:U2735"/>
    <mergeCell ref="B2736:D2736"/>
    <mergeCell ref="F2736:G2736"/>
    <mergeCell ref="J2736:N2736"/>
    <mergeCell ref="T2736:U2736"/>
    <mergeCell ref="B2719:D2719"/>
    <mergeCell ref="F2719:G2719"/>
    <mergeCell ref="J2719:N2719"/>
    <mergeCell ref="T2719:U2719"/>
    <mergeCell ref="B2720:D2720"/>
    <mergeCell ref="F2720:G2720"/>
    <mergeCell ref="J2720:N2720"/>
    <mergeCell ref="T2720:U2720"/>
    <mergeCell ref="B2721:D2721"/>
    <mergeCell ref="F2721:G2721"/>
    <mergeCell ref="J2721:N2721"/>
    <mergeCell ref="T2721:U2721"/>
    <mergeCell ref="B2722:D2722"/>
    <mergeCell ref="F2722:G2722"/>
    <mergeCell ref="J2722:N2722"/>
    <mergeCell ref="T2722:U2722"/>
    <mergeCell ref="B2723:D2723"/>
    <mergeCell ref="F2723:G2723"/>
    <mergeCell ref="J2723:N2723"/>
    <mergeCell ref="T2723:U2723"/>
    <mergeCell ref="B2724:D2724"/>
    <mergeCell ref="F2724:G2724"/>
    <mergeCell ref="J2724:N2724"/>
    <mergeCell ref="T2724:U2724"/>
    <mergeCell ref="B2725:D2725"/>
    <mergeCell ref="F2725:G2725"/>
    <mergeCell ref="J2725:N2725"/>
    <mergeCell ref="T2725:U2725"/>
    <mergeCell ref="B2726:D2726"/>
    <mergeCell ref="F2726:G2726"/>
    <mergeCell ref="J2726:N2726"/>
    <mergeCell ref="T2726:U2726"/>
    <mergeCell ref="B2727:D2727"/>
    <mergeCell ref="F2727:G2727"/>
    <mergeCell ref="J2727:N2727"/>
    <mergeCell ref="T2727:U2727"/>
    <mergeCell ref="B2710:D2710"/>
    <mergeCell ref="F2710:G2710"/>
    <mergeCell ref="J2710:N2710"/>
    <mergeCell ref="T2710:U2710"/>
    <mergeCell ref="B2711:D2711"/>
    <mergeCell ref="F2711:G2711"/>
    <mergeCell ref="J2711:N2711"/>
    <mergeCell ref="T2711:U2711"/>
    <mergeCell ref="B2712:D2712"/>
    <mergeCell ref="F2712:G2712"/>
    <mergeCell ref="J2712:N2712"/>
    <mergeCell ref="T2712:U2712"/>
    <mergeCell ref="B2713:D2713"/>
    <mergeCell ref="F2713:G2713"/>
    <mergeCell ref="J2713:N2713"/>
    <mergeCell ref="T2713:U2713"/>
    <mergeCell ref="B2714:D2714"/>
    <mergeCell ref="F2714:G2714"/>
    <mergeCell ref="J2714:N2714"/>
    <mergeCell ref="T2714:U2714"/>
    <mergeCell ref="B2715:D2715"/>
    <mergeCell ref="F2715:G2715"/>
    <mergeCell ref="J2715:N2715"/>
    <mergeCell ref="T2715:U2715"/>
    <mergeCell ref="B2716:D2716"/>
    <mergeCell ref="F2716:G2716"/>
    <mergeCell ref="J2716:N2716"/>
    <mergeCell ref="T2716:U2716"/>
    <mergeCell ref="B2717:D2717"/>
    <mergeCell ref="F2717:G2717"/>
    <mergeCell ref="J2717:N2717"/>
    <mergeCell ref="T2717:U2717"/>
    <mergeCell ref="B2718:D2718"/>
    <mergeCell ref="F2718:G2718"/>
    <mergeCell ref="J2718:N2718"/>
    <mergeCell ref="T2718:U2718"/>
    <mergeCell ref="B2701:D2701"/>
    <mergeCell ref="F2701:G2701"/>
    <mergeCell ref="J2701:N2701"/>
    <mergeCell ref="T2701:U2701"/>
    <mergeCell ref="B2702:D2702"/>
    <mergeCell ref="F2702:G2702"/>
    <mergeCell ref="J2702:N2702"/>
    <mergeCell ref="T2702:U2702"/>
    <mergeCell ref="B2703:D2703"/>
    <mergeCell ref="F2703:G2703"/>
    <mergeCell ref="J2703:N2703"/>
    <mergeCell ref="T2703:U2703"/>
    <mergeCell ref="B2704:D2704"/>
    <mergeCell ref="F2704:G2704"/>
    <mergeCell ref="J2704:N2704"/>
    <mergeCell ref="T2704:U2704"/>
    <mergeCell ref="B2705:D2705"/>
    <mergeCell ref="F2705:G2705"/>
    <mergeCell ref="J2705:N2705"/>
    <mergeCell ref="T2705:U2705"/>
    <mergeCell ref="B2706:D2706"/>
    <mergeCell ref="F2706:G2706"/>
    <mergeCell ref="J2706:N2706"/>
    <mergeCell ref="T2706:U2706"/>
    <mergeCell ref="B2707:D2707"/>
    <mergeCell ref="F2707:G2707"/>
    <mergeCell ref="J2707:N2707"/>
    <mergeCell ref="T2707:U2707"/>
    <mergeCell ref="B2708:D2708"/>
    <mergeCell ref="F2708:G2708"/>
    <mergeCell ref="J2708:N2708"/>
    <mergeCell ref="T2708:U2708"/>
    <mergeCell ref="B2709:D2709"/>
    <mergeCell ref="F2709:G2709"/>
    <mergeCell ref="J2709:N2709"/>
    <mergeCell ref="T2709:U2709"/>
    <mergeCell ref="B2692:D2692"/>
    <mergeCell ref="F2692:G2692"/>
    <mergeCell ref="J2692:N2692"/>
    <mergeCell ref="T2692:U2692"/>
    <mergeCell ref="B2693:D2693"/>
    <mergeCell ref="F2693:G2693"/>
    <mergeCell ref="J2693:N2693"/>
    <mergeCell ref="T2693:U2693"/>
    <mergeCell ref="B2694:D2694"/>
    <mergeCell ref="F2694:G2694"/>
    <mergeCell ref="J2694:N2694"/>
    <mergeCell ref="T2694:U2694"/>
    <mergeCell ref="B2695:D2695"/>
    <mergeCell ref="F2695:G2695"/>
    <mergeCell ref="J2695:N2695"/>
    <mergeCell ref="T2695:U2695"/>
    <mergeCell ref="B2696:D2696"/>
    <mergeCell ref="F2696:G2696"/>
    <mergeCell ref="J2696:N2696"/>
    <mergeCell ref="T2696:U2696"/>
    <mergeCell ref="B2697:D2697"/>
    <mergeCell ref="F2697:G2697"/>
    <mergeCell ref="J2697:N2697"/>
    <mergeCell ref="T2697:U2697"/>
    <mergeCell ref="B2698:D2698"/>
    <mergeCell ref="F2698:G2698"/>
    <mergeCell ref="J2698:N2698"/>
    <mergeCell ref="T2698:U2698"/>
    <mergeCell ref="B2699:D2699"/>
    <mergeCell ref="F2699:G2699"/>
    <mergeCell ref="J2699:N2699"/>
    <mergeCell ref="T2699:U2699"/>
    <mergeCell ref="B2700:D2700"/>
    <mergeCell ref="F2700:G2700"/>
    <mergeCell ref="J2700:N2700"/>
    <mergeCell ref="T2700:U2700"/>
    <mergeCell ref="B2683:D2683"/>
    <mergeCell ref="F2683:G2683"/>
    <mergeCell ref="J2683:N2683"/>
    <mergeCell ref="T2683:U2683"/>
    <mergeCell ref="B2684:D2684"/>
    <mergeCell ref="F2684:G2684"/>
    <mergeCell ref="J2684:N2684"/>
    <mergeCell ref="T2684:U2684"/>
    <mergeCell ref="B2685:D2685"/>
    <mergeCell ref="F2685:G2685"/>
    <mergeCell ref="J2685:N2685"/>
    <mergeCell ref="T2685:U2685"/>
    <mergeCell ref="B2686:D2686"/>
    <mergeCell ref="F2686:G2686"/>
    <mergeCell ref="J2686:N2686"/>
    <mergeCell ref="T2686:U2686"/>
    <mergeCell ref="B2687:D2687"/>
    <mergeCell ref="F2687:G2687"/>
    <mergeCell ref="J2687:N2687"/>
    <mergeCell ref="T2687:U2687"/>
    <mergeCell ref="B2688:D2688"/>
    <mergeCell ref="F2688:G2688"/>
    <mergeCell ref="J2688:N2688"/>
    <mergeCell ref="T2688:U2688"/>
    <mergeCell ref="B2689:D2689"/>
    <mergeCell ref="F2689:G2689"/>
    <mergeCell ref="J2689:N2689"/>
    <mergeCell ref="T2689:U2689"/>
    <mergeCell ref="B2690:D2690"/>
    <mergeCell ref="F2690:G2690"/>
    <mergeCell ref="J2690:N2690"/>
    <mergeCell ref="T2690:U2690"/>
    <mergeCell ref="B2691:D2691"/>
    <mergeCell ref="F2691:G2691"/>
    <mergeCell ref="J2691:N2691"/>
    <mergeCell ref="T2691:U2691"/>
    <mergeCell ref="B2674:D2674"/>
    <mergeCell ref="F2674:G2674"/>
    <mergeCell ref="J2674:N2674"/>
    <mergeCell ref="T2674:U2674"/>
    <mergeCell ref="B2675:D2675"/>
    <mergeCell ref="F2675:G2675"/>
    <mergeCell ref="J2675:N2675"/>
    <mergeCell ref="T2675:U2675"/>
    <mergeCell ref="B2676:D2676"/>
    <mergeCell ref="F2676:G2676"/>
    <mergeCell ref="J2676:N2676"/>
    <mergeCell ref="T2676:U2676"/>
    <mergeCell ref="B2677:D2677"/>
    <mergeCell ref="F2677:G2677"/>
    <mergeCell ref="J2677:N2677"/>
    <mergeCell ref="T2677:U2677"/>
    <mergeCell ref="B2678:D2678"/>
    <mergeCell ref="F2678:G2678"/>
    <mergeCell ref="J2678:N2678"/>
    <mergeCell ref="T2678:U2678"/>
    <mergeCell ref="B2679:D2679"/>
    <mergeCell ref="F2679:G2679"/>
    <mergeCell ref="J2679:N2679"/>
    <mergeCell ref="T2679:U2679"/>
    <mergeCell ref="B2680:D2680"/>
    <mergeCell ref="F2680:G2680"/>
    <mergeCell ref="J2680:N2680"/>
    <mergeCell ref="T2680:U2680"/>
    <mergeCell ref="B2681:D2681"/>
    <mergeCell ref="F2681:G2681"/>
    <mergeCell ref="J2681:N2681"/>
    <mergeCell ref="T2681:U2681"/>
    <mergeCell ref="B2682:D2682"/>
    <mergeCell ref="F2682:G2682"/>
    <mergeCell ref="J2682:N2682"/>
    <mergeCell ref="T2682:U2682"/>
    <mergeCell ref="B2663:D2663"/>
    <mergeCell ref="F2663:G2663"/>
    <mergeCell ref="J2663:N2663"/>
    <mergeCell ref="T2663:U2663"/>
    <mergeCell ref="B2664:D2664"/>
    <mergeCell ref="F2664:G2664"/>
    <mergeCell ref="J2664:N2664"/>
    <mergeCell ref="T2664:U2664"/>
    <mergeCell ref="B2665:D2665"/>
    <mergeCell ref="F2665:G2665"/>
    <mergeCell ref="J2665:N2665"/>
    <mergeCell ref="T2665:U2665"/>
    <mergeCell ref="B2666:D2666"/>
    <mergeCell ref="F2666:G2666"/>
    <mergeCell ref="J2666:N2666"/>
    <mergeCell ref="T2666:U2666"/>
    <mergeCell ref="B2667:D2667"/>
    <mergeCell ref="F2667:G2668"/>
    <mergeCell ref="J2667:N2667"/>
    <mergeCell ref="T2667:U2667"/>
    <mergeCell ref="B2669:D2669"/>
    <mergeCell ref="F2669:G2669"/>
    <mergeCell ref="J2669:N2669"/>
    <mergeCell ref="T2669:U2669"/>
    <mergeCell ref="B2670:D2670"/>
    <mergeCell ref="F2670:G2670"/>
    <mergeCell ref="J2670:N2670"/>
    <mergeCell ref="T2670:U2670"/>
    <mergeCell ref="B2671:D2671"/>
    <mergeCell ref="F2671:G2671"/>
    <mergeCell ref="J2671:N2671"/>
    <mergeCell ref="T2671:U2671"/>
    <mergeCell ref="B2672:D2672"/>
    <mergeCell ref="F2672:G2673"/>
    <mergeCell ref="J2672:N2672"/>
    <mergeCell ref="T2672:U2672"/>
    <mergeCell ref="B2654:D2654"/>
    <mergeCell ref="F2654:G2654"/>
    <mergeCell ref="J2654:N2654"/>
    <mergeCell ref="T2654:U2654"/>
    <mergeCell ref="B2655:D2655"/>
    <mergeCell ref="F2655:G2655"/>
    <mergeCell ref="J2655:N2655"/>
    <mergeCell ref="T2655:U2655"/>
    <mergeCell ref="B2656:D2656"/>
    <mergeCell ref="F2656:G2656"/>
    <mergeCell ref="J2656:N2656"/>
    <mergeCell ref="T2656:U2656"/>
    <mergeCell ref="B2657:D2657"/>
    <mergeCell ref="F2657:G2657"/>
    <mergeCell ref="J2657:N2657"/>
    <mergeCell ref="T2657:U2657"/>
    <mergeCell ref="B2658:D2658"/>
    <mergeCell ref="F2658:G2658"/>
    <mergeCell ref="J2658:N2658"/>
    <mergeCell ref="T2658:U2658"/>
    <mergeCell ref="B2659:D2659"/>
    <mergeCell ref="F2659:G2659"/>
    <mergeCell ref="J2659:N2659"/>
    <mergeCell ref="T2659:U2659"/>
    <mergeCell ref="B2660:D2660"/>
    <mergeCell ref="F2660:G2660"/>
    <mergeCell ref="J2660:N2660"/>
    <mergeCell ref="T2660:U2660"/>
    <mergeCell ref="B2661:D2661"/>
    <mergeCell ref="F2661:G2661"/>
    <mergeCell ref="J2661:N2661"/>
    <mergeCell ref="T2661:U2661"/>
    <mergeCell ref="B2662:D2662"/>
    <mergeCell ref="F2662:G2662"/>
    <mergeCell ref="J2662:N2662"/>
    <mergeCell ref="T2662:U2662"/>
    <mergeCell ref="B2645:D2645"/>
    <mergeCell ref="F2645:G2645"/>
    <mergeCell ref="J2645:N2645"/>
    <mergeCell ref="T2645:U2645"/>
    <mergeCell ref="B2646:D2646"/>
    <mergeCell ref="F2646:G2646"/>
    <mergeCell ref="J2646:N2646"/>
    <mergeCell ref="T2646:U2646"/>
    <mergeCell ref="B2647:D2647"/>
    <mergeCell ref="F2647:G2647"/>
    <mergeCell ref="J2647:N2647"/>
    <mergeCell ref="T2647:U2647"/>
    <mergeCell ref="B2648:D2648"/>
    <mergeCell ref="F2648:G2648"/>
    <mergeCell ref="J2648:N2648"/>
    <mergeCell ref="T2648:U2648"/>
    <mergeCell ref="B2649:D2649"/>
    <mergeCell ref="F2649:G2649"/>
    <mergeCell ref="J2649:N2649"/>
    <mergeCell ref="T2649:U2649"/>
    <mergeCell ref="B2650:D2650"/>
    <mergeCell ref="F2650:G2650"/>
    <mergeCell ref="J2650:N2650"/>
    <mergeCell ref="T2650:U2650"/>
    <mergeCell ref="B2651:D2651"/>
    <mergeCell ref="F2651:G2651"/>
    <mergeCell ref="J2651:N2651"/>
    <mergeCell ref="T2651:U2651"/>
    <mergeCell ref="B2652:D2652"/>
    <mergeCell ref="F2652:G2652"/>
    <mergeCell ref="J2652:N2652"/>
    <mergeCell ref="T2652:U2652"/>
    <mergeCell ref="B2653:D2653"/>
    <mergeCell ref="F2653:G2653"/>
    <mergeCell ref="J2653:N2653"/>
    <mergeCell ref="T2653:U2653"/>
    <mergeCell ref="B2636:D2636"/>
    <mergeCell ref="F2636:G2636"/>
    <mergeCell ref="J2636:N2636"/>
    <mergeCell ref="T2636:U2636"/>
    <mergeCell ref="B2637:D2637"/>
    <mergeCell ref="F2637:G2637"/>
    <mergeCell ref="J2637:N2637"/>
    <mergeCell ref="T2637:U2637"/>
    <mergeCell ref="B2638:D2638"/>
    <mergeCell ref="F2638:G2638"/>
    <mergeCell ref="J2638:N2638"/>
    <mergeCell ref="T2638:U2638"/>
    <mergeCell ref="B2639:D2639"/>
    <mergeCell ref="F2639:G2639"/>
    <mergeCell ref="J2639:N2639"/>
    <mergeCell ref="T2639:U2639"/>
    <mergeCell ref="B2640:D2640"/>
    <mergeCell ref="F2640:G2640"/>
    <mergeCell ref="J2640:N2640"/>
    <mergeCell ref="T2640:U2640"/>
    <mergeCell ref="B2641:D2641"/>
    <mergeCell ref="F2641:G2641"/>
    <mergeCell ref="J2641:N2641"/>
    <mergeCell ref="T2641:U2641"/>
    <mergeCell ref="B2642:D2642"/>
    <mergeCell ref="F2642:G2642"/>
    <mergeCell ref="J2642:N2642"/>
    <mergeCell ref="T2642:U2642"/>
    <mergeCell ref="B2643:D2643"/>
    <mergeCell ref="F2643:G2643"/>
    <mergeCell ref="J2643:N2643"/>
    <mergeCell ref="T2643:U2643"/>
    <mergeCell ref="B2644:D2644"/>
    <mergeCell ref="F2644:G2644"/>
    <mergeCell ref="J2644:N2644"/>
    <mergeCell ref="T2644:U2644"/>
    <mergeCell ref="B2627:D2627"/>
    <mergeCell ref="F2627:G2627"/>
    <mergeCell ref="J2627:N2627"/>
    <mergeCell ref="T2627:U2627"/>
    <mergeCell ref="B2628:D2628"/>
    <mergeCell ref="F2628:G2628"/>
    <mergeCell ref="J2628:N2628"/>
    <mergeCell ref="T2628:U2628"/>
    <mergeCell ref="B2629:D2629"/>
    <mergeCell ref="F2629:G2629"/>
    <mergeCell ref="J2629:N2629"/>
    <mergeCell ref="T2629:U2629"/>
    <mergeCell ref="B2630:D2630"/>
    <mergeCell ref="F2630:G2630"/>
    <mergeCell ref="J2630:N2630"/>
    <mergeCell ref="T2630:U2630"/>
    <mergeCell ref="B2631:D2631"/>
    <mergeCell ref="F2631:G2631"/>
    <mergeCell ref="J2631:N2631"/>
    <mergeCell ref="T2631:U2631"/>
    <mergeCell ref="B2632:D2632"/>
    <mergeCell ref="F2632:G2632"/>
    <mergeCell ref="J2632:N2632"/>
    <mergeCell ref="T2632:U2632"/>
    <mergeCell ref="B2633:D2633"/>
    <mergeCell ref="F2633:G2633"/>
    <mergeCell ref="J2633:N2633"/>
    <mergeCell ref="T2633:U2633"/>
    <mergeCell ref="B2634:D2634"/>
    <mergeCell ref="F2634:G2634"/>
    <mergeCell ref="J2634:N2634"/>
    <mergeCell ref="T2634:U2634"/>
    <mergeCell ref="B2635:D2635"/>
    <mergeCell ref="F2635:G2635"/>
    <mergeCell ref="J2635:N2635"/>
    <mergeCell ref="T2635:U2635"/>
    <mergeCell ref="B2618:D2618"/>
    <mergeCell ref="F2618:G2618"/>
    <mergeCell ref="J2618:N2618"/>
    <mergeCell ref="T2618:U2618"/>
    <mergeCell ref="B2619:D2619"/>
    <mergeCell ref="F2619:G2619"/>
    <mergeCell ref="J2619:N2619"/>
    <mergeCell ref="T2619:U2619"/>
    <mergeCell ref="B2620:D2620"/>
    <mergeCell ref="F2620:G2620"/>
    <mergeCell ref="J2620:N2620"/>
    <mergeCell ref="T2620:U2620"/>
    <mergeCell ref="B2621:D2621"/>
    <mergeCell ref="F2621:G2621"/>
    <mergeCell ref="J2621:N2621"/>
    <mergeCell ref="T2621:U2621"/>
    <mergeCell ref="B2622:D2622"/>
    <mergeCell ref="F2622:G2622"/>
    <mergeCell ref="J2622:N2622"/>
    <mergeCell ref="T2622:U2622"/>
    <mergeCell ref="B2623:D2623"/>
    <mergeCell ref="F2623:G2623"/>
    <mergeCell ref="J2623:N2623"/>
    <mergeCell ref="T2623:U2623"/>
    <mergeCell ref="B2624:D2624"/>
    <mergeCell ref="F2624:G2624"/>
    <mergeCell ref="J2624:N2624"/>
    <mergeCell ref="T2624:U2624"/>
    <mergeCell ref="B2625:D2625"/>
    <mergeCell ref="F2625:G2625"/>
    <mergeCell ref="J2625:N2625"/>
    <mergeCell ref="T2625:U2625"/>
    <mergeCell ref="B2626:D2626"/>
    <mergeCell ref="F2626:G2626"/>
    <mergeCell ref="J2626:N2626"/>
    <mergeCell ref="T2626:U2626"/>
    <mergeCell ref="B2609:D2609"/>
    <mergeCell ref="F2609:G2609"/>
    <mergeCell ref="J2609:N2609"/>
    <mergeCell ref="T2609:U2609"/>
    <mergeCell ref="B2610:D2610"/>
    <mergeCell ref="F2610:G2610"/>
    <mergeCell ref="J2610:N2610"/>
    <mergeCell ref="T2610:U2610"/>
    <mergeCell ref="B2611:D2611"/>
    <mergeCell ref="F2611:G2611"/>
    <mergeCell ref="J2611:N2611"/>
    <mergeCell ref="T2611:U2611"/>
    <mergeCell ref="B2612:D2612"/>
    <mergeCell ref="F2612:G2612"/>
    <mergeCell ref="J2612:N2612"/>
    <mergeCell ref="T2612:U2612"/>
    <mergeCell ref="B2613:D2613"/>
    <mergeCell ref="F2613:G2613"/>
    <mergeCell ref="J2613:N2613"/>
    <mergeCell ref="T2613:U2613"/>
    <mergeCell ref="B2614:D2614"/>
    <mergeCell ref="F2614:G2614"/>
    <mergeCell ref="J2614:N2614"/>
    <mergeCell ref="T2614:U2614"/>
    <mergeCell ref="B2615:D2615"/>
    <mergeCell ref="F2615:G2615"/>
    <mergeCell ref="J2615:N2615"/>
    <mergeCell ref="T2615:U2615"/>
    <mergeCell ref="B2616:D2616"/>
    <mergeCell ref="F2616:G2616"/>
    <mergeCell ref="J2616:N2616"/>
    <mergeCell ref="T2616:U2616"/>
    <mergeCell ref="B2617:D2617"/>
    <mergeCell ref="F2617:G2617"/>
    <mergeCell ref="J2617:N2617"/>
    <mergeCell ref="T2617:U2617"/>
    <mergeCell ref="B2600:D2600"/>
    <mergeCell ref="F2600:G2600"/>
    <mergeCell ref="J2600:N2600"/>
    <mergeCell ref="T2600:U2600"/>
    <mergeCell ref="B2601:D2601"/>
    <mergeCell ref="F2601:G2601"/>
    <mergeCell ref="J2601:N2601"/>
    <mergeCell ref="T2601:U2601"/>
    <mergeCell ref="B2602:D2602"/>
    <mergeCell ref="F2602:G2602"/>
    <mergeCell ref="J2602:N2602"/>
    <mergeCell ref="T2602:U2602"/>
    <mergeCell ref="B2603:D2603"/>
    <mergeCell ref="F2603:G2603"/>
    <mergeCell ref="J2603:N2603"/>
    <mergeCell ref="T2603:U2603"/>
    <mergeCell ref="B2604:D2604"/>
    <mergeCell ref="F2604:G2604"/>
    <mergeCell ref="J2604:N2604"/>
    <mergeCell ref="T2604:U2604"/>
    <mergeCell ref="B2605:D2605"/>
    <mergeCell ref="F2605:G2605"/>
    <mergeCell ref="J2605:N2605"/>
    <mergeCell ref="T2605:U2605"/>
    <mergeCell ref="B2606:D2606"/>
    <mergeCell ref="F2606:G2606"/>
    <mergeCell ref="J2606:N2606"/>
    <mergeCell ref="T2606:U2606"/>
    <mergeCell ref="B2607:D2607"/>
    <mergeCell ref="F2607:G2607"/>
    <mergeCell ref="J2607:N2607"/>
    <mergeCell ref="T2607:U2607"/>
    <mergeCell ref="B2608:D2608"/>
    <mergeCell ref="F2608:G2608"/>
    <mergeCell ref="J2608:N2608"/>
    <mergeCell ref="T2608:U2608"/>
    <mergeCell ref="B2591:D2591"/>
    <mergeCell ref="F2591:G2591"/>
    <mergeCell ref="J2591:N2591"/>
    <mergeCell ref="T2591:U2591"/>
    <mergeCell ref="B2592:D2592"/>
    <mergeCell ref="F2592:G2592"/>
    <mergeCell ref="J2592:N2592"/>
    <mergeCell ref="T2592:U2592"/>
    <mergeCell ref="B2593:D2593"/>
    <mergeCell ref="F2593:G2593"/>
    <mergeCell ref="J2593:N2593"/>
    <mergeCell ref="T2593:U2593"/>
    <mergeCell ref="B2594:D2594"/>
    <mergeCell ref="F2594:G2594"/>
    <mergeCell ref="J2594:N2594"/>
    <mergeCell ref="T2594:U2594"/>
    <mergeCell ref="B2595:D2595"/>
    <mergeCell ref="F2595:G2595"/>
    <mergeCell ref="J2595:N2595"/>
    <mergeCell ref="T2595:U2595"/>
    <mergeCell ref="B2596:D2596"/>
    <mergeCell ref="F2596:G2596"/>
    <mergeCell ref="J2596:N2596"/>
    <mergeCell ref="T2596:U2596"/>
    <mergeCell ref="B2597:D2597"/>
    <mergeCell ref="F2597:G2597"/>
    <mergeCell ref="J2597:N2597"/>
    <mergeCell ref="T2597:U2597"/>
    <mergeCell ref="B2598:D2598"/>
    <mergeCell ref="F2598:G2598"/>
    <mergeCell ref="J2598:N2598"/>
    <mergeCell ref="T2598:U2598"/>
    <mergeCell ref="B2599:D2599"/>
    <mergeCell ref="F2599:G2599"/>
    <mergeCell ref="J2599:N2599"/>
    <mergeCell ref="T2599:U2599"/>
    <mergeCell ref="B2582:D2582"/>
    <mergeCell ref="F2582:G2582"/>
    <mergeCell ref="J2582:N2582"/>
    <mergeCell ref="T2582:U2582"/>
    <mergeCell ref="B2583:D2583"/>
    <mergeCell ref="F2583:G2583"/>
    <mergeCell ref="J2583:N2583"/>
    <mergeCell ref="T2583:U2583"/>
    <mergeCell ref="B2584:D2584"/>
    <mergeCell ref="F2584:G2584"/>
    <mergeCell ref="J2584:N2584"/>
    <mergeCell ref="T2584:U2584"/>
    <mergeCell ref="B2585:D2585"/>
    <mergeCell ref="F2585:G2585"/>
    <mergeCell ref="J2585:N2585"/>
    <mergeCell ref="T2585:U2585"/>
    <mergeCell ref="B2586:D2586"/>
    <mergeCell ref="F2586:G2586"/>
    <mergeCell ref="J2586:N2586"/>
    <mergeCell ref="T2586:U2586"/>
    <mergeCell ref="B2587:D2587"/>
    <mergeCell ref="F2587:G2587"/>
    <mergeCell ref="J2587:N2587"/>
    <mergeCell ref="T2587:U2587"/>
    <mergeCell ref="B2588:D2588"/>
    <mergeCell ref="F2588:G2588"/>
    <mergeCell ref="J2588:N2588"/>
    <mergeCell ref="T2588:U2588"/>
    <mergeCell ref="B2589:D2589"/>
    <mergeCell ref="F2589:G2589"/>
    <mergeCell ref="J2589:N2589"/>
    <mergeCell ref="T2589:U2589"/>
    <mergeCell ref="B2590:D2590"/>
    <mergeCell ref="F2590:G2590"/>
    <mergeCell ref="J2590:N2590"/>
    <mergeCell ref="T2590:U2590"/>
    <mergeCell ref="B2573:D2573"/>
    <mergeCell ref="F2573:G2573"/>
    <mergeCell ref="J2573:N2573"/>
    <mergeCell ref="T2573:U2573"/>
    <mergeCell ref="B2574:D2574"/>
    <mergeCell ref="F2574:G2574"/>
    <mergeCell ref="J2574:N2574"/>
    <mergeCell ref="T2574:U2574"/>
    <mergeCell ref="B2575:D2575"/>
    <mergeCell ref="F2575:G2575"/>
    <mergeCell ref="J2575:N2575"/>
    <mergeCell ref="T2575:U2575"/>
    <mergeCell ref="B2576:D2576"/>
    <mergeCell ref="F2576:G2576"/>
    <mergeCell ref="J2576:N2576"/>
    <mergeCell ref="T2576:U2576"/>
    <mergeCell ref="B2577:D2577"/>
    <mergeCell ref="F2577:G2577"/>
    <mergeCell ref="J2577:N2577"/>
    <mergeCell ref="T2577:U2577"/>
    <mergeCell ref="A2578:J2578"/>
    <mergeCell ref="K2578:O2578"/>
    <mergeCell ref="T2578:U2578"/>
    <mergeCell ref="B2579:D2579"/>
    <mergeCell ref="F2579:G2579"/>
    <mergeCell ref="J2579:N2579"/>
    <mergeCell ref="T2579:U2579"/>
    <mergeCell ref="B2580:D2580"/>
    <mergeCell ref="F2580:G2580"/>
    <mergeCell ref="J2580:N2580"/>
    <mergeCell ref="T2580:U2580"/>
    <mergeCell ref="B2581:D2581"/>
    <mergeCell ref="F2581:G2581"/>
    <mergeCell ref="J2581:N2581"/>
    <mergeCell ref="T2581:U2581"/>
    <mergeCell ref="B2564:D2564"/>
    <mergeCell ref="F2564:G2564"/>
    <mergeCell ref="J2564:N2564"/>
    <mergeCell ref="T2564:U2564"/>
    <mergeCell ref="B2565:D2565"/>
    <mergeCell ref="F2565:G2565"/>
    <mergeCell ref="J2565:N2565"/>
    <mergeCell ref="T2565:U2565"/>
    <mergeCell ref="B2566:D2566"/>
    <mergeCell ref="F2566:G2566"/>
    <mergeCell ref="J2566:N2566"/>
    <mergeCell ref="T2566:U2566"/>
    <mergeCell ref="B2567:D2567"/>
    <mergeCell ref="F2567:G2567"/>
    <mergeCell ref="J2567:N2567"/>
    <mergeCell ref="T2567:U2567"/>
    <mergeCell ref="B2568:D2568"/>
    <mergeCell ref="F2568:G2568"/>
    <mergeCell ref="J2568:N2568"/>
    <mergeCell ref="T2568:U2568"/>
    <mergeCell ref="B2569:D2569"/>
    <mergeCell ref="F2569:G2569"/>
    <mergeCell ref="J2569:N2569"/>
    <mergeCell ref="T2569:U2569"/>
    <mergeCell ref="B2570:D2570"/>
    <mergeCell ref="F2570:G2570"/>
    <mergeCell ref="J2570:N2570"/>
    <mergeCell ref="T2570:U2570"/>
    <mergeCell ref="B2571:D2571"/>
    <mergeCell ref="F2571:G2571"/>
    <mergeCell ref="J2571:N2571"/>
    <mergeCell ref="T2571:U2571"/>
    <mergeCell ref="B2572:D2572"/>
    <mergeCell ref="F2572:G2572"/>
    <mergeCell ref="J2572:N2572"/>
    <mergeCell ref="T2572:U2572"/>
    <mergeCell ref="B2555:D2555"/>
    <mergeCell ref="F2555:G2555"/>
    <mergeCell ref="J2555:N2555"/>
    <mergeCell ref="T2555:U2555"/>
    <mergeCell ref="B2556:D2556"/>
    <mergeCell ref="F2556:G2556"/>
    <mergeCell ref="J2556:N2556"/>
    <mergeCell ref="T2556:U2556"/>
    <mergeCell ref="B2557:D2557"/>
    <mergeCell ref="F2557:G2557"/>
    <mergeCell ref="J2557:N2557"/>
    <mergeCell ref="T2557:U2557"/>
    <mergeCell ref="B2558:D2558"/>
    <mergeCell ref="F2558:G2558"/>
    <mergeCell ref="J2558:N2558"/>
    <mergeCell ref="T2558:U2558"/>
    <mergeCell ref="B2559:D2559"/>
    <mergeCell ref="F2559:G2559"/>
    <mergeCell ref="J2559:N2559"/>
    <mergeCell ref="T2559:U2559"/>
    <mergeCell ref="B2560:D2560"/>
    <mergeCell ref="F2560:G2560"/>
    <mergeCell ref="J2560:N2560"/>
    <mergeCell ref="T2560:U2560"/>
    <mergeCell ref="B2561:D2561"/>
    <mergeCell ref="F2561:G2561"/>
    <mergeCell ref="J2561:N2561"/>
    <mergeCell ref="T2561:U2561"/>
    <mergeCell ref="B2562:D2562"/>
    <mergeCell ref="F2562:G2562"/>
    <mergeCell ref="J2562:N2562"/>
    <mergeCell ref="T2562:U2562"/>
    <mergeCell ref="B2563:D2563"/>
    <mergeCell ref="F2563:G2563"/>
    <mergeCell ref="J2563:N2563"/>
    <mergeCell ref="T2563:U2563"/>
    <mergeCell ref="B2546:D2546"/>
    <mergeCell ref="F2546:G2546"/>
    <mergeCell ref="J2546:N2546"/>
    <mergeCell ref="T2546:U2546"/>
    <mergeCell ref="B2547:D2547"/>
    <mergeCell ref="F2547:G2547"/>
    <mergeCell ref="J2547:N2547"/>
    <mergeCell ref="T2547:U2547"/>
    <mergeCell ref="B2548:D2548"/>
    <mergeCell ref="F2548:G2548"/>
    <mergeCell ref="J2548:N2548"/>
    <mergeCell ref="T2548:U2548"/>
    <mergeCell ref="B2549:D2549"/>
    <mergeCell ref="F2549:G2549"/>
    <mergeCell ref="J2549:N2549"/>
    <mergeCell ref="T2549:U2549"/>
    <mergeCell ref="B2550:D2550"/>
    <mergeCell ref="F2550:G2550"/>
    <mergeCell ref="J2550:N2550"/>
    <mergeCell ref="T2550:U2550"/>
    <mergeCell ref="B2551:D2551"/>
    <mergeCell ref="F2551:G2551"/>
    <mergeCell ref="J2551:N2551"/>
    <mergeCell ref="T2551:U2551"/>
    <mergeCell ref="B2552:D2552"/>
    <mergeCell ref="F2552:G2552"/>
    <mergeCell ref="J2552:N2552"/>
    <mergeCell ref="T2552:U2552"/>
    <mergeCell ref="B2553:D2553"/>
    <mergeCell ref="F2553:G2553"/>
    <mergeCell ref="J2553:N2553"/>
    <mergeCell ref="T2553:U2553"/>
    <mergeCell ref="B2554:D2554"/>
    <mergeCell ref="F2554:G2554"/>
    <mergeCell ref="J2554:N2554"/>
    <mergeCell ref="T2554:U2554"/>
    <mergeCell ref="B2537:D2537"/>
    <mergeCell ref="F2537:G2537"/>
    <mergeCell ref="J2537:N2537"/>
    <mergeCell ref="T2537:U2537"/>
    <mergeCell ref="B2538:D2538"/>
    <mergeCell ref="F2538:G2538"/>
    <mergeCell ref="J2538:N2538"/>
    <mergeCell ref="T2538:U2538"/>
    <mergeCell ref="B2539:D2539"/>
    <mergeCell ref="F2539:G2539"/>
    <mergeCell ref="J2539:N2539"/>
    <mergeCell ref="T2539:U2539"/>
    <mergeCell ref="B2540:D2540"/>
    <mergeCell ref="F2540:G2540"/>
    <mergeCell ref="J2540:N2540"/>
    <mergeCell ref="T2540:U2540"/>
    <mergeCell ref="B2541:D2541"/>
    <mergeCell ref="F2541:G2541"/>
    <mergeCell ref="J2541:N2541"/>
    <mergeCell ref="T2541:U2541"/>
    <mergeCell ref="B2542:D2542"/>
    <mergeCell ref="F2542:G2542"/>
    <mergeCell ref="J2542:N2542"/>
    <mergeCell ref="T2542:U2542"/>
    <mergeCell ref="B2543:D2543"/>
    <mergeCell ref="F2543:G2543"/>
    <mergeCell ref="J2543:N2543"/>
    <mergeCell ref="T2543:U2543"/>
    <mergeCell ref="B2544:D2544"/>
    <mergeCell ref="F2544:G2544"/>
    <mergeCell ref="J2544:N2544"/>
    <mergeCell ref="T2544:U2544"/>
    <mergeCell ref="B2545:D2545"/>
    <mergeCell ref="F2545:G2545"/>
    <mergeCell ref="J2545:N2545"/>
    <mergeCell ref="T2545:U2545"/>
    <mergeCell ref="B2528:D2528"/>
    <mergeCell ref="F2528:G2528"/>
    <mergeCell ref="J2528:N2528"/>
    <mergeCell ref="T2528:U2528"/>
    <mergeCell ref="B2529:D2529"/>
    <mergeCell ref="F2529:G2529"/>
    <mergeCell ref="J2529:N2529"/>
    <mergeCell ref="T2529:U2529"/>
    <mergeCell ref="B2530:D2530"/>
    <mergeCell ref="F2530:G2530"/>
    <mergeCell ref="J2530:N2530"/>
    <mergeCell ref="T2530:U2530"/>
    <mergeCell ref="B2531:D2531"/>
    <mergeCell ref="F2531:G2531"/>
    <mergeCell ref="J2531:N2531"/>
    <mergeCell ref="T2531:U2531"/>
    <mergeCell ref="B2532:D2532"/>
    <mergeCell ref="F2532:G2532"/>
    <mergeCell ref="J2532:N2532"/>
    <mergeCell ref="T2532:U2532"/>
    <mergeCell ref="B2533:D2533"/>
    <mergeCell ref="F2533:G2533"/>
    <mergeCell ref="J2533:N2533"/>
    <mergeCell ref="T2533:U2533"/>
    <mergeCell ref="B2534:D2534"/>
    <mergeCell ref="F2534:G2534"/>
    <mergeCell ref="J2534:N2534"/>
    <mergeCell ref="T2534:U2534"/>
    <mergeCell ref="B2535:D2535"/>
    <mergeCell ref="F2535:G2535"/>
    <mergeCell ref="J2535:N2535"/>
    <mergeCell ref="T2535:U2535"/>
    <mergeCell ref="B2536:D2536"/>
    <mergeCell ref="F2536:G2536"/>
    <mergeCell ref="J2536:N2536"/>
    <mergeCell ref="T2536:U2536"/>
    <mergeCell ref="B2519:D2519"/>
    <mergeCell ref="F2519:G2519"/>
    <mergeCell ref="J2519:N2519"/>
    <mergeCell ref="T2519:U2519"/>
    <mergeCell ref="B2520:D2520"/>
    <mergeCell ref="F2520:G2520"/>
    <mergeCell ref="J2520:N2520"/>
    <mergeCell ref="T2520:U2520"/>
    <mergeCell ref="B2521:D2521"/>
    <mergeCell ref="F2521:G2521"/>
    <mergeCell ref="J2521:N2521"/>
    <mergeCell ref="T2521:U2521"/>
    <mergeCell ref="B2522:D2522"/>
    <mergeCell ref="F2522:G2522"/>
    <mergeCell ref="J2522:N2522"/>
    <mergeCell ref="T2522:U2522"/>
    <mergeCell ref="B2523:D2523"/>
    <mergeCell ref="F2523:G2523"/>
    <mergeCell ref="J2523:N2523"/>
    <mergeCell ref="T2523:U2523"/>
    <mergeCell ref="B2524:D2524"/>
    <mergeCell ref="F2524:G2524"/>
    <mergeCell ref="J2524:N2524"/>
    <mergeCell ref="T2524:U2524"/>
    <mergeCell ref="B2525:D2525"/>
    <mergeCell ref="F2525:G2525"/>
    <mergeCell ref="J2525:N2525"/>
    <mergeCell ref="T2525:U2525"/>
    <mergeCell ref="B2526:D2526"/>
    <mergeCell ref="F2526:G2526"/>
    <mergeCell ref="J2526:N2526"/>
    <mergeCell ref="T2526:U2526"/>
    <mergeCell ref="B2527:D2527"/>
    <mergeCell ref="F2527:G2527"/>
    <mergeCell ref="J2527:N2527"/>
    <mergeCell ref="T2527:U2527"/>
    <mergeCell ref="B2510:D2510"/>
    <mergeCell ref="F2510:G2510"/>
    <mergeCell ref="J2510:N2510"/>
    <mergeCell ref="T2510:U2510"/>
    <mergeCell ref="B2511:D2511"/>
    <mergeCell ref="F2511:G2511"/>
    <mergeCell ref="J2511:N2511"/>
    <mergeCell ref="T2511:U2511"/>
    <mergeCell ref="B2512:D2512"/>
    <mergeCell ref="F2512:G2512"/>
    <mergeCell ref="J2512:N2512"/>
    <mergeCell ref="T2512:U2512"/>
    <mergeCell ref="B2513:D2513"/>
    <mergeCell ref="F2513:G2513"/>
    <mergeCell ref="J2513:N2513"/>
    <mergeCell ref="T2513:U2513"/>
    <mergeCell ref="B2514:D2514"/>
    <mergeCell ref="F2514:G2514"/>
    <mergeCell ref="J2514:N2514"/>
    <mergeCell ref="T2514:U2514"/>
    <mergeCell ref="A2515:J2515"/>
    <mergeCell ref="K2515:O2515"/>
    <mergeCell ref="T2515:U2515"/>
    <mergeCell ref="B2516:D2516"/>
    <mergeCell ref="F2516:G2516"/>
    <mergeCell ref="J2516:N2516"/>
    <mergeCell ref="T2516:U2516"/>
    <mergeCell ref="B2517:D2517"/>
    <mergeCell ref="F2517:G2517"/>
    <mergeCell ref="J2517:N2517"/>
    <mergeCell ref="T2517:U2517"/>
    <mergeCell ref="B2518:D2518"/>
    <mergeCell ref="F2518:G2518"/>
    <mergeCell ref="J2518:N2518"/>
    <mergeCell ref="T2518:U2518"/>
    <mergeCell ref="B2501:D2501"/>
    <mergeCell ref="F2501:G2501"/>
    <mergeCell ref="J2501:N2501"/>
    <mergeCell ref="T2501:U2501"/>
    <mergeCell ref="B2502:D2502"/>
    <mergeCell ref="F2502:G2502"/>
    <mergeCell ref="J2502:N2502"/>
    <mergeCell ref="T2502:U2502"/>
    <mergeCell ref="B2503:D2503"/>
    <mergeCell ref="F2503:G2503"/>
    <mergeCell ref="J2503:N2503"/>
    <mergeCell ref="T2503:U2503"/>
    <mergeCell ref="B2504:D2504"/>
    <mergeCell ref="F2504:G2504"/>
    <mergeCell ref="J2504:N2504"/>
    <mergeCell ref="T2504:U2504"/>
    <mergeCell ref="B2505:D2505"/>
    <mergeCell ref="F2505:G2505"/>
    <mergeCell ref="J2505:N2505"/>
    <mergeCell ref="T2505:U2505"/>
    <mergeCell ref="B2506:D2506"/>
    <mergeCell ref="F2506:G2506"/>
    <mergeCell ref="J2506:N2506"/>
    <mergeCell ref="T2506:U2506"/>
    <mergeCell ref="B2507:D2507"/>
    <mergeCell ref="F2507:G2507"/>
    <mergeCell ref="J2507:N2507"/>
    <mergeCell ref="T2507:U2507"/>
    <mergeCell ref="B2508:D2508"/>
    <mergeCell ref="F2508:G2508"/>
    <mergeCell ref="J2508:N2508"/>
    <mergeCell ref="T2508:U2508"/>
    <mergeCell ref="B2509:D2509"/>
    <mergeCell ref="F2509:G2509"/>
    <mergeCell ref="J2509:N2509"/>
    <mergeCell ref="T2509:U2509"/>
    <mergeCell ref="B2492:D2492"/>
    <mergeCell ref="F2492:G2492"/>
    <mergeCell ref="J2492:N2492"/>
    <mergeCell ref="T2492:U2492"/>
    <mergeCell ref="B2493:D2493"/>
    <mergeCell ref="F2493:G2493"/>
    <mergeCell ref="J2493:N2493"/>
    <mergeCell ref="T2493:U2493"/>
    <mergeCell ref="B2494:D2494"/>
    <mergeCell ref="F2494:G2494"/>
    <mergeCell ref="J2494:N2494"/>
    <mergeCell ref="T2494:U2494"/>
    <mergeCell ref="B2495:D2495"/>
    <mergeCell ref="F2495:G2495"/>
    <mergeCell ref="J2495:N2495"/>
    <mergeCell ref="T2495:U2495"/>
    <mergeCell ref="B2496:D2496"/>
    <mergeCell ref="F2496:G2496"/>
    <mergeCell ref="J2496:N2496"/>
    <mergeCell ref="T2496:U2496"/>
    <mergeCell ref="B2497:D2497"/>
    <mergeCell ref="F2497:G2497"/>
    <mergeCell ref="J2497:N2497"/>
    <mergeCell ref="T2497:U2497"/>
    <mergeCell ref="B2498:D2498"/>
    <mergeCell ref="F2498:G2498"/>
    <mergeCell ref="J2498:N2498"/>
    <mergeCell ref="T2498:U2498"/>
    <mergeCell ref="B2499:D2499"/>
    <mergeCell ref="F2499:G2499"/>
    <mergeCell ref="J2499:N2499"/>
    <mergeCell ref="T2499:U2499"/>
    <mergeCell ref="B2500:D2500"/>
    <mergeCell ref="F2500:G2500"/>
    <mergeCell ref="J2500:N2500"/>
    <mergeCell ref="T2500:U2500"/>
    <mergeCell ref="B2483:D2483"/>
    <mergeCell ref="F2483:G2483"/>
    <mergeCell ref="J2483:N2483"/>
    <mergeCell ref="T2483:U2483"/>
    <mergeCell ref="B2484:D2484"/>
    <mergeCell ref="F2484:G2484"/>
    <mergeCell ref="J2484:N2484"/>
    <mergeCell ref="T2484:U2484"/>
    <mergeCell ref="B2485:D2485"/>
    <mergeCell ref="F2485:G2485"/>
    <mergeCell ref="J2485:N2485"/>
    <mergeCell ref="T2485:U2485"/>
    <mergeCell ref="B2486:D2486"/>
    <mergeCell ref="F2486:G2486"/>
    <mergeCell ref="J2486:N2486"/>
    <mergeCell ref="T2486:U2486"/>
    <mergeCell ref="B2487:D2487"/>
    <mergeCell ref="F2487:G2487"/>
    <mergeCell ref="J2487:N2487"/>
    <mergeCell ref="T2487:U2487"/>
    <mergeCell ref="B2488:D2488"/>
    <mergeCell ref="F2488:G2488"/>
    <mergeCell ref="J2488:N2488"/>
    <mergeCell ref="T2488:U2488"/>
    <mergeCell ref="B2489:D2489"/>
    <mergeCell ref="F2489:G2489"/>
    <mergeCell ref="J2489:N2489"/>
    <mergeCell ref="T2489:U2489"/>
    <mergeCell ref="B2490:D2490"/>
    <mergeCell ref="F2490:G2490"/>
    <mergeCell ref="J2490:N2490"/>
    <mergeCell ref="T2490:U2490"/>
    <mergeCell ref="B2491:D2491"/>
    <mergeCell ref="F2491:G2491"/>
    <mergeCell ref="J2491:N2491"/>
    <mergeCell ref="T2491:U2491"/>
    <mergeCell ref="B2474:D2474"/>
    <mergeCell ref="F2474:G2474"/>
    <mergeCell ref="J2474:N2474"/>
    <mergeCell ref="T2474:U2474"/>
    <mergeCell ref="B2475:D2475"/>
    <mergeCell ref="F2475:G2475"/>
    <mergeCell ref="J2475:N2475"/>
    <mergeCell ref="T2475:U2475"/>
    <mergeCell ref="B2476:D2476"/>
    <mergeCell ref="F2476:G2476"/>
    <mergeCell ref="J2476:N2476"/>
    <mergeCell ref="T2476:U2476"/>
    <mergeCell ref="B2477:D2477"/>
    <mergeCell ref="F2477:G2477"/>
    <mergeCell ref="J2477:N2477"/>
    <mergeCell ref="T2477:U2477"/>
    <mergeCell ref="B2478:D2478"/>
    <mergeCell ref="F2478:G2478"/>
    <mergeCell ref="J2478:N2478"/>
    <mergeCell ref="T2478:U2478"/>
    <mergeCell ref="B2479:D2479"/>
    <mergeCell ref="F2479:G2479"/>
    <mergeCell ref="J2479:N2479"/>
    <mergeCell ref="T2479:U2479"/>
    <mergeCell ref="B2480:D2480"/>
    <mergeCell ref="F2480:G2480"/>
    <mergeCell ref="J2480:N2480"/>
    <mergeCell ref="T2480:U2480"/>
    <mergeCell ref="B2481:D2481"/>
    <mergeCell ref="F2481:G2481"/>
    <mergeCell ref="J2481:N2481"/>
    <mergeCell ref="T2481:U2481"/>
    <mergeCell ref="B2482:D2482"/>
    <mergeCell ref="F2482:G2482"/>
    <mergeCell ref="J2482:N2482"/>
    <mergeCell ref="T2482:U2482"/>
    <mergeCell ref="B2464:D2464"/>
    <mergeCell ref="F2464:G2464"/>
    <mergeCell ref="J2464:N2464"/>
    <mergeCell ref="T2464:U2464"/>
    <mergeCell ref="B2465:D2465"/>
    <mergeCell ref="F2465:G2465"/>
    <mergeCell ref="J2465:N2465"/>
    <mergeCell ref="T2465:U2465"/>
    <mergeCell ref="B2466:D2466"/>
    <mergeCell ref="F2466:G2466"/>
    <mergeCell ref="J2466:N2466"/>
    <mergeCell ref="T2466:U2466"/>
    <mergeCell ref="B2467:D2467"/>
    <mergeCell ref="F2467:G2467"/>
    <mergeCell ref="J2467:N2467"/>
    <mergeCell ref="T2467:U2467"/>
    <mergeCell ref="B2468:D2468"/>
    <mergeCell ref="F2468:G2468"/>
    <mergeCell ref="J2468:N2468"/>
    <mergeCell ref="T2468:U2468"/>
    <mergeCell ref="B2469:D2469"/>
    <mergeCell ref="F2469:G2469"/>
    <mergeCell ref="J2469:N2469"/>
    <mergeCell ref="T2469:U2469"/>
    <mergeCell ref="B2470:D2470"/>
    <mergeCell ref="F2470:G2470"/>
    <mergeCell ref="J2470:N2470"/>
    <mergeCell ref="T2470:U2470"/>
    <mergeCell ref="B2471:D2471"/>
    <mergeCell ref="F2471:G2471"/>
    <mergeCell ref="J2471:N2471"/>
    <mergeCell ref="T2471:U2471"/>
    <mergeCell ref="B2472:D2472"/>
    <mergeCell ref="F2472:G2473"/>
    <mergeCell ref="J2472:N2472"/>
    <mergeCell ref="T2472:U2472"/>
    <mergeCell ref="B2455:D2455"/>
    <mergeCell ref="F2455:G2455"/>
    <mergeCell ref="J2455:N2455"/>
    <mergeCell ref="T2455:U2455"/>
    <mergeCell ref="B2456:D2456"/>
    <mergeCell ref="F2456:G2456"/>
    <mergeCell ref="J2456:N2456"/>
    <mergeCell ref="T2456:U2456"/>
    <mergeCell ref="B2457:D2457"/>
    <mergeCell ref="F2457:G2457"/>
    <mergeCell ref="J2457:N2457"/>
    <mergeCell ref="T2457:U2457"/>
    <mergeCell ref="B2458:D2458"/>
    <mergeCell ref="F2458:G2458"/>
    <mergeCell ref="J2458:N2458"/>
    <mergeCell ref="T2458:U2458"/>
    <mergeCell ref="B2459:D2459"/>
    <mergeCell ref="F2459:G2459"/>
    <mergeCell ref="J2459:N2459"/>
    <mergeCell ref="T2459:U2459"/>
    <mergeCell ref="B2460:D2460"/>
    <mergeCell ref="F2460:G2460"/>
    <mergeCell ref="J2460:N2460"/>
    <mergeCell ref="T2460:U2460"/>
    <mergeCell ref="B2461:D2461"/>
    <mergeCell ref="F2461:G2461"/>
    <mergeCell ref="J2461:N2461"/>
    <mergeCell ref="T2461:U2461"/>
    <mergeCell ref="B2462:D2462"/>
    <mergeCell ref="F2462:G2462"/>
    <mergeCell ref="J2462:N2462"/>
    <mergeCell ref="T2462:U2462"/>
    <mergeCell ref="B2463:D2463"/>
    <mergeCell ref="F2463:G2463"/>
    <mergeCell ref="J2463:N2463"/>
    <mergeCell ref="T2463:U2463"/>
    <mergeCell ref="B2446:D2446"/>
    <mergeCell ref="F2446:G2446"/>
    <mergeCell ref="J2446:N2446"/>
    <mergeCell ref="T2446:U2446"/>
    <mergeCell ref="B2447:D2447"/>
    <mergeCell ref="F2447:G2447"/>
    <mergeCell ref="J2447:N2447"/>
    <mergeCell ref="T2447:U2447"/>
    <mergeCell ref="B2448:D2448"/>
    <mergeCell ref="F2448:G2448"/>
    <mergeCell ref="J2448:N2448"/>
    <mergeCell ref="T2448:U2448"/>
    <mergeCell ref="B2449:D2449"/>
    <mergeCell ref="F2449:G2449"/>
    <mergeCell ref="J2449:N2449"/>
    <mergeCell ref="T2449:U2449"/>
    <mergeCell ref="B2450:D2450"/>
    <mergeCell ref="F2450:G2450"/>
    <mergeCell ref="J2450:N2450"/>
    <mergeCell ref="T2450:U2450"/>
    <mergeCell ref="B2451:D2451"/>
    <mergeCell ref="F2451:G2451"/>
    <mergeCell ref="J2451:N2451"/>
    <mergeCell ref="T2451:U2451"/>
    <mergeCell ref="B2452:D2452"/>
    <mergeCell ref="F2452:G2452"/>
    <mergeCell ref="J2452:N2452"/>
    <mergeCell ref="T2452:U2452"/>
    <mergeCell ref="B2453:D2453"/>
    <mergeCell ref="F2453:G2453"/>
    <mergeCell ref="J2453:N2453"/>
    <mergeCell ref="T2453:U2453"/>
    <mergeCell ref="B2454:D2454"/>
    <mergeCell ref="F2454:G2454"/>
    <mergeCell ref="J2454:N2454"/>
    <mergeCell ref="T2454:U2454"/>
    <mergeCell ref="B2437:D2437"/>
    <mergeCell ref="F2437:G2437"/>
    <mergeCell ref="J2437:N2437"/>
    <mergeCell ref="T2437:U2437"/>
    <mergeCell ref="B2438:D2438"/>
    <mergeCell ref="F2438:G2438"/>
    <mergeCell ref="J2438:N2438"/>
    <mergeCell ref="T2438:U2438"/>
    <mergeCell ref="B2439:D2439"/>
    <mergeCell ref="F2439:G2439"/>
    <mergeCell ref="J2439:N2439"/>
    <mergeCell ref="T2439:U2439"/>
    <mergeCell ref="B2440:D2440"/>
    <mergeCell ref="F2440:G2440"/>
    <mergeCell ref="J2440:N2440"/>
    <mergeCell ref="T2440:U2440"/>
    <mergeCell ref="B2441:D2441"/>
    <mergeCell ref="F2441:G2441"/>
    <mergeCell ref="J2441:N2441"/>
    <mergeCell ref="T2441:U2441"/>
    <mergeCell ref="B2442:D2442"/>
    <mergeCell ref="F2442:G2442"/>
    <mergeCell ref="J2442:N2442"/>
    <mergeCell ref="T2442:U2442"/>
    <mergeCell ref="B2443:D2443"/>
    <mergeCell ref="F2443:G2443"/>
    <mergeCell ref="J2443:N2443"/>
    <mergeCell ref="T2443:U2443"/>
    <mergeCell ref="B2444:D2444"/>
    <mergeCell ref="F2444:G2444"/>
    <mergeCell ref="J2444:N2444"/>
    <mergeCell ref="T2444:U2444"/>
    <mergeCell ref="B2445:D2445"/>
    <mergeCell ref="F2445:G2445"/>
    <mergeCell ref="J2445:N2445"/>
    <mergeCell ref="T2445:U2445"/>
    <mergeCell ref="B2428:D2428"/>
    <mergeCell ref="F2428:G2428"/>
    <mergeCell ref="J2428:N2428"/>
    <mergeCell ref="T2428:U2428"/>
    <mergeCell ref="B2429:D2429"/>
    <mergeCell ref="F2429:G2429"/>
    <mergeCell ref="J2429:N2429"/>
    <mergeCell ref="T2429:U2429"/>
    <mergeCell ref="B2430:D2430"/>
    <mergeCell ref="F2430:G2430"/>
    <mergeCell ref="J2430:N2430"/>
    <mergeCell ref="T2430:U2430"/>
    <mergeCell ref="B2431:D2431"/>
    <mergeCell ref="F2431:G2431"/>
    <mergeCell ref="J2431:N2431"/>
    <mergeCell ref="T2431:U2431"/>
    <mergeCell ref="B2432:D2432"/>
    <mergeCell ref="F2432:G2432"/>
    <mergeCell ref="J2432:N2432"/>
    <mergeCell ref="T2432:U2432"/>
    <mergeCell ref="B2433:D2433"/>
    <mergeCell ref="F2433:G2433"/>
    <mergeCell ref="J2433:N2433"/>
    <mergeCell ref="T2433:U2433"/>
    <mergeCell ref="B2434:D2434"/>
    <mergeCell ref="F2434:G2434"/>
    <mergeCell ref="J2434:N2434"/>
    <mergeCell ref="T2434:U2434"/>
    <mergeCell ref="B2435:D2435"/>
    <mergeCell ref="F2435:G2435"/>
    <mergeCell ref="J2435:N2435"/>
    <mergeCell ref="T2435:U2435"/>
    <mergeCell ref="B2436:D2436"/>
    <mergeCell ref="F2436:G2436"/>
    <mergeCell ref="J2436:N2436"/>
    <mergeCell ref="T2436:U2436"/>
    <mergeCell ref="B2419:D2419"/>
    <mergeCell ref="F2419:G2419"/>
    <mergeCell ref="J2419:N2419"/>
    <mergeCell ref="T2419:U2419"/>
    <mergeCell ref="B2420:D2420"/>
    <mergeCell ref="F2420:G2420"/>
    <mergeCell ref="J2420:N2420"/>
    <mergeCell ref="T2420:U2420"/>
    <mergeCell ref="B2421:D2421"/>
    <mergeCell ref="F2421:G2421"/>
    <mergeCell ref="J2421:N2421"/>
    <mergeCell ref="T2421:U2421"/>
    <mergeCell ref="B2422:D2422"/>
    <mergeCell ref="F2422:G2422"/>
    <mergeCell ref="J2422:N2422"/>
    <mergeCell ref="T2422:U2422"/>
    <mergeCell ref="B2423:D2423"/>
    <mergeCell ref="F2423:G2423"/>
    <mergeCell ref="J2423:N2423"/>
    <mergeCell ref="T2423:U2423"/>
    <mergeCell ref="B2424:D2424"/>
    <mergeCell ref="F2424:G2424"/>
    <mergeCell ref="J2424:N2424"/>
    <mergeCell ref="T2424:U2424"/>
    <mergeCell ref="B2425:D2425"/>
    <mergeCell ref="F2425:G2425"/>
    <mergeCell ref="J2425:N2425"/>
    <mergeCell ref="T2425:U2425"/>
    <mergeCell ref="B2426:D2426"/>
    <mergeCell ref="F2426:G2426"/>
    <mergeCell ref="J2426:N2426"/>
    <mergeCell ref="T2426:U2426"/>
    <mergeCell ref="B2427:D2427"/>
    <mergeCell ref="F2427:G2427"/>
    <mergeCell ref="J2427:N2427"/>
    <mergeCell ref="T2427:U2427"/>
    <mergeCell ref="B2410:D2410"/>
    <mergeCell ref="F2410:G2410"/>
    <mergeCell ref="J2410:N2410"/>
    <mergeCell ref="T2410:U2410"/>
    <mergeCell ref="B2411:D2411"/>
    <mergeCell ref="F2411:G2411"/>
    <mergeCell ref="J2411:N2411"/>
    <mergeCell ref="T2411:U2411"/>
    <mergeCell ref="A2412:J2412"/>
    <mergeCell ref="K2412:O2412"/>
    <mergeCell ref="T2412:U2412"/>
    <mergeCell ref="B2413:D2413"/>
    <mergeCell ref="F2413:G2413"/>
    <mergeCell ref="J2413:N2413"/>
    <mergeCell ref="T2413:U2413"/>
    <mergeCell ref="B2414:D2414"/>
    <mergeCell ref="F2414:G2414"/>
    <mergeCell ref="J2414:N2414"/>
    <mergeCell ref="T2414:U2414"/>
    <mergeCell ref="B2415:D2415"/>
    <mergeCell ref="F2415:G2415"/>
    <mergeCell ref="J2415:N2415"/>
    <mergeCell ref="T2415:U2415"/>
    <mergeCell ref="B2416:D2416"/>
    <mergeCell ref="F2416:G2416"/>
    <mergeCell ref="J2416:N2416"/>
    <mergeCell ref="T2416:U2416"/>
    <mergeCell ref="B2417:D2417"/>
    <mergeCell ref="F2417:G2417"/>
    <mergeCell ref="J2417:N2417"/>
    <mergeCell ref="T2417:U2417"/>
    <mergeCell ref="B2418:D2418"/>
    <mergeCell ref="F2418:G2418"/>
    <mergeCell ref="J2418:N2418"/>
    <mergeCell ref="T2418:U2418"/>
    <mergeCell ref="B2401:D2401"/>
    <mergeCell ref="F2401:G2401"/>
    <mergeCell ref="J2401:N2401"/>
    <mergeCell ref="T2401:U2401"/>
    <mergeCell ref="B2402:D2402"/>
    <mergeCell ref="F2402:G2402"/>
    <mergeCell ref="J2402:N2402"/>
    <mergeCell ref="T2402:U2402"/>
    <mergeCell ref="B2403:D2403"/>
    <mergeCell ref="F2403:G2403"/>
    <mergeCell ref="J2403:N2403"/>
    <mergeCell ref="T2403:U2403"/>
    <mergeCell ref="B2404:D2404"/>
    <mergeCell ref="F2404:G2404"/>
    <mergeCell ref="J2404:N2404"/>
    <mergeCell ref="T2404:U2404"/>
    <mergeCell ref="B2405:D2405"/>
    <mergeCell ref="F2405:G2405"/>
    <mergeCell ref="J2405:N2405"/>
    <mergeCell ref="T2405:U2405"/>
    <mergeCell ref="B2406:D2406"/>
    <mergeCell ref="F2406:G2406"/>
    <mergeCell ref="J2406:N2406"/>
    <mergeCell ref="T2406:U2406"/>
    <mergeCell ref="B2407:D2407"/>
    <mergeCell ref="F2407:G2407"/>
    <mergeCell ref="J2407:N2407"/>
    <mergeCell ref="T2407:U2407"/>
    <mergeCell ref="B2408:D2408"/>
    <mergeCell ref="F2408:G2408"/>
    <mergeCell ref="J2408:N2408"/>
    <mergeCell ref="T2408:U2408"/>
    <mergeCell ref="B2409:D2409"/>
    <mergeCell ref="F2409:G2409"/>
    <mergeCell ref="J2409:N2409"/>
    <mergeCell ref="T2409:U2409"/>
    <mergeCell ref="B2392:D2392"/>
    <mergeCell ref="F2392:G2392"/>
    <mergeCell ref="J2392:N2392"/>
    <mergeCell ref="T2392:U2392"/>
    <mergeCell ref="B2393:D2393"/>
    <mergeCell ref="F2393:G2393"/>
    <mergeCell ref="J2393:N2393"/>
    <mergeCell ref="T2393:U2393"/>
    <mergeCell ref="B2394:D2394"/>
    <mergeCell ref="F2394:G2394"/>
    <mergeCell ref="J2394:N2394"/>
    <mergeCell ref="T2394:U2394"/>
    <mergeCell ref="B2395:D2395"/>
    <mergeCell ref="F2395:G2395"/>
    <mergeCell ref="J2395:N2395"/>
    <mergeCell ref="T2395:U2395"/>
    <mergeCell ref="B2396:D2396"/>
    <mergeCell ref="F2396:G2396"/>
    <mergeCell ref="J2396:N2396"/>
    <mergeCell ref="T2396:U2396"/>
    <mergeCell ref="B2397:D2397"/>
    <mergeCell ref="F2397:G2397"/>
    <mergeCell ref="J2397:N2397"/>
    <mergeCell ref="T2397:U2397"/>
    <mergeCell ref="B2398:D2398"/>
    <mergeCell ref="F2398:G2398"/>
    <mergeCell ref="J2398:N2398"/>
    <mergeCell ref="T2398:U2398"/>
    <mergeCell ref="B2399:D2399"/>
    <mergeCell ref="F2399:G2399"/>
    <mergeCell ref="J2399:N2399"/>
    <mergeCell ref="T2399:U2399"/>
    <mergeCell ref="B2400:D2400"/>
    <mergeCell ref="F2400:G2400"/>
    <mergeCell ref="J2400:N2400"/>
    <mergeCell ref="T2400:U2400"/>
    <mergeCell ref="B2383:D2383"/>
    <mergeCell ref="F2383:G2383"/>
    <mergeCell ref="J2383:N2383"/>
    <mergeCell ref="T2383:U2383"/>
    <mergeCell ref="B2384:D2384"/>
    <mergeCell ref="F2384:G2384"/>
    <mergeCell ref="J2384:N2384"/>
    <mergeCell ref="T2384:U2384"/>
    <mergeCell ref="B2385:D2385"/>
    <mergeCell ref="F2385:G2385"/>
    <mergeCell ref="J2385:N2385"/>
    <mergeCell ref="T2385:U2385"/>
    <mergeCell ref="B2386:D2386"/>
    <mergeCell ref="F2386:G2386"/>
    <mergeCell ref="J2386:N2386"/>
    <mergeCell ref="T2386:U2386"/>
    <mergeCell ref="B2387:D2387"/>
    <mergeCell ref="F2387:G2387"/>
    <mergeCell ref="J2387:N2387"/>
    <mergeCell ref="T2387:U2387"/>
    <mergeCell ref="B2388:D2388"/>
    <mergeCell ref="F2388:G2388"/>
    <mergeCell ref="J2388:N2388"/>
    <mergeCell ref="T2388:U2388"/>
    <mergeCell ref="B2389:D2389"/>
    <mergeCell ref="F2389:G2389"/>
    <mergeCell ref="J2389:N2389"/>
    <mergeCell ref="T2389:U2389"/>
    <mergeCell ref="B2390:D2390"/>
    <mergeCell ref="F2390:G2390"/>
    <mergeCell ref="J2390:N2390"/>
    <mergeCell ref="T2390:U2390"/>
    <mergeCell ref="B2391:D2391"/>
    <mergeCell ref="F2391:G2391"/>
    <mergeCell ref="J2391:N2391"/>
    <mergeCell ref="T2391:U2391"/>
    <mergeCell ref="B2374:D2374"/>
    <mergeCell ref="F2374:G2374"/>
    <mergeCell ref="J2374:N2374"/>
    <mergeCell ref="T2374:U2374"/>
    <mergeCell ref="B2375:D2375"/>
    <mergeCell ref="F2375:G2375"/>
    <mergeCell ref="J2375:N2375"/>
    <mergeCell ref="T2375:U2375"/>
    <mergeCell ref="B2376:D2376"/>
    <mergeCell ref="F2376:G2376"/>
    <mergeCell ref="J2376:N2376"/>
    <mergeCell ref="T2376:U2376"/>
    <mergeCell ref="B2377:D2377"/>
    <mergeCell ref="F2377:G2377"/>
    <mergeCell ref="J2377:N2377"/>
    <mergeCell ref="T2377:U2377"/>
    <mergeCell ref="B2378:D2378"/>
    <mergeCell ref="F2378:G2378"/>
    <mergeCell ref="J2378:N2378"/>
    <mergeCell ref="T2378:U2378"/>
    <mergeCell ref="B2379:D2379"/>
    <mergeCell ref="F2379:G2379"/>
    <mergeCell ref="J2379:N2379"/>
    <mergeCell ref="T2379:U2379"/>
    <mergeCell ref="B2380:D2380"/>
    <mergeCell ref="F2380:G2380"/>
    <mergeCell ref="J2380:N2380"/>
    <mergeCell ref="T2380:U2380"/>
    <mergeCell ref="B2381:D2381"/>
    <mergeCell ref="F2381:G2381"/>
    <mergeCell ref="J2381:N2381"/>
    <mergeCell ref="T2381:U2381"/>
    <mergeCell ref="B2382:D2382"/>
    <mergeCell ref="F2382:G2382"/>
    <mergeCell ref="J2382:N2382"/>
    <mergeCell ref="T2382:U2382"/>
    <mergeCell ref="B2365:D2365"/>
    <mergeCell ref="F2365:G2365"/>
    <mergeCell ref="J2365:N2365"/>
    <mergeCell ref="T2365:U2365"/>
    <mergeCell ref="B2366:D2366"/>
    <mergeCell ref="F2366:G2366"/>
    <mergeCell ref="J2366:N2366"/>
    <mergeCell ref="T2366:U2366"/>
    <mergeCell ref="B2367:D2367"/>
    <mergeCell ref="F2367:G2367"/>
    <mergeCell ref="J2367:N2367"/>
    <mergeCell ref="T2367:U2367"/>
    <mergeCell ref="B2368:D2368"/>
    <mergeCell ref="F2368:G2368"/>
    <mergeCell ref="J2368:N2368"/>
    <mergeCell ref="T2368:U2368"/>
    <mergeCell ref="B2369:D2369"/>
    <mergeCell ref="F2369:G2369"/>
    <mergeCell ref="J2369:N2369"/>
    <mergeCell ref="T2369:U2369"/>
    <mergeCell ref="B2370:D2370"/>
    <mergeCell ref="F2370:G2370"/>
    <mergeCell ref="J2370:N2370"/>
    <mergeCell ref="T2370:U2370"/>
    <mergeCell ref="B2371:D2371"/>
    <mergeCell ref="F2371:G2371"/>
    <mergeCell ref="J2371:N2371"/>
    <mergeCell ref="T2371:U2371"/>
    <mergeCell ref="B2372:D2372"/>
    <mergeCell ref="F2372:G2372"/>
    <mergeCell ref="J2372:N2372"/>
    <mergeCell ref="T2372:U2372"/>
    <mergeCell ref="B2373:D2373"/>
    <mergeCell ref="F2373:G2373"/>
    <mergeCell ref="J2373:N2373"/>
    <mergeCell ref="T2373:U2373"/>
    <mergeCell ref="B2356:D2356"/>
    <mergeCell ref="F2356:G2356"/>
    <mergeCell ref="J2356:N2356"/>
    <mergeCell ref="T2356:U2356"/>
    <mergeCell ref="B2357:D2357"/>
    <mergeCell ref="F2357:G2357"/>
    <mergeCell ref="J2357:N2357"/>
    <mergeCell ref="T2357:U2357"/>
    <mergeCell ref="B2358:D2358"/>
    <mergeCell ref="F2358:G2358"/>
    <mergeCell ref="J2358:N2358"/>
    <mergeCell ref="T2358:U2358"/>
    <mergeCell ref="B2359:D2359"/>
    <mergeCell ref="F2359:G2359"/>
    <mergeCell ref="J2359:N2359"/>
    <mergeCell ref="T2359:U2359"/>
    <mergeCell ref="B2360:D2360"/>
    <mergeCell ref="F2360:G2360"/>
    <mergeCell ref="J2360:N2360"/>
    <mergeCell ref="T2360:U2360"/>
    <mergeCell ref="B2361:D2361"/>
    <mergeCell ref="F2361:G2361"/>
    <mergeCell ref="J2361:N2361"/>
    <mergeCell ref="T2361:U2361"/>
    <mergeCell ref="B2362:D2362"/>
    <mergeCell ref="F2362:G2362"/>
    <mergeCell ref="J2362:N2362"/>
    <mergeCell ref="T2362:U2362"/>
    <mergeCell ref="B2363:D2363"/>
    <mergeCell ref="F2363:G2363"/>
    <mergeCell ref="J2363:N2363"/>
    <mergeCell ref="T2363:U2363"/>
    <mergeCell ref="B2364:D2364"/>
    <mergeCell ref="F2364:G2364"/>
    <mergeCell ref="J2364:N2364"/>
    <mergeCell ref="T2364:U2364"/>
    <mergeCell ref="B2347:D2347"/>
    <mergeCell ref="F2347:G2347"/>
    <mergeCell ref="J2347:N2347"/>
    <mergeCell ref="T2347:U2347"/>
    <mergeCell ref="B2348:D2348"/>
    <mergeCell ref="F2348:G2348"/>
    <mergeCell ref="J2348:N2348"/>
    <mergeCell ref="T2348:U2348"/>
    <mergeCell ref="B2349:D2349"/>
    <mergeCell ref="F2349:G2349"/>
    <mergeCell ref="J2349:N2349"/>
    <mergeCell ref="T2349:U2349"/>
    <mergeCell ref="B2350:D2350"/>
    <mergeCell ref="F2350:G2350"/>
    <mergeCell ref="J2350:N2350"/>
    <mergeCell ref="T2350:U2350"/>
    <mergeCell ref="B2351:D2351"/>
    <mergeCell ref="F2351:G2351"/>
    <mergeCell ref="J2351:N2351"/>
    <mergeCell ref="T2351:U2351"/>
    <mergeCell ref="B2352:D2352"/>
    <mergeCell ref="F2352:G2352"/>
    <mergeCell ref="J2352:N2352"/>
    <mergeCell ref="T2352:U2352"/>
    <mergeCell ref="B2353:D2353"/>
    <mergeCell ref="F2353:G2353"/>
    <mergeCell ref="J2353:N2353"/>
    <mergeCell ref="T2353:U2353"/>
    <mergeCell ref="B2354:D2354"/>
    <mergeCell ref="F2354:G2354"/>
    <mergeCell ref="J2354:N2354"/>
    <mergeCell ref="T2354:U2354"/>
    <mergeCell ref="B2355:D2355"/>
    <mergeCell ref="F2355:G2355"/>
    <mergeCell ref="J2355:N2355"/>
    <mergeCell ref="T2355:U2355"/>
    <mergeCell ref="B2338:D2338"/>
    <mergeCell ref="F2338:G2338"/>
    <mergeCell ref="J2338:N2338"/>
    <mergeCell ref="T2338:U2338"/>
    <mergeCell ref="B2339:D2339"/>
    <mergeCell ref="F2339:G2339"/>
    <mergeCell ref="J2339:N2339"/>
    <mergeCell ref="T2339:U2339"/>
    <mergeCell ref="B2340:D2340"/>
    <mergeCell ref="F2340:G2340"/>
    <mergeCell ref="J2340:N2340"/>
    <mergeCell ref="T2340:U2340"/>
    <mergeCell ref="B2341:D2341"/>
    <mergeCell ref="F2341:G2341"/>
    <mergeCell ref="J2341:N2341"/>
    <mergeCell ref="T2341:U2341"/>
    <mergeCell ref="B2342:D2342"/>
    <mergeCell ref="F2342:G2342"/>
    <mergeCell ref="J2342:N2342"/>
    <mergeCell ref="T2342:U2342"/>
    <mergeCell ref="A2343:J2343"/>
    <mergeCell ref="K2343:O2343"/>
    <mergeCell ref="T2343:U2343"/>
    <mergeCell ref="B2344:D2344"/>
    <mergeCell ref="F2344:G2344"/>
    <mergeCell ref="J2344:N2344"/>
    <mergeCell ref="T2344:U2344"/>
    <mergeCell ref="B2345:D2345"/>
    <mergeCell ref="F2345:G2345"/>
    <mergeCell ref="J2345:N2345"/>
    <mergeCell ref="T2345:U2345"/>
    <mergeCell ref="B2346:D2346"/>
    <mergeCell ref="F2346:G2346"/>
    <mergeCell ref="J2346:N2346"/>
    <mergeCell ref="T2346:U2346"/>
    <mergeCell ref="B2329:D2329"/>
    <mergeCell ref="F2329:G2329"/>
    <mergeCell ref="J2329:N2329"/>
    <mergeCell ref="T2329:U2329"/>
    <mergeCell ref="B2330:D2330"/>
    <mergeCell ref="F2330:G2330"/>
    <mergeCell ref="J2330:N2330"/>
    <mergeCell ref="T2330:U2330"/>
    <mergeCell ref="B2331:D2331"/>
    <mergeCell ref="F2331:G2331"/>
    <mergeCell ref="J2331:N2331"/>
    <mergeCell ref="T2331:U2331"/>
    <mergeCell ref="B2332:D2332"/>
    <mergeCell ref="F2332:G2332"/>
    <mergeCell ref="J2332:N2332"/>
    <mergeCell ref="T2332:U2332"/>
    <mergeCell ref="B2333:D2333"/>
    <mergeCell ref="F2333:G2333"/>
    <mergeCell ref="J2333:N2333"/>
    <mergeCell ref="T2333:U2333"/>
    <mergeCell ref="B2334:D2334"/>
    <mergeCell ref="F2334:G2334"/>
    <mergeCell ref="J2334:N2334"/>
    <mergeCell ref="T2334:U2334"/>
    <mergeCell ref="B2335:D2335"/>
    <mergeCell ref="F2335:G2335"/>
    <mergeCell ref="J2335:N2335"/>
    <mergeCell ref="T2335:U2335"/>
    <mergeCell ref="B2336:D2336"/>
    <mergeCell ref="F2336:G2336"/>
    <mergeCell ref="J2336:N2336"/>
    <mergeCell ref="T2336:U2336"/>
    <mergeCell ref="B2337:D2337"/>
    <mergeCell ref="F2337:G2337"/>
    <mergeCell ref="J2337:N2337"/>
    <mergeCell ref="T2337:U2337"/>
    <mergeCell ref="B2320:D2320"/>
    <mergeCell ref="F2320:G2320"/>
    <mergeCell ref="J2320:N2320"/>
    <mergeCell ref="T2320:U2320"/>
    <mergeCell ref="B2321:D2321"/>
    <mergeCell ref="F2321:G2321"/>
    <mergeCell ref="J2321:N2321"/>
    <mergeCell ref="T2321:U2321"/>
    <mergeCell ref="B2322:D2322"/>
    <mergeCell ref="F2322:G2322"/>
    <mergeCell ref="J2322:N2322"/>
    <mergeCell ref="T2322:U2322"/>
    <mergeCell ref="B2323:D2323"/>
    <mergeCell ref="F2323:G2323"/>
    <mergeCell ref="J2323:N2323"/>
    <mergeCell ref="T2323:U2323"/>
    <mergeCell ref="B2324:D2324"/>
    <mergeCell ref="F2324:G2324"/>
    <mergeCell ref="J2324:N2324"/>
    <mergeCell ref="T2324:U2324"/>
    <mergeCell ref="B2325:D2325"/>
    <mergeCell ref="F2325:G2325"/>
    <mergeCell ref="J2325:N2325"/>
    <mergeCell ref="T2325:U2325"/>
    <mergeCell ref="B2326:D2326"/>
    <mergeCell ref="F2326:G2326"/>
    <mergeCell ref="J2326:N2326"/>
    <mergeCell ref="T2326:U2326"/>
    <mergeCell ref="B2327:D2327"/>
    <mergeCell ref="F2327:G2327"/>
    <mergeCell ref="J2327:N2327"/>
    <mergeCell ref="T2327:U2327"/>
    <mergeCell ref="B2328:D2328"/>
    <mergeCell ref="F2328:G2328"/>
    <mergeCell ref="J2328:N2328"/>
    <mergeCell ref="T2328:U2328"/>
    <mergeCell ref="B2311:D2311"/>
    <mergeCell ref="F2311:G2311"/>
    <mergeCell ref="J2311:N2311"/>
    <mergeCell ref="T2311:U2311"/>
    <mergeCell ref="B2312:D2312"/>
    <mergeCell ref="F2312:G2312"/>
    <mergeCell ref="J2312:N2312"/>
    <mergeCell ref="T2312:U2312"/>
    <mergeCell ref="B2313:D2313"/>
    <mergeCell ref="F2313:G2313"/>
    <mergeCell ref="J2313:N2313"/>
    <mergeCell ref="T2313:U2313"/>
    <mergeCell ref="B2314:D2314"/>
    <mergeCell ref="F2314:G2314"/>
    <mergeCell ref="J2314:N2314"/>
    <mergeCell ref="T2314:U2314"/>
    <mergeCell ref="B2315:D2315"/>
    <mergeCell ref="F2315:G2315"/>
    <mergeCell ref="J2315:N2315"/>
    <mergeCell ref="T2315:U2315"/>
    <mergeCell ref="B2316:D2316"/>
    <mergeCell ref="F2316:G2316"/>
    <mergeCell ref="J2316:N2316"/>
    <mergeCell ref="T2316:U2316"/>
    <mergeCell ref="B2317:D2317"/>
    <mergeCell ref="F2317:G2317"/>
    <mergeCell ref="J2317:N2317"/>
    <mergeCell ref="T2317:U2317"/>
    <mergeCell ref="B2318:D2318"/>
    <mergeCell ref="F2318:G2318"/>
    <mergeCell ref="J2318:N2318"/>
    <mergeCell ref="T2318:U2318"/>
    <mergeCell ref="B2319:D2319"/>
    <mergeCell ref="F2319:G2319"/>
    <mergeCell ref="J2319:N2319"/>
    <mergeCell ref="T2319:U2319"/>
    <mergeCell ref="B2301:D2301"/>
    <mergeCell ref="F2301:G2301"/>
    <mergeCell ref="J2301:N2301"/>
    <mergeCell ref="T2301:U2301"/>
    <mergeCell ref="B2302:D2302"/>
    <mergeCell ref="F2302:G2303"/>
    <mergeCell ref="J2302:N2302"/>
    <mergeCell ref="T2302:U2302"/>
    <mergeCell ref="B2304:D2304"/>
    <mergeCell ref="F2304:G2304"/>
    <mergeCell ref="J2304:N2304"/>
    <mergeCell ref="T2304:U2304"/>
    <mergeCell ref="B2305:D2305"/>
    <mergeCell ref="F2305:G2305"/>
    <mergeCell ref="J2305:N2305"/>
    <mergeCell ref="T2305:U2305"/>
    <mergeCell ref="B2306:D2306"/>
    <mergeCell ref="F2306:G2306"/>
    <mergeCell ref="J2306:N2306"/>
    <mergeCell ref="T2306:U2306"/>
    <mergeCell ref="B2307:D2307"/>
    <mergeCell ref="F2307:G2307"/>
    <mergeCell ref="J2307:N2307"/>
    <mergeCell ref="T2307:U2307"/>
    <mergeCell ref="B2308:D2308"/>
    <mergeCell ref="F2308:G2308"/>
    <mergeCell ref="J2308:N2308"/>
    <mergeCell ref="T2308:U2308"/>
    <mergeCell ref="B2309:D2309"/>
    <mergeCell ref="F2309:G2309"/>
    <mergeCell ref="J2309:N2309"/>
    <mergeCell ref="T2309:U2309"/>
    <mergeCell ref="B2310:D2310"/>
    <mergeCell ref="F2310:G2310"/>
    <mergeCell ref="J2310:N2310"/>
    <mergeCell ref="T2310:U2310"/>
    <mergeCell ref="B2292:D2292"/>
    <mergeCell ref="F2292:G2292"/>
    <mergeCell ref="J2292:N2292"/>
    <mergeCell ref="T2292:U2292"/>
    <mergeCell ref="B2293:D2293"/>
    <mergeCell ref="F2293:G2293"/>
    <mergeCell ref="J2293:N2293"/>
    <mergeCell ref="T2293:U2293"/>
    <mergeCell ref="B2294:D2294"/>
    <mergeCell ref="F2294:G2294"/>
    <mergeCell ref="J2294:N2294"/>
    <mergeCell ref="T2294:U2294"/>
    <mergeCell ref="B2295:D2295"/>
    <mergeCell ref="F2295:G2295"/>
    <mergeCell ref="J2295:N2295"/>
    <mergeCell ref="T2295:U2295"/>
    <mergeCell ref="B2296:D2296"/>
    <mergeCell ref="F2296:G2296"/>
    <mergeCell ref="J2296:N2296"/>
    <mergeCell ref="T2296:U2296"/>
    <mergeCell ref="B2297:D2297"/>
    <mergeCell ref="F2297:G2297"/>
    <mergeCell ref="J2297:N2297"/>
    <mergeCell ref="T2297:U2297"/>
    <mergeCell ref="B2298:D2298"/>
    <mergeCell ref="F2298:G2298"/>
    <mergeCell ref="J2298:N2298"/>
    <mergeCell ref="T2298:U2298"/>
    <mergeCell ref="B2299:D2299"/>
    <mergeCell ref="F2299:G2299"/>
    <mergeCell ref="J2299:N2299"/>
    <mergeCell ref="T2299:U2299"/>
    <mergeCell ref="B2300:D2300"/>
    <mergeCell ref="F2300:G2300"/>
    <mergeCell ref="J2300:N2300"/>
    <mergeCell ref="T2300:U2300"/>
    <mergeCell ref="B2283:D2283"/>
    <mergeCell ref="F2283:G2283"/>
    <mergeCell ref="J2283:N2283"/>
    <mergeCell ref="T2283:U2283"/>
    <mergeCell ref="B2284:D2284"/>
    <mergeCell ref="F2284:G2284"/>
    <mergeCell ref="J2284:N2284"/>
    <mergeCell ref="T2284:U2284"/>
    <mergeCell ref="B2285:D2285"/>
    <mergeCell ref="F2285:G2285"/>
    <mergeCell ref="J2285:N2285"/>
    <mergeCell ref="T2285:U2285"/>
    <mergeCell ref="B2286:D2286"/>
    <mergeCell ref="F2286:G2286"/>
    <mergeCell ref="J2286:N2286"/>
    <mergeCell ref="T2286:U2286"/>
    <mergeCell ref="B2287:D2287"/>
    <mergeCell ref="F2287:G2287"/>
    <mergeCell ref="J2287:N2287"/>
    <mergeCell ref="T2287:U2287"/>
    <mergeCell ref="B2288:D2288"/>
    <mergeCell ref="F2288:G2288"/>
    <mergeCell ref="J2288:N2288"/>
    <mergeCell ref="T2288:U2288"/>
    <mergeCell ref="B2289:D2289"/>
    <mergeCell ref="F2289:G2289"/>
    <mergeCell ref="J2289:N2289"/>
    <mergeCell ref="T2289:U2289"/>
    <mergeCell ref="B2290:D2290"/>
    <mergeCell ref="F2290:G2290"/>
    <mergeCell ref="J2290:N2290"/>
    <mergeCell ref="T2290:U2290"/>
    <mergeCell ref="B2291:D2291"/>
    <mergeCell ref="F2291:G2291"/>
    <mergeCell ref="J2291:N2291"/>
    <mergeCell ref="T2291:U2291"/>
    <mergeCell ref="B2274:D2274"/>
    <mergeCell ref="F2274:G2274"/>
    <mergeCell ref="J2274:N2274"/>
    <mergeCell ref="T2274:U2274"/>
    <mergeCell ref="B2275:D2275"/>
    <mergeCell ref="F2275:G2275"/>
    <mergeCell ref="J2275:N2275"/>
    <mergeCell ref="T2275:U2275"/>
    <mergeCell ref="B2276:D2276"/>
    <mergeCell ref="F2276:G2276"/>
    <mergeCell ref="J2276:N2276"/>
    <mergeCell ref="T2276:U2276"/>
    <mergeCell ref="B2277:D2277"/>
    <mergeCell ref="F2277:G2277"/>
    <mergeCell ref="J2277:N2277"/>
    <mergeCell ref="T2277:U2277"/>
    <mergeCell ref="B2278:D2278"/>
    <mergeCell ref="F2278:G2278"/>
    <mergeCell ref="J2278:N2278"/>
    <mergeCell ref="T2278:U2278"/>
    <mergeCell ref="B2279:D2279"/>
    <mergeCell ref="F2279:G2279"/>
    <mergeCell ref="J2279:N2279"/>
    <mergeCell ref="T2279:U2279"/>
    <mergeCell ref="B2280:D2280"/>
    <mergeCell ref="F2280:G2280"/>
    <mergeCell ref="J2280:N2280"/>
    <mergeCell ref="T2280:U2280"/>
    <mergeCell ref="B2281:D2281"/>
    <mergeCell ref="F2281:G2281"/>
    <mergeCell ref="J2281:N2281"/>
    <mergeCell ref="T2281:U2281"/>
    <mergeCell ref="B2282:D2282"/>
    <mergeCell ref="F2282:G2282"/>
    <mergeCell ref="J2282:N2282"/>
    <mergeCell ref="T2282:U2282"/>
    <mergeCell ref="B2265:D2265"/>
    <mergeCell ref="F2265:G2265"/>
    <mergeCell ref="J2265:N2265"/>
    <mergeCell ref="T2265:U2265"/>
    <mergeCell ref="B2266:D2266"/>
    <mergeCell ref="F2266:G2266"/>
    <mergeCell ref="J2266:N2266"/>
    <mergeCell ref="T2266:U2266"/>
    <mergeCell ref="A2267:J2267"/>
    <mergeCell ref="K2267:O2267"/>
    <mergeCell ref="T2267:U2267"/>
    <mergeCell ref="B2268:D2268"/>
    <mergeCell ref="F2268:G2268"/>
    <mergeCell ref="J2268:N2268"/>
    <mergeCell ref="T2268:U2268"/>
    <mergeCell ref="B2269:D2269"/>
    <mergeCell ref="F2269:G2269"/>
    <mergeCell ref="J2269:N2269"/>
    <mergeCell ref="T2269:U2269"/>
    <mergeCell ref="B2270:D2270"/>
    <mergeCell ref="F2270:G2270"/>
    <mergeCell ref="J2270:N2270"/>
    <mergeCell ref="T2270:U2270"/>
    <mergeCell ref="B2271:D2271"/>
    <mergeCell ref="F2271:G2271"/>
    <mergeCell ref="J2271:N2271"/>
    <mergeCell ref="T2271:U2271"/>
    <mergeCell ref="B2272:D2272"/>
    <mergeCell ref="F2272:G2272"/>
    <mergeCell ref="J2272:N2272"/>
    <mergeCell ref="T2272:U2272"/>
    <mergeCell ref="B2273:D2273"/>
    <mergeCell ref="F2273:G2273"/>
    <mergeCell ref="J2273:N2273"/>
    <mergeCell ref="T2273:U2273"/>
    <mergeCell ref="B2256:D2256"/>
    <mergeCell ref="F2256:G2256"/>
    <mergeCell ref="J2256:N2256"/>
    <mergeCell ref="T2256:U2256"/>
    <mergeCell ref="B2257:D2257"/>
    <mergeCell ref="F2257:G2257"/>
    <mergeCell ref="J2257:N2257"/>
    <mergeCell ref="T2257:U2257"/>
    <mergeCell ref="B2258:D2258"/>
    <mergeCell ref="F2258:G2258"/>
    <mergeCell ref="J2258:N2258"/>
    <mergeCell ref="T2258:U2258"/>
    <mergeCell ref="B2259:D2259"/>
    <mergeCell ref="F2259:G2259"/>
    <mergeCell ref="J2259:N2259"/>
    <mergeCell ref="T2259:U2259"/>
    <mergeCell ref="B2260:D2260"/>
    <mergeCell ref="F2260:G2260"/>
    <mergeCell ref="J2260:N2260"/>
    <mergeCell ref="T2260:U2260"/>
    <mergeCell ref="B2261:D2261"/>
    <mergeCell ref="F2261:G2261"/>
    <mergeCell ref="J2261:N2261"/>
    <mergeCell ref="T2261:U2261"/>
    <mergeCell ref="B2262:D2262"/>
    <mergeCell ref="F2262:G2262"/>
    <mergeCell ref="J2262:N2262"/>
    <mergeCell ref="T2262:U2262"/>
    <mergeCell ref="B2263:D2263"/>
    <mergeCell ref="F2263:G2263"/>
    <mergeCell ref="J2263:N2263"/>
    <mergeCell ref="T2263:U2263"/>
    <mergeCell ref="B2264:D2264"/>
    <mergeCell ref="F2264:G2264"/>
    <mergeCell ref="J2264:N2264"/>
    <mergeCell ref="T2264:U2264"/>
    <mergeCell ref="B2247:D2247"/>
    <mergeCell ref="F2247:G2247"/>
    <mergeCell ref="J2247:N2247"/>
    <mergeCell ref="T2247:U2247"/>
    <mergeCell ref="B2248:D2248"/>
    <mergeCell ref="F2248:G2248"/>
    <mergeCell ref="J2248:N2248"/>
    <mergeCell ref="T2248:U2248"/>
    <mergeCell ref="B2249:D2249"/>
    <mergeCell ref="F2249:G2249"/>
    <mergeCell ref="J2249:N2249"/>
    <mergeCell ref="T2249:U2249"/>
    <mergeCell ref="B2250:D2250"/>
    <mergeCell ref="F2250:G2250"/>
    <mergeCell ref="J2250:N2250"/>
    <mergeCell ref="T2250:U2250"/>
    <mergeCell ref="B2251:D2251"/>
    <mergeCell ref="F2251:G2251"/>
    <mergeCell ref="J2251:N2251"/>
    <mergeCell ref="T2251:U2251"/>
    <mergeCell ref="B2252:D2252"/>
    <mergeCell ref="F2252:G2252"/>
    <mergeCell ref="J2252:N2252"/>
    <mergeCell ref="T2252:U2252"/>
    <mergeCell ref="B2253:D2253"/>
    <mergeCell ref="F2253:G2253"/>
    <mergeCell ref="J2253:N2253"/>
    <mergeCell ref="T2253:U2253"/>
    <mergeCell ref="B2254:D2254"/>
    <mergeCell ref="F2254:G2254"/>
    <mergeCell ref="J2254:N2254"/>
    <mergeCell ref="T2254:U2254"/>
    <mergeCell ref="B2255:D2255"/>
    <mergeCell ref="F2255:G2255"/>
    <mergeCell ref="J2255:N2255"/>
    <mergeCell ref="T2255:U2255"/>
    <mergeCell ref="B2238:D2238"/>
    <mergeCell ref="F2238:G2238"/>
    <mergeCell ref="J2238:N2238"/>
    <mergeCell ref="T2238:U2238"/>
    <mergeCell ref="B2239:D2239"/>
    <mergeCell ref="F2239:G2239"/>
    <mergeCell ref="J2239:N2239"/>
    <mergeCell ref="T2239:U2239"/>
    <mergeCell ref="B2240:D2240"/>
    <mergeCell ref="F2240:G2240"/>
    <mergeCell ref="J2240:N2240"/>
    <mergeCell ref="T2240:U2240"/>
    <mergeCell ref="B2241:D2241"/>
    <mergeCell ref="F2241:G2241"/>
    <mergeCell ref="J2241:N2241"/>
    <mergeCell ref="T2241:U2241"/>
    <mergeCell ref="B2242:D2242"/>
    <mergeCell ref="F2242:G2242"/>
    <mergeCell ref="J2242:N2242"/>
    <mergeCell ref="T2242:U2242"/>
    <mergeCell ref="B2243:D2243"/>
    <mergeCell ref="F2243:G2243"/>
    <mergeCell ref="J2243:N2243"/>
    <mergeCell ref="T2243:U2243"/>
    <mergeCell ref="B2244:D2244"/>
    <mergeCell ref="F2244:G2244"/>
    <mergeCell ref="J2244:N2244"/>
    <mergeCell ref="T2244:U2244"/>
    <mergeCell ref="B2245:D2245"/>
    <mergeCell ref="F2245:G2245"/>
    <mergeCell ref="J2245:N2245"/>
    <mergeCell ref="T2245:U2245"/>
    <mergeCell ref="B2246:D2246"/>
    <mergeCell ref="F2246:G2246"/>
    <mergeCell ref="J2246:N2246"/>
    <mergeCell ref="T2246:U2246"/>
    <mergeCell ref="B2229:D2229"/>
    <mergeCell ref="F2229:G2229"/>
    <mergeCell ref="J2229:N2229"/>
    <mergeCell ref="T2229:U2229"/>
    <mergeCell ref="B2230:D2230"/>
    <mergeCell ref="F2230:G2230"/>
    <mergeCell ref="J2230:N2230"/>
    <mergeCell ref="T2230:U2230"/>
    <mergeCell ref="B2231:D2231"/>
    <mergeCell ref="F2231:G2231"/>
    <mergeCell ref="J2231:N2231"/>
    <mergeCell ref="T2231:U2231"/>
    <mergeCell ref="B2232:D2232"/>
    <mergeCell ref="F2232:G2232"/>
    <mergeCell ref="J2232:N2232"/>
    <mergeCell ref="T2232:U2232"/>
    <mergeCell ref="B2233:D2233"/>
    <mergeCell ref="F2233:G2233"/>
    <mergeCell ref="J2233:N2233"/>
    <mergeCell ref="T2233:U2233"/>
    <mergeCell ref="B2234:D2234"/>
    <mergeCell ref="F2234:G2234"/>
    <mergeCell ref="J2234:N2234"/>
    <mergeCell ref="T2234:U2234"/>
    <mergeCell ref="B2235:D2235"/>
    <mergeCell ref="F2235:G2235"/>
    <mergeCell ref="J2235:N2235"/>
    <mergeCell ref="T2235:U2235"/>
    <mergeCell ref="B2236:D2236"/>
    <mergeCell ref="F2236:G2236"/>
    <mergeCell ref="J2236:N2236"/>
    <mergeCell ref="T2236:U2236"/>
    <mergeCell ref="B2237:D2237"/>
    <mergeCell ref="F2237:G2237"/>
    <mergeCell ref="J2237:N2237"/>
    <mergeCell ref="T2237:U2237"/>
    <mergeCell ref="B2220:D2220"/>
    <mergeCell ref="F2220:G2220"/>
    <mergeCell ref="J2220:N2220"/>
    <mergeCell ref="T2220:U2220"/>
    <mergeCell ref="B2221:D2221"/>
    <mergeCell ref="F2221:G2221"/>
    <mergeCell ref="J2221:N2221"/>
    <mergeCell ref="T2221:U2221"/>
    <mergeCell ref="B2222:D2222"/>
    <mergeCell ref="F2222:G2222"/>
    <mergeCell ref="J2222:N2222"/>
    <mergeCell ref="T2222:U2222"/>
    <mergeCell ref="B2223:D2223"/>
    <mergeCell ref="F2223:G2223"/>
    <mergeCell ref="J2223:N2223"/>
    <mergeCell ref="T2223:U2223"/>
    <mergeCell ref="B2224:D2224"/>
    <mergeCell ref="F2224:G2224"/>
    <mergeCell ref="J2224:N2224"/>
    <mergeCell ref="T2224:U2224"/>
    <mergeCell ref="B2225:D2225"/>
    <mergeCell ref="F2225:G2225"/>
    <mergeCell ref="J2225:N2225"/>
    <mergeCell ref="T2225:U2225"/>
    <mergeCell ref="B2226:D2226"/>
    <mergeCell ref="F2226:G2226"/>
    <mergeCell ref="J2226:N2226"/>
    <mergeCell ref="T2226:U2226"/>
    <mergeCell ref="B2227:D2227"/>
    <mergeCell ref="F2227:G2227"/>
    <mergeCell ref="J2227:N2227"/>
    <mergeCell ref="T2227:U2227"/>
    <mergeCell ref="B2228:D2228"/>
    <mergeCell ref="F2228:G2228"/>
    <mergeCell ref="J2228:N2228"/>
    <mergeCell ref="T2228:U2228"/>
    <mergeCell ref="B2211:D2211"/>
    <mergeCell ref="F2211:G2211"/>
    <mergeCell ref="J2211:N2211"/>
    <mergeCell ref="T2211:U2211"/>
    <mergeCell ref="B2212:D2212"/>
    <mergeCell ref="F2212:G2212"/>
    <mergeCell ref="J2212:N2212"/>
    <mergeCell ref="T2212:U2212"/>
    <mergeCell ref="B2213:D2213"/>
    <mergeCell ref="F2213:G2213"/>
    <mergeCell ref="J2213:N2213"/>
    <mergeCell ref="T2213:U2213"/>
    <mergeCell ref="B2214:D2214"/>
    <mergeCell ref="F2214:G2214"/>
    <mergeCell ref="J2214:N2214"/>
    <mergeCell ref="T2214:U2214"/>
    <mergeCell ref="B2215:D2215"/>
    <mergeCell ref="F2215:G2215"/>
    <mergeCell ref="J2215:N2215"/>
    <mergeCell ref="T2215:U2215"/>
    <mergeCell ref="B2216:D2216"/>
    <mergeCell ref="F2216:G2216"/>
    <mergeCell ref="J2216:N2216"/>
    <mergeCell ref="T2216:U2216"/>
    <mergeCell ref="B2217:D2217"/>
    <mergeCell ref="F2217:G2217"/>
    <mergeCell ref="J2217:N2217"/>
    <mergeCell ref="T2217:U2217"/>
    <mergeCell ref="B2218:D2218"/>
    <mergeCell ref="F2218:G2218"/>
    <mergeCell ref="J2218:N2218"/>
    <mergeCell ref="T2218:U2218"/>
    <mergeCell ref="B2219:D2219"/>
    <mergeCell ref="F2219:G2219"/>
    <mergeCell ref="J2219:N2219"/>
    <mergeCell ref="T2219:U2219"/>
    <mergeCell ref="B2202:D2202"/>
    <mergeCell ref="F2202:G2202"/>
    <mergeCell ref="J2202:N2202"/>
    <mergeCell ref="T2202:U2202"/>
    <mergeCell ref="B2203:D2203"/>
    <mergeCell ref="F2203:G2203"/>
    <mergeCell ref="J2203:N2203"/>
    <mergeCell ref="T2203:U2203"/>
    <mergeCell ref="B2204:D2204"/>
    <mergeCell ref="F2204:G2204"/>
    <mergeCell ref="J2204:N2204"/>
    <mergeCell ref="T2204:U2204"/>
    <mergeCell ref="B2205:D2205"/>
    <mergeCell ref="F2205:G2205"/>
    <mergeCell ref="J2205:N2205"/>
    <mergeCell ref="T2205:U2205"/>
    <mergeCell ref="B2206:D2206"/>
    <mergeCell ref="F2206:G2206"/>
    <mergeCell ref="J2206:N2206"/>
    <mergeCell ref="T2206:U2206"/>
    <mergeCell ref="B2207:D2207"/>
    <mergeCell ref="F2207:G2207"/>
    <mergeCell ref="J2207:N2207"/>
    <mergeCell ref="T2207:U2207"/>
    <mergeCell ref="B2208:D2208"/>
    <mergeCell ref="F2208:G2208"/>
    <mergeCell ref="J2208:N2208"/>
    <mergeCell ref="T2208:U2208"/>
    <mergeCell ref="B2209:D2209"/>
    <mergeCell ref="F2209:G2209"/>
    <mergeCell ref="J2209:N2209"/>
    <mergeCell ref="T2209:U2209"/>
    <mergeCell ref="B2210:D2210"/>
    <mergeCell ref="F2210:G2210"/>
    <mergeCell ref="J2210:N2210"/>
    <mergeCell ref="T2210:U2210"/>
    <mergeCell ref="B2191:D2191"/>
    <mergeCell ref="F2191:G2192"/>
    <mergeCell ref="J2191:N2191"/>
    <mergeCell ref="T2191:U2191"/>
    <mergeCell ref="B2193:D2193"/>
    <mergeCell ref="F2193:G2193"/>
    <mergeCell ref="J2193:N2193"/>
    <mergeCell ref="T2193:U2193"/>
    <mergeCell ref="B2194:D2194"/>
    <mergeCell ref="F2194:G2194"/>
    <mergeCell ref="J2194:N2194"/>
    <mergeCell ref="T2194:U2194"/>
    <mergeCell ref="B2195:D2195"/>
    <mergeCell ref="F2195:G2195"/>
    <mergeCell ref="J2195:N2195"/>
    <mergeCell ref="T2195:U2195"/>
    <mergeCell ref="B2196:D2196"/>
    <mergeCell ref="F2196:G2197"/>
    <mergeCell ref="J2196:N2196"/>
    <mergeCell ref="T2196:U2196"/>
    <mergeCell ref="B2198:D2198"/>
    <mergeCell ref="F2198:G2198"/>
    <mergeCell ref="J2198:N2198"/>
    <mergeCell ref="T2198:U2198"/>
    <mergeCell ref="B2199:D2199"/>
    <mergeCell ref="F2199:G2199"/>
    <mergeCell ref="J2199:N2199"/>
    <mergeCell ref="T2199:U2199"/>
    <mergeCell ref="B2200:D2200"/>
    <mergeCell ref="F2200:G2200"/>
    <mergeCell ref="J2200:N2200"/>
    <mergeCell ref="T2200:U2200"/>
    <mergeCell ref="B2201:D2201"/>
    <mergeCell ref="F2201:G2201"/>
    <mergeCell ref="J2201:N2201"/>
    <mergeCell ref="T2201:U2201"/>
    <mergeCell ref="B2182:D2182"/>
    <mergeCell ref="F2182:G2182"/>
    <mergeCell ref="J2182:N2182"/>
    <mergeCell ref="T2182:U2182"/>
    <mergeCell ref="B2183:D2183"/>
    <mergeCell ref="F2183:G2183"/>
    <mergeCell ref="J2183:N2183"/>
    <mergeCell ref="T2183:U2183"/>
    <mergeCell ref="B2184:D2184"/>
    <mergeCell ref="F2184:G2184"/>
    <mergeCell ref="J2184:N2184"/>
    <mergeCell ref="T2184:U2184"/>
    <mergeCell ref="B2185:D2185"/>
    <mergeCell ref="F2185:G2185"/>
    <mergeCell ref="J2185:N2185"/>
    <mergeCell ref="T2185:U2185"/>
    <mergeCell ref="B2186:D2186"/>
    <mergeCell ref="F2186:G2186"/>
    <mergeCell ref="J2186:N2186"/>
    <mergeCell ref="T2186:U2186"/>
    <mergeCell ref="B2187:D2187"/>
    <mergeCell ref="F2187:G2187"/>
    <mergeCell ref="J2187:N2187"/>
    <mergeCell ref="T2187:U2187"/>
    <mergeCell ref="B2188:D2188"/>
    <mergeCell ref="F2188:G2188"/>
    <mergeCell ref="J2188:N2188"/>
    <mergeCell ref="T2188:U2188"/>
    <mergeCell ref="B2189:D2189"/>
    <mergeCell ref="F2189:G2189"/>
    <mergeCell ref="J2189:N2189"/>
    <mergeCell ref="T2189:U2189"/>
    <mergeCell ref="B2190:D2190"/>
    <mergeCell ref="F2190:G2190"/>
    <mergeCell ref="J2190:N2190"/>
    <mergeCell ref="T2190:U2190"/>
    <mergeCell ref="B2173:D2173"/>
    <mergeCell ref="F2173:G2173"/>
    <mergeCell ref="J2173:N2173"/>
    <mergeCell ref="T2173:U2173"/>
    <mergeCell ref="B2174:D2174"/>
    <mergeCell ref="F2174:G2174"/>
    <mergeCell ref="J2174:N2174"/>
    <mergeCell ref="T2174:U2174"/>
    <mergeCell ref="B2175:D2175"/>
    <mergeCell ref="F2175:G2175"/>
    <mergeCell ref="J2175:N2175"/>
    <mergeCell ref="T2175:U2175"/>
    <mergeCell ref="B2176:D2176"/>
    <mergeCell ref="F2176:G2176"/>
    <mergeCell ref="J2176:N2176"/>
    <mergeCell ref="T2176:U2176"/>
    <mergeCell ref="B2177:D2177"/>
    <mergeCell ref="F2177:G2177"/>
    <mergeCell ref="J2177:N2177"/>
    <mergeCell ref="T2177:U2177"/>
    <mergeCell ref="B2178:D2178"/>
    <mergeCell ref="F2178:G2178"/>
    <mergeCell ref="J2178:N2178"/>
    <mergeCell ref="T2178:U2178"/>
    <mergeCell ref="B2179:D2179"/>
    <mergeCell ref="F2179:G2179"/>
    <mergeCell ref="J2179:N2179"/>
    <mergeCell ref="T2179:U2179"/>
    <mergeCell ref="B2180:D2180"/>
    <mergeCell ref="F2180:G2180"/>
    <mergeCell ref="J2180:N2180"/>
    <mergeCell ref="T2180:U2180"/>
    <mergeCell ref="B2181:D2181"/>
    <mergeCell ref="F2181:G2181"/>
    <mergeCell ref="J2181:N2181"/>
    <mergeCell ref="T2181:U2181"/>
    <mergeCell ref="B2163:D2163"/>
    <mergeCell ref="F2163:G2163"/>
    <mergeCell ref="J2163:N2163"/>
    <mergeCell ref="T2163:U2163"/>
    <mergeCell ref="B2164:D2164"/>
    <mergeCell ref="F2164:G2164"/>
    <mergeCell ref="J2164:N2164"/>
    <mergeCell ref="T2164:U2164"/>
    <mergeCell ref="B2165:D2165"/>
    <mergeCell ref="F2165:G2165"/>
    <mergeCell ref="J2165:N2165"/>
    <mergeCell ref="T2165:U2165"/>
    <mergeCell ref="B2166:D2166"/>
    <mergeCell ref="F2166:G2166"/>
    <mergeCell ref="J2166:N2166"/>
    <mergeCell ref="T2166:U2166"/>
    <mergeCell ref="B2167:D2167"/>
    <mergeCell ref="F2167:G2167"/>
    <mergeCell ref="J2167:N2167"/>
    <mergeCell ref="T2167:U2167"/>
    <mergeCell ref="B2168:D2168"/>
    <mergeCell ref="F2168:G2168"/>
    <mergeCell ref="J2168:N2168"/>
    <mergeCell ref="T2168:U2168"/>
    <mergeCell ref="B2169:D2169"/>
    <mergeCell ref="F2169:G2169"/>
    <mergeCell ref="J2169:N2169"/>
    <mergeCell ref="T2169:U2169"/>
    <mergeCell ref="B2170:D2170"/>
    <mergeCell ref="F2170:G2171"/>
    <mergeCell ref="J2170:N2170"/>
    <mergeCell ref="T2170:U2170"/>
    <mergeCell ref="B2172:D2172"/>
    <mergeCell ref="F2172:G2172"/>
    <mergeCell ref="J2172:N2172"/>
    <mergeCell ref="T2172:U2172"/>
    <mergeCell ref="B2154:D2154"/>
    <mergeCell ref="F2154:G2154"/>
    <mergeCell ref="J2154:N2154"/>
    <mergeCell ref="T2154:U2154"/>
    <mergeCell ref="B2155:D2155"/>
    <mergeCell ref="F2155:G2155"/>
    <mergeCell ref="J2155:N2155"/>
    <mergeCell ref="T2155:U2155"/>
    <mergeCell ref="B2156:D2156"/>
    <mergeCell ref="F2156:G2156"/>
    <mergeCell ref="J2156:N2156"/>
    <mergeCell ref="T2156:U2156"/>
    <mergeCell ref="B2157:D2157"/>
    <mergeCell ref="F2157:G2157"/>
    <mergeCell ref="J2157:N2157"/>
    <mergeCell ref="T2157:U2157"/>
    <mergeCell ref="B2158:D2158"/>
    <mergeCell ref="F2158:G2158"/>
    <mergeCell ref="J2158:N2158"/>
    <mergeCell ref="T2158:U2158"/>
    <mergeCell ref="B2159:D2159"/>
    <mergeCell ref="F2159:G2159"/>
    <mergeCell ref="J2159:N2159"/>
    <mergeCell ref="T2159:U2159"/>
    <mergeCell ref="B2160:D2160"/>
    <mergeCell ref="F2160:G2160"/>
    <mergeCell ref="J2160:N2160"/>
    <mergeCell ref="T2160:U2160"/>
    <mergeCell ref="B2161:D2161"/>
    <mergeCell ref="F2161:G2161"/>
    <mergeCell ref="J2161:N2161"/>
    <mergeCell ref="T2161:U2161"/>
    <mergeCell ref="B2162:D2162"/>
    <mergeCell ref="F2162:G2162"/>
    <mergeCell ref="J2162:N2162"/>
    <mergeCell ref="T2162:U2162"/>
    <mergeCell ref="B2145:D2145"/>
    <mergeCell ref="F2145:G2145"/>
    <mergeCell ref="J2145:N2145"/>
    <mergeCell ref="T2145:U2145"/>
    <mergeCell ref="B2146:D2146"/>
    <mergeCell ref="F2146:G2146"/>
    <mergeCell ref="J2146:N2146"/>
    <mergeCell ref="T2146:U2146"/>
    <mergeCell ref="B2147:D2147"/>
    <mergeCell ref="F2147:G2147"/>
    <mergeCell ref="J2147:N2147"/>
    <mergeCell ref="T2147:U2147"/>
    <mergeCell ref="B2148:D2148"/>
    <mergeCell ref="F2148:G2148"/>
    <mergeCell ref="J2148:N2148"/>
    <mergeCell ref="T2148:U2148"/>
    <mergeCell ref="B2149:D2149"/>
    <mergeCell ref="F2149:G2149"/>
    <mergeCell ref="J2149:N2149"/>
    <mergeCell ref="T2149:U2149"/>
    <mergeCell ref="B2150:D2150"/>
    <mergeCell ref="F2150:G2150"/>
    <mergeCell ref="J2150:N2150"/>
    <mergeCell ref="T2150:U2150"/>
    <mergeCell ref="B2151:D2151"/>
    <mergeCell ref="F2151:G2151"/>
    <mergeCell ref="J2151:N2151"/>
    <mergeCell ref="T2151:U2151"/>
    <mergeCell ref="B2152:D2152"/>
    <mergeCell ref="F2152:G2152"/>
    <mergeCell ref="J2152:N2152"/>
    <mergeCell ref="T2152:U2152"/>
    <mergeCell ref="B2153:D2153"/>
    <mergeCell ref="F2153:G2153"/>
    <mergeCell ref="J2153:N2153"/>
    <mergeCell ref="T2153:U2153"/>
    <mergeCell ref="B2136:D2136"/>
    <mergeCell ref="F2136:G2136"/>
    <mergeCell ref="J2136:N2136"/>
    <mergeCell ref="T2136:U2136"/>
    <mergeCell ref="B2137:D2137"/>
    <mergeCell ref="F2137:G2137"/>
    <mergeCell ref="J2137:N2137"/>
    <mergeCell ref="T2137:U2137"/>
    <mergeCell ref="B2138:D2138"/>
    <mergeCell ref="F2138:G2138"/>
    <mergeCell ref="J2138:N2138"/>
    <mergeCell ref="T2138:U2138"/>
    <mergeCell ref="B2139:D2139"/>
    <mergeCell ref="F2139:G2139"/>
    <mergeCell ref="J2139:N2139"/>
    <mergeCell ref="T2139:U2139"/>
    <mergeCell ref="B2140:D2140"/>
    <mergeCell ref="F2140:G2140"/>
    <mergeCell ref="J2140:N2140"/>
    <mergeCell ref="T2140:U2140"/>
    <mergeCell ref="B2141:D2141"/>
    <mergeCell ref="F2141:G2141"/>
    <mergeCell ref="J2141:N2141"/>
    <mergeCell ref="T2141:U2141"/>
    <mergeCell ref="B2142:D2142"/>
    <mergeCell ref="F2142:G2142"/>
    <mergeCell ref="J2142:N2142"/>
    <mergeCell ref="T2142:U2142"/>
    <mergeCell ref="B2143:D2143"/>
    <mergeCell ref="F2143:G2143"/>
    <mergeCell ref="J2143:N2143"/>
    <mergeCell ref="T2143:U2143"/>
    <mergeCell ref="B2144:D2144"/>
    <mergeCell ref="F2144:G2144"/>
    <mergeCell ref="J2144:N2144"/>
    <mergeCell ref="T2144:U2144"/>
    <mergeCell ref="B2127:D2127"/>
    <mergeCell ref="F2127:G2127"/>
    <mergeCell ref="J2127:N2127"/>
    <mergeCell ref="T2127:U2127"/>
    <mergeCell ref="B2128:D2128"/>
    <mergeCell ref="F2128:G2128"/>
    <mergeCell ref="J2128:N2128"/>
    <mergeCell ref="T2128:U2128"/>
    <mergeCell ref="B2129:D2129"/>
    <mergeCell ref="F2129:G2129"/>
    <mergeCell ref="J2129:N2129"/>
    <mergeCell ref="T2129:U2129"/>
    <mergeCell ref="B2130:D2130"/>
    <mergeCell ref="F2130:G2130"/>
    <mergeCell ref="J2130:N2130"/>
    <mergeCell ref="T2130:U2130"/>
    <mergeCell ref="B2131:D2131"/>
    <mergeCell ref="F2131:G2131"/>
    <mergeCell ref="J2131:N2131"/>
    <mergeCell ref="T2131:U2131"/>
    <mergeCell ref="B2132:D2132"/>
    <mergeCell ref="F2132:G2132"/>
    <mergeCell ref="J2132:N2132"/>
    <mergeCell ref="T2132:U2132"/>
    <mergeCell ref="B2133:D2133"/>
    <mergeCell ref="F2133:G2133"/>
    <mergeCell ref="J2133:N2133"/>
    <mergeCell ref="T2133:U2133"/>
    <mergeCell ref="B2134:D2134"/>
    <mergeCell ref="F2134:G2134"/>
    <mergeCell ref="J2134:N2134"/>
    <mergeCell ref="T2134:U2134"/>
    <mergeCell ref="B2135:D2135"/>
    <mergeCell ref="F2135:G2135"/>
    <mergeCell ref="J2135:N2135"/>
    <mergeCell ref="T2135:U2135"/>
    <mergeCell ref="B2118:D2118"/>
    <mergeCell ref="F2118:G2118"/>
    <mergeCell ref="J2118:N2118"/>
    <mergeCell ref="T2118:U2118"/>
    <mergeCell ref="B2119:D2119"/>
    <mergeCell ref="F2119:G2119"/>
    <mergeCell ref="J2119:N2119"/>
    <mergeCell ref="T2119:U2119"/>
    <mergeCell ref="B2120:D2120"/>
    <mergeCell ref="F2120:G2120"/>
    <mergeCell ref="J2120:N2120"/>
    <mergeCell ref="T2120:U2120"/>
    <mergeCell ref="B2121:D2121"/>
    <mergeCell ref="F2121:G2121"/>
    <mergeCell ref="J2121:N2121"/>
    <mergeCell ref="T2121:U2121"/>
    <mergeCell ref="B2122:D2122"/>
    <mergeCell ref="F2122:G2122"/>
    <mergeCell ref="J2122:N2122"/>
    <mergeCell ref="T2122:U2122"/>
    <mergeCell ref="B2123:D2123"/>
    <mergeCell ref="F2123:G2123"/>
    <mergeCell ref="J2123:N2123"/>
    <mergeCell ref="T2123:U2123"/>
    <mergeCell ref="B2124:D2124"/>
    <mergeCell ref="F2124:G2124"/>
    <mergeCell ref="J2124:N2124"/>
    <mergeCell ref="T2124:U2124"/>
    <mergeCell ref="B2125:D2125"/>
    <mergeCell ref="F2125:G2125"/>
    <mergeCell ref="J2125:N2125"/>
    <mergeCell ref="T2125:U2125"/>
    <mergeCell ref="B2126:D2126"/>
    <mergeCell ref="F2126:G2126"/>
    <mergeCell ref="J2126:N2126"/>
    <mergeCell ref="T2126:U2126"/>
    <mergeCell ref="B2109:D2109"/>
    <mergeCell ref="F2109:G2109"/>
    <mergeCell ref="J2109:N2109"/>
    <mergeCell ref="T2109:U2109"/>
    <mergeCell ref="B2110:D2110"/>
    <mergeCell ref="F2110:G2110"/>
    <mergeCell ref="J2110:N2110"/>
    <mergeCell ref="T2110:U2110"/>
    <mergeCell ref="B2111:D2111"/>
    <mergeCell ref="F2111:G2111"/>
    <mergeCell ref="J2111:N2111"/>
    <mergeCell ref="T2111:U2111"/>
    <mergeCell ref="B2112:D2112"/>
    <mergeCell ref="F2112:G2112"/>
    <mergeCell ref="J2112:N2112"/>
    <mergeCell ref="T2112:U2112"/>
    <mergeCell ref="B2113:D2113"/>
    <mergeCell ref="F2113:G2113"/>
    <mergeCell ref="J2113:N2113"/>
    <mergeCell ref="T2113:U2113"/>
    <mergeCell ref="B2114:D2114"/>
    <mergeCell ref="F2114:G2114"/>
    <mergeCell ref="J2114:N2114"/>
    <mergeCell ref="T2114:U2114"/>
    <mergeCell ref="B2115:D2115"/>
    <mergeCell ref="F2115:G2115"/>
    <mergeCell ref="J2115:N2115"/>
    <mergeCell ref="T2115:U2115"/>
    <mergeCell ref="B2116:D2116"/>
    <mergeCell ref="F2116:G2116"/>
    <mergeCell ref="J2116:N2116"/>
    <mergeCell ref="T2116:U2116"/>
    <mergeCell ref="B2117:D2117"/>
    <mergeCell ref="F2117:G2117"/>
    <mergeCell ref="J2117:N2117"/>
    <mergeCell ref="T2117:U2117"/>
    <mergeCell ref="B2100:D2100"/>
    <mergeCell ref="F2100:G2100"/>
    <mergeCell ref="J2100:N2100"/>
    <mergeCell ref="T2100:U2100"/>
    <mergeCell ref="B2101:D2101"/>
    <mergeCell ref="F2101:G2101"/>
    <mergeCell ref="J2101:N2101"/>
    <mergeCell ref="T2101:U2101"/>
    <mergeCell ref="B2102:D2102"/>
    <mergeCell ref="F2102:G2102"/>
    <mergeCell ref="J2102:N2102"/>
    <mergeCell ref="T2102:U2102"/>
    <mergeCell ref="B2103:D2103"/>
    <mergeCell ref="F2103:G2103"/>
    <mergeCell ref="J2103:N2103"/>
    <mergeCell ref="T2103:U2103"/>
    <mergeCell ref="B2104:D2104"/>
    <mergeCell ref="F2104:G2104"/>
    <mergeCell ref="J2104:N2104"/>
    <mergeCell ref="T2104:U2104"/>
    <mergeCell ref="B2105:D2105"/>
    <mergeCell ref="F2105:G2105"/>
    <mergeCell ref="J2105:N2105"/>
    <mergeCell ref="T2105:U2105"/>
    <mergeCell ref="B2106:D2106"/>
    <mergeCell ref="F2106:G2106"/>
    <mergeCell ref="J2106:N2106"/>
    <mergeCell ref="T2106:U2106"/>
    <mergeCell ref="B2107:D2107"/>
    <mergeCell ref="F2107:G2107"/>
    <mergeCell ref="J2107:N2107"/>
    <mergeCell ref="T2107:U2107"/>
    <mergeCell ref="B2108:D2108"/>
    <mergeCell ref="F2108:G2108"/>
    <mergeCell ref="J2108:N2108"/>
    <mergeCell ref="T2108:U2108"/>
    <mergeCell ref="B2091:D2091"/>
    <mergeCell ref="F2091:G2091"/>
    <mergeCell ref="J2091:N2091"/>
    <mergeCell ref="T2091:U2091"/>
    <mergeCell ref="B2092:D2092"/>
    <mergeCell ref="F2092:G2092"/>
    <mergeCell ref="J2092:N2092"/>
    <mergeCell ref="T2092:U2092"/>
    <mergeCell ref="B2093:D2093"/>
    <mergeCell ref="F2093:G2093"/>
    <mergeCell ref="J2093:N2093"/>
    <mergeCell ref="T2093:U2093"/>
    <mergeCell ref="B2094:D2094"/>
    <mergeCell ref="F2094:G2094"/>
    <mergeCell ref="J2094:N2094"/>
    <mergeCell ref="T2094:U2094"/>
    <mergeCell ref="B2095:D2095"/>
    <mergeCell ref="F2095:G2095"/>
    <mergeCell ref="J2095:N2095"/>
    <mergeCell ref="T2095:U2095"/>
    <mergeCell ref="B2096:D2096"/>
    <mergeCell ref="F2096:G2096"/>
    <mergeCell ref="J2096:N2096"/>
    <mergeCell ref="T2096:U2096"/>
    <mergeCell ref="B2097:D2097"/>
    <mergeCell ref="F2097:G2097"/>
    <mergeCell ref="J2097:N2097"/>
    <mergeCell ref="T2097:U2097"/>
    <mergeCell ref="A2098:J2098"/>
    <mergeCell ref="K2098:O2098"/>
    <mergeCell ref="T2098:U2098"/>
    <mergeCell ref="B2099:D2099"/>
    <mergeCell ref="F2099:G2099"/>
    <mergeCell ref="J2099:N2099"/>
    <mergeCell ref="T2099:U2099"/>
    <mergeCell ref="B2082:D2082"/>
    <mergeCell ref="F2082:G2082"/>
    <mergeCell ref="J2082:N2082"/>
    <mergeCell ref="T2082:U2082"/>
    <mergeCell ref="B2083:D2083"/>
    <mergeCell ref="F2083:G2083"/>
    <mergeCell ref="J2083:N2083"/>
    <mergeCell ref="T2083:U2083"/>
    <mergeCell ref="B2084:D2084"/>
    <mergeCell ref="F2084:G2084"/>
    <mergeCell ref="J2084:N2084"/>
    <mergeCell ref="T2084:U2084"/>
    <mergeCell ref="B2085:D2085"/>
    <mergeCell ref="F2085:G2085"/>
    <mergeCell ref="J2085:N2085"/>
    <mergeCell ref="T2085:U2085"/>
    <mergeCell ref="B2086:D2086"/>
    <mergeCell ref="F2086:G2086"/>
    <mergeCell ref="J2086:N2086"/>
    <mergeCell ref="T2086:U2086"/>
    <mergeCell ref="B2087:D2087"/>
    <mergeCell ref="F2087:G2087"/>
    <mergeCell ref="J2087:N2087"/>
    <mergeCell ref="T2087:U2087"/>
    <mergeCell ref="B2088:D2088"/>
    <mergeCell ref="F2088:G2088"/>
    <mergeCell ref="J2088:N2088"/>
    <mergeCell ref="T2088:U2088"/>
    <mergeCell ref="B2089:D2089"/>
    <mergeCell ref="F2089:G2089"/>
    <mergeCell ref="J2089:N2089"/>
    <mergeCell ref="T2089:U2089"/>
    <mergeCell ref="B2090:D2090"/>
    <mergeCell ref="F2090:G2090"/>
    <mergeCell ref="J2090:N2090"/>
    <mergeCell ref="T2090:U2090"/>
    <mergeCell ref="B2073:D2073"/>
    <mergeCell ref="F2073:G2073"/>
    <mergeCell ref="J2073:N2073"/>
    <mergeCell ref="T2073:U2073"/>
    <mergeCell ref="B2074:D2074"/>
    <mergeCell ref="F2074:G2074"/>
    <mergeCell ref="J2074:N2074"/>
    <mergeCell ref="T2074:U2074"/>
    <mergeCell ref="B2075:D2075"/>
    <mergeCell ref="F2075:G2075"/>
    <mergeCell ref="J2075:N2075"/>
    <mergeCell ref="T2075:U2075"/>
    <mergeCell ref="B2076:D2076"/>
    <mergeCell ref="F2076:G2076"/>
    <mergeCell ref="J2076:N2076"/>
    <mergeCell ref="T2076:U2076"/>
    <mergeCell ref="B2077:D2077"/>
    <mergeCell ref="F2077:G2077"/>
    <mergeCell ref="J2077:N2077"/>
    <mergeCell ref="T2077:U2077"/>
    <mergeCell ref="B2078:D2078"/>
    <mergeCell ref="F2078:G2078"/>
    <mergeCell ref="J2078:N2078"/>
    <mergeCell ref="T2078:U2078"/>
    <mergeCell ref="B2079:D2079"/>
    <mergeCell ref="F2079:G2079"/>
    <mergeCell ref="J2079:N2079"/>
    <mergeCell ref="T2079:U2079"/>
    <mergeCell ref="B2080:D2080"/>
    <mergeCell ref="F2080:G2080"/>
    <mergeCell ref="J2080:N2080"/>
    <mergeCell ref="T2080:U2080"/>
    <mergeCell ref="B2081:D2081"/>
    <mergeCell ref="F2081:G2081"/>
    <mergeCell ref="J2081:N2081"/>
    <mergeCell ref="T2081:U2081"/>
    <mergeCell ref="B2064:D2064"/>
    <mergeCell ref="F2064:G2064"/>
    <mergeCell ref="J2064:N2064"/>
    <mergeCell ref="T2064:U2064"/>
    <mergeCell ref="B2065:D2065"/>
    <mergeCell ref="F2065:G2065"/>
    <mergeCell ref="J2065:N2065"/>
    <mergeCell ref="T2065:U2065"/>
    <mergeCell ref="B2066:D2066"/>
    <mergeCell ref="F2066:G2066"/>
    <mergeCell ref="J2066:N2066"/>
    <mergeCell ref="T2066:U2066"/>
    <mergeCell ref="B2067:D2067"/>
    <mergeCell ref="F2067:G2067"/>
    <mergeCell ref="J2067:N2067"/>
    <mergeCell ref="T2067:U2067"/>
    <mergeCell ref="B2068:D2068"/>
    <mergeCell ref="F2068:G2068"/>
    <mergeCell ref="J2068:N2068"/>
    <mergeCell ref="T2068:U2068"/>
    <mergeCell ref="B2069:D2069"/>
    <mergeCell ref="F2069:G2069"/>
    <mergeCell ref="J2069:N2069"/>
    <mergeCell ref="T2069:U2069"/>
    <mergeCell ref="B2070:D2070"/>
    <mergeCell ref="F2070:G2070"/>
    <mergeCell ref="J2070:N2070"/>
    <mergeCell ref="T2070:U2070"/>
    <mergeCell ref="B2071:D2071"/>
    <mergeCell ref="F2071:G2071"/>
    <mergeCell ref="J2071:N2071"/>
    <mergeCell ref="T2071:U2071"/>
    <mergeCell ref="B2072:D2072"/>
    <mergeCell ref="F2072:G2072"/>
    <mergeCell ref="J2072:N2072"/>
    <mergeCell ref="T2072:U2072"/>
    <mergeCell ref="B2055:D2055"/>
    <mergeCell ref="F2055:G2055"/>
    <mergeCell ref="J2055:N2055"/>
    <mergeCell ref="T2055:U2055"/>
    <mergeCell ref="B2056:D2056"/>
    <mergeCell ref="F2056:G2056"/>
    <mergeCell ref="J2056:N2056"/>
    <mergeCell ref="T2056:U2056"/>
    <mergeCell ref="B2057:D2057"/>
    <mergeCell ref="F2057:G2057"/>
    <mergeCell ref="J2057:N2057"/>
    <mergeCell ref="T2057:U2057"/>
    <mergeCell ref="B2058:D2058"/>
    <mergeCell ref="F2058:G2058"/>
    <mergeCell ref="J2058:N2058"/>
    <mergeCell ref="T2058:U2058"/>
    <mergeCell ref="B2059:D2059"/>
    <mergeCell ref="F2059:G2059"/>
    <mergeCell ref="J2059:N2059"/>
    <mergeCell ref="T2059:U2059"/>
    <mergeCell ref="B2060:D2060"/>
    <mergeCell ref="F2060:G2060"/>
    <mergeCell ref="J2060:N2060"/>
    <mergeCell ref="T2060:U2060"/>
    <mergeCell ref="B2061:D2061"/>
    <mergeCell ref="F2061:G2061"/>
    <mergeCell ref="J2061:N2061"/>
    <mergeCell ref="T2061:U2061"/>
    <mergeCell ref="B2062:D2062"/>
    <mergeCell ref="F2062:G2062"/>
    <mergeCell ref="J2062:N2062"/>
    <mergeCell ref="T2062:U2062"/>
    <mergeCell ref="B2063:D2063"/>
    <mergeCell ref="F2063:G2063"/>
    <mergeCell ref="J2063:N2063"/>
    <mergeCell ref="T2063:U2063"/>
    <mergeCell ref="B2046:D2046"/>
    <mergeCell ref="F2046:G2046"/>
    <mergeCell ref="J2046:N2046"/>
    <mergeCell ref="T2046:U2046"/>
    <mergeCell ref="B2047:D2047"/>
    <mergeCell ref="F2047:G2047"/>
    <mergeCell ref="J2047:N2047"/>
    <mergeCell ref="T2047:U2047"/>
    <mergeCell ref="B2048:D2048"/>
    <mergeCell ref="F2048:G2048"/>
    <mergeCell ref="J2048:N2048"/>
    <mergeCell ref="T2048:U2048"/>
    <mergeCell ref="B2049:D2049"/>
    <mergeCell ref="F2049:G2049"/>
    <mergeCell ref="J2049:N2049"/>
    <mergeCell ref="T2049:U2049"/>
    <mergeCell ref="B2050:D2050"/>
    <mergeCell ref="F2050:G2050"/>
    <mergeCell ref="J2050:N2050"/>
    <mergeCell ref="T2050:U2050"/>
    <mergeCell ref="B2051:D2051"/>
    <mergeCell ref="F2051:G2051"/>
    <mergeCell ref="J2051:N2051"/>
    <mergeCell ref="T2051:U2051"/>
    <mergeCell ref="B2052:D2052"/>
    <mergeCell ref="F2052:G2052"/>
    <mergeCell ref="J2052:N2052"/>
    <mergeCell ref="T2052:U2052"/>
    <mergeCell ref="B2053:D2053"/>
    <mergeCell ref="F2053:G2053"/>
    <mergeCell ref="J2053:N2053"/>
    <mergeCell ref="T2053:U2053"/>
    <mergeCell ref="B2054:D2054"/>
    <mergeCell ref="F2054:G2054"/>
    <mergeCell ref="J2054:N2054"/>
    <mergeCell ref="T2054:U2054"/>
    <mergeCell ref="B2037:D2037"/>
    <mergeCell ref="F2037:G2037"/>
    <mergeCell ref="J2037:N2037"/>
    <mergeCell ref="T2037:U2037"/>
    <mergeCell ref="B2038:D2038"/>
    <mergeCell ref="F2038:G2038"/>
    <mergeCell ref="J2038:N2038"/>
    <mergeCell ref="T2038:U2038"/>
    <mergeCell ref="B2039:D2039"/>
    <mergeCell ref="F2039:G2039"/>
    <mergeCell ref="J2039:N2039"/>
    <mergeCell ref="T2039:U2039"/>
    <mergeCell ref="B2040:D2040"/>
    <mergeCell ref="F2040:G2040"/>
    <mergeCell ref="J2040:N2040"/>
    <mergeCell ref="T2040:U2040"/>
    <mergeCell ref="B2041:D2041"/>
    <mergeCell ref="F2041:G2041"/>
    <mergeCell ref="J2041:N2041"/>
    <mergeCell ref="T2041:U2041"/>
    <mergeCell ref="B2042:D2042"/>
    <mergeCell ref="F2042:G2042"/>
    <mergeCell ref="J2042:N2042"/>
    <mergeCell ref="T2042:U2042"/>
    <mergeCell ref="B2043:D2043"/>
    <mergeCell ref="F2043:G2043"/>
    <mergeCell ref="J2043:N2043"/>
    <mergeCell ref="T2043:U2043"/>
    <mergeCell ref="B2044:D2044"/>
    <mergeCell ref="F2044:G2044"/>
    <mergeCell ref="J2044:N2044"/>
    <mergeCell ref="T2044:U2044"/>
    <mergeCell ref="B2045:D2045"/>
    <mergeCell ref="F2045:G2045"/>
    <mergeCell ref="J2045:N2045"/>
    <mergeCell ref="T2045:U2045"/>
    <mergeCell ref="A2028:J2028"/>
    <mergeCell ref="K2028:O2028"/>
    <mergeCell ref="T2028:U2028"/>
    <mergeCell ref="B2029:D2029"/>
    <mergeCell ref="F2029:G2029"/>
    <mergeCell ref="J2029:N2029"/>
    <mergeCell ref="T2029:U2029"/>
    <mergeCell ref="B2030:D2030"/>
    <mergeCell ref="F2030:G2030"/>
    <mergeCell ref="J2030:N2030"/>
    <mergeCell ref="T2030:U2030"/>
    <mergeCell ref="B2031:D2031"/>
    <mergeCell ref="F2031:G2031"/>
    <mergeCell ref="J2031:N2031"/>
    <mergeCell ref="T2031:U2031"/>
    <mergeCell ref="B2032:D2032"/>
    <mergeCell ref="F2032:G2032"/>
    <mergeCell ref="J2032:N2032"/>
    <mergeCell ref="T2032:U2032"/>
    <mergeCell ref="B2033:D2033"/>
    <mergeCell ref="F2033:G2033"/>
    <mergeCell ref="J2033:N2033"/>
    <mergeCell ref="T2033:U2033"/>
    <mergeCell ref="A2034:J2034"/>
    <mergeCell ref="K2034:O2034"/>
    <mergeCell ref="T2034:U2034"/>
    <mergeCell ref="B2035:D2035"/>
    <mergeCell ref="F2035:G2035"/>
    <mergeCell ref="J2035:N2035"/>
    <mergeCell ref="T2035:U2035"/>
    <mergeCell ref="B2036:D2036"/>
    <mergeCell ref="F2036:G2036"/>
    <mergeCell ref="J2036:N2036"/>
    <mergeCell ref="T2036:U2036"/>
    <mergeCell ref="B2019:D2019"/>
    <mergeCell ref="F2019:G2019"/>
    <mergeCell ref="J2019:N2019"/>
    <mergeCell ref="T2019:U2019"/>
    <mergeCell ref="B2020:D2020"/>
    <mergeCell ref="F2020:G2020"/>
    <mergeCell ref="J2020:N2020"/>
    <mergeCell ref="T2020:U2020"/>
    <mergeCell ref="B2021:D2021"/>
    <mergeCell ref="F2021:G2021"/>
    <mergeCell ref="J2021:N2021"/>
    <mergeCell ref="T2021:U2021"/>
    <mergeCell ref="B2022:D2022"/>
    <mergeCell ref="F2022:G2022"/>
    <mergeCell ref="J2022:N2022"/>
    <mergeCell ref="T2022:U2022"/>
    <mergeCell ref="B2023:D2023"/>
    <mergeCell ref="F2023:G2023"/>
    <mergeCell ref="J2023:N2023"/>
    <mergeCell ref="T2023:U2023"/>
    <mergeCell ref="B2024:D2024"/>
    <mergeCell ref="F2024:G2024"/>
    <mergeCell ref="J2024:N2024"/>
    <mergeCell ref="T2024:U2024"/>
    <mergeCell ref="B2025:D2025"/>
    <mergeCell ref="F2025:G2025"/>
    <mergeCell ref="J2025:N2025"/>
    <mergeCell ref="T2025:U2025"/>
    <mergeCell ref="B2026:D2026"/>
    <mergeCell ref="F2026:G2026"/>
    <mergeCell ref="J2026:N2026"/>
    <mergeCell ref="T2026:U2026"/>
    <mergeCell ref="B2027:D2027"/>
    <mergeCell ref="F2027:G2027"/>
    <mergeCell ref="J2027:N2027"/>
    <mergeCell ref="T2027:U2027"/>
    <mergeCell ref="B2010:D2010"/>
    <mergeCell ref="F2010:G2010"/>
    <mergeCell ref="J2010:N2010"/>
    <mergeCell ref="T2010:U2010"/>
    <mergeCell ref="B2011:D2011"/>
    <mergeCell ref="F2011:G2011"/>
    <mergeCell ref="J2011:N2011"/>
    <mergeCell ref="T2011:U2011"/>
    <mergeCell ref="B2012:D2012"/>
    <mergeCell ref="F2012:G2012"/>
    <mergeCell ref="J2012:N2012"/>
    <mergeCell ref="T2012:U2012"/>
    <mergeCell ref="B2013:D2013"/>
    <mergeCell ref="F2013:G2013"/>
    <mergeCell ref="J2013:N2013"/>
    <mergeCell ref="T2013:U2013"/>
    <mergeCell ref="B2014:D2014"/>
    <mergeCell ref="F2014:G2014"/>
    <mergeCell ref="J2014:N2014"/>
    <mergeCell ref="T2014:U2014"/>
    <mergeCell ref="B2015:D2015"/>
    <mergeCell ref="F2015:G2015"/>
    <mergeCell ref="J2015:N2015"/>
    <mergeCell ref="T2015:U2015"/>
    <mergeCell ref="B2016:D2016"/>
    <mergeCell ref="F2016:G2016"/>
    <mergeCell ref="J2016:N2016"/>
    <mergeCell ref="T2016:U2016"/>
    <mergeCell ref="B2017:D2017"/>
    <mergeCell ref="F2017:G2017"/>
    <mergeCell ref="J2017:N2017"/>
    <mergeCell ref="T2017:U2017"/>
    <mergeCell ref="B2018:D2018"/>
    <mergeCell ref="F2018:G2018"/>
    <mergeCell ref="J2018:N2018"/>
    <mergeCell ref="T2018:U2018"/>
    <mergeCell ref="B2001:D2001"/>
    <mergeCell ref="F2001:G2001"/>
    <mergeCell ref="J2001:N2001"/>
    <mergeCell ref="T2001:U2001"/>
    <mergeCell ref="B2002:D2002"/>
    <mergeCell ref="F2002:G2002"/>
    <mergeCell ref="J2002:N2002"/>
    <mergeCell ref="T2002:U2002"/>
    <mergeCell ref="B2003:D2003"/>
    <mergeCell ref="F2003:G2003"/>
    <mergeCell ref="J2003:N2003"/>
    <mergeCell ref="T2003:U2003"/>
    <mergeCell ref="B2004:D2004"/>
    <mergeCell ref="F2004:G2004"/>
    <mergeCell ref="J2004:N2004"/>
    <mergeCell ref="T2004:U2004"/>
    <mergeCell ref="B2005:D2005"/>
    <mergeCell ref="F2005:G2005"/>
    <mergeCell ref="J2005:N2005"/>
    <mergeCell ref="T2005:U2005"/>
    <mergeCell ref="B2006:D2006"/>
    <mergeCell ref="F2006:G2006"/>
    <mergeCell ref="J2006:N2006"/>
    <mergeCell ref="T2006:U2006"/>
    <mergeCell ref="B2007:D2007"/>
    <mergeCell ref="F2007:G2007"/>
    <mergeCell ref="J2007:N2007"/>
    <mergeCell ref="T2007:U2007"/>
    <mergeCell ref="B2008:D2008"/>
    <mergeCell ref="F2008:G2008"/>
    <mergeCell ref="J2008:N2008"/>
    <mergeCell ref="T2008:U2008"/>
    <mergeCell ref="B2009:D2009"/>
    <mergeCell ref="F2009:G2009"/>
    <mergeCell ref="J2009:N2009"/>
    <mergeCell ref="T2009:U2009"/>
    <mergeCell ref="B1992:D1992"/>
    <mergeCell ref="F1992:G1992"/>
    <mergeCell ref="J1992:N1992"/>
    <mergeCell ref="T1992:U1992"/>
    <mergeCell ref="B1993:D1993"/>
    <mergeCell ref="F1993:G1993"/>
    <mergeCell ref="J1993:N1993"/>
    <mergeCell ref="T1993:U1993"/>
    <mergeCell ref="B1994:D1994"/>
    <mergeCell ref="F1994:G1994"/>
    <mergeCell ref="J1994:N1994"/>
    <mergeCell ref="T1994:U1994"/>
    <mergeCell ref="B1995:D1995"/>
    <mergeCell ref="F1995:G1995"/>
    <mergeCell ref="J1995:N1995"/>
    <mergeCell ref="T1995:U1995"/>
    <mergeCell ref="B1996:D1996"/>
    <mergeCell ref="F1996:G1996"/>
    <mergeCell ref="J1996:N1996"/>
    <mergeCell ref="T1996:U1996"/>
    <mergeCell ref="B1997:D1997"/>
    <mergeCell ref="F1997:G1997"/>
    <mergeCell ref="J1997:N1997"/>
    <mergeCell ref="T1997:U1997"/>
    <mergeCell ref="B1998:D1998"/>
    <mergeCell ref="F1998:G1998"/>
    <mergeCell ref="J1998:N1998"/>
    <mergeCell ref="T1998:U1998"/>
    <mergeCell ref="B1999:D1999"/>
    <mergeCell ref="F1999:G1999"/>
    <mergeCell ref="J1999:N1999"/>
    <mergeCell ref="T1999:U1999"/>
    <mergeCell ref="B2000:D2000"/>
    <mergeCell ref="F2000:G2000"/>
    <mergeCell ref="J2000:N2000"/>
    <mergeCell ref="T2000:U2000"/>
    <mergeCell ref="B1983:D1983"/>
    <mergeCell ref="F1983:G1983"/>
    <mergeCell ref="J1983:N1983"/>
    <mergeCell ref="T1983:U1983"/>
    <mergeCell ref="B1984:D1984"/>
    <mergeCell ref="F1984:G1984"/>
    <mergeCell ref="J1984:N1984"/>
    <mergeCell ref="T1984:U1984"/>
    <mergeCell ref="B1985:D1985"/>
    <mergeCell ref="F1985:G1985"/>
    <mergeCell ref="J1985:N1985"/>
    <mergeCell ref="T1985:U1985"/>
    <mergeCell ref="B1986:D1986"/>
    <mergeCell ref="F1986:G1986"/>
    <mergeCell ref="J1986:N1986"/>
    <mergeCell ref="T1986:U1986"/>
    <mergeCell ref="B1987:D1987"/>
    <mergeCell ref="F1987:G1987"/>
    <mergeCell ref="J1987:N1987"/>
    <mergeCell ref="T1987:U1987"/>
    <mergeCell ref="B1988:D1988"/>
    <mergeCell ref="F1988:G1988"/>
    <mergeCell ref="J1988:N1988"/>
    <mergeCell ref="T1988:U1988"/>
    <mergeCell ref="B1989:D1989"/>
    <mergeCell ref="F1989:G1989"/>
    <mergeCell ref="J1989:N1989"/>
    <mergeCell ref="T1989:U1989"/>
    <mergeCell ref="B1990:D1990"/>
    <mergeCell ref="F1990:G1990"/>
    <mergeCell ref="J1990:N1990"/>
    <mergeCell ref="T1990:U1990"/>
    <mergeCell ref="B1991:D1991"/>
    <mergeCell ref="F1991:G1991"/>
    <mergeCell ref="J1991:N1991"/>
    <mergeCell ref="T1991:U1991"/>
    <mergeCell ref="B1974:D1974"/>
    <mergeCell ref="F1974:G1974"/>
    <mergeCell ref="J1974:N1974"/>
    <mergeCell ref="T1974:U1974"/>
    <mergeCell ref="B1975:D1975"/>
    <mergeCell ref="F1975:G1975"/>
    <mergeCell ref="J1975:N1975"/>
    <mergeCell ref="T1975:U1975"/>
    <mergeCell ref="B1976:D1976"/>
    <mergeCell ref="F1976:G1976"/>
    <mergeCell ref="J1976:N1976"/>
    <mergeCell ref="T1976:U1976"/>
    <mergeCell ref="B1977:D1977"/>
    <mergeCell ref="F1977:G1977"/>
    <mergeCell ref="J1977:N1977"/>
    <mergeCell ref="T1977:U1977"/>
    <mergeCell ref="B1978:D1978"/>
    <mergeCell ref="F1978:G1978"/>
    <mergeCell ref="J1978:N1978"/>
    <mergeCell ref="T1978:U1978"/>
    <mergeCell ref="B1979:D1979"/>
    <mergeCell ref="F1979:G1979"/>
    <mergeCell ref="J1979:N1979"/>
    <mergeCell ref="T1979:U1979"/>
    <mergeCell ref="B1980:D1980"/>
    <mergeCell ref="F1980:G1980"/>
    <mergeCell ref="J1980:N1980"/>
    <mergeCell ref="T1980:U1980"/>
    <mergeCell ref="B1981:D1981"/>
    <mergeCell ref="F1981:G1981"/>
    <mergeCell ref="J1981:N1981"/>
    <mergeCell ref="T1981:U1981"/>
    <mergeCell ref="B1982:D1982"/>
    <mergeCell ref="F1982:G1982"/>
    <mergeCell ref="J1982:N1982"/>
    <mergeCell ref="T1982:U1982"/>
    <mergeCell ref="B1965:D1965"/>
    <mergeCell ref="F1965:G1965"/>
    <mergeCell ref="J1965:N1965"/>
    <mergeCell ref="T1965:U1965"/>
    <mergeCell ref="B1966:D1966"/>
    <mergeCell ref="F1966:G1966"/>
    <mergeCell ref="J1966:N1966"/>
    <mergeCell ref="T1966:U1966"/>
    <mergeCell ref="B1967:D1967"/>
    <mergeCell ref="F1967:G1967"/>
    <mergeCell ref="J1967:N1967"/>
    <mergeCell ref="T1967:U1967"/>
    <mergeCell ref="B1968:D1968"/>
    <mergeCell ref="F1968:G1968"/>
    <mergeCell ref="J1968:N1968"/>
    <mergeCell ref="T1968:U1968"/>
    <mergeCell ref="B1969:D1969"/>
    <mergeCell ref="F1969:G1969"/>
    <mergeCell ref="J1969:N1969"/>
    <mergeCell ref="T1969:U1969"/>
    <mergeCell ref="B1970:D1970"/>
    <mergeCell ref="F1970:G1970"/>
    <mergeCell ref="J1970:N1970"/>
    <mergeCell ref="T1970:U1970"/>
    <mergeCell ref="B1971:D1971"/>
    <mergeCell ref="F1971:G1971"/>
    <mergeCell ref="J1971:N1971"/>
    <mergeCell ref="T1971:U1971"/>
    <mergeCell ref="B1972:D1972"/>
    <mergeCell ref="F1972:G1972"/>
    <mergeCell ref="J1972:N1972"/>
    <mergeCell ref="T1972:U1972"/>
    <mergeCell ref="B1973:D1973"/>
    <mergeCell ref="F1973:G1973"/>
    <mergeCell ref="J1973:N1973"/>
    <mergeCell ref="T1973:U1973"/>
    <mergeCell ref="B1956:D1956"/>
    <mergeCell ref="F1956:G1956"/>
    <mergeCell ref="J1956:N1956"/>
    <mergeCell ref="T1956:U1956"/>
    <mergeCell ref="B1957:D1957"/>
    <mergeCell ref="F1957:G1957"/>
    <mergeCell ref="J1957:N1957"/>
    <mergeCell ref="T1957:U1957"/>
    <mergeCell ref="B1958:D1958"/>
    <mergeCell ref="F1958:G1958"/>
    <mergeCell ref="J1958:N1958"/>
    <mergeCell ref="T1958:U1958"/>
    <mergeCell ref="B1959:D1959"/>
    <mergeCell ref="F1959:G1959"/>
    <mergeCell ref="J1959:N1959"/>
    <mergeCell ref="T1959:U1959"/>
    <mergeCell ref="B1960:D1960"/>
    <mergeCell ref="F1960:G1960"/>
    <mergeCell ref="J1960:N1960"/>
    <mergeCell ref="T1960:U1960"/>
    <mergeCell ref="B1961:D1961"/>
    <mergeCell ref="F1961:G1961"/>
    <mergeCell ref="J1961:N1961"/>
    <mergeCell ref="T1961:U1961"/>
    <mergeCell ref="B1962:D1962"/>
    <mergeCell ref="F1962:G1962"/>
    <mergeCell ref="J1962:N1962"/>
    <mergeCell ref="T1962:U1962"/>
    <mergeCell ref="B1963:D1963"/>
    <mergeCell ref="F1963:G1963"/>
    <mergeCell ref="J1963:N1963"/>
    <mergeCell ref="T1963:U1963"/>
    <mergeCell ref="B1964:D1964"/>
    <mergeCell ref="F1964:G1964"/>
    <mergeCell ref="J1964:N1964"/>
    <mergeCell ref="T1964:U1964"/>
    <mergeCell ref="B1947:D1947"/>
    <mergeCell ref="F1947:G1947"/>
    <mergeCell ref="J1947:N1947"/>
    <mergeCell ref="T1947:U1947"/>
    <mergeCell ref="B1948:D1948"/>
    <mergeCell ref="F1948:G1948"/>
    <mergeCell ref="J1948:N1948"/>
    <mergeCell ref="T1948:U1948"/>
    <mergeCell ref="B1949:D1949"/>
    <mergeCell ref="F1949:G1949"/>
    <mergeCell ref="J1949:N1949"/>
    <mergeCell ref="T1949:U1949"/>
    <mergeCell ref="B1950:D1950"/>
    <mergeCell ref="F1950:G1950"/>
    <mergeCell ref="J1950:N1950"/>
    <mergeCell ref="T1950:U1950"/>
    <mergeCell ref="B1951:D1951"/>
    <mergeCell ref="F1951:G1951"/>
    <mergeCell ref="J1951:N1951"/>
    <mergeCell ref="T1951:U1951"/>
    <mergeCell ref="B1952:D1952"/>
    <mergeCell ref="F1952:G1952"/>
    <mergeCell ref="J1952:N1952"/>
    <mergeCell ref="T1952:U1952"/>
    <mergeCell ref="B1953:D1953"/>
    <mergeCell ref="F1953:G1953"/>
    <mergeCell ref="J1953:N1953"/>
    <mergeCell ref="T1953:U1953"/>
    <mergeCell ref="A1954:J1954"/>
    <mergeCell ref="K1954:O1954"/>
    <mergeCell ref="T1954:U1954"/>
    <mergeCell ref="B1955:D1955"/>
    <mergeCell ref="F1955:G1955"/>
    <mergeCell ref="J1955:N1955"/>
    <mergeCell ref="T1955:U1955"/>
    <mergeCell ref="B1938:D1938"/>
    <mergeCell ref="F1938:G1938"/>
    <mergeCell ref="J1938:N1938"/>
    <mergeCell ref="T1938:U1938"/>
    <mergeCell ref="B1939:D1939"/>
    <mergeCell ref="F1939:G1939"/>
    <mergeCell ref="J1939:N1939"/>
    <mergeCell ref="T1939:U1939"/>
    <mergeCell ref="B1940:D1940"/>
    <mergeCell ref="F1940:G1940"/>
    <mergeCell ref="J1940:N1940"/>
    <mergeCell ref="T1940:U1940"/>
    <mergeCell ref="B1941:D1941"/>
    <mergeCell ref="F1941:G1941"/>
    <mergeCell ref="J1941:N1941"/>
    <mergeCell ref="T1941:U1941"/>
    <mergeCell ref="B1942:D1942"/>
    <mergeCell ref="F1942:G1942"/>
    <mergeCell ref="J1942:N1942"/>
    <mergeCell ref="T1942:U1942"/>
    <mergeCell ref="B1943:D1943"/>
    <mergeCell ref="F1943:G1943"/>
    <mergeCell ref="J1943:N1943"/>
    <mergeCell ref="T1943:U1943"/>
    <mergeCell ref="B1944:D1944"/>
    <mergeCell ref="F1944:G1944"/>
    <mergeCell ref="J1944:N1944"/>
    <mergeCell ref="T1944:U1944"/>
    <mergeCell ref="B1945:D1945"/>
    <mergeCell ref="F1945:G1945"/>
    <mergeCell ref="J1945:N1945"/>
    <mergeCell ref="T1945:U1945"/>
    <mergeCell ref="B1946:D1946"/>
    <mergeCell ref="F1946:G1946"/>
    <mergeCell ref="J1946:N1946"/>
    <mergeCell ref="T1946:U1946"/>
    <mergeCell ref="B1929:D1929"/>
    <mergeCell ref="F1929:G1929"/>
    <mergeCell ref="J1929:N1929"/>
    <mergeCell ref="T1929:U1929"/>
    <mergeCell ref="B1930:D1930"/>
    <mergeCell ref="F1930:G1930"/>
    <mergeCell ref="J1930:N1930"/>
    <mergeCell ref="T1930:U1930"/>
    <mergeCell ref="B1931:D1931"/>
    <mergeCell ref="F1931:G1931"/>
    <mergeCell ref="J1931:N1931"/>
    <mergeCell ref="T1931:U1931"/>
    <mergeCell ref="B1932:D1932"/>
    <mergeCell ref="F1932:G1932"/>
    <mergeCell ref="J1932:N1932"/>
    <mergeCell ref="T1932:U1932"/>
    <mergeCell ref="B1933:D1933"/>
    <mergeCell ref="F1933:G1933"/>
    <mergeCell ref="J1933:N1933"/>
    <mergeCell ref="T1933:U1933"/>
    <mergeCell ref="B1934:D1934"/>
    <mergeCell ref="F1934:G1934"/>
    <mergeCell ref="J1934:N1934"/>
    <mergeCell ref="T1934:U1934"/>
    <mergeCell ref="B1935:D1935"/>
    <mergeCell ref="F1935:G1935"/>
    <mergeCell ref="J1935:N1935"/>
    <mergeCell ref="T1935:U1935"/>
    <mergeCell ref="B1936:D1936"/>
    <mergeCell ref="F1936:G1936"/>
    <mergeCell ref="J1936:N1936"/>
    <mergeCell ref="T1936:U1936"/>
    <mergeCell ref="B1937:D1937"/>
    <mergeCell ref="F1937:G1937"/>
    <mergeCell ref="J1937:N1937"/>
    <mergeCell ref="T1937:U1937"/>
    <mergeCell ref="B1920:D1920"/>
    <mergeCell ref="F1920:G1920"/>
    <mergeCell ref="J1920:N1920"/>
    <mergeCell ref="T1920:U1920"/>
    <mergeCell ref="B1921:D1921"/>
    <mergeCell ref="F1921:G1921"/>
    <mergeCell ref="J1921:N1921"/>
    <mergeCell ref="T1921:U1921"/>
    <mergeCell ref="B1922:D1922"/>
    <mergeCell ref="F1922:G1922"/>
    <mergeCell ref="J1922:N1922"/>
    <mergeCell ref="T1922:U1922"/>
    <mergeCell ref="B1923:D1923"/>
    <mergeCell ref="F1923:G1923"/>
    <mergeCell ref="J1923:N1923"/>
    <mergeCell ref="T1923:U1923"/>
    <mergeCell ref="B1924:D1924"/>
    <mergeCell ref="F1924:G1924"/>
    <mergeCell ref="J1924:N1924"/>
    <mergeCell ref="T1924:U1924"/>
    <mergeCell ref="B1925:D1925"/>
    <mergeCell ref="F1925:G1925"/>
    <mergeCell ref="J1925:N1925"/>
    <mergeCell ref="T1925:U1925"/>
    <mergeCell ref="B1926:D1926"/>
    <mergeCell ref="F1926:G1926"/>
    <mergeCell ref="J1926:N1926"/>
    <mergeCell ref="T1926:U1926"/>
    <mergeCell ref="B1927:D1927"/>
    <mergeCell ref="F1927:G1927"/>
    <mergeCell ref="J1927:N1927"/>
    <mergeCell ref="T1927:U1927"/>
    <mergeCell ref="B1928:D1928"/>
    <mergeCell ref="F1928:G1928"/>
    <mergeCell ref="J1928:N1928"/>
    <mergeCell ref="T1928:U1928"/>
    <mergeCell ref="B1911:D1911"/>
    <mergeCell ref="F1911:G1911"/>
    <mergeCell ref="J1911:N1911"/>
    <mergeCell ref="T1911:U1911"/>
    <mergeCell ref="B1912:D1912"/>
    <mergeCell ref="F1912:G1912"/>
    <mergeCell ref="J1912:N1912"/>
    <mergeCell ref="T1912:U1912"/>
    <mergeCell ref="B1913:D1913"/>
    <mergeCell ref="F1913:G1913"/>
    <mergeCell ref="J1913:N1913"/>
    <mergeCell ref="T1913:U1913"/>
    <mergeCell ref="B1914:D1914"/>
    <mergeCell ref="F1914:G1914"/>
    <mergeCell ref="J1914:N1914"/>
    <mergeCell ref="T1914:U1914"/>
    <mergeCell ref="B1915:D1915"/>
    <mergeCell ref="F1915:G1915"/>
    <mergeCell ref="J1915:N1915"/>
    <mergeCell ref="T1915:U1915"/>
    <mergeCell ref="B1916:D1916"/>
    <mergeCell ref="F1916:G1916"/>
    <mergeCell ref="J1916:N1916"/>
    <mergeCell ref="T1916:U1916"/>
    <mergeCell ref="B1917:D1917"/>
    <mergeCell ref="F1917:G1917"/>
    <mergeCell ref="J1917:N1917"/>
    <mergeCell ref="T1917:U1917"/>
    <mergeCell ref="B1918:D1918"/>
    <mergeCell ref="F1918:G1918"/>
    <mergeCell ref="J1918:N1918"/>
    <mergeCell ref="T1918:U1918"/>
    <mergeCell ref="B1919:D1919"/>
    <mergeCell ref="F1919:G1919"/>
    <mergeCell ref="J1919:N1919"/>
    <mergeCell ref="T1919:U1919"/>
    <mergeCell ref="B1902:D1902"/>
    <mergeCell ref="F1902:G1902"/>
    <mergeCell ref="J1902:N1902"/>
    <mergeCell ref="T1902:U1902"/>
    <mergeCell ref="B1903:D1903"/>
    <mergeCell ref="F1903:G1903"/>
    <mergeCell ref="J1903:N1903"/>
    <mergeCell ref="T1903:U1903"/>
    <mergeCell ref="B1904:D1904"/>
    <mergeCell ref="F1904:G1904"/>
    <mergeCell ref="J1904:N1904"/>
    <mergeCell ref="T1904:U1904"/>
    <mergeCell ref="B1905:D1905"/>
    <mergeCell ref="F1905:G1905"/>
    <mergeCell ref="J1905:N1905"/>
    <mergeCell ref="T1905:U1905"/>
    <mergeCell ref="B1906:D1906"/>
    <mergeCell ref="F1906:G1906"/>
    <mergeCell ref="J1906:N1906"/>
    <mergeCell ref="T1906:U1906"/>
    <mergeCell ref="B1907:D1907"/>
    <mergeCell ref="F1907:G1907"/>
    <mergeCell ref="J1907:N1907"/>
    <mergeCell ref="T1907:U1907"/>
    <mergeCell ref="B1908:D1908"/>
    <mergeCell ref="F1908:G1908"/>
    <mergeCell ref="J1908:N1908"/>
    <mergeCell ref="T1908:U1908"/>
    <mergeCell ref="B1909:D1909"/>
    <mergeCell ref="F1909:G1909"/>
    <mergeCell ref="J1909:N1909"/>
    <mergeCell ref="T1909:U1909"/>
    <mergeCell ref="B1910:D1910"/>
    <mergeCell ref="F1910:G1910"/>
    <mergeCell ref="J1910:N1910"/>
    <mergeCell ref="T1910:U1910"/>
    <mergeCell ref="B1893:D1893"/>
    <mergeCell ref="F1893:G1893"/>
    <mergeCell ref="J1893:N1893"/>
    <mergeCell ref="T1893:U1893"/>
    <mergeCell ref="B1894:D1894"/>
    <mergeCell ref="F1894:G1894"/>
    <mergeCell ref="J1894:N1894"/>
    <mergeCell ref="T1894:U1894"/>
    <mergeCell ref="B1895:D1895"/>
    <mergeCell ref="F1895:G1895"/>
    <mergeCell ref="J1895:N1895"/>
    <mergeCell ref="T1895:U1895"/>
    <mergeCell ref="B1896:D1896"/>
    <mergeCell ref="F1896:G1896"/>
    <mergeCell ref="J1896:N1896"/>
    <mergeCell ref="T1896:U1896"/>
    <mergeCell ref="B1897:D1897"/>
    <mergeCell ref="F1897:G1897"/>
    <mergeCell ref="J1897:N1897"/>
    <mergeCell ref="T1897:U1897"/>
    <mergeCell ref="B1898:D1898"/>
    <mergeCell ref="F1898:G1898"/>
    <mergeCell ref="J1898:N1898"/>
    <mergeCell ref="T1898:U1898"/>
    <mergeCell ref="B1899:D1899"/>
    <mergeCell ref="F1899:G1899"/>
    <mergeCell ref="J1899:N1899"/>
    <mergeCell ref="T1899:U1899"/>
    <mergeCell ref="B1900:D1900"/>
    <mergeCell ref="F1900:G1900"/>
    <mergeCell ref="J1900:N1900"/>
    <mergeCell ref="T1900:U1900"/>
    <mergeCell ref="B1901:D1901"/>
    <mergeCell ref="F1901:G1901"/>
    <mergeCell ref="J1901:N1901"/>
    <mergeCell ref="T1901:U1901"/>
    <mergeCell ref="B1884:D1884"/>
    <mergeCell ref="F1884:G1884"/>
    <mergeCell ref="J1884:N1884"/>
    <mergeCell ref="T1884:U1884"/>
    <mergeCell ref="B1885:D1885"/>
    <mergeCell ref="F1885:G1885"/>
    <mergeCell ref="J1885:N1885"/>
    <mergeCell ref="T1885:U1885"/>
    <mergeCell ref="B1886:D1886"/>
    <mergeCell ref="F1886:G1886"/>
    <mergeCell ref="J1886:N1886"/>
    <mergeCell ref="T1886:U1886"/>
    <mergeCell ref="B1887:D1887"/>
    <mergeCell ref="F1887:G1887"/>
    <mergeCell ref="J1887:N1887"/>
    <mergeCell ref="T1887:U1887"/>
    <mergeCell ref="B1888:D1888"/>
    <mergeCell ref="F1888:G1888"/>
    <mergeCell ref="J1888:N1888"/>
    <mergeCell ref="T1888:U1888"/>
    <mergeCell ref="B1889:D1889"/>
    <mergeCell ref="F1889:G1889"/>
    <mergeCell ref="J1889:N1889"/>
    <mergeCell ref="T1889:U1889"/>
    <mergeCell ref="B1890:D1890"/>
    <mergeCell ref="F1890:G1890"/>
    <mergeCell ref="J1890:N1890"/>
    <mergeCell ref="T1890:U1890"/>
    <mergeCell ref="B1891:D1891"/>
    <mergeCell ref="F1891:G1891"/>
    <mergeCell ref="J1891:N1891"/>
    <mergeCell ref="T1891:U1891"/>
    <mergeCell ref="A1892:J1892"/>
    <mergeCell ref="K1892:O1892"/>
    <mergeCell ref="T1892:U1892"/>
    <mergeCell ref="B1875:D1875"/>
    <mergeCell ref="F1875:G1875"/>
    <mergeCell ref="J1875:N1875"/>
    <mergeCell ref="T1875:U1875"/>
    <mergeCell ref="B1876:D1876"/>
    <mergeCell ref="F1876:G1876"/>
    <mergeCell ref="J1876:N1876"/>
    <mergeCell ref="T1876:U1876"/>
    <mergeCell ref="B1877:D1877"/>
    <mergeCell ref="F1877:G1877"/>
    <mergeCell ref="J1877:N1877"/>
    <mergeCell ref="T1877:U1877"/>
    <mergeCell ref="B1878:D1878"/>
    <mergeCell ref="F1878:G1878"/>
    <mergeCell ref="J1878:N1878"/>
    <mergeCell ref="T1878:U1878"/>
    <mergeCell ref="B1879:D1879"/>
    <mergeCell ref="F1879:G1879"/>
    <mergeCell ref="J1879:N1879"/>
    <mergeCell ref="T1879:U1879"/>
    <mergeCell ref="B1880:D1880"/>
    <mergeCell ref="F1880:G1880"/>
    <mergeCell ref="J1880:N1880"/>
    <mergeCell ref="T1880:U1880"/>
    <mergeCell ref="B1881:D1881"/>
    <mergeCell ref="F1881:G1881"/>
    <mergeCell ref="J1881:N1881"/>
    <mergeCell ref="T1881:U1881"/>
    <mergeCell ref="B1882:D1882"/>
    <mergeCell ref="F1882:G1882"/>
    <mergeCell ref="J1882:N1882"/>
    <mergeCell ref="T1882:U1882"/>
    <mergeCell ref="B1883:D1883"/>
    <mergeCell ref="F1883:G1883"/>
    <mergeCell ref="J1883:N1883"/>
    <mergeCell ref="T1883:U1883"/>
    <mergeCell ref="B1866:D1866"/>
    <mergeCell ref="F1866:G1866"/>
    <mergeCell ref="J1866:N1866"/>
    <mergeCell ref="T1866:U1866"/>
    <mergeCell ref="B1867:D1867"/>
    <mergeCell ref="F1867:G1867"/>
    <mergeCell ref="J1867:N1867"/>
    <mergeCell ref="T1867:U1867"/>
    <mergeCell ref="B1868:D1868"/>
    <mergeCell ref="F1868:G1868"/>
    <mergeCell ref="J1868:N1868"/>
    <mergeCell ref="T1868:U1868"/>
    <mergeCell ref="B1869:D1869"/>
    <mergeCell ref="F1869:G1869"/>
    <mergeCell ref="J1869:N1869"/>
    <mergeCell ref="T1869:U1869"/>
    <mergeCell ref="B1870:D1870"/>
    <mergeCell ref="F1870:G1870"/>
    <mergeCell ref="J1870:N1870"/>
    <mergeCell ref="T1870:U1870"/>
    <mergeCell ref="B1871:D1871"/>
    <mergeCell ref="F1871:G1871"/>
    <mergeCell ref="J1871:N1871"/>
    <mergeCell ref="T1871:U1871"/>
    <mergeCell ref="B1872:D1872"/>
    <mergeCell ref="F1872:G1872"/>
    <mergeCell ref="J1872:N1872"/>
    <mergeCell ref="T1872:U1872"/>
    <mergeCell ref="B1873:D1873"/>
    <mergeCell ref="F1873:G1873"/>
    <mergeCell ref="J1873:N1873"/>
    <mergeCell ref="T1873:U1873"/>
    <mergeCell ref="B1874:D1874"/>
    <mergeCell ref="F1874:G1874"/>
    <mergeCell ref="J1874:N1874"/>
    <mergeCell ref="T1874:U1874"/>
    <mergeCell ref="B1857:D1857"/>
    <mergeCell ref="F1857:G1857"/>
    <mergeCell ref="J1857:N1857"/>
    <mergeCell ref="T1857:U1857"/>
    <mergeCell ref="B1858:D1858"/>
    <mergeCell ref="F1858:G1858"/>
    <mergeCell ref="J1858:N1858"/>
    <mergeCell ref="T1858:U1858"/>
    <mergeCell ref="B1859:D1859"/>
    <mergeCell ref="F1859:G1859"/>
    <mergeCell ref="J1859:N1859"/>
    <mergeCell ref="T1859:U1859"/>
    <mergeCell ref="B1860:D1860"/>
    <mergeCell ref="F1860:G1860"/>
    <mergeCell ref="J1860:N1860"/>
    <mergeCell ref="T1860:U1860"/>
    <mergeCell ref="B1861:D1861"/>
    <mergeCell ref="F1861:G1861"/>
    <mergeCell ref="J1861:N1861"/>
    <mergeCell ref="T1861:U1861"/>
    <mergeCell ref="B1862:D1862"/>
    <mergeCell ref="F1862:G1862"/>
    <mergeCell ref="J1862:N1862"/>
    <mergeCell ref="T1862:U1862"/>
    <mergeCell ref="B1863:D1863"/>
    <mergeCell ref="F1863:G1863"/>
    <mergeCell ref="J1863:N1863"/>
    <mergeCell ref="T1863:U1863"/>
    <mergeCell ref="B1864:D1864"/>
    <mergeCell ref="F1864:G1864"/>
    <mergeCell ref="J1864:N1864"/>
    <mergeCell ref="T1864:U1864"/>
    <mergeCell ref="B1865:D1865"/>
    <mergeCell ref="F1865:G1865"/>
    <mergeCell ref="J1865:N1865"/>
    <mergeCell ref="T1865:U1865"/>
    <mergeCell ref="B1848:D1848"/>
    <mergeCell ref="F1848:G1848"/>
    <mergeCell ref="J1848:N1848"/>
    <mergeCell ref="T1848:U1848"/>
    <mergeCell ref="B1849:D1849"/>
    <mergeCell ref="F1849:G1849"/>
    <mergeCell ref="J1849:N1849"/>
    <mergeCell ref="T1849:U1849"/>
    <mergeCell ref="B1850:D1850"/>
    <mergeCell ref="F1850:G1850"/>
    <mergeCell ref="J1850:N1850"/>
    <mergeCell ref="T1850:U1850"/>
    <mergeCell ref="B1851:D1851"/>
    <mergeCell ref="F1851:G1851"/>
    <mergeCell ref="J1851:N1851"/>
    <mergeCell ref="T1851:U1851"/>
    <mergeCell ref="B1852:D1852"/>
    <mergeCell ref="F1852:G1852"/>
    <mergeCell ref="J1852:N1852"/>
    <mergeCell ref="T1852:U1852"/>
    <mergeCell ref="B1853:D1853"/>
    <mergeCell ref="F1853:G1853"/>
    <mergeCell ref="J1853:N1853"/>
    <mergeCell ref="T1853:U1853"/>
    <mergeCell ref="B1854:D1854"/>
    <mergeCell ref="F1854:G1854"/>
    <mergeCell ref="J1854:N1854"/>
    <mergeCell ref="T1854:U1854"/>
    <mergeCell ref="B1855:D1855"/>
    <mergeCell ref="F1855:G1855"/>
    <mergeCell ref="J1855:N1855"/>
    <mergeCell ref="T1855:U1855"/>
    <mergeCell ref="B1856:D1856"/>
    <mergeCell ref="F1856:G1856"/>
    <mergeCell ref="J1856:N1856"/>
    <mergeCell ref="T1856:U1856"/>
    <mergeCell ref="B1839:D1839"/>
    <mergeCell ref="F1839:G1839"/>
    <mergeCell ref="J1839:N1839"/>
    <mergeCell ref="T1839:U1839"/>
    <mergeCell ref="B1840:D1840"/>
    <mergeCell ref="F1840:G1840"/>
    <mergeCell ref="J1840:N1840"/>
    <mergeCell ref="T1840:U1840"/>
    <mergeCell ref="B1841:D1841"/>
    <mergeCell ref="F1841:G1841"/>
    <mergeCell ref="J1841:N1841"/>
    <mergeCell ref="T1841:U1841"/>
    <mergeCell ref="B1842:D1842"/>
    <mergeCell ref="F1842:G1842"/>
    <mergeCell ref="J1842:N1842"/>
    <mergeCell ref="T1842:U1842"/>
    <mergeCell ref="B1843:D1843"/>
    <mergeCell ref="F1843:G1843"/>
    <mergeCell ref="J1843:N1843"/>
    <mergeCell ref="T1843:U1843"/>
    <mergeCell ref="A1844:J1844"/>
    <mergeCell ref="K1844:O1844"/>
    <mergeCell ref="T1844:U1844"/>
    <mergeCell ref="B1845:D1845"/>
    <mergeCell ref="F1845:G1845"/>
    <mergeCell ref="J1845:N1845"/>
    <mergeCell ref="T1845:U1845"/>
    <mergeCell ref="B1846:D1846"/>
    <mergeCell ref="F1846:G1846"/>
    <mergeCell ref="J1846:N1846"/>
    <mergeCell ref="T1846:U1846"/>
    <mergeCell ref="B1847:D1847"/>
    <mergeCell ref="F1847:G1847"/>
    <mergeCell ref="J1847:N1847"/>
    <mergeCell ref="T1847:U1847"/>
    <mergeCell ref="B1830:D1830"/>
    <mergeCell ref="F1830:G1830"/>
    <mergeCell ref="J1830:N1830"/>
    <mergeCell ref="T1830:U1830"/>
    <mergeCell ref="B1831:D1831"/>
    <mergeCell ref="F1831:G1831"/>
    <mergeCell ref="J1831:N1831"/>
    <mergeCell ref="T1831:U1831"/>
    <mergeCell ref="B1832:D1832"/>
    <mergeCell ref="F1832:G1832"/>
    <mergeCell ref="J1832:N1832"/>
    <mergeCell ref="T1832:U1832"/>
    <mergeCell ref="B1833:D1833"/>
    <mergeCell ref="F1833:G1833"/>
    <mergeCell ref="J1833:N1833"/>
    <mergeCell ref="T1833:U1833"/>
    <mergeCell ref="B1834:D1834"/>
    <mergeCell ref="F1834:G1834"/>
    <mergeCell ref="J1834:N1834"/>
    <mergeCell ref="T1834:U1834"/>
    <mergeCell ref="B1835:D1835"/>
    <mergeCell ref="F1835:G1835"/>
    <mergeCell ref="J1835:N1835"/>
    <mergeCell ref="T1835:U1835"/>
    <mergeCell ref="B1836:D1836"/>
    <mergeCell ref="F1836:G1836"/>
    <mergeCell ref="J1836:N1836"/>
    <mergeCell ref="T1836:U1836"/>
    <mergeCell ref="B1837:D1837"/>
    <mergeCell ref="F1837:G1837"/>
    <mergeCell ref="J1837:N1837"/>
    <mergeCell ref="T1837:U1837"/>
    <mergeCell ref="B1838:D1838"/>
    <mergeCell ref="F1838:G1838"/>
    <mergeCell ref="J1838:N1838"/>
    <mergeCell ref="T1838:U1838"/>
    <mergeCell ref="B1821:D1821"/>
    <mergeCell ref="F1821:G1821"/>
    <mergeCell ref="J1821:N1821"/>
    <mergeCell ref="T1821:U1821"/>
    <mergeCell ref="B1822:D1822"/>
    <mergeCell ref="F1822:G1822"/>
    <mergeCell ref="J1822:N1822"/>
    <mergeCell ref="T1822:U1822"/>
    <mergeCell ref="B1823:D1823"/>
    <mergeCell ref="F1823:G1823"/>
    <mergeCell ref="J1823:N1823"/>
    <mergeCell ref="T1823:U1823"/>
    <mergeCell ref="B1824:D1824"/>
    <mergeCell ref="F1824:G1824"/>
    <mergeCell ref="J1824:N1824"/>
    <mergeCell ref="T1824:U1824"/>
    <mergeCell ref="B1825:D1825"/>
    <mergeCell ref="F1825:G1825"/>
    <mergeCell ref="J1825:N1825"/>
    <mergeCell ref="T1825:U1825"/>
    <mergeCell ref="B1826:D1826"/>
    <mergeCell ref="F1826:G1826"/>
    <mergeCell ref="J1826:N1826"/>
    <mergeCell ref="T1826:U1826"/>
    <mergeCell ref="B1827:D1827"/>
    <mergeCell ref="F1827:G1827"/>
    <mergeCell ref="J1827:N1827"/>
    <mergeCell ref="T1827:U1827"/>
    <mergeCell ref="B1828:D1828"/>
    <mergeCell ref="F1828:G1828"/>
    <mergeCell ref="J1828:N1828"/>
    <mergeCell ref="T1828:U1828"/>
    <mergeCell ref="B1829:D1829"/>
    <mergeCell ref="F1829:G1829"/>
    <mergeCell ref="J1829:N1829"/>
    <mergeCell ref="T1829:U1829"/>
    <mergeCell ref="B1812:D1812"/>
    <mergeCell ref="F1812:G1812"/>
    <mergeCell ref="J1812:N1812"/>
    <mergeCell ref="T1812:U1812"/>
    <mergeCell ref="B1813:D1813"/>
    <mergeCell ref="F1813:G1813"/>
    <mergeCell ref="J1813:N1813"/>
    <mergeCell ref="T1813:U1813"/>
    <mergeCell ref="B1814:D1814"/>
    <mergeCell ref="F1814:G1814"/>
    <mergeCell ref="J1814:N1814"/>
    <mergeCell ref="T1814:U1814"/>
    <mergeCell ref="B1815:D1815"/>
    <mergeCell ref="F1815:G1815"/>
    <mergeCell ref="J1815:N1815"/>
    <mergeCell ref="T1815:U1815"/>
    <mergeCell ref="B1816:D1816"/>
    <mergeCell ref="F1816:G1816"/>
    <mergeCell ref="J1816:N1816"/>
    <mergeCell ref="T1816:U1816"/>
    <mergeCell ref="B1817:D1817"/>
    <mergeCell ref="F1817:G1817"/>
    <mergeCell ref="J1817:N1817"/>
    <mergeCell ref="T1817:U1817"/>
    <mergeCell ref="B1818:D1818"/>
    <mergeCell ref="F1818:G1818"/>
    <mergeCell ref="J1818:N1818"/>
    <mergeCell ref="T1818:U1818"/>
    <mergeCell ref="B1819:D1819"/>
    <mergeCell ref="F1819:G1819"/>
    <mergeCell ref="J1819:N1819"/>
    <mergeCell ref="T1819:U1819"/>
    <mergeCell ref="B1820:D1820"/>
    <mergeCell ref="F1820:G1820"/>
    <mergeCell ref="J1820:N1820"/>
    <mergeCell ref="T1820:U1820"/>
    <mergeCell ref="B1802:D1802"/>
    <mergeCell ref="F1802:G1803"/>
    <mergeCell ref="J1802:N1802"/>
    <mergeCell ref="T1802:U1802"/>
    <mergeCell ref="B1804:D1804"/>
    <mergeCell ref="F1804:G1804"/>
    <mergeCell ref="J1804:N1804"/>
    <mergeCell ref="T1804:U1804"/>
    <mergeCell ref="B1805:D1805"/>
    <mergeCell ref="F1805:G1805"/>
    <mergeCell ref="J1805:N1805"/>
    <mergeCell ref="T1805:U1805"/>
    <mergeCell ref="B1806:D1806"/>
    <mergeCell ref="F1806:G1806"/>
    <mergeCell ref="J1806:N1806"/>
    <mergeCell ref="T1806:U1806"/>
    <mergeCell ref="B1807:D1807"/>
    <mergeCell ref="F1807:G1807"/>
    <mergeCell ref="J1807:N1807"/>
    <mergeCell ref="T1807:U1807"/>
    <mergeCell ref="B1808:D1808"/>
    <mergeCell ref="F1808:G1808"/>
    <mergeCell ref="J1808:N1808"/>
    <mergeCell ref="T1808:U1808"/>
    <mergeCell ref="B1809:D1809"/>
    <mergeCell ref="F1809:G1809"/>
    <mergeCell ref="J1809:N1809"/>
    <mergeCell ref="T1809:U1809"/>
    <mergeCell ref="B1810:D1810"/>
    <mergeCell ref="F1810:G1810"/>
    <mergeCell ref="J1810:N1810"/>
    <mergeCell ref="T1810:U1810"/>
    <mergeCell ref="B1811:D1811"/>
    <mergeCell ref="F1811:G1811"/>
    <mergeCell ref="J1811:N1811"/>
    <mergeCell ref="T1811:U1811"/>
    <mergeCell ref="B1793:D1793"/>
    <mergeCell ref="F1793:G1793"/>
    <mergeCell ref="J1793:N1793"/>
    <mergeCell ref="T1793:U1793"/>
    <mergeCell ref="B1794:D1794"/>
    <mergeCell ref="F1794:G1794"/>
    <mergeCell ref="J1794:N1794"/>
    <mergeCell ref="T1794:U1794"/>
    <mergeCell ref="B1795:D1795"/>
    <mergeCell ref="F1795:G1795"/>
    <mergeCell ref="J1795:N1795"/>
    <mergeCell ref="T1795:U1795"/>
    <mergeCell ref="B1796:D1796"/>
    <mergeCell ref="F1796:G1796"/>
    <mergeCell ref="J1796:N1796"/>
    <mergeCell ref="T1796:U1796"/>
    <mergeCell ref="B1797:D1797"/>
    <mergeCell ref="F1797:G1797"/>
    <mergeCell ref="J1797:N1797"/>
    <mergeCell ref="T1797:U1797"/>
    <mergeCell ref="B1798:D1798"/>
    <mergeCell ref="F1798:G1798"/>
    <mergeCell ref="J1798:N1798"/>
    <mergeCell ref="T1798:U1798"/>
    <mergeCell ref="B1799:D1799"/>
    <mergeCell ref="F1799:G1799"/>
    <mergeCell ref="J1799:N1799"/>
    <mergeCell ref="T1799:U1799"/>
    <mergeCell ref="B1800:D1800"/>
    <mergeCell ref="F1800:G1800"/>
    <mergeCell ref="J1800:N1800"/>
    <mergeCell ref="T1800:U1800"/>
    <mergeCell ref="B1801:D1801"/>
    <mergeCell ref="F1801:G1801"/>
    <mergeCell ref="J1801:N1801"/>
    <mergeCell ref="T1801:U1801"/>
    <mergeCell ref="B1783:D1783"/>
    <mergeCell ref="F1783:G1783"/>
    <mergeCell ref="J1783:N1783"/>
    <mergeCell ref="T1783:U1783"/>
    <mergeCell ref="B1784:D1784"/>
    <mergeCell ref="F1784:G1784"/>
    <mergeCell ref="J1784:N1784"/>
    <mergeCell ref="T1784:U1784"/>
    <mergeCell ref="B1785:D1785"/>
    <mergeCell ref="F1785:G1785"/>
    <mergeCell ref="J1785:N1785"/>
    <mergeCell ref="T1785:U1785"/>
    <mergeCell ref="B1786:D1786"/>
    <mergeCell ref="F1786:G1786"/>
    <mergeCell ref="J1786:N1786"/>
    <mergeCell ref="T1786:U1786"/>
    <mergeCell ref="B1787:D1787"/>
    <mergeCell ref="F1787:G1787"/>
    <mergeCell ref="J1787:N1787"/>
    <mergeCell ref="T1787:U1787"/>
    <mergeCell ref="B1788:D1788"/>
    <mergeCell ref="F1788:G1788"/>
    <mergeCell ref="J1788:N1788"/>
    <mergeCell ref="T1788:U1788"/>
    <mergeCell ref="B1789:D1789"/>
    <mergeCell ref="F1789:G1790"/>
    <mergeCell ref="J1789:N1789"/>
    <mergeCell ref="T1789:U1789"/>
    <mergeCell ref="B1791:D1791"/>
    <mergeCell ref="F1791:G1791"/>
    <mergeCell ref="J1791:N1791"/>
    <mergeCell ref="T1791:U1791"/>
    <mergeCell ref="B1792:D1792"/>
    <mergeCell ref="F1792:G1792"/>
    <mergeCell ref="J1792:N1792"/>
    <mergeCell ref="T1792:U1792"/>
    <mergeCell ref="B1774:D1774"/>
    <mergeCell ref="F1774:G1774"/>
    <mergeCell ref="J1774:N1774"/>
    <mergeCell ref="T1774:U1774"/>
    <mergeCell ref="B1775:D1775"/>
    <mergeCell ref="F1775:G1775"/>
    <mergeCell ref="J1775:N1775"/>
    <mergeCell ref="T1775:U1775"/>
    <mergeCell ref="B1776:D1776"/>
    <mergeCell ref="F1776:G1776"/>
    <mergeCell ref="J1776:N1776"/>
    <mergeCell ref="T1776:U1776"/>
    <mergeCell ref="B1777:D1777"/>
    <mergeCell ref="F1777:G1777"/>
    <mergeCell ref="J1777:N1777"/>
    <mergeCell ref="T1777:U1777"/>
    <mergeCell ref="B1778:D1778"/>
    <mergeCell ref="F1778:G1778"/>
    <mergeCell ref="J1778:N1778"/>
    <mergeCell ref="T1778:U1778"/>
    <mergeCell ref="B1779:D1779"/>
    <mergeCell ref="F1779:G1779"/>
    <mergeCell ref="J1779:N1779"/>
    <mergeCell ref="T1779:U1779"/>
    <mergeCell ref="B1780:D1780"/>
    <mergeCell ref="F1780:G1780"/>
    <mergeCell ref="J1780:N1780"/>
    <mergeCell ref="T1780:U1780"/>
    <mergeCell ref="B1781:D1781"/>
    <mergeCell ref="F1781:G1781"/>
    <mergeCell ref="J1781:N1781"/>
    <mergeCell ref="T1781:U1781"/>
    <mergeCell ref="B1782:D1782"/>
    <mergeCell ref="F1782:G1782"/>
    <mergeCell ref="J1782:N1782"/>
    <mergeCell ref="T1782:U1782"/>
    <mergeCell ref="B1765:D1765"/>
    <mergeCell ref="F1765:G1765"/>
    <mergeCell ref="J1765:N1765"/>
    <mergeCell ref="T1765:U1765"/>
    <mergeCell ref="B1766:D1766"/>
    <mergeCell ref="F1766:G1766"/>
    <mergeCell ref="J1766:N1766"/>
    <mergeCell ref="T1766:U1766"/>
    <mergeCell ref="B1767:D1767"/>
    <mergeCell ref="F1767:G1767"/>
    <mergeCell ref="J1767:N1767"/>
    <mergeCell ref="T1767:U1767"/>
    <mergeCell ref="B1768:D1768"/>
    <mergeCell ref="F1768:G1768"/>
    <mergeCell ref="J1768:N1768"/>
    <mergeCell ref="T1768:U1768"/>
    <mergeCell ref="B1769:D1769"/>
    <mergeCell ref="F1769:G1769"/>
    <mergeCell ref="J1769:N1769"/>
    <mergeCell ref="T1769:U1769"/>
    <mergeCell ref="B1770:D1770"/>
    <mergeCell ref="F1770:G1770"/>
    <mergeCell ref="J1770:N1770"/>
    <mergeCell ref="T1770:U1770"/>
    <mergeCell ref="B1771:D1771"/>
    <mergeCell ref="F1771:G1771"/>
    <mergeCell ref="J1771:N1771"/>
    <mergeCell ref="T1771:U1771"/>
    <mergeCell ref="B1772:D1772"/>
    <mergeCell ref="F1772:G1772"/>
    <mergeCell ref="J1772:N1772"/>
    <mergeCell ref="T1772:U1772"/>
    <mergeCell ref="B1773:D1773"/>
    <mergeCell ref="F1773:G1773"/>
    <mergeCell ref="J1773:N1773"/>
    <mergeCell ref="T1773:U1773"/>
    <mergeCell ref="B1756:D1756"/>
    <mergeCell ref="F1756:G1756"/>
    <mergeCell ref="J1756:N1756"/>
    <mergeCell ref="T1756:U1756"/>
    <mergeCell ref="B1757:D1757"/>
    <mergeCell ref="F1757:G1757"/>
    <mergeCell ref="J1757:N1757"/>
    <mergeCell ref="T1757:U1757"/>
    <mergeCell ref="B1758:D1758"/>
    <mergeCell ref="F1758:G1758"/>
    <mergeCell ref="J1758:N1758"/>
    <mergeCell ref="T1758:U1758"/>
    <mergeCell ref="B1759:D1759"/>
    <mergeCell ref="F1759:G1759"/>
    <mergeCell ref="J1759:N1759"/>
    <mergeCell ref="T1759:U1759"/>
    <mergeCell ref="B1760:D1760"/>
    <mergeCell ref="F1760:G1760"/>
    <mergeCell ref="J1760:N1760"/>
    <mergeCell ref="T1760:U1760"/>
    <mergeCell ref="B1761:D1761"/>
    <mergeCell ref="F1761:G1761"/>
    <mergeCell ref="J1761:N1761"/>
    <mergeCell ref="T1761:U1761"/>
    <mergeCell ref="B1762:D1762"/>
    <mergeCell ref="F1762:G1762"/>
    <mergeCell ref="J1762:N1762"/>
    <mergeCell ref="T1762:U1762"/>
    <mergeCell ref="B1763:D1763"/>
    <mergeCell ref="F1763:G1763"/>
    <mergeCell ref="J1763:N1763"/>
    <mergeCell ref="T1763:U1763"/>
    <mergeCell ref="B1764:D1764"/>
    <mergeCell ref="F1764:G1764"/>
    <mergeCell ref="J1764:N1764"/>
    <mergeCell ref="T1764:U1764"/>
    <mergeCell ref="B1747:D1747"/>
    <mergeCell ref="F1747:G1747"/>
    <mergeCell ref="J1747:N1747"/>
    <mergeCell ref="T1747:U1747"/>
    <mergeCell ref="B1748:D1748"/>
    <mergeCell ref="F1748:G1748"/>
    <mergeCell ref="J1748:N1748"/>
    <mergeCell ref="T1748:U1748"/>
    <mergeCell ref="B1749:D1749"/>
    <mergeCell ref="F1749:G1749"/>
    <mergeCell ref="J1749:N1749"/>
    <mergeCell ref="T1749:U1749"/>
    <mergeCell ref="B1750:D1750"/>
    <mergeCell ref="F1750:G1750"/>
    <mergeCell ref="J1750:N1750"/>
    <mergeCell ref="T1750:U1750"/>
    <mergeCell ref="B1751:D1751"/>
    <mergeCell ref="F1751:G1751"/>
    <mergeCell ref="J1751:N1751"/>
    <mergeCell ref="T1751:U1751"/>
    <mergeCell ref="B1752:D1752"/>
    <mergeCell ref="F1752:G1752"/>
    <mergeCell ref="J1752:N1752"/>
    <mergeCell ref="T1752:U1752"/>
    <mergeCell ref="B1753:D1753"/>
    <mergeCell ref="F1753:G1753"/>
    <mergeCell ref="J1753:N1753"/>
    <mergeCell ref="T1753:U1753"/>
    <mergeCell ref="B1754:D1754"/>
    <mergeCell ref="F1754:G1754"/>
    <mergeCell ref="J1754:N1754"/>
    <mergeCell ref="T1754:U1754"/>
    <mergeCell ref="A1755:J1755"/>
    <mergeCell ref="K1755:O1755"/>
    <mergeCell ref="T1755:U1755"/>
    <mergeCell ref="B1738:D1738"/>
    <mergeCell ref="F1738:G1738"/>
    <mergeCell ref="J1738:N1738"/>
    <mergeCell ref="T1738:U1738"/>
    <mergeCell ref="B1739:D1739"/>
    <mergeCell ref="F1739:G1739"/>
    <mergeCell ref="J1739:N1739"/>
    <mergeCell ref="T1739:U1739"/>
    <mergeCell ref="B1740:D1740"/>
    <mergeCell ref="F1740:G1740"/>
    <mergeCell ref="J1740:N1740"/>
    <mergeCell ref="T1740:U1740"/>
    <mergeCell ref="B1741:D1741"/>
    <mergeCell ref="F1741:G1741"/>
    <mergeCell ref="J1741:N1741"/>
    <mergeCell ref="T1741:U1741"/>
    <mergeCell ref="B1742:D1742"/>
    <mergeCell ref="F1742:G1742"/>
    <mergeCell ref="J1742:N1742"/>
    <mergeCell ref="T1742:U1742"/>
    <mergeCell ref="B1743:D1743"/>
    <mergeCell ref="F1743:G1743"/>
    <mergeCell ref="J1743:N1743"/>
    <mergeCell ref="T1743:U1743"/>
    <mergeCell ref="B1744:D1744"/>
    <mergeCell ref="F1744:G1744"/>
    <mergeCell ref="J1744:N1744"/>
    <mergeCell ref="T1744:U1744"/>
    <mergeCell ref="B1745:D1745"/>
    <mergeCell ref="F1745:G1745"/>
    <mergeCell ref="J1745:N1745"/>
    <mergeCell ref="T1745:U1745"/>
    <mergeCell ref="B1746:D1746"/>
    <mergeCell ref="F1746:G1746"/>
    <mergeCell ref="J1746:N1746"/>
    <mergeCell ref="T1746:U1746"/>
    <mergeCell ref="B1729:D1729"/>
    <mergeCell ref="F1729:G1729"/>
    <mergeCell ref="J1729:N1729"/>
    <mergeCell ref="T1729:U1729"/>
    <mergeCell ref="B1730:D1730"/>
    <mergeCell ref="F1730:G1730"/>
    <mergeCell ref="J1730:N1730"/>
    <mergeCell ref="T1730:U1730"/>
    <mergeCell ref="B1731:D1731"/>
    <mergeCell ref="F1731:G1731"/>
    <mergeCell ref="J1731:N1731"/>
    <mergeCell ref="T1731:U1731"/>
    <mergeCell ref="B1732:D1732"/>
    <mergeCell ref="F1732:G1732"/>
    <mergeCell ref="J1732:N1732"/>
    <mergeCell ref="T1732:U1732"/>
    <mergeCell ref="B1733:D1733"/>
    <mergeCell ref="F1733:G1733"/>
    <mergeCell ref="J1733:N1733"/>
    <mergeCell ref="T1733:U1733"/>
    <mergeCell ref="B1734:D1734"/>
    <mergeCell ref="F1734:G1734"/>
    <mergeCell ref="J1734:N1734"/>
    <mergeCell ref="T1734:U1734"/>
    <mergeCell ref="B1735:D1735"/>
    <mergeCell ref="F1735:G1735"/>
    <mergeCell ref="J1735:N1735"/>
    <mergeCell ref="T1735:U1735"/>
    <mergeCell ref="B1736:D1736"/>
    <mergeCell ref="F1736:G1736"/>
    <mergeCell ref="J1736:N1736"/>
    <mergeCell ref="T1736:U1736"/>
    <mergeCell ref="B1737:D1737"/>
    <mergeCell ref="F1737:G1737"/>
    <mergeCell ref="J1737:N1737"/>
    <mergeCell ref="T1737:U1737"/>
    <mergeCell ref="B1720:D1720"/>
    <mergeCell ref="F1720:G1720"/>
    <mergeCell ref="J1720:N1720"/>
    <mergeCell ref="T1720:U1720"/>
    <mergeCell ref="B1721:D1721"/>
    <mergeCell ref="F1721:G1721"/>
    <mergeCell ref="J1721:N1721"/>
    <mergeCell ref="T1721:U1721"/>
    <mergeCell ref="B1722:D1722"/>
    <mergeCell ref="F1722:G1722"/>
    <mergeCell ref="J1722:N1722"/>
    <mergeCell ref="T1722:U1722"/>
    <mergeCell ref="B1723:D1723"/>
    <mergeCell ref="F1723:G1723"/>
    <mergeCell ref="J1723:N1723"/>
    <mergeCell ref="T1723:U1723"/>
    <mergeCell ref="B1724:D1724"/>
    <mergeCell ref="F1724:G1724"/>
    <mergeCell ref="J1724:N1724"/>
    <mergeCell ref="T1724:U1724"/>
    <mergeCell ref="B1725:D1725"/>
    <mergeCell ref="F1725:G1725"/>
    <mergeCell ref="J1725:N1725"/>
    <mergeCell ref="T1725:U1725"/>
    <mergeCell ref="B1726:D1726"/>
    <mergeCell ref="F1726:G1726"/>
    <mergeCell ref="J1726:N1726"/>
    <mergeCell ref="T1726:U1726"/>
    <mergeCell ref="B1727:D1727"/>
    <mergeCell ref="F1727:G1727"/>
    <mergeCell ref="J1727:N1727"/>
    <mergeCell ref="T1727:U1727"/>
    <mergeCell ref="B1728:D1728"/>
    <mergeCell ref="F1728:G1728"/>
    <mergeCell ref="J1728:N1728"/>
    <mergeCell ref="T1728:U1728"/>
    <mergeCell ref="B1710:D1710"/>
    <mergeCell ref="F1710:G1710"/>
    <mergeCell ref="J1710:N1710"/>
    <mergeCell ref="T1710:U1710"/>
    <mergeCell ref="B1711:D1711"/>
    <mergeCell ref="F1711:G1711"/>
    <mergeCell ref="J1711:N1711"/>
    <mergeCell ref="T1711:U1711"/>
    <mergeCell ref="B1712:D1712"/>
    <mergeCell ref="F1712:G1712"/>
    <mergeCell ref="J1712:N1712"/>
    <mergeCell ref="T1712:U1712"/>
    <mergeCell ref="B1713:D1713"/>
    <mergeCell ref="F1713:G1713"/>
    <mergeCell ref="J1713:N1713"/>
    <mergeCell ref="T1713:U1713"/>
    <mergeCell ref="B1714:D1714"/>
    <mergeCell ref="F1714:G1714"/>
    <mergeCell ref="J1714:N1714"/>
    <mergeCell ref="T1714:U1714"/>
    <mergeCell ref="B1715:D1715"/>
    <mergeCell ref="F1715:G1716"/>
    <mergeCell ref="J1715:N1715"/>
    <mergeCell ref="T1715:U1715"/>
    <mergeCell ref="B1717:D1717"/>
    <mergeCell ref="F1717:G1717"/>
    <mergeCell ref="J1717:N1717"/>
    <mergeCell ref="T1717:U1717"/>
    <mergeCell ref="B1718:D1718"/>
    <mergeCell ref="F1718:G1718"/>
    <mergeCell ref="J1718:N1718"/>
    <mergeCell ref="T1718:U1718"/>
    <mergeCell ref="B1719:D1719"/>
    <mergeCell ref="F1719:G1719"/>
    <mergeCell ref="J1719:N1719"/>
    <mergeCell ref="T1719:U1719"/>
    <mergeCell ref="B1701:D1701"/>
    <mergeCell ref="F1701:G1701"/>
    <mergeCell ref="J1701:N1701"/>
    <mergeCell ref="T1701:U1701"/>
    <mergeCell ref="B1702:D1702"/>
    <mergeCell ref="F1702:G1702"/>
    <mergeCell ref="J1702:N1702"/>
    <mergeCell ref="T1702:U1702"/>
    <mergeCell ref="B1703:D1703"/>
    <mergeCell ref="F1703:G1703"/>
    <mergeCell ref="J1703:N1703"/>
    <mergeCell ref="T1703:U1703"/>
    <mergeCell ref="B1704:D1704"/>
    <mergeCell ref="F1704:G1704"/>
    <mergeCell ref="J1704:N1704"/>
    <mergeCell ref="T1704:U1704"/>
    <mergeCell ref="B1705:D1705"/>
    <mergeCell ref="F1705:G1705"/>
    <mergeCell ref="J1705:N1705"/>
    <mergeCell ref="T1705:U1705"/>
    <mergeCell ref="B1706:D1706"/>
    <mergeCell ref="F1706:G1706"/>
    <mergeCell ref="J1706:N1706"/>
    <mergeCell ref="T1706:U1706"/>
    <mergeCell ref="B1707:D1707"/>
    <mergeCell ref="F1707:G1707"/>
    <mergeCell ref="J1707:N1707"/>
    <mergeCell ref="T1707:U1707"/>
    <mergeCell ref="B1708:D1708"/>
    <mergeCell ref="F1708:G1708"/>
    <mergeCell ref="J1708:N1708"/>
    <mergeCell ref="T1708:U1708"/>
    <mergeCell ref="B1709:D1709"/>
    <mergeCell ref="F1709:G1709"/>
    <mergeCell ref="J1709:N1709"/>
    <mergeCell ref="T1709:U1709"/>
    <mergeCell ref="B1692:D1692"/>
    <mergeCell ref="F1692:G1692"/>
    <mergeCell ref="J1692:N1692"/>
    <mergeCell ref="T1692:U1692"/>
    <mergeCell ref="B1693:D1693"/>
    <mergeCell ref="F1693:G1693"/>
    <mergeCell ref="J1693:N1693"/>
    <mergeCell ref="T1693:U1693"/>
    <mergeCell ref="B1694:D1694"/>
    <mergeCell ref="F1694:G1694"/>
    <mergeCell ref="J1694:N1694"/>
    <mergeCell ref="T1694:U1694"/>
    <mergeCell ref="B1695:D1695"/>
    <mergeCell ref="F1695:G1695"/>
    <mergeCell ref="J1695:N1695"/>
    <mergeCell ref="T1695:U1695"/>
    <mergeCell ref="B1696:D1696"/>
    <mergeCell ref="F1696:G1696"/>
    <mergeCell ref="J1696:N1696"/>
    <mergeCell ref="T1696:U1696"/>
    <mergeCell ref="B1697:D1697"/>
    <mergeCell ref="F1697:G1697"/>
    <mergeCell ref="J1697:N1697"/>
    <mergeCell ref="T1697:U1697"/>
    <mergeCell ref="B1698:D1698"/>
    <mergeCell ref="F1698:G1698"/>
    <mergeCell ref="J1698:N1698"/>
    <mergeCell ref="T1698:U1698"/>
    <mergeCell ref="B1699:D1699"/>
    <mergeCell ref="F1699:G1699"/>
    <mergeCell ref="J1699:N1699"/>
    <mergeCell ref="T1699:U1699"/>
    <mergeCell ref="B1700:D1700"/>
    <mergeCell ref="F1700:G1700"/>
    <mergeCell ref="J1700:N1700"/>
    <mergeCell ref="T1700:U1700"/>
    <mergeCell ref="B1683:D1683"/>
    <mergeCell ref="F1683:G1683"/>
    <mergeCell ref="J1683:N1683"/>
    <mergeCell ref="T1683:U1683"/>
    <mergeCell ref="B1684:D1684"/>
    <mergeCell ref="F1684:G1684"/>
    <mergeCell ref="J1684:N1684"/>
    <mergeCell ref="T1684:U1684"/>
    <mergeCell ref="B1685:D1685"/>
    <mergeCell ref="F1685:G1685"/>
    <mergeCell ref="J1685:N1685"/>
    <mergeCell ref="T1685:U1685"/>
    <mergeCell ref="B1686:D1686"/>
    <mergeCell ref="F1686:G1686"/>
    <mergeCell ref="J1686:N1686"/>
    <mergeCell ref="T1686:U1686"/>
    <mergeCell ref="B1687:D1687"/>
    <mergeCell ref="F1687:G1687"/>
    <mergeCell ref="J1687:N1687"/>
    <mergeCell ref="T1687:U1687"/>
    <mergeCell ref="B1688:D1688"/>
    <mergeCell ref="F1688:G1688"/>
    <mergeCell ref="J1688:N1688"/>
    <mergeCell ref="T1688:U1688"/>
    <mergeCell ref="B1689:D1689"/>
    <mergeCell ref="F1689:G1689"/>
    <mergeCell ref="J1689:N1689"/>
    <mergeCell ref="T1689:U1689"/>
    <mergeCell ref="B1690:D1690"/>
    <mergeCell ref="F1690:G1690"/>
    <mergeCell ref="J1690:N1690"/>
    <mergeCell ref="T1690:U1690"/>
    <mergeCell ref="B1691:D1691"/>
    <mergeCell ref="F1691:G1691"/>
    <mergeCell ref="J1691:N1691"/>
    <mergeCell ref="T1691:U1691"/>
    <mergeCell ref="B1674:D1674"/>
    <mergeCell ref="F1674:G1674"/>
    <mergeCell ref="J1674:N1674"/>
    <mergeCell ref="T1674:U1674"/>
    <mergeCell ref="B1675:D1675"/>
    <mergeCell ref="F1675:G1675"/>
    <mergeCell ref="J1675:N1675"/>
    <mergeCell ref="T1675:U1675"/>
    <mergeCell ref="B1676:D1676"/>
    <mergeCell ref="F1676:G1676"/>
    <mergeCell ref="J1676:N1676"/>
    <mergeCell ref="T1676:U1676"/>
    <mergeCell ref="B1677:D1677"/>
    <mergeCell ref="F1677:G1677"/>
    <mergeCell ref="J1677:N1677"/>
    <mergeCell ref="T1677:U1677"/>
    <mergeCell ref="B1678:D1678"/>
    <mergeCell ref="F1678:G1678"/>
    <mergeCell ref="J1678:N1678"/>
    <mergeCell ref="T1678:U1678"/>
    <mergeCell ref="B1679:D1679"/>
    <mergeCell ref="F1679:G1679"/>
    <mergeCell ref="J1679:N1679"/>
    <mergeCell ref="T1679:U1679"/>
    <mergeCell ref="B1680:D1680"/>
    <mergeCell ref="F1680:G1680"/>
    <mergeCell ref="J1680:N1680"/>
    <mergeCell ref="T1680:U1680"/>
    <mergeCell ref="B1681:D1681"/>
    <mergeCell ref="F1681:G1681"/>
    <mergeCell ref="J1681:N1681"/>
    <mergeCell ref="T1681:U1681"/>
    <mergeCell ref="B1682:D1682"/>
    <mergeCell ref="F1682:G1682"/>
    <mergeCell ref="J1682:N1682"/>
    <mergeCell ref="T1682:U1682"/>
    <mergeCell ref="B1665:D1665"/>
    <mergeCell ref="F1665:G1665"/>
    <mergeCell ref="J1665:N1665"/>
    <mergeCell ref="T1665:U1665"/>
    <mergeCell ref="B1666:D1666"/>
    <mergeCell ref="F1666:G1666"/>
    <mergeCell ref="J1666:N1666"/>
    <mergeCell ref="T1666:U1666"/>
    <mergeCell ref="B1667:D1667"/>
    <mergeCell ref="F1667:G1667"/>
    <mergeCell ref="J1667:N1667"/>
    <mergeCell ref="T1667:U1667"/>
    <mergeCell ref="B1668:D1668"/>
    <mergeCell ref="F1668:G1668"/>
    <mergeCell ref="J1668:N1668"/>
    <mergeCell ref="T1668:U1668"/>
    <mergeCell ref="B1669:D1669"/>
    <mergeCell ref="F1669:G1669"/>
    <mergeCell ref="J1669:N1669"/>
    <mergeCell ref="T1669:U1669"/>
    <mergeCell ref="B1670:D1670"/>
    <mergeCell ref="F1670:G1670"/>
    <mergeCell ref="J1670:N1670"/>
    <mergeCell ref="T1670:U1670"/>
    <mergeCell ref="B1671:D1671"/>
    <mergeCell ref="F1671:G1671"/>
    <mergeCell ref="J1671:N1671"/>
    <mergeCell ref="T1671:U1671"/>
    <mergeCell ref="B1672:D1672"/>
    <mergeCell ref="F1672:G1672"/>
    <mergeCell ref="J1672:N1672"/>
    <mergeCell ref="T1672:U1672"/>
    <mergeCell ref="B1673:D1673"/>
    <mergeCell ref="F1673:G1673"/>
    <mergeCell ref="J1673:N1673"/>
    <mergeCell ref="T1673:U1673"/>
    <mergeCell ref="B1656:D1656"/>
    <mergeCell ref="F1656:G1656"/>
    <mergeCell ref="J1656:N1656"/>
    <mergeCell ref="T1656:U1656"/>
    <mergeCell ref="B1657:D1657"/>
    <mergeCell ref="F1657:G1657"/>
    <mergeCell ref="J1657:N1657"/>
    <mergeCell ref="T1657:U1657"/>
    <mergeCell ref="B1658:D1658"/>
    <mergeCell ref="F1658:G1658"/>
    <mergeCell ref="J1658:N1658"/>
    <mergeCell ref="T1658:U1658"/>
    <mergeCell ref="B1659:D1659"/>
    <mergeCell ref="F1659:G1659"/>
    <mergeCell ref="J1659:N1659"/>
    <mergeCell ref="T1659:U1659"/>
    <mergeCell ref="B1660:D1660"/>
    <mergeCell ref="F1660:G1660"/>
    <mergeCell ref="J1660:N1660"/>
    <mergeCell ref="T1660:U1660"/>
    <mergeCell ref="B1661:D1661"/>
    <mergeCell ref="F1661:G1661"/>
    <mergeCell ref="J1661:N1661"/>
    <mergeCell ref="T1661:U1661"/>
    <mergeCell ref="B1662:D1662"/>
    <mergeCell ref="F1662:G1662"/>
    <mergeCell ref="J1662:N1662"/>
    <mergeCell ref="T1662:U1662"/>
    <mergeCell ref="B1663:D1663"/>
    <mergeCell ref="F1663:G1663"/>
    <mergeCell ref="J1663:N1663"/>
    <mergeCell ref="T1663:U1663"/>
    <mergeCell ref="B1664:D1664"/>
    <mergeCell ref="F1664:G1664"/>
    <mergeCell ref="J1664:N1664"/>
    <mergeCell ref="T1664:U1664"/>
    <mergeCell ref="A1647:J1647"/>
    <mergeCell ref="K1647:O1647"/>
    <mergeCell ref="T1647:U1647"/>
    <mergeCell ref="B1648:D1648"/>
    <mergeCell ref="F1648:G1648"/>
    <mergeCell ref="J1648:N1648"/>
    <mergeCell ref="T1648:U1648"/>
    <mergeCell ref="B1649:D1649"/>
    <mergeCell ref="F1649:G1649"/>
    <mergeCell ref="J1649:N1649"/>
    <mergeCell ref="T1649:U1649"/>
    <mergeCell ref="B1650:D1650"/>
    <mergeCell ref="F1650:G1650"/>
    <mergeCell ref="J1650:N1650"/>
    <mergeCell ref="T1650:U1650"/>
    <mergeCell ref="B1651:D1651"/>
    <mergeCell ref="F1651:G1651"/>
    <mergeCell ref="J1651:N1651"/>
    <mergeCell ref="T1651:U1651"/>
    <mergeCell ref="B1652:D1652"/>
    <mergeCell ref="F1652:G1652"/>
    <mergeCell ref="J1652:N1652"/>
    <mergeCell ref="T1652:U1652"/>
    <mergeCell ref="B1653:D1653"/>
    <mergeCell ref="F1653:G1653"/>
    <mergeCell ref="J1653:N1653"/>
    <mergeCell ref="T1653:U1653"/>
    <mergeCell ref="B1654:D1654"/>
    <mergeCell ref="F1654:G1654"/>
    <mergeCell ref="J1654:N1654"/>
    <mergeCell ref="T1654:U1654"/>
    <mergeCell ref="B1655:D1655"/>
    <mergeCell ref="F1655:G1655"/>
    <mergeCell ref="J1655:N1655"/>
    <mergeCell ref="T1655:U1655"/>
    <mergeCell ref="B1638:D1638"/>
    <mergeCell ref="F1638:G1638"/>
    <mergeCell ref="J1638:N1638"/>
    <mergeCell ref="T1638:U1638"/>
    <mergeCell ref="B1639:D1639"/>
    <mergeCell ref="F1639:G1639"/>
    <mergeCell ref="J1639:N1639"/>
    <mergeCell ref="T1639:U1639"/>
    <mergeCell ref="B1640:D1640"/>
    <mergeCell ref="F1640:G1640"/>
    <mergeCell ref="J1640:N1640"/>
    <mergeCell ref="T1640:U1640"/>
    <mergeCell ref="B1641:D1641"/>
    <mergeCell ref="F1641:G1641"/>
    <mergeCell ref="J1641:N1641"/>
    <mergeCell ref="T1641:U1641"/>
    <mergeCell ref="B1642:D1642"/>
    <mergeCell ref="F1642:G1642"/>
    <mergeCell ref="J1642:N1642"/>
    <mergeCell ref="T1642:U1642"/>
    <mergeCell ref="B1643:D1643"/>
    <mergeCell ref="F1643:G1643"/>
    <mergeCell ref="J1643:N1643"/>
    <mergeCell ref="T1643:U1643"/>
    <mergeCell ref="B1644:D1644"/>
    <mergeCell ref="F1644:G1644"/>
    <mergeCell ref="J1644:N1644"/>
    <mergeCell ref="T1644:U1644"/>
    <mergeCell ref="B1645:D1645"/>
    <mergeCell ref="F1645:G1645"/>
    <mergeCell ref="J1645:N1645"/>
    <mergeCell ref="T1645:U1645"/>
    <mergeCell ref="B1646:D1646"/>
    <mergeCell ref="F1646:G1646"/>
    <mergeCell ref="J1646:N1646"/>
    <mergeCell ref="T1646:U1646"/>
    <mergeCell ref="B1629:D1629"/>
    <mergeCell ref="F1629:G1629"/>
    <mergeCell ref="J1629:N1629"/>
    <mergeCell ref="T1629:U1629"/>
    <mergeCell ref="B1630:D1630"/>
    <mergeCell ref="F1630:G1630"/>
    <mergeCell ref="J1630:N1630"/>
    <mergeCell ref="T1630:U1630"/>
    <mergeCell ref="B1631:D1631"/>
    <mergeCell ref="F1631:G1631"/>
    <mergeCell ref="J1631:N1631"/>
    <mergeCell ref="T1631:U1631"/>
    <mergeCell ref="B1632:D1632"/>
    <mergeCell ref="F1632:G1632"/>
    <mergeCell ref="J1632:N1632"/>
    <mergeCell ref="T1632:U1632"/>
    <mergeCell ref="B1633:D1633"/>
    <mergeCell ref="F1633:G1633"/>
    <mergeCell ref="J1633:N1633"/>
    <mergeCell ref="T1633:U1633"/>
    <mergeCell ref="B1634:D1634"/>
    <mergeCell ref="F1634:G1634"/>
    <mergeCell ref="J1634:N1634"/>
    <mergeCell ref="T1634:U1634"/>
    <mergeCell ref="B1635:D1635"/>
    <mergeCell ref="F1635:G1635"/>
    <mergeCell ref="J1635:N1635"/>
    <mergeCell ref="T1635:U1635"/>
    <mergeCell ref="B1636:D1636"/>
    <mergeCell ref="F1636:G1636"/>
    <mergeCell ref="J1636:N1636"/>
    <mergeCell ref="T1636:U1636"/>
    <mergeCell ref="B1637:D1637"/>
    <mergeCell ref="F1637:G1637"/>
    <mergeCell ref="J1637:N1637"/>
    <mergeCell ref="T1637:U1637"/>
    <mergeCell ref="B1620:D1620"/>
    <mergeCell ref="F1620:G1620"/>
    <mergeCell ref="J1620:N1620"/>
    <mergeCell ref="T1620:U1620"/>
    <mergeCell ref="B1621:D1621"/>
    <mergeCell ref="F1621:G1621"/>
    <mergeCell ref="J1621:N1621"/>
    <mergeCell ref="T1621:U1621"/>
    <mergeCell ref="B1622:D1622"/>
    <mergeCell ref="F1622:G1622"/>
    <mergeCell ref="J1622:N1622"/>
    <mergeCell ref="T1622:U1622"/>
    <mergeCell ref="B1623:D1623"/>
    <mergeCell ref="F1623:G1623"/>
    <mergeCell ref="J1623:N1623"/>
    <mergeCell ref="T1623:U1623"/>
    <mergeCell ref="B1624:D1624"/>
    <mergeCell ref="F1624:G1624"/>
    <mergeCell ref="J1624:N1624"/>
    <mergeCell ref="T1624:U1624"/>
    <mergeCell ref="B1625:D1625"/>
    <mergeCell ref="F1625:G1625"/>
    <mergeCell ref="J1625:N1625"/>
    <mergeCell ref="T1625:U1625"/>
    <mergeCell ref="B1626:D1626"/>
    <mergeCell ref="F1626:G1626"/>
    <mergeCell ref="J1626:N1626"/>
    <mergeCell ref="T1626:U1626"/>
    <mergeCell ref="B1627:D1627"/>
    <mergeCell ref="F1627:G1627"/>
    <mergeCell ref="J1627:N1627"/>
    <mergeCell ref="T1627:U1627"/>
    <mergeCell ref="B1628:D1628"/>
    <mergeCell ref="F1628:G1628"/>
    <mergeCell ref="J1628:N1628"/>
    <mergeCell ref="T1628:U1628"/>
    <mergeCell ref="B1611:D1611"/>
    <mergeCell ref="F1611:G1611"/>
    <mergeCell ref="J1611:N1611"/>
    <mergeCell ref="T1611:U1611"/>
    <mergeCell ref="B1612:D1612"/>
    <mergeCell ref="F1612:G1612"/>
    <mergeCell ref="J1612:N1612"/>
    <mergeCell ref="T1612:U1612"/>
    <mergeCell ref="B1613:D1613"/>
    <mergeCell ref="F1613:G1613"/>
    <mergeCell ref="J1613:N1613"/>
    <mergeCell ref="T1613:U1613"/>
    <mergeCell ref="B1614:D1614"/>
    <mergeCell ref="F1614:G1614"/>
    <mergeCell ref="J1614:N1614"/>
    <mergeCell ref="T1614:U1614"/>
    <mergeCell ref="B1615:D1615"/>
    <mergeCell ref="F1615:G1615"/>
    <mergeCell ref="J1615:N1615"/>
    <mergeCell ref="T1615:U1615"/>
    <mergeCell ref="B1616:D1616"/>
    <mergeCell ref="F1616:G1616"/>
    <mergeCell ref="J1616:N1616"/>
    <mergeCell ref="T1616:U1616"/>
    <mergeCell ref="B1617:D1617"/>
    <mergeCell ref="F1617:G1617"/>
    <mergeCell ref="J1617:N1617"/>
    <mergeCell ref="T1617:U1617"/>
    <mergeCell ref="B1618:D1618"/>
    <mergeCell ref="F1618:G1618"/>
    <mergeCell ref="J1618:N1618"/>
    <mergeCell ref="T1618:U1618"/>
    <mergeCell ref="B1619:D1619"/>
    <mergeCell ref="F1619:G1619"/>
    <mergeCell ref="J1619:N1619"/>
    <mergeCell ref="T1619:U1619"/>
    <mergeCell ref="B1601:D1601"/>
    <mergeCell ref="F1601:G1601"/>
    <mergeCell ref="J1601:N1601"/>
    <mergeCell ref="T1601:U1601"/>
    <mergeCell ref="B1602:D1602"/>
    <mergeCell ref="F1602:G1602"/>
    <mergeCell ref="J1602:N1602"/>
    <mergeCell ref="T1602:U1602"/>
    <mergeCell ref="B1603:D1603"/>
    <mergeCell ref="F1603:G1604"/>
    <mergeCell ref="J1603:N1603"/>
    <mergeCell ref="T1603:U1603"/>
    <mergeCell ref="B1605:D1605"/>
    <mergeCell ref="F1605:G1605"/>
    <mergeCell ref="J1605:N1605"/>
    <mergeCell ref="T1605:U1605"/>
    <mergeCell ref="B1606:D1606"/>
    <mergeCell ref="F1606:G1606"/>
    <mergeCell ref="J1606:N1606"/>
    <mergeCell ref="T1606:U1606"/>
    <mergeCell ref="B1607:D1607"/>
    <mergeCell ref="F1607:G1607"/>
    <mergeCell ref="J1607:N1607"/>
    <mergeCell ref="T1607:U1607"/>
    <mergeCell ref="B1608:D1608"/>
    <mergeCell ref="F1608:G1608"/>
    <mergeCell ref="J1608:N1608"/>
    <mergeCell ref="T1608:U1608"/>
    <mergeCell ref="B1609:D1609"/>
    <mergeCell ref="F1609:G1609"/>
    <mergeCell ref="J1609:N1609"/>
    <mergeCell ref="T1609:U1609"/>
    <mergeCell ref="B1610:D1610"/>
    <mergeCell ref="F1610:G1610"/>
    <mergeCell ref="J1610:N1610"/>
    <mergeCell ref="T1610:U1610"/>
    <mergeCell ref="B1592:D1592"/>
    <mergeCell ref="F1592:G1592"/>
    <mergeCell ref="J1592:N1592"/>
    <mergeCell ref="T1592:U1592"/>
    <mergeCell ref="B1593:D1593"/>
    <mergeCell ref="F1593:G1593"/>
    <mergeCell ref="J1593:N1593"/>
    <mergeCell ref="T1593:U1593"/>
    <mergeCell ref="B1594:D1594"/>
    <mergeCell ref="F1594:G1594"/>
    <mergeCell ref="J1594:N1594"/>
    <mergeCell ref="T1594:U1594"/>
    <mergeCell ref="B1595:D1595"/>
    <mergeCell ref="F1595:G1595"/>
    <mergeCell ref="J1595:N1595"/>
    <mergeCell ref="T1595:U1595"/>
    <mergeCell ref="B1596:D1596"/>
    <mergeCell ref="F1596:G1596"/>
    <mergeCell ref="J1596:N1596"/>
    <mergeCell ref="T1596:U1596"/>
    <mergeCell ref="B1597:D1597"/>
    <mergeCell ref="F1597:G1597"/>
    <mergeCell ref="J1597:N1597"/>
    <mergeCell ref="T1597:U1597"/>
    <mergeCell ref="B1598:D1598"/>
    <mergeCell ref="F1598:G1598"/>
    <mergeCell ref="J1598:N1598"/>
    <mergeCell ref="T1598:U1598"/>
    <mergeCell ref="B1599:D1599"/>
    <mergeCell ref="F1599:G1599"/>
    <mergeCell ref="J1599:N1599"/>
    <mergeCell ref="T1599:U1599"/>
    <mergeCell ref="B1600:D1600"/>
    <mergeCell ref="F1600:G1600"/>
    <mergeCell ref="J1600:N1600"/>
    <mergeCell ref="T1600:U1600"/>
    <mergeCell ref="B1583:D1583"/>
    <mergeCell ref="F1583:G1583"/>
    <mergeCell ref="J1583:N1583"/>
    <mergeCell ref="T1583:U1583"/>
    <mergeCell ref="B1584:D1584"/>
    <mergeCell ref="F1584:G1584"/>
    <mergeCell ref="J1584:N1584"/>
    <mergeCell ref="T1584:U1584"/>
    <mergeCell ref="B1585:D1585"/>
    <mergeCell ref="F1585:G1585"/>
    <mergeCell ref="J1585:N1585"/>
    <mergeCell ref="T1585:U1585"/>
    <mergeCell ref="B1586:D1586"/>
    <mergeCell ref="F1586:G1586"/>
    <mergeCell ref="J1586:N1586"/>
    <mergeCell ref="T1586:U1586"/>
    <mergeCell ref="B1587:D1587"/>
    <mergeCell ref="F1587:G1587"/>
    <mergeCell ref="J1587:N1587"/>
    <mergeCell ref="T1587:U1587"/>
    <mergeCell ref="B1588:D1588"/>
    <mergeCell ref="F1588:G1588"/>
    <mergeCell ref="J1588:N1588"/>
    <mergeCell ref="T1588:U1588"/>
    <mergeCell ref="B1589:D1589"/>
    <mergeCell ref="F1589:G1589"/>
    <mergeCell ref="J1589:N1589"/>
    <mergeCell ref="T1589:U1589"/>
    <mergeCell ref="B1590:D1590"/>
    <mergeCell ref="F1590:G1590"/>
    <mergeCell ref="J1590:N1590"/>
    <mergeCell ref="T1590:U1590"/>
    <mergeCell ref="B1591:D1591"/>
    <mergeCell ref="F1591:G1591"/>
    <mergeCell ref="J1591:N1591"/>
    <mergeCell ref="T1591:U1591"/>
    <mergeCell ref="B1574:D1574"/>
    <mergeCell ref="F1574:G1574"/>
    <mergeCell ref="J1574:N1574"/>
    <mergeCell ref="T1574:U1574"/>
    <mergeCell ref="B1575:D1575"/>
    <mergeCell ref="F1575:G1575"/>
    <mergeCell ref="J1575:N1575"/>
    <mergeCell ref="T1575:U1575"/>
    <mergeCell ref="B1576:D1576"/>
    <mergeCell ref="F1576:G1576"/>
    <mergeCell ref="J1576:N1576"/>
    <mergeCell ref="T1576:U1576"/>
    <mergeCell ref="B1577:D1577"/>
    <mergeCell ref="F1577:G1577"/>
    <mergeCell ref="J1577:N1577"/>
    <mergeCell ref="T1577:U1577"/>
    <mergeCell ref="B1578:D1578"/>
    <mergeCell ref="F1578:G1578"/>
    <mergeCell ref="J1578:N1578"/>
    <mergeCell ref="T1578:U1578"/>
    <mergeCell ref="B1579:D1579"/>
    <mergeCell ref="F1579:G1579"/>
    <mergeCell ref="J1579:N1579"/>
    <mergeCell ref="T1579:U1579"/>
    <mergeCell ref="B1580:D1580"/>
    <mergeCell ref="F1580:G1580"/>
    <mergeCell ref="J1580:N1580"/>
    <mergeCell ref="T1580:U1580"/>
    <mergeCell ref="B1581:D1581"/>
    <mergeCell ref="F1581:G1581"/>
    <mergeCell ref="J1581:N1581"/>
    <mergeCell ref="T1581:U1581"/>
    <mergeCell ref="B1582:D1582"/>
    <mergeCell ref="F1582:G1582"/>
    <mergeCell ref="J1582:N1582"/>
    <mergeCell ref="T1582:U1582"/>
    <mergeCell ref="B1565:D1565"/>
    <mergeCell ref="F1565:G1565"/>
    <mergeCell ref="J1565:N1565"/>
    <mergeCell ref="T1565:U1565"/>
    <mergeCell ref="B1566:D1566"/>
    <mergeCell ref="F1566:G1566"/>
    <mergeCell ref="J1566:N1566"/>
    <mergeCell ref="T1566:U1566"/>
    <mergeCell ref="B1567:D1567"/>
    <mergeCell ref="F1567:G1567"/>
    <mergeCell ref="J1567:N1567"/>
    <mergeCell ref="T1567:U1567"/>
    <mergeCell ref="B1568:D1568"/>
    <mergeCell ref="F1568:G1568"/>
    <mergeCell ref="J1568:N1568"/>
    <mergeCell ref="T1568:U1568"/>
    <mergeCell ref="B1569:D1569"/>
    <mergeCell ref="F1569:G1569"/>
    <mergeCell ref="J1569:N1569"/>
    <mergeCell ref="T1569:U1569"/>
    <mergeCell ref="B1570:D1570"/>
    <mergeCell ref="F1570:G1570"/>
    <mergeCell ref="J1570:N1570"/>
    <mergeCell ref="T1570:U1570"/>
    <mergeCell ref="B1571:D1571"/>
    <mergeCell ref="F1571:G1571"/>
    <mergeCell ref="J1571:N1571"/>
    <mergeCell ref="T1571:U1571"/>
    <mergeCell ref="B1572:D1572"/>
    <mergeCell ref="F1572:G1572"/>
    <mergeCell ref="J1572:N1572"/>
    <mergeCell ref="T1572:U1572"/>
    <mergeCell ref="B1573:D1573"/>
    <mergeCell ref="F1573:G1573"/>
    <mergeCell ref="J1573:N1573"/>
    <mergeCell ref="T1573:U1573"/>
    <mergeCell ref="B1556:D1556"/>
    <mergeCell ref="F1556:G1556"/>
    <mergeCell ref="J1556:N1556"/>
    <mergeCell ref="T1556:U1556"/>
    <mergeCell ref="A1557:J1557"/>
    <mergeCell ref="K1557:O1557"/>
    <mergeCell ref="T1557:U1557"/>
    <mergeCell ref="B1558:D1558"/>
    <mergeCell ref="F1558:G1558"/>
    <mergeCell ref="J1558:N1558"/>
    <mergeCell ref="T1558:U1558"/>
    <mergeCell ref="B1559:D1559"/>
    <mergeCell ref="F1559:G1559"/>
    <mergeCell ref="J1559:N1559"/>
    <mergeCell ref="T1559:U1559"/>
    <mergeCell ref="B1560:D1560"/>
    <mergeCell ref="F1560:G1560"/>
    <mergeCell ref="J1560:N1560"/>
    <mergeCell ref="T1560:U1560"/>
    <mergeCell ref="B1561:D1561"/>
    <mergeCell ref="F1561:G1561"/>
    <mergeCell ref="J1561:N1561"/>
    <mergeCell ref="T1561:U1561"/>
    <mergeCell ref="B1562:D1562"/>
    <mergeCell ref="F1562:G1562"/>
    <mergeCell ref="J1562:N1562"/>
    <mergeCell ref="T1562:U1562"/>
    <mergeCell ref="B1563:D1563"/>
    <mergeCell ref="F1563:G1563"/>
    <mergeCell ref="J1563:N1563"/>
    <mergeCell ref="T1563:U1563"/>
    <mergeCell ref="B1564:D1564"/>
    <mergeCell ref="F1564:G1564"/>
    <mergeCell ref="J1564:N1564"/>
    <mergeCell ref="T1564:U1564"/>
    <mergeCell ref="B1547:D1547"/>
    <mergeCell ref="F1547:G1547"/>
    <mergeCell ref="J1547:N1547"/>
    <mergeCell ref="T1547:U1547"/>
    <mergeCell ref="B1548:D1548"/>
    <mergeCell ref="F1548:G1548"/>
    <mergeCell ref="J1548:N1548"/>
    <mergeCell ref="T1548:U1548"/>
    <mergeCell ref="B1549:D1549"/>
    <mergeCell ref="F1549:G1549"/>
    <mergeCell ref="J1549:N1549"/>
    <mergeCell ref="T1549:U1549"/>
    <mergeCell ref="B1550:D1550"/>
    <mergeCell ref="F1550:G1550"/>
    <mergeCell ref="J1550:N1550"/>
    <mergeCell ref="T1550:U1550"/>
    <mergeCell ref="B1551:D1551"/>
    <mergeCell ref="F1551:G1551"/>
    <mergeCell ref="J1551:N1551"/>
    <mergeCell ref="T1551:U1551"/>
    <mergeCell ref="B1552:D1552"/>
    <mergeCell ref="F1552:G1552"/>
    <mergeCell ref="J1552:N1552"/>
    <mergeCell ref="T1552:U1552"/>
    <mergeCell ref="B1553:D1553"/>
    <mergeCell ref="F1553:G1553"/>
    <mergeCell ref="J1553:N1553"/>
    <mergeCell ref="T1553:U1553"/>
    <mergeCell ref="B1554:D1554"/>
    <mergeCell ref="F1554:G1554"/>
    <mergeCell ref="J1554:N1554"/>
    <mergeCell ref="T1554:U1554"/>
    <mergeCell ref="B1555:D1555"/>
    <mergeCell ref="F1555:G1555"/>
    <mergeCell ref="J1555:N1555"/>
    <mergeCell ref="T1555:U1555"/>
    <mergeCell ref="B1538:D1538"/>
    <mergeCell ref="F1538:G1538"/>
    <mergeCell ref="J1538:N1538"/>
    <mergeCell ref="T1538:U1538"/>
    <mergeCell ref="B1539:D1539"/>
    <mergeCell ref="F1539:G1539"/>
    <mergeCell ref="J1539:N1539"/>
    <mergeCell ref="T1539:U1539"/>
    <mergeCell ref="B1540:D1540"/>
    <mergeCell ref="F1540:G1540"/>
    <mergeCell ref="J1540:N1540"/>
    <mergeCell ref="T1540:U1540"/>
    <mergeCell ref="B1541:D1541"/>
    <mergeCell ref="F1541:G1541"/>
    <mergeCell ref="J1541:N1541"/>
    <mergeCell ref="T1541:U1541"/>
    <mergeCell ref="B1542:D1542"/>
    <mergeCell ref="F1542:G1542"/>
    <mergeCell ref="J1542:N1542"/>
    <mergeCell ref="T1542:U1542"/>
    <mergeCell ref="B1543:D1543"/>
    <mergeCell ref="F1543:G1543"/>
    <mergeCell ref="J1543:N1543"/>
    <mergeCell ref="T1543:U1543"/>
    <mergeCell ref="B1544:D1544"/>
    <mergeCell ref="F1544:G1544"/>
    <mergeCell ref="J1544:N1544"/>
    <mergeCell ref="T1544:U1544"/>
    <mergeCell ref="B1545:D1545"/>
    <mergeCell ref="F1545:G1545"/>
    <mergeCell ref="J1545:N1545"/>
    <mergeCell ref="T1545:U1545"/>
    <mergeCell ref="B1546:D1546"/>
    <mergeCell ref="F1546:G1546"/>
    <mergeCell ref="J1546:N1546"/>
    <mergeCell ref="T1546:U1546"/>
    <mergeCell ref="B1528:D1528"/>
    <mergeCell ref="F1528:G1528"/>
    <mergeCell ref="J1528:N1528"/>
    <mergeCell ref="T1528:U1528"/>
    <mergeCell ref="B1529:D1529"/>
    <mergeCell ref="F1529:G1529"/>
    <mergeCell ref="J1529:N1529"/>
    <mergeCell ref="T1529:U1529"/>
    <mergeCell ref="B1530:D1530"/>
    <mergeCell ref="F1530:G1531"/>
    <mergeCell ref="J1530:N1530"/>
    <mergeCell ref="T1530:U1530"/>
    <mergeCell ref="B1532:D1532"/>
    <mergeCell ref="F1532:G1532"/>
    <mergeCell ref="J1532:N1532"/>
    <mergeCell ref="T1532:U1532"/>
    <mergeCell ref="B1533:D1533"/>
    <mergeCell ref="F1533:G1533"/>
    <mergeCell ref="J1533:N1533"/>
    <mergeCell ref="T1533:U1533"/>
    <mergeCell ref="B1534:D1534"/>
    <mergeCell ref="F1534:G1534"/>
    <mergeCell ref="J1534:N1534"/>
    <mergeCell ref="T1534:U1534"/>
    <mergeCell ref="B1535:D1535"/>
    <mergeCell ref="F1535:G1535"/>
    <mergeCell ref="J1535:N1535"/>
    <mergeCell ref="T1535:U1535"/>
    <mergeCell ref="B1536:D1536"/>
    <mergeCell ref="F1536:G1536"/>
    <mergeCell ref="J1536:N1536"/>
    <mergeCell ref="T1536:U1536"/>
    <mergeCell ref="B1537:D1537"/>
    <mergeCell ref="F1537:G1537"/>
    <mergeCell ref="J1537:N1537"/>
    <mergeCell ref="T1537:U1537"/>
    <mergeCell ref="B1519:D1519"/>
    <mergeCell ref="F1519:G1519"/>
    <mergeCell ref="J1519:N1519"/>
    <mergeCell ref="T1519:U1519"/>
    <mergeCell ref="B1520:D1520"/>
    <mergeCell ref="F1520:G1520"/>
    <mergeCell ref="J1520:N1520"/>
    <mergeCell ref="T1520:U1520"/>
    <mergeCell ref="B1521:D1521"/>
    <mergeCell ref="F1521:G1521"/>
    <mergeCell ref="J1521:N1521"/>
    <mergeCell ref="T1521:U1521"/>
    <mergeCell ref="B1522:D1522"/>
    <mergeCell ref="F1522:G1522"/>
    <mergeCell ref="J1522:N1522"/>
    <mergeCell ref="T1522:U1522"/>
    <mergeCell ref="B1523:D1523"/>
    <mergeCell ref="F1523:G1523"/>
    <mergeCell ref="J1523:N1523"/>
    <mergeCell ref="T1523:U1523"/>
    <mergeCell ref="B1524:D1524"/>
    <mergeCell ref="F1524:G1524"/>
    <mergeCell ref="J1524:N1524"/>
    <mergeCell ref="T1524:U1524"/>
    <mergeCell ref="B1525:D1525"/>
    <mergeCell ref="F1525:G1525"/>
    <mergeCell ref="J1525:N1525"/>
    <mergeCell ref="T1525:U1525"/>
    <mergeCell ref="B1526:D1526"/>
    <mergeCell ref="F1526:G1526"/>
    <mergeCell ref="J1526:N1526"/>
    <mergeCell ref="T1526:U1526"/>
    <mergeCell ref="B1527:D1527"/>
    <mergeCell ref="F1527:G1527"/>
    <mergeCell ref="J1527:N1527"/>
    <mergeCell ref="T1527:U1527"/>
    <mergeCell ref="B1510:D1510"/>
    <mergeCell ref="F1510:G1510"/>
    <mergeCell ref="J1510:N1510"/>
    <mergeCell ref="T1510:U1510"/>
    <mergeCell ref="B1511:D1511"/>
    <mergeCell ref="F1511:G1511"/>
    <mergeCell ref="J1511:N1511"/>
    <mergeCell ref="T1511:U1511"/>
    <mergeCell ref="B1512:D1512"/>
    <mergeCell ref="F1512:G1512"/>
    <mergeCell ref="J1512:N1512"/>
    <mergeCell ref="T1512:U1512"/>
    <mergeCell ref="B1513:D1513"/>
    <mergeCell ref="F1513:G1513"/>
    <mergeCell ref="J1513:N1513"/>
    <mergeCell ref="T1513:U1513"/>
    <mergeCell ref="B1514:D1514"/>
    <mergeCell ref="F1514:G1514"/>
    <mergeCell ref="J1514:N1514"/>
    <mergeCell ref="T1514:U1514"/>
    <mergeCell ref="B1515:D1515"/>
    <mergeCell ref="F1515:G1515"/>
    <mergeCell ref="J1515:N1515"/>
    <mergeCell ref="T1515:U1515"/>
    <mergeCell ref="B1516:D1516"/>
    <mergeCell ref="F1516:G1516"/>
    <mergeCell ref="J1516:N1516"/>
    <mergeCell ref="T1516:U1516"/>
    <mergeCell ref="B1517:D1517"/>
    <mergeCell ref="F1517:G1517"/>
    <mergeCell ref="J1517:N1517"/>
    <mergeCell ref="T1517:U1517"/>
    <mergeCell ref="B1518:D1518"/>
    <mergeCell ref="F1518:G1518"/>
    <mergeCell ref="J1518:N1518"/>
    <mergeCell ref="T1518:U1518"/>
    <mergeCell ref="B1501:D1501"/>
    <mergeCell ref="F1501:G1501"/>
    <mergeCell ref="J1501:N1501"/>
    <mergeCell ref="T1501:U1501"/>
    <mergeCell ref="B1502:D1502"/>
    <mergeCell ref="F1502:G1502"/>
    <mergeCell ref="J1502:N1502"/>
    <mergeCell ref="T1502:U1502"/>
    <mergeCell ref="B1503:D1503"/>
    <mergeCell ref="F1503:G1503"/>
    <mergeCell ref="J1503:N1503"/>
    <mergeCell ref="T1503:U1503"/>
    <mergeCell ref="B1504:D1504"/>
    <mergeCell ref="F1504:G1504"/>
    <mergeCell ref="J1504:N1504"/>
    <mergeCell ref="T1504:U1504"/>
    <mergeCell ref="B1505:D1505"/>
    <mergeCell ref="F1505:G1505"/>
    <mergeCell ref="J1505:N1505"/>
    <mergeCell ref="T1505:U1505"/>
    <mergeCell ref="B1506:D1506"/>
    <mergeCell ref="F1506:G1506"/>
    <mergeCell ref="J1506:N1506"/>
    <mergeCell ref="T1506:U1506"/>
    <mergeCell ref="B1507:D1507"/>
    <mergeCell ref="F1507:G1507"/>
    <mergeCell ref="J1507:N1507"/>
    <mergeCell ref="T1507:U1507"/>
    <mergeCell ref="A1508:J1508"/>
    <mergeCell ref="K1508:O1508"/>
    <mergeCell ref="T1508:U1508"/>
    <mergeCell ref="B1509:D1509"/>
    <mergeCell ref="F1509:G1509"/>
    <mergeCell ref="J1509:N1509"/>
    <mergeCell ref="T1509:U1509"/>
    <mergeCell ref="B1491:D1491"/>
    <mergeCell ref="F1491:G1491"/>
    <mergeCell ref="J1491:N1491"/>
    <mergeCell ref="T1491:U1491"/>
    <mergeCell ref="B1492:D1492"/>
    <mergeCell ref="F1492:G1493"/>
    <mergeCell ref="J1492:N1492"/>
    <mergeCell ref="T1492:U1492"/>
    <mergeCell ref="B1494:D1494"/>
    <mergeCell ref="F1494:G1494"/>
    <mergeCell ref="J1494:N1494"/>
    <mergeCell ref="T1494:U1494"/>
    <mergeCell ref="B1495:D1495"/>
    <mergeCell ref="F1495:G1495"/>
    <mergeCell ref="J1495:N1495"/>
    <mergeCell ref="T1495:U1495"/>
    <mergeCell ref="B1496:D1496"/>
    <mergeCell ref="F1496:G1496"/>
    <mergeCell ref="J1496:N1496"/>
    <mergeCell ref="T1496:U1496"/>
    <mergeCell ref="B1497:D1497"/>
    <mergeCell ref="F1497:G1497"/>
    <mergeCell ref="J1497:N1497"/>
    <mergeCell ref="T1497:U1497"/>
    <mergeCell ref="B1498:D1498"/>
    <mergeCell ref="F1498:G1498"/>
    <mergeCell ref="J1498:N1498"/>
    <mergeCell ref="T1498:U1498"/>
    <mergeCell ref="B1499:D1499"/>
    <mergeCell ref="F1499:G1499"/>
    <mergeCell ref="J1499:N1499"/>
    <mergeCell ref="T1499:U1499"/>
    <mergeCell ref="B1500:D1500"/>
    <mergeCell ref="F1500:G1500"/>
    <mergeCell ref="J1500:N1500"/>
    <mergeCell ref="T1500:U1500"/>
    <mergeCell ref="B1482:D1482"/>
    <mergeCell ref="F1482:G1482"/>
    <mergeCell ref="J1482:N1482"/>
    <mergeCell ref="T1482:U1482"/>
    <mergeCell ref="B1483:D1483"/>
    <mergeCell ref="F1483:G1483"/>
    <mergeCell ref="J1483:N1483"/>
    <mergeCell ref="T1483:U1483"/>
    <mergeCell ref="B1484:D1484"/>
    <mergeCell ref="F1484:G1484"/>
    <mergeCell ref="J1484:N1484"/>
    <mergeCell ref="T1484:U1484"/>
    <mergeCell ref="B1485:D1485"/>
    <mergeCell ref="F1485:G1485"/>
    <mergeCell ref="J1485:N1485"/>
    <mergeCell ref="T1485:U1485"/>
    <mergeCell ref="B1486:D1486"/>
    <mergeCell ref="F1486:G1486"/>
    <mergeCell ref="J1486:N1486"/>
    <mergeCell ref="T1486:U1486"/>
    <mergeCell ref="B1487:D1487"/>
    <mergeCell ref="F1487:G1487"/>
    <mergeCell ref="J1487:N1487"/>
    <mergeCell ref="T1487:U1487"/>
    <mergeCell ref="B1488:D1488"/>
    <mergeCell ref="F1488:G1488"/>
    <mergeCell ref="J1488:N1488"/>
    <mergeCell ref="T1488:U1488"/>
    <mergeCell ref="B1489:D1489"/>
    <mergeCell ref="F1489:G1489"/>
    <mergeCell ref="J1489:N1489"/>
    <mergeCell ref="T1489:U1489"/>
    <mergeCell ref="B1490:D1490"/>
    <mergeCell ref="F1490:G1490"/>
    <mergeCell ref="J1490:N1490"/>
    <mergeCell ref="T1490:U1490"/>
    <mergeCell ref="B1473:D1473"/>
    <mergeCell ref="F1473:G1473"/>
    <mergeCell ref="J1473:N1473"/>
    <mergeCell ref="T1473:U1473"/>
    <mergeCell ref="B1474:D1474"/>
    <mergeCell ref="F1474:G1474"/>
    <mergeCell ref="J1474:N1474"/>
    <mergeCell ref="T1474:U1474"/>
    <mergeCell ref="B1475:D1475"/>
    <mergeCell ref="F1475:G1475"/>
    <mergeCell ref="J1475:N1475"/>
    <mergeCell ref="T1475:U1475"/>
    <mergeCell ref="B1476:D1476"/>
    <mergeCell ref="F1476:G1476"/>
    <mergeCell ref="J1476:N1476"/>
    <mergeCell ref="T1476:U1476"/>
    <mergeCell ref="B1477:D1477"/>
    <mergeCell ref="F1477:G1477"/>
    <mergeCell ref="J1477:N1477"/>
    <mergeCell ref="T1477:U1477"/>
    <mergeCell ref="B1478:D1478"/>
    <mergeCell ref="F1478:G1478"/>
    <mergeCell ref="J1478:N1478"/>
    <mergeCell ref="T1478:U1478"/>
    <mergeCell ref="B1479:D1479"/>
    <mergeCell ref="F1479:G1479"/>
    <mergeCell ref="J1479:N1479"/>
    <mergeCell ref="T1479:U1479"/>
    <mergeCell ref="B1480:D1480"/>
    <mergeCell ref="F1480:G1480"/>
    <mergeCell ref="J1480:N1480"/>
    <mergeCell ref="T1480:U1480"/>
    <mergeCell ref="B1481:D1481"/>
    <mergeCell ref="F1481:G1481"/>
    <mergeCell ref="J1481:N1481"/>
    <mergeCell ref="T1481:U1481"/>
    <mergeCell ref="B1464:D1464"/>
    <mergeCell ref="F1464:G1464"/>
    <mergeCell ref="J1464:N1464"/>
    <mergeCell ref="T1464:U1464"/>
    <mergeCell ref="B1465:D1465"/>
    <mergeCell ref="F1465:G1465"/>
    <mergeCell ref="J1465:N1465"/>
    <mergeCell ref="T1465:U1465"/>
    <mergeCell ref="A1466:J1466"/>
    <mergeCell ref="K1466:O1466"/>
    <mergeCell ref="T1466:U1466"/>
    <mergeCell ref="B1467:D1467"/>
    <mergeCell ref="F1467:G1467"/>
    <mergeCell ref="J1467:N1467"/>
    <mergeCell ref="T1467:U1467"/>
    <mergeCell ref="B1468:D1468"/>
    <mergeCell ref="F1468:G1468"/>
    <mergeCell ref="J1468:N1468"/>
    <mergeCell ref="T1468:U1468"/>
    <mergeCell ref="B1469:D1469"/>
    <mergeCell ref="F1469:G1469"/>
    <mergeCell ref="J1469:N1469"/>
    <mergeCell ref="T1469:U1469"/>
    <mergeCell ref="B1470:D1470"/>
    <mergeCell ref="F1470:G1470"/>
    <mergeCell ref="J1470:N1470"/>
    <mergeCell ref="T1470:U1470"/>
    <mergeCell ref="B1471:D1471"/>
    <mergeCell ref="F1471:G1471"/>
    <mergeCell ref="J1471:N1471"/>
    <mergeCell ref="T1471:U1471"/>
    <mergeCell ref="B1472:D1472"/>
    <mergeCell ref="F1472:G1472"/>
    <mergeCell ref="J1472:N1472"/>
    <mergeCell ref="T1472:U1472"/>
    <mergeCell ref="B1455:D1455"/>
    <mergeCell ref="F1455:G1455"/>
    <mergeCell ref="J1455:N1455"/>
    <mergeCell ref="T1455:U1455"/>
    <mergeCell ref="B1456:D1456"/>
    <mergeCell ref="F1456:G1456"/>
    <mergeCell ref="J1456:N1456"/>
    <mergeCell ref="T1456:U1456"/>
    <mergeCell ref="B1457:D1457"/>
    <mergeCell ref="F1457:G1457"/>
    <mergeCell ref="J1457:N1457"/>
    <mergeCell ref="T1457:U1457"/>
    <mergeCell ref="B1458:D1458"/>
    <mergeCell ref="F1458:G1458"/>
    <mergeCell ref="J1458:N1458"/>
    <mergeCell ref="T1458:U1458"/>
    <mergeCell ref="B1459:D1459"/>
    <mergeCell ref="F1459:G1459"/>
    <mergeCell ref="J1459:N1459"/>
    <mergeCell ref="T1459:U1459"/>
    <mergeCell ref="B1460:D1460"/>
    <mergeCell ref="F1460:G1460"/>
    <mergeCell ref="J1460:N1460"/>
    <mergeCell ref="T1460:U1460"/>
    <mergeCell ref="B1461:D1461"/>
    <mergeCell ref="F1461:G1461"/>
    <mergeCell ref="J1461:N1461"/>
    <mergeCell ref="T1461:U1461"/>
    <mergeCell ref="B1462:D1462"/>
    <mergeCell ref="F1462:G1462"/>
    <mergeCell ref="J1462:N1462"/>
    <mergeCell ref="T1462:U1462"/>
    <mergeCell ref="B1463:D1463"/>
    <mergeCell ref="F1463:G1463"/>
    <mergeCell ref="J1463:N1463"/>
    <mergeCell ref="T1463:U1463"/>
    <mergeCell ref="B1446:D1446"/>
    <mergeCell ref="F1446:G1446"/>
    <mergeCell ref="J1446:N1446"/>
    <mergeCell ref="T1446:U1446"/>
    <mergeCell ref="B1447:D1447"/>
    <mergeCell ref="F1447:G1447"/>
    <mergeCell ref="J1447:N1447"/>
    <mergeCell ref="T1447:U1447"/>
    <mergeCell ref="B1448:D1448"/>
    <mergeCell ref="F1448:G1448"/>
    <mergeCell ref="J1448:N1448"/>
    <mergeCell ref="T1448:U1448"/>
    <mergeCell ref="B1449:D1449"/>
    <mergeCell ref="F1449:G1449"/>
    <mergeCell ref="J1449:N1449"/>
    <mergeCell ref="T1449:U1449"/>
    <mergeCell ref="B1450:D1450"/>
    <mergeCell ref="F1450:G1450"/>
    <mergeCell ref="J1450:N1450"/>
    <mergeCell ref="T1450:U1450"/>
    <mergeCell ref="B1451:D1451"/>
    <mergeCell ref="F1451:G1451"/>
    <mergeCell ref="J1451:N1451"/>
    <mergeCell ref="T1451:U1451"/>
    <mergeCell ref="B1452:D1452"/>
    <mergeCell ref="F1452:G1452"/>
    <mergeCell ref="J1452:N1452"/>
    <mergeCell ref="T1452:U1452"/>
    <mergeCell ref="B1453:D1453"/>
    <mergeCell ref="F1453:G1453"/>
    <mergeCell ref="J1453:N1453"/>
    <mergeCell ref="T1453:U1453"/>
    <mergeCell ref="B1454:D1454"/>
    <mergeCell ref="F1454:G1454"/>
    <mergeCell ref="J1454:N1454"/>
    <mergeCell ref="T1454:U1454"/>
    <mergeCell ref="B1437:D1437"/>
    <mergeCell ref="F1437:G1437"/>
    <mergeCell ref="J1437:N1437"/>
    <mergeCell ref="T1437:U1437"/>
    <mergeCell ref="B1438:D1438"/>
    <mergeCell ref="F1438:G1438"/>
    <mergeCell ref="J1438:N1438"/>
    <mergeCell ref="T1438:U1438"/>
    <mergeCell ref="B1439:D1439"/>
    <mergeCell ref="F1439:G1439"/>
    <mergeCell ref="J1439:N1439"/>
    <mergeCell ref="T1439:U1439"/>
    <mergeCell ref="B1440:D1440"/>
    <mergeCell ref="F1440:G1440"/>
    <mergeCell ref="J1440:N1440"/>
    <mergeCell ref="T1440:U1440"/>
    <mergeCell ref="B1441:D1441"/>
    <mergeCell ref="F1441:G1441"/>
    <mergeCell ref="J1441:N1441"/>
    <mergeCell ref="T1441:U1441"/>
    <mergeCell ref="B1442:D1442"/>
    <mergeCell ref="F1442:G1442"/>
    <mergeCell ref="J1442:N1442"/>
    <mergeCell ref="T1442:U1442"/>
    <mergeCell ref="B1443:D1443"/>
    <mergeCell ref="F1443:G1443"/>
    <mergeCell ref="J1443:N1443"/>
    <mergeCell ref="T1443:U1443"/>
    <mergeCell ref="B1444:D1444"/>
    <mergeCell ref="F1444:G1444"/>
    <mergeCell ref="J1444:N1444"/>
    <mergeCell ref="T1444:U1444"/>
    <mergeCell ref="B1445:D1445"/>
    <mergeCell ref="F1445:G1445"/>
    <mergeCell ref="J1445:N1445"/>
    <mergeCell ref="T1445:U1445"/>
    <mergeCell ref="B1428:D1428"/>
    <mergeCell ref="F1428:G1428"/>
    <mergeCell ref="J1428:N1428"/>
    <mergeCell ref="T1428:U1428"/>
    <mergeCell ref="B1429:D1429"/>
    <mergeCell ref="F1429:G1429"/>
    <mergeCell ref="J1429:N1429"/>
    <mergeCell ref="T1429:U1429"/>
    <mergeCell ref="B1430:D1430"/>
    <mergeCell ref="F1430:G1430"/>
    <mergeCell ref="J1430:N1430"/>
    <mergeCell ref="T1430:U1430"/>
    <mergeCell ref="B1431:D1431"/>
    <mergeCell ref="F1431:G1431"/>
    <mergeCell ref="J1431:N1431"/>
    <mergeCell ref="T1431:U1431"/>
    <mergeCell ref="B1432:D1432"/>
    <mergeCell ref="F1432:G1432"/>
    <mergeCell ref="J1432:N1432"/>
    <mergeCell ref="T1432:U1432"/>
    <mergeCell ref="B1433:D1433"/>
    <mergeCell ref="F1433:G1433"/>
    <mergeCell ref="J1433:N1433"/>
    <mergeCell ref="T1433:U1433"/>
    <mergeCell ref="B1434:D1434"/>
    <mergeCell ref="F1434:G1434"/>
    <mergeCell ref="J1434:N1434"/>
    <mergeCell ref="T1434:U1434"/>
    <mergeCell ref="B1435:D1435"/>
    <mergeCell ref="F1435:G1435"/>
    <mergeCell ref="J1435:N1435"/>
    <mergeCell ref="T1435:U1435"/>
    <mergeCell ref="B1436:D1436"/>
    <mergeCell ref="F1436:G1436"/>
    <mergeCell ref="J1436:N1436"/>
    <mergeCell ref="T1436:U1436"/>
    <mergeCell ref="B1419:D1419"/>
    <mergeCell ref="F1419:G1419"/>
    <mergeCell ref="J1419:N1419"/>
    <mergeCell ref="T1419:U1419"/>
    <mergeCell ref="B1420:D1420"/>
    <mergeCell ref="F1420:G1420"/>
    <mergeCell ref="J1420:N1420"/>
    <mergeCell ref="T1420:U1420"/>
    <mergeCell ref="B1421:D1421"/>
    <mergeCell ref="F1421:G1421"/>
    <mergeCell ref="J1421:N1421"/>
    <mergeCell ref="T1421:U1421"/>
    <mergeCell ref="B1422:D1422"/>
    <mergeCell ref="F1422:G1422"/>
    <mergeCell ref="J1422:N1422"/>
    <mergeCell ref="T1422:U1422"/>
    <mergeCell ref="B1423:D1423"/>
    <mergeCell ref="F1423:G1423"/>
    <mergeCell ref="J1423:N1423"/>
    <mergeCell ref="T1423:U1423"/>
    <mergeCell ref="B1424:D1424"/>
    <mergeCell ref="F1424:G1424"/>
    <mergeCell ref="J1424:N1424"/>
    <mergeCell ref="T1424:U1424"/>
    <mergeCell ref="B1425:D1425"/>
    <mergeCell ref="F1425:G1425"/>
    <mergeCell ref="J1425:N1425"/>
    <mergeCell ref="T1425:U1425"/>
    <mergeCell ref="B1426:D1426"/>
    <mergeCell ref="F1426:G1426"/>
    <mergeCell ref="J1426:N1426"/>
    <mergeCell ref="T1426:U1426"/>
    <mergeCell ref="B1427:D1427"/>
    <mergeCell ref="F1427:G1427"/>
    <mergeCell ref="J1427:N1427"/>
    <mergeCell ref="T1427:U1427"/>
    <mergeCell ref="B1410:D1410"/>
    <mergeCell ref="F1410:G1410"/>
    <mergeCell ref="J1410:N1410"/>
    <mergeCell ref="T1410:U1410"/>
    <mergeCell ref="B1411:D1411"/>
    <mergeCell ref="F1411:G1411"/>
    <mergeCell ref="J1411:N1411"/>
    <mergeCell ref="T1411:U1411"/>
    <mergeCell ref="B1412:D1412"/>
    <mergeCell ref="F1412:G1412"/>
    <mergeCell ref="J1412:N1412"/>
    <mergeCell ref="T1412:U1412"/>
    <mergeCell ref="B1413:D1413"/>
    <mergeCell ref="F1413:G1413"/>
    <mergeCell ref="J1413:N1413"/>
    <mergeCell ref="T1413:U1413"/>
    <mergeCell ref="B1414:D1414"/>
    <mergeCell ref="F1414:G1414"/>
    <mergeCell ref="J1414:N1414"/>
    <mergeCell ref="T1414:U1414"/>
    <mergeCell ref="B1415:D1415"/>
    <mergeCell ref="F1415:G1415"/>
    <mergeCell ref="J1415:N1415"/>
    <mergeCell ref="T1415:U1415"/>
    <mergeCell ref="B1416:D1416"/>
    <mergeCell ref="F1416:G1416"/>
    <mergeCell ref="J1416:N1416"/>
    <mergeCell ref="T1416:U1416"/>
    <mergeCell ref="B1417:D1417"/>
    <mergeCell ref="F1417:G1417"/>
    <mergeCell ref="J1417:N1417"/>
    <mergeCell ref="T1417:U1417"/>
    <mergeCell ref="B1418:D1418"/>
    <mergeCell ref="F1418:G1418"/>
    <mergeCell ref="J1418:N1418"/>
    <mergeCell ref="T1418:U1418"/>
    <mergeCell ref="B1401:D1401"/>
    <mergeCell ref="F1401:G1401"/>
    <mergeCell ref="J1401:N1401"/>
    <mergeCell ref="T1401:U1401"/>
    <mergeCell ref="B1402:D1402"/>
    <mergeCell ref="F1402:G1402"/>
    <mergeCell ref="J1402:N1402"/>
    <mergeCell ref="T1402:U1402"/>
    <mergeCell ref="B1403:D1403"/>
    <mergeCell ref="F1403:G1403"/>
    <mergeCell ref="J1403:N1403"/>
    <mergeCell ref="T1403:U1403"/>
    <mergeCell ref="B1404:D1404"/>
    <mergeCell ref="F1404:G1404"/>
    <mergeCell ref="J1404:N1404"/>
    <mergeCell ref="T1404:U1404"/>
    <mergeCell ref="B1405:D1405"/>
    <mergeCell ref="F1405:G1405"/>
    <mergeCell ref="J1405:N1405"/>
    <mergeCell ref="T1405:U1405"/>
    <mergeCell ref="A1406:J1406"/>
    <mergeCell ref="K1406:O1406"/>
    <mergeCell ref="T1406:U1406"/>
    <mergeCell ref="B1407:D1407"/>
    <mergeCell ref="F1407:G1407"/>
    <mergeCell ref="J1407:N1407"/>
    <mergeCell ref="T1407:U1407"/>
    <mergeCell ref="B1408:D1408"/>
    <mergeCell ref="F1408:G1408"/>
    <mergeCell ref="J1408:N1408"/>
    <mergeCell ref="T1408:U1408"/>
    <mergeCell ref="B1409:D1409"/>
    <mergeCell ref="F1409:G1409"/>
    <mergeCell ref="J1409:N1409"/>
    <mergeCell ref="T1409:U1409"/>
    <mergeCell ref="B1392:D1392"/>
    <mergeCell ref="F1392:G1392"/>
    <mergeCell ref="J1392:N1392"/>
    <mergeCell ref="T1392:U1392"/>
    <mergeCell ref="B1393:D1393"/>
    <mergeCell ref="F1393:G1393"/>
    <mergeCell ref="J1393:N1393"/>
    <mergeCell ref="T1393:U1393"/>
    <mergeCell ref="B1394:D1394"/>
    <mergeCell ref="F1394:G1394"/>
    <mergeCell ref="J1394:N1394"/>
    <mergeCell ref="T1394:U1394"/>
    <mergeCell ref="B1395:D1395"/>
    <mergeCell ref="F1395:G1395"/>
    <mergeCell ref="J1395:N1395"/>
    <mergeCell ref="T1395:U1395"/>
    <mergeCell ref="B1396:D1396"/>
    <mergeCell ref="F1396:G1396"/>
    <mergeCell ref="J1396:N1396"/>
    <mergeCell ref="T1396:U1396"/>
    <mergeCell ref="B1397:D1397"/>
    <mergeCell ref="F1397:G1397"/>
    <mergeCell ref="J1397:N1397"/>
    <mergeCell ref="T1397:U1397"/>
    <mergeCell ref="B1398:D1398"/>
    <mergeCell ref="F1398:G1398"/>
    <mergeCell ref="J1398:N1398"/>
    <mergeCell ref="T1398:U1398"/>
    <mergeCell ref="B1399:D1399"/>
    <mergeCell ref="F1399:G1399"/>
    <mergeCell ref="J1399:N1399"/>
    <mergeCell ref="T1399:U1399"/>
    <mergeCell ref="B1400:D1400"/>
    <mergeCell ref="F1400:G1400"/>
    <mergeCell ref="J1400:N1400"/>
    <mergeCell ref="T1400:U1400"/>
    <mergeCell ref="B1383:D1383"/>
    <mergeCell ref="F1383:G1383"/>
    <mergeCell ref="J1383:N1383"/>
    <mergeCell ref="T1383:U1383"/>
    <mergeCell ref="B1384:D1384"/>
    <mergeCell ref="F1384:G1384"/>
    <mergeCell ref="J1384:N1384"/>
    <mergeCell ref="T1384:U1384"/>
    <mergeCell ref="B1385:D1385"/>
    <mergeCell ref="F1385:G1385"/>
    <mergeCell ref="J1385:N1385"/>
    <mergeCell ref="T1385:U1385"/>
    <mergeCell ref="B1386:D1386"/>
    <mergeCell ref="F1386:G1386"/>
    <mergeCell ref="J1386:N1386"/>
    <mergeCell ref="T1386:U1386"/>
    <mergeCell ref="B1387:D1387"/>
    <mergeCell ref="F1387:G1387"/>
    <mergeCell ref="J1387:N1387"/>
    <mergeCell ref="T1387:U1387"/>
    <mergeCell ref="B1388:D1388"/>
    <mergeCell ref="F1388:G1388"/>
    <mergeCell ref="J1388:N1388"/>
    <mergeCell ref="T1388:U1388"/>
    <mergeCell ref="B1389:D1389"/>
    <mergeCell ref="F1389:G1389"/>
    <mergeCell ref="J1389:N1389"/>
    <mergeCell ref="T1389:U1389"/>
    <mergeCell ref="B1390:D1390"/>
    <mergeCell ref="F1390:G1390"/>
    <mergeCell ref="J1390:N1390"/>
    <mergeCell ref="T1390:U1390"/>
    <mergeCell ref="B1391:D1391"/>
    <mergeCell ref="F1391:G1391"/>
    <mergeCell ref="J1391:N1391"/>
    <mergeCell ref="T1391:U1391"/>
    <mergeCell ref="B1374:D1374"/>
    <mergeCell ref="F1374:G1374"/>
    <mergeCell ref="J1374:N1374"/>
    <mergeCell ref="T1374:U1374"/>
    <mergeCell ref="B1375:D1375"/>
    <mergeCell ref="F1375:G1375"/>
    <mergeCell ref="J1375:N1375"/>
    <mergeCell ref="T1375:U1375"/>
    <mergeCell ref="B1376:D1376"/>
    <mergeCell ref="F1376:G1376"/>
    <mergeCell ref="J1376:N1376"/>
    <mergeCell ref="T1376:U1376"/>
    <mergeCell ref="B1377:D1377"/>
    <mergeCell ref="F1377:G1377"/>
    <mergeCell ref="J1377:N1377"/>
    <mergeCell ref="T1377:U1377"/>
    <mergeCell ref="B1378:D1378"/>
    <mergeCell ref="F1378:G1378"/>
    <mergeCell ref="J1378:N1378"/>
    <mergeCell ref="T1378:U1378"/>
    <mergeCell ref="B1379:D1379"/>
    <mergeCell ref="F1379:G1379"/>
    <mergeCell ref="J1379:N1379"/>
    <mergeCell ref="T1379:U1379"/>
    <mergeCell ref="B1380:D1380"/>
    <mergeCell ref="F1380:G1380"/>
    <mergeCell ref="J1380:N1380"/>
    <mergeCell ref="T1380:U1380"/>
    <mergeCell ref="B1381:D1381"/>
    <mergeCell ref="F1381:G1381"/>
    <mergeCell ref="J1381:N1381"/>
    <mergeCell ref="T1381:U1381"/>
    <mergeCell ref="B1382:D1382"/>
    <mergeCell ref="F1382:G1382"/>
    <mergeCell ref="J1382:N1382"/>
    <mergeCell ref="T1382:U1382"/>
    <mergeCell ref="B1364:D1364"/>
    <mergeCell ref="F1364:G1365"/>
    <mergeCell ref="J1364:N1364"/>
    <mergeCell ref="T1364:U1364"/>
    <mergeCell ref="B1366:D1366"/>
    <mergeCell ref="F1366:G1366"/>
    <mergeCell ref="J1366:N1366"/>
    <mergeCell ref="T1366:U1366"/>
    <mergeCell ref="B1367:D1367"/>
    <mergeCell ref="F1367:G1367"/>
    <mergeCell ref="J1367:N1367"/>
    <mergeCell ref="T1367:U1367"/>
    <mergeCell ref="B1368:D1368"/>
    <mergeCell ref="F1368:G1368"/>
    <mergeCell ref="J1368:N1368"/>
    <mergeCell ref="T1368:U1368"/>
    <mergeCell ref="B1369:D1369"/>
    <mergeCell ref="F1369:G1369"/>
    <mergeCell ref="J1369:N1369"/>
    <mergeCell ref="T1369:U1369"/>
    <mergeCell ref="B1370:D1370"/>
    <mergeCell ref="F1370:G1370"/>
    <mergeCell ref="J1370:N1370"/>
    <mergeCell ref="T1370:U1370"/>
    <mergeCell ref="B1371:D1371"/>
    <mergeCell ref="F1371:G1371"/>
    <mergeCell ref="J1371:N1371"/>
    <mergeCell ref="T1371:U1371"/>
    <mergeCell ref="B1372:D1372"/>
    <mergeCell ref="F1372:G1372"/>
    <mergeCell ref="J1372:N1372"/>
    <mergeCell ref="T1372:U1372"/>
    <mergeCell ref="B1373:D1373"/>
    <mergeCell ref="F1373:G1373"/>
    <mergeCell ref="J1373:N1373"/>
    <mergeCell ref="T1373:U1373"/>
    <mergeCell ref="B1355:D1355"/>
    <mergeCell ref="F1355:G1355"/>
    <mergeCell ref="J1355:N1355"/>
    <mergeCell ref="T1355:U1355"/>
    <mergeCell ref="B1356:D1356"/>
    <mergeCell ref="F1356:G1356"/>
    <mergeCell ref="J1356:N1356"/>
    <mergeCell ref="T1356:U1356"/>
    <mergeCell ref="B1357:D1357"/>
    <mergeCell ref="F1357:G1357"/>
    <mergeCell ref="J1357:N1357"/>
    <mergeCell ref="T1357:U1357"/>
    <mergeCell ref="B1358:D1358"/>
    <mergeCell ref="F1358:G1358"/>
    <mergeCell ref="J1358:N1358"/>
    <mergeCell ref="T1358:U1358"/>
    <mergeCell ref="B1359:D1359"/>
    <mergeCell ref="F1359:G1359"/>
    <mergeCell ref="J1359:N1359"/>
    <mergeCell ref="T1359:U1359"/>
    <mergeCell ref="B1360:D1360"/>
    <mergeCell ref="F1360:G1360"/>
    <mergeCell ref="J1360:N1360"/>
    <mergeCell ref="T1360:U1360"/>
    <mergeCell ref="B1361:D1361"/>
    <mergeCell ref="F1361:G1361"/>
    <mergeCell ref="J1361:N1361"/>
    <mergeCell ref="T1361:U1361"/>
    <mergeCell ref="B1362:D1362"/>
    <mergeCell ref="F1362:G1362"/>
    <mergeCell ref="J1362:N1362"/>
    <mergeCell ref="T1362:U1362"/>
    <mergeCell ref="B1363:D1363"/>
    <mergeCell ref="F1363:G1363"/>
    <mergeCell ref="J1363:N1363"/>
    <mergeCell ref="T1363:U1363"/>
    <mergeCell ref="B1346:D1346"/>
    <mergeCell ref="F1346:G1346"/>
    <mergeCell ref="J1346:N1346"/>
    <mergeCell ref="T1346:U1346"/>
    <mergeCell ref="B1347:D1347"/>
    <mergeCell ref="F1347:G1347"/>
    <mergeCell ref="J1347:N1347"/>
    <mergeCell ref="T1347:U1347"/>
    <mergeCell ref="B1348:D1348"/>
    <mergeCell ref="F1348:G1348"/>
    <mergeCell ref="J1348:N1348"/>
    <mergeCell ref="T1348:U1348"/>
    <mergeCell ref="B1349:D1349"/>
    <mergeCell ref="F1349:G1349"/>
    <mergeCell ref="J1349:N1349"/>
    <mergeCell ref="T1349:U1349"/>
    <mergeCell ref="B1350:D1350"/>
    <mergeCell ref="F1350:G1350"/>
    <mergeCell ref="J1350:N1350"/>
    <mergeCell ref="T1350:U1350"/>
    <mergeCell ref="B1351:D1351"/>
    <mergeCell ref="F1351:G1351"/>
    <mergeCell ref="J1351:N1351"/>
    <mergeCell ref="T1351:U1351"/>
    <mergeCell ref="B1352:D1352"/>
    <mergeCell ref="F1352:G1352"/>
    <mergeCell ref="J1352:N1352"/>
    <mergeCell ref="T1352:U1352"/>
    <mergeCell ref="B1353:D1353"/>
    <mergeCell ref="F1353:G1353"/>
    <mergeCell ref="J1353:N1353"/>
    <mergeCell ref="T1353:U1353"/>
    <mergeCell ref="B1354:D1354"/>
    <mergeCell ref="F1354:G1354"/>
    <mergeCell ref="J1354:N1354"/>
    <mergeCell ref="T1354:U1354"/>
    <mergeCell ref="B1337:D1337"/>
    <mergeCell ref="F1337:G1337"/>
    <mergeCell ref="J1337:N1337"/>
    <mergeCell ref="T1337:U1337"/>
    <mergeCell ref="B1338:D1338"/>
    <mergeCell ref="F1338:G1338"/>
    <mergeCell ref="J1338:N1338"/>
    <mergeCell ref="T1338:U1338"/>
    <mergeCell ref="B1339:D1339"/>
    <mergeCell ref="F1339:G1339"/>
    <mergeCell ref="J1339:N1339"/>
    <mergeCell ref="T1339:U1339"/>
    <mergeCell ref="B1340:D1340"/>
    <mergeCell ref="F1340:G1340"/>
    <mergeCell ref="J1340:N1340"/>
    <mergeCell ref="T1340:U1340"/>
    <mergeCell ref="B1341:D1341"/>
    <mergeCell ref="F1341:G1341"/>
    <mergeCell ref="J1341:N1341"/>
    <mergeCell ref="T1341:U1341"/>
    <mergeCell ref="B1342:D1342"/>
    <mergeCell ref="F1342:G1342"/>
    <mergeCell ref="J1342:N1342"/>
    <mergeCell ref="T1342:U1342"/>
    <mergeCell ref="B1343:D1343"/>
    <mergeCell ref="F1343:G1343"/>
    <mergeCell ref="J1343:N1343"/>
    <mergeCell ref="T1343:U1343"/>
    <mergeCell ref="B1344:D1344"/>
    <mergeCell ref="F1344:G1344"/>
    <mergeCell ref="J1344:N1344"/>
    <mergeCell ref="T1344:U1344"/>
    <mergeCell ref="B1345:D1345"/>
    <mergeCell ref="F1345:G1345"/>
    <mergeCell ref="J1345:N1345"/>
    <mergeCell ref="T1345:U1345"/>
    <mergeCell ref="B1328:D1328"/>
    <mergeCell ref="F1328:G1328"/>
    <mergeCell ref="J1328:N1328"/>
    <mergeCell ref="T1328:U1328"/>
    <mergeCell ref="B1329:D1329"/>
    <mergeCell ref="F1329:G1329"/>
    <mergeCell ref="J1329:N1329"/>
    <mergeCell ref="T1329:U1329"/>
    <mergeCell ref="B1330:D1330"/>
    <mergeCell ref="F1330:G1330"/>
    <mergeCell ref="J1330:N1330"/>
    <mergeCell ref="T1330:U1330"/>
    <mergeCell ref="B1331:D1331"/>
    <mergeCell ref="F1331:G1331"/>
    <mergeCell ref="J1331:N1331"/>
    <mergeCell ref="T1331:U1331"/>
    <mergeCell ref="B1332:D1332"/>
    <mergeCell ref="F1332:G1332"/>
    <mergeCell ref="J1332:N1332"/>
    <mergeCell ref="T1332:U1332"/>
    <mergeCell ref="B1333:D1333"/>
    <mergeCell ref="F1333:G1333"/>
    <mergeCell ref="J1333:N1333"/>
    <mergeCell ref="T1333:U1333"/>
    <mergeCell ref="B1334:D1334"/>
    <mergeCell ref="F1334:G1334"/>
    <mergeCell ref="J1334:N1334"/>
    <mergeCell ref="T1334:U1334"/>
    <mergeCell ref="B1335:D1335"/>
    <mergeCell ref="F1335:G1335"/>
    <mergeCell ref="J1335:N1335"/>
    <mergeCell ref="T1335:U1335"/>
    <mergeCell ref="B1336:D1336"/>
    <mergeCell ref="F1336:G1336"/>
    <mergeCell ref="J1336:N1336"/>
    <mergeCell ref="T1336:U1336"/>
    <mergeCell ref="B1319:D1319"/>
    <mergeCell ref="F1319:G1319"/>
    <mergeCell ref="J1319:N1319"/>
    <mergeCell ref="T1319:U1319"/>
    <mergeCell ref="B1320:D1320"/>
    <mergeCell ref="F1320:G1320"/>
    <mergeCell ref="J1320:N1320"/>
    <mergeCell ref="T1320:U1320"/>
    <mergeCell ref="B1321:D1321"/>
    <mergeCell ref="F1321:G1321"/>
    <mergeCell ref="J1321:N1321"/>
    <mergeCell ref="T1321:U1321"/>
    <mergeCell ref="B1322:D1322"/>
    <mergeCell ref="F1322:G1322"/>
    <mergeCell ref="J1322:N1322"/>
    <mergeCell ref="T1322:U1322"/>
    <mergeCell ref="B1323:D1323"/>
    <mergeCell ref="F1323:G1323"/>
    <mergeCell ref="J1323:N1323"/>
    <mergeCell ref="T1323:U1323"/>
    <mergeCell ref="B1324:D1324"/>
    <mergeCell ref="F1324:G1324"/>
    <mergeCell ref="J1324:N1324"/>
    <mergeCell ref="T1324:U1324"/>
    <mergeCell ref="B1325:D1325"/>
    <mergeCell ref="F1325:G1325"/>
    <mergeCell ref="J1325:N1325"/>
    <mergeCell ref="T1325:U1325"/>
    <mergeCell ref="B1326:D1326"/>
    <mergeCell ref="F1326:G1326"/>
    <mergeCell ref="J1326:N1326"/>
    <mergeCell ref="T1326:U1326"/>
    <mergeCell ref="B1327:D1327"/>
    <mergeCell ref="F1327:G1327"/>
    <mergeCell ref="J1327:N1327"/>
    <mergeCell ref="T1327:U1327"/>
    <mergeCell ref="B1310:D1310"/>
    <mergeCell ref="F1310:G1310"/>
    <mergeCell ref="J1310:N1310"/>
    <mergeCell ref="T1310:U1310"/>
    <mergeCell ref="B1311:D1311"/>
    <mergeCell ref="F1311:G1311"/>
    <mergeCell ref="J1311:N1311"/>
    <mergeCell ref="T1311:U1311"/>
    <mergeCell ref="B1312:D1312"/>
    <mergeCell ref="F1312:G1312"/>
    <mergeCell ref="J1312:N1312"/>
    <mergeCell ref="T1312:U1312"/>
    <mergeCell ref="B1313:D1313"/>
    <mergeCell ref="F1313:G1313"/>
    <mergeCell ref="J1313:N1313"/>
    <mergeCell ref="T1313:U1313"/>
    <mergeCell ref="B1314:D1314"/>
    <mergeCell ref="F1314:G1314"/>
    <mergeCell ref="J1314:N1314"/>
    <mergeCell ref="T1314:U1314"/>
    <mergeCell ref="B1315:D1315"/>
    <mergeCell ref="F1315:G1315"/>
    <mergeCell ref="J1315:N1315"/>
    <mergeCell ref="T1315:U1315"/>
    <mergeCell ref="B1316:D1316"/>
    <mergeCell ref="F1316:G1316"/>
    <mergeCell ref="J1316:N1316"/>
    <mergeCell ref="T1316:U1316"/>
    <mergeCell ref="B1317:D1317"/>
    <mergeCell ref="F1317:G1317"/>
    <mergeCell ref="J1317:N1317"/>
    <mergeCell ref="T1317:U1317"/>
    <mergeCell ref="B1318:D1318"/>
    <mergeCell ref="F1318:G1318"/>
    <mergeCell ref="J1318:N1318"/>
    <mergeCell ref="T1318:U1318"/>
    <mergeCell ref="B1301:D1301"/>
    <mergeCell ref="F1301:G1301"/>
    <mergeCell ref="J1301:N1301"/>
    <mergeCell ref="T1301:U1301"/>
    <mergeCell ref="B1302:D1302"/>
    <mergeCell ref="F1302:G1302"/>
    <mergeCell ref="J1302:N1302"/>
    <mergeCell ref="T1302:U1302"/>
    <mergeCell ref="B1303:D1303"/>
    <mergeCell ref="F1303:G1303"/>
    <mergeCell ref="J1303:N1303"/>
    <mergeCell ref="T1303:U1303"/>
    <mergeCell ref="B1304:D1304"/>
    <mergeCell ref="F1304:G1304"/>
    <mergeCell ref="J1304:N1304"/>
    <mergeCell ref="T1304:U1304"/>
    <mergeCell ref="B1305:D1305"/>
    <mergeCell ref="F1305:G1305"/>
    <mergeCell ref="J1305:N1305"/>
    <mergeCell ref="T1305:U1305"/>
    <mergeCell ref="B1306:D1306"/>
    <mergeCell ref="F1306:G1306"/>
    <mergeCell ref="J1306:N1306"/>
    <mergeCell ref="T1306:U1306"/>
    <mergeCell ref="B1307:D1307"/>
    <mergeCell ref="F1307:G1307"/>
    <mergeCell ref="J1307:N1307"/>
    <mergeCell ref="T1307:U1307"/>
    <mergeCell ref="A1308:J1308"/>
    <mergeCell ref="K1308:O1308"/>
    <mergeCell ref="T1308:U1308"/>
    <mergeCell ref="B1309:D1309"/>
    <mergeCell ref="F1309:G1309"/>
    <mergeCell ref="J1309:N1309"/>
    <mergeCell ref="T1309:U1309"/>
    <mergeCell ref="B1292:D1292"/>
    <mergeCell ref="F1292:G1292"/>
    <mergeCell ref="J1292:N1292"/>
    <mergeCell ref="T1292:U1292"/>
    <mergeCell ref="B1293:D1293"/>
    <mergeCell ref="F1293:G1293"/>
    <mergeCell ref="J1293:N1293"/>
    <mergeCell ref="T1293:U1293"/>
    <mergeCell ref="B1294:D1294"/>
    <mergeCell ref="F1294:G1294"/>
    <mergeCell ref="J1294:N1294"/>
    <mergeCell ref="T1294:U1294"/>
    <mergeCell ref="B1295:D1295"/>
    <mergeCell ref="F1295:G1295"/>
    <mergeCell ref="J1295:N1295"/>
    <mergeCell ref="T1295:U1295"/>
    <mergeCell ref="B1296:D1296"/>
    <mergeCell ref="F1296:G1296"/>
    <mergeCell ref="J1296:N1296"/>
    <mergeCell ref="T1296:U1296"/>
    <mergeCell ref="B1297:D1297"/>
    <mergeCell ref="F1297:G1297"/>
    <mergeCell ref="J1297:N1297"/>
    <mergeCell ref="T1297:U1297"/>
    <mergeCell ref="B1298:D1298"/>
    <mergeCell ref="F1298:G1298"/>
    <mergeCell ref="J1298:N1298"/>
    <mergeCell ref="T1298:U1298"/>
    <mergeCell ref="B1299:D1299"/>
    <mergeCell ref="F1299:G1299"/>
    <mergeCell ref="J1299:N1299"/>
    <mergeCell ref="T1299:U1299"/>
    <mergeCell ref="B1300:D1300"/>
    <mergeCell ref="F1300:G1300"/>
    <mergeCell ref="J1300:N1300"/>
    <mergeCell ref="T1300:U1300"/>
    <mergeCell ref="B1283:D1283"/>
    <mergeCell ref="F1283:G1283"/>
    <mergeCell ref="J1283:N1283"/>
    <mergeCell ref="T1283:U1283"/>
    <mergeCell ref="B1284:D1284"/>
    <mergeCell ref="F1284:G1284"/>
    <mergeCell ref="J1284:N1284"/>
    <mergeCell ref="T1284:U1284"/>
    <mergeCell ref="B1285:D1285"/>
    <mergeCell ref="F1285:G1285"/>
    <mergeCell ref="J1285:N1285"/>
    <mergeCell ref="T1285:U1285"/>
    <mergeCell ref="B1286:D1286"/>
    <mergeCell ref="F1286:G1286"/>
    <mergeCell ref="J1286:N1286"/>
    <mergeCell ref="T1286:U1286"/>
    <mergeCell ref="B1287:D1287"/>
    <mergeCell ref="F1287:G1287"/>
    <mergeCell ref="J1287:N1287"/>
    <mergeCell ref="T1287:U1287"/>
    <mergeCell ref="B1288:D1288"/>
    <mergeCell ref="F1288:G1288"/>
    <mergeCell ref="J1288:N1288"/>
    <mergeCell ref="T1288:U1288"/>
    <mergeCell ref="B1289:D1289"/>
    <mergeCell ref="F1289:G1289"/>
    <mergeCell ref="J1289:N1289"/>
    <mergeCell ref="T1289:U1289"/>
    <mergeCell ref="B1290:D1290"/>
    <mergeCell ref="F1290:G1290"/>
    <mergeCell ref="J1290:N1290"/>
    <mergeCell ref="T1290:U1290"/>
    <mergeCell ref="B1291:D1291"/>
    <mergeCell ref="F1291:G1291"/>
    <mergeCell ref="J1291:N1291"/>
    <mergeCell ref="T1291:U1291"/>
    <mergeCell ref="B1274:D1274"/>
    <mergeCell ref="F1274:G1274"/>
    <mergeCell ref="J1274:N1274"/>
    <mergeCell ref="T1274:U1274"/>
    <mergeCell ref="B1275:D1275"/>
    <mergeCell ref="F1275:G1275"/>
    <mergeCell ref="J1275:N1275"/>
    <mergeCell ref="T1275:U1275"/>
    <mergeCell ref="B1276:D1276"/>
    <mergeCell ref="F1276:G1276"/>
    <mergeCell ref="J1276:N1276"/>
    <mergeCell ref="T1276:U1276"/>
    <mergeCell ref="B1277:D1277"/>
    <mergeCell ref="F1277:G1277"/>
    <mergeCell ref="J1277:N1277"/>
    <mergeCell ref="T1277:U1277"/>
    <mergeCell ref="B1278:D1278"/>
    <mergeCell ref="F1278:G1278"/>
    <mergeCell ref="J1278:N1278"/>
    <mergeCell ref="T1278:U1278"/>
    <mergeCell ref="B1279:D1279"/>
    <mergeCell ref="F1279:G1279"/>
    <mergeCell ref="J1279:N1279"/>
    <mergeCell ref="T1279:U1279"/>
    <mergeCell ref="B1280:D1280"/>
    <mergeCell ref="F1280:G1280"/>
    <mergeCell ref="J1280:N1280"/>
    <mergeCell ref="T1280:U1280"/>
    <mergeCell ref="B1281:D1281"/>
    <mergeCell ref="F1281:G1281"/>
    <mergeCell ref="J1281:N1281"/>
    <mergeCell ref="T1281:U1281"/>
    <mergeCell ref="B1282:D1282"/>
    <mergeCell ref="F1282:G1282"/>
    <mergeCell ref="J1282:N1282"/>
    <mergeCell ref="T1282:U1282"/>
    <mergeCell ref="B1264:D1264"/>
    <mergeCell ref="F1264:G1264"/>
    <mergeCell ref="J1264:N1264"/>
    <mergeCell ref="T1264:U1264"/>
    <mergeCell ref="B1265:D1265"/>
    <mergeCell ref="F1265:G1265"/>
    <mergeCell ref="J1265:N1265"/>
    <mergeCell ref="T1265:U1265"/>
    <mergeCell ref="B1266:D1266"/>
    <mergeCell ref="F1266:G1266"/>
    <mergeCell ref="J1266:N1266"/>
    <mergeCell ref="T1266:U1266"/>
    <mergeCell ref="B1267:D1267"/>
    <mergeCell ref="F1267:G1267"/>
    <mergeCell ref="J1267:N1267"/>
    <mergeCell ref="T1267:U1267"/>
    <mergeCell ref="B1268:D1268"/>
    <mergeCell ref="F1268:G1268"/>
    <mergeCell ref="J1268:N1268"/>
    <mergeCell ref="T1268:U1268"/>
    <mergeCell ref="B1269:D1269"/>
    <mergeCell ref="F1269:G1269"/>
    <mergeCell ref="J1269:N1269"/>
    <mergeCell ref="T1269:U1269"/>
    <mergeCell ref="B1270:D1270"/>
    <mergeCell ref="F1270:G1270"/>
    <mergeCell ref="J1270:N1270"/>
    <mergeCell ref="T1270:U1270"/>
    <mergeCell ref="B1271:D1271"/>
    <mergeCell ref="F1271:G1271"/>
    <mergeCell ref="J1271:N1271"/>
    <mergeCell ref="T1271:U1271"/>
    <mergeCell ref="B1272:D1272"/>
    <mergeCell ref="F1272:G1273"/>
    <mergeCell ref="J1272:N1272"/>
    <mergeCell ref="T1272:U1272"/>
    <mergeCell ref="B1253:D1253"/>
    <mergeCell ref="F1253:G1253"/>
    <mergeCell ref="J1253:N1253"/>
    <mergeCell ref="T1253:U1253"/>
    <mergeCell ref="B1254:D1254"/>
    <mergeCell ref="F1254:G1254"/>
    <mergeCell ref="J1254:N1254"/>
    <mergeCell ref="T1254:U1254"/>
    <mergeCell ref="B1255:D1255"/>
    <mergeCell ref="F1255:G1255"/>
    <mergeCell ref="J1255:N1255"/>
    <mergeCell ref="T1255:U1255"/>
    <mergeCell ref="B1256:D1256"/>
    <mergeCell ref="F1256:G1257"/>
    <mergeCell ref="J1256:N1256"/>
    <mergeCell ref="T1256:U1256"/>
    <mergeCell ref="B1258:D1258"/>
    <mergeCell ref="F1258:G1258"/>
    <mergeCell ref="J1258:N1258"/>
    <mergeCell ref="T1258:U1258"/>
    <mergeCell ref="B1259:D1259"/>
    <mergeCell ref="F1259:G1260"/>
    <mergeCell ref="J1259:N1259"/>
    <mergeCell ref="T1259:U1259"/>
    <mergeCell ref="B1261:D1261"/>
    <mergeCell ref="F1261:G1261"/>
    <mergeCell ref="J1261:N1261"/>
    <mergeCell ref="T1261:U1261"/>
    <mergeCell ref="B1262:D1262"/>
    <mergeCell ref="F1262:G1262"/>
    <mergeCell ref="J1262:N1262"/>
    <mergeCell ref="T1262:U1262"/>
    <mergeCell ref="B1263:D1263"/>
    <mergeCell ref="F1263:G1263"/>
    <mergeCell ref="J1263:N1263"/>
    <mergeCell ref="T1263:U1263"/>
    <mergeCell ref="B1244:D1244"/>
    <mergeCell ref="F1244:G1244"/>
    <mergeCell ref="J1244:N1244"/>
    <mergeCell ref="T1244:U1244"/>
    <mergeCell ref="B1245:D1245"/>
    <mergeCell ref="F1245:G1245"/>
    <mergeCell ref="J1245:N1245"/>
    <mergeCell ref="T1245:U1245"/>
    <mergeCell ref="B1246:D1246"/>
    <mergeCell ref="F1246:G1246"/>
    <mergeCell ref="J1246:N1246"/>
    <mergeCell ref="T1246:U1246"/>
    <mergeCell ref="B1247:D1247"/>
    <mergeCell ref="F1247:G1247"/>
    <mergeCell ref="J1247:N1247"/>
    <mergeCell ref="T1247:U1247"/>
    <mergeCell ref="B1248:D1248"/>
    <mergeCell ref="F1248:G1248"/>
    <mergeCell ref="J1248:N1248"/>
    <mergeCell ref="T1248:U1248"/>
    <mergeCell ref="B1249:D1249"/>
    <mergeCell ref="F1249:G1249"/>
    <mergeCell ref="J1249:N1249"/>
    <mergeCell ref="T1249:U1249"/>
    <mergeCell ref="B1250:D1250"/>
    <mergeCell ref="F1250:G1250"/>
    <mergeCell ref="J1250:N1250"/>
    <mergeCell ref="T1250:U1250"/>
    <mergeCell ref="B1251:D1251"/>
    <mergeCell ref="F1251:G1251"/>
    <mergeCell ref="J1251:N1251"/>
    <mergeCell ref="T1251:U1251"/>
    <mergeCell ref="B1252:D1252"/>
    <mergeCell ref="F1252:G1252"/>
    <mergeCell ref="J1252:N1252"/>
    <mergeCell ref="T1252:U1252"/>
    <mergeCell ref="B1235:D1235"/>
    <mergeCell ref="F1235:G1235"/>
    <mergeCell ref="J1235:N1235"/>
    <mergeCell ref="T1235:U1235"/>
    <mergeCell ref="B1236:D1236"/>
    <mergeCell ref="F1236:G1236"/>
    <mergeCell ref="J1236:N1236"/>
    <mergeCell ref="T1236:U1236"/>
    <mergeCell ref="B1237:D1237"/>
    <mergeCell ref="F1237:G1237"/>
    <mergeCell ref="J1237:N1237"/>
    <mergeCell ref="T1237:U1237"/>
    <mergeCell ref="B1238:D1238"/>
    <mergeCell ref="F1238:G1238"/>
    <mergeCell ref="J1238:N1238"/>
    <mergeCell ref="T1238:U1238"/>
    <mergeCell ref="B1239:D1239"/>
    <mergeCell ref="F1239:G1239"/>
    <mergeCell ref="J1239:N1239"/>
    <mergeCell ref="T1239:U1239"/>
    <mergeCell ref="B1240:D1240"/>
    <mergeCell ref="F1240:G1240"/>
    <mergeCell ref="J1240:N1240"/>
    <mergeCell ref="T1240:U1240"/>
    <mergeCell ref="B1241:D1241"/>
    <mergeCell ref="F1241:G1241"/>
    <mergeCell ref="J1241:N1241"/>
    <mergeCell ref="T1241:U1241"/>
    <mergeCell ref="B1242:D1242"/>
    <mergeCell ref="F1242:G1242"/>
    <mergeCell ref="J1242:N1242"/>
    <mergeCell ref="T1242:U1242"/>
    <mergeCell ref="B1243:D1243"/>
    <mergeCell ref="F1243:G1243"/>
    <mergeCell ref="J1243:N1243"/>
    <mergeCell ref="T1243:U1243"/>
    <mergeCell ref="B1226:D1226"/>
    <mergeCell ref="F1226:G1226"/>
    <mergeCell ref="J1226:N1226"/>
    <mergeCell ref="T1226:U1226"/>
    <mergeCell ref="B1227:D1227"/>
    <mergeCell ref="F1227:G1227"/>
    <mergeCell ref="J1227:N1227"/>
    <mergeCell ref="T1227:U1227"/>
    <mergeCell ref="B1228:D1228"/>
    <mergeCell ref="F1228:G1228"/>
    <mergeCell ref="J1228:N1228"/>
    <mergeCell ref="T1228:U1228"/>
    <mergeCell ref="B1229:D1229"/>
    <mergeCell ref="F1229:G1229"/>
    <mergeCell ref="J1229:N1229"/>
    <mergeCell ref="T1229:U1229"/>
    <mergeCell ref="B1230:D1230"/>
    <mergeCell ref="F1230:G1230"/>
    <mergeCell ref="J1230:N1230"/>
    <mergeCell ref="T1230:U1230"/>
    <mergeCell ref="B1231:D1231"/>
    <mergeCell ref="F1231:G1231"/>
    <mergeCell ref="J1231:N1231"/>
    <mergeCell ref="T1231:U1231"/>
    <mergeCell ref="B1232:D1232"/>
    <mergeCell ref="F1232:G1232"/>
    <mergeCell ref="J1232:N1232"/>
    <mergeCell ref="T1232:U1232"/>
    <mergeCell ref="B1233:D1233"/>
    <mergeCell ref="F1233:G1233"/>
    <mergeCell ref="J1233:N1233"/>
    <mergeCell ref="T1233:U1233"/>
    <mergeCell ref="B1234:D1234"/>
    <mergeCell ref="F1234:G1234"/>
    <mergeCell ref="J1234:N1234"/>
    <mergeCell ref="T1234:U1234"/>
    <mergeCell ref="B1217:D1217"/>
    <mergeCell ref="F1217:G1217"/>
    <mergeCell ref="J1217:N1217"/>
    <mergeCell ref="T1217:U1217"/>
    <mergeCell ref="B1218:D1218"/>
    <mergeCell ref="F1218:G1218"/>
    <mergeCell ref="J1218:N1218"/>
    <mergeCell ref="T1218:U1218"/>
    <mergeCell ref="B1219:D1219"/>
    <mergeCell ref="F1219:G1219"/>
    <mergeCell ref="J1219:N1219"/>
    <mergeCell ref="T1219:U1219"/>
    <mergeCell ref="B1220:D1220"/>
    <mergeCell ref="F1220:G1220"/>
    <mergeCell ref="J1220:N1220"/>
    <mergeCell ref="T1220:U1220"/>
    <mergeCell ref="B1221:D1221"/>
    <mergeCell ref="F1221:G1221"/>
    <mergeCell ref="J1221:N1221"/>
    <mergeCell ref="T1221:U1221"/>
    <mergeCell ref="B1222:D1222"/>
    <mergeCell ref="F1222:G1222"/>
    <mergeCell ref="J1222:N1222"/>
    <mergeCell ref="T1222:U1222"/>
    <mergeCell ref="B1223:D1223"/>
    <mergeCell ref="F1223:G1223"/>
    <mergeCell ref="J1223:N1223"/>
    <mergeCell ref="T1223:U1223"/>
    <mergeCell ref="B1224:D1224"/>
    <mergeCell ref="F1224:G1224"/>
    <mergeCell ref="J1224:N1224"/>
    <mergeCell ref="T1224:U1224"/>
    <mergeCell ref="B1225:D1225"/>
    <mergeCell ref="F1225:G1225"/>
    <mergeCell ref="J1225:N1225"/>
    <mergeCell ref="T1225:U1225"/>
    <mergeCell ref="A1207:J1207"/>
    <mergeCell ref="K1207:O1207"/>
    <mergeCell ref="T1207:U1207"/>
    <mergeCell ref="B1208:D1208"/>
    <mergeCell ref="F1208:G1208"/>
    <mergeCell ref="J1208:N1208"/>
    <mergeCell ref="T1208:U1208"/>
    <mergeCell ref="B1209:D1209"/>
    <mergeCell ref="F1209:G1209"/>
    <mergeCell ref="J1209:N1209"/>
    <mergeCell ref="T1209:U1209"/>
    <mergeCell ref="B1210:D1210"/>
    <mergeCell ref="F1210:G1210"/>
    <mergeCell ref="J1210:N1210"/>
    <mergeCell ref="T1210:U1210"/>
    <mergeCell ref="B1211:D1211"/>
    <mergeCell ref="F1211:G1211"/>
    <mergeCell ref="J1211:N1211"/>
    <mergeCell ref="T1211:U1211"/>
    <mergeCell ref="B1212:D1212"/>
    <mergeCell ref="F1212:G1212"/>
    <mergeCell ref="J1212:N1212"/>
    <mergeCell ref="T1212:U1212"/>
    <mergeCell ref="B1213:D1213"/>
    <mergeCell ref="F1213:G1214"/>
    <mergeCell ref="J1213:N1213"/>
    <mergeCell ref="T1213:U1213"/>
    <mergeCell ref="A1215:J1215"/>
    <mergeCell ref="K1215:O1215"/>
    <mergeCell ref="T1215:U1215"/>
    <mergeCell ref="B1216:D1216"/>
    <mergeCell ref="F1216:G1216"/>
    <mergeCell ref="J1216:N1216"/>
    <mergeCell ref="T1216:U1216"/>
    <mergeCell ref="B1198:D1198"/>
    <mergeCell ref="F1198:G1198"/>
    <mergeCell ref="J1198:N1198"/>
    <mergeCell ref="T1198:U1198"/>
    <mergeCell ref="B1199:D1199"/>
    <mergeCell ref="F1199:G1199"/>
    <mergeCell ref="J1199:N1199"/>
    <mergeCell ref="T1199:U1199"/>
    <mergeCell ref="B1200:D1200"/>
    <mergeCell ref="F1200:G1200"/>
    <mergeCell ref="J1200:N1200"/>
    <mergeCell ref="T1200:U1200"/>
    <mergeCell ref="B1201:D1201"/>
    <mergeCell ref="F1201:G1201"/>
    <mergeCell ref="J1201:N1201"/>
    <mergeCell ref="T1201:U1201"/>
    <mergeCell ref="B1202:D1202"/>
    <mergeCell ref="F1202:G1202"/>
    <mergeCell ref="J1202:N1202"/>
    <mergeCell ref="T1202:U1202"/>
    <mergeCell ref="B1203:D1203"/>
    <mergeCell ref="F1203:G1203"/>
    <mergeCell ref="J1203:N1203"/>
    <mergeCell ref="T1203:U1203"/>
    <mergeCell ref="B1204:D1204"/>
    <mergeCell ref="F1204:G1204"/>
    <mergeCell ref="J1204:N1204"/>
    <mergeCell ref="T1204:U1204"/>
    <mergeCell ref="B1205:D1205"/>
    <mergeCell ref="F1205:G1205"/>
    <mergeCell ref="J1205:N1205"/>
    <mergeCell ref="T1205:U1205"/>
    <mergeCell ref="B1206:D1206"/>
    <mergeCell ref="F1206:G1206"/>
    <mergeCell ref="J1206:N1206"/>
    <mergeCell ref="T1206:U1206"/>
    <mergeCell ref="B1189:D1189"/>
    <mergeCell ref="F1189:G1189"/>
    <mergeCell ref="J1189:N1189"/>
    <mergeCell ref="T1189:U1189"/>
    <mergeCell ref="B1190:D1190"/>
    <mergeCell ref="F1190:G1190"/>
    <mergeCell ref="J1190:N1190"/>
    <mergeCell ref="T1190:U1190"/>
    <mergeCell ref="B1191:D1191"/>
    <mergeCell ref="F1191:G1191"/>
    <mergeCell ref="J1191:N1191"/>
    <mergeCell ref="T1191:U1191"/>
    <mergeCell ref="B1192:D1192"/>
    <mergeCell ref="F1192:G1192"/>
    <mergeCell ref="J1192:N1192"/>
    <mergeCell ref="T1192:U1192"/>
    <mergeCell ref="B1193:D1193"/>
    <mergeCell ref="F1193:G1193"/>
    <mergeCell ref="J1193:N1193"/>
    <mergeCell ref="T1193:U1193"/>
    <mergeCell ref="B1194:D1194"/>
    <mergeCell ref="F1194:G1194"/>
    <mergeCell ref="J1194:N1194"/>
    <mergeCell ref="T1194:U1194"/>
    <mergeCell ref="B1195:D1195"/>
    <mergeCell ref="F1195:G1195"/>
    <mergeCell ref="J1195:N1195"/>
    <mergeCell ref="T1195:U1195"/>
    <mergeCell ref="B1196:D1196"/>
    <mergeCell ref="F1196:G1196"/>
    <mergeCell ref="J1196:N1196"/>
    <mergeCell ref="T1196:U1196"/>
    <mergeCell ref="B1197:D1197"/>
    <mergeCell ref="F1197:G1197"/>
    <mergeCell ref="J1197:N1197"/>
    <mergeCell ref="T1197:U1197"/>
    <mergeCell ref="B1180:D1180"/>
    <mergeCell ref="F1180:G1180"/>
    <mergeCell ref="J1180:N1180"/>
    <mergeCell ref="T1180:U1180"/>
    <mergeCell ref="B1181:D1181"/>
    <mergeCell ref="F1181:G1181"/>
    <mergeCell ref="J1181:N1181"/>
    <mergeCell ref="T1181:U1181"/>
    <mergeCell ref="B1182:D1182"/>
    <mergeCell ref="F1182:G1182"/>
    <mergeCell ref="J1182:N1182"/>
    <mergeCell ref="T1182:U1182"/>
    <mergeCell ref="B1183:D1183"/>
    <mergeCell ref="F1183:G1183"/>
    <mergeCell ref="J1183:N1183"/>
    <mergeCell ref="T1183:U1183"/>
    <mergeCell ref="B1184:D1184"/>
    <mergeCell ref="F1184:G1184"/>
    <mergeCell ref="J1184:N1184"/>
    <mergeCell ref="T1184:U1184"/>
    <mergeCell ref="B1185:D1185"/>
    <mergeCell ref="F1185:G1185"/>
    <mergeCell ref="J1185:N1185"/>
    <mergeCell ref="T1185:U1185"/>
    <mergeCell ref="B1186:D1186"/>
    <mergeCell ref="F1186:G1186"/>
    <mergeCell ref="J1186:N1186"/>
    <mergeCell ref="T1186:U1186"/>
    <mergeCell ref="B1187:D1187"/>
    <mergeCell ref="F1187:G1187"/>
    <mergeCell ref="J1187:N1187"/>
    <mergeCell ref="T1187:U1187"/>
    <mergeCell ref="B1188:D1188"/>
    <mergeCell ref="F1188:G1188"/>
    <mergeCell ref="J1188:N1188"/>
    <mergeCell ref="T1188:U1188"/>
    <mergeCell ref="B1171:D1171"/>
    <mergeCell ref="F1171:G1171"/>
    <mergeCell ref="J1171:N1171"/>
    <mergeCell ref="T1171:U1171"/>
    <mergeCell ref="B1172:D1172"/>
    <mergeCell ref="F1172:G1172"/>
    <mergeCell ref="J1172:N1172"/>
    <mergeCell ref="T1172:U1172"/>
    <mergeCell ref="B1173:D1173"/>
    <mergeCell ref="F1173:G1173"/>
    <mergeCell ref="J1173:N1173"/>
    <mergeCell ref="T1173:U1173"/>
    <mergeCell ref="B1174:D1174"/>
    <mergeCell ref="F1174:G1174"/>
    <mergeCell ref="J1174:N1174"/>
    <mergeCell ref="T1174:U1174"/>
    <mergeCell ref="B1175:D1175"/>
    <mergeCell ref="F1175:G1175"/>
    <mergeCell ref="J1175:N1175"/>
    <mergeCell ref="T1175:U1175"/>
    <mergeCell ref="B1176:D1176"/>
    <mergeCell ref="F1176:G1176"/>
    <mergeCell ref="J1176:N1176"/>
    <mergeCell ref="T1176:U1176"/>
    <mergeCell ref="B1177:D1177"/>
    <mergeCell ref="F1177:G1177"/>
    <mergeCell ref="J1177:N1177"/>
    <mergeCell ref="T1177:U1177"/>
    <mergeCell ref="B1178:D1178"/>
    <mergeCell ref="F1178:G1178"/>
    <mergeCell ref="J1178:N1178"/>
    <mergeCell ref="T1178:U1178"/>
    <mergeCell ref="B1179:D1179"/>
    <mergeCell ref="F1179:G1179"/>
    <mergeCell ref="J1179:N1179"/>
    <mergeCell ref="T1179:U1179"/>
    <mergeCell ref="B1162:D1162"/>
    <mergeCell ref="F1162:G1162"/>
    <mergeCell ref="J1162:N1162"/>
    <mergeCell ref="T1162:U1162"/>
    <mergeCell ref="B1163:D1163"/>
    <mergeCell ref="F1163:G1163"/>
    <mergeCell ref="J1163:N1163"/>
    <mergeCell ref="T1163:U1163"/>
    <mergeCell ref="B1164:D1164"/>
    <mergeCell ref="F1164:G1164"/>
    <mergeCell ref="J1164:N1164"/>
    <mergeCell ref="T1164:U1164"/>
    <mergeCell ref="B1165:D1165"/>
    <mergeCell ref="F1165:G1165"/>
    <mergeCell ref="J1165:N1165"/>
    <mergeCell ref="T1165:U1165"/>
    <mergeCell ref="B1166:D1166"/>
    <mergeCell ref="F1166:G1166"/>
    <mergeCell ref="J1166:N1166"/>
    <mergeCell ref="T1166:U1166"/>
    <mergeCell ref="B1167:D1167"/>
    <mergeCell ref="F1167:G1167"/>
    <mergeCell ref="J1167:N1167"/>
    <mergeCell ref="T1167:U1167"/>
    <mergeCell ref="B1168:D1168"/>
    <mergeCell ref="F1168:G1168"/>
    <mergeCell ref="J1168:N1168"/>
    <mergeCell ref="T1168:U1168"/>
    <mergeCell ref="B1169:D1169"/>
    <mergeCell ref="F1169:G1169"/>
    <mergeCell ref="J1169:N1169"/>
    <mergeCell ref="T1169:U1169"/>
    <mergeCell ref="B1170:D1170"/>
    <mergeCell ref="F1170:G1170"/>
    <mergeCell ref="J1170:N1170"/>
    <mergeCell ref="T1170:U1170"/>
    <mergeCell ref="B1153:D1153"/>
    <mergeCell ref="F1153:G1153"/>
    <mergeCell ref="J1153:N1153"/>
    <mergeCell ref="T1153:U1153"/>
    <mergeCell ref="B1154:D1154"/>
    <mergeCell ref="F1154:G1154"/>
    <mergeCell ref="J1154:N1154"/>
    <mergeCell ref="T1154:U1154"/>
    <mergeCell ref="B1155:D1155"/>
    <mergeCell ref="F1155:G1155"/>
    <mergeCell ref="J1155:N1155"/>
    <mergeCell ref="T1155:U1155"/>
    <mergeCell ref="B1156:D1156"/>
    <mergeCell ref="F1156:G1156"/>
    <mergeCell ref="J1156:N1156"/>
    <mergeCell ref="T1156:U1156"/>
    <mergeCell ref="B1157:D1157"/>
    <mergeCell ref="F1157:G1157"/>
    <mergeCell ref="J1157:N1157"/>
    <mergeCell ref="T1157:U1157"/>
    <mergeCell ref="B1158:D1158"/>
    <mergeCell ref="F1158:G1158"/>
    <mergeCell ref="J1158:N1158"/>
    <mergeCell ref="T1158:U1158"/>
    <mergeCell ref="B1159:D1159"/>
    <mergeCell ref="F1159:G1159"/>
    <mergeCell ref="J1159:N1159"/>
    <mergeCell ref="T1159:U1159"/>
    <mergeCell ref="B1160:D1160"/>
    <mergeCell ref="F1160:G1160"/>
    <mergeCell ref="J1160:N1160"/>
    <mergeCell ref="T1160:U1160"/>
    <mergeCell ref="B1161:D1161"/>
    <mergeCell ref="F1161:G1161"/>
    <mergeCell ref="J1161:N1161"/>
    <mergeCell ref="T1161:U1161"/>
    <mergeCell ref="B1144:D1144"/>
    <mergeCell ref="F1144:G1144"/>
    <mergeCell ref="J1144:N1144"/>
    <mergeCell ref="T1144:U1144"/>
    <mergeCell ref="B1145:D1145"/>
    <mergeCell ref="F1145:G1145"/>
    <mergeCell ref="J1145:N1145"/>
    <mergeCell ref="T1145:U1145"/>
    <mergeCell ref="B1146:D1146"/>
    <mergeCell ref="F1146:G1146"/>
    <mergeCell ref="J1146:N1146"/>
    <mergeCell ref="T1146:U1146"/>
    <mergeCell ref="B1147:D1147"/>
    <mergeCell ref="F1147:G1147"/>
    <mergeCell ref="J1147:N1147"/>
    <mergeCell ref="T1147:U1147"/>
    <mergeCell ref="B1148:D1148"/>
    <mergeCell ref="F1148:G1148"/>
    <mergeCell ref="J1148:N1148"/>
    <mergeCell ref="T1148:U1148"/>
    <mergeCell ref="B1149:D1149"/>
    <mergeCell ref="F1149:G1149"/>
    <mergeCell ref="J1149:N1149"/>
    <mergeCell ref="T1149:U1149"/>
    <mergeCell ref="B1150:D1150"/>
    <mergeCell ref="F1150:G1150"/>
    <mergeCell ref="J1150:N1150"/>
    <mergeCell ref="T1150:U1150"/>
    <mergeCell ref="B1151:D1151"/>
    <mergeCell ref="F1151:G1151"/>
    <mergeCell ref="J1151:N1151"/>
    <mergeCell ref="T1151:U1151"/>
    <mergeCell ref="B1152:D1152"/>
    <mergeCell ref="F1152:G1152"/>
    <mergeCell ref="J1152:N1152"/>
    <mergeCell ref="T1152:U1152"/>
    <mergeCell ref="B1135:D1135"/>
    <mergeCell ref="F1135:G1135"/>
    <mergeCell ref="J1135:N1135"/>
    <mergeCell ref="T1135:U1135"/>
    <mergeCell ref="B1136:D1136"/>
    <mergeCell ref="F1136:G1136"/>
    <mergeCell ref="J1136:N1136"/>
    <mergeCell ref="T1136:U1136"/>
    <mergeCell ref="B1137:D1137"/>
    <mergeCell ref="F1137:G1137"/>
    <mergeCell ref="J1137:N1137"/>
    <mergeCell ref="T1137:U1137"/>
    <mergeCell ref="B1138:D1138"/>
    <mergeCell ref="F1138:G1138"/>
    <mergeCell ref="J1138:N1138"/>
    <mergeCell ref="T1138:U1138"/>
    <mergeCell ref="B1139:D1139"/>
    <mergeCell ref="F1139:G1139"/>
    <mergeCell ref="J1139:N1139"/>
    <mergeCell ref="T1139:U1139"/>
    <mergeCell ref="B1140:D1140"/>
    <mergeCell ref="F1140:G1140"/>
    <mergeCell ref="J1140:N1140"/>
    <mergeCell ref="T1140:U1140"/>
    <mergeCell ref="B1141:D1141"/>
    <mergeCell ref="F1141:G1141"/>
    <mergeCell ref="J1141:N1141"/>
    <mergeCell ref="T1141:U1141"/>
    <mergeCell ref="B1142:D1142"/>
    <mergeCell ref="F1142:G1142"/>
    <mergeCell ref="J1142:N1142"/>
    <mergeCell ref="T1142:U1142"/>
    <mergeCell ref="B1143:D1143"/>
    <mergeCell ref="F1143:G1143"/>
    <mergeCell ref="J1143:N1143"/>
    <mergeCell ref="T1143:U1143"/>
    <mergeCell ref="B1126:D1126"/>
    <mergeCell ref="F1126:G1126"/>
    <mergeCell ref="J1126:N1126"/>
    <mergeCell ref="T1126:U1126"/>
    <mergeCell ref="B1127:D1127"/>
    <mergeCell ref="F1127:G1127"/>
    <mergeCell ref="J1127:N1127"/>
    <mergeCell ref="T1127:U1127"/>
    <mergeCell ref="B1128:D1128"/>
    <mergeCell ref="F1128:G1128"/>
    <mergeCell ref="J1128:N1128"/>
    <mergeCell ref="T1128:U1128"/>
    <mergeCell ref="B1129:D1129"/>
    <mergeCell ref="F1129:G1129"/>
    <mergeCell ref="J1129:N1129"/>
    <mergeCell ref="T1129:U1129"/>
    <mergeCell ref="B1130:D1130"/>
    <mergeCell ref="F1130:G1130"/>
    <mergeCell ref="J1130:N1130"/>
    <mergeCell ref="T1130:U1130"/>
    <mergeCell ref="B1131:D1131"/>
    <mergeCell ref="F1131:G1131"/>
    <mergeCell ref="J1131:N1131"/>
    <mergeCell ref="T1131:U1131"/>
    <mergeCell ref="B1132:D1132"/>
    <mergeCell ref="F1132:G1132"/>
    <mergeCell ref="J1132:N1132"/>
    <mergeCell ref="T1132:U1132"/>
    <mergeCell ref="B1133:D1133"/>
    <mergeCell ref="F1133:G1133"/>
    <mergeCell ref="J1133:N1133"/>
    <mergeCell ref="T1133:U1133"/>
    <mergeCell ref="B1134:D1134"/>
    <mergeCell ref="F1134:G1134"/>
    <mergeCell ref="J1134:N1134"/>
    <mergeCell ref="T1134:U1134"/>
    <mergeCell ref="B1117:D1117"/>
    <mergeCell ref="F1117:G1117"/>
    <mergeCell ref="J1117:N1117"/>
    <mergeCell ref="T1117:U1117"/>
    <mergeCell ref="B1118:D1118"/>
    <mergeCell ref="F1118:G1118"/>
    <mergeCell ref="J1118:N1118"/>
    <mergeCell ref="T1118:U1118"/>
    <mergeCell ref="B1119:D1119"/>
    <mergeCell ref="F1119:G1119"/>
    <mergeCell ref="J1119:N1119"/>
    <mergeCell ref="T1119:U1119"/>
    <mergeCell ref="B1120:D1120"/>
    <mergeCell ref="F1120:G1120"/>
    <mergeCell ref="J1120:N1120"/>
    <mergeCell ref="T1120:U1120"/>
    <mergeCell ref="B1121:D1121"/>
    <mergeCell ref="F1121:G1121"/>
    <mergeCell ref="J1121:N1121"/>
    <mergeCell ref="T1121:U1121"/>
    <mergeCell ref="A1122:J1122"/>
    <mergeCell ref="K1122:O1122"/>
    <mergeCell ref="T1122:U1122"/>
    <mergeCell ref="B1123:D1123"/>
    <mergeCell ref="F1123:G1123"/>
    <mergeCell ref="J1123:N1123"/>
    <mergeCell ref="T1123:U1123"/>
    <mergeCell ref="B1124:D1124"/>
    <mergeCell ref="F1124:G1124"/>
    <mergeCell ref="J1124:N1124"/>
    <mergeCell ref="T1124:U1124"/>
    <mergeCell ref="B1125:D1125"/>
    <mergeCell ref="F1125:G1125"/>
    <mergeCell ref="J1125:N1125"/>
    <mergeCell ref="T1125:U1125"/>
    <mergeCell ref="B1108:D1108"/>
    <mergeCell ref="F1108:G1108"/>
    <mergeCell ref="J1108:N1108"/>
    <mergeCell ref="T1108:U1108"/>
    <mergeCell ref="B1109:D1109"/>
    <mergeCell ref="F1109:G1109"/>
    <mergeCell ref="J1109:N1109"/>
    <mergeCell ref="T1109:U1109"/>
    <mergeCell ref="B1110:D1110"/>
    <mergeCell ref="F1110:G1110"/>
    <mergeCell ref="J1110:N1110"/>
    <mergeCell ref="T1110:U1110"/>
    <mergeCell ref="B1111:D1111"/>
    <mergeCell ref="F1111:G1111"/>
    <mergeCell ref="J1111:N1111"/>
    <mergeCell ref="T1111:U1111"/>
    <mergeCell ref="B1112:D1112"/>
    <mergeCell ref="F1112:G1112"/>
    <mergeCell ref="J1112:N1112"/>
    <mergeCell ref="T1112:U1112"/>
    <mergeCell ref="B1113:D1113"/>
    <mergeCell ref="F1113:G1113"/>
    <mergeCell ref="J1113:N1113"/>
    <mergeCell ref="T1113:U1113"/>
    <mergeCell ref="B1114:D1114"/>
    <mergeCell ref="F1114:G1114"/>
    <mergeCell ref="J1114:N1114"/>
    <mergeCell ref="T1114:U1114"/>
    <mergeCell ref="B1115:D1115"/>
    <mergeCell ref="F1115:G1115"/>
    <mergeCell ref="J1115:N1115"/>
    <mergeCell ref="T1115:U1115"/>
    <mergeCell ref="B1116:D1116"/>
    <mergeCell ref="F1116:G1116"/>
    <mergeCell ref="J1116:N1116"/>
    <mergeCell ref="T1116:U1116"/>
    <mergeCell ref="B1099:D1099"/>
    <mergeCell ref="F1099:G1099"/>
    <mergeCell ref="J1099:N1099"/>
    <mergeCell ref="T1099:U1099"/>
    <mergeCell ref="B1100:D1100"/>
    <mergeCell ref="F1100:G1100"/>
    <mergeCell ref="J1100:N1100"/>
    <mergeCell ref="T1100:U1100"/>
    <mergeCell ref="B1101:D1101"/>
    <mergeCell ref="F1101:G1101"/>
    <mergeCell ref="J1101:N1101"/>
    <mergeCell ref="T1101:U1101"/>
    <mergeCell ref="B1102:D1102"/>
    <mergeCell ref="F1102:G1102"/>
    <mergeCell ref="J1102:N1102"/>
    <mergeCell ref="T1102:U1102"/>
    <mergeCell ref="B1103:D1103"/>
    <mergeCell ref="F1103:G1103"/>
    <mergeCell ref="J1103:N1103"/>
    <mergeCell ref="T1103:U1103"/>
    <mergeCell ref="B1104:D1104"/>
    <mergeCell ref="F1104:G1104"/>
    <mergeCell ref="J1104:N1104"/>
    <mergeCell ref="T1104:U1104"/>
    <mergeCell ref="B1105:D1105"/>
    <mergeCell ref="F1105:G1105"/>
    <mergeCell ref="J1105:N1105"/>
    <mergeCell ref="T1105:U1105"/>
    <mergeCell ref="B1106:D1106"/>
    <mergeCell ref="F1106:G1106"/>
    <mergeCell ref="J1106:N1106"/>
    <mergeCell ref="T1106:U1106"/>
    <mergeCell ref="B1107:D1107"/>
    <mergeCell ref="F1107:G1107"/>
    <mergeCell ref="J1107:N1107"/>
    <mergeCell ref="T1107:U1107"/>
    <mergeCell ref="B1090:D1090"/>
    <mergeCell ref="F1090:G1090"/>
    <mergeCell ref="J1090:N1090"/>
    <mergeCell ref="T1090:U1090"/>
    <mergeCell ref="B1091:D1091"/>
    <mergeCell ref="F1091:G1091"/>
    <mergeCell ref="J1091:N1091"/>
    <mergeCell ref="T1091:U1091"/>
    <mergeCell ref="B1092:D1092"/>
    <mergeCell ref="F1092:G1092"/>
    <mergeCell ref="J1092:N1092"/>
    <mergeCell ref="T1092:U1092"/>
    <mergeCell ref="B1093:D1093"/>
    <mergeCell ref="F1093:G1093"/>
    <mergeCell ref="J1093:N1093"/>
    <mergeCell ref="T1093:U1093"/>
    <mergeCell ref="B1094:D1094"/>
    <mergeCell ref="F1094:G1094"/>
    <mergeCell ref="J1094:N1094"/>
    <mergeCell ref="T1094:U1094"/>
    <mergeCell ref="B1095:D1095"/>
    <mergeCell ref="F1095:G1095"/>
    <mergeCell ref="J1095:N1095"/>
    <mergeCell ref="T1095:U1095"/>
    <mergeCell ref="B1096:D1096"/>
    <mergeCell ref="F1096:G1096"/>
    <mergeCell ref="J1096:N1096"/>
    <mergeCell ref="T1096:U1096"/>
    <mergeCell ref="B1097:D1097"/>
    <mergeCell ref="F1097:G1097"/>
    <mergeCell ref="J1097:N1097"/>
    <mergeCell ref="T1097:U1097"/>
    <mergeCell ref="B1098:D1098"/>
    <mergeCell ref="F1098:G1098"/>
    <mergeCell ref="J1098:N1098"/>
    <mergeCell ref="T1098:U1098"/>
    <mergeCell ref="B1081:D1081"/>
    <mergeCell ref="F1081:G1081"/>
    <mergeCell ref="J1081:N1081"/>
    <mergeCell ref="T1081:U1081"/>
    <mergeCell ref="B1082:D1082"/>
    <mergeCell ref="F1082:G1082"/>
    <mergeCell ref="J1082:N1082"/>
    <mergeCell ref="T1082:U1082"/>
    <mergeCell ref="B1083:D1083"/>
    <mergeCell ref="F1083:G1083"/>
    <mergeCell ref="J1083:N1083"/>
    <mergeCell ref="T1083:U1083"/>
    <mergeCell ref="B1084:D1084"/>
    <mergeCell ref="F1084:G1084"/>
    <mergeCell ref="J1084:N1084"/>
    <mergeCell ref="T1084:U1084"/>
    <mergeCell ref="B1085:D1085"/>
    <mergeCell ref="F1085:G1085"/>
    <mergeCell ref="J1085:N1085"/>
    <mergeCell ref="T1085:U1085"/>
    <mergeCell ref="B1086:D1086"/>
    <mergeCell ref="F1086:G1086"/>
    <mergeCell ref="J1086:N1086"/>
    <mergeCell ref="T1086:U1086"/>
    <mergeCell ref="B1087:D1087"/>
    <mergeCell ref="F1087:G1087"/>
    <mergeCell ref="J1087:N1087"/>
    <mergeCell ref="T1087:U1087"/>
    <mergeCell ref="B1088:D1088"/>
    <mergeCell ref="F1088:G1088"/>
    <mergeCell ref="J1088:N1088"/>
    <mergeCell ref="T1088:U1088"/>
    <mergeCell ref="B1089:D1089"/>
    <mergeCell ref="F1089:G1089"/>
    <mergeCell ref="J1089:N1089"/>
    <mergeCell ref="T1089:U1089"/>
    <mergeCell ref="B1072:D1072"/>
    <mergeCell ref="F1072:G1072"/>
    <mergeCell ref="J1072:N1072"/>
    <mergeCell ref="T1072:U1072"/>
    <mergeCell ref="B1073:D1073"/>
    <mergeCell ref="F1073:G1073"/>
    <mergeCell ref="J1073:N1073"/>
    <mergeCell ref="T1073:U1073"/>
    <mergeCell ref="B1074:D1074"/>
    <mergeCell ref="F1074:G1074"/>
    <mergeCell ref="J1074:N1074"/>
    <mergeCell ref="T1074:U1074"/>
    <mergeCell ref="B1075:D1075"/>
    <mergeCell ref="F1075:G1075"/>
    <mergeCell ref="J1075:N1075"/>
    <mergeCell ref="T1075:U1075"/>
    <mergeCell ref="B1076:D1076"/>
    <mergeCell ref="F1076:G1076"/>
    <mergeCell ref="J1076:N1076"/>
    <mergeCell ref="T1076:U1076"/>
    <mergeCell ref="B1077:D1077"/>
    <mergeCell ref="F1077:G1077"/>
    <mergeCell ref="J1077:N1077"/>
    <mergeCell ref="T1077:U1077"/>
    <mergeCell ref="B1078:D1078"/>
    <mergeCell ref="F1078:G1078"/>
    <mergeCell ref="J1078:N1078"/>
    <mergeCell ref="T1078:U1078"/>
    <mergeCell ref="B1079:D1079"/>
    <mergeCell ref="F1079:G1079"/>
    <mergeCell ref="J1079:N1079"/>
    <mergeCell ref="T1079:U1079"/>
    <mergeCell ref="B1080:D1080"/>
    <mergeCell ref="F1080:G1080"/>
    <mergeCell ref="J1080:N1080"/>
    <mergeCell ref="T1080:U1080"/>
    <mergeCell ref="B1063:D1063"/>
    <mergeCell ref="F1063:G1063"/>
    <mergeCell ref="J1063:N1063"/>
    <mergeCell ref="T1063:U1063"/>
    <mergeCell ref="B1064:D1064"/>
    <mergeCell ref="F1064:G1064"/>
    <mergeCell ref="J1064:N1064"/>
    <mergeCell ref="T1064:U1064"/>
    <mergeCell ref="B1065:D1065"/>
    <mergeCell ref="F1065:G1065"/>
    <mergeCell ref="J1065:N1065"/>
    <mergeCell ref="T1065:U1065"/>
    <mergeCell ref="B1066:D1066"/>
    <mergeCell ref="F1066:G1066"/>
    <mergeCell ref="J1066:N1066"/>
    <mergeCell ref="T1066:U1066"/>
    <mergeCell ref="B1067:D1067"/>
    <mergeCell ref="F1067:G1067"/>
    <mergeCell ref="J1067:N1067"/>
    <mergeCell ref="T1067:U1067"/>
    <mergeCell ref="B1068:D1068"/>
    <mergeCell ref="F1068:G1068"/>
    <mergeCell ref="J1068:N1068"/>
    <mergeCell ref="T1068:U1068"/>
    <mergeCell ref="B1069:D1069"/>
    <mergeCell ref="F1069:G1069"/>
    <mergeCell ref="J1069:N1069"/>
    <mergeCell ref="T1069:U1069"/>
    <mergeCell ref="B1070:D1070"/>
    <mergeCell ref="F1070:G1070"/>
    <mergeCell ref="J1070:N1070"/>
    <mergeCell ref="T1070:U1070"/>
    <mergeCell ref="B1071:D1071"/>
    <mergeCell ref="F1071:G1071"/>
    <mergeCell ref="J1071:N1071"/>
    <mergeCell ref="T1071:U1071"/>
    <mergeCell ref="B1054:D1054"/>
    <mergeCell ref="F1054:G1054"/>
    <mergeCell ref="J1054:N1054"/>
    <mergeCell ref="T1054:U1054"/>
    <mergeCell ref="B1055:D1055"/>
    <mergeCell ref="F1055:G1055"/>
    <mergeCell ref="J1055:N1055"/>
    <mergeCell ref="T1055:U1055"/>
    <mergeCell ref="B1056:D1056"/>
    <mergeCell ref="F1056:G1056"/>
    <mergeCell ref="J1056:N1056"/>
    <mergeCell ref="T1056:U1056"/>
    <mergeCell ref="B1057:D1057"/>
    <mergeCell ref="F1057:G1057"/>
    <mergeCell ref="J1057:N1057"/>
    <mergeCell ref="T1057:U1057"/>
    <mergeCell ref="B1058:D1058"/>
    <mergeCell ref="F1058:G1058"/>
    <mergeCell ref="J1058:N1058"/>
    <mergeCell ref="T1058:U1058"/>
    <mergeCell ref="B1059:D1059"/>
    <mergeCell ref="F1059:G1059"/>
    <mergeCell ref="J1059:N1059"/>
    <mergeCell ref="T1059:U1059"/>
    <mergeCell ref="B1060:D1060"/>
    <mergeCell ref="F1060:G1060"/>
    <mergeCell ref="J1060:N1060"/>
    <mergeCell ref="T1060:U1060"/>
    <mergeCell ref="B1061:D1061"/>
    <mergeCell ref="F1061:G1061"/>
    <mergeCell ref="J1061:N1061"/>
    <mergeCell ref="T1061:U1061"/>
    <mergeCell ref="B1062:D1062"/>
    <mergeCell ref="F1062:G1062"/>
    <mergeCell ref="J1062:N1062"/>
    <mergeCell ref="T1062:U1062"/>
    <mergeCell ref="B1045:D1045"/>
    <mergeCell ref="F1045:G1045"/>
    <mergeCell ref="J1045:N1045"/>
    <mergeCell ref="T1045:U1045"/>
    <mergeCell ref="B1046:D1046"/>
    <mergeCell ref="F1046:G1046"/>
    <mergeCell ref="J1046:N1046"/>
    <mergeCell ref="T1046:U1046"/>
    <mergeCell ref="B1047:D1047"/>
    <mergeCell ref="F1047:G1047"/>
    <mergeCell ref="J1047:N1047"/>
    <mergeCell ref="T1047:U1047"/>
    <mergeCell ref="B1048:D1048"/>
    <mergeCell ref="F1048:G1048"/>
    <mergeCell ref="J1048:N1048"/>
    <mergeCell ref="T1048:U1048"/>
    <mergeCell ref="B1049:D1049"/>
    <mergeCell ref="F1049:G1049"/>
    <mergeCell ref="J1049:N1049"/>
    <mergeCell ref="T1049:U1049"/>
    <mergeCell ref="B1050:D1050"/>
    <mergeCell ref="F1050:G1050"/>
    <mergeCell ref="J1050:N1050"/>
    <mergeCell ref="T1050:U1050"/>
    <mergeCell ref="B1051:D1051"/>
    <mergeCell ref="F1051:G1051"/>
    <mergeCell ref="J1051:N1051"/>
    <mergeCell ref="T1051:U1051"/>
    <mergeCell ref="B1052:D1052"/>
    <mergeCell ref="F1052:G1052"/>
    <mergeCell ref="J1052:N1052"/>
    <mergeCell ref="T1052:U1052"/>
    <mergeCell ref="B1053:D1053"/>
    <mergeCell ref="F1053:G1053"/>
    <mergeCell ref="J1053:N1053"/>
    <mergeCell ref="T1053:U1053"/>
    <mergeCell ref="B1036:D1036"/>
    <mergeCell ref="F1036:G1036"/>
    <mergeCell ref="J1036:N1036"/>
    <mergeCell ref="T1036:U1036"/>
    <mergeCell ref="B1037:D1037"/>
    <mergeCell ref="F1037:G1037"/>
    <mergeCell ref="J1037:N1037"/>
    <mergeCell ref="T1037:U1037"/>
    <mergeCell ref="B1038:D1038"/>
    <mergeCell ref="F1038:G1038"/>
    <mergeCell ref="J1038:N1038"/>
    <mergeCell ref="T1038:U1038"/>
    <mergeCell ref="B1039:D1039"/>
    <mergeCell ref="F1039:G1039"/>
    <mergeCell ref="J1039:N1039"/>
    <mergeCell ref="T1039:U1039"/>
    <mergeCell ref="B1040:D1040"/>
    <mergeCell ref="F1040:G1040"/>
    <mergeCell ref="J1040:N1040"/>
    <mergeCell ref="T1040:U1040"/>
    <mergeCell ref="B1041:D1041"/>
    <mergeCell ref="F1041:G1041"/>
    <mergeCell ref="J1041:N1041"/>
    <mergeCell ref="T1041:U1041"/>
    <mergeCell ref="B1042:D1042"/>
    <mergeCell ref="F1042:G1042"/>
    <mergeCell ref="J1042:N1042"/>
    <mergeCell ref="T1042:U1042"/>
    <mergeCell ref="B1043:D1043"/>
    <mergeCell ref="F1043:G1043"/>
    <mergeCell ref="J1043:N1043"/>
    <mergeCell ref="T1043:U1043"/>
    <mergeCell ref="B1044:D1044"/>
    <mergeCell ref="F1044:G1044"/>
    <mergeCell ref="J1044:N1044"/>
    <mergeCell ref="T1044:U1044"/>
    <mergeCell ref="B1027:D1027"/>
    <mergeCell ref="F1027:G1027"/>
    <mergeCell ref="J1027:N1027"/>
    <mergeCell ref="T1027:U1027"/>
    <mergeCell ref="B1028:D1028"/>
    <mergeCell ref="F1028:G1028"/>
    <mergeCell ref="J1028:N1028"/>
    <mergeCell ref="T1028:U1028"/>
    <mergeCell ref="B1029:D1029"/>
    <mergeCell ref="F1029:G1029"/>
    <mergeCell ref="J1029:N1029"/>
    <mergeCell ref="T1029:U1029"/>
    <mergeCell ref="B1030:D1030"/>
    <mergeCell ref="F1030:G1030"/>
    <mergeCell ref="J1030:N1030"/>
    <mergeCell ref="T1030:U1030"/>
    <mergeCell ref="B1031:D1031"/>
    <mergeCell ref="F1031:G1031"/>
    <mergeCell ref="J1031:N1031"/>
    <mergeCell ref="T1031:U1031"/>
    <mergeCell ref="A1032:J1032"/>
    <mergeCell ref="K1032:O1032"/>
    <mergeCell ref="T1032:U1032"/>
    <mergeCell ref="B1033:D1033"/>
    <mergeCell ref="F1033:G1033"/>
    <mergeCell ref="J1033:N1033"/>
    <mergeCell ref="T1033:U1033"/>
    <mergeCell ref="B1034:D1034"/>
    <mergeCell ref="F1034:G1034"/>
    <mergeCell ref="J1034:N1034"/>
    <mergeCell ref="T1034:U1034"/>
    <mergeCell ref="B1035:D1035"/>
    <mergeCell ref="F1035:G1035"/>
    <mergeCell ref="J1035:N1035"/>
    <mergeCell ref="T1035:U1035"/>
    <mergeCell ref="B1018:D1018"/>
    <mergeCell ref="F1018:G1018"/>
    <mergeCell ref="J1018:N1018"/>
    <mergeCell ref="T1018:U1018"/>
    <mergeCell ref="B1019:D1019"/>
    <mergeCell ref="F1019:G1019"/>
    <mergeCell ref="J1019:N1019"/>
    <mergeCell ref="T1019:U1019"/>
    <mergeCell ref="B1020:D1020"/>
    <mergeCell ref="F1020:G1020"/>
    <mergeCell ref="J1020:N1020"/>
    <mergeCell ref="T1020:U1020"/>
    <mergeCell ref="B1021:D1021"/>
    <mergeCell ref="F1021:G1021"/>
    <mergeCell ref="J1021:N1021"/>
    <mergeCell ref="T1021:U1021"/>
    <mergeCell ref="B1022:D1022"/>
    <mergeCell ref="F1022:G1022"/>
    <mergeCell ref="J1022:N1022"/>
    <mergeCell ref="T1022:U1022"/>
    <mergeCell ref="B1023:D1023"/>
    <mergeCell ref="F1023:G1023"/>
    <mergeCell ref="J1023:N1023"/>
    <mergeCell ref="T1023:U1023"/>
    <mergeCell ref="B1024:D1024"/>
    <mergeCell ref="F1024:G1024"/>
    <mergeCell ref="J1024:N1024"/>
    <mergeCell ref="T1024:U1024"/>
    <mergeCell ref="B1025:D1025"/>
    <mergeCell ref="F1025:G1025"/>
    <mergeCell ref="J1025:N1025"/>
    <mergeCell ref="T1025:U1025"/>
    <mergeCell ref="B1026:D1026"/>
    <mergeCell ref="F1026:G1026"/>
    <mergeCell ref="J1026:N1026"/>
    <mergeCell ref="T1026:U1026"/>
    <mergeCell ref="B1009:D1009"/>
    <mergeCell ref="F1009:G1009"/>
    <mergeCell ref="J1009:N1009"/>
    <mergeCell ref="T1009:U1009"/>
    <mergeCell ref="B1010:D1010"/>
    <mergeCell ref="F1010:G1010"/>
    <mergeCell ref="J1010:N1010"/>
    <mergeCell ref="T1010:U1010"/>
    <mergeCell ref="B1011:D1011"/>
    <mergeCell ref="F1011:G1011"/>
    <mergeCell ref="J1011:N1011"/>
    <mergeCell ref="T1011:U1011"/>
    <mergeCell ref="B1012:D1012"/>
    <mergeCell ref="F1012:G1012"/>
    <mergeCell ref="J1012:N1012"/>
    <mergeCell ref="T1012:U1012"/>
    <mergeCell ref="B1013:D1013"/>
    <mergeCell ref="F1013:G1013"/>
    <mergeCell ref="J1013:N1013"/>
    <mergeCell ref="T1013:U1013"/>
    <mergeCell ref="B1014:D1014"/>
    <mergeCell ref="F1014:G1014"/>
    <mergeCell ref="J1014:N1014"/>
    <mergeCell ref="T1014:U1014"/>
    <mergeCell ref="B1015:D1015"/>
    <mergeCell ref="F1015:G1015"/>
    <mergeCell ref="J1015:N1015"/>
    <mergeCell ref="T1015:U1015"/>
    <mergeCell ref="B1016:D1016"/>
    <mergeCell ref="F1016:G1016"/>
    <mergeCell ref="J1016:N1016"/>
    <mergeCell ref="T1016:U1016"/>
    <mergeCell ref="B1017:D1017"/>
    <mergeCell ref="F1017:G1017"/>
    <mergeCell ref="J1017:N1017"/>
    <mergeCell ref="T1017:U1017"/>
    <mergeCell ref="B1000:D1000"/>
    <mergeCell ref="F1000:G1000"/>
    <mergeCell ref="J1000:N1000"/>
    <mergeCell ref="T1000:U1000"/>
    <mergeCell ref="B1001:D1001"/>
    <mergeCell ref="F1001:G1001"/>
    <mergeCell ref="J1001:N1001"/>
    <mergeCell ref="T1001:U1001"/>
    <mergeCell ref="B1002:D1002"/>
    <mergeCell ref="F1002:G1002"/>
    <mergeCell ref="J1002:N1002"/>
    <mergeCell ref="T1002:U1002"/>
    <mergeCell ref="B1003:D1003"/>
    <mergeCell ref="F1003:G1003"/>
    <mergeCell ref="J1003:N1003"/>
    <mergeCell ref="T1003:U1003"/>
    <mergeCell ref="B1004:D1004"/>
    <mergeCell ref="F1004:G1004"/>
    <mergeCell ref="J1004:N1004"/>
    <mergeCell ref="T1004:U1004"/>
    <mergeCell ref="B1005:D1005"/>
    <mergeCell ref="F1005:G1005"/>
    <mergeCell ref="J1005:N1005"/>
    <mergeCell ref="T1005:U1005"/>
    <mergeCell ref="B1006:D1006"/>
    <mergeCell ref="F1006:G1006"/>
    <mergeCell ref="J1006:N1006"/>
    <mergeCell ref="T1006:U1006"/>
    <mergeCell ref="B1007:D1007"/>
    <mergeCell ref="F1007:G1007"/>
    <mergeCell ref="J1007:N1007"/>
    <mergeCell ref="T1007:U1007"/>
    <mergeCell ref="B1008:D1008"/>
    <mergeCell ref="F1008:G1008"/>
    <mergeCell ref="J1008:N1008"/>
    <mergeCell ref="T1008:U1008"/>
    <mergeCell ref="B990:D990"/>
    <mergeCell ref="F990:G990"/>
    <mergeCell ref="J990:N990"/>
    <mergeCell ref="T990:U990"/>
    <mergeCell ref="B991:D991"/>
    <mergeCell ref="F991:G991"/>
    <mergeCell ref="J991:N991"/>
    <mergeCell ref="T991:U991"/>
    <mergeCell ref="B992:D992"/>
    <mergeCell ref="F992:G992"/>
    <mergeCell ref="J992:N992"/>
    <mergeCell ref="T992:U992"/>
    <mergeCell ref="B993:D993"/>
    <mergeCell ref="F993:G994"/>
    <mergeCell ref="J993:N993"/>
    <mergeCell ref="T993:U993"/>
    <mergeCell ref="B995:D995"/>
    <mergeCell ref="F995:G995"/>
    <mergeCell ref="J995:N995"/>
    <mergeCell ref="T995:U995"/>
    <mergeCell ref="B996:D996"/>
    <mergeCell ref="F996:G996"/>
    <mergeCell ref="J996:N996"/>
    <mergeCell ref="T996:U996"/>
    <mergeCell ref="B997:D997"/>
    <mergeCell ref="F997:G997"/>
    <mergeCell ref="J997:N997"/>
    <mergeCell ref="T997:U997"/>
    <mergeCell ref="B998:D998"/>
    <mergeCell ref="F998:G998"/>
    <mergeCell ref="J998:N998"/>
    <mergeCell ref="T998:U998"/>
    <mergeCell ref="B999:D999"/>
    <mergeCell ref="F999:G999"/>
    <mergeCell ref="J999:N999"/>
    <mergeCell ref="T999:U999"/>
    <mergeCell ref="B981:D981"/>
    <mergeCell ref="F981:G981"/>
    <mergeCell ref="J981:N981"/>
    <mergeCell ref="T981:U981"/>
    <mergeCell ref="B982:D982"/>
    <mergeCell ref="F982:G982"/>
    <mergeCell ref="J982:N982"/>
    <mergeCell ref="T982:U982"/>
    <mergeCell ref="B983:D983"/>
    <mergeCell ref="F983:G983"/>
    <mergeCell ref="J983:N983"/>
    <mergeCell ref="T983:U983"/>
    <mergeCell ref="B984:D984"/>
    <mergeCell ref="F984:G984"/>
    <mergeCell ref="J984:N984"/>
    <mergeCell ref="T984:U984"/>
    <mergeCell ref="B985:D985"/>
    <mergeCell ref="F985:G985"/>
    <mergeCell ref="J985:N985"/>
    <mergeCell ref="T985:U985"/>
    <mergeCell ref="B986:D986"/>
    <mergeCell ref="F986:G986"/>
    <mergeCell ref="J986:N986"/>
    <mergeCell ref="T986:U986"/>
    <mergeCell ref="B987:D987"/>
    <mergeCell ref="F987:G987"/>
    <mergeCell ref="J987:N987"/>
    <mergeCell ref="T987:U987"/>
    <mergeCell ref="B988:D988"/>
    <mergeCell ref="F988:G988"/>
    <mergeCell ref="J988:N988"/>
    <mergeCell ref="T988:U988"/>
    <mergeCell ref="B989:D989"/>
    <mergeCell ref="F989:G989"/>
    <mergeCell ref="J989:N989"/>
    <mergeCell ref="T989:U989"/>
    <mergeCell ref="B972:D972"/>
    <mergeCell ref="F972:G972"/>
    <mergeCell ref="J972:N972"/>
    <mergeCell ref="T972:U972"/>
    <mergeCell ref="B973:D973"/>
    <mergeCell ref="F973:G973"/>
    <mergeCell ref="J973:N973"/>
    <mergeCell ref="T973:U973"/>
    <mergeCell ref="B974:D974"/>
    <mergeCell ref="F974:G974"/>
    <mergeCell ref="J974:N974"/>
    <mergeCell ref="T974:U974"/>
    <mergeCell ref="B975:D975"/>
    <mergeCell ref="F975:G975"/>
    <mergeCell ref="J975:N975"/>
    <mergeCell ref="T975:U975"/>
    <mergeCell ref="B976:D976"/>
    <mergeCell ref="F976:G976"/>
    <mergeCell ref="J976:N976"/>
    <mergeCell ref="T976:U976"/>
    <mergeCell ref="B977:D977"/>
    <mergeCell ref="F977:G977"/>
    <mergeCell ref="J977:N977"/>
    <mergeCell ref="T977:U977"/>
    <mergeCell ref="B978:D978"/>
    <mergeCell ref="F978:G978"/>
    <mergeCell ref="J978:N978"/>
    <mergeCell ref="T978:U978"/>
    <mergeCell ref="B979:D979"/>
    <mergeCell ref="F979:G979"/>
    <mergeCell ref="J979:N979"/>
    <mergeCell ref="T979:U979"/>
    <mergeCell ref="B980:D980"/>
    <mergeCell ref="F980:G980"/>
    <mergeCell ref="J980:N980"/>
    <mergeCell ref="T980:U980"/>
    <mergeCell ref="A963:J963"/>
    <mergeCell ref="K963:O963"/>
    <mergeCell ref="T963:U963"/>
    <mergeCell ref="B964:D964"/>
    <mergeCell ref="F964:G964"/>
    <mergeCell ref="J964:N964"/>
    <mergeCell ref="T964:U964"/>
    <mergeCell ref="B965:D965"/>
    <mergeCell ref="F965:G965"/>
    <mergeCell ref="J965:N965"/>
    <mergeCell ref="T965:U965"/>
    <mergeCell ref="B966:D966"/>
    <mergeCell ref="F966:G966"/>
    <mergeCell ref="J966:N966"/>
    <mergeCell ref="T966:U966"/>
    <mergeCell ref="B967:D967"/>
    <mergeCell ref="F967:G967"/>
    <mergeCell ref="J967:N967"/>
    <mergeCell ref="T967:U967"/>
    <mergeCell ref="B968:D968"/>
    <mergeCell ref="F968:G968"/>
    <mergeCell ref="J968:N968"/>
    <mergeCell ref="T968:U968"/>
    <mergeCell ref="B969:D969"/>
    <mergeCell ref="F969:G969"/>
    <mergeCell ref="J969:N969"/>
    <mergeCell ref="T969:U969"/>
    <mergeCell ref="B970:D970"/>
    <mergeCell ref="F970:G970"/>
    <mergeCell ref="J970:N970"/>
    <mergeCell ref="T970:U970"/>
    <mergeCell ref="B971:D971"/>
    <mergeCell ref="F971:G971"/>
    <mergeCell ref="J971:N971"/>
    <mergeCell ref="T971:U971"/>
    <mergeCell ref="B954:D954"/>
    <mergeCell ref="F954:G954"/>
    <mergeCell ref="J954:N954"/>
    <mergeCell ref="T954:U954"/>
    <mergeCell ref="B955:D955"/>
    <mergeCell ref="F955:G955"/>
    <mergeCell ref="J955:N955"/>
    <mergeCell ref="T955:U955"/>
    <mergeCell ref="B956:D956"/>
    <mergeCell ref="F956:G956"/>
    <mergeCell ref="J956:N956"/>
    <mergeCell ref="T956:U956"/>
    <mergeCell ref="B957:D957"/>
    <mergeCell ref="F957:G957"/>
    <mergeCell ref="J957:N957"/>
    <mergeCell ref="T957:U957"/>
    <mergeCell ref="B958:D958"/>
    <mergeCell ref="F958:G958"/>
    <mergeCell ref="J958:N958"/>
    <mergeCell ref="T958:U958"/>
    <mergeCell ref="B959:D959"/>
    <mergeCell ref="F959:G959"/>
    <mergeCell ref="J959:N959"/>
    <mergeCell ref="T959:U959"/>
    <mergeCell ref="B960:D960"/>
    <mergeCell ref="F960:G960"/>
    <mergeCell ref="J960:N960"/>
    <mergeCell ref="T960:U960"/>
    <mergeCell ref="B961:D961"/>
    <mergeCell ref="F961:G961"/>
    <mergeCell ref="J961:N961"/>
    <mergeCell ref="T961:U961"/>
    <mergeCell ref="B962:D962"/>
    <mergeCell ref="F962:G962"/>
    <mergeCell ref="J962:N962"/>
    <mergeCell ref="T962:U962"/>
    <mergeCell ref="B945:D945"/>
    <mergeCell ref="F945:G945"/>
    <mergeCell ref="J945:N945"/>
    <mergeCell ref="T945:U945"/>
    <mergeCell ref="B946:D946"/>
    <mergeCell ref="F946:G946"/>
    <mergeCell ref="J946:N946"/>
    <mergeCell ref="T946:U946"/>
    <mergeCell ref="B947:D947"/>
    <mergeCell ref="F947:G947"/>
    <mergeCell ref="J947:N947"/>
    <mergeCell ref="T947:U947"/>
    <mergeCell ref="B948:D948"/>
    <mergeCell ref="F948:G948"/>
    <mergeCell ref="J948:N948"/>
    <mergeCell ref="T948:U948"/>
    <mergeCell ref="B949:D949"/>
    <mergeCell ref="F949:G949"/>
    <mergeCell ref="J949:N949"/>
    <mergeCell ref="T949:U949"/>
    <mergeCell ref="B950:D950"/>
    <mergeCell ref="F950:G950"/>
    <mergeCell ref="J950:N950"/>
    <mergeCell ref="T950:U950"/>
    <mergeCell ref="B951:D951"/>
    <mergeCell ref="F951:G951"/>
    <mergeCell ref="J951:N951"/>
    <mergeCell ref="T951:U951"/>
    <mergeCell ref="B952:D952"/>
    <mergeCell ref="F952:G952"/>
    <mergeCell ref="J952:N952"/>
    <mergeCell ref="T952:U952"/>
    <mergeCell ref="B953:D953"/>
    <mergeCell ref="F953:G953"/>
    <mergeCell ref="J953:N953"/>
    <mergeCell ref="T953:U953"/>
    <mergeCell ref="B936:D936"/>
    <mergeCell ref="F936:G936"/>
    <mergeCell ref="J936:N936"/>
    <mergeCell ref="T936:U936"/>
    <mergeCell ref="B937:D937"/>
    <mergeCell ref="F937:G937"/>
    <mergeCell ref="J937:N937"/>
    <mergeCell ref="T937:U937"/>
    <mergeCell ref="B938:D938"/>
    <mergeCell ref="F938:G938"/>
    <mergeCell ref="J938:N938"/>
    <mergeCell ref="T938:U938"/>
    <mergeCell ref="B939:D939"/>
    <mergeCell ref="F939:G939"/>
    <mergeCell ref="J939:N939"/>
    <mergeCell ref="T939:U939"/>
    <mergeCell ref="B940:D940"/>
    <mergeCell ref="F940:G940"/>
    <mergeCell ref="J940:N940"/>
    <mergeCell ref="T940:U940"/>
    <mergeCell ref="B941:D941"/>
    <mergeCell ref="F941:G941"/>
    <mergeCell ref="J941:N941"/>
    <mergeCell ref="T941:U941"/>
    <mergeCell ref="B942:D942"/>
    <mergeCell ref="F942:G942"/>
    <mergeCell ref="J942:N942"/>
    <mergeCell ref="T942:U942"/>
    <mergeCell ref="B943:D943"/>
    <mergeCell ref="F943:G943"/>
    <mergeCell ref="J943:N943"/>
    <mergeCell ref="T943:U943"/>
    <mergeCell ref="B944:D944"/>
    <mergeCell ref="F944:G944"/>
    <mergeCell ref="J944:N944"/>
    <mergeCell ref="T944:U944"/>
    <mergeCell ref="B927:D927"/>
    <mergeCell ref="F927:G927"/>
    <mergeCell ref="J927:N927"/>
    <mergeCell ref="T927:U927"/>
    <mergeCell ref="B928:D928"/>
    <mergeCell ref="F928:G928"/>
    <mergeCell ref="J928:N928"/>
    <mergeCell ref="T928:U928"/>
    <mergeCell ref="B929:D929"/>
    <mergeCell ref="F929:G929"/>
    <mergeCell ref="J929:N929"/>
    <mergeCell ref="T929:U929"/>
    <mergeCell ref="B930:D930"/>
    <mergeCell ref="F930:G930"/>
    <mergeCell ref="J930:N930"/>
    <mergeCell ref="T930:U930"/>
    <mergeCell ref="B931:D931"/>
    <mergeCell ref="F931:G931"/>
    <mergeCell ref="J931:N931"/>
    <mergeCell ref="T931:U931"/>
    <mergeCell ref="B932:D932"/>
    <mergeCell ref="F932:G932"/>
    <mergeCell ref="J932:N932"/>
    <mergeCell ref="T932:U932"/>
    <mergeCell ref="B933:D933"/>
    <mergeCell ref="F933:G933"/>
    <mergeCell ref="J933:N933"/>
    <mergeCell ref="T933:U933"/>
    <mergeCell ref="B934:D934"/>
    <mergeCell ref="F934:G934"/>
    <mergeCell ref="J934:N934"/>
    <mergeCell ref="T934:U934"/>
    <mergeCell ref="B935:D935"/>
    <mergeCell ref="F935:G935"/>
    <mergeCell ref="J935:N935"/>
    <mergeCell ref="T935:U935"/>
    <mergeCell ref="B918:D918"/>
    <mergeCell ref="F918:G918"/>
    <mergeCell ref="J918:N918"/>
    <mergeCell ref="T918:U918"/>
    <mergeCell ref="B919:D919"/>
    <mergeCell ref="F919:G919"/>
    <mergeCell ref="J919:N919"/>
    <mergeCell ref="T919:U919"/>
    <mergeCell ref="B920:D920"/>
    <mergeCell ref="F920:G920"/>
    <mergeCell ref="J920:N920"/>
    <mergeCell ref="T920:U920"/>
    <mergeCell ref="B921:D921"/>
    <mergeCell ref="F921:G921"/>
    <mergeCell ref="J921:N921"/>
    <mergeCell ref="T921:U921"/>
    <mergeCell ref="B922:D922"/>
    <mergeCell ref="F922:G922"/>
    <mergeCell ref="J922:N922"/>
    <mergeCell ref="T922:U922"/>
    <mergeCell ref="B923:D923"/>
    <mergeCell ref="F923:G923"/>
    <mergeCell ref="J923:N923"/>
    <mergeCell ref="T923:U923"/>
    <mergeCell ref="B924:D924"/>
    <mergeCell ref="F924:G924"/>
    <mergeCell ref="J924:N924"/>
    <mergeCell ref="T924:U924"/>
    <mergeCell ref="B925:D925"/>
    <mergeCell ref="F925:G925"/>
    <mergeCell ref="J925:N925"/>
    <mergeCell ref="T925:U925"/>
    <mergeCell ref="B926:D926"/>
    <mergeCell ref="F926:G926"/>
    <mergeCell ref="J926:N926"/>
    <mergeCell ref="T926:U926"/>
    <mergeCell ref="B909:D909"/>
    <mergeCell ref="F909:G909"/>
    <mergeCell ref="J909:N909"/>
    <mergeCell ref="T909:U909"/>
    <mergeCell ref="B910:D910"/>
    <mergeCell ref="F910:G910"/>
    <mergeCell ref="J910:N910"/>
    <mergeCell ref="T910:U910"/>
    <mergeCell ref="B911:D911"/>
    <mergeCell ref="F911:G911"/>
    <mergeCell ref="J911:N911"/>
    <mergeCell ref="T911:U911"/>
    <mergeCell ref="B912:D912"/>
    <mergeCell ref="F912:G912"/>
    <mergeCell ref="J912:N912"/>
    <mergeCell ref="T912:U912"/>
    <mergeCell ref="B913:D913"/>
    <mergeCell ref="F913:G913"/>
    <mergeCell ref="J913:N913"/>
    <mergeCell ref="T913:U913"/>
    <mergeCell ref="B914:D914"/>
    <mergeCell ref="F914:G914"/>
    <mergeCell ref="J914:N914"/>
    <mergeCell ref="T914:U914"/>
    <mergeCell ref="B915:D915"/>
    <mergeCell ref="F915:G915"/>
    <mergeCell ref="J915:N915"/>
    <mergeCell ref="T915:U915"/>
    <mergeCell ref="B916:D916"/>
    <mergeCell ref="F916:G916"/>
    <mergeCell ref="J916:N916"/>
    <mergeCell ref="T916:U916"/>
    <mergeCell ref="B917:D917"/>
    <mergeCell ref="F917:G917"/>
    <mergeCell ref="J917:N917"/>
    <mergeCell ref="T917:U917"/>
    <mergeCell ref="B900:D900"/>
    <mergeCell ref="F900:G900"/>
    <mergeCell ref="J900:N900"/>
    <mergeCell ref="T900:U900"/>
    <mergeCell ref="B901:D901"/>
    <mergeCell ref="F901:G901"/>
    <mergeCell ref="J901:N901"/>
    <mergeCell ref="T901:U901"/>
    <mergeCell ref="B902:D902"/>
    <mergeCell ref="F902:G902"/>
    <mergeCell ref="J902:N902"/>
    <mergeCell ref="T902:U902"/>
    <mergeCell ref="B903:D903"/>
    <mergeCell ref="F903:G903"/>
    <mergeCell ref="J903:N903"/>
    <mergeCell ref="T903:U903"/>
    <mergeCell ref="B904:D904"/>
    <mergeCell ref="F904:G904"/>
    <mergeCell ref="J904:N904"/>
    <mergeCell ref="T904:U904"/>
    <mergeCell ref="B905:D905"/>
    <mergeCell ref="F905:G905"/>
    <mergeCell ref="J905:N905"/>
    <mergeCell ref="T905:U905"/>
    <mergeCell ref="B906:D906"/>
    <mergeCell ref="F906:G906"/>
    <mergeCell ref="J906:N906"/>
    <mergeCell ref="T906:U906"/>
    <mergeCell ref="B907:D907"/>
    <mergeCell ref="F907:G907"/>
    <mergeCell ref="J907:N907"/>
    <mergeCell ref="T907:U907"/>
    <mergeCell ref="B908:D908"/>
    <mergeCell ref="F908:G908"/>
    <mergeCell ref="J908:N908"/>
    <mergeCell ref="T908:U908"/>
    <mergeCell ref="B891:D891"/>
    <mergeCell ref="F891:G891"/>
    <mergeCell ref="J891:N891"/>
    <mergeCell ref="T891:U891"/>
    <mergeCell ref="B892:D892"/>
    <mergeCell ref="F892:G892"/>
    <mergeCell ref="J892:N892"/>
    <mergeCell ref="T892:U892"/>
    <mergeCell ref="B893:D893"/>
    <mergeCell ref="F893:G893"/>
    <mergeCell ref="J893:N893"/>
    <mergeCell ref="T893:U893"/>
    <mergeCell ref="B894:D894"/>
    <mergeCell ref="F894:G894"/>
    <mergeCell ref="J894:N894"/>
    <mergeCell ref="T894:U894"/>
    <mergeCell ref="B895:D895"/>
    <mergeCell ref="F895:G895"/>
    <mergeCell ref="J895:N895"/>
    <mergeCell ref="T895:U895"/>
    <mergeCell ref="B896:D896"/>
    <mergeCell ref="F896:G896"/>
    <mergeCell ref="J896:N896"/>
    <mergeCell ref="T896:U896"/>
    <mergeCell ref="B897:D897"/>
    <mergeCell ref="F897:G897"/>
    <mergeCell ref="J897:N897"/>
    <mergeCell ref="T897:U897"/>
    <mergeCell ref="B898:D898"/>
    <mergeCell ref="F898:G898"/>
    <mergeCell ref="J898:N898"/>
    <mergeCell ref="T898:U898"/>
    <mergeCell ref="B899:D899"/>
    <mergeCell ref="F899:G899"/>
    <mergeCell ref="J899:N899"/>
    <mergeCell ref="T899:U899"/>
    <mergeCell ref="B882:D882"/>
    <mergeCell ref="F882:G882"/>
    <mergeCell ref="J882:N882"/>
    <mergeCell ref="T882:U882"/>
    <mergeCell ref="B883:D883"/>
    <mergeCell ref="F883:G883"/>
    <mergeCell ref="J883:N883"/>
    <mergeCell ref="T883:U883"/>
    <mergeCell ref="B884:D884"/>
    <mergeCell ref="F884:G884"/>
    <mergeCell ref="J884:N884"/>
    <mergeCell ref="T884:U884"/>
    <mergeCell ref="B885:D885"/>
    <mergeCell ref="F885:G885"/>
    <mergeCell ref="J885:N885"/>
    <mergeCell ref="T885:U885"/>
    <mergeCell ref="B886:D886"/>
    <mergeCell ref="F886:G886"/>
    <mergeCell ref="J886:N886"/>
    <mergeCell ref="T886:U886"/>
    <mergeCell ref="B887:D887"/>
    <mergeCell ref="F887:G887"/>
    <mergeCell ref="J887:N887"/>
    <mergeCell ref="T887:U887"/>
    <mergeCell ref="A888:J888"/>
    <mergeCell ref="K888:O888"/>
    <mergeCell ref="T888:U888"/>
    <mergeCell ref="B889:D889"/>
    <mergeCell ref="F889:G889"/>
    <mergeCell ref="J889:N889"/>
    <mergeCell ref="T889:U889"/>
    <mergeCell ref="B890:D890"/>
    <mergeCell ref="F890:G890"/>
    <mergeCell ref="J890:N890"/>
    <mergeCell ref="T890:U890"/>
    <mergeCell ref="B873:D873"/>
    <mergeCell ref="F873:G873"/>
    <mergeCell ref="J873:N873"/>
    <mergeCell ref="T873:U873"/>
    <mergeCell ref="B874:D874"/>
    <mergeCell ref="F874:G874"/>
    <mergeCell ref="J874:N874"/>
    <mergeCell ref="T874:U874"/>
    <mergeCell ref="B875:D875"/>
    <mergeCell ref="F875:G875"/>
    <mergeCell ref="J875:N875"/>
    <mergeCell ref="T875:U875"/>
    <mergeCell ref="B876:D876"/>
    <mergeCell ref="F876:G876"/>
    <mergeCell ref="J876:N876"/>
    <mergeCell ref="T876:U876"/>
    <mergeCell ref="B877:D877"/>
    <mergeCell ref="F877:G877"/>
    <mergeCell ref="J877:N877"/>
    <mergeCell ref="T877:U877"/>
    <mergeCell ref="B878:D878"/>
    <mergeCell ref="F878:G878"/>
    <mergeCell ref="J878:N878"/>
    <mergeCell ref="T878:U878"/>
    <mergeCell ref="B879:D879"/>
    <mergeCell ref="F879:G879"/>
    <mergeCell ref="J879:N879"/>
    <mergeCell ref="T879:U879"/>
    <mergeCell ref="B880:D880"/>
    <mergeCell ref="F880:G880"/>
    <mergeCell ref="J880:N880"/>
    <mergeCell ref="T880:U880"/>
    <mergeCell ref="B881:D881"/>
    <mergeCell ref="F881:G881"/>
    <mergeCell ref="J881:N881"/>
    <mergeCell ref="T881:U881"/>
    <mergeCell ref="B864:D864"/>
    <mergeCell ref="F864:G864"/>
    <mergeCell ref="J864:N864"/>
    <mergeCell ref="T864:U864"/>
    <mergeCell ref="B865:D865"/>
    <mergeCell ref="F865:G865"/>
    <mergeCell ref="J865:N865"/>
    <mergeCell ref="T865:U865"/>
    <mergeCell ref="B866:D866"/>
    <mergeCell ref="F866:G866"/>
    <mergeCell ref="J866:N866"/>
    <mergeCell ref="T866:U866"/>
    <mergeCell ref="B867:D867"/>
    <mergeCell ref="F867:G867"/>
    <mergeCell ref="J867:N867"/>
    <mergeCell ref="T867:U867"/>
    <mergeCell ref="B868:D868"/>
    <mergeCell ref="F868:G868"/>
    <mergeCell ref="J868:N868"/>
    <mergeCell ref="T868:U868"/>
    <mergeCell ref="B869:D869"/>
    <mergeCell ref="F869:G869"/>
    <mergeCell ref="J869:N869"/>
    <mergeCell ref="T869:U869"/>
    <mergeCell ref="B870:D870"/>
    <mergeCell ref="F870:G870"/>
    <mergeCell ref="J870:N870"/>
    <mergeCell ref="T870:U870"/>
    <mergeCell ref="B871:D871"/>
    <mergeCell ref="F871:G871"/>
    <mergeCell ref="J871:N871"/>
    <mergeCell ref="T871:U871"/>
    <mergeCell ref="B872:D872"/>
    <mergeCell ref="F872:G872"/>
    <mergeCell ref="J872:N872"/>
    <mergeCell ref="T872:U872"/>
    <mergeCell ref="B855:D855"/>
    <mergeCell ref="F855:G855"/>
    <mergeCell ref="J855:N855"/>
    <mergeCell ref="T855:U855"/>
    <mergeCell ref="B856:D856"/>
    <mergeCell ref="F856:G856"/>
    <mergeCell ref="J856:N856"/>
    <mergeCell ref="T856:U856"/>
    <mergeCell ref="B857:D857"/>
    <mergeCell ref="F857:G857"/>
    <mergeCell ref="J857:N857"/>
    <mergeCell ref="T857:U857"/>
    <mergeCell ref="B858:D858"/>
    <mergeCell ref="F858:G858"/>
    <mergeCell ref="J858:N858"/>
    <mergeCell ref="T858:U858"/>
    <mergeCell ref="B859:D859"/>
    <mergeCell ref="F859:G859"/>
    <mergeCell ref="J859:N859"/>
    <mergeCell ref="T859:U859"/>
    <mergeCell ref="B860:D860"/>
    <mergeCell ref="F860:G860"/>
    <mergeCell ref="J860:N860"/>
    <mergeCell ref="T860:U860"/>
    <mergeCell ref="B861:D861"/>
    <mergeCell ref="F861:G861"/>
    <mergeCell ref="J861:N861"/>
    <mergeCell ref="T861:U861"/>
    <mergeCell ref="B862:D862"/>
    <mergeCell ref="F862:G862"/>
    <mergeCell ref="J862:N862"/>
    <mergeCell ref="T862:U862"/>
    <mergeCell ref="B863:D863"/>
    <mergeCell ref="F863:G863"/>
    <mergeCell ref="J863:N863"/>
    <mergeCell ref="T863:U863"/>
    <mergeCell ref="B846:D846"/>
    <mergeCell ref="F846:G846"/>
    <mergeCell ref="J846:N846"/>
    <mergeCell ref="T846:U846"/>
    <mergeCell ref="B847:D847"/>
    <mergeCell ref="F847:G847"/>
    <mergeCell ref="J847:N847"/>
    <mergeCell ref="T847:U847"/>
    <mergeCell ref="B848:D848"/>
    <mergeCell ref="F848:G848"/>
    <mergeCell ref="J848:N848"/>
    <mergeCell ref="T848:U848"/>
    <mergeCell ref="B849:D849"/>
    <mergeCell ref="F849:G849"/>
    <mergeCell ref="J849:N849"/>
    <mergeCell ref="T849:U849"/>
    <mergeCell ref="B850:D850"/>
    <mergeCell ref="F850:G850"/>
    <mergeCell ref="J850:N850"/>
    <mergeCell ref="T850:U850"/>
    <mergeCell ref="B851:D851"/>
    <mergeCell ref="F851:G851"/>
    <mergeCell ref="J851:N851"/>
    <mergeCell ref="T851:U851"/>
    <mergeCell ref="B852:D852"/>
    <mergeCell ref="F852:G852"/>
    <mergeCell ref="J852:N852"/>
    <mergeCell ref="T852:U852"/>
    <mergeCell ref="B853:D853"/>
    <mergeCell ref="F853:G853"/>
    <mergeCell ref="J853:N853"/>
    <mergeCell ref="T853:U853"/>
    <mergeCell ref="B854:D854"/>
    <mergeCell ref="F854:G854"/>
    <mergeCell ref="J854:N854"/>
    <mergeCell ref="T854:U854"/>
    <mergeCell ref="B837:D837"/>
    <mergeCell ref="F837:G837"/>
    <mergeCell ref="J837:N837"/>
    <mergeCell ref="T837:U837"/>
    <mergeCell ref="B838:D838"/>
    <mergeCell ref="F838:G838"/>
    <mergeCell ref="J838:N838"/>
    <mergeCell ref="T838:U838"/>
    <mergeCell ref="B839:D839"/>
    <mergeCell ref="F839:G839"/>
    <mergeCell ref="J839:N839"/>
    <mergeCell ref="T839:U839"/>
    <mergeCell ref="B840:D840"/>
    <mergeCell ref="F840:G840"/>
    <mergeCell ref="J840:N840"/>
    <mergeCell ref="T840:U840"/>
    <mergeCell ref="B841:D841"/>
    <mergeCell ref="F841:G841"/>
    <mergeCell ref="J841:N841"/>
    <mergeCell ref="T841:U841"/>
    <mergeCell ref="B842:D842"/>
    <mergeCell ref="F842:G842"/>
    <mergeCell ref="J842:N842"/>
    <mergeCell ref="T842:U842"/>
    <mergeCell ref="B843:D843"/>
    <mergeCell ref="F843:G843"/>
    <mergeCell ref="J843:N843"/>
    <mergeCell ref="T843:U843"/>
    <mergeCell ref="B844:D844"/>
    <mergeCell ref="F844:G844"/>
    <mergeCell ref="J844:N844"/>
    <mergeCell ref="T844:U844"/>
    <mergeCell ref="B845:D845"/>
    <mergeCell ref="F845:G845"/>
    <mergeCell ref="J845:N845"/>
    <mergeCell ref="T845:U845"/>
    <mergeCell ref="B828:D828"/>
    <mergeCell ref="F828:G828"/>
    <mergeCell ref="J828:N828"/>
    <mergeCell ref="T828:U828"/>
    <mergeCell ref="B829:D829"/>
    <mergeCell ref="F829:G829"/>
    <mergeCell ref="J829:N829"/>
    <mergeCell ref="T829:U829"/>
    <mergeCell ref="B830:D830"/>
    <mergeCell ref="F830:G830"/>
    <mergeCell ref="J830:N830"/>
    <mergeCell ref="T830:U830"/>
    <mergeCell ref="B831:D831"/>
    <mergeCell ref="F831:G831"/>
    <mergeCell ref="J831:N831"/>
    <mergeCell ref="T831:U831"/>
    <mergeCell ref="B832:D832"/>
    <mergeCell ref="F832:G832"/>
    <mergeCell ref="J832:N832"/>
    <mergeCell ref="T832:U832"/>
    <mergeCell ref="B833:D833"/>
    <mergeCell ref="F833:G833"/>
    <mergeCell ref="J833:N833"/>
    <mergeCell ref="T833:U833"/>
    <mergeCell ref="B834:D834"/>
    <mergeCell ref="F834:G834"/>
    <mergeCell ref="J834:N834"/>
    <mergeCell ref="T834:U834"/>
    <mergeCell ref="B835:D835"/>
    <mergeCell ref="F835:G835"/>
    <mergeCell ref="J835:N835"/>
    <mergeCell ref="T835:U835"/>
    <mergeCell ref="B836:D836"/>
    <mergeCell ref="F836:G836"/>
    <mergeCell ref="J836:N836"/>
    <mergeCell ref="T836:U836"/>
    <mergeCell ref="B819:D819"/>
    <mergeCell ref="F819:G819"/>
    <mergeCell ref="J819:N819"/>
    <mergeCell ref="T819:U819"/>
    <mergeCell ref="B820:D820"/>
    <mergeCell ref="F820:G820"/>
    <mergeCell ref="J820:N820"/>
    <mergeCell ref="T820:U820"/>
    <mergeCell ref="B821:D821"/>
    <mergeCell ref="F821:G821"/>
    <mergeCell ref="J821:N821"/>
    <mergeCell ref="T821:U821"/>
    <mergeCell ref="B822:D822"/>
    <mergeCell ref="F822:G822"/>
    <mergeCell ref="J822:N822"/>
    <mergeCell ref="T822:U822"/>
    <mergeCell ref="B823:D823"/>
    <mergeCell ref="F823:G823"/>
    <mergeCell ref="J823:N823"/>
    <mergeCell ref="T823:U823"/>
    <mergeCell ref="B824:D824"/>
    <mergeCell ref="F824:G824"/>
    <mergeCell ref="J824:N824"/>
    <mergeCell ref="T824:U824"/>
    <mergeCell ref="B825:D825"/>
    <mergeCell ref="F825:G825"/>
    <mergeCell ref="J825:N825"/>
    <mergeCell ref="T825:U825"/>
    <mergeCell ref="B826:D826"/>
    <mergeCell ref="F826:G826"/>
    <mergeCell ref="J826:N826"/>
    <mergeCell ref="T826:U826"/>
    <mergeCell ref="B827:D827"/>
    <mergeCell ref="F827:G827"/>
    <mergeCell ref="J827:N827"/>
    <mergeCell ref="T827:U827"/>
    <mergeCell ref="B810:D810"/>
    <mergeCell ref="F810:G810"/>
    <mergeCell ref="J810:N810"/>
    <mergeCell ref="T810:U810"/>
    <mergeCell ref="B811:D811"/>
    <mergeCell ref="F811:G811"/>
    <mergeCell ref="J811:N811"/>
    <mergeCell ref="T811:U811"/>
    <mergeCell ref="B812:D812"/>
    <mergeCell ref="F812:G812"/>
    <mergeCell ref="J812:N812"/>
    <mergeCell ref="T812:U812"/>
    <mergeCell ref="B813:D813"/>
    <mergeCell ref="F813:G813"/>
    <mergeCell ref="J813:N813"/>
    <mergeCell ref="T813:U813"/>
    <mergeCell ref="B814:D814"/>
    <mergeCell ref="F814:G814"/>
    <mergeCell ref="J814:N814"/>
    <mergeCell ref="T814:U814"/>
    <mergeCell ref="B815:D815"/>
    <mergeCell ref="F815:G815"/>
    <mergeCell ref="J815:N815"/>
    <mergeCell ref="T815:U815"/>
    <mergeCell ref="B816:D816"/>
    <mergeCell ref="F816:G816"/>
    <mergeCell ref="J816:N816"/>
    <mergeCell ref="T816:U816"/>
    <mergeCell ref="B817:D817"/>
    <mergeCell ref="F817:G817"/>
    <mergeCell ref="J817:N817"/>
    <mergeCell ref="T817:U817"/>
    <mergeCell ref="B818:D818"/>
    <mergeCell ref="F818:G818"/>
    <mergeCell ref="J818:N818"/>
    <mergeCell ref="T818:U818"/>
    <mergeCell ref="B801:D801"/>
    <mergeCell ref="F801:G801"/>
    <mergeCell ref="J801:N801"/>
    <mergeCell ref="T801:U801"/>
    <mergeCell ref="B802:D802"/>
    <mergeCell ref="F802:G802"/>
    <mergeCell ref="J802:N802"/>
    <mergeCell ref="T802:U802"/>
    <mergeCell ref="B803:D803"/>
    <mergeCell ref="F803:G803"/>
    <mergeCell ref="J803:N803"/>
    <mergeCell ref="T803:U803"/>
    <mergeCell ref="B804:D804"/>
    <mergeCell ref="F804:G804"/>
    <mergeCell ref="J804:N804"/>
    <mergeCell ref="T804:U804"/>
    <mergeCell ref="B805:D805"/>
    <mergeCell ref="F805:G805"/>
    <mergeCell ref="J805:N805"/>
    <mergeCell ref="T805:U805"/>
    <mergeCell ref="B806:D806"/>
    <mergeCell ref="F806:G806"/>
    <mergeCell ref="J806:N806"/>
    <mergeCell ref="T806:U806"/>
    <mergeCell ref="B807:D807"/>
    <mergeCell ref="F807:G807"/>
    <mergeCell ref="J807:N807"/>
    <mergeCell ref="T807:U807"/>
    <mergeCell ref="B808:D808"/>
    <mergeCell ref="F808:G808"/>
    <mergeCell ref="J808:N808"/>
    <mergeCell ref="T808:U808"/>
    <mergeCell ref="B809:D809"/>
    <mergeCell ref="F809:G809"/>
    <mergeCell ref="J809:N809"/>
    <mergeCell ref="T809:U809"/>
    <mergeCell ref="B792:D792"/>
    <mergeCell ref="F792:G792"/>
    <mergeCell ref="J792:N792"/>
    <mergeCell ref="T792:U792"/>
    <mergeCell ref="B793:D793"/>
    <mergeCell ref="F793:G793"/>
    <mergeCell ref="J793:N793"/>
    <mergeCell ref="T793:U793"/>
    <mergeCell ref="A794:J794"/>
    <mergeCell ref="K794:O794"/>
    <mergeCell ref="T794:U794"/>
    <mergeCell ref="B795:D795"/>
    <mergeCell ref="F795:G795"/>
    <mergeCell ref="J795:N795"/>
    <mergeCell ref="T795:U795"/>
    <mergeCell ref="B796:D796"/>
    <mergeCell ref="F796:G796"/>
    <mergeCell ref="J796:N796"/>
    <mergeCell ref="T796:U796"/>
    <mergeCell ref="B797:D797"/>
    <mergeCell ref="F797:G797"/>
    <mergeCell ref="J797:N797"/>
    <mergeCell ref="T797:U797"/>
    <mergeCell ref="B798:D798"/>
    <mergeCell ref="F798:G798"/>
    <mergeCell ref="J798:N798"/>
    <mergeCell ref="T798:U798"/>
    <mergeCell ref="B799:D799"/>
    <mergeCell ref="F799:G799"/>
    <mergeCell ref="J799:N799"/>
    <mergeCell ref="T799:U799"/>
    <mergeCell ref="B800:D800"/>
    <mergeCell ref="F800:G800"/>
    <mergeCell ref="J800:N800"/>
    <mergeCell ref="T800:U800"/>
    <mergeCell ref="B783:D783"/>
    <mergeCell ref="F783:G783"/>
    <mergeCell ref="J783:N783"/>
    <mergeCell ref="T783:U783"/>
    <mergeCell ref="B784:D784"/>
    <mergeCell ref="F784:G784"/>
    <mergeCell ref="J784:N784"/>
    <mergeCell ref="T784:U784"/>
    <mergeCell ref="B785:D785"/>
    <mergeCell ref="F785:G785"/>
    <mergeCell ref="J785:N785"/>
    <mergeCell ref="T785:U785"/>
    <mergeCell ref="B786:D786"/>
    <mergeCell ref="F786:G786"/>
    <mergeCell ref="J786:N786"/>
    <mergeCell ref="T786:U786"/>
    <mergeCell ref="B787:D787"/>
    <mergeCell ref="F787:G787"/>
    <mergeCell ref="J787:N787"/>
    <mergeCell ref="T787:U787"/>
    <mergeCell ref="B788:D788"/>
    <mergeCell ref="F788:G788"/>
    <mergeCell ref="J788:N788"/>
    <mergeCell ref="T788:U788"/>
    <mergeCell ref="B789:D789"/>
    <mergeCell ref="F789:G789"/>
    <mergeCell ref="J789:N789"/>
    <mergeCell ref="T789:U789"/>
    <mergeCell ref="B790:D790"/>
    <mergeCell ref="F790:G790"/>
    <mergeCell ref="J790:N790"/>
    <mergeCell ref="T790:U790"/>
    <mergeCell ref="B791:D791"/>
    <mergeCell ref="F791:G791"/>
    <mergeCell ref="J791:N791"/>
    <mergeCell ref="T791:U791"/>
    <mergeCell ref="B774:D774"/>
    <mergeCell ref="F774:G774"/>
    <mergeCell ref="J774:N774"/>
    <mergeCell ref="T774:U774"/>
    <mergeCell ref="B775:D775"/>
    <mergeCell ref="F775:G775"/>
    <mergeCell ref="J775:N775"/>
    <mergeCell ref="T775:U775"/>
    <mergeCell ref="B776:D776"/>
    <mergeCell ref="F776:G776"/>
    <mergeCell ref="J776:N776"/>
    <mergeCell ref="T776:U776"/>
    <mergeCell ref="B777:D777"/>
    <mergeCell ref="F777:G777"/>
    <mergeCell ref="J777:N777"/>
    <mergeCell ref="T777:U777"/>
    <mergeCell ref="B778:D778"/>
    <mergeCell ref="F778:G778"/>
    <mergeCell ref="J778:N778"/>
    <mergeCell ref="T778:U778"/>
    <mergeCell ref="B779:D779"/>
    <mergeCell ref="F779:G779"/>
    <mergeCell ref="J779:N779"/>
    <mergeCell ref="T779:U779"/>
    <mergeCell ref="B780:D780"/>
    <mergeCell ref="F780:G780"/>
    <mergeCell ref="J780:N780"/>
    <mergeCell ref="T780:U780"/>
    <mergeCell ref="B781:D781"/>
    <mergeCell ref="F781:G781"/>
    <mergeCell ref="J781:N781"/>
    <mergeCell ref="T781:U781"/>
    <mergeCell ref="B782:D782"/>
    <mergeCell ref="F782:G782"/>
    <mergeCell ref="J782:N782"/>
    <mergeCell ref="T782:U782"/>
    <mergeCell ref="B765:D765"/>
    <mergeCell ref="F765:G765"/>
    <mergeCell ref="J765:N765"/>
    <mergeCell ref="T765:U765"/>
    <mergeCell ref="B766:D766"/>
    <mergeCell ref="F766:G766"/>
    <mergeCell ref="J766:N766"/>
    <mergeCell ref="T766:U766"/>
    <mergeCell ref="B767:D767"/>
    <mergeCell ref="F767:G767"/>
    <mergeCell ref="J767:N767"/>
    <mergeCell ref="T767:U767"/>
    <mergeCell ref="B768:D768"/>
    <mergeCell ref="F768:G768"/>
    <mergeCell ref="J768:N768"/>
    <mergeCell ref="T768:U768"/>
    <mergeCell ref="B769:D769"/>
    <mergeCell ref="F769:G769"/>
    <mergeCell ref="J769:N769"/>
    <mergeCell ref="T769:U769"/>
    <mergeCell ref="B770:D770"/>
    <mergeCell ref="F770:G770"/>
    <mergeCell ref="J770:N770"/>
    <mergeCell ref="T770:U770"/>
    <mergeCell ref="B771:D771"/>
    <mergeCell ref="F771:G771"/>
    <mergeCell ref="J771:N771"/>
    <mergeCell ref="T771:U771"/>
    <mergeCell ref="B772:D772"/>
    <mergeCell ref="F772:G772"/>
    <mergeCell ref="J772:N772"/>
    <mergeCell ref="T772:U772"/>
    <mergeCell ref="B773:D773"/>
    <mergeCell ref="F773:G773"/>
    <mergeCell ref="J773:N773"/>
    <mergeCell ref="T773:U773"/>
    <mergeCell ref="B756:D756"/>
    <mergeCell ref="F756:G756"/>
    <mergeCell ref="J756:N756"/>
    <mergeCell ref="T756:U756"/>
    <mergeCell ref="B757:D757"/>
    <mergeCell ref="F757:G757"/>
    <mergeCell ref="J757:N757"/>
    <mergeCell ref="T757:U757"/>
    <mergeCell ref="B758:D758"/>
    <mergeCell ref="F758:G758"/>
    <mergeCell ref="J758:N758"/>
    <mergeCell ref="T758:U758"/>
    <mergeCell ref="B759:D759"/>
    <mergeCell ref="F759:G759"/>
    <mergeCell ref="J759:N759"/>
    <mergeCell ref="T759:U759"/>
    <mergeCell ref="B760:D760"/>
    <mergeCell ref="F760:G760"/>
    <mergeCell ref="J760:N760"/>
    <mergeCell ref="T760:U760"/>
    <mergeCell ref="B761:D761"/>
    <mergeCell ref="F761:G761"/>
    <mergeCell ref="J761:N761"/>
    <mergeCell ref="T761:U761"/>
    <mergeCell ref="B762:D762"/>
    <mergeCell ref="F762:G762"/>
    <mergeCell ref="J762:N762"/>
    <mergeCell ref="T762:U762"/>
    <mergeCell ref="B763:D763"/>
    <mergeCell ref="F763:G763"/>
    <mergeCell ref="J763:N763"/>
    <mergeCell ref="T763:U763"/>
    <mergeCell ref="B764:D764"/>
    <mergeCell ref="F764:G764"/>
    <mergeCell ref="J764:N764"/>
    <mergeCell ref="T764:U764"/>
    <mergeCell ref="B746:D746"/>
    <mergeCell ref="F746:G746"/>
    <mergeCell ref="J746:N746"/>
    <mergeCell ref="T746:U746"/>
    <mergeCell ref="B747:D747"/>
    <mergeCell ref="F747:G747"/>
    <mergeCell ref="J747:N747"/>
    <mergeCell ref="T747:U747"/>
    <mergeCell ref="B748:D748"/>
    <mergeCell ref="F748:G749"/>
    <mergeCell ref="J748:N748"/>
    <mergeCell ref="T748:U748"/>
    <mergeCell ref="B750:D750"/>
    <mergeCell ref="F750:G750"/>
    <mergeCell ref="J750:N750"/>
    <mergeCell ref="T750:U750"/>
    <mergeCell ref="B751:D751"/>
    <mergeCell ref="F751:G751"/>
    <mergeCell ref="J751:N751"/>
    <mergeCell ref="T751:U751"/>
    <mergeCell ref="B752:D752"/>
    <mergeCell ref="F752:G752"/>
    <mergeCell ref="J752:N752"/>
    <mergeCell ref="T752:U752"/>
    <mergeCell ref="B753:D753"/>
    <mergeCell ref="F753:G753"/>
    <mergeCell ref="J753:N753"/>
    <mergeCell ref="T753:U753"/>
    <mergeCell ref="B754:D754"/>
    <mergeCell ref="F754:G754"/>
    <mergeCell ref="J754:N754"/>
    <mergeCell ref="T754:U754"/>
    <mergeCell ref="B755:D755"/>
    <mergeCell ref="F755:G755"/>
    <mergeCell ref="J755:N755"/>
    <mergeCell ref="T755:U755"/>
    <mergeCell ref="B736:D736"/>
    <mergeCell ref="F736:G736"/>
    <mergeCell ref="J736:N736"/>
    <mergeCell ref="T736:U736"/>
    <mergeCell ref="B737:D737"/>
    <mergeCell ref="F737:G737"/>
    <mergeCell ref="J737:N737"/>
    <mergeCell ref="T737:U737"/>
    <mergeCell ref="B738:D738"/>
    <mergeCell ref="F738:G738"/>
    <mergeCell ref="J738:N738"/>
    <mergeCell ref="T738:U738"/>
    <mergeCell ref="B739:D739"/>
    <mergeCell ref="F739:G739"/>
    <mergeCell ref="J739:N739"/>
    <mergeCell ref="T739:U739"/>
    <mergeCell ref="B740:D740"/>
    <mergeCell ref="F740:G740"/>
    <mergeCell ref="J740:N740"/>
    <mergeCell ref="T740:U740"/>
    <mergeCell ref="B741:D741"/>
    <mergeCell ref="F741:G741"/>
    <mergeCell ref="J741:N741"/>
    <mergeCell ref="T741:U741"/>
    <mergeCell ref="B742:D742"/>
    <mergeCell ref="F742:G742"/>
    <mergeCell ref="J742:N742"/>
    <mergeCell ref="T742:U742"/>
    <mergeCell ref="B743:D743"/>
    <mergeCell ref="F743:G743"/>
    <mergeCell ref="J743:N743"/>
    <mergeCell ref="T743:U743"/>
    <mergeCell ref="B744:D744"/>
    <mergeCell ref="F744:G745"/>
    <mergeCell ref="J744:N744"/>
    <mergeCell ref="T744:U744"/>
    <mergeCell ref="B727:D727"/>
    <mergeCell ref="F727:G727"/>
    <mergeCell ref="J727:N727"/>
    <mergeCell ref="T727:U727"/>
    <mergeCell ref="B728:D728"/>
    <mergeCell ref="F728:G728"/>
    <mergeCell ref="J728:N728"/>
    <mergeCell ref="T728:U728"/>
    <mergeCell ref="B729:D729"/>
    <mergeCell ref="F729:G729"/>
    <mergeCell ref="J729:N729"/>
    <mergeCell ref="T729:U729"/>
    <mergeCell ref="B730:D730"/>
    <mergeCell ref="F730:G730"/>
    <mergeCell ref="J730:N730"/>
    <mergeCell ref="T730:U730"/>
    <mergeCell ref="B731:D731"/>
    <mergeCell ref="F731:G731"/>
    <mergeCell ref="J731:N731"/>
    <mergeCell ref="T731:U731"/>
    <mergeCell ref="B732:D732"/>
    <mergeCell ref="F732:G732"/>
    <mergeCell ref="J732:N732"/>
    <mergeCell ref="T732:U732"/>
    <mergeCell ref="B733:D733"/>
    <mergeCell ref="F733:G733"/>
    <mergeCell ref="J733:N733"/>
    <mergeCell ref="T733:U733"/>
    <mergeCell ref="B734:D734"/>
    <mergeCell ref="F734:G734"/>
    <mergeCell ref="J734:N734"/>
    <mergeCell ref="T734:U734"/>
    <mergeCell ref="B735:D735"/>
    <mergeCell ref="F735:G735"/>
    <mergeCell ref="J735:N735"/>
    <mergeCell ref="T735:U735"/>
    <mergeCell ref="B718:D718"/>
    <mergeCell ref="F718:G718"/>
    <mergeCell ref="J718:N718"/>
    <mergeCell ref="T718:U718"/>
    <mergeCell ref="B719:D719"/>
    <mergeCell ref="F719:G719"/>
    <mergeCell ref="J719:N719"/>
    <mergeCell ref="T719:U719"/>
    <mergeCell ref="B720:D720"/>
    <mergeCell ref="F720:G720"/>
    <mergeCell ref="J720:N720"/>
    <mergeCell ref="T720:U720"/>
    <mergeCell ref="B721:D721"/>
    <mergeCell ref="F721:G721"/>
    <mergeCell ref="J721:N721"/>
    <mergeCell ref="T721:U721"/>
    <mergeCell ref="B722:D722"/>
    <mergeCell ref="F722:G722"/>
    <mergeCell ref="J722:N722"/>
    <mergeCell ref="T722:U722"/>
    <mergeCell ref="B723:D723"/>
    <mergeCell ref="F723:G723"/>
    <mergeCell ref="J723:N723"/>
    <mergeCell ref="T723:U723"/>
    <mergeCell ref="B724:D724"/>
    <mergeCell ref="F724:G724"/>
    <mergeCell ref="J724:N724"/>
    <mergeCell ref="T724:U724"/>
    <mergeCell ref="B725:D725"/>
    <mergeCell ref="F725:G725"/>
    <mergeCell ref="J725:N725"/>
    <mergeCell ref="T725:U725"/>
    <mergeCell ref="B726:D726"/>
    <mergeCell ref="F726:G726"/>
    <mergeCell ref="J726:N726"/>
    <mergeCell ref="T726:U726"/>
    <mergeCell ref="B709:D709"/>
    <mergeCell ref="F709:G709"/>
    <mergeCell ref="J709:N709"/>
    <mergeCell ref="T709:U709"/>
    <mergeCell ref="B710:D710"/>
    <mergeCell ref="F710:G710"/>
    <mergeCell ref="J710:N710"/>
    <mergeCell ref="T710:U710"/>
    <mergeCell ref="B711:D711"/>
    <mergeCell ref="F711:G711"/>
    <mergeCell ref="J711:N711"/>
    <mergeCell ref="T711:U711"/>
    <mergeCell ref="B712:D712"/>
    <mergeCell ref="F712:G712"/>
    <mergeCell ref="J712:N712"/>
    <mergeCell ref="T712:U712"/>
    <mergeCell ref="B713:D713"/>
    <mergeCell ref="F713:G713"/>
    <mergeCell ref="J713:N713"/>
    <mergeCell ref="T713:U713"/>
    <mergeCell ref="B714:D714"/>
    <mergeCell ref="F714:G714"/>
    <mergeCell ref="J714:N714"/>
    <mergeCell ref="T714:U714"/>
    <mergeCell ref="B715:D715"/>
    <mergeCell ref="F715:G715"/>
    <mergeCell ref="J715:N715"/>
    <mergeCell ref="T715:U715"/>
    <mergeCell ref="B716:D716"/>
    <mergeCell ref="F716:G716"/>
    <mergeCell ref="J716:N716"/>
    <mergeCell ref="T716:U716"/>
    <mergeCell ref="B717:D717"/>
    <mergeCell ref="F717:G717"/>
    <mergeCell ref="J717:N717"/>
    <mergeCell ref="T717:U717"/>
    <mergeCell ref="B700:D700"/>
    <mergeCell ref="F700:G700"/>
    <mergeCell ref="J700:N700"/>
    <mergeCell ref="T700:U700"/>
    <mergeCell ref="B701:D701"/>
    <mergeCell ref="F701:G701"/>
    <mergeCell ref="J701:N701"/>
    <mergeCell ref="T701:U701"/>
    <mergeCell ref="B702:D702"/>
    <mergeCell ref="F702:G702"/>
    <mergeCell ref="J702:N702"/>
    <mergeCell ref="T702:U702"/>
    <mergeCell ref="B703:D703"/>
    <mergeCell ref="F703:G703"/>
    <mergeCell ref="J703:N703"/>
    <mergeCell ref="T703:U703"/>
    <mergeCell ref="B704:D704"/>
    <mergeCell ref="F704:G704"/>
    <mergeCell ref="J704:N704"/>
    <mergeCell ref="T704:U704"/>
    <mergeCell ref="B705:D705"/>
    <mergeCell ref="F705:G705"/>
    <mergeCell ref="J705:N705"/>
    <mergeCell ref="T705:U705"/>
    <mergeCell ref="B706:D706"/>
    <mergeCell ref="F706:G706"/>
    <mergeCell ref="J706:N706"/>
    <mergeCell ref="T706:U706"/>
    <mergeCell ref="B707:D707"/>
    <mergeCell ref="F707:G707"/>
    <mergeCell ref="J707:N707"/>
    <mergeCell ref="T707:U707"/>
    <mergeCell ref="B708:D708"/>
    <mergeCell ref="F708:G708"/>
    <mergeCell ref="J708:N708"/>
    <mergeCell ref="T708:U708"/>
    <mergeCell ref="B691:D691"/>
    <mergeCell ref="F691:G691"/>
    <mergeCell ref="J691:N691"/>
    <mergeCell ref="T691:U691"/>
    <mergeCell ref="B692:D692"/>
    <mergeCell ref="F692:G692"/>
    <mergeCell ref="J692:N692"/>
    <mergeCell ref="T692:U692"/>
    <mergeCell ref="B693:D693"/>
    <mergeCell ref="F693:G693"/>
    <mergeCell ref="J693:N693"/>
    <mergeCell ref="T693:U693"/>
    <mergeCell ref="B694:D694"/>
    <mergeCell ref="F694:G694"/>
    <mergeCell ref="J694:N694"/>
    <mergeCell ref="T694:U694"/>
    <mergeCell ref="B695:D695"/>
    <mergeCell ref="F695:G695"/>
    <mergeCell ref="J695:N695"/>
    <mergeCell ref="T695:U695"/>
    <mergeCell ref="B696:D696"/>
    <mergeCell ref="F696:G696"/>
    <mergeCell ref="J696:N696"/>
    <mergeCell ref="T696:U696"/>
    <mergeCell ref="B697:D697"/>
    <mergeCell ref="F697:G697"/>
    <mergeCell ref="J697:N697"/>
    <mergeCell ref="T697:U697"/>
    <mergeCell ref="B698:D698"/>
    <mergeCell ref="F698:G698"/>
    <mergeCell ref="J698:N698"/>
    <mergeCell ref="T698:U698"/>
    <mergeCell ref="B699:D699"/>
    <mergeCell ref="F699:G699"/>
    <mergeCell ref="J699:N699"/>
    <mergeCell ref="T699:U699"/>
    <mergeCell ref="A682:J682"/>
    <mergeCell ref="K682:O682"/>
    <mergeCell ref="T682:U682"/>
    <mergeCell ref="B683:D683"/>
    <mergeCell ref="F683:G683"/>
    <mergeCell ref="J683:N683"/>
    <mergeCell ref="T683:U683"/>
    <mergeCell ref="B684:D684"/>
    <mergeCell ref="F684:G684"/>
    <mergeCell ref="J684:N684"/>
    <mergeCell ref="T684:U684"/>
    <mergeCell ref="B685:D685"/>
    <mergeCell ref="F685:G685"/>
    <mergeCell ref="J685:N685"/>
    <mergeCell ref="T685:U685"/>
    <mergeCell ref="B686:D686"/>
    <mergeCell ref="F686:G686"/>
    <mergeCell ref="J686:N686"/>
    <mergeCell ref="T686:U686"/>
    <mergeCell ref="B687:D687"/>
    <mergeCell ref="F687:G687"/>
    <mergeCell ref="J687:N687"/>
    <mergeCell ref="T687:U687"/>
    <mergeCell ref="B688:D688"/>
    <mergeCell ref="F688:G688"/>
    <mergeCell ref="J688:N688"/>
    <mergeCell ref="T688:U688"/>
    <mergeCell ref="B689:D689"/>
    <mergeCell ref="F689:G689"/>
    <mergeCell ref="J689:N689"/>
    <mergeCell ref="T689:U689"/>
    <mergeCell ref="B690:D690"/>
    <mergeCell ref="F690:G690"/>
    <mergeCell ref="J690:N690"/>
    <mergeCell ref="T690:U690"/>
    <mergeCell ref="B673:D673"/>
    <mergeCell ref="F673:G673"/>
    <mergeCell ref="J673:N673"/>
    <mergeCell ref="T673:U673"/>
    <mergeCell ref="A674:J674"/>
    <mergeCell ref="K674:O674"/>
    <mergeCell ref="T674:U674"/>
    <mergeCell ref="B675:D675"/>
    <mergeCell ref="F675:G675"/>
    <mergeCell ref="J675:N675"/>
    <mergeCell ref="T675:U675"/>
    <mergeCell ref="B676:D676"/>
    <mergeCell ref="F676:G676"/>
    <mergeCell ref="J676:N676"/>
    <mergeCell ref="T676:U676"/>
    <mergeCell ref="B677:D677"/>
    <mergeCell ref="F677:G677"/>
    <mergeCell ref="J677:N677"/>
    <mergeCell ref="T677:U677"/>
    <mergeCell ref="B678:D678"/>
    <mergeCell ref="F678:G678"/>
    <mergeCell ref="J678:N678"/>
    <mergeCell ref="T678:U678"/>
    <mergeCell ref="B679:D679"/>
    <mergeCell ref="F679:G679"/>
    <mergeCell ref="J679:N679"/>
    <mergeCell ref="T679:U679"/>
    <mergeCell ref="B680:D680"/>
    <mergeCell ref="F680:G680"/>
    <mergeCell ref="J680:N680"/>
    <mergeCell ref="T680:U680"/>
    <mergeCell ref="B681:D681"/>
    <mergeCell ref="F681:G681"/>
    <mergeCell ref="J681:N681"/>
    <mergeCell ref="T681:U681"/>
    <mergeCell ref="B664:D664"/>
    <mergeCell ref="F664:G664"/>
    <mergeCell ref="J664:N664"/>
    <mergeCell ref="T664:U664"/>
    <mergeCell ref="B665:D665"/>
    <mergeCell ref="F665:G665"/>
    <mergeCell ref="J665:N665"/>
    <mergeCell ref="T665:U665"/>
    <mergeCell ref="B666:D666"/>
    <mergeCell ref="F666:G666"/>
    <mergeCell ref="J666:N666"/>
    <mergeCell ref="T666:U666"/>
    <mergeCell ref="B667:D667"/>
    <mergeCell ref="F667:G667"/>
    <mergeCell ref="J667:N667"/>
    <mergeCell ref="T667:U667"/>
    <mergeCell ref="B668:D668"/>
    <mergeCell ref="F668:G668"/>
    <mergeCell ref="J668:N668"/>
    <mergeCell ref="T668:U668"/>
    <mergeCell ref="B669:D669"/>
    <mergeCell ref="F669:G669"/>
    <mergeCell ref="J669:N669"/>
    <mergeCell ref="T669:U669"/>
    <mergeCell ref="B670:D670"/>
    <mergeCell ref="F670:G670"/>
    <mergeCell ref="J670:N670"/>
    <mergeCell ref="T670:U670"/>
    <mergeCell ref="B671:D671"/>
    <mergeCell ref="F671:G671"/>
    <mergeCell ref="J671:N671"/>
    <mergeCell ref="T671:U671"/>
    <mergeCell ref="B672:D672"/>
    <mergeCell ref="F672:G672"/>
    <mergeCell ref="J672:N672"/>
    <mergeCell ref="T672:U672"/>
    <mergeCell ref="B655:D655"/>
    <mergeCell ref="F655:G655"/>
    <mergeCell ref="J655:N655"/>
    <mergeCell ref="T655:U655"/>
    <mergeCell ref="B656:D656"/>
    <mergeCell ref="F656:G656"/>
    <mergeCell ref="J656:N656"/>
    <mergeCell ref="T656:U656"/>
    <mergeCell ref="B657:D657"/>
    <mergeCell ref="F657:G657"/>
    <mergeCell ref="J657:N657"/>
    <mergeCell ref="T657:U657"/>
    <mergeCell ref="B658:D658"/>
    <mergeCell ref="F658:G658"/>
    <mergeCell ref="J658:N658"/>
    <mergeCell ref="T658:U658"/>
    <mergeCell ref="B659:D659"/>
    <mergeCell ref="F659:G659"/>
    <mergeCell ref="J659:N659"/>
    <mergeCell ref="T659:U659"/>
    <mergeCell ref="B660:D660"/>
    <mergeCell ref="F660:G660"/>
    <mergeCell ref="J660:N660"/>
    <mergeCell ref="T660:U660"/>
    <mergeCell ref="B661:D661"/>
    <mergeCell ref="F661:G661"/>
    <mergeCell ref="J661:N661"/>
    <mergeCell ref="T661:U661"/>
    <mergeCell ref="B662:D662"/>
    <mergeCell ref="F662:G662"/>
    <mergeCell ref="J662:N662"/>
    <mergeCell ref="T662:U662"/>
    <mergeCell ref="B663:D663"/>
    <mergeCell ref="F663:G663"/>
    <mergeCell ref="J663:N663"/>
    <mergeCell ref="T663:U663"/>
    <mergeCell ref="B646:D646"/>
    <mergeCell ref="F646:G646"/>
    <mergeCell ref="J646:N646"/>
    <mergeCell ref="T646:U646"/>
    <mergeCell ref="B647:D647"/>
    <mergeCell ref="F647:G647"/>
    <mergeCell ref="J647:N647"/>
    <mergeCell ref="T647:U647"/>
    <mergeCell ref="B648:D648"/>
    <mergeCell ref="F648:G648"/>
    <mergeCell ref="J648:N648"/>
    <mergeCell ref="T648:U648"/>
    <mergeCell ref="B649:D649"/>
    <mergeCell ref="F649:G649"/>
    <mergeCell ref="J649:N649"/>
    <mergeCell ref="T649:U649"/>
    <mergeCell ref="B650:D650"/>
    <mergeCell ref="F650:G650"/>
    <mergeCell ref="J650:N650"/>
    <mergeCell ref="T650:U650"/>
    <mergeCell ref="B651:D651"/>
    <mergeCell ref="F651:G651"/>
    <mergeCell ref="J651:N651"/>
    <mergeCell ref="T651:U651"/>
    <mergeCell ref="B652:D652"/>
    <mergeCell ref="F652:G652"/>
    <mergeCell ref="J652:N652"/>
    <mergeCell ref="T652:U652"/>
    <mergeCell ref="B653:D653"/>
    <mergeCell ref="F653:G653"/>
    <mergeCell ref="J653:N653"/>
    <mergeCell ref="T653:U653"/>
    <mergeCell ref="B654:D654"/>
    <mergeCell ref="F654:G654"/>
    <mergeCell ref="J654:N654"/>
    <mergeCell ref="T654:U654"/>
    <mergeCell ref="B637:D637"/>
    <mergeCell ref="F637:G637"/>
    <mergeCell ref="J637:N637"/>
    <mergeCell ref="T637:U637"/>
    <mergeCell ref="B638:D638"/>
    <mergeCell ref="F638:G638"/>
    <mergeCell ref="J638:N638"/>
    <mergeCell ref="T638:U638"/>
    <mergeCell ref="B639:D639"/>
    <mergeCell ref="F639:G639"/>
    <mergeCell ref="J639:N639"/>
    <mergeCell ref="T639:U639"/>
    <mergeCell ref="B640:D640"/>
    <mergeCell ref="F640:G640"/>
    <mergeCell ref="J640:N640"/>
    <mergeCell ref="T640:U640"/>
    <mergeCell ref="B641:D641"/>
    <mergeCell ref="F641:G641"/>
    <mergeCell ref="J641:N641"/>
    <mergeCell ref="T641:U641"/>
    <mergeCell ref="B642:D642"/>
    <mergeCell ref="F642:G642"/>
    <mergeCell ref="J642:N642"/>
    <mergeCell ref="T642:U642"/>
    <mergeCell ref="B643:D643"/>
    <mergeCell ref="F643:G643"/>
    <mergeCell ref="J643:N643"/>
    <mergeCell ref="T643:U643"/>
    <mergeCell ref="B644:D644"/>
    <mergeCell ref="F644:G644"/>
    <mergeCell ref="J644:N644"/>
    <mergeCell ref="T644:U644"/>
    <mergeCell ref="B645:D645"/>
    <mergeCell ref="F645:G645"/>
    <mergeCell ref="J645:N645"/>
    <mergeCell ref="T645:U645"/>
    <mergeCell ref="B628:D628"/>
    <mergeCell ref="F628:G628"/>
    <mergeCell ref="J628:N628"/>
    <mergeCell ref="T628:U628"/>
    <mergeCell ref="B629:D629"/>
    <mergeCell ref="F629:G629"/>
    <mergeCell ref="J629:N629"/>
    <mergeCell ref="T629:U629"/>
    <mergeCell ref="B630:D630"/>
    <mergeCell ref="F630:G630"/>
    <mergeCell ref="J630:N630"/>
    <mergeCell ref="T630:U630"/>
    <mergeCell ref="B631:D631"/>
    <mergeCell ref="F631:G631"/>
    <mergeCell ref="J631:N631"/>
    <mergeCell ref="T631:U631"/>
    <mergeCell ref="B632:D632"/>
    <mergeCell ref="F632:G632"/>
    <mergeCell ref="J632:N632"/>
    <mergeCell ref="T632:U632"/>
    <mergeCell ref="B633:D633"/>
    <mergeCell ref="F633:G633"/>
    <mergeCell ref="J633:N633"/>
    <mergeCell ref="T633:U633"/>
    <mergeCell ref="B634:D634"/>
    <mergeCell ref="F634:G634"/>
    <mergeCell ref="J634:N634"/>
    <mergeCell ref="T634:U634"/>
    <mergeCell ref="B635:D635"/>
    <mergeCell ref="F635:G635"/>
    <mergeCell ref="J635:N635"/>
    <mergeCell ref="T635:U635"/>
    <mergeCell ref="B636:D636"/>
    <mergeCell ref="F636:G636"/>
    <mergeCell ref="J636:N636"/>
    <mergeCell ref="T636:U636"/>
    <mergeCell ref="B619:D619"/>
    <mergeCell ref="F619:G619"/>
    <mergeCell ref="J619:N619"/>
    <mergeCell ref="T619:U619"/>
    <mergeCell ref="B620:D620"/>
    <mergeCell ref="F620:G620"/>
    <mergeCell ref="J620:N620"/>
    <mergeCell ref="T620:U620"/>
    <mergeCell ref="B621:D621"/>
    <mergeCell ref="F621:G621"/>
    <mergeCell ref="J621:N621"/>
    <mergeCell ref="T621:U621"/>
    <mergeCell ref="B622:D622"/>
    <mergeCell ref="F622:G622"/>
    <mergeCell ref="J622:N622"/>
    <mergeCell ref="T622:U622"/>
    <mergeCell ref="B623:D623"/>
    <mergeCell ref="F623:G623"/>
    <mergeCell ref="J623:N623"/>
    <mergeCell ref="T623:U623"/>
    <mergeCell ref="A624:J624"/>
    <mergeCell ref="K624:O624"/>
    <mergeCell ref="T624:U624"/>
    <mergeCell ref="B625:D625"/>
    <mergeCell ref="F625:G625"/>
    <mergeCell ref="J625:N625"/>
    <mergeCell ref="T625:U625"/>
    <mergeCell ref="B626:D626"/>
    <mergeCell ref="F626:G626"/>
    <mergeCell ref="J626:N626"/>
    <mergeCell ref="T626:U626"/>
    <mergeCell ref="B627:D627"/>
    <mergeCell ref="F627:G627"/>
    <mergeCell ref="J627:N627"/>
    <mergeCell ref="T627:U627"/>
    <mergeCell ref="B610:D610"/>
    <mergeCell ref="F610:G610"/>
    <mergeCell ref="J610:N610"/>
    <mergeCell ref="T610:U610"/>
    <mergeCell ref="B611:D611"/>
    <mergeCell ref="F611:G611"/>
    <mergeCell ref="J611:N611"/>
    <mergeCell ref="T611:U611"/>
    <mergeCell ref="B612:D612"/>
    <mergeCell ref="F612:G612"/>
    <mergeCell ref="J612:N612"/>
    <mergeCell ref="T612:U612"/>
    <mergeCell ref="B613:D613"/>
    <mergeCell ref="F613:G613"/>
    <mergeCell ref="J613:N613"/>
    <mergeCell ref="T613:U613"/>
    <mergeCell ref="B614:D614"/>
    <mergeCell ref="F614:G614"/>
    <mergeCell ref="J614:N614"/>
    <mergeCell ref="T614:U614"/>
    <mergeCell ref="B615:D615"/>
    <mergeCell ref="F615:G615"/>
    <mergeCell ref="J615:N615"/>
    <mergeCell ref="T615:U615"/>
    <mergeCell ref="B616:D616"/>
    <mergeCell ref="F616:G616"/>
    <mergeCell ref="J616:N616"/>
    <mergeCell ref="T616:U616"/>
    <mergeCell ref="B617:D617"/>
    <mergeCell ref="F617:G617"/>
    <mergeCell ref="J617:N617"/>
    <mergeCell ref="T617:U617"/>
    <mergeCell ref="B618:D618"/>
    <mergeCell ref="F618:G618"/>
    <mergeCell ref="J618:N618"/>
    <mergeCell ref="T618:U618"/>
    <mergeCell ref="B601:D601"/>
    <mergeCell ref="F601:G601"/>
    <mergeCell ref="J601:N601"/>
    <mergeCell ref="T601:U601"/>
    <mergeCell ref="B602:D602"/>
    <mergeCell ref="F602:G602"/>
    <mergeCell ref="J602:N602"/>
    <mergeCell ref="T602:U602"/>
    <mergeCell ref="B603:D603"/>
    <mergeCell ref="F603:G603"/>
    <mergeCell ref="J603:N603"/>
    <mergeCell ref="T603:U603"/>
    <mergeCell ref="B604:D604"/>
    <mergeCell ref="F604:G604"/>
    <mergeCell ref="J604:N604"/>
    <mergeCell ref="T604:U604"/>
    <mergeCell ref="B605:D605"/>
    <mergeCell ref="F605:G605"/>
    <mergeCell ref="J605:N605"/>
    <mergeCell ref="T605:U605"/>
    <mergeCell ref="B606:D606"/>
    <mergeCell ref="F606:G606"/>
    <mergeCell ref="J606:N606"/>
    <mergeCell ref="T606:U606"/>
    <mergeCell ref="B607:D607"/>
    <mergeCell ref="F607:G607"/>
    <mergeCell ref="J607:N607"/>
    <mergeCell ref="T607:U607"/>
    <mergeCell ref="B608:D608"/>
    <mergeCell ref="F608:G608"/>
    <mergeCell ref="J608:N608"/>
    <mergeCell ref="T608:U608"/>
    <mergeCell ref="B609:D609"/>
    <mergeCell ref="F609:G609"/>
    <mergeCell ref="J609:N609"/>
    <mergeCell ref="T609:U609"/>
    <mergeCell ref="B592:D592"/>
    <mergeCell ref="F592:G592"/>
    <mergeCell ref="J592:N592"/>
    <mergeCell ref="T592:U592"/>
    <mergeCell ref="B593:D593"/>
    <mergeCell ref="F593:G593"/>
    <mergeCell ref="J593:N593"/>
    <mergeCell ref="T593:U593"/>
    <mergeCell ref="B594:D594"/>
    <mergeCell ref="F594:G594"/>
    <mergeCell ref="J594:N594"/>
    <mergeCell ref="T594:U594"/>
    <mergeCell ref="B595:D595"/>
    <mergeCell ref="F595:G595"/>
    <mergeCell ref="J595:N595"/>
    <mergeCell ref="T595:U595"/>
    <mergeCell ref="B596:D596"/>
    <mergeCell ref="F596:G596"/>
    <mergeCell ref="J596:N596"/>
    <mergeCell ref="T596:U596"/>
    <mergeCell ref="B597:D597"/>
    <mergeCell ref="F597:G597"/>
    <mergeCell ref="J597:N597"/>
    <mergeCell ref="T597:U597"/>
    <mergeCell ref="B598:D598"/>
    <mergeCell ref="F598:G598"/>
    <mergeCell ref="J598:N598"/>
    <mergeCell ref="T598:U598"/>
    <mergeCell ref="B599:D599"/>
    <mergeCell ref="F599:G599"/>
    <mergeCell ref="J599:N599"/>
    <mergeCell ref="T599:U599"/>
    <mergeCell ref="B600:D600"/>
    <mergeCell ref="F600:G600"/>
    <mergeCell ref="J600:N600"/>
    <mergeCell ref="T600:U600"/>
    <mergeCell ref="B583:D583"/>
    <mergeCell ref="F583:G583"/>
    <mergeCell ref="J583:N583"/>
    <mergeCell ref="T583:U583"/>
    <mergeCell ref="B584:D584"/>
    <mergeCell ref="F584:G584"/>
    <mergeCell ref="J584:N584"/>
    <mergeCell ref="T584:U584"/>
    <mergeCell ref="B585:D585"/>
    <mergeCell ref="F585:G585"/>
    <mergeCell ref="J585:N585"/>
    <mergeCell ref="T585:U585"/>
    <mergeCell ref="B586:D586"/>
    <mergeCell ref="F586:G586"/>
    <mergeCell ref="J586:N586"/>
    <mergeCell ref="T586:U586"/>
    <mergeCell ref="B587:D587"/>
    <mergeCell ref="F587:G587"/>
    <mergeCell ref="J587:N587"/>
    <mergeCell ref="T587:U587"/>
    <mergeCell ref="B588:D588"/>
    <mergeCell ref="F588:G588"/>
    <mergeCell ref="J588:N588"/>
    <mergeCell ref="T588:U588"/>
    <mergeCell ref="B589:D589"/>
    <mergeCell ref="F589:G589"/>
    <mergeCell ref="J589:N589"/>
    <mergeCell ref="T589:U589"/>
    <mergeCell ref="B590:D590"/>
    <mergeCell ref="F590:G590"/>
    <mergeCell ref="J590:N590"/>
    <mergeCell ref="T590:U590"/>
    <mergeCell ref="B591:D591"/>
    <mergeCell ref="F591:G591"/>
    <mergeCell ref="J591:N591"/>
    <mergeCell ref="T591:U591"/>
    <mergeCell ref="B574:D574"/>
    <mergeCell ref="F574:G574"/>
    <mergeCell ref="J574:N574"/>
    <mergeCell ref="T574:U574"/>
    <mergeCell ref="B575:D575"/>
    <mergeCell ref="F575:G575"/>
    <mergeCell ref="J575:N575"/>
    <mergeCell ref="T575:U575"/>
    <mergeCell ref="B576:D576"/>
    <mergeCell ref="F576:G576"/>
    <mergeCell ref="J576:N576"/>
    <mergeCell ref="T576:U576"/>
    <mergeCell ref="B577:D577"/>
    <mergeCell ref="F577:G577"/>
    <mergeCell ref="J577:N577"/>
    <mergeCell ref="T577:U577"/>
    <mergeCell ref="B578:D578"/>
    <mergeCell ref="F578:G578"/>
    <mergeCell ref="J578:N578"/>
    <mergeCell ref="T578:U578"/>
    <mergeCell ref="B579:D579"/>
    <mergeCell ref="F579:G579"/>
    <mergeCell ref="J579:N579"/>
    <mergeCell ref="T579:U579"/>
    <mergeCell ref="B580:D580"/>
    <mergeCell ref="F580:G580"/>
    <mergeCell ref="J580:N580"/>
    <mergeCell ref="T580:U580"/>
    <mergeCell ref="B581:D581"/>
    <mergeCell ref="F581:G581"/>
    <mergeCell ref="J581:N581"/>
    <mergeCell ref="T581:U581"/>
    <mergeCell ref="B582:D582"/>
    <mergeCell ref="F582:G582"/>
    <mergeCell ref="J582:N582"/>
    <mergeCell ref="T582:U582"/>
    <mergeCell ref="B565:D565"/>
    <mergeCell ref="F565:G565"/>
    <mergeCell ref="J565:N565"/>
    <mergeCell ref="T565:U565"/>
    <mergeCell ref="B566:D566"/>
    <mergeCell ref="F566:G566"/>
    <mergeCell ref="J566:N566"/>
    <mergeCell ref="T566:U566"/>
    <mergeCell ref="B567:D567"/>
    <mergeCell ref="F567:G567"/>
    <mergeCell ref="J567:N567"/>
    <mergeCell ref="T567:U567"/>
    <mergeCell ref="B568:D568"/>
    <mergeCell ref="F568:G568"/>
    <mergeCell ref="J568:N568"/>
    <mergeCell ref="T568:U568"/>
    <mergeCell ref="B569:D569"/>
    <mergeCell ref="F569:G569"/>
    <mergeCell ref="J569:N569"/>
    <mergeCell ref="T569:U569"/>
    <mergeCell ref="B570:D570"/>
    <mergeCell ref="F570:G570"/>
    <mergeCell ref="J570:N570"/>
    <mergeCell ref="T570:U570"/>
    <mergeCell ref="B571:D571"/>
    <mergeCell ref="F571:G571"/>
    <mergeCell ref="J571:N571"/>
    <mergeCell ref="T571:U571"/>
    <mergeCell ref="B572:D572"/>
    <mergeCell ref="F572:G572"/>
    <mergeCell ref="J572:N572"/>
    <mergeCell ref="T572:U572"/>
    <mergeCell ref="B573:D573"/>
    <mergeCell ref="F573:G573"/>
    <mergeCell ref="J573:N573"/>
    <mergeCell ref="T573:U573"/>
    <mergeCell ref="B556:D556"/>
    <mergeCell ref="F556:G556"/>
    <mergeCell ref="J556:N556"/>
    <mergeCell ref="T556:U556"/>
    <mergeCell ref="B557:D557"/>
    <mergeCell ref="F557:G557"/>
    <mergeCell ref="J557:N557"/>
    <mergeCell ref="T557:U557"/>
    <mergeCell ref="B558:D558"/>
    <mergeCell ref="F558:G558"/>
    <mergeCell ref="J558:N558"/>
    <mergeCell ref="T558:U558"/>
    <mergeCell ref="B559:D559"/>
    <mergeCell ref="F559:G559"/>
    <mergeCell ref="J559:N559"/>
    <mergeCell ref="T559:U559"/>
    <mergeCell ref="B560:D560"/>
    <mergeCell ref="F560:G560"/>
    <mergeCell ref="J560:N560"/>
    <mergeCell ref="T560:U560"/>
    <mergeCell ref="B561:D561"/>
    <mergeCell ref="F561:G561"/>
    <mergeCell ref="J561:N561"/>
    <mergeCell ref="T561:U561"/>
    <mergeCell ref="B562:D562"/>
    <mergeCell ref="F562:G562"/>
    <mergeCell ref="J562:N562"/>
    <mergeCell ref="T562:U562"/>
    <mergeCell ref="B563:D563"/>
    <mergeCell ref="F563:G563"/>
    <mergeCell ref="J563:N563"/>
    <mergeCell ref="T563:U563"/>
    <mergeCell ref="B564:D564"/>
    <mergeCell ref="F564:G564"/>
    <mergeCell ref="J564:N564"/>
    <mergeCell ref="T564:U564"/>
    <mergeCell ref="B547:D547"/>
    <mergeCell ref="F547:G547"/>
    <mergeCell ref="J547:N547"/>
    <mergeCell ref="T547:U547"/>
    <mergeCell ref="B548:D548"/>
    <mergeCell ref="F548:G548"/>
    <mergeCell ref="J548:N548"/>
    <mergeCell ref="T548:U548"/>
    <mergeCell ref="B549:D549"/>
    <mergeCell ref="F549:G549"/>
    <mergeCell ref="J549:N549"/>
    <mergeCell ref="T549:U549"/>
    <mergeCell ref="B550:D550"/>
    <mergeCell ref="F550:G550"/>
    <mergeCell ref="J550:N550"/>
    <mergeCell ref="T550:U550"/>
    <mergeCell ref="B551:D551"/>
    <mergeCell ref="F551:G551"/>
    <mergeCell ref="J551:N551"/>
    <mergeCell ref="T551:U551"/>
    <mergeCell ref="B552:D552"/>
    <mergeCell ref="F552:G552"/>
    <mergeCell ref="J552:N552"/>
    <mergeCell ref="T552:U552"/>
    <mergeCell ref="B553:D553"/>
    <mergeCell ref="F553:G553"/>
    <mergeCell ref="J553:N553"/>
    <mergeCell ref="T553:U553"/>
    <mergeCell ref="B554:D554"/>
    <mergeCell ref="F554:G554"/>
    <mergeCell ref="J554:N554"/>
    <mergeCell ref="T554:U554"/>
    <mergeCell ref="B555:D555"/>
    <mergeCell ref="F555:G555"/>
    <mergeCell ref="J555:N555"/>
    <mergeCell ref="T555:U555"/>
    <mergeCell ref="B538:D538"/>
    <mergeCell ref="F538:G538"/>
    <mergeCell ref="J538:N538"/>
    <mergeCell ref="T538:U538"/>
    <mergeCell ref="B539:D539"/>
    <mergeCell ref="F539:G539"/>
    <mergeCell ref="J539:N539"/>
    <mergeCell ref="T539:U539"/>
    <mergeCell ref="B540:D540"/>
    <mergeCell ref="F540:G540"/>
    <mergeCell ref="J540:N540"/>
    <mergeCell ref="T540:U540"/>
    <mergeCell ref="B541:D541"/>
    <mergeCell ref="F541:G541"/>
    <mergeCell ref="J541:N541"/>
    <mergeCell ref="T541:U541"/>
    <mergeCell ref="B542:D542"/>
    <mergeCell ref="F542:G542"/>
    <mergeCell ref="J542:N542"/>
    <mergeCell ref="T542:U542"/>
    <mergeCell ref="B543:D543"/>
    <mergeCell ref="F543:G543"/>
    <mergeCell ref="J543:N543"/>
    <mergeCell ref="T543:U543"/>
    <mergeCell ref="B544:D544"/>
    <mergeCell ref="F544:G544"/>
    <mergeCell ref="J544:N544"/>
    <mergeCell ref="T544:U544"/>
    <mergeCell ref="B545:D545"/>
    <mergeCell ref="F545:G545"/>
    <mergeCell ref="J545:N545"/>
    <mergeCell ref="T545:U545"/>
    <mergeCell ref="B546:D546"/>
    <mergeCell ref="F546:G546"/>
    <mergeCell ref="J546:N546"/>
    <mergeCell ref="T546:U546"/>
    <mergeCell ref="B529:D529"/>
    <mergeCell ref="F529:G529"/>
    <mergeCell ref="J529:N529"/>
    <mergeCell ref="T529:U529"/>
    <mergeCell ref="B530:D530"/>
    <mergeCell ref="F530:G530"/>
    <mergeCell ref="J530:N530"/>
    <mergeCell ref="T530:U530"/>
    <mergeCell ref="B531:D531"/>
    <mergeCell ref="F531:G531"/>
    <mergeCell ref="J531:N531"/>
    <mergeCell ref="T531:U531"/>
    <mergeCell ref="B532:D532"/>
    <mergeCell ref="F532:G532"/>
    <mergeCell ref="J532:N532"/>
    <mergeCell ref="T532:U532"/>
    <mergeCell ref="B533:D533"/>
    <mergeCell ref="F533:G533"/>
    <mergeCell ref="J533:N533"/>
    <mergeCell ref="T533:U533"/>
    <mergeCell ref="A534:J534"/>
    <mergeCell ref="K534:O534"/>
    <mergeCell ref="T534:U534"/>
    <mergeCell ref="B535:D535"/>
    <mergeCell ref="F535:G535"/>
    <mergeCell ref="J535:N535"/>
    <mergeCell ref="T535:U535"/>
    <mergeCell ref="B536:D536"/>
    <mergeCell ref="F536:G536"/>
    <mergeCell ref="J536:N536"/>
    <mergeCell ref="T536:U536"/>
    <mergeCell ref="B537:D537"/>
    <mergeCell ref="F537:G537"/>
    <mergeCell ref="J537:N537"/>
    <mergeCell ref="T537:U537"/>
    <mergeCell ref="B520:D520"/>
    <mergeCell ref="F520:G520"/>
    <mergeCell ref="J520:N520"/>
    <mergeCell ref="T520:U520"/>
    <mergeCell ref="B521:D521"/>
    <mergeCell ref="F521:G521"/>
    <mergeCell ref="J521:N521"/>
    <mergeCell ref="T521:U521"/>
    <mergeCell ref="B522:D522"/>
    <mergeCell ref="F522:G522"/>
    <mergeCell ref="J522:N522"/>
    <mergeCell ref="T522:U522"/>
    <mergeCell ref="B523:D523"/>
    <mergeCell ref="F523:G523"/>
    <mergeCell ref="J523:N523"/>
    <mergeCell ref="T523:U523"/>
    <mergeCell ref="B524:D524"/>
    <mergeCell ref="F524:G524"/>
    <mergeCell ref="J524:N524"/>
    <mergeCell ref="T524:U524"/>
    <mergeCell ref="B525:D525"/>
    <mergeCell ref="F525:G525"/>
    <mergeCell ref="J525:N525"/>
    <mergeCell ref="T525:U525"/>
    <mergeCell ref="B526:D526"/>
    <mergeCell ref="F526:G526"/>
    <mergeCell ref="J526:N526"/>
    <mergeCell ref="T526:U526"/>
    <mergeCell ref="B527:D527"/>
    <mergeCell ref="F527:G527"/>
    <mergeCell ref="J527:N527"/>
    <mergeCell ref="T527:U527"/>
    <mergeCell ref="B528:D528"/>
    <mergeCell ref="F528:G528"/>
    <mergeCell ref="J528:N528"/>
    <mergeCell ref="T528:U528"/>
    <mergeCell ref="B511:D511"/>
    <mergeCell ref="F511:G511"/>
    <mergeCell ref="J511:N511"/>
    <mergeCell ref="T511:U511"/>
    <mergeCell ref="B512:D512"/>
    <mergeCell ref="F512:G512"/>
    <mergeCell ref="J512:N512"/>
    <mergeCell ref="T512:U512"/>
    <mergeCell ref="B513:D513"/>
    <mergeCell ref="F513:G513"/>
    <mergeCell ref="J513:N513"/>
    <mergeCell ref="T513:U513"/>
    <mergeCell ref="B514:D514"/>
    <mergeCell ref="F514:G514"/>
    <mergeCell ref="J514:N514"/>
    <mergeCell ref="T514:U514"/>
    <mergeCell ref="B515:D515"/>
    <mergeCell ref="F515:G515"/>
    <mergeCell ref="J515:N515"/>
    <mergeCell ref="T515:U515"/>
    <mergeCell ref="B516:D516"/>
    <mergeCell ref="F516:G516"/>
    <mergeCell ref="J516:N516"/>
    <mergeCell ref="T516:U516"/>
    <mergeCell ref="B517:D517"/>
    <mergeCell ref="F517:G517"/>
    <mergeCell ref="J517:N517"/>
    <mergeCell ref="T517:U517"/>
    <mergeCell ref="B518:D518"/>
    <mergeCell ref="F518:G518"/>
    <mergeCell ref="J518:N518"/>
    <mergeCell ref="T518:U518"/>
    <mergeCell ref="B519:D519"/>
    <mergeCell ref="F519:G519"/>
    <mergeCell ref="J519:N519"/>
    <mergeCell ref="T519:U519"/>
    <mergeCell ref="B502:D502"/>
    <mergeCell ref="F502:G502"/>
    <mergeCell ref="J502:N502"/>
    <mergeCell ref="T502:U502"/>
    <mergeCell ref="B503:D503"/>
    <mergeCell ref="F503:G503"/>
    <mergeCell ref="J503:N503"/>
    <mergeCell ref="T503:U503"/>
    <mergeCell ref="B504:D504"/>
    <mergeCell ref="F504:G504"/>
    <mergeCell ref="J504:N504"/>
    <mergeCell ref="T504:U504"/>
    <mergeCell ref="B505:D505"/>
    <mergeCell ref="F505:G505"/>
    <mergeCell ref="J505:N505"/>
    <mergeCell ref="T505:U505"/>
    <mergeCell ref="B506:D506"/>
    <mergeCell ref="F506:G506"/>
    <mergeCell ref="J506:N506"/>
    <mergeCell ref="T506:U506"/>
    <mergeCell ref="B507:D507"/>
    <mergeCell ref="F507:G507"/>
    <mergeCell ref="J507:N507"/>
    <mergeCell ref="T507:U507"/>
    <mergeCell ref="B508:D508"/>
    <mergeCell ref="F508:G508"/>
    <mergeCell ref="J508:N508"/>
    <mergeCell ref="T508:U508"/>
    <mergeCell ref="B509:D509"/>
    <mergeCell ref="F509:G509"/>
    <mergeCell ref="J509:N509"/>
    <mergeCell ref="T509:U509"/>
    <mergeCell ref="B510:D510"/>
    <mergeCell ref="F510:G510"/>
    <mergeCell ref="J510:N510"/>
    <mergeCell ref="T510:U510"/>
    <mergeCell ref="B493:D493"/>
    <mergeCell ref="F493:G493"/>
    <mergeCell ref="J493:N493"/>
    <mergeCell ref="T493:U493"/>
    <mergeCell ref="B494:D494"/>
    <mergeCell ref="F494:G494"/>
    <mergeCell ref="J494:N494"/>
    <mergeCell ref="T494:U494"/>
    <mergeCell ref="B495:D495"/>
    <mergeCell ref="F495:G495"/>
    <mergeCell ref="J495:N495"/>
    <mergeCell ref="T495:U495"/>
    <mergeCell ref="B496:D496"/>
    <mergeCell ref="F496:G496"/>
    <mergeCell ref="J496:N496"/>
    <mergeCell ref="T496:U496"/>
    <mergeCell ref="B497:D497"/>
    <mergeCell ref="F497:G497"/>
    <mergeCell ref="J497:N497"/>
    <mergeCell ref="T497:U497"/>
    <mergeCell ref="B498:D498"/>
    <mergeCell ref="F498:G498"/>
    <mergeCell ref="J498:N498"/>
    <mergeCell ref="T498:U498"/>
    <mergeCell ref="B499:D499"/>
    <mergeCell ref="F499:G499"/>
    <mergeCell ref="J499:N499"/>
    <mergeCell ref="T499:U499"/>
    <mergeCell ref="B500:D500"/>
    <mergeCell ref="F500:G500"/>
    <mergeCell ref="J500:N500"/>
    <mergeCell ref="T500:U500"/>
    <mergeCell ref="B501:D501"/>
    <mergeCell ref="F501:G501"/>
    <mergeCell ref="J501:N501"/>
    <mergeCell ref="T501:U501"/>
    <mergeCell ref="B484:D484"/>
    <mergeCell ref="F484:G484"/>
    <mergeCell ref="J484:N484"/>
    <mergeCell ref="T484:U484"/>
    <mergeCell ref="B485:D485"/>
    <mergeCell ref="F485:G485"/>
    <mergeCell ref="J485:N485"/>
    <mergeCell ref="T485:U485"/>
    <mergeCell ref="B486:D486"/>
    <mergeCell ref="F486:G486"/>
    <mergeCell ref="J486:N486"/>
    <mergeCell ref="T486:U486"/>
    <mergeCell ref="B487:D487"/>
    <mergeCell ref="F487:G487"/>
    <mergeCell ref="J487:N487"/>
    <mergeCell ref="T487:U487"/>
    <mergeCell ref="B488:D488"/>
    <mergeCell ref="F488:G488"/>
    <mergeCell ref="J488:N488"/>
    <mergeCell ref="T488:U488"/>
    <mergeCell ref="B489:D489"/>
    <mergeCell ref="F489:G489"/>
    <mergeCell ref="J489:N489"/>
    <mergeCell ref="T489:U489"/>
    <mergeCell ref="B490:D490"/>
    <mergeCell ref="F490:G490"/>
    <mergeCell ref="J490:N490"/>
    <mergeCell ref="T490:U490"/>
    <mergeCell ref="B491:D491"/>
    <mergeCell ref="F491:G491"/>
    <mergeCell ref="J491:N491"/>
    <mergeCell ref="T491:U491"/>
    <mergeCell ref="B492:D492"/>
    <mergeCell ref="F492:G492"/>
    <mergeCell ref="J492:N492"/>
    <mergeCell ref="T492:U492"/>
    <mergeCell ref="B475:D475"/>
    <mergeCell ref="F475:G475"/>
    <mergeCell ref="J475:N475"/>
    <mergeCell ref="T475:U475"/>
    <mergeCell ref="B476:D476"/>
    <mergeCell ref="F476:G476"/>
    <mergeCell ref="J476:N476"/>
    <mergeCell ref="T476:U476"/>
    <mergeCell ref="B477:D477"/>
    <mergeCell ref="F477:G477"/>
    <mergeCell ref="J477:N477"/>
    <mergeCell ref="T477:U477"/>
    <mergeCell ref="B478:D478"/>
    <mergeCell ref="F478:G478"/>
    <mergeCell ref="J478:N478"/>
    <mergeCell ref="T478:U478"/>
    <mergeCell ref="B479:D479"/>
    <mergeCell ref="F479:G479"/>
    <mergeCell ref="J479:N479"/>
    <mergeCell ref="T479:U479"/>
    <mergeCell ref="B480:D480"/>
    <mergeCell ref="F480:G480"/>
    <mergeCell ref="J480:N480"/>
    <mergeCell ref="T480:U480"/>
    <mergeCell ref="B481:D481"/>
    <mergeCell ref="F481:G481"/>
    <mergeCell ref="J481:N481"/>
    <mergeCell ref="T481:U481"/>
    <mergeCell ref="B482:D482"/>
    <mergeCell ref="F482:G482"/>
    <mergeCell ref="J482:N482"/>
    <mergeCell ref="T482:U482"/>
    <mergeCell ref="B483:D483"/>
    <mergeCell ref="F483:G483"/>
    <mergeCell ref="J483:N483"/>
    <mergeCell ref="T483:U483"/>
    <mergeCell ref="B466:D466"/>
    <mergeCell ref="F466:G466"/>
    <mergeCell ref="J466:N466"/>
    <mergeCell ref="T466:U466"/>
    <mergeCell ref="B467:D467"/>
    <mergeCell ref="F467:G467"/>
    <mergeCell ref="J467:N467"/>
    <mergeCell ref="T467:U467"/>
    <mergeCell ref="B468:D468"/>
    <mergeCell ref="F468:G468"/>
    <mergeCell ref="J468:N468"/>
    <mergeCell ref="T468:U468"/>
    <mergeCell ref="B469:D469"/>
    <mergeCell ref="F469:G469"/>
    <mergeCell ref="J469:N469"/>
    <mergeCell ref="T469:U469"/>
    <mergeCell ref="B470:D470"/>
    <mergeCell ref="F470:G470"/>
    <mergeCell ref="J470:N470"/>
    <mergeCell ref="T470:U470"/>
    <mergeCell ref="A471:J471"/>
    <mergeCell ref="K471:O471"/>
    <mergeCell ref="T471:U471"/>
    <mergeCell ref="B472:D472"/>
    <mergeCell ref="F472:G472"/>
    <mergeCell ref="J472:N472"/>
    <mergeCell ref="T472:U472"/>
    <mergeCell ref="B473:D473"/>
    <mergeCell ref="F473:G473"/>
    <mergeCell ref="J473:N473"/>
    <mergeCell ref="T473:U473"/>
    <mergeCell ref="B474:D474"/>
    <mergeCell ref="F474:G474"/>
    <mergeCell ref="J474:N474"/>
    <mergeCell ref="T474:U474"/>
    <mergeCell ref="B457:D457"/>
    <mergeCell ref="F457:G457"/>
    <mergeCell ref="J457:N457"/>
    <mergeCell ref="T457:U457"/>
    <mergeCell ref="B458:D458"/>
    <mergeCell ref="F458:G458"/>
    <mergeCell ref="J458:N458"/>
    <mergeCell ref="T458:U458"/>
    <mergeCell ref="B459:D459"/>
    <mergeCell ref="F459:G459"/>
    <mergeCell ref="J459:N459"/>
    <mergeCell ref="T459:U459"/>
    <mergeCell ref="B460:D460"/>
    <mergeCell ref="F460:G460"/>
    <mergeCell ref="J460:N460"/>
    <mergeCell ref="T460:U460"/>
    <mergeCell ref="B461:D461"/>
    <mergeCell ref="F461:G461"/>
    <mergeCell ref="J461:N461"/>
    <mergeCell ref="T461:U461"/>
    <mergeCell ref="B462:D462"/>
    <mergeCell ref="F462:G462"/>
    <mergeCell ref="J462:N462"/>
    <mergeCell ref="T462:U462"/>
    <mergeCell ref="B463:D463"/>
    <mergeCell ref="F463:G463"/>
    <mergeCell ref="J463:N463"/>
    <mergeCell ref="T463:U463"/>
    <mergeCell ref="B464:D464"/>
    <mergeCell ref="F464:G464"/>
    <mergeCell ref="J464:N464"/>
    <mergeCell ref="T464:U464"/>
    <mergeCell ref="B465:D465"/>
    <mergeCell ref="F465:G465"/>
    <mergeCell ref="J465:N465"/>
    <mergeCell ref="T465:U465"/>
    <mergeCell ref="B448:D448"/>
    <mergeCell ref="F448:G448"/>
    <mergeCell ref="J448:N448"/>
    <mergeCell ref="T448:U448"/>
    <mergeCell ref="B449:D449"/>
    <mergeCell ref="F449:G449"/>
    <mergeCell ref="J449:N449"/>
    <mergeCell ref="T449:U449"/>
    <mergeCell ref="B450:D450"/>
    <mergeCell ref="F450:G450"/>
    <mergeCell ref="J450:N450"/>
    <mergeCell ref="T450:U450"/>
    <mergeCell ref="B451:D451"/>
    <mergeCell ref="F451:G451"/>
    <mergeCell ref="J451:N451"/>
    <mergeCell ref="T451:U451"/>
    <mergeCell ref="B452:D452"/>
    <mergeCell ref="F452:G452"/>
    <mergeCell ref="J452:N452"/>
    <mergeCell ref="T452:U452"/>
    <mergeCell ref="B453:D453"/>
    <mergeCell ref="F453:G453"/>
    <mergeCell ref="J453:N453"/>
    <mergeCell ref="T453:U453"/>
    <mergeCell ref="B454:D454"/>
    <mergeCell ref="F454:G454"/>
    <mergeCell ref="J454:N454"/>
    <mergeCell ref="T454:U454"/>
    <mergeCell ref="B455:D455"/>
    <mergeCell ref="F455:G455"/>
    <mergeCell ref="J455:N455"/>
    <mergeCell ref="T455:U455"/>
    <mergeCell ref="B456:D456"/>
    <mergeCell ref="F456:G456"/>
    <mergeCell ref="J456:N456"/>
    <mergeCell ref="T456:U456"/>
    <mergeCell ref="B438:D438"/>
    <mergeCell ref="F438:G438"/>
    <mergeCell ref="J438:N438"/>
    <mergeCell ref="T438:U438"/>
    <mergeCell ref="B439:D439"/>
    <mergeCell ref="F439:G439"/>
    <mergeCell ref="J439:N439"/>
    <mergeCell ref="T439:U439"/>
    <mergeCell ref="B440:D440"/>
    <mergeCell ref="F440:G440"/>
    <mergeCell ref="J440:N440"/>
    <mergeCell ref="T440:U440"/>
    <mergeCell ref="B441:D441"/>
    <mergeCell ref="F441:G441"/>
    <mergeCell ref="J441:N441"/>
    <mergeCell ref="T441:U441"/>
    <mergeCell ref="B442:D442"/>
    <mergeCell ref="F442:G443"/>
    <mergeCell ref="J442:N442"/>
    <mergeCell ref="T442:U442"/>
    <mergeCell ref="B444:D444"/>
    <mergeCell ref="F444:G444"/>
    <mergeCell ref="J444:N444"/>
    <mergeCell ref="T444:U444"/>
    <mergeCell ref="B445:D445"/>
    <mergeCell ref="F445:G445"/>
    <mergeCell ref="J445:N445"/>
    <mergeCell ref="T445:U445"/>
    <mergeCell ref="B446:D446"/>
    <mergeCell ref="F446:G446"/>
    <mergeCell ref="J446:N446"/>
    <mergeCell ref="T446:U446"/>
    <mergeCell ref="B447:D447"/>
    <mergeCell ref="F447:G447"/>
    <mergeCell ref="J447:N447"/>
    <mergeCell ref="T447:U447"/>
    <mergeCell ref="B429:D429"/>
    <mergeCell ref="F429:G429"/>
    <mergeCell ref="J429:N429"/>
    <mergeCell ref="T429:U429"/>
    <mergeCell ref="B430:D430"/>
    <mergeCell ref="F430:G430"/>
    <mergeCell ref="J430:N430"/>
    <mergeCell ref="T430:U430"/>
    <mergeCell ref="B431:D431"/>
    <mergeCell ref="F431:G431"/>
    <mergeCell ref="J431:N431"/>
    <mergeCell ref="T431:U431"/>
    <mergeCell ref="B432:D432"/>
    <mergeCell ref="F432:G432"/>
    <mergeCell ref="J432:N432"/>
    <mergeCell ref="T432:U432"/>
    <mergeCell ref="B433:D433"/>
    <mergeCell ref="F433:G433"/>
    <mergeCell ref="J433:N433"/>
    <mergeCell ref="T433:U433"/>
    <mergeCell ref="B434:D434"/>
    <mergeCell ref="F434:G434"/>
    <mergeCell ref="J434:N434"/>
    <mergeCell ref="T434:U434"/>
    <mergeCell ref="B435:D435"/>
    <mergeCell ref="F435:G435"/>
    <mergeCell ref="J435:N435"/>
    <mergeCell ref="T435:U435"/>
    <mergeCell ref="B436:D436"/>
    <mergeCell ref="F436:G436"/>
    <mergeCell ref="J436:N436"/>
    <mergeCell ref="T436:U436"/>
    <mergeCell ref="B437:D437"/>
    <mergeCell ref="F437:G437"/>
    <mergeCell ref="J437:N437"/>
    <mergeCell ref="T437:U437"/>
    <mergeCell ref="B420:D420"/>
    <mergeCell ref="F420:G420"/>
    <mergeCell ref="J420:N420"/>
    <mergeCell ref="T420:U420"/>
    <mergeCell ref="B421:D421"/>
    <mergeCell ref="F421:G421"/>
    <mergeCell ref="J421:N421"/>
    <mergeCell ref="T421:U421"/>
    <mergeCell ref="B422:D422"/>
    <mergeCell ref="F422:G422"/>
    <mergeCell ref="J422:N422"/>
    <mergeCell ref="T422:U422"/>
    <mergeCell ref="B423:D423"/>
    <mergeCell ref="F423:G423"/>
    <mergeCell ref="J423:N423"/>
    <mergeCell ref="T423:U423"/>
    <mergeCell ref="B424:D424"/>
    <mergeCell ref="F424:G424"/>
    <mergeCell ref="J424:N424"/>
    <mergeCell ref="T424:U424"/>
    <mergeCell ref="B425:D425"/>
    <mergeCell ref="F425:G425"/>
    <mergeCell ref="J425:N425"/>
    <mergeCell ref="T425:U425"/>
    <mergeCell ref="B426:D426"/>
    <mergeCell ref="F426:G426"/>
    <mergeCell ref="J426:N426"/>
    <mergeCell ref="T426:U426"/>
    <mergeCell ref="B427:D427"/>
    <mergeCell ref="F427:G427"/>
    <mergeCell ref="J427:N427"/>
    <mergeCell ref="T427:U427"/>
    <mergeCell ref="B428:D428"/>
    <mergeCell ref="F428:G428"/>
    <mergeCell ref="J428:N428"/>
    <mergeCell ref="T428:U428"/>
    <mergeCell ref="B411:D411"/>
    <mergeCell ref="F411:G411"/>
    <mergeCell ref="J411:N411"/>
    <mergeCell ref="T411:U411"/>
    <mergeCell ref="B412:D412"/>
    <mergeCell ref="F412:G412"/>
    <mergeCell ref="J412:N412"/>
    <mergeCell ref="T412:U412"/>
    <mergeCell ref="B413:D413"/>
    <mergeCell ref="F413:G413"/>
    <mergeCell ref="J413:N413"/>
    <mergeCell ref="T413:U413"/>
    <mergeCell ref="B414:D414"/>
    <mergeCell ref="F414:G414"/>
    <mergeCell ref="J414:N414"/>
    <mergeCell ref="T414:U414"/>
    <mergeCell ref="B415:D415"/>
    <mergeCell ref="F415:G415"/>
    <mergeCell ref="J415:N415"/>
    <mergeCell ref="T415:U415"/>
    <mergeCell ref="A416:J416"/>
    <mergeCell ref="K416:O416"/>
    <mergeCell ref="T416:U416"/>
    <mergeCell ref="B417:D417"/>
    <mergeCell ref="F417:G417"/>
    <mergeCell ref="J417:N417"/>
    <mergeCell ref="T417:U417"/>
    <mergeCell ref="B418:D418"/>
    <mergeCell ref="F418:G418"/>
    <mergeCell ref="J418:N418"/>
    <mergeCell ref="T418:U418"/>
    <mergeCell ref="B419:D419"/>
    <mergeCell ref="F419:G419"/>
    <mergeCell ref="J419:N419"/>
    <mergeCell ref="T419:U419"/>
    <mergeCell ref="B402:D402"/>
    <mergeCell ref="F402:G402"/>
    <mergeCell ref="J402:N402"/>
    <mergeCell ref="T402:U402"/>
    <mergeCell ref="B403:D403"/>
    <mergeCell ref="F403:G403"/>
    <mergeCell ref="J403:N403"/>
    <mergeCell ref="T403:U403"/>
    <mergeCell ref="B404:D404"/>
    <mergeCell ref="F404:G404"/>
    <mergeCell ref="J404:N404"/>
    <mergeCell ref="T404:U404"/>
    <mergeCell ref="B405:D405"/>
    <mergeCell ref="F405:G405"/>
    <mergeCell ref="J405:N405"/>
    <mergeCell ref="T405:U405"/>
    <mergeCell ref="B406:D406"/>
    <mergeCell ref="F406:G406"/>
    <mergeCell ref="J406:N406"/>
    <mergeCell ref="T406:U406"/>
    <mergeCell ref="A407:J407"/>
    <mergeCell ref="K407:O407"/>
    <mergeCell ref="T407:U407"/>
    <mergeCell ref="B408:D408"/>
    <mergeCell ref="F408:G408"/>
    <mergeCell ref="J408:N408"/>
    <mergeCell ref="T408:U408"/>
    <mergeCell ref="B409:D409"/>
    <mergeCell ref="F409:G409"/>
    <mergeCell ref="J409:N409"/>
    <mergeCell ref="T409:U409"/>
    <mergeCell ref="B410:D410"/>
    <mergeCell ref="F410:G410"/>
    <mergeCell ref="J410:N410"/>
    <mergeCell ref="T410:U410"/>
    <mergeCell ref="B393:D393"/>
    <mergeCell ref="F393:G393"/>
    <mergeCell ref="J393:N393"/>
    <mergeCell ref="T393:U393"/>
    <mergeCell ref="B394:D394"/>
    <mergeCell ref="F394:G394"/>
    <mergeCell ref="J394:N394"/>
    <mergeCell ref="T394:U394"/>
    <mergeCell ref="B395:D395"/>
    <mergeCell ref="F395:G395"/>
    <mergeCell ref="J395:N395"/>
    <mergeCell ref="T395:U395"/>
    <mergeCell ref="B396:D396"/>
    <mergeCell ref="F396:G396"/>
    <mergeCell ref="J396:N396"/>
    <mergeCell ref="T396:U396"/>
    <mergeCell ref="B397:D397"/>
    <mergeCell ref="F397:G397"/>
    <mergeCell ref="J397:N397"/>
    <mergeCell ref="T397:U397"/>
    <mergeCell ref="B398:D398"/>
    <mergeCell ref="F398:G398"/>
    <mergeCell ref="J398:N398"/>
    <mergeCell ref="T398:U398"/>
    <mergeCell ref="B399:D399"/>
    <mergeCell ref="F399:G399"/>
    <mergeCell ref="J399:N399"/>
    <mergeCell ref="T399:U399"/>
    <mergeCell ref="B400:D400"/>
    <mergeCell ref="F400:G400"/>
    <mergeCell ref="J400:N400"/>
    <mergeCell ref="T400:U400"/>
    <mergeCell ref="B401:D401"/>
    <mergeCell ref="F401:G401"/>
    <mergeCell ref="J401:N401"/>
    <mergeCell ref="T401:U401"/>
    <mergeCell ref="B384:D384"/>
    <mergeCell ref="F384:G384"/>
    <mergeCell ref="J384:N384"/>
    <mergeCell ref="T384:U384"/>
    <mergeCell ref="B385:D385"/>
    <mergeCell ref="F385:G385"/>
    <mergeCell ref="J385:N385"/>
    <mergeCell ref="T385:U385"/>
    <mergeCell ref="B386:D386"/>
    <mergeCell ref="F386:G386"/>
    <mergeCell ref="J386:N386"/>
    <mergeCell ref="T386:U386"/>
    <mergeCell ref="B387:D387"/>
    <mergeCell ref="F387:G387"/>
    <mergeCell ref="J387:N387"/>
    <mergeCell ref="T387:U387"/>
    <mergeCell ref="B388:D388"/>
    <mergeCell ref="F388:G388"/>
    <mergeCell ref="J388:N388"/>
    <mergeCell ref="T388:U388"/>
    <mergeCell ref="B389:D389"/>
    <mergeCell ref="F389:G389"/>
    <mergeCell ref="J389:N389"/>
    <mergeCell ref="T389:U389"/>
    <mergeCell ref="B390:D390"/>
    <mergeCell ref="F390:G390"/>
    <mergeCell ref="J390:N390"/>
    <mergeCell ref="T390:U390"/>
    <mergeCell ref="B391:D391"/>
    <mergeCell ref="F391:G391"/>
    <mergeCell ref="J391:N391"/>
    <mergeCell ref="T391:U391"/>
    <mergeCell ref="B392:D392"/>
    <mergeCell ref="F392:G392"/>
    <mergeCell ref="J392:N392"/>
    <mergeCell ref="T392:U392"/>
    <mergeCell ref="B375:D375"/>
    <mergeCell ref="F375:G375"/>
    <mergeCell ref="J375:N375"/>
    <mergeCell ref="T375:U375"/>
    <mergeCell ref="B376:D376"/>
    <mergeCell ref="F376:G376"/>
    <mergeCell ref="J376:N376"/>
    <mergeCell ref="T376:U376"/>
    <mergeCell ref="B377:D377"/>
    <mergeCell ref="F377:G377"/>
    <mergeCell ref="J377:N377"/>
    <mergeCell ref="T377:U377"/>
    <mergeCell ref="B378:D378"/>
    <mergeCell ref="F378:G378"/>
    <mergeCell ref="J378:N378"/>
    <mergeCell ref="T378:U378"/>
    <mergeCell ref="B379:D379"/>
    <mergeCell ref="F379:G379"/>
    <mergeCell ref="J379:N379"/>
    <mergeCell ref="T379:U379"/>
    <mergeCell ref="B380:D380"/>
    <mergeCell ref="F380:G380"/>
    <mergeCell ref="J380:N380"/>
    <mergeCell ref="T380:U380"/>
    <mergeCell ref="B381:D381"/>
    <mergeCell ref="F381:G381"/>
    <mergeCell ref="J381:N381"/>
    <mergeCell ref="T381:U381"/>
    <mergeCell ref="B382:D382"/>
    <mergeCell ref="F382:G382"/>
    <mergeCell ref="J382:N382"/>
    <mergeCell ref="T382:U382"/>
    <mergeCell ref="B383:D383"/>
    <mergeCell ref="F383:G383"/>
    <mergeCell ref="J383:N383"/>
    <mergeCell ref="T383:U383"/>
    <mergeCell ref="B366:D366"/>
    <mergeCell ref="F366:G366"/>
    <mergeCell ref="J366:N366"/>
    <mergeCell ref="T366:U366"/>
    <mergeCell ref="B367:D367"/>
    <mergeCell ref="F367:G367"/>
    <mergeCell ref="J367:N367"/>
    <mergeCell ref="T367:U367"/>
    <mergeCell ref="B368:D368"/>
    <mergeCell ref="F368:G368"/>
    <mergeCell ref="J368:N368"/>
    <mergeCell ref="T368:U368"/>
    <mergeCell ref="B369:D369"/>
    <mergeCell ref="F369:G369"/>
    <mergeCell ref="J369:N369"/>
    <mergeCell ref="T369:U369"/>
    <mergeCell ref="B370:D370"/>
    <mergeCell ref="F370:G370"/>
    <mergeCell ref="J370:N370"/>
    <mergeCell ref="T370:U370"/>
    <mergeCell ref="B371:D371"/>
    <mergeCell ref="F371:G371"/>
    <mergeCell ref="J371:N371"/>
    <mergeCell ref="T371:U371"/>
    <mergeCell ref="B372:D372"/>
    <mergeCell ref="F372:G372"/>
    <mergeCell ref="J372:N372"/>
    <mergeCell ref="T372:U372"/>
    <mergeCell ref="B373:D373"/>
    <mergeCell ref="F373:G373"/>
    <mergeCell ref="J373:N373"/>
    <mergeCell ref="T373:U373"/>
    <mergeCell ref="B374:D374"/>
    <mergeCell ref="F374:G374"/>
    <mergeCell ref="J374:N374"/>
    <mergeCell ref="T374:U374"/>
    <mergeCell ref="B356:U356"/>
    <mergeCell ref="A358:C358"/>
    <mergeCell ref="F358:G358"/>
    <mergeCell ref="I358:N358"/>
    <mergeCell ref="O358:P358"/>
    <mergeCell ref="T358:U358"/>
    <mergeCell ref="A359:J359"/>
    <mergeCell ref="K359:O359"/>
    <mergeCell ref="T359:U359"/>
    <mergeCell ref="B360:D360"/>
    <mergeCell ref="F360:G360"/>
    <mergeCell ref="J360:N360"/>
    <mergeCell ref="T360:U360"/>
    <mergeCell ref="B361:D361"/>
    <mergeCell ref="F361:G361"/>
    <mergeCell ref="J361:N361"/>
    <mergeCell ref="T361:U361"/>
    <mergeCell ref="B362:D362"/>
    <mergeCell ref="F362:G362"/>
    <mergeCell ref="J362:N362"/>
    <mergeCell ref="T362:U362"/>
    <mergeCell ref="B363:D363"/>
    <mergeCell ref="F363:G363"/>
    <mergeCell ref="J363:N363"/>
    <mergeCell ref="T363:U363"/>
    <mergeCell ref="B364:D364"/>
    <mergeCell ref="F364:G364"/>
    <mergeCell ref="J364:N364"/>
    <mergeCell ref="T364:U364"/>
    <mergeCell ref="B365:D365"/>
    <mergeCell ref="F365:G365"/>
    <mergeCell ref="J365:N365"/>
    <mergeCell ref="T365:U365"/>
    <mergeCell ref="B344:C344"/>
    <mergeCell ref="F344:G344"/>
    <mergeCell ref="I344:L344"/>
    <mergeCell ref="T344:U344"/>
    <mergeCell ref="B345:C345"/>
    <mergeCell ref="F345:G345"/>
    <mergeCell ref="I345:L345"/>
    <mergeCell ref="T345:U345"/>
    <mergeCell ref="B346:C346"/>
    <mergeCell ref="F346:G346"/>
    <mergeCell ref="I346:L346"/>
    <mergeCell ref="T346:U346"/>
    <mergeCell ref="B347:C347"/>
    <mergeCell ref="F347:G347"/>
    <mergeCell ref="I347:L347"/>
    <mergeCell ref="T347:U347"/>
    <mergeCell ref="B348:C348"/>
    <mergeCell ref="F348:G348"/>
    <mergeCell ref="I348:L348"/>
    <mergeCell ref="T348:U348"/>
    <mergeCell ref="B349:C349"/>
    <mergeCell ref="F349:G349"/>
    <mergeCell ref="I349:L349"/>
    <mergeCell ref="T349:U349"/>
    <mergeCell ref="B350:C350"/>
    <mergeCell ref="F350:G350"/>
    <mergeCell ref="I350:L350"/>
    <mergeCell ref="T350:U350"/>
    <mergeCell ref="B351:C351"/>
    <mergeCell ref="F351:G351"/>
    <mergeCell ref="I351:L351"/>
    <mergeCell ref="T351:U351"/>
    <mergeCell ref="C353:L353"/>
    <mergeCell ref="T353:U353"/>
    <mergeCell ref="B335:C335"/>
    <mergeCell ref="F335:G335"/>
    <mergeCell ref="I335:L335"/>
    <mergeCell ref="T335:U335"/>
    <mergeCell ref="B336:C336"/>
    <mergeCell ref="F336:G336"/>
    <mergeCell ref="I336:L336"/>
    <mergeCell ref="T336:U336"/>
    <mergeCell ref="B337:C337"/>
    <mergeCell ref="F337:G337"/>
    <mergeCell ref="I337:L337"/>
    <mergeCell ref="T337:U337"/>
    <mergeCell ref="B338:C338"/>
    <mergeCell ref="F338:G338"/>
    <mergeCell ref="I338:L338"/>
    <mergeCell ref="T338:U338"/>
    <mergeCell ref="B339:C339"/>
    <mergeCell ref="F339:G339"/>
    <mergeCell ref="I339:L339"/>
    <mergeCell ref="T339:U339"/>
    <mergeCell ref="B340:C340"/>
    <mergeCell ref="F340:G340"/>
    <mergeCell ref="I340:L340"/>
    <mergeCell ref="T340:U340"/>
    <mergeCell ref="B341:C341"/>
    <mergeCell ref="F341:G341"/>
    <mergeCell ref="I341:L341"/>
    <mergeCell ref="T341:U341"/>
    <mergeCell ref="B342:C342"/>
    <mergeCell ref="F342:G342"/>
    <mergeCell ref="I342:L342"/>
    <mergeCell ref="T342:U342"/>
    <mergeCell ref="B343:C343"/>
    <mergeCell ref="F343:G343"/>
    <mergeCell ref="I343:L343"/>
    <mergeCell ref="T343:U343"/>
    <mergeCell ref="B326:C326"/>
    <mergeCell ref="F326:G326"/>
    <mergeCell ref="I326:L326"/>
    <mergeCell ref="T326:U326"/>
    <mergeCell ref="B327:C327"/>
    <mergeCell ref="F327:G327"/>
    <mergeCell ref="I327:L327"/>
    <mergeCell ref="T327:U327"/>
    <mergeCell ref="B328:C328"/>
    <mergeCell ref="F328:G328"/>
    <mergeCell ref="I328:L328"/>
    <mergeCell ref="T328:U328"/>
    <mergeCell ref="B329:C329"/>
    <mergeCell ref="F329:G329"/>
    <mergeCell ref="I329:L329"/>
    <mergeCell ref="T329:U329"/>
    <mergeCell ref="B330:C330"/>
    <mergeCell ref="F330:G330"/>
    <mergeCell ref="I330:L330"/>
    <mergeCell ref="T330:U330"/>
    <mergeCell ref="B331:C331"/>
    <mergeCell ref="F331:G331"/>
    <mergeCell ref="I331:L331"/>
    <mergeCell ref="T331:U331"/>
    <mergeCell ref="B332:C332"/>
    <mergeCell ref="F332:G332"/>
    <mergeCell ref="I332:L332"/>
    <mergeCell ref="T332:U332"/>
    <mergeCell ref="B333:C333"/>
    <mergeCell ref="F333:G333"/>
    <mergeCell ref="I333:L333"/>
    <mergeCell ref="T333:U333"/>
    <mergeCell ref="B334:C334"/>
    <mergeCell ref="F334:G334"/>
    <mergeCell ref="I334:L334"/>
    <mergeCell ref="T334:U334"/>
    <mergeCell ref="B317:C317"/>
    <mergeCell ref="F317:G317"/>
    <mergeCell ref="I317:L317"/>
    <mergeCell ref="T317:U317"/>
    <mergeCell ref="B318:C318"/>
    <mergeCell ref="F318:G318"/>
    <mergeCell ref="I318:L318"/>
    <mergeCell ref="T318:U318"/>
    <mergeCell ref="B319:C319"/>
    <mergeCell ref="F319:G319"/>
    <mergeCell ref="I319:L319"/>
    <mergeCell ref="T319:U319"/>
    <mergeCell ref="B320:C320"/>
    <mergeCell ref="F320:G320"/>
    <mergeCell ref="I320:L320"/>
    <mergeCell ref="T320:U320"/>
    <mergeCell ref="B321:C321"/>
    <mergeCell ref="F321:G321"/>
    <mergeCell ref="I321:L321"/>
    <mergeCell ref="T321:U321"/>
    <mergeCell ref="B322:C322"/>
    <mergeCell ref="F322:G322"/>
    <mergeCell ref="I322:L322"/>
    <mergeCell ref="T322:U322"/>
    <mergeCell ref="B323:C323"/>
    <mergeCell ref="F323:G323"/>
    <mergeCell ref="I323:L323"/>
    <mergeCell ref="T323:U323"/>
    <mergeCell ref="B324:C324"/>
    <mergeCell ref="F324:G324"/>
    <mergeCell ref="I324:L324"/>
    <mergeCell ref="T324:U324"/>
    <mergeCell ref="B325:C325"/>
    <mergeCell ref="F325:G325"/>
    <mergeCell ref="I325:L325"/>
    <mergeCell ref="T325:U325"/>
    <mergeCell ref="B307:C307"/>
    <mergeCell ref="F307:G307"/>
    <mergeCell ref="I307:L307"/>
    <mergeCell ref="T307:U307"/>
    <mergeCell ref="B308:C308"/>
    <mergeCell ref="F308:G308"/>
    <mergeCell ref="I308:L308"/>
    <mergeCell ref="T308:U308"/>
    <mergeCell ref="B309:C309"/>
    <mergeCell ref="F309:G309"/>
    <mergeCell ref="I309:L309"/>
    <mergeCell ref="T309:U309"/>
    <mergeCell ref="B311:C311"/>
    <mergeCell ref="F311:G311"/>
    <mergeCell ref="I311:L311"/>
    <mergeCell ref="T311:U311"/>
    <mergeCell ref="B312:C312"/>
    <mergeCell ref="F312:G312"/>
    <mergeCell ref="I312:L312"/>
    <mergeCell ref="T312:U312"/>
    <mergeCell ref="B313:C313"/>
    <mergeCell ref="F313:G313"/>
    <mergeCell ref="I313:L313"/>
    <mergeCell ref="T313:U313"/>
    <mergeCell ref="B314:C314"/>
    <mergeCell ref="F314:G314"/>
    <mergeCell ref="I314:L314"/>
    <mergeCell ref="T314:U314"/>
    <mergeCell ref="B315:C315"/>
    <mergeCell ref="F315:G315"/>
    <mergeCell ref="I315:L315"/>
    <mergeCell ref="T315:U315"/>
    <mergeCell ref="B316:C316"/>
    <mergeCell ref="F316:G316"/>
    <mergeCell ref="I316:L316"/>
    <mergeCell ref="T316:U316"/>
    <mergeCell ref="B298:C298"/>
    <mergeCell ref="F298:G298"/>
    <mergeCell ref="I298:L298"/>
    <mergeCell ref="T298:U298"/>
    <mergeCell ref="B299:C299"/>
    <mergeCell ref="F299:G299"/>
    <mergeCell ref="I299:L299"/>
    <mergeCell ref="T299:U299"/>
    <mergeCell ref="B300:C300"/>
    <mergeCell ref="F300:G300"/>
    <mergeCell ref="I300:L300"/>
    <mergeCell ref="T300:U300"/>
    <mergeCell ref="B301:C301"/>
    <mergeCell ref="F301:G301"/>
    <mergeCell ref="I301:L301"/>
    <mergeCell ref="T301:U301"/>
    <mergeCell ref="B302:C302"/>
    <mergeCell ref="F302:G302"/>
    <mergeCell ref="I302:L302"/>
    <mergeCell ref="T302:U302"/>
    <mergeCell ref="B303:C303"/>
    <mergeCell ref="F303:G303"/>
    <mergeCell ref="I303:L303"/>
    <mergeCell ref="T303:U303"/>
    <mergeCell ref="B304:C304"/>
    <mergeCell ref="F304:G304"/>
    <mergeCell ref="I304:L304"/>
    <mergeCell ref="T304:U304"/>
    <mergeCell ref="B305:C305"/>
    <mergeCell ref="F305:G305"/>
    <mergeCell ref="I305:L305"/>
    <mergeCell ref="T305:U305"/>
    <mergeCell ref="B306:C306"/>
    <mergeCell ref="F306:G306"/>
    <mergeCell ref="I306:L306"/>
    <mergeCell ref="T306:U306"/>
    <mergeCell ref="B289:C289"/>
    <mergeCell ref="F289:G289"/>
    <mergeCell ref="I289:L289"/>
    <mergeCell ref="T289:U289"/>
    <mergeCell ref="B290:C290"/>
    <mergeCell ref="F290:G290"/>
    <mergeCell ref="I290:L290"/>
    <mergeCell ref="T290:U290"/>
    <mergeCell ref="B291:C291"/>
    <mergeCell ref="F291:G291"/>
    <mergeCell ref="I291:L291"/>
    <mergeCell ref="T291:U291"/>
    <mergeCell ref="B292:C292"/>
    <mergeCell ref="F292:G292"/>
    <mergeCell ref="I292:L292"/>
    <mergeCell ref="T292:U292"/>
    <mergeCell ref="B293:C293"/>
    <mergeCell ref="F293:G293"/>
    <mergeCell ref="I293:L293"/>
    <mergeCell ref="T293:U293"/>
    <mergeCell ref="B294:C294"/>
    <mergeCell ref="F294:G294"/>
    <mergeCell ref="I294:L294"/>
    <mergeCell ref="T294:U294"/>
    <mergeCell ref="B295:C295"/>
    <mergeCell ref="F295:G295"/>
    <mergeCell ref="I295:L295"/>
    <mergeCell ref="T295:U295"/>
    <mergeCell ref="B296:C296"/>
    <mergeCell ref="F296:G296"/>
    <mergeCell ref="I296:L296"/>
    <mergeCell ref="T296:U296"/>
    <mergeCell ref="B297:C297"/>
    <mergeCell ref="F297:G297"/>
    <mergeCell ref="I297:L297"/>
    <mergeCell ref="T297:U297"/>
    <mergeCell ref="B280:C280"/>
    <mergeCell ref="F280:G280"/>
    <mergeCell ref="I280:L280"/>
    <mergeCell ref="T280:U280"/>
    <mergeCell ref="B281:C281"/>
    <mergeCell ref="F281:G281"/>
    <mergeCell ref="I281:L281"/>
    <mergeCell ref="T281:U281"/>
    <mergeCell ref="B282:C282"/>
    <mergeCell ref="F282:G282"/>
    <mergeCell ref="I282:L282"/>
    <mergeCell ref="T282:U282"/>
    <mergeCell ref="B283:C283"/>
    <mergeCell ref="F283:G283"/>
    <mergeCell ref="I283:L283"/>
    <mergeCell ref="T283:U283"/>
    <mergeCell ref="B284:C284"/>
    <mergeCell ref="F284:G284"/>
    <mergeCell ref="I284:L284"/>
    <mergeCell ref="T284:U284"/>
    <mergeCell ref="B285:C285"/>
    <mergeCell ref="F285:G285"/>
    <mergeCell ref="I285:L285"/>
    <mergeCell ref="T285:U285"/>
    <mergeCell ref="B286:C286"/>
    <mergeCell ref="F286:G286"/>
    <mergeCell ref="I286:L286"/>
    <mergeCell ref="T286:U286"/>
    <mergeCell ref="B287:C287"/>
    <mergeCell ref="F287:G287"/>
    <mergeCell ref="I287:L287"/>
    <mergeCell ref="T287:U287"/>
    <mergeCell ref="B288:C288"/>
    <mergeCell ref="F288:G288"/>
    <mergeCell ref="I288:L288"/>
    <mergeCell ref="T288:U288"/>
    <mergeCell ref="B271:C271"/>
    <mergeCell ref="F271:G271"/>
    <mergeCell ref="I271:L271"/>
    <mergeCell ref="T271:U271"/>
    <mergeCell ref="B272:C272"/>
    <mergeCell ref="F272:G272"/>
    <mergeCell ref="I272:L272"/>
    <mergeCell ref="T272:U272"/>
    <mergeCell ref="B273:C273"/>
    <mergeCell ref="F273:G273"/>
    <mergeCell ref="I273:L273"/>
    <mergeCell ref="T273:U273"/>
    <mergeCell ref="B274:C274"/>
    <mergeCell ref="F274:G274"/>
    <mergeCell ref="I274:L274"/>
    <mergeCell ref="T274:U274"/>
    <mergeCell ref="B275:C275"/>
    <mergeCell ref="F275:G275"/>
    <mergeCell ref="I275:L275"/>
    <mergeCell ref="T275:U275"/>
    <mergeCell ref="B276:C276"/>
    <mergeCell ref="F276:G276"/>
    <mergeCell ref="I276:L276"/>
    <mergeCell ref="T276:U276"/>
    <mergeCell ref="B277:C277"/>
    <mergeCell ref="F277:G277"/>
    <mergeCell ref="I277:L277"/>
    <mergeCell ref="T277:U277"/>
    <mergeCell ref="B278:C278"/>
    <mergeCell ref="F278:G278"/>
    <mergeCell ref="I278:L278"/>
    <mergeCell ref="T278:U278"/>
    <mergeCell ref="B279:C279"/>
    <mergeCell ref="F279:G279"/>
    <mergeCell ref="I279:L279"/>
    <mergeCell ref="T279:U279"/>
    <mergeCell ref="B262:C262"/>
    <mergeCell ref="F262:G262"/>
    <mergeCell ref="I262:L262"/>
    <mergeCell ref="T262:U262"/>
    <mergeCell ref="B263:C263"/>
    <mergeCell ref="F263:G263"/>
    <mergeCell ref="I263:L263"/>
    <mergeCell ref="T263:U263"/>
    <mergeCell ref="B264:C264"/>
    <mergeCell ref="F264:G264"/>
    <mergeCell ref="I264:L264"/>
    <mergeCell ref="T264:U264"/>
    <mergeCell ref="B265:C265"/>
    <mergeCell ref="F265:G265"/>
    <mergeCell ref="I265:L265"/>
    <mergeCell ref="T265:U265"/>
    <mergeCell ref="B266:C266"/>
    <mergeCell ref="F266:G266"/>
    <mergeCell ref="I266:L266"/>
    <mergeCell ref="T266:U266"/>
    <mergeCell ref="B267:C267"/>
    <mergeCell ref="F267:G267"/>
    <mergeCell ref="I267:L267"/>
    <mergeCell ref="T267:U267"/>
    <mergeCell ref="B268:C268"/>
    <mergeCell ref="F268:G268"/>
    <mergeCell ref="I268:L268"/>
    <mergeCell ref="T268:U268"/>
    <mergeCell ref="B269:C269"/>
    <mergeCell ref="F269:G269"/>
    <mergeCell ref="I269:L269"/>
    <mergeCell ref="T269:U269"/>
    <mergeCell ref="B270:C270"/>
    <mergeCell ref="F270:G270"/>
    <mergeCell ref="I270:L270"/>
    <mergeCell ref="T270:U270"/>
    <mergeCell ref="B253:C253"/>
    <mergeCell ref="F253:G253"/>
    <mergeCell ref="I253:L253"/>
    <mergeCell ref="T253:U253"/>
    <mergeCell ref="B254:C254"/>
    <mergeCell ref="F254:G254"/>
    <mergeCell ref="I254:L254"/>
    <mergeCell ref="T254:U254"/>
    <mergeCell ref="B255:C255"/>
    <mergeCell ref="F255:G255"/>
    <mergeCell ref="I255:L255"/>
    <mergeCell ref="T255:U255"/>
    <mergeCell ref="B256:C256"/>
    <mergeCell ref="F256:G256"/>
    <mergeCell ref="I256:L256"/>
    <mergeCell ref="T256:U256"/>
    <mergeCell ref="B257:C257"/>
    <mergeCell ref="F257:G257"/>
    <mergeCell ref="I257:L257"/>
    <mergeCell ref="T257:U257"/>
    <mergeCell ref="B258:C258"/>
    <mergeCell ref="F258:G258"/>
    <mergeCell ref="I258:L258"/>
    <mergeCell ref="T258:U258"/>
    <mergeCell ref="B259:C259"/>
    <mergeCell ref="F259:G259"/>
    <mergeCell ref="I259:L259"/>
    <mergeCell ref="T259:U259"/>
    <mergeCell ref="B260:C260"/>
    <mergeCell ref="F260:G260"/>
    <mergeCell ref="I260:L260"/>
    <mergeCell ref="T260:U260"/>
    <mergeCell ref="B261:C261"/>
    <mergeCell ref="F261:G261"/>
    <mergeCell ref="I261:L261"/>
    <mergeCell ref="T261:U261"/>
    <mergeCell ref="B244:C244"/>
    <mergeCell ref="F244:G244"/>
    <mergeCell ref="I244:L244"/>
    <mergeCell ref="T244:U244"/>
    <mergeCell ref="B245:C245"/>
    <mergeCell ref="F245:G245"/>
    <mergeCell ref="I245:L245"/>
    <mergeCell ref="T245:U245"/>
    <mergeCell ref="B246:C246"/>
    <mergeCell ref="F246:G246"/>
    <mergeCell ref="I246:L246"/>
    <mergeCell ref="T246:U246"/>
    <mergeCell ref="B247:C247"/>
    <mergeCell ref="F247:G247"/>
    <mergeCell ref="I247:L247"/>
    <mergeCell ref="T247:U247"/>
    <mergeCell ref="B248:C248"/>
    <mergeCell ref="F248:G248"/>
    <mergeCell ref="I248:L248"/>
    <mergeCell ref="T248:U248"/>
    <mergeCell ref="B249:C249"/>
    <mergeCell ref="F249:G249"/>
    <mergeCell ref="I249:L249"/>
    <mergeCell ref="T249:U249"/>
    <mergeCell ref="B250:C250"/>
    <mergeCell ref="F250:G250"/>
    <mergeCell ref="I250:L250"/>
    <mergeCell ref="T250:U250"/>
    <mergeCell ref="B251:C251"/>
    <mergeCell ref="F251:G251"/>
    <mergeCell ref="I251:L251"/>
    <mergeCell ref="T251:U251"/>
    <mergeCell ref="B252:C252"/>
    <mergeCell ref="F252:G252"/>
    <mergeCell ref="I252:L252"/>
    <mergeCell ref="T252:U252"/>
    <mergeCell ref="B235:C235"/>
    <mergeCell ref="F235:G235"/>
    <mergeCell ref="I235:L235"/>
    <mergeCell ref="T235:U235"/>
    <mergeCell ref="B236:C236"/>
    <mergeCell ref="F236:G236"/>
    <mergeCell ref="I236:L236"/>
    <mergeCell ref="T236:U236"/>
    <mergeCell ref="B237:C237"/>
    <mergeCell ref="F237:G237"/>
    <mergeCell ref="I237:L237"/>
    <mergeCell ref="T237:U237"/>
    <mergeCell ref="B238:C238"/>
    <mergeCell ref="F238:G238"/>
    <mergeCell ref="I238:L238"/>
    <mergeCell ref="T238:U238"/>
    <mergeCell ref="B239:C239"/>
    <mergeCell ref="F239:G239"/>
    <mergeCell ref="I239:L239"/>
    <mergeCell ref="T239:U239"/>
    <mergeCell ref="B240:C240"/>
    <mergeCell ref="F240:G240"/>
    <mergeCell ref="I240:L240"/>
    <mergeCell ref="T240:U240"/>
    <mergeCell ref="B241:C241"/>
    <mergeCell ref="F241:G241"/>
    <mergeCell ref="I241:L241"/>
    <mergeCell ref="T241:U241"/>
    <mergeCell ref="B242:C242"/>
    <mergeCell ref="F242:G242"/>
    <mergeCell ref="I242:L242"/>
    <mergeCell ref="T242:U242"/>
    <mergeCell ref="B243:C243"/>
    <mergeCell ref="F243:G243"/>
    <mergeCell ref="I243:L243"/>
    <mergeCell ref="T243:U243"/>
    <mergeCell ref="B220:C220"/>
    <mergeCell ref="F220:G221"/>
    <mergeCell ref="I220:L220"/>
    <mergeCell ref="T220:U220"/>
    <mergeCell ref="B222:C222"/>
    <mergeCell ref="F222:G222"/>
    <mergeCell ref="I222:L222"/>
    <mergeCell ref="T222:U222"/>
    <mergeCell ref="B223:C223"/>
    <mergeCell ref="F223:G224"/>
    <mergeCell ref="I223:L223"/>
    <mergeCell ref="T223:U223"/>
    <mergeCell ref="B225:C225"/>
    <mergeCell ref="F225:G226"/>
    <mergeCell ref="I225:L225"/>
    <mergeCell ref="T225:U225"/>
    <mergeCell ref="B227:C227"/>
    <mergeCell ref="F227:G228"/>
    <mergeCell ref="I227:L227"/>
    <mergeCell ref="T227:U227"/>
    <mergeCell ref="B229:C229"/>
    <mergeCell ref="F229:G230"/>
    <mergeCell ref="I229:L229"/>
    <mergeCell ref="T229:U229"/>
    <mergeCell ref="B231:C231"/>
    <mergeCell ref="F231:G231"/>
    <mergeCell ref="I231:L231"/>
    <mergeCell ref="T231:U231"/>
    <mergeCell ref="B232:C232"/>
    <mergeCell ref="F232:G233"/>
    <mergeCell ref="I232:L232"/>
    <mergeCell ref="T232:U232"/>
    <mergeCell ref="B234:C234"/>
    <mergeCell ref="F234:G234"/>
    <mergeCell ref="I234:L234"/>
    <mergeCell ref="T234:U234"/>
    <mergeCell ref="B206:C206"/>
    <mergeCell ref="F206:G207"/>
    <mergeCell ref="I206:L206"/>
    <mergeCell ref="T206:U206"/>
    <mergeCell ref="B208:C208"/>
    <mergeCell ref="F208:G209"/>
    <mergeCell ref="I208:L208"/>
    <mergeCell ref="T208:U208"/>
    <mergeCell ref="B210:C210"/>
    <mergeCell ref="F210:G211"/>
    <mergeCell ref="I210:L210"/>
    <mergeCell ref="T210:U210"/>
    <mergeCell ref="B212:C212"/>
    <mergeCell ref="F212:G212"/>
    <mergeCell ref="I212:L212"/>
    <mergeCell ref="T212:U212"/>
    <mergeCell ref="B213:C213"/>
    <mergeCell ref="F213:G214"/>
    <mergeCell ref="I213:L213"/>
    <mergeCell ref="T213:U213"/>
    <mergeCell ref="B215:C215"/>
    <mergeCell ref="F215:G215"/>
    <mergeCell ref="I215:L215"/>
    <mergeCell ref="T215:U215"/>
    <mergeCell ref="B216:C216"/>
    <mergeCell ref="F216:G216"/>
    <mergeCell ref="I216:L216"/>
    <mergeCell ref="T216:U216"/>
    <mergeCell ref="B217:C217"/>
    <mergeCell ref="F217:G217"/>
    <mergeCell ref="I217:L217"/>
    <mergeCell ref="T217:U217"/>
    <mergeCell ref="B218:C218"/>
    <mergeCell ref="F218:G219"/>
    <mergeCell ref="I218:L218"/>
    <mergeCell ref="T218:U218"/>
    <mergeCell ref="B195:C195"/>
    <mergeCell ref="F195:G195"/>
    <mergeCell ref="I195:L195"/>
    <mergeCell ref="T195:U195"/>
    <mergeCell ref="B196:C196"/>
    <mergeCell ref="F196:G196"/>
    <mergeCell ref="I196:L196"/>
    <mergeCell ref="T196:U196"/>
    <mergeCell ref="B197:C197"/>
    <mergeCell ref="F197:G197"/>
    <mergeCell ref="I197:L197"/>
    <mergeCell ref="T197:U197"/>
    <mergeCell ref="B198:C198"/>
    <mergeCell ref="F198:G198"/>
    <mergeCell ref="I198:L198"/>
    <mergeCell ref="T198:U198"/>
    <mergeCell ref="B199:C199"/>
    <mergeCell ref="F199:G199"/>
    <mergeCell ref="I199:L199"/>
    <mergeCell ref="T199:U199"/>
    <mergeCell ref="B200:C200"/>
    <mergeCell ref="F200:G200"/>
    <mergeCell ref="I200:L200"/>
    <mergeCell ref="T200:U200"/>
    <mergeCell ref="B201:C201"/>
    <mergeCell ref="F201:G202"/>
    <mergeCell ref="I201:L201"/>
    <mergeCell ref="T201:U201"/>
    <mergeCell ref="B203:C203"/>
    <mergeCell ref="F203:G203"/>
    <mergeCell ref="I203:L203"/>
    <mergeCell ref="T203:U203"/>
    <mergeCell ref="B204:C204"/>
    <mergeCell ref="F204:G205"/>
    <mergeCell ref="I204:L204"/>
    <mergeCell ref="T204:U204"/>
    <mergeCell ref="B185:C185"/>
    <mergeCell ref="F185:G185"/>
    <mergeCell ref="I185:L185"/>
    <mergeCell ref="T185:U185"/>
    <mergeCell ref="B186:C186"/>
    <mergeCell ref="F186:G186"/>
    <mergeCell ref="I186:L186"/>
    <mergeCell ref="T186:U186"/>
    <mergeCell ref="B187:C187"/>
    <mergeCell ref="F187:G188"/>
    <mergeCell ref="I187:L187"/>
    <mergeCell ref="T187:U187"/>
    <mergeCell ref="B189:C189"/>
    <mergeCell ref="F189:G189"/>
    <mergeCell ref="I189:L189"/>
    <mergeCell ref="T189:U189"/>
    <mergeCell ref="B190:C190"/>
    <mergeCell ref="F190:G190"/>
    <mergeCell ref="I190:L190"/>
    <mergeCell ref="T190:U190"/>
    <mergeCell ref="B191:C191"/>
    <mergeCell ref="F191:G191"/>
    <mergeCell ref="I191:L191"/>
    <mergeCell ref="T191:U191"/>
    <mergeCell ref="B192:C192"/>
    <mergeCell ref="F192:G192"/>
    <mergeCell ref="I192:L192"/>
    <mergeCell ref="T192:U192"/>
    <mergeCell ref="B193:C193"/>
    <mergeCell ref="F193:G193"/>
    <mergeCell ref="I193:L193"/>
    <mergeCell ref="T193:U193"/>
    <mergeCell ref="B194:C194"/>
    <mergeCell ref="F194:G194"/>
    <mergeCell ref="I194:L194"/>
    <mergeCell ref="T194:U194"/>
    <mergeCell ref="B176:C176"/>
    <mergeCell ref="F176:G176"/>
    <mergeCell ref="I176:L176"/>
    <mergeCell ref="T176:U176"/>
    <mergeCell ref="B177:C177"/>
    <mergeCell ref="F177:G177"/>
    <mergeCell ref="I177:L177"/>
    <mergeCell ref="T177:U177"/>
    <mergeCell ref="B178:C178"/>
    <mergeCell ref="F178:G178"/>
    <mergeCell ref="I178:L178"/>
    <mergeCell ref="T178:U178"/>
    <mergeCell ref="B179:C179"/>
    <mergeCell ref="F179:G179"/>
    <mergeCell ref="I179:L179"/>
    <mergeCell ref="T179:U179"/>
    <mergeCell ref="B180:C180"/>
    <mergeCell ref="F180:G180"/>
    <mergeCell ref="I180:L180"/>
    <mergeCell ref="T180:U180"/>
    <mergeCell ref="B181:C181"/>
    <mergeCell ref="F181:G181"/>
    <mergeCell ref="I181:L181"/>
    <mergeCell ref="T181:U181"/>
    <mergeCell ref="B182:C182"/>
    <mergeCell ref="F182:G182"/>
    <mergeCell ref="I182:L182"/>
    <mergeCell ref="T182:U182"/>
    <mergeCell ref="B183:C183"/>
    <mergeCell ref="F183:G183"/>
    <mergeCell ref="I183:L183"/>
    <mergeCell ref="T183:U183"/>
    <mergeCell ref="B184:C184"/>
    <mergeCell ref="F184:G184"/>
    <mergeCell ref="I184:L184"/>
    <mergeCell ref="T184:U184"/>
    <mergeCell ref="B166:C166"/>
    <mergeCell ref="F166:G166"/>
    <mergeCell ref="I166:L166"/>
    <mergeCell ref="T166:U166"/>
    <mergeCell ref="B167:C167"/>
    <mergeCell ref="F167:G167"/>
    <mergeCell ref="I167:L167"/>
    <mergeCell ref="T167:U167"/>
    <mergeCell ref="B168:C168"/>
    <mergeCell ref="F168:G168"/>
    <mergeCell ref="I168:L168"/>
    <mergeCell ref="T168:U168"/>
    <mergeCell ref="B169:C169"/>
    <mergeCell ref="F169:G169"/>
    <mergeCell ref="I169:L169"/>
    <mergeCell ref="T169:U169"/>
    <mergeCell ref="B170:C170"/>
    <mergeCell ref="F170:G170"/>
    <mergeCell ref="I170:L170"/>
    <mergeCell ref="T170:U170"/>
    <mergeCell ref="B171:C171"/>
    <mergeCell ref="F171:G171"/>
    <mergeCell ref="I171:L171"/>
    <mergeCell ref="T171:U171"/>
    <mergeCell ref="B173:C173"/>
    <mergeCell ref="F173:G173"/>
    <mergeCell ref="I173:L173"/>
    <mergeCell ref="T173:U173"/>
    <mergeCell ref="B174:C174"/>
    <mergeCell ref="F174:G174"/>
    <mergeCell ref="I174:L174"/>
    <mergeCell ref="T174:U174"/>
    <mergeCell ref="B175:C175"/>
    <mergeCell ref="F175:G175"/>
    <mergeCell ref="I175:L175"/>
    <mergeCell ref="T175:U175"/>
    <mergeCell ref="B156:C156"/>
    <mergeCell ref="F156:G157"/>
    <mergeCell ref="I156:L156"/>
    <mergeCell ref="T156:U156"/>
    <mergeCell ref="B158:C158"/>
    <mergeCell ref="F158:G158"/>
    <mergeCell ref="I158:L158"/>
    <mergeCell ref="T158:U158"/>
    <mergeCell ref="B159:C159"/>
    <mergeCell ref="F159:G159"/>
    <mergeCell ref="I159:L159"/>
    <mergeCell ref="T159:U159"/>
    <mergeCell ref="B160:C160"/>
    <mergeCell ref="F160:G160"/>
    <mergeCell ref="I160:L160"/>
    <mergeCell ref="T160:U160"/>
    <mergeCell ref="B161:C161"/>
    <mergeCell ref="F161:G161"/>
    <mergeCell ref="I161:L161"/>
    <mergeCell ref="T161:U161"/>
    <mergeCell ref="B162:C162"/>
    <mergeCell ref="F162:G162"/>
    <mergeCell ref="I162:L162"/>
    <mergeCell ref="T162:U162"/>
    <mergeCell ref="B163:C163"/>
    <mergeCell ref="F163:G163"/>
    <mergeCell ref="I163:L163"/>
    <mergeCell ref="T163:U163"/>
    <mergeCell ref="B164:C164"/>
    <mergeCell ref="F164:G164"/>
    <mergeCell ref="I164:L164"/>
    <mergeCell ref="T164:U164"/>
    <mergeCell ref="B165:C165"/>
    <mergeCell ref="F165:G165"/>
    <mergeCell ref="I165:L165"/>
    <mergeCell ref="T165:U165"/>
    <mergeCell ref="B146:C146"/>
    <mergeCell ref="F146:G146"/>
    <mergeCell ref="I146:L146"/>
    <mergeCell ref="T146:U146"/>
    <mergeCell ref="B147:C147"/>
    <mergeCell ref="F147:G148"/>
    <mergeCell ref="I147:L147"/>
    <mergeCell ref="T147:U147"/>
    <mergeCell ref="B149:C149"/>
    <mergeCell ref="F149:G149"/>
    <mergeCell ref="I149:L149"/>
    <mergeCell ref="T149:U149"/>
    <mergeCell ref="B150:C150"/>
    <mergeCell ref="F150:G150"/>
    <mergeCell ref="I150:L150"/>
    <mergeCell ref="T150:U150"/>
    <mergeCell ref="B151:C151"/>
    <mergeCell ref="F151:G151"/>
    <mergeCell ref="I151:L151"/>
    <mergeCell ref="T151:U151"/>
    <mergeCell ref="B152:C152"/>
    <mergeCell ref="F152:G152"/>
    <mergeCell ref="I152:L152"/>
    <mergeCell ref="T152:U152"/>
    <mergeCell ref="B153:C153"/>
    <mergeCell ref="F153:G153"/>
    <mergeCell ref="I153:L153"/>
    <mergeCell ref="T153:U153"/>
    <mergeCell ref="B154:C154"/>
    <mergeCell ref="F154:G154"/>
    <mergeCell ref="I154:L154"/>
    <mergeCell ref="T154:U154"/>
    <mergeCell ref="B155:C155"/>
    <mergeCell ref="F155:G155"/>
    <mergeCell ref="I155:L155"/>
    <mergeCell ref="T155:U155"/>
    <mergeCell ref="B136:C136"/>
    <mergeCell ref="F136:G136"/>
    <mergeCell ref="I136:L136"/>
    <mergeCell ref="T136:U136"/>
    <mergeCell ref="B137:C137"/>
    <mergeCell ref="F137:G137"/>
    <mergeCell ref="I137:L137"/>
    <mergeCell ref="T137:U137"/>
    <mergeCell ref="B138:C138"/>
    <mergeCell ref="F138:G138"/>
    <mergeCell ref="I138:L138"/>
    <mergeCell ref="T138:U138"/>
    <mergeCell ref="B139:C139"/>
    <mergeCell ref="F139:G139"/>
    <mergeCell ref="I139:L139"/>
    <mergeCell ref="T139:U139"/>
    <mergeCell ref="B140:C140"/>
    <mergeCell ref="F140:G140"/>
    <mergeCell ref="I140:L140"/>
    <mergeCell ref="T140:U140"/>
    <mergeCell ref="B141:C141"/>
    <mergeCell ref="F141:G141"/>
    <mergeCell ref="I141:L141"/>
    <mergeCell ref="T141:U141"/>
    <mergeCell ref="B142:C142"/>
    <mergeCell ref="F142:G142"/>
    <mergeCell ref="I142:L142"/>
    <mergeCell ref="T142:U142"/>
    <mergeCell ref="B143:C143"/>
    <mergeCell ref="F143:G143"/>
    <mergeCell ref="I143:L143"/>
    <mergeCell ref="T143:U143"/>
    <mergeCell ref="B144:C144"/>
    <mergeCell ref="F144:G145"/>
    <mergeCell ref="I144:L144"/>
    <mergeCell ref="T144:U144"/>
    <mergeCell ref="B127:C127"/>
    <mergeCell ref="F127:G127"/>
    <mergeCell ref="I127:L127"/>
    <mergeCell ref="T127:U127"/>
    <mergeCell ref="B128:C128"/>
    <mergeCell ref="F128:G128"/>
    <mergeCell ref="I128:L128"/>
    <mergeCell ref="T128:U128"/>
    <mergeCell ref="B129:C129"/>
    <mergeCell ref="F129:G129"/>
    <mergeCell ref="I129:L129"/>
    <mergeCell ref="T129:U129"/>
    <mergeCell ref="B130:C130"/>
    <mergeCell ref="F130:G130"/>
    <mergeCell ref="I130:L130"/>
    <mergeCell ref="T130:U130"/>
    <mergeCell ref="B131:C131"/>
    <mergeCell ref="F131:G131"/>
    <mergeCell ref="I131:L131"/>
    <mergeCell ref="T131:U131"/>
    <mergeCell ref="B132:C132"/>
    <mergeCell ref="F132:G132"/>
    <mergeCell ref="I132:L132"/>
    <mergeCell ref="T132:U132"/>
    <mergeCell ref="B133:C133"/>
    <mergeCell ref="F133:G133"/>
    <mergeCell ref="I133:L133"/>
    <mergeCell ref="T133:U133"/>
    <mergeCell ref="B134:C134"/>
    <mergeCell ref="F134:G134"/>
    <mergeCell ref="I134:L134"/>
    <mergeCell ref="T134:U134"/>
    <mergeCell ref="B135:C135"/>
    <mergeCell ref="F135:G135"/>
    <mergeCell ref="I135:L135"/>
    <mergeCell ref="T135:U135"/>
    <mergeCell ref="B118:C118"/>
    <mergeCell ref="F118:G118"/>
    <mergeCell ref="I118:L118"/>
    <mergeCell ref="T118:U118"/>
    <mergeCell ref="B119:C119"/>
    <mergeCell ref="F119:G119"/>
    <mergeCell ref="I119:L119"/>
    <mergeCell ref="T119:U119"/>
    <mergeCell ref="B120:C120"/>
    <mergeCell ref="F120:G120"/>
    <mergeCell ref="I120:L120"/>
    <mergeCell ref="T120:U120"/>
    <mergeCell ref="B121:C121"/>
    <mergeCell ref="F121:G121"/>
    <mergeCell ref="I121:L121"/>
    <mergeCell ref="T121:U121"/>
    <mergeCell ref="B122:C122"/>
    <mergeCell ref="F122:G122"/>
    <mergeCell ref="I122:L122"/>
    <mergeCell ref="T122:U122"/>
    <mergeCell ref="B123:C123"/>
    <mergeCell ref="F123:G123"/>
    <mergeCell ref="I123:L123"/>
    <mergeCell ref="T123:U123"/>
    <mergeCell ref="B124:C124"/>
    <mergeCell ref="F124:G124"/>
    <mergeCell ref="I124:L124"/>
    <mergeCell ref="T124:U124"/>
    <mergeCell ref="B125:C125"/>
    <mergeCell ref="F125:G125"/>
    <mergeCell ref="I125:L125"/>
    <mergeCell ref="T125:U125"/>
    <mergeCell ref="B126:C126"/>
    <mergeCell ref="F126:G126"/>
    <mergeCell ref="I126:L126"/>
    <mergeCell ref="T126:U126"/>
    <mergeCell ref="B109:C109"/>
    <mergeCell ref="F109:G109"/>
    <mergeCell ref="I109:L109"/>
    <mergeCell ref="T109:U109"/>
    <mergeCell ref="B110:C110"/>
    <mergeCell ref="F110:G110"/>
    <mergeCell ref="I110:L110"/>
    <mergeCell ref="T110:U110"/>
    <mergeCell ref="B111:C111"/>
    <mergeCell ref="F111:G111"/>
    <mergeCell ref="I111:L111"/>
    <mergeCell ref="T111:U111"/>
    <mergeCell ref="B112:C112"/>
    <mergeCell ref="F112:G112"/>
    <mergeCell ref="I112:L112"/>
    <mergeCell ref="T112:U112"/>
    <mergeCell ref="B113:C113"/>
    <mergeCell ref="F113:G113"/>
    <mergeCell ref="I113:L113"/>
    <mergeCell ref="T113:U113"/>
    <mergeCell ref="B114:C114"/>
    <mergeCell ref="F114:G114"/>
    <mergeCell ref="I114:L114"/>
    <mergeCell ref="T114:U114"/>
    <mergeCell ref="B115:C115"/>
    <mergeCell ref="F115:G115"/>
    <mergeCell ref="I115:L115"/>
    <mergeCell ref="T115:U115"/>
    <mergeCell ref="B116:C116"/>
    <mergeCell ref="F116:G116"/>
    <mergeCell ref="I116:L116"/>
    <mergeCell ref="T116:U116"/>
    <mergeCell ref="B117:C117"/>
    <mergeCell ref="F117:G117"/>
    <mergeCell ref="I117:L117"/>
    <mergeCell ref="T117:U117"/>
    <mergeCell ref="B99:C99"/>
    <mergeCell ref="F99:G99"/>
    <mergeCell ref="I99:L99"/>
    <mergeCell ref="T99:U99"/>
    <mergeCell ref="B100:C100"/>
    <mergeCell ref="F100:G100"/>
    <mergeCell ref="I100:L100"/>
    <mergeCell ref="T100:U100"/>
    <mergeCell ref="B101:C101"/>
    <mergeCell ref="F101:G101"/>
    <mergeCell ref="I101:L101"/>
    <mergeCell ref="T101:U101"/>
    <mergeCell ref="B102:C102"/>
    <mergeCell ref="F102:G102"/>
    <mergeCell ref="I102:L102"/>
    <mergeCell ref="T102:U102"/>
    <mergeCell ref="B104:C104"/>
    <mergeCell ref="F104:G104"/>
    <mergeCell ref="I104:L104"/>
    <mergeCell ref="T104:U104"/>
    <mergeCell ref="B105:C105"/>
    <mergeCell ref="F105:G105"/>
    <mergeCell ref="I105:L105"/>
    <mergeCell ref="T105:U105"/>
    <mergeCell ref="B106:C106"/>
    <mergeCell ref="F106:G106"/>
    <mergeCell ref="I106:L106"/>
    <mergeCell ref="T106:U106"/>
    <mergeCell ref="B107:C107"/>
    <mergeCell ref="F107:G107"/>
    <mergeCell ref="I107:L107"/>
    <mergeCell ref="T107:U107"/>
    <mergeCell ref="B108:C108"/>
    <mergeCell ref="F108:G108"/>
    <mergeCell ref="I108:L108"/>
    <mergeCell ref="T108:U108"/>
    <mergeCell ref="B90:C90"/>
    <mergeCell ref="F90:G90"/>
    <mergeCell ref="I90:L90"/>
    <mergeCell ref="T90:U90"/>
    <mergeCell ref="B91:C91"/>
    <mergeCell ref="F91:G91"/>
    <mergeCell ref="I91:L91"/>
    <mergeCell ref="T91:U91"/>
    <mergeCell ref="B92:C92"/>
    <mergeCell ref="F92:G92"/>
    <mergeCell ref="I92:L92"/>
    <mergeCell ref="T92:U92"/>
    <mergeCell ref="B93:C93"/>
    <mergeCell ref="F93:G93"/>
    <mergeCell ref="I93:L93"/>
    <mergeCell ref="T93:U93"/>
    <mergeCell ref="B94:C94"/>
    <mergeCell ref="F94:G94"/>
    <mergeCell ref="I94:L94"/>
    <mergeCell ref="T94:U94"/>
    <mergeCell ref="B95:C95"/>
    <mergeCell ref="F95:G95"/>
    <mergeCell ref="I95:L95"/>
    <mergeCell ref="T95:U95"/>
    <mergeCell ref="B96:C96"/>
    <mergeCell ref="F96:G96"/>
    <mergeCell ref="I96:L96"/>
    <mergeCell ref="T96:U96"/>
    <mergeCell ref="B97:C97"/>
    <mergeCell ref="F97:G97"/>
    <mergeCell ref="I97:L97"/>
    <mergeCell ref="T97:U97"/>
    <mergeCell ref="B98:C98"/>
    <mergeCell ref="F98:G98"/>
    <mergeCell ref="I98:L98"/>
    <mergeCell ref="T98:U98"/>
    <mergeCell ref="B81:C81"/>
    <mergeCell ref="F81:G81"/>
    <mergeCell ref="I81:L81"/>
    <mergeCell ref="T81:U81"/>
    <mergeCell ref="B82:C82"/>
    <mergeCell ref="F82:G82"/>
    <mergeCell ref="I82:L82"/>
    <mergeCell ref="T82:U82"/>
    <mergeCell ref="B83:C83"/>
    <mergeCell ref="F83:G83"/>
    <mergeCell ref="I83:L83"/>
    <mergeCell ref="T83:U83"/>
    <mergeCell ref="B84:C84"/>
    <mergeCell ref="F84:G84"/>
    <mergeCell ref="I84:L84"/>
    <mergeCell ref="T84:U84"/>
    <mergeCell ref="B85:C85"/>
    <mergeCell ref="F85:G85"/>
    <mergeCell ref="I85:L85"/>
    <mergeCell ref="T85:U85"/>
    <mergeCell ref="B86:C86"/>
    <mergeCell ref="F86:G86"/>
    <mergeCell ref="I86:L86"/>
    <mergeCell ref="T86:U86"/>
    <mergeCell ref="B87:C87"/>
    <mergeCell ref="F87:G87"/>
    <mergeCell ref="I87:L87"/>
    <mergeCell ref="T87:U87"/>
    <mergeCell ref="B88:C88"/>
    <mergeCell ref="F88:G88"/>
    <mergeCell ref="I88:L88"/>
    <mergeCell ref="T88:U88"/>
    <mergeCell ref="B89:C89"/>
    <mergeCell ref="F89:G89"/>
    <mergeCell ref="I89:L89"/>
    <mergeCell ref="T89:U89"/>
    <mergeCell ref="B72:C72"/>
    <mergeCell ref="F72:G72"/>
    <mergeCell ref="I72:L72"/>
    <mergeCell ref="T72:U72"/>
    <mergeCell ref="B73:C73"/>
    <mergeCell ref="F73:G73"/>
    <mergeCell ref="I73:L73"/>
    <mergeCell ref="T73:U73"/>
    <mergeCell ref="B74:C74"/>
    <mergeCell ref="F74:G74"/>
    <mergeCell ref="I74:L74"/>
    <mergeCell ref="T74:U74"/>
    <mergeCell ref="B75:C75"/>
    <mergeCell ref="F75:G75"/>
    <mergeCell ref="I75:L75"/>
    <mergeCell ref="T75:U75"/>
    <mergeCell ref="B76:C76"/>
    <mergeCell ref="F76:G76"/>
    <mergeCell ref="I76:L76"/>
    <mergeCell ref="T76:U76"/>
    <mergeCell ref="B77:C77"/>
    <mergeCell ref="F77:G77"/>
    <mergeCell ref="I77:L77"/>
    <mergeCell ref="T77:U77"/>
    <mergeCell ref="B78:C78"/>
    <mergeCell ref="F78:G78"/>
    <mergeCell ref="I78:L78"/>
    <mergeCell ref="T78:U78"/>
    <mergeCell ref="B79:C79"/>
    <mergeCell ref="F79:G79"/>
    <mergeCell ref="I79:L79"/>
    <mergeCell ref="T79:U79"/>
    <mergeCell ref="B80:C80"/>
    <mergeCell ref="F80:G80"/>
    <mergeCell ref="I80:L80"/>
    <mergeCell ref="T80:U80"/>
    <mergeCell ref="B63:C63"/>
    <mergeCell ref="F63:G63"/>
    <mergeCell ref="I63:L63"/>
    <mergeCell ref="T63:U63"/>
    <mergeCell ref="B64:C64"/>
    <mergeCell ref="F64:G64"/>
    <mergeCell ref="I64:L64"/>
    <mergeCell ref="T64:U64"/>
    <mergeCell ref="B65:C65"/>
    <mergeCell ref="F65:G65"/>
    <mergeCell ref="I65:L65"/>
    <mergeCell ref="T65:U65"/>
    <mergeCell ref="B66:C66"/>
    <mergeCell ref="F66:G66"/>
    <mergeCell ref="I66:L66"/>
    <mergeCell ref="T66:U66"/>
    <mergeCell ref="B67:C67"/>
    <mergeCell ref="F67:G67"/>
    <mergeCell ref="I67:L67"/>
    <mergeCell ref="T67:U67"/>
    <mergeCell ref="B68:C68"/>
    <mergeCell ref="F68:G68"/>
    <mergeCell ref="I68:L68"/>
    <mergeCell ref="T68:U68"/>
    <mergeCell ref="B69:C69"/>
    <mergeCell ref="F69:G69"/>
    <mergeCell ref="I69:L69"/>
    <mergeCell ref="T69:U69"/>
    <mergeCell ref="B70:C70"/>
    <mergeCell ref="F70:G70"/>
    <mergeCell ref="I70:L70"/>
    <mergeCell ref="T70:U70"/>
    <mergeCell ref="B71:C71"/>
    <mergeCell ref="F71:G71"/>
    <mergeCell ref="I71:L71"/>
    <mergeCell ref="T71:U71"/>
    <mergeCell ref="B54:C54"/>
    <mergeCell ref="F54:G54"/>
    <mergeCell ref="I54:L54"/>
    <mergeCell ref="T54:U54"/>
    <mergeCell ref="B55:C55"/>
    <mergeCell ref="F55:G55"/>
    <mergeCell ref="I55:L55"/>
    <mergeCell ref="T55:U55"/>
    <mergeCell ref="B56:C56"/>
    <mergeCell ref="F56:G56"/>
    <mergeCell ref="I56:L56"/>
    <mergeCell ref="T56:U56"/>
    <mergeCell ref="B57:C57"/>
    <mergeCell ref="F57:G57"/>
    <mergeCell ref="I57:L57"/>
    <mergeCell ref="T57:U57"/>
    <mergeCell ref="B58:C58"/>
    <mergeCell ref="F58:G58"/>
    <mergeCell ref="I58:L58"/>
    <mergeCell ref="T58:U58"/>
    <mergeCell ref="B59:C59"/>
    <mergeCell ref="F59:G59"/>
    <mergeCell ref="I59:L59"/>
    <mergeCell ref="T59:U59"/>
    <mergeCell ref="B60:C60"/>
    <mergeCell ref="F60:G60"/>
    <mergeCell ref="I60:L60"/>
    <mergeCell ref="T60:U60"/>
    <mergeCell ref="B61:C61"/>
    <mergeCell ref="F61:G61"/>
    <mergeCell ref="I61:L61"/>
    <mergeCell ref="T61:U61"/>
    <mergeCell ref="B62:C62"/>
    <mergeCell ref="F62:G62"/>
    <mergeCell ref="I62:L62"/>
    <mergeCell ref="T62:U62"/>
    <mergeCell ref="B45:C45"/>
    <mergeCell ref="F45:G45"/>
    <mergeCell ref="I45:L45"/>
    <mergeCell ref="T45:U45"/>
    <mergeCell ref="B46:C46"/>
    <mergeCell ref="F46:G46"/>
    <mergeCell ref="I46:L46"/>
    <mergeCell ref="T46:U46"/>
    <mergeCell ref="B47:C47"/>
    <mergeCell ref="F47:G47"/>
    <mergeCell ref="I47:L47"/>
    <mergeCell ref="T47:U47"/>
    <mergeCell ref="B48:C48"/>
    <mergeCell ref="F48:G48"/>
    <mergeCell ref="I48:L48"/>
    <mergeCell ref="T48:U48"/>
    <mergeCell ref="B49:C49"/>
    <mergeCell ref="F49:G49"/>
    <mergeCell ref="I49:L49"/>
    <mergeCell ref="T49:U49"/>
    <mergeCell ref="B50:C50"/>
    <mergeCell ref="F50:G50"/>
    <mergeCell ref="I50:L50"/>
    <mergeCell ref="T50:U50"/>
    <mergeCell ref="B51:C51"/>
    <mergeCell ref="F51:G51"/>
    <mergeCell ref="I51:L51"/>
    <mergeCell ref="T51:U51"/>
    <mergeCell ref="B52:C52"/>
    <mergeCell ref="F52:G52"/>
    <mergeCell ref="I52:L52"/>
    <mergeCell ref="T52:U52"/>
    <mergeCell ref="B53:C53"/>
    <mergeCell ref="F53:G53"/>
    <mergeCell ref="I53:L53"/>
    <mergeCell ref="T53:U53"/>
    <mergeCell ref="B36:C36"/>
    <mergeCell ref="F36:G36"/>
    <mergeCell ref="I36:L36"/>
    <mergeCell ref="T36:U36"/>
    <mergeCell ref="B37:C37"/>
    <mergeCell ref="F37:G37"/>
    <mergeCell ref="I37:L37"/>
    <mergeCell ref="T37:U37"/>
    <mergeCell ref="B38:C38"/>
    <mergeCell ref="F38:G38"/>
    <mergeCell ref="I38:L38"/>
    <mergeCell ref="T38:U38"/>
    <mergeCell ref="B39:C39"/>
    <mergeCell ref="F39:G39"/>
    <mergeCell ref="I39:L39"/>
    <mergeCell ref="T39:U39"/>
    <mergeCell ref="B40:C40"/>
    <mergeCell ref="F40:G40"/>
    <mergeCell ref="I40:L40"/>
    <mergeCell ref="T40:U40"/>
    <mergeCell ref="B41:C41"/>
    <mergeCell ref="F41:G41"/>
    <mergeCell ref="I41:L41"/>
    <mergeCell ref="T41:U41"/>
    <mergeCell ref="B42:C42"/>
    <mergeCell ref="F42:G42"/>
    <mergeCell ref="I42:L42"/>
    <mergeCell ref="T42:U42"/>
    <mergeCell ref="B43:C43"/>
    <mergeCell ref="F43:G43"/>
    <mergeCell ref="I43:L43"/>
    <mergeCell ref="T43:U43"/>
    <mergeCell ref="B44:C44"/>
    <mergeCell ref="F44:G44"/>
    <mergeCell ref="I44:L44"/>
    <mergeCell ref="T44:U44"/>
    <mergeCell ref="B27:C27"/>
    <mergeCell ref="F27:G27"/>
    <mergeCell ref="I27:L27"/>
    <mergeCell ref="T27:U27"/>
    <mergeCell ref="B28:C28"/>
    <mergeCell ref="F28:G28"/>
    <mergeCell ref="I28:L28"/>
    <mergeCell ref="T28:U28"/>
    <mergeCell ref="B29:C29"/>
    <mergeCell ref="F29:G29"/>
    <mergeCell ref="I29:L29"/>
    <mergeCell ref="T29:U29"/>
    <mergeCell ref="B30:C30"/>
    <mergeCell ref="F30:G30"/>
    <mergeCell ref="I30:L30"/>
    <mergeCell ref="T30:U30"/>
    <mergeCell ref="B31:C31"/>
    <mergeCell ref="F31:G31"/>
    <mergeCell ref="I31:L31"/>
    <mergeCell ref="T31:U31"/>
    <mergeCell ref="B32:C32"/>
    <mergeCell ref="F32:G32"/>
    <mergeCell ref="I32:L32"/>
    <mergeCell ref="T32:U32"/>
    <mergeCell ref="B33:C33"/>
    <mergeCell ref="F33:G33"/>
    <mergeCell ref="I33:L33"/>
    <mergeCell ref="T33:U33"/>
    <mergeCell ref="B34:C34"/>
    <mergeCell ref="F34:G34"/>
    <mergeCell ref="I34:L34"/>
    <mergeCell ref="T34:U34"/>
    <mergeCell ref="B35:C35"/>
    <mergeCell ref="F35:G35"/>
    <mergeCell ref="I35:L35"/>
    <mergeCell ref="T35:U35"/>
    <mergeCell ref="B18:C18"/>
    <mergeCell ref="F18:G18"/>
    <mergeCell ref="I18:L18"/>
    <mergeCell ref="T18:U18"/>
    <mergeCell ref="B19:C19"/>
    <mergeCell ref="F19:G19"/>
    <mergeCell ref="I19:L19"/>
    <mergeCell ref="T19:U19"/>
    <mergeCell ref="B20:C20"/>
    <mergeCell ref="F20:G20"/>
    <mergeCell ref="I20:L20"/>
    <mergeCell ref="T20:U20"/>
    <mergeCell ref="B21:C21"/>
    <mergeCell ref="F21:G21"/>
    <mergeCell ref="I21:L21"/>
    <mergeCell ref="T21:U21"/>
    <mergeCell ref="B22:C22"/>
    <mergeCell ref="F22:G22"/>
    <mergeCell ref="I22:L22"/>
    <mergeCell ref="T22:U22"/>
    <mergeCell ref="B23:C23"/>
    <mergeCell ref="F23:G23"/>
    <mergeCell ref="I23:L23"/>
    <mergeCell ref="T23:U23"/>
    <mergeCell ref="B24:C24"/>
    <mergeCell ref="F24:G24"/>
    <mergeCell ref="I24:L24"/>
    <mergeCell ref="T24:U24"/>
    <mergeCell ref="B25:C25"/>
    <mergeCell ref="F25:G25"/>
    <mergeCell ref="I25:L25"/>
    <mergeCell ref="T25:U25"/>
    <mergeCell ref="B26:C26"/>
    <mergeCell ref="F26:G26"/>
    <mergeCell ref="I26:L26"/>
    <mergeCell ref="T26:U26"/>
    <mergeCell ref="B9:C9"/>
    <mergeCell ref="F9:G9"/>
    <mergeCell ref="I9:L9"/>
    <mergeCell ref="T9:U9"/>
    <mergeCell ref="B10:C10"/>
    <mergeCell ref="F10:G10"/>
    <mergeCell ref="I10:L10"/>
    <mergeCell ref="T10:U10"/>
    <mergeCell ref="B11:C11"/>
    <mergeCell ref="F11:G11"/>
    <mergeCell ref="I11:L11"/>
    <mergeCell ref="T11:U11"/>
    <mergeCell ref="B12:C12"/>
    <mergeCell ref="F12:G12"/>
    <mergeCell ref="I12:L12"/>
    <mergeCell ref="T12:U12"/>
    <mergeCell ref="B13:C13"/>
    <mergeCell ref="F13:G13"/>
    <mergeCell ref="I13:L13"/>
    <mergeCell ref="T13:U13"/>
    <mergeCell ref="B14:C14"/>
    <mergeCell ref="F14:G14"/>
    <mergeCell ref="I14:L14"/>
    <mergeCell ref="T14:U14"/>
    <mergeCell ref="B15:C15"/>
    <mergeCell ref="F15:G15"/>
    <mergeCell ref="I15:L15"/>
    <mergeCell ref="T15:U15"/>
    <mergeCell ref="B16:C16"/>
    <mergeCell ref="F16:G16"/>
    <mergeCell ref="I16:L16"/>
    <mergeCell ref="T16:U16"/>
    <mergeCell ref="B17:C17"/>
    <mergeCell ref="F17:G17"/>
    <mergeCell ref="I17:L17"/>
    <mergeCell ref="T17:U17"/>
    <mergeCell ref="B1:D1"/>
    <mergeCell ref="F1:G1"/>
    <mergeCell ref="I1:M1"/>
    <mergeCell ref="N1:P1"/>
    <mergeCell ref="T1:U1"/>
    <mergeCell ref="B2:C2"/>
    <mergeCell ref="F2:G2"/>
    <mergeCell ref="I2:L2"/>
    <mergeCell ref="T2:U2"/>
    <mergeCell ref="B3:C3"/>
    <mergeCell ref="F3:G3"/>
    <mergeCell ref="I3:L3"/>
    <mergeCell ref="T3:U3"/>
    <mergeCell ref="B4:C4"/>
    <mergeCell ref="F4:G4"/>
    <mergeCell ref="I4:L4"/>
    <mergeCell ref="T4:U4"/>
    <mergeCell ref="B5:C5"/>
    <mergeCell ref="F5:G5"/>
    <mergeCell ref="I5:L5"/>
    <mergeCell ref="T5:U5"/>
    <mergeCell ref="B6:C6"/>
    <mergeCell ref="F6:G6"/>
    <mergeCell ref="I6:L6"/>
    <mergeCell ref="T6:U6"/>
    <mergeCell ref="B7:C7"/>
    <mergeCell ref="F7:G7"/>
    <mergeCell ref="I7:L7"/>
    <mergeCell ref="T7:U7"/>
    <mergeCell ref="B8:C8"/>
    <mergeCell ref="F8:G8"/>
    <mergeCell ref="I8:L8"/>
    <mergeCell ref="T8:U8"/>
  </mergeCells>
  <pageMargins left="0.25" right="0.25" top="0.25" bottom="0.25" header="0" footer="0"/>
  <pageSetup paperSize="0" fitToWidth="0" fitToHeight="0" orientation="portrait" horizontalDpi="0" verticalDpi="0" copies="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4672"/>
  <sheetViews>
    <sheetView topLeftCell="T1" workbookViewId="0">
      <selection sqref="A1:D9"/>
    </sheetView>
  </sheetViews>
  <sheetFormatPr defaultRowHeight="15" x14ac:dyDescent="0.25"/>
  <cols>
    <col min="1" max="1" width="43.28515625" style="32" customWidth="1"/>
    <col min="2" max="5" width="0" style="32" hidden="1" customWidth="1"/>
    <col min="6" max="6" width="48.5703125" style="32" hidden="1" customWidth="1"/>
    <col min="7" max="8" width="0" style="32" hidden="1" customWidth="1"/>
    <col min="9" max="9" width="17.7109375" style="32" hidden="1" customWidth="1"/>
    <col min="10" max="10" width="9.140625" style="32"/>
    <col min="11" max="14" width="0" style="32" hidden="1" customWidth="1"/>
    <col min="15" max="15" width="16.5703125" style="32" customWidth="1"/>
    <col min="16" max="19" width="9.140625" style="32"/>
    <col min="20" max="20" width="12.85546875" style="45" bestFit="1" customWidth="1"/>
    <col min="21" max="34" width="9.140625" style="32"/>
    <col min="35" max="35" width="12.85546875" style="32" bestFit="1" customWidth="1"/>
    <col min="36" max="16384" width="9.140625" style="32"/>
  </cols>
  <sheetData>
    <row r="1" spans="1:25" x14ac:dyDescent="0.25">
      <c r="A1" s="32" t="s">
        <v>71</v>
      </c>
      <c r="F1" s="32" t="s">
        <v>465</v>
      </c>
      <c r="J1" s="32" t="s">
        <v>464</v>
      </c>
      <c r="O1" s="32" t="s">
        <v>463</v>
      </c>
      <c r="R1" s="32" t="s">
        <v>34</v>
      </c>
      <c r="T1" s="45" t="s">
        <v>70</v>
      </c>
      <c r="Y1" s="52" t="s">
        <v>69</v>
      </c>
    </row>
    <row r="2" spans="1:25" ht="12.75" hidden="1" x14ac:dyDescent="0.25">
      <c r="A2" s="32" t="s">
        <v>462</v>
      </c>
      <c r="K2" s="32">
        <v>1463</v>
      </c>
      <c r="P2" s="32">
        <v>1322790</v>
      </c>
      <c r="R2" s="32">
        <v>1082715</v>
      </c>
      <c r="T2" s="32">
        <v>240075</v>
      </c>
    </row>
    <row r="3" spans="1:25" ht="12.75" hidden="1" x14ac:dyDescent="0.25">
      <c r="B3" s="32">
        <v>1</v>
      </c>
      <c r="F3" s="32" t="s">
        <v>78</v>
      </c>
      <c r="J3" s="32">
        <v>27</v>
      </c>
      <c r="P3" s="32">
        <v>7830</v>
      </c>
      <c r="R3" s="32">
        <v>7830</v>
      </c>
      <c r="T3" s="32">
        <v>0</v>
      </c>
    </row>
    <row r="4" spans="1:25" ht="12.75" hidden="1" x14ac:dyDescent="0.25">
      <c r="B4" s="32">
        <v>2</v>
      </c>
      <c r="F4" s="32" t="s">
        <v>162</v>
      </c>
      <c r="J4" s="32">
        <v>1</v>
      </c>
      <c r="P4" s="32">
        <v>430</v>
      </c>
      <c r="R4" s="32">
        <v>130</v>
      </c>
      <c r="T4" s="32">
        <v>300</v>
      </c>
    </row>
    <row r="5" spans="1:25" ht="12.75" hidden="1" x14ac:dyDescent="0.25">
      <c r="B5" s="32">
        <v>3</v>
      </c>
      <c r="F5" s="32" t="s">
        <v>160</v>
      </c>
      <c r="J5" s="32">
        <v>16</v>
      </c>
      <c r="P5" s="32">
        <v>4640</v>
      </c>
      <c r="R5" s="32">
        <v>1280</v>
      </c>
      <c r="T5" s="32">
        <v>3360</v>
      </c>
    </row>
    <row r="6" spans="1:25" ht="12.75" hidden="1" x14ac:dyDescent="0.25">
      <c r="B6" s="32">
        <v>4</v>
      </c>
      <c r="F6" s="32" t="s">
        <v>158</v>
      </c>
      <c r="J6" s="32">
        <v>211</v>
      </c>
      <c r="P6" s="32">
        <v>116050</v>
      </c>
      <c r="R6" s="32">
        <v>46193</v>
      </c>
      <c r="T6" s="32">
        <v>69857</v>
      </c>
    </row>
    <row r="7" spans="1:25" ht="12.75" hidden="1" x14ac:dyDescent="0.25">
      <c r="B7" s="32">
        <v>5</v>
      </c>
      <c r="F7" s="32" t="s">
        <v>157</v>
      </c>
      <c r="J7" s="32">
        <v>37</v>
      </c>
      <c r="P7" s="32">
        <v>18130</v>
      </c>
      <c r="R7" s="32">
        <v>7955</v>
      </c>
      <c r="T7" s="32">
        <v>10175</v>
      </c>
    </row>
    <row r="8" spans="1:25" ht="12.75" hidden="1" x14ac:dyDescent="0.25">
      <c r="B8" s="32">
        <v>6</v>
      </c>
      <c r="F8" s="32" t="s">
        <v>293</v>
      </c>
      <c r="J8" s="32">
        <v>1</v>
      </c>
      <c r="P8" s="32">
        <v>700</v>
      </c>
      <c r="R8" s="32">
        <v>180</v>
      </c>
      <c r="T8" s="32">
        <v>520</v>
      </c>
    </row>
    <row r="9" spans="1:25" ht="12.75" hidden="1" x14ac:dyDescent="0.25">
      <c r="B9" s="32">
        <v>7</v>
      </c>
      <c r="F9" s="32" t="s">
        <v>77</v>
      </c>
      <c r="J9" s="32">
        <v>279</v>
      </c>
      <c r="P9" s="32">
        <v>114300</v>
      </c>
      <c r="R9" s="32">
        <v>114300</v>
      </c>
      <c r="T9" s="32">
        <v>0</v>
      </c>
    </row>
    <row r="10" spans="1:25" ht="12.75" hidden="1" x14ac:dyDescent="0.25">
      <c r="B10" s="32">
        <v>8</v>
      </c>
      <c r="F10" s="32" t="s">
        <v>156</v>
      </c>
      <c r="J10" s="32">
        <v>7</v>
      </c>
      <c r="P10" s="32">
        <v>1330</v>
      </c>
      <c r="R10" s="32">
        <v>430</v>
      </c>
      <c r="T10" s="32">
        <v>900</v>
      </c>
    </row>
    <row r="11" spans="1:25" ht="12.75" hidden="1" x14ac:dyDescent="0.25">
      <c r="B11" s="32">
        <v>9</v>
      </c>
      <c r="F11" s="32" t="s">
        <v>342</v>
      </c>
      <c r="J11" s="32">
        <v>1</v>
      </c>
      <c r="P11" s="32">
        <v>500</v>
      </c>
      <c r="R11" s="32">
        <v>150</v>
      </c>
      <c r="T11" s="32">
        <v>350</v>
      </c>
    </row>
    <row r="12" spans="1:25" ht="12.75" hidden="1" x14ac:dyDescent="0.25">
      <c r="B12" s="32">
        <v>10</v>
      </c>
      <c r="F12" s="32" t="s">
        <v>290</v>
      </c>
      <c r="J12" s="32">
        <v>1</v>
      </c>
      <c r="P12" s="32">
        <v>1790</v>
      </c>
      <c r="R12" s="32">
        <v>270</v>
      </c>
      <c r="T12" s="32">
        <v>1520</v>
      </c>
    </row>
    <row r="13" spans="1:25" ht="12.75" hidden="1" x14ac:dyDescent="0.25">
      <c r="B13" s="32">
        <v>11</v>
      </c>
      <c r="F13" s="32" t="s">
        <v>155</v>
      </c>
      <c r="J13" s="32">
        <v>96</v>
      </c>
      <c r="P13" s="32">
        <v>24000</v>
      </c>
      <c r="R13" s="32">
        <v>12051</v>
      </c>
      <c r="T13" s="32">
        <v>11949</v>
      </c>
    </row>
    <row r="14" spans="1:25" ht="12.75" hidden="1" x14ac:dyDescent="0.25">
      <c r="B14" s="32">
        <v>12</v>
      </c>
      <c r="F14" s="32" t="s">
        <v>151</v>
      </c>
      <c r="J14" s="32">
        <v>3</v>
      </c>
      <c r="P14" s="32">
        <v>690</v>
      </c>
      <c r="R14" s="32">
        <v>230</v>
      </c>
      <c r="T14" s="32">
        <v>460</v>
      </c>
    </row>
    <row r="15" spans="1:25" ht="12.75" hidden="1" x14ac:dyDescent="0.25">
      <c r="B15" s="32">
        <v>13</v>
      </c>
      <c r="F15" s="32" t="s">
        <v>150</v>
      </c>
      <c r="J15" s="32">
        <v>2</v>
      </c>
      <c r="P15" s="32">
        <v>340</v>
      </c>
      <c r="R15" s="32">
        <v>100</v>
      </c>
      <c r="T15" s="32">
        <v>240</v>
      </c>
    </row>
    <row r="16" spans="1:25" ht="12.75" hidden="1" x14ac:dyDescent="0.25">
      <c r="B16" s="32">
        <v>14</v>
      </c>
      <c r="F16" s="32" t="s">
        <v>149</v>
      </c>
      <c r="J16" s="32">
        <v>1</v>
      </c>
      <c r="P16" s="32">
        <v>50</v>
      </c>
      <c r="R16" s="32">
        <v>10</v>
      </c>
      <c r="T16" s="32">
        <v>40</v>
      </c>
    </row>
    <row r="17" spans="2:20" ht="12.75" hidden="1" x14ac:dyDescent="0.25">
      <c r="B17" s="32">
        <v>15</v>
      </c>
      <c r="F17" s="32" t="s">
        <v>193</v>
      </c>
      <c r="J17" s="32">
        <v>1</v>
      </c>
      <c r="P17" s="32">
        <v>890</v>
      </c>
      <c r="R17" s="32">
        <v>130</v>
      </c>
      <c r="T17" s="32">
        <v>760</v>
      </c>
    </row>
    <row r="18" spans="2:20" ht="12.75" hidden="1" x14ac:dyDescent="0.25">
      <c r="B18" s="32">
        <v>16</v>
      </c>
      <c r="F18" s="32" t="s">
        <v>75</v>
      </c>
      <c r="J18" s="32">
        <v>320</v>
      </c>
      <c r="P18" s="32">
        <v>800000</v>
      </c>
      <c r="R18" s="32">
        <v>800000</v>
      </c>
      <c r="T18" s="32">
        <v>0</v>
      </c>
    </row>
    <row r="19" spans="2:20" ht="12.75" hidden="1" x14ac:dyDescent="0.25">
      <c r="B19" s="32">
        <v>17</v>
      </c>
      <c r="F19" s="32" t="s">
        <v>139</v>
      </c>
      <c r="J19" s="32">
        <v>1</v>
      </c>
      <c r="P19" s="32">
        <v>270</v>
      </c>
      <c r="R19" s="32">
        <v>80</v>
      </c>
      <c r="T19" s="32">
        <v>190</v>
      </c>
    </row>
    <row r="20" spans="2:20" ht="12.75" hidden="1" x14ac:dyDescent="0.25">
      <c r="B20" s="32">
        <v>18</v>
      </c>
      <c r="F20" s="32" t="s">
        <v>136</v>
      </c>
      <c r="J20" s="32">
        <v>5</v>
      </c>
      <c r="P20" s="32">
        <v>4250</v>
      </c>
      <c r="R20" s="32">
        <v>1040</v>
      </c>
      <c r="T20" s="32">
        <v>3210</v>
      </c>
    </row>
    <row r="21" spans="2:20" ht="12.75" hidden="1" x14ac:dyDescent="0.25">
      <c r="B21" s="32">
        <v>19</v>
      </c>
      <c r="F21" s="32" t="s">
        <v>74</v>
      </c>
      <c r="J21" s="32">
        <v>1</v>
      </c>
      <c r="P21" s="32">
        <v>850</v>
      </c>
      <c r="R21" s="32">
        <v>850</v>
      </c>
      <c r="T21" s="32">
        <v>0</v>
      </c>
    </row>
    <row r="22" spans="2:20" ht="12.75" hidden="1" x14ac:dyDescent="0.25">
      <c r="B22" s="32">
        <v>20</v>
      </c>
      <c r="F22" s="32" t="s">
        <v>190</v>
      </c>
      <c r="J22" s="32">
        <v>2</v>
      </c>
      <c r="P22" s="32">
        <v>3140</v>
      </c>
      <c r="R22" s="32">
        <v>480</v>
      </c>
      <c r="T22" s="32">
        <v>2660</v>
      </c>
    </row>
    <row r="23" spans="2:20" ht="12.75" hidden="1" x14ac:dyDescent="0.25">
      <c r="B23" s="32">
        <v>21</v>
      </c>
      <c r="F23" s="32" t="s">
        <v>127</v>
      </c>
      <c r="J23" s="32">
        <v>27</v>
      </c>
      <c r="P23" s="32">
        <v>8100</v>
      </c>
      <c r="R23" s="32">
        <v>2430</v>
      </c>
      <c r="T23" s="32">
        <v>5670</v>
      </c>
    </row>
    <row r="24" spans="2:20" ht="12.75" hidden="1" x14ac:dyDescent="0.25">
      <c r="B24" s="32">
        <v>22</v>
      </c>
      <c r="F24" s="32" t="s">
        <v>126</v>
      </c>
      <c r="J24" s="32">
        <v>16</v>
      </c>
      <c r="P24" s="32">
        <v>3200</v>
      </c>
      <c r="R24" s="32">
        <v>960</v>
      </c>
      <c r="T24" s="32">
        <v>2240</v>
      </c>
    </row>
    <row r="25" spans="2:20" ht="12.75" hidden="1" x14ac:dyDescent="0.25">
      <c r="B25" s="32">
        <v>23</v>
      </c>
      <c r="F25" s="32" t="s">
        <v>336</v>
      </c>
      <c r="J25" s="32">
        <v>1</v>
      </c>
      <c r="P25" s="32">
        <v>600</v>
      </c>
      <c r="R25" s="32">
        <v>180</v>
      </c>
      <c r="T25" s="32">
        <v>420</v>
      </c>
    </row>
    <row r="26" spans="2:20" ht="12.75" hidden="1" x14ac:dyDescent="0.25">
      <c r="B26" s="32">
        <v>24</v>
      </c>
      <c r="F26" s="32" t="s">
        <v>226</v>
      </c>
      <c r="J26" s="32">
        <v>1</v>
      </c>
      <c r="P26" s="32">
        <v>500</v>
      </c>
      <c r="R26" s="32">
        <v>150</v>
      </c>
      <c r="T26" s="32">
        <v>350</v>
      </c>
    </row>
    <row r="27" spans="2:20" ht="12.75" hidden="1" x14ac:dyDescent="0.25">
      <c r="B27" s="32">
        <v>25</v>
      </c>
      <c r="F27" s="32" t="s">
        <v>119</v>
      </c>
      <c r="J27" s="32">
        <v>4</v>
      </c>
      <c r="P27" s="32">
        <v>3560</v>
      </c>
      <c r="R27" s="32">
        <v>1110</v>
      </c>
      <c r="T27" s="32">
        <v>2450</v>
      </c>
    </row>
    <row r="28" spans="2:20" ht="12.75" hidden="1" x14ac:dyDescent="0.25">
      <c r="B28" s="32">
        <v>26</v>
      </c>
      <c r="F28" s="32" t="s">
        <v>118</v>
      </c>
      <c r="J28" s="32">
        <v>115</v>
      </c>
      <c r="P28" s="32">
        <v>113850</v>
      </c>
      <c r="R28" s="32">
        <v>54265</v>
      </c>
      <c r="T28" s="32">
        <v>59585</v>
      </c>
    </row>
    <row r="29" spans="2:20" ht="12.75" hidden="1" x14ac:dyDescent="0.25">
      <c r="B29" s="32">
        <v>27</v>
      </c>
      <c r="F29" s="32" t="s">
        <v>117</v>
      </c>
      <c r="J29" s="32">
        <v>3</v>
      </c>
      <c r="P29" s="32">
        <v>2400</v>
      </c>
      <c r="R29" s="32">
        <v>600</v>
      </c>
      <c r="T29" s="32">
        <v>1800</v>
      </c>
    </row>
    <row r="30" spans="2:20" ht="12.75" hidden="1" x14ac:dyDescent="0.25">
      <c r="B30" s="32">
        <v>28</v>
      </c>
      <c r="F30" s="32" t="s">
        <v>115</v>
      </c>
      <c r="J30" s="32">
        <v>5</v>
      </c>
      <c r="P30" s="32">
        <v>1450</v>
      </c>
      <c r="R30" s="32">
        <v>490</v>
      </c>
      <c r="T30" s="32">
        <v>960</v>
      </c>
    </row>
    <row r="31" spans="2:20" ht="12.75" hidden="1" x14ac:dyDescent="0.25">
      <c r="B31" s="32">
        <v>29</v>
      </c>
      <c r="F31" s="32" t="s">
        <v>181</v>
      </c>
      <c r="J31" s="32">
        <v>2</v>
      </c>
      <c r="P31" s="32">
        <v>1580</v>
      </c>
      <c r="R31" s="32">
        <v>240</v>
      </c>
      <c r="T31" s="32">
        <v>1340</v>
      </c>
    </row>
    <row r="32" spans="2:20" ht="12.75" hidden="1" x14ac:dyDescent="0.25">
      <c r="B32" s="32">
        <v>30</v>
      </c>
      <c r="F32" s="32" t="s">
        <v>109</v>
      </c>
      <c r="J32" s="32">
        <v>1</v>
      </c>
      <c r="P32" s="32">
        <v>780</v>
      </c>
      <c r="R32" s="32">
        <v>230</v>
      </c>
      <c r="T32" s="32">
        <v>550</v>
      </c>
    </row>
    <row r="33" spans="2:20" ht="12.75" hidden="1" x14ac:dyDescent="0.25">
      <c r="B33" s="32">
        <v>31</v>
      </c>
      <c r="F33" s="32" t="s">
        <v>108</v>
      </c>
      <c r="J33" s="32">
        <v>20</v>
      </c>
      <c r="P33" s="32">
        <v>2000</v>
      </c>
      <c r="R33" s="32">
        <v>30</v>
      </c>
      <c r="T33" s="32">
        <v>1970</v>
      </c>
    </row>
    <row r="34" spans="2:20" ht="12.75" hidden="1" x14ac:dyDescent="0.25">
      <c r="B34" s="32">
        <v>32</v>
      </c>
      <c r="F34" s="32" t="s">
        <v>107</v>
      </c>
      <c r="J34" s="32">
        <v>13</v>
      </c>
      <c r="P34" s="32">
        <v>2210</v>
      </c>
      <c r="R34" s="32">
        <v>650</v>
      </c>
      <c r="T34" s="32">
        <v>1560</v>
      </c>
    </row>
    <row r="35" spans="2:20" ht="12.75" hidden="1" x14ac:dyDescent="0.25">
      <c r="B35" s="32">
        <v>33</v>
      </c>
      <c r="F35" s="32" t="s">
        <v>104</v>
      </c>
      <c r="J35" s="32">
        <v>1</v>
      </c>
      <c r="P35" s="32">
        <v>330</v>
      </c>
      <c r="R35" s="32">
        <v>100</v>
      </c>
      <c r="T35" s="32">
        <v>230</v>
      </c>
    </row>
    <row r="36" spans="2:20" ht="12.75" hidden="1" x14ac:dyDescent="0.25">
      <c r="B36" s="32">
        <v>34</v>
      </c>
      <c r="F36" s="32" t="s">
        <v>103</v>
      </c>
      <c r="J36" s="32">
        <v>2</v>
      </c>
      <c r="P36" s="32">
        <v>660</v>
      </c>
      <c r="R36" s="32">
        <v>200</v>
      </c>
      <c r="T36" s="32">
        <v>460</v>
      </c>
    </row>
    <row r="37" spans="2:20" ht="12.75" hidden="1" x14ac:dyDescent="0.25">
      <c r="B37" s="32">
        <v>35</v>
      </c>
      <c r="F37" s="32" t="s">
        <v>211</v>
      </c>
      <c r="J37" s="32">
        <v>1</v>
      </c>
      <c r="P37" s="32">
        <v>900</v>
      </c>
      <c r="R37" s="32">
        <v>270</v>
      </c>
      <c r="T37" s="32">
        <v>630</v>
      </c>
    </row>
    <row r="38" spans="2:20" ht="12.75" hidden="1" x14ac:dyDescent="0.25">
      <c r="B38" s="32">
        <v>36</v>
      </c>
      <c r="F38" s="32" t="s">
        <v>307</v>
      </c>
      <c r="J38" s="32">
        <v>1</v>
      </c>
      <c r="P38" s="32">
        <v>700</v>
      </c>
      <c r="R38" s="32">
        <v>350</v>
      </c>
      <c r="T38" s="32">
        <v>350</v>
      </c>
    </row>
    <row r="39" spans="2:20" ht="12.75" hidden="1" x14ac:dyDescent="0.25">
      <c r="B39" s="32">
        <v>37</v>
      </c>
      <c r="F39" s="32" t="s">
        <v>176</v>
      </c>
      <c r="J39" s="32">
        <v>1</v>
      </c>
      <c r="P39" s="32">
        <v>1060</v>
      </c>
      <c r="R39" s="32">
        <v>160</v>
      </c>
      <c r="T39" s="32">
        <v>900</v>
      </c>
    </row>
    <row r="40" spans="2:20" ht="12.75" hidden="1" x14ac:dyDescent="0.25">
      <c r="B40" s="32">
        <v>38</v>
      </c>
      <c r="F40" s="32" t="s">
        <v>97</v>
      </c>
      <c r="J40" s="32">
        <v>2</v>
      </c>
      <c r="P40" s="32">
        <v>3180</v>
      </c>
      <c r="R40" s="32">
        <v>480</v>
      </c>
      <c r="T40" s="32">
        <v>2700</v>
      </c>
    </row>
    <row r="41" spans="2:20" ht="12.75" hidden="1" x14ac:dyDescent="0.25">
      <c r="B41" s="32">
        <v>39</v>
      </c>
      <c r="F41" s="32" t="s">
        <v>93</v>
      </c>
      <c r="J41" s="32">
        <v>5</v>
      </c>
      <c r="P41" s="32">
        <v>2950</v>
      </c>
      <c r="R41" s="32">
        <v>450</v>
      </c>
      <c r="T41" s="32">
        <v>2500</v>
      </c>
    </row>
    <row r="42" spans="2:20" ht="12.75" hidden="1" x14ac:dyDescent="0.25">
      <c r="B42" s="32">
        <v>40</v>
      </c>
      <c r="F42" s="32" t="s">
        <v>92</v>
      </c>
      <c r="J42" s="32">
        <v>17</v>
      </c>
      <c r="P42" s="32">
        <v>8840</v>
      </c>
      <c r="R42" s="32">
        <v>2640</v>
      </c>
      <c r="T42" s="32">
        <v>6200</v>
      </c>
    </row>
    <row r="43" spans="2:20" ht="12.75" hidden="1" x14ac:dyDescent="0.25">
      <c r="B43" s="32">
        <v>41</v>
      </c>
      <c r="F43" s="32" t="s">
        <v>306</v>
      </c>
      <c r="J43" s="32">
        <v>2</v>
      </c>
      <c r="P43" s="32">
        <v>2160</v>
      </c>
      <c r="R43" s="32">
        <v>640</v>
      </c>
      <c r="T43" s="32">
        <v>1520</v>
      </c>
    </row>
    <row r="44" spans="2:20" ht="12.75" hidden="1" x14ac:dyDescent="0.25">
      <c r="B44" s="32">
        <v>42</v>
      </c>
      <c r="F44" s="32" t="s">
        <v>91</v>
      </c>
      <c r="J44" s="32">
        <v>95</v>
      </c>
      <c r="P44" s="32">
        <v>23750</v>
      </c>
      <c r="R44" s="32">
        <v>11951</v>
      </c>
      <c r="T44" s="32">
        <v>11799</v>
      </c>
    </row>
    <row r="45" spans="2:20" ht="12.75" hidden="1" x14ac:dyDescent="0.25">
      <c r="B45" s="32">
        <v>43</v>
      </c>
      <c r="F45" s="32" t="s">
        <v>90</v>
      </c>
      <c r="J45" s="32">
        <v>91</v>
      </c>
      <c r="P45" s="32">
        <v>26390</v>
      </c>
      <c r="R45" s="32">
        <v>7280</v>
      </c>
      <c r="T45" s="32">
        <v>19110</v>
      </c>
    </row>
    <row r="46" spans="2:20" ht="12.75" hidden="1" x14ac:dyDescent="0.25">
      <c r="B46" s="32">
        <v>44</v>
      </c>
      <c r="F46" s="32" t="s">
        <v>88</v>
      </c>
      <c r="J46" s="32">
        <v>10</v>
      </c>
      <c r="P46" s="32">
        <v>1800</v>
      </c>
      <c r="R46" s="32">
        <v>550</v>
      </c>
      <c r="T46" s="32">
        <v>1250</v>
      </c>
    </row>
    <row r="47" spans="2:20" ht="12.75" hidden="1" x14ac:dyDescent="0.25">
      <c r="B47" s="32">
        <v>45</v>
      </c>
      <c r="F47" s="32" t="s">
        <v>85</v>
      </c>
      <c r="J47" s="32">
        <v>1</v>
      </c>
      <c r="P47" s="32">
        <v>2080</v>
      </c>
      <c r="R47" s="32">
        <v>310</v>
      </c>
      <c r="T47" s="32">
        <v>1770</v>
      </c>
    </row>
    <row r="48" spans="2:20" ht="12.75" hidden="1" x14ac:dyDescent="0.25">
      <c r="B48" s="32">
        <v>46</v>
      </c>
      <c r="F48" s="32" t="s">
        <v>84</v>
      </c>
      <c r="J48" s="32">
        <v>12</v>
      </c>
      <c r="P48" s="32">
        <v>7080</v>
      </c>
      <c r="R48" s="32">
        <v>2160</v>
      </c>
      <c r="T48" s="32">
        <v>4920</v>
      </c>
    </row>
    <row r="49" spans="1:20" ht="12.75" hidden="1" x14ac:dyDescent="0.25">
      <c r="B49" s="32">
        <v>47</v>
      </c>
      <c r="F49" s="32" t="s">
        <v>271</v>
      </c>
      <c r="J49" s="32">
        <v>1</v>
      </c>
      <c r="P49" s="32">
        <v>500</v>
      </c>
      <c r="R49" s="32">
        <v>150</v>
      </c>
      <c r="T49" s="32">
        <v>350</v>
      </c>
    </row>
    <row r="50" spans="1:20" ht="12.75" hidden="1" x14ac:dyDescent="0.25">
      <c r="A50" s="32" t="s">
        <v>461</v>
      </c>
      <c r="K50" s="32">
        <v>716</v>
      </c>
      <c r="P50" s="32">
        <v>244470</v>
      </c>
      <c r="R50" s="32">
        <v>237605</v>
      </c>
      <c r="T50" s="32">
        <v>6865</v>
      </c>
    </row>
    <row r="51" spans="1:20" ht="12.75" hidden="1" x14ac:dyDescent="0.25">
      <c r="B51" s="32">
        <v>1</v>
      </c>
      <c r="F51" s="32" t="s">
        <v>78</v>
      </c>
      <c r="J51" s="32">
        <v>466</v>
      </c>
      <c r="P51" s="32">
        <v>135140</v>
      </c>
      <c r="R51" s="32">
        <v>135140</v>
      </c>
      <c r="T51" s="32">
        <v>0</v>
      </c>
    </row>
    <row r="52" spans="1:20" ht="12.75" hidden="1" x14ac:dyDescent="0.25">
      <c r="B52" s="32">
        <v>2</v>
      </c>
      <c r="F52" s="32" t="s">
        <v>160</v>
      </c>
      <c r="J52" s="32">
        <v>1</v>
      </c>
      <c r="P52" s="32">
        <v>290</v>
      </c>
      <c r="R52" s="32">
        <v>0</v>
      </c>
      <c r="T52" s="32">
        <v>290</v>
      </c>
    </row>
    <row r="53" spans="1:20" ht="12.75" hidden="1" x14ac:dyDescent="0.25">
      <c r="B53" s="32">
        <v>3</v>
      </c>
      <c r="F53" s="32" t="s">
        <v>158</v>
      </c>
      <c r="J53" s="32">
        <v>5</v>
      </c>
      <c r="P53" s="32">
        <v>2750</v>
      </c>
      <c r="R53" s="32">
        <v>680</v>
      </c>
      <c r="T53" s="32">
        <v>2070</v>
      </c>
    </row>
    <row r="54" spans="1:20" ht="12.75" hidden="1" x14ac:dyDescent="0.25">
      <c r="B54" s="32">
        <v>4</v>
      </c>
      <c r="F54" s="32" t="s">
        <v>157</v>
      </c>
      <c r="J54" s="32">
        <v>5</v>
      </c>
      <c r="P54" s="32">
        <v>2450</v>
      </c>
      <c r="R54" s="32">
        <v>215</v>
      </c>
      <c r="T54" s="32">
        <v>2235</v>
      </c>
    </row>
    <row r="55" spans="1:20" ht="12.75" hidden="1" x14ac:dyDescent="0.25">
      <c r="B55" s="32">
        <v>5</v>
      </c>
      <c r="F55" s="32" t="s">
        <v>77</v>
      </c>
      <c r="J55" s="32">
        <v>236</v>
      </c>
      <c r="P55" s="32">
        <v>100900</v>
      </c>
      <c r="R55" s="32">
        <v>100900</v>
      </c>
      <c r="T55" s="32">
        <v>0</v>
      </c>
    </row>
    <row r="56" spans="1:20" ht="12.75" hidden="1" x14ac:dyDescent="0.25">
      <c r="B56" s="32">
        <v>6</v>
      </c>
      <c r="F56" s="32" t="s">
        <v>190</v>
      </c>
      <c r="J56" s="32">
        <v>1</v>
      </c>
      <c r="P56" s="32">
        <v>1570</v>
      </c>
      <c r="R56" s="32">
        <v>240</v>
      </c>
      <c r="T56" s="32">
        <v>1330</v>
      </c>
    </row>
    <row r="57" spans="1:20" ht="12.75" hidden="1" x14ac:dyDescent="0.25">
      <c r="B57" s="32">
        <v>7</v>
      </c>
      <c r="F57" s="32" t="s">
        <v>115</v>
      </c>
      <c r="J57" s="32">
        <v>1</v>
      </c>
      <c r="P57" s="32">
        <v>290</v>
      </c>
      <c r="R57" s="32">
        <v>110</v>
      </c>
      <c r="T57" s="32">
        <v>180</v>
      </c>
    </row>
    <row r="58" spans="1:20" ht="12.75" hidden="1" x14ac:dyDescent="0.25">
      <c r="B58" s="32">
        <v>8</v>
      </c>
      <c r="F58" s="32" t="s">
        <v>92</v>
      </c>
      <c r="J58" s="32">
        <v>1</v>
      </c>
      <c r="P58" s="32">
        <v>1080</v>
      </c>
      <c r="R58" s="32">
        <v>320</v>
      </c>
      <c r="T58" s="32">
        <v>760</v>
      </c>
    </row>
    <row r="59" spans="1:20" ht="12.75" hidden="1" x14ac:dyDescent="0.25">
      <c r="A59" s="32" t="s">
        <v>460</v>
      </c>
      <c r="K59" s="32">
        <v>2877</v>
      </c>
      <c r="P59" s="32">
        <v>3139620</v>
      </c>
      <c r="R59" s="32">
        <v>2893652</v>
      </c>
      <c r="T59" s="32">
        <v>245968</v>
      </c>
    </row>
    <row r="60" spans="1:20" ht="12.75" hidden="1" x14ac:dyDescent="0.25">
      <c r="B60" s="32">
        <v>1</v>
      </c>
      <c r="F60" s="32" t="s">
        <v>250</v>
      </c>
      <c r="J60" s="32">
        <v>1</v>
      </c>
      <c r="P60" s="32">
        <v>500</v>
      </c>
      <c r="R60" s="32">
        <v>150</v>
      </c>
      <c r="T60" s="32">
        <v>350</v>
      </c>
    </row>
    <row r="61" spans="1:20" ht="12.75" hidden="1" x14ac:dyDescent="0.25">
      <c r="B61" s="32">
        <v>2</v>
      </c>
      <c r="F61" s="32" t="s">
        <v>78</v>
      </c>
      <c r="J61" s="32">
        <v>135</v>
      </c>
      <c r="P61" s="32">
        <v>39150</v>
      </c>
      <c r="R61" s="32">
        <v>39150</v>
      </c>
      <c r="T61" s="32">
        <v>0</v>
      </c>
    </row>
    <row r="62" spans="1:20" ht="12.75" hidden="1" x14ac:dyDescent="0.25">
      <c r="B62" s="32">
        <v>3</v>
      </c>
      <c r="F62" s="32" t="s">
        <v>268</v>
      </c>
      <c r="J62" s="32">
        <v>1</v>
      </c>
      <c r="P62" s="32">
        <v>250</v>
      </c>
      <c r="R62" s="32">
        <v>70</v>
      </c>
      <c r="T62" s="32">
        <v>180</v>
      </c>
    </row>
    <row r="63" spans="1:20" ht="12.75" hidden="1" x14ac:dyDescent="0.25">
      <c r="B63" s="32">
        <v>4</v>
      </c>
      <c r="F63" s="32" t="s">
        <v>249</v>
      </c>
      <c r="J63" s="32">
        <v>1</v>
      </c>
      <c r="P63" s="32">
        <v>1300</v>
      </c>
      <c r="R63" s="32">
        <v>200</v>
      </c>
      <c r="T63" s="32">
        <v>1100</v>
      </c>
    </row>
    <row r="64" spans="1:20" ht="12.75" hidden="1" x14ac:dyDescent="0.25">
      <c r="B64" s="32">
        <v>5</v>
      </c>
      <c r="F64" s="32" t="s">
        <v>294</v>
      </c>
      <c r="J64" s="32">
        <v>1</v>
      </c>
      <c r="P64" s="32">
        <v>500</v>
      </c>
      <c r="R64" s="32">
        <v>150</v>
      </c>
      <c r="T64" s="32">
        <v>350</v>
      </c>
    </row>
    <row r="65" spans="2:20" ht="12.75" hidden="1" x14ac:dyDescent="0.25">
      <c r="B65" s="32">
        <v>6</v>
      </c>
      <c r="F65" s="32" t="s">
        <v>165</v>
      </c>
      <c r="J65" s="32">
        <v>1</v>
      </c>
      <c r="P65" s="32">
        <v>590</v>
      </c>
      <c r="R65" s="32">
        <v>180</v>
      </c>
      <c r="T65" s="32">
        <v>410</v>
      </c>
    </row>
    <row r="66" spans="2:20" ht="12.75" hidden="1" x14ac:dyDescent="0.25">
      <c r="B66" s="32">
        <v>7</v>
      </c>
      <c r="F66" s="32" t="s">
        <v>459</v>
      </c>
      <c r="J66" s="32">
        <v>1</v>
      </c>
      <c r="P66" s="32">
        <v>240</v>
      </c>
      <c r="R66" s="32">
        <v>70</v>
      </c>
      <c r="T66" s="32">
        <v>170</v>
      </c>
    </row>
    <row r="67" spans="2:20" ht="12.75" hidden="1" x14ac:dyDescent="0.25">
      <c r="B67" s="32">
        <v>8</v>
      </c>
      <c r="F67" s="32" t="s">
        <v>162</v>
      </c>
      <c r="J67" s="32">
        <v>1</v>
      </c>
      <c r="P67" s="32">
        <v>430</v>
      </c>
      <c r="R67" s="32">
        <v>187</v>
      </c>
      <c r="T67" s="32">
        <v>243</v>
      </c>
    </row>
    <row r="68" spans="2:20" ht="12.75" hidden="1" x14ac:dyDescent="0.25">
      <c r="B68" s="32">
        <v>9</v>
      </c>
      <c r="F68" s="32" t="s">
        <v>198</v>
      </c>
      <c r="J68" s="32">
        <v>1</v>
      </c>
      <c r="P68" s="32">
        <v>290</v>
      </c>
      <c r="R68" s="32">
        <v>80</v>
      </c>
      <c r="T68" s="32">
        <v>210</v>
      </c>
    </row>
    <row r="69" spans="2:20" ht="12.75" hidden="1" x14ac:dyDescent="0.25">
      <c r="B69" s="32">
        <v>10</v>
      </c>
      <c r="F69" s="32" t="s">
        <v>160</v>
      </c>
      <c r="J69" s="32">
        <v>26</v>
      </c>
      <c r="P69" s="32">
        <v>7540</v>
      </c>
      <c r="R69" s="32">
        <v>2080</v>
      </c>
      <c r="T69" s="32">
        <v>5460</v>
      </c>
    </row>
    <row r="70" spans="2:20" ht="12.75" hidden="1" x14ac:dyDescent="0.25">
      <c r="B70" s="32">
        <v>11</v>
      </c>
      <c r="F70" s="32" t="s">
        <v>158</v>
      </c>
      <c r="J70" s="32">
        <v>84</v>
      </c>
      <c r="P70" s="32">
        <v>46200</v>
      </c>
      <c r="R70" s="32">
        <v>17705</v>
      </c>
      <c r="T70" s="32">
        <v>28495</v>
      </c>
    </row>
    <row r="71" spans="2:20" ht="12.75" hidden="1" x14ac:dyDescent="0.25">
      <c r="B71" s="32">
        <v>12</v>
      </c>
      <c r="F71" s="32" t="s">
        <v>157</v>
      </c>
      <c r="J71" s="32">
        <v>254</v>
      </c>
      <c r="P71" s="32">
        <v>124460</v>
      </c>
      <c r="R71" s="32">
        <v>55713</v>
      </c>
      <c r="T71" s="32">
        <v>68747</v>
      </c>
    </row>
    <row r="72" spans="2:20" ht="12.75" hidden="1" x14ac:dyDescent="0.25">
      <c r="B72" s="32">
        <v>13</v>
      </c>
      <c r="F72" s="32" t="s">
        <v>196</v>
      </c>
      <c r="J72" s="32">
        <v>1</v>
      </c>
      <c r="P72" s="32">
        <v>700</v>
      </c>
      <c r="R72" s="32">
        <v>350</v>
      </c>
      <c r="T72" s="32">
        <v>350</v>
      </c>
    </row>
    <row r="73" spans="2:20" ht="12.75" hidden="1" x14ac:dyDescent="0.25">
      <c r="B73" s="32">
        <v>14</v>
      </c>
      <c r="F73" s="32" t="s">
        <v>77</v>
      </c>
      <c r="J73" s="32">
        <v>872</v>
      </c>
      <c r="P73" s="32">
        <v>355600</v>
      </c>
      <c r="R73" s="32">
        <v>355600</v>
      </c>
      <c r="T73" s="32">
        <v>0</v>
      </c>
    </row>
    <row r="74" spans="2:20" ht="12.75" hidden="1" x14ac:dyDescent="0.25">
      <c r="B74" s="32">
        <v>15</v>
      </c>
      <c r="F74" s="32" t="s">
        <v>242</v>
      </c>
      <c r="J74" s="32">
        <v>1</v>
      </c>
      <c r="P74" s="32">
        <v>500</v>
      </c>
      <c r="R74" s="32">
        <v>500</v>
      </c>
      <c r="T74" s="32">
        <v>0</v>
      </c>
    </row>
    <row r="75" spans="2:20" ht="12.75" hidden="1" x14ac:dyDescent="0.25">
      <c r="B75" s="32">
        <v>16</v>
      </c>
      <c r="F75" s="32" t="s">
        <v>76</v>
      </c>
      <c r="J75" s="32">
        <v>1</v>
      </c>
      <c r="P75" s="32">
        <v>500</v>
      </c>
      <c r="R75" s="32">
        <v>500</v>
      </c>
      <c r="T75" s="32">
        <v>0</v>
      </c>
    </row>
    <row r="76" spans="2:20" ht="12.75" hidden="1" x14ac:dyDescent="0.25">
      <c r="B76" s="32">
        <v>17</v>
      </c>
      <c r="F76" s="32" t="s">
        <v>156</v>
      </c>
      <c r="J76" s="32">
        <v>11</v>
      </c>
      <c r="P76" s="32">
        <v>2090</v>
      </c>
      <c r="R76" s="32">
        <v>750</v>
      </c>
      <c r="T76" s="32">
        <v>1340</v>
      </c>
    </row>
    <row r="77" spans="2:20" ht="12.75" hidden="1" x14ac:dyDescent="0.25">
      <c r="B77" s="32">
        <v>18</v>
      </c>
      <c r="F77" s="32" t="s">
        <v>155</v>
      </c>
      <c r="J77" s="32">
        <v>46</v>
      </c>
      <c r="P77" s="32">
        <v>11500</v>
      </c>
      <c r="R77" s="32">
        <v>5281</v>
      </c>
      <c r="T77" s="32">
        <v>6219</v>
      </c>
    </row>
    <row r="78" spans="2:20" ht="12.75" hidden="1" x14ac:dyDescent="0.25">
      <c r="B78" s="32">
        <v>19</v>
      </c>
      <c r="F78" s="32" t="s">
        <v>152</v>
      </c>
      <c r="J78" s="32">
        <v>2</v>
      </c>
      <c r="P78" s="32">
        <v>1180</v>
      </c>
      <c r="R78" s="32">
        <v>360</v>
      </c>
      <c r="T78" s="32">
        <v>820</v>
      </c>
    </row>
    <row r="79" spans="2:20" ht="12.75" hidden="1" x14ac:dyDescent="0.25">
      <c r="B79" s="32">
        <v>20</v>
      </c>
      <c r="F79" s="32" t="s">
        <v>150</v>
      </c>
      <c r="J79" s="32">
        <v>1</v>
      </c>
      <c r="P79" s="32">
        <v>170</v>
      </c>
      <c r="R79" s="32">
        <v>50</v>
      </c>
      <c r="T79" s="32">
        <v>120</v>
      </c>
    </row>
    <row r="80" spans="2:20" ht="12.75" hidden="1" x14ac:dyDescent="0.25">
      <c r="B80" s="32">
        <v>21</v>
      </c>
      <c r="F80" s="32" t="s">
        <v>149</v>
      </c>
      <c r="J80" s="32">
        <v>44</v>
      </c>
      <c r="P80" s="32">
        <v>2200</v>
      </c>
      <c r="R80" s="32">
        <v>420</v>
      </c>
      <c r="T80" s="32">
        <v>1780</v>
      </c>
    </row>
    <row r="81" spans="2:20" ht="12.75" hidden="1" x14ac:dyDescent="0.25">
      <c r="B81" s="32">
        <v>22</v>
      </c>
      <c r="F81" s="32" t="s">
        <v>75</v>
      </c>
      <c r="J81" s="32">
        <v>934</v>
      </c>
      <c r="P81" s="32">
        <v>2335000</v>
      </c>
      <c r="R81" s="32">
        <v>2335000</v>
      </c>
      <c r="T81" s="32">
        <v>0</v>
      </c>
    </row>
    <row r="82" spans="2:20" ht="12.75" hidden="1" x14ac:dyDescent="0.25">
      <c r="B82" s="32">
        <v>23</v>
      </c>
      <c r="F82" s="32" t="s">
        <v>138</v>
      </c>
      <c r="J82" s="32">
        <v>1</v>
      </c>
      <c r="P82" s="32">
        <v>800</v>
      </c>
      <c r="R82" s="32">
        <v>450</v>
      </c>
      <c r="T82" s="32">
        <v>350</v>
      </c>
    </row>
    <row r="83" spans="2:20" ht="12.75" hidden="1" x14ac:dyDescent="0.25">
      <c r="B83" s="32">
        <v>24</v>
      </c>
      <c r="F83" s="32" t="s">
        <v>136</v>
      </c>
      <c r="J83" s="32">
        <v>4</v>
      </c>
      <c r="P83" s="32">
        <v>3400</v>
      </c>
      <c r="R83" s="32">
        <v>1040</v>
      </c>
      <c r="T83" s="32">
        <v>2360</v>
      </c>
    </row>
    <row r="84" spans="2:20" ht="12.75" hidden="1" x14ac:dyDescent="0.25">
      <c r="B84" s="32">
        <v>25</v>
      </c>
      <c r="F84" s="32" t="s">
        <v>74</v>
      </c>
      <c r="J84" s="32">
        <v>5</v>
      </c>
      <c r="P84" s="32">
        <v>4250</v>
      </c>
      <c r="R84" s="32">
        <v>4250</v>
      </c>
      <c r="T84" s="32">
        <v>0</v>
      </c>
    </row>
    <row r="85" spans="2:20" ht="12.75" hidden="1" x14ac:dyDescent="0.25">
      <c r="B85" s="32">
        <v>26</v>
      </c>
      <c r="F85" s="32" t="s">
        <v>284</v>
      </c>
      <c r="J85" s="32">
        <v>3</v>
      </c>
      <c r="P85" s="32">
        <v>11100</v>
      </c>
      <c r="R85" s="32">
        <v>5550</v>
      </c>
      <c r="T85" s="32">
        <v>5550</v>
      </c>
    </row>
    <row r="86" spans="2:20" ht="12.75" hidden="1" x14ac:dyDescent="0.25">
      <c r="T86" s="32"/>
    </row>
    <row r="87" spans="2:20" ht="12.75" hidden="1" x14ac:dyDescent="0.25">
      <c r="B87" s="32">
        <v>27</v>
      </c>
      <c r="F87" s="32" t="s">
        <v>130</v>
      </c>
      <c r="J87" s="32">
        <v>1</v>
      </c>
      <c r="P87" s="32">
        <v>8000</v>
      </c>
      <c r="R87" s="32">
        <v>4100</v>
      </c>
      <c r="T87" s="32">
        <v>3900</v>
      </c>
    </row>
    <row r="88" spans="2:20" ht="12.75" hidden="1" x14ac:dyDescent="0.25">
      <c r="B88" s="32">
        <v>28</v>
      </c>
      <c r="F88" s="32" t="s">
        <v>127</v>
      </c>
      <c r="J88" s="32">
        <v>87</v>
      </c>
      <c r="P88" s="32">
        <v>26100</v>
      </c>
      <c r="R88" s="32">
        <v>7871</v>
      </c>
      <c r="T88" s="32">
        <v>18229</v>
      </c>
    </row>
    <row r="89" spans="2:20" ht="12.75" hidden="1" x14ac:dyDescent="0.25">
      <c r="B89" s="32">
        <v>29</v>
      </c>
      <c r="F89" s="32" t="s">
        <v>126</v>
      </c>
      <c r="J89" s="32">
        <v>90</v>
      </c>
      <c r="P89" s="32">
        <v>18000</v>
      </c>
      <c r="R89" s="32">
        <v>5427</v>
      </c>
      <c r="T89" s="32">
        <v>12573</v>
      </c>
    </row>
    <row r="90" spans="2:20" ht="12.75" hidden="1" x14ac:dyDescent="0.25">
      <c r="B90" s="32">
        <v>30</v>
      </c>
      <c r="F90" s="32" t="s">
        <v>125</v>
      </c>
      <c r="J90" s="32">
        <v>1</v>
      </c>
      <c r="P90" s="32">
        <v>400</v>
      </c>
      <c r="R90" s="32">
        <v>120</v>
      </c>
      <c r="T90" s="32">
        <v>280</v>
      </c>
    </row>
    <row r="91" spans="2:20" ht="12.75" hidden="1" x14ac:dyDescent="0.25">
      <c r="B91" s="32">
        <v>31</v>
      </c>
      <c r="F91" s="32" t="s">
        <v>123</v>
      </c>
      <c r="J91" s="32">
        <v>10</v>
      </c>
      <c r="P91" s="32">
        <v>7800</v>
      </c>
      <c r="R91" s="32">
        <v>2187</v>
      </c>
      <c r="T91" s="32">
        <v>5613</v>
      </c>
    </row>
    <row r="92" spans="2:20" ht="12.75" hidden="1" x14ac:dyDescent="0.25">
      <c r="B92" s="32">
        <v>32</v>
      </c>
      <c r="F92" s="32" t="s">
        <v>121</v>
      </c>
      <c r="J92" s="32">
        <v>1</v>
      </c>
      <c r="P92" s="32">
        <v>500</v>
      </c>
      <c r="R92" s="32">
        <v>150</v>
      </c>
      <c r="T92" s="32">
        <v>350</v>
      </c>
    </row>
    <row r="93" spans="2:20" ht="12.75" hidden="1" x14ac:dyDescent="0.25">
      <c r="B93" s="32">
        <v>33</v>
      </c>
      <c r="F93" s="32" t="s">
        <v>119</v>
      </c>
      <c r="J93" s="32">
        <v>6</v>
      </c>
      <c r="P93" s="32">
        <v>5340</v>
      </c>
      <c r="R93" s="32">
        <v>1770</v>
      </c>
      <c r="T93" s="32">
        <v>3570</v>
      </c>
    </row>
    <row r="94" spans="2:20" ht="12.75" hidden="1" x14ac:dyDescent="0.25">
      <c r="B94" s="32">
        <v>34</v>
      </c>
      <c r="F94" s="32" t="s">
        <v>118</v>
      </c>
      <c r="J94" s="32">
        <v>60</v>
      </c>
      <c r="P94" s="32">
        <v>59400</v>
      </c>
      <c r="R94" s="32">
        <v>26025</v>
      </c>
      <c r="T94" s="32">
        <v>33375</v>
      </c>
    </row>
    <row r="95" spans="2:20" ht="12.75" hidden="1" x14ac:dyDescent="0.25">
      <c r="B95" s="32">
        <v>35</v>
      </c>
      <c r="F95" s="32" t="s">
        <v>278</v>
      </c>
      <c r="J95" s="32">
        <v>1</v>
      </c>
      <c r="P95" s="32">
        <v>330</v>
      </c>
      <c r="R95" s="32">
        <v>100</v>
      </c>
      <c r="T95" s="32">
        <v>230</v>
      </c>
    </row>
    <row r="96" spans="2:20" ht="12.75" hidden="1" x14ac:dyDescent="0.25">
      <c r="B96" s="32">
        <v>36</v>
      </c>
      <c r="F96" s="32" t="s">
        <v>111</v>
      </c>
      <c r="J96" s="32">
        <v>1</v>
      </c>
      <c r="P96" s="32">
        <v>430</v>
      </c>
      <c r="R96" s="32">
        <v>130</v>
      </c>
      <c r="T96" s="32">
        <v>300</v>
      </c>
    </row>
    <row r="97" spans="2:20" ht="12.75" hidden="1" x14ac:dyDescent="0.25">
      <c r="B97" s="32">
        <v>37</v>
      </c>
      <c r="F97" s="32" t="s">
        <v>277</v>
      </c>
      <c r="J97" s="32">
        <v>1</v>
      </c>
      <c r="P97" s="32">
        <v>1570</v>
      </c>
      <c r="R97" s="32">
        <v>0</v>
      </c>
      <c r="T97" s="32">
        <v>1570</v>
      </c>
    </row>
    <row r="98" spans="2:20" ht="12.75" hidden="1" x14ac:dyDescent="0.25">
      <c r="B98" s="32">
        <v>38</v>
      </c>
      <c r="F98" s="32" t="s">
        <v>109</v>
      </c>
      <c r="J98" s="32">
        <v>3</v>
      </c>
      <c r="P98" s="32">
        <v>2340</v>
      </c>
      <c r="R98" s="32">
        <v>690</v>
      </c>
      <c r="T98" s="32">
        <v>1650</v>
      </c>
    </row>
    <row r="99" spans="2:20" ht="12.75" hidden="1" x14ac:dyDescent="0.25">
      <c r="B99" s="32">
        <v>39</v>
      </c>
      <c r="F99" s="32" t="s">
        <v>107</v>
      </c>
      <c r="J99" s="32">
        <v>16</v>
      </c>
      <c r="P99" s="32">
        <v>2720</v>
      </c>
      <c r="R99" s="32">
        <v>824</v>
      </c>
      <c r="T99" s="32">
        <v>1896</v>
      </c>
    </row>
    <row r="100" spans="2:20" ht="12.75" hidden="1" x14ac:dyDescent="0.25">
      <c r="B100" s="32">
        <v>40</v>
      </c>
      <c r="F100" s="32" t="s">
        <v>103</v>
      </c>
      <c r="J100" s="32">
        <v>21</v>
      </c>
      <c r="P100" s="32">
        <v>6930</v>
      </c>
      <c r="R100" s="32">
        <v>2660</v>
      </c>
      <c r="T100" s="32">
        <v>4270</v>
      </c>
    </row>
    <row r="101" spans="2:20" ht="12.75" hidden="1" x14ac:dyDescent="0.25">
      <c r="B101" s="32">
        <v>41</v>
      </c>
      <c r="F101" s="32" t="s">
        <v>275</v>
      </c>
      <c r="J101" s="32">
        <v>1</v>
      </c>
      <c r="P101" s="32">
        <v>700</v>
      </c>
      <c r="R101" s="32">
        <v>350</v>
      </c>
      <c r="T101" s="32">
        <v>350</v>
      </c>
    </row>
    <row r="102" spans="2:20" ht="12.75" hidden="1" x14ac:dyDescent="0.25">
      <c r="B102" s="32">
        <v>42</v>
      </c>
      <c r="F102" s="32" t="s">
        <v>98</v>
      </c>
      <c r="J102" s="32">
        <v>1</v>
      </c>
      <c r="P102" s="32">
        <v>570</v>
      </c>
      <c r="R102" s="32">
        <v>80</v>
      </c>
      <c r="T102" s="32">
        <v>490</v>
      </c>
    </row>
    <row r="103" spans="2:20" ht="12.75" hidden="1" x14ac:dyDescent="0.25">
      <c r="B103" s="32">
        <v>43</v>
      </c>
      <c r="F103" s="32" t="s">
        <v>324</v>
      </c>
      <c r="J103" s="32">
        <v>1</v>
      </c>
      <c r="P103" s="32">
        <v>350</v>
      </c>
      <c r="R103" s="32">
        <v>160</v>
      </c>
      <c r="T103" s="32">
        <v>190</v>
      </c>
    </row>
    <row r="104" spans="2:20" ht="12.75" hidden="1" x14ac:dyDescent="0.25">
      <c r="B104" s="32">
        <v>44</v>
      </c>
      <c r="F104" s="32" t="s">
        <v>93</v>
      </c>
      <c r="J104" s="32">
        <v>1</v>
      </c>
      <c r="P104" s="32">
        <v>590</v>
      </c>
      <c r="R104" s="32">
        <v>90</v>
      </c>
      <c r="T104" s="32">
        <v>500</v>
      </c>
    </row>
    <row r="105" spans="2:20" ht="12.75" hidden="1" x14ac:dyDescent="0.25">
      <c r="B105" s="32">
        <v>45</v>
      </c>
      <c r="F105" s="32" t="s">
        <v>92</v>
      </c>
      <c r="J105" s="32">
        <v>32</v>
      </c>
      <c r="P105" s="32">
        <v>16880</v>
      </c>
      <c r="R105" s="32">
        <v>5040</v>
      </c>
      <c r="T105" s="32">
        <v>11840</v>
      </c>
    </row>
    <row r="106" spans="2:20" ht="12.75" hidden="1" x14ac:dyDescent="0.25">
      <c r="B106" s="32">
        <v>46</v>
      </c>
      <c r="F106" s="32" t="s">
        <v>91</v>
      </c>
      <c r="J106" s="32">
        <v>49</v>
      </c>
      <c r="P106" s="32">
        <v>12250</v>
      </c>
      <c r="R106" s="32">
        <v>5291</v>
      </c>
      <c r="T106" s="32">
        <v>6959</v>
      </c>
    </row>
    <row r="107" spans="2:20" ht="12.75" hidden="1" x14ac:dyDescent="0.25">
      <c r="B107" s="32">
        <v>47</v>
      </c>
      <c r="F107" s="32" t="s">
        <v>90</v>
      </c>
      <c r="J107" s="32">
        <v>30</v>
      </c>
      <c r="P107" s="32">
        <v>8700</v>
      </c>
      <c r="R107" s="32">
        <v>2400</v>
      </c>
      <c r="T107" s="32">
        <v>6300</v>
      </c>
    </row>
    <row r="108" spans="2:20" ht="12.75" hidden="1" x14ac:dyDescent="0.25">
      <c r="B108" s="32">
        <v>48</v>
      </c>
      <c r="F108" s="32" t="s">
        <v>88</v>
      </c>
      <c r="J108" s="32">
        <v>23</v>
      </c>
      <c r="P108" s="32">
        <v>4140</v>
      </c>
      <c r="R108" s="32">
        <v>1313</v>
      </c>
      <c r="T108" s="32">
        <v>2827</v>
      </c>
    </row>
    <row r="109" spans="2:20" ht="12.75" hidden="1" x14ac:dyDescent="0.25">
      <c r="B109" s="32">
        <v>49</v>
      </c>
      <c r="F109" s="32" t="s">
        <v>87</v>
      </c>
      <c r="J109" s="32">
        <v>1</v>
      </c>
      <c r="P109" s="32">
        <v>290</v>
      </c>
      <c r="R109" s="32">
        <v>0</v>
      </c>
      <c r="T109" s="32">
        <v>290</v>
      </c>
    </row>
    <row r="110" spans="2:20" ht="12.75" hidden="1" x14ac:dyDescent="0.25">
      <c r="B110" s="32">
        <v>50</v>
      </c>
      <c r="F110" s="32" t="s">
        <v>85</v>
      </c>
      <c r="J110" s="32">
        <v>1</v>
      </c>
      <c r="P110" s="32">
        <v>2080</v>
      </c>
      <c r="R110" s="32">
        <v>310</v>
      </c>
      <c r="T110" s="32">
        <v>1770</v>
      </c>
    </row>
    <row r="111" spans="2:20" ht="12.75" hidden="1" x14ac:dyDescent="0.25">
      <c r="B111" s="32">
        <v>51</v>
      </c>
      <c r="F111" s="32" t="s">
        <v>84</v>
      </c>
      <c r="J111" s="32">
        <v>3</v>
      </c>
      <c r="P111" s="32">
        <v>1770</v>
      </c>
      <c r="R111" s="32">
        <v>448</v>
      </c>
      <c r="T111" s="32">
        <v>1322</v>
      </c>
    </row>
    <row r="112" spans="2:20" ht="12.75" hidden="1" x14ac:dyDescent="0.25">
      <c r="B112" s="32">
        <v>52</v>
      </c>
      <c r="F112" s="32" t="s">
        <v>208</v>
      </c>
      <c r="J112" s="32">
        <v>1</v>
      </c>
      <c r="P112" s="32">
        <v>500</v>
      </c>
      <c r="R112" s="32">
        <v>150</v>
      </c>
      <c r="T112" s="32">
        <v>350</v>
      </c>
    </row>
    <row r="113" spans="1:20" ht="12.75" hidden="1" x14ac:dyDescent="0.25">
      <c r="B113" s="32">
        <v>53</v>
      </c>
      <c r="F113" s="32" t="s">
        <v>202</v>
      </c>
      <c r="J113" s="32">
        <v>1</v>
      </c>
      <c r="P113" s="32">
        <v>500</v>
      </c>
      <c r="R113" s="32">
        <v>130</v>
      </c>
      <c r="T113" s="32">
        <v>370</v>
      </c>
    </row>
    <row r="114" spans="1:20" ht="12.75" hidden="1" x14ac:dyDescent="0.25">
      <c r="A114" s="32" t="s">
        <v>458</v>
      </c>
      <c r="K114" s="32">
        <v>4432</v>
      </c>
      <c r="P114" s="32">
        <v>3126150</v>
      </c>
      <c r="R114" s="32">
        <v>2384086</v>
      </c>
      <c r="T114" s="32">
        <v>742064</v>
      </c>
    </row>
    <row r="115" spans="1:20" ht="12.75" hidden="1" x14ac:dyDescent="0.25">
      <c r="B115" s="32">
        <v>1</v>
      </c>
      <c r="F115" s="32" t="s">
        <v>200</v>
      </c>
      <c r="J115" s="32">
        <v>1</v>
      </c>
      <c r="P115" s="32">
        <v>500</v>
      </c>
      <c r="R115" s="32">
        <v>150</v>
      </c>
      <c r="T115" s="32">
        <v>350</v>
      </c>
    </row>
    <row r="116" spans="1:20" ht="12.75" hidden="1" x14ac:dyDescent="0.25">
      <c r="B116" s="32">
        <v>2</v>
      </c>
      <c r="F116" s="32" t="s">
        <v>250</v>
      </c>
      <c r="J116" s="32">
        <v>1</v>
      </c>
      <c r="P116" s="32">
        <v>500</v>
      </c>
      <c r="R116" s="32">
        <v>150</v>
      </c>
      <c r="T116" s="32">
        <v>350</v>
      </c>
    </row>
    <row r="117" spans="1:20" ht="12.75" hidden="1" x14ac:dyDescent="0.25">
      <c r="B117" s="32">
        <v>3</v>
      </c>
      <c r="F117" s="32" t="s">
        <v>78</v>
      </c>
      <c r="J117" s="32">
        <v>537</v>
      </c>
      <c r="P117" s="32">
        <v>155730</v>
      </c>
      <c r="R117" s="32">
        <v>155730</v>
      </c>
      <c r="T117" s="32">
        <v>0</v>
      </c>
    </row>
    <row r="118" spans="1:20" ht="12.75" hidden="1" x14ac:dyDescent="0.25">
      <c r="B118" s="32">
        <v>4</v>
      </c>
      <c r="F118" s="32" t="s">
        <v>249</v>
      </c>
      <c r="J118" s="32">
        <v>1</v>
      </c>
      <c r="P118" s="32">
        <v>1300</v>
      </c>
      <c r="R118" s="32">
        <v>200</v>
      </c>
      <c r="T118" s="32">
        <v>1100</v>
      </c>
    </row>
    <row r="119" spans="1:20" ht="12.75" hidden="1" x14ac:dyDescent="0.25">
      <c r="B119" s="32">
        <v>5</v>
      </c>
      <c r="F119" s="32" t="s">
        <v>294</v>
      </c>
      <c r="J119" s="32">
        <v>1</v>
      </c>
      <c r="P119" s="32">
        <v>500</v>
      </c>
      <c r="R119" s="32">
        <v>150</v>
      </c>
      <c r="T119" s="32">
        <v>350</v>
      </c>
    </row>
    <row r="120" spans="1:20" ht="12.75" hidden="1" x14ac:dyDescent="0.25">
      <c r="B120" s="32">
        <v>6</v>
      </c>
      <c r="F120" s="32" t="s">
        <v>329</v>
      </c>
      <c r="J120" s="32">
        <v>1</v>
      </c>
      <c r="P120" s="32">
        <v>1200</v>
      </c>
      <c r="R120" s="32">
        <v>180</v>
      </c>
      <c r="T120" s="32">
        <v>1020</v>
      </c>
    </row>
    <row r="121" spans="1:20" ht="12.75" hidden="1" x14ac:dyDescent="0.25">
      <c r="B121" s="32">
        <v>7</v>
      </c>
      <c r="F121" s="32" t="s">
        <v>248</v>
      </c>
      <c r="J121" s="32">
        <v>1</v>
      </c>
      <c r="P121" s="32">
        <v>1200</v>
      </c>
      <c r="R121" s="32">
        <v>180</v>
      </c>
      <c r="T121" s="32">
        <v>1020</v>
      </c>
    </row>
    <row r="122" spans="1:20" ht="12.75" hidden="1" x14ac:dyDescent="0.25">
      <c r="B122" s="32">
        <v>8</v>
      </c>
      <c r="F122" s="32" t="s">
        <v>165</v>
      </c>
      <c r="J122" s="32">
        <v>1</v>
      </c>
      <c r="P122" s="32">
        <v>590</v>
      </c>
      <c r="R122" s="32">
        <v>0</v>
      </c>
      <c r="T122" s="32">
        <v>590</v>
      </c>
    </row>
    <row r="123" spans="1:20" ht="12.75" hidden="1" x14ac:dyDescent="0.25">
      <c r="B123" s="32">
        <v>9</v>
      </c>
      <c r="F123" s="32" t="s">
        <v>162</v>
      </c>
      <c r="J123" s="32">
        <v>41</v>
      </c>
      <c r="P123" s="32">
        <v>17630</v>
      </c>
      <c r="R123" s="32">
        <v>7676</v>
      </c>
      <c r="T123" s="32">
        <v>9954</v>
      </c>
    </row>
    <row r="124" spans="1:20" ht="12.75" hidden="1" x14ac:dyDescent="0.25">
      <c r="B124" s="32">
        <v>10</v>
      </c>
      <c r="F124" s="32" t="s">
        <v>160</v>
      </c>
      <c r="J124" s="32">
        <v>1</v>
      </c>
      <c r="P124" s="32">
        <v>290</v>
      </c>
      <c r="R124" s="32">
        <v>80</v>
      </c>
      <c r="T124" s="32">
        <v>210</v>
      </c>
    </row>
    <row r="125" spans="1:20" ht="12.75" hidden="1" x14ac:dyDescent="0.25">
      <c r="B125" s="32">
        <v>11</v>
      </c>
      <c r="F125" s="32" t="s">
        <v>158</v>
      </c>
      <c r="J125" s="32">
        <v>625</v>
      </c>
      <c r="P125" s="32">
        <v>343750</v>
      </c>
      <c r="R125" s="32">
        <v>158869</v>
      </c>
      <c r="T125" s="32">
        <v>184881</v>
      </c>
    </row>
    <row r="126" spans="1:20" ht="12.75" hidden="1" x14ac:dyDescent="0.25">
      <c r="B126" s="32">
        <v>12</v>
      </c>
      <c r="F126" s="32" t="s">
        <v>157</v>
      </c>
      <c r="J126" s="32">
        <v>47</v>
      </c>
      <c r="P126" s="32">
        <v>23030</v>
      </c>
      <c r="R126" s="32">
        <v>8524</v>
      </c>
      <c r="T126" s="32">
        <v>14506</v>
      </c>
    </row>
    <row r="127" spans="1:20" ht="12.75" hidden="1" x14ac:dyDescent="0.25">
      <c r="B127" s="32">
        <v>13</v>
      </c>
      <c r="F127" s="32" t="s">
        <v>328</v>
      </c>
      <c r="J127" s="32">
        <v>1</v>
      </c>
      <c r="P127" s="32">
        <v>700</v>
      </c>
      <c r="R127" s="32">
        <v>350</v>
      </c>
      <c r="T127" s="32">
        <v>350</v>
      </c>
    </row>
    <row r="128" spans="1:20" ht="12.75" hidden="1" x14ac:dyDescent="0.25">
      <c r="B128" s="32">
        <v>14</v>
      </c>
      <c r="F128" s="32" t="s">
        <v>77</v>
      </c>
      <c r="J128" s="32">
        <v>604</v>
      </c>
      <c r="P128" s="32">
        <v>243000</v>
      </c>
      <c r="R128" s="32">
        <v>243000</v>
      </c>
      <c r="T128" s="32">
        <v>0</v>
      </c>
    </row>
    <row r="129" spans="2:20" ht="12.75" hidden="1" x14ac:dyDescent="0.25">
      <c r="B129" s="32">
        <v>15</v>
      </c>
      <c r="F129" s="32" t="s">
        <v>343</v>
      </c>
      <c r="J129" s="32">
        <v>2</v>
      </c>
      <c r="P129" s="32">
        <v>420</v>
      </c>
      <c r="R129" s="32">
        <v>126</v>
      </c>
      <c r="T129" s="32">
        <v>294</v>
      </c>
    </row>
    <row r="130" spans="2:20" ht="12.75" hidden="1" x14ac:dyDescent="0.25">
      <c r="B130" s="32">
        <v>16</v>
      </c>
      <c r="F130" s="32" t="s">
        <v>156</v>
      </c>
      <c r="J130" s="32">
        <v>25</v>
      </c>
      <c r="P130" s="32">
        <v>4750</v>
      </c>
      <c r="R130" s="32">
        <v>1490</v>
      </c>
      <c r="T130" s="32">
        <v>3260</v>
      </c>
    </row>
    <row r="131" spans="2:20" ht="12.75" hidden="1" x14ac:dyDescent="0.25">
      <c r="B131" s="32">
        <v>17</v>
      </c>
      <c r="F131" s="32" t="s">
        <v>155</v>
      </c>
      <c r="J131" s="32">
        <v>496</v>
      </c>
      <c r="P131" s="32">
        <v>124000</v>
      </c>
      <c r="R131" s="32">
        <v>62613</v>
      </c>
      <c r="T131" s="32">
        <v>61387</v>
      </c>
    </row>
    <row r="132" spans="2:20" ht="12.75" hidden="1" x14ac:dyDescent="0.25">
      <c r="B132" s="32">
        <v>18</v>
      </c>
      <c r="F132" s="32" t="s">
        <v>154</v>
      </c>
      <c r="J132" s="32">
        <v>37</v>
      </c>
      <c r="P132" s="32">
        <v>32930</v>
      </c>
      <c r="R132" s="32">
        <v>4680</v>
      </c>
      <c r="T132" s="32">
        <v>28250</v>
      </c>
    </row>
    <row r="133" spans="2:20" ht="12.75" hidden="1" x14ac:dyDescent="0.25">
      <c r="B133" s="32">
        <v>19</v>
      </c>
      <c r="F133" s="32" t="s">
        <v>153</v>
      </c>
      <c r="J133" s="32">
        <v>1</v>
      </c>
      <c r="P133" s="32">
        <v>1180</v>
      </c>
      <c r="R133" s="32">
        <v>180</v>
      </c>
      <c r="T133" s="32">
        <v>1000</v>
      </c>
    </row>
    <row r="134" spans="2:20" ht="12.75" hidden="1" x14ac:dyDescent="0.25">
      <c r="B134" s="32">
        <v>20</v>
      </c>
      <c r="F134" s="32" t="s">
        <v>322</v>
      </c>
      <c r="J134" s="32">
        <v>1</v>
      </c>
      <c r="P134" s="32">
        <v>1180</v>
      </c>
      <c r="R134" s="32">
        <v>180</v>
      </c>
      <c r="T134" s="32">
        <v>1000</v>
      </c>
    </row>
    <row r="135" spans="2:20" ht="12.75" hidden="1" x14ac:dyDescent="0.25">
      <c r="B135" s="32">
        <v>21</v>
      </c>
      <c r="F135" s="32" t="s">
        <v>152</v>
      </c>
      <c r="J135" s="32">
        <v>3</v>
      </c>
      <c r="P135" s="32">
        <v>1770</v>
      </c>
      <c r="R135" s="32">
        <v>540</v>
      </c>
      <c r="T135" s="32">
        <v>1230</v>
      </c>
    </row>
    <row r="136" spans="2:20" ht="12.75" hidden="1" x14ac:dyDescent="0.25">
      <c r="B136" s="32">
        <v>22</v>
      </c>
      <c r="F136" s="32" t="s">
        <v>151</v>
      </c>
      <c r="J136" s="32">
        <v>2</v>
      </c>
      <c r="P136" s="32">
        <v>460</v>
      </c>
      <c r="R136" s="32">
        <v>140</v>
      </c>
      <c r="T136" s="32">
        <v>320</v>
      </c>
    </row>
    <row r="137" spans="2:20" ht="12.75" hidden="1" x14ac:dyDescent="0.25">
      <c r="B137" s="32">
        <v>23</v>
      </c>
      <c r="F137" s="32" t="s">
        <v>150</v>
      </c>
      <c r="J137" s="32">
        <v>5</v>
      </c>
      <c r="P137" s="32">
        <v>850</v>
      </c>
      <c r="R137" s="32">
        <v>250</v>
      </c>
      <c r="T137" s="32">
        <v>600</v>
      </c>
    </row>
    <row r="138" spans="2:20" ht="12.75" hidden="1" x14ac:dyDescent="0.25">
      <c r="B138" s="32">
        <v>24</v>
      </c>
      <c r="F138" s="32" t="s">
        <v>149</v>
      </c>
      <c r="J138" s="32">
        <v>1</v>
      </c>
      <c r="P138" s="32">
        <v>50</v>
      </c>
      <c r="R138" s="32">
        <v>10</v>
      </c>
      <c r="T138" s="32">
        <v>40</v>
      </c>
    </row>
    <row r="139" spans="2:20" ht="12.75" hidden="1" x14ac:dyDescent="0.25">
      <c r="B139" s="32">
        <v>25</v>
      </c>
      <c r="F139" s="32" t="s">
        <v>288</v>
      </c>
      <c r="J139" s="32">
        <v>1</v>
      </c>
      <c r="P139" s="32">
        <v>800</v>
      </c>
      <c r="R139" s="32">
        <v>450</v>
      </c>
      <c r="T139" s="32">
        <v>350</v>
      </c>
    </row>
    <row r="140" spans="2:20" ht="12.75" hidden="1" x14ac:dyDescent="0.25">
      <c r="B140" s="32">
        <v>26</v>
      </c>
      <c r="F140" s="32" t="s">
        <v>286</v>
      </c>
      <c r="J140" s="32">
        <v>1</v>
      </c>
      <c r="P140" s="32">
        <v>800</v>
      </c>
      <c r="R140" s="32">
        <v>450</v>
      </c>
      <c r="T140" s="32">
        <v>350</v>
      </c>
    </row>
    <row r="141" spans="2:20" ht="12.75" hidden="1" x14ac:dyDescent="0.25">
      <c r="B141" s="32">
        <v>27</v>
      </c>
      <c r="F141" s="32" t="s">
        <v>75</v>
      </c>
      <c r="J141" s="32">
        <v>545</v>
      </c>
      <c r="P141" s="32">
        <v>1362500</v>
      </c>
      <c r="R141" s="32">
        <v>1362500</v>
      </c>
      <c r="T141" s="32">
        <v>0</v>
      </c>
    </row>
    <row r="142" spans="2:20" ht="12.75" hidden="1" x14ac:dyDescent="0.25">
      <c r="B142" s="32">
        <v>28</v>
      </c>
      <c r="F142" s="32" t="s">
        <v>139</v>
      </c>
      <c r="J142" s="32">
        <v>7</v>
      </c>
      <c r="P142" s="32">
        <v>1890</v>
      </c>
      <c r="R142" s="32">
        <v>400</v>
      </c>
      <c r="T142" s="32">
        <v>1490</v>
      </c>
    </row>
    <row r="143" spans="2:20" ht="12.75" hidden="1" x14ac:dyDescent="0.25">
      <c r="B143" s="32">
        <v>29</v>
      </c>
      <c r="F143" s="32" t="s">
        <v>136</v>
      </c>
      <c r="J143" s="32">
        <v>3</v>
      </c>
      <c r="P143" s="32">
        <v>2550</v>
      </c>
      <c r="R143" s="32">
        <v>780</v>
      </c>
      <c r="T143" s="32">
        <v>1770</v>
      </c>
    </row>
    <row r="144" spans="2:20" ht="12.75" hidden="1" x14ac:dyDescent="0.25">
      <c r="B144" s="32">
        <v>30</v>
      </c>
      <c r="F144" s="32" t="s">
        <v>74</v>
      </c>
      <c r="J144" s="32">
        <v>5</v>
      </c>
      <c r="P144" s="32">
        <v>4250</v>
      </c>
      <c r="R144" s="32">
        <v>4250</v>
      </c>
      <c r="T144" s="32">
        <v>0</v>
      </c>
    </row>
    <row r="145" spans="2:20" ht="12.75" hidden="1" x14ac:dyDescent="0.25">
      <c r="B145" s="32">
        <v>31</v>
      </c>
      <c r="F145" s="32" t="s">
        <v>190</v>
      </c>
      <c r="J145" s="32">
        <v>2</v>
      </c>
      <c r="P145" s="32">
        <v>3140</v>
      </c>
      <c r="R145" s="32">
        <v>480</v>
      </c>
      <c r="T145" s="32">
        <v>2660</v>
      </c>
    </row>
    <row r="146" spans="2:20" ht="12.75" hidden="1" x14ac:dyDescent="0.25">
      <c r="B146" s="32">
        <v>32</v>
      </c>
      <c r="F146" s="32" t="s">
        <v>230</v>
      </c>
      <c r="J146" s="32">
        <v>2</v>
      </c>
      <c r="P146" s="32">
        <v>1900</v>
      </c>
      <c r="R146" s="32">
        <v>0</v>
      </c>
      <c r="T146" s="32">
        <v>1900</v>
      </c>
    </row>
    <row r="147" spans="2:20" ht="12.75" hidden="1" x14ac:dyDescent="0.25">
      <c r="B147" s="32">
        <v>33</v>
      </c>
      <c r="F147" s="32" t="s">
        <v>135</v>
      </c>
      <c r="J147" s="32">
        <v>2</v>
      </c>
      <c r="P147" s="32">
        <v>1900</v>
      </c>
      <c r="R147" s="32">
        <v>560</v>
      </c>
      <c r="T147" s="32">
        <v>1340</v>
      </c>
    </row>
    <row r="148" spans="2:20" ht="12.75" hidden="1" x14ac:dyDescent="0.25">
      <c r="B148" s="32">
        <v>34</v>
      </c>
      <c r="F148" s="32" t="s">
        <v>132</v>
      </c>
      <c r="J148" s="32">
        <v>5</v>
      </c>
      <c r="P148" s="32">
        <v>6200</v>
      </c>
      <c r="R148" s="32">
        <v>1110</v>
      </c>
      <c r="T148" s="32">
        <v>5090</v>
      </c>
    </row>
    <row r="149" spans="2:20" ht="12.75" hidden="1" x14ac:dyDescent="0.25">
      <c r="B149" s="32">
        <v>35</v>
      </c>
      <c r="F149" s="32" t="s">
        <v>130</v>
      </c>
      <c r="J149" s="32">
        <v>4</v>
      </c>
      <c r="P149" s="32">
        <v>32000</v>
      </c>
      <c r="R149" s="32">
        <v>16400</v>
      </c>
      <c r="T149" s="32">
        <v>15600</v>
      </c>
    </row>
    <row r="150" spans="2:20" ht="12.75" hidden="1" x14ac:dyDescent="0.25">
      <c r="B150" s="32">
        <v>36</v>
      </c>
      <c r="F150" s="32" t="s">
        <v>127</v>
      </c>
      <c r="J150" s="32">
        <v>38</v>
      </c>
      <c r="P150" s="32">
        <v>11400</v>
      </c>
      <c r="R150" s="32">
        <v>4978</v>
      </c>
      <c r="T150" s="32">
        <v>6422</v>
      </c>
    </row>
    <row r="151" spans="2:20" ht="12.75" hidden="1" x14ac:dyDescent="0.25">
      <c r="B151" s="32">
        <v>37</v>
      </c>
      <c r="F151" s="32" t="s">
        <v>126</v>
      </c>
      <c r="J151" s="32">
        <v>68</v>
      </c>
      <c r="P151" s="32">
        <v>13600</v>
      </c>
      <c r="R151" s="32">
        <v>5106</v>
      </c>
      <c r="T151" s="32">
        <v>8494</v>
      </c>
    </row>
    <row r="152" spans="2:20" ht="12.75" hidden="1" x14ac:dyDescent="0.25">
      <c r="B152" s="32">
        <v>38</v>
      </c>
      <c r="F152" s="32" t="s">
        <v>123</v>
      </c>
      <c r="J152" s="32">
        <v>25</v>
      </c>
      <c r="P152" s="32">
        <v>19500</v>
      </c>
      <c r="R152" s="32">
        <v>5290</v>
      </c>
      <c r="T152" s="32">
        <v>14210</v>
      </c>
    </row>
    <row r="153" spans="2:20" ht="12.75" hidden="1" x14ac:dyDescent="0.25">
      <c r="B153" s="32">
        <v>39</v>
      </c>
      <c r="F153" s="32" t="s">
        <v>122</v>
      </c>
      <c r="J153" s="32">
        <v>2</v>
      </c>
      <c r="P153" s="32">
        <v>1000</v>
      </c>
      <c r="R153" s="32">
        <v>300</v>
      </c>
      <c r="T153" s="32">
        <v>700</v>
      </c>
    </row>
    <row r="154" spans="2:20" ht="12.75" hidden="1" x14ac:dyDescent="0.25">
      <c r="B154" s="32">
        <v>40</v>
      </c>
      <c r="F154" s="32" t="s">
        <v>121</v>
      </c>
      <c r="J154" s="32">
        <v>1</v>
      </c>
      <c r="P154" s="32">
        <v>500</v>
      </c>
      <c r="R154" s="32">
        <v>150</v>
      </c>
      <c r="T154" s="32">
        <v>350</v>
      </c>
    </row>
    <row r="155" spans="2:20" ht="12.75" hidden="1" x14ac:dyDescent="0.25">
      <c r="B155" s="32">
        <v>41</v>
      </c>
      <c r="F155" s="32" t="s">
        <v>119</v>
      </c>
      <c r="J155" s="32">
        <v>7</v>
      </c>
      <c r="P155" s="32">
        <v>6230</v>
      </c>
      <c r="R155" s="32">
        <v>2010</v>
      </c>
      <c r="T155" s="32">
        <v>4220</v>
      </c>
    </row>
    <row r="156" spans="2:20" ht="12.75" hidden="1" x14ac:dyDescent="0.25">
      <c r="B156" s="32">
        <v>42</v>
      </c>
      <c r="F156" s="32" t="s">
        <v>118</v>
      </c>
      <c r="J156" s="32">
        <v>498</v>
      </c>
      <c r="P156" s="32">
        <v>493020</v>
      </c>
      <c r="R156" s="32">
        <v>249625</v>
      </c>
      <c r="T156" s="32">
        <v>243395</v>
      </c>
    </row>
    <row r="157" spans="2:20" ht="12.75" hidden="1" x14ac:dyDescent="0.25">
      <c r="B157" s="32">
        <v>43</v>
      </c>
      <c r="F157" s="32" t="s">
        <v>117</v>
      </c>
      <c r="J157" s="32">
        <v>4</v>
      </c>
      <c r="P157" s="32">
        <v>3200</v>
      </c>
      <c r="R157" s="32">
        <v>800</v>
      </c>
      <c r="T157" s="32">
        <v>2400</v>
      </c>
    </row>
    <row r="158" spans="2:20" ht="12.75" hidden="1" x14ac:dyDescent="0.25">
      <c r="B158" s="32">
        <v>44</v>
      </c>
      <c r="F158" s="32" t="s">
        <v>115</v>
      </c>
      <c r="J158" s="32">
        <v>20</v>
      </c>
      <c r="P158" s="32">
        <v>5800</v>
      </c>
      <c r="R158" s="32">
        <v>1650</v>
      </c>
      <c r="T158" s="32">
        <v>4150</v>
      </c>
    </row>
    <row r="159" spans="2:20" ht="12.75" hidden="1" x14ac:dyDescent="0.25">
      <c r="B159" s="32">
        <v>45</v>
      </c>
      <c r="F159" s="32" t="s">
        <v>219</v>
      </c>
      <c r="J159" s="32">
        <v>1</v>
      </c>
      <c r="P159" s="32">
        <v>500</v>
      </c>
      <c r="R159" s="32">
        <v>150</v>
      </c>
      <c r="T159" s="32">
        <v>350</v>
      </c>
    </row>
    <row r="160" spans="2:20" ht="12.75" hidden="1" x14ac:dyDescent="0.25">
      <c r="B160" s="32">
        <v>46</v>
      </c>
      <c r="F160" s="32" t="s">
        <v>111</v>
      </c>
      <c r="J160" s="32">
        <v>1</v>
      </c>
      <c r="P160" s="32">
        <v>430</v>
      </c>
      <c r="R160" s="32">
        <v>130</v>
      </c>
      <c r="T160" s="32">
        <v>300</v>
      </c>
    </row>
    <row r="161" spans="2:20" ht="12.75" hidden="1" x14ac:dyDescent="0.25">
      <c r="B161" s="32">
        <v>47</v>
      </c>
      <c r="F161" s="32" t="s">
        <v>109</v>
      </c>
      <c r="J161" s="32">
        <v>1</v>
      </c>
      <c r="P161" s="32">
        <v>780</v>
      </c>
      <c r="R161" s="32">
        <v>230</v>
      </c>
      <c r="T161" s="32">
        <v>550</v>
      </c>
    </row>
    <row r="162" spans="2:20" ht="12.75" hidden="1" x14ac:dyDescent="0.25">
      <c r="B162" s="32">
        <v>48</v>
      </c>
      <c r="F162" s="32" t="s">
        <v>108</v>
      </c>
      <c r="J162" s="32">
        <v>33</v>
      </c>
      <c r="P162" s="32">
        <v>3300</v>
      </c>
      <c r="R162" s="32">
        <v>90</v>
      </c>
      <c r="T162" s="32">
        <v>3210</v>
      </c>
    </row>
    <row r="163" spans="2:20" ht="12.75" hidden="1" x14ac:dyDescent="0.25">
      <c r="B163" s="32">
        <v>49</v>
      </c>
      <c r="F163" s="32" t="s">
        <v>107</v>
      </c>
      <c r="J163" s="32">
        <v>79</v>
      </c>
      <c r="P163" s="32">
        <v>13430</v>
      </c>
      <c r="R163" s="32">
        <v>4812</v>
      </c>
      <c r="T163" s="32">
        <v>8618</v>
      </c>
    </row>
    <row r="164" spans="2:20" ht="12.75" hidden="1" x14ac:dyDescent="0.25">
      <c r="B164" s="32">
        <v>50</v>
      </c>
      <c r="F164" s="32" t="s">
        <v>364</v>
      </c>
      <c r="J164" s="32">
        <v>1</v>
      </c>
      <c r="P164" s="32">
        <v>500</v>
      </c>
      <c r="R164" s="32">
        <v>150</v>
      </c>
      <c r="T164" s="32">
        <v>350</v>
      </c>
    </row>
    <row r="165" spans="2:20" ht="12.75" hidden="1" x14ac:dyDescent="0.25">
      <c r="B165" s="32">
        <v>51</v>
      </c>
      <c r="F165" s="32" t="s">
        <v>103</v>
      </c>
      <c r="J165" s="32">
        <v>5</v>
      </c>
      <c r="P165" s="32">
        <v>1650</v>
      </c>
      <c r="R165" s="32">
        <v>620</v>
      </c>
      <c r="T165" s="32">
        <v>1030</v>
      </c>
    </row>
    <row r="166" spans="2:20" ht="12.75" hidden="1" x14ac:dyDescent="0.25">
      <c r="B166" s="32">
        <v>52</v>
      </c>
      <c r="F166" s="32" t="s">
        <v>276</v>
      </c>
      <c r="J166" s="32">
        <v>1</v>
      </c>
      <c r="P166" s="32">
        <v>500</v>
      </c>
      <c r="R166" s="32">
        <v>150</v>
      </c>
      <c r="T166" s="32">
        <v>350</v>
      </c>
    </row>
    <row r="167" spans="2:20" ht="12.75" hidden="1" x14ac:dyDescent="0.25">
      <c r="B167" s="32">
        <v>53</v>
      </c>
      <c r="F167" s="32" t="s">
        <v>100</v>
      </c>
      <c r="J167" s="32">
        <v>1</v>
      </c>
      <c r="P167" s="32">
        <v>180</v>
      </c>
      <c r="R167" s="32">
        <v>50</v>
      </c>
      <c r="T167" s="32">
        <v>130</v>
      </c>
    </row>
    <row r="168" spans="2:20" ht="12.75" hidden="1" x14ac:dyDescent="0.25">
      <c r="B168" s="32">
        <v>54</v>
      </c>
      <c r="F168" s="32" t="s">
        <v>274</v>
      </c>
      <c r="J168" s="32">
        <v>1</v>
      </c>
      <c r="P168" s="32">
        <v>180</v>
      </c>
      <c r="R168" s="32">
        <v>50</v>
      </c>
      <c r="T168" s="32">
        <v>130</v>
      </c>
    </row>
    <row r="169" spans="2:20" ht="12.75" hidden="1" x14ac:dyDescent="0.25">
      <c r="B169" s="32">
        <v>55</v>
      </c>
      <c r="F169" s="32" t="s">
        <v>97</v>
      </c>
      <c r="J169" s="32">
        <v>7</v>
      </c>
      <c r="P169" s="32">
        <v>11130</v>
      </c>
      <c r="R169" s="32">
        <v>1680</v>
      </c>
      <c r="T169" s="32">
        <v>9450</v>
      </c>
    </row>
    <row r="170" spans="2:20" ht="12.75" hidden="1" x14ac:dyDescent="0.25">
      <c r="B170" s="32">
        <v>56</v>
      </c>
      <c r="F170" s="32" t="s">
        <v>324</v>
      </c>
      <c r="J170" s="32">
        <v>1</v>
      </c>
      <c r="P170" s="32">
        <v>350</v>
      </c>
      <c r="R170" s="32">
        <v>0</v>
      </c>
      <c r="T170" s="32">
        <v>350</v>
      </c>
    </row>
    <row r="171" spans="2:20" ht="12.75" hidden="1" x14ac:dyDescent="0.25">
      <c r="B171" s="32">
        <v>57</v>
      </c>
      <c r="F171" s="32" t="s">
        <v>93</v>
      </c>
      <c r="J171" s="32">
        <v>4</v>
      </c>
      <c r="P171" s="32">
        <v>2360</v>
      </c>
      <c r="R171" s="32">
        <v>270</v>
      </c>
      <c r="T171" s="32">
        <v>2090</v>
      </c>
    </row>
    <row r="172" spans="2:20" ht="12.75" hidden="1" x14ac:dyDescent="0.25">
      <c r="B172" s="32">
        <v>58</v>
      </c>
      <c r="F172" s="32" t="s">
        <v>92</v>
      </c>
      <c r="J172" s="32">
        <v>22</v>
      </c>
      <c r="P172" s="32">
        <v>12200</v>
      </c>
      <c r="R172" s="32">
        <v>3640</v>
      </c>
      <c r="T172" s="32">
        <v>8560</v>
      </c>
    </row>
    <row r="173" spans="2:20" ht="12.75" hidden="1" x14ac:dyDescent="0.25">
      <c r="B173" s="32">
        <v>59</v>
      </c>
      <c r="F173" s="32" t="s">
        <v>91</v>
      </c>
      <c r="J173" s="32">
        <v>496</v>
      </c>
      <c r="P173" s="32">
        <v>124000</v>
      </c>
      <c r="R173" s="32">
        <v>62523</v>
      </c>
      <c r="T173" s="32">
        <v>61477</v>
      </c>
    </row>
    <row r="174" spans="2:20" ht="12.75" hidden="1" x14ac:dyDescent="0.25">
      <c r="B174" s="32">
        <v>60</v>
      </c>
      <c r="F174" s="32" t="s">
        <v>90</v>
      </c>
      <c r="J174" s="32">
        <v>34</v>
      </c>
      <c r="P174" s="32">
        <v>9860</v>
      </c>
      <c r="R174" s="32">
        <v>2240</v>
      </c>
      <c r="T174" s="32">
        <v>7620</v>
      </c>
    </row>
    <row r="175" spans="2:20" ht="12.75" hidden="1" x14ac:dyDescent="0.25">
      <c r="B175" s="32">
        <v>61</v>
      </c>
      <c r="F175" s="32" t="s">
        <v>88</v>
      </c>
      <c r="J175" s="32">
        <v>61</v>
      </c>
      <c r="P175" s="32">
        <v>10980</v>
      </c>
      <c r="R175" s="32">
        <v>3664</v>
      </c>
      <c r="T175" s="32">
        <v>7316</v>
      </c>
    </row>
    <row r="176" spans="2:20" ht="12.75" hidden="1" x14ac:dyDescent="0.25">
      <c r="B176" s="32">
        <v>62</v>
      </c>
      <c r="F176" s="32" t="s">
        <v>84</v>
      </c>
      <c r="J176" s="32">
        <v>7</v>
      </c>
      <c r="P176" s="32">
        <v>4130</v>
      </c>
      <c r="R176" s="32">
        <v>900</v>
      </c>
      <c r="T176" s="32">
        <v>3230</v>
      </c>
    </row>
    <row r="177" spans="1:20" ht="12.75" hidden="1" x14ac:dyDescent="0.25">
      <c r="A177" s="32" t="s">
        <v>457</v>
      </c>
      <c r="K177" s="32">
        <v>5060</v>
      </c>
      <c r="P177" s="32">
        <v>3921380</v>
      </c>
      <c r="R177" s="32">
        <v>3120684</v>
      </c>
      <c r="T177" s="32">
        <v>800696</v>
      </c>
    </row>
    <row r="178" spans="1:20" ht="12.75" hidden="1" x14ac:dyDescent="0.25">
      <c r="B178" s="32">
        <v>1</v>
      </c>
      <c r="F178" s="32" t="s">
        <v>78</v>
      </c>
      <c r="J178" s="32">
        <v>615</v>
      </c>
      <c r="P178" s="32">
        <v>178350</v>
      </c>
      <c r="R178" s="32">
        <v>178350</v>
      </c>
      <c r="T178" s="32">
        <v>0</v>
      </c>
    </row>
    <row r="179" spans="1:20" ht="12.75" hidden="1" x14ac:dyDescent="0.25">
      <c r="B179" s="32">
        <v>2</v>
      </c>
      <c r="F179" s="32" t="s">
        <v>167</v>
      </c>
      <c r="J179" s="32">
        <v>1</v>
      </c>
      <c r="P179" s="32">
        <v>570</v>
      </c>
      <c r="R179" s="32">
        <v>170</v>
      </c>
      <c r="T179" s="32">
        <v>400</v>
      </c>
    </row>
    <row r="180" spans="1:20" ht="12.75" hidden="1" x14ac:dyDescent="0.25">
      <c r="B180" s="32">
        <v>3</v>
      </c>
      <c r="F180" s="32" t="s">
        <v>294</v>
      </c>
      <c r="J180" s="32">
        <v>1</v>
      </c>
      <c r="P180" s="32">
        <v>500</v>
      </c>
      <c r="R180" s="32">
        <v>130</v>
      </c>
      <c r="T180" s="32">
        <v>370</v>
      </c>
    </row>
    <row r="181" spans="1:20" ht="12.75" hidden="1" x14ac:dyDescent="0.25">
      <c r="B181" s="32">
        <v>4</v>
      </c>
      <c r="F181" s="32" t="s">
        <v>329</v>
      </c>
      <c r="J181" s="32">
        <v>1</v>
      </c>
      <c r="P181" s="32">
        <v>1200</v>
      </c>
      <c r="R181" s="32">
        <v>180</v>
      </c>
      <c r="T181" s="32">
        <v>1020</v>
      </c>
    </row>
    <row r="182" spans="1:20" ht="12.75" hidden="1" x14ac:dyDescent="0.25">
      <c r="B182" s="32">
        <v>5</v>
      </c>
      <c r="F182" s="32" t="s">
        <v>248</v>
      </c>
      <c r="J182" s="32">
        <v>1</v>
      </c>
      <c r="P182" s="32">
        <v>1200</v>
      </c>
      <c r="R182" s="32">
        <v>180</v>
      </c>
      <c r="T182" s="32">
        <v>1020</v>
      </c>
    </row>
    <row r="183" spans="1:20" ht="12.75" hidden="1" x14ac:dyDescent="0.25">
      <c r="B183" s="32">
        <v>6</v>
      </c>
      <c r="F183" s="32" t="s">
        <v>164</v>
      </c>
      <c r="J183" s="32">
        <v>1</v>
      </c>
      <c r="P183" s="32">
        <v>590</v>
      </c>
      <c r="R183" s="32">
        <v>180</v>
      </c>
      <c r="T183" s="32">
        <v>410</v>
      </c>
    </row>
    <row r="184" spans="1:20" ht="12.75" hidden="1" x14ac:dyDescent="0.25">
      <c r="B184" s="32">
        <v>7</v>
      </c>
      <c r="F184" s="32" t="s">
        <v>163</v>
      </c>
      <c r="J184" s="32">
        <v>1</v>
      </c>
      <c r="P184" s="32">
        <v>1190</v>
      </c>
      <c r="R184" s="32">
        <v>180</v>
      </c>
      <c r="T184" s="32">
        <v>1010</v>
      </c>
    </row>
    <row r="185" spans="1:20" ht="12.75" hidden="1" x14ac:dyDescent="0.25">
      <c r="B185" s="32">
        <v>8</v>
      </c>
      <c r="F185" s="32" t="s">
        <v>162</v>
      </c>
      <c r="J185" s="32">
        <v>25</v>
      </c>
      <c r="P185" s="32">
        <v>10750</v>
      </c>
      <c r="R185" s="32">
        <v>4654</v>
      </c>
      <c r="T185" s="32">
        <v>6096</v>
      </c>
    </row>
    <row r="186" spans="1:20" ht="12.75" hidden="1" x14ac:dyDescent="0.25">
      <c r="B186" s="32">
        <v>9</v>
      </c>
      <c r="F186" s="32" t="s">
        <v>160</v>
      </c>
      <c r="J186" s="32">
        <v>12</v>
      </c>
      <c r="P186" s="32">
        <v>3480</v>
      </c>
      <c r="R186" s="32">
        <v>960</v>
      </c>
      <c r="T186" s="32">
        <v>2520</v>
      </c>
    </row>
    <row r="187" spans="1:20" ht="12.75" hidden="1" x14ac:dyDescent="0.25">
      <c r="B187" s="32">
        <v>10</v>
      </c>
      <c r="F187" s="32" t="s">
        <v>266</v>
      </c>
      <c r="J187" s="32">
        <v>1</v>
      </c>
      <c r="P187" s="32">
        <v>1350</v>
      </c>
      <c r="R187" s="32">
        <v>400</v>
      </c>
      <c r="T187" s="32">
        <v>950</v>
      </c>
    </row>
    <row r="188" spans="1:20" ht="12.75" hidden="1" x14ac:dyDescent="0.25">
      <c r="B188" s="32">
        <v>11</v>
      </c>
      <c r="F188" s="32" t="s">
        <v>158</v>
      </c>
      <c r="J188" s="32">
        <v>820</v>
      </c>
      <c r="P188" s="32">
        <v>451000</v>
      </c>
      <c r="R188" s="32">
        <v>162630</v>
      </c>
      <c r="T188" s="32">
        <v>288370</v>
      </c>
    </row>
    <row r="189" spans="1:20" ht="12.75" hidden="1" x14ac:dyDescent="0.25">
      <c r="B189" s="32">
        <v>12</v>
      </c>
      <c r="F189" s="32" t="s">
        <v>157</v>
      </c>
      <c r="J189" s="32">
        <v>41</v>
      </c>
      <c r="P189" s="32">
        <v>20090</v>
      </c>
      <c r="R189" s="32">
        <v>8714</v>
      </c>
      <c r="T189" s="32">
        <v>11376</v>
      </c>
    </row>
    <row r="190" spans="1:20" ht="12.75" hidden="1" x14ac:dyDescent="0.25">
      <c r="B190" s="32">
        <v>13</v>
      </c>
      <c r="F190" s="32" t="s">
        <v>456</v>
      </c>
      <c r="J190" s="32">
        <v>1</v>
      </c>
      <c r="P190" s="32">
        <v>1780</v>
      </c>
      <c r="R190" s="32">
        <v>0</v>
      </c>
      <c r="T190" s="32">
        <v>1780</v>
      </c>
    </row>
    <row r="191" spans="1:20" ht="12.75" hidden="1" x14ac:dyDescent="0.25">
      <c r="B191" s="32">
        <v>14</v>
      </c>
      <c r="F191" s="32" t="s">
        <v>196</v>
      </c>
      <c r="J191" s="32">
        <v>2</v>
      </c>
      <c r="P191" s="32">
        <v>1400</v>
      </c>
      <c r="R191" s="32">
        <v>700</v>
      </c>
      <c r="T191" s="32">
        <v>700</v>
      </c>
    </row>
    <row r="192" spans="1:20" ht="12.75" hidden="1" x14ac:dyDescent="0.25">
      <c r="B192" s="32">
        <v>15</v>
      </c>
      <c r="F192" s="32" t="s">
        <v>77</v>
      </c>
      <c r="J192" s="32">
        <v>1464</v>
      </c>
      <c r="P192" s="32">
        <v>595400</v>
      </c>
      <c r="R192" s="32">
        <v>595400</v>
      </c>
      <c r="T192" s="32">
        <v>0</v>
      </c>
    </row>
    <row r="193" spans="2:20" ht="12.75" hidden="1" x14ac:dyDescent="0.25">
      <c r="B193" s="32">
        <v>16</v>
      </c>
      <c r="F193" s="32" t="s">
        <v>343</v>
      </c>
      <c r="J193" s="32">
        <v>6</v>
      </c>
      <c r="P193" s="32">
        <v>1260</v>
      </c>
      <c r="R193" s="32">
        <v>378</v>
      </c>
      <c r="T193" s="32">
        <v>882</v>
      </c>
    </row>
    <row r="194" spans="2:20" ht="12.75" hidden="1" x14ac:dyDescent="0.25">
      <c r="B194" s="32">
        <v>17</v>
      </c>
      <c r="F194" s="32" t="s">
        <v>76</v>
      </c>
      <c r="J194" s="32">
        <v>1</v>
      </c>
      <c r="P194" s="32">
        <v>600</v>
      </c>
      <c r="R194" s="32">
        <v>600</v>
      </c>
      <c r="T194" s="32">
        <v>0</v>
      </c>
    </row>
    <row r="195" spans="2:20" ht="12.75" hidden="1" x14ac:dyDescent="0.25">
      <c r="B195" s="32">
        <v>18</v>
      </c>
      <c r="F195" s="32" t="s">
        <v>156</v>
      </c>
      <c r="J195" s="32">
        <v>5</v>
      </c>
      <c r="P195" s="32">
        <v>950</v>
      </c>
      <c r="R195" s="32">
        <v>320</v>
      </c>
      <c r="T195" s="32">
        <v>630</v>
      </c>
    </row>
    <row r="196" spans="2:20" ht="12.75" hidden="1" x14ac:dyDescent="0.25">
      <c r="B196" s="32">
        <v>19</v>
      </c>
      <c r="F196" s="32" t="s">
        <v>155</v>
      </c>
      <c r="J196" s="32">
        <v>230</v>
      </c>
      <c r="P196" s="32">
        <v>57500</v>
      </c>
      <c r="R196" s="32">
        <v>28477</v>
      </c>
      <c r="T196" s="32">
        <v>29023</v>
      </c>
    </row>
    <row r="197" spans="2:20" ht="12.75" hidden="1" x14ac:dyDescent="0.25">
      <c r="B197" s="32">
        <v>20</v>
      </c>
      <c r="F197" s="32" t="s">
        <v>154</v>
      </c>
      <c r="J197" s="32">
        <v>167</v>
      </c>
      <c r="P197" s="32">
        <v>148630</v>
      </c>
      <c r="R197" s="32">
        <v>21710</v>
      </c>
      <c r="T197" s="32">
        <v>126920</v>
      </c>
    </row>
    <row r="198" spans="2:20" ht="12.75" hidden="1" x14ac:dyDescent="0.25">
      <c r="B198" s="32">
        <v>21</v>
      </c>
      <c r="F198" s="32" t="s">
        <v>322</v>
      </c>
      <c r="J198" s="32">
        <v>2</v>
      </c>
      <c r="P198" s="32">
        <v>2360</v>
      </c>
      <c r="R198" s="32">
        <v>360</v>
      </c>
      <c r="T198" s="32">
        <v>2000</v>
      </c>
    </row>
    <row r="199" spans="2:20" ht="12.75" hidden="1" x14ac:dyDescent="0.25">
      <c r="B199" s="32">
        <v>22</v>
      </c>
      <c r="F199" s="32" t="s">
        <v>339</v>
      </c>
      <c r="J199" s="32">
        <v>1</v>
      </c>
      <c r="P199" s="32">
        <v>350</v>
      </c>
      <c r="R199" s="32">
        <v>150</v>
      </c>
      <c r="T199" s="32">
        <v>200</v>
      </c>
    </row>
    <row r="200" spans="2:20" ht="12.75" hidden="1" x14ac:dyDescent="0.25">
      <c r="B200" s="32">
        <v>23</v>
      </c>
      <c r="F200" s="32" t="s">
        <v>289</v>
      </c>
      <c r="J200" s="32">
        <v>2</v>
      </c>
      <c r="P200" s="32">
        <v>1000</v>
      </c>
      <c r="R200" s="32">
        <v>280</v>
      </c>
      <c r="T200" s="32">
        <v>720</v>
      </c>
    </row>
    <row r="201" spans="2:20" ht="12.75" hidden="1" x14ac:dyDescent="0.25">
      <c r="B201" s="32">
        <v>24</v>
      </c>
      <c r="F201" s="32" t="s">
        <v>320</v>
      </c>
      <c r="J201" s="32">
        <v>1</v>
      </c>
      <c r="P201" s="32">
        <v>500</v>
      </c>
      <c r="R201" s="32">
        <v>150</v>
      </c>
      <c r="T201" s="32">
        <v>350</v>
      </c>
    </row>
    <row r="202" spans="2:20" ht="12.75" hidden="1" x14ac:dyDescent="0.25">
      <c r="B202" s="32">
        <v>25</v>
      </c>
      <c r="F202" s="32" t="s">
        <v>152</v>
      </c>
      <c r="J202" s="32">
        <v>5</v>
      </c>
      <c r="P202" s="32">
        <v>2950</v>
      </c>
      <c r="R202" s="32">
        <v>930</v>
      </c>
      <c r="T202" s="32">
        <v>2020</v>
      </c>
    </row>
    <row r="203" spans="2:20" ht="12.75" hidden="1" x14ac:dyDescent="0.25">
      <c r="B203" s="32">
        <v>26</v>
      </c>
      <c r="F203" s="32" t="s">
        <v>151</v>
      </c>
      <c r="J203" s="32">
        <v>5</v>
      </c>
      <c r="P203" s="32">
        <v>1150</v>
      </c>
      <c r="R203" s="32">
        <v>390</v>
      </c>
      <c r="T203" s="32">
        <v>760</v>
      </c>
    </row>
    <row r="204" spans="2:20" ht="12.75" hidden="1" x14ac:dyDescent="0.25">
      <c r="B204" s="32">
        <v>27</v>
      </c>
      <c r="F204" s="32" t="s">
        <v>337</v>
      </c>
      <c r="J204" s="32">
        <v>1</v>
      </c>
      <c r="P204" s="32">
        <v>1380</v>
      </c>
      <c r="R204" s="32">
        <v>210</v>
      </c>
      <c r="T204" s="32">
        <v>1170</v>
      </c>
    </row>
    <row r="205" spans="2:20" ht="12.75" hidden="1" x14ac:dyDescent="0.25">
      <c r="B205" s="32">
        <v>28</v>
      </c>
      <c r="F205" s="32" t="s">
        <v>150</v>
      </c>
      <c r="J205" s="32">
        <v>3</v>
      </c>
      <c r="P205" s="32">
        <v>510</v>
      </c>
      <c r="R205" s="32">
        <v>150</v>
      </c>
      <c r="T205" s="32">
        <v>360</v>
      </c>
    </row>
    <row r="206" spans="2:20" ht="12.75" hidden="1" x14ac:dyDescent="0.25">
      <c r="B206" s="32">
        <v>29</v>
      </c>
      <c r="F206" s="32" t="s">
        <v>237</v>
      </c>
      <c r="J206" s="32">
        <v>1</v>
      </c>
      <c r="P206" s="32">
        <v>800</v>
      </c>
      <c r="R206" s="32">
        <v>200</v>
      </c>
      <c r="T206" s="32">
        <v>600</v>
      </c>
    </row>
    <row r="207" spans="2:20" ht="12.75" hidden="1" x14ac:dyDescent="0.25">
      <c r="B207" s="32">
        <v>30</v>
      </c>
      <c r="F207" s="32" t="s">
        <v>148</v>
      </c>
      <c r="J207" s="32">
        <v>2</v>
      </c>
      <c r="P207" s="32">
        <v>1960</v>
      </c>
      <c r="R207" s="32">
        <v>300</v>
      </c>
      <c r="T207" s="32">
        <v>1660</v>
      </c>
    </row>
    <row r="208" spans="2:20" ht="12.75" hidden="1" x14ac:dyDescent="0.25">
      <c r="B208" s="32">
        <v>31</v>
      </c>
      <c r="F208" s="32" t="s">
        <v>235</v>
      </c>
      <c r="J208" s="32">
        <v>3</v>
      </c>
      <c r="P208" s="32">
        <v>2850</v>
      </c>
      <c r="R208" s="32">
        <v>420</v>
      </c>
      <c r="T208" s="32">
        <v>2430</v>
      </c>
    </row>
    <row r="209" spans="2:20" ht="12.75" hidden="1" x14ac:dyDescent="0.25">
      <c r="B209" s="32">
        <v>32</v>
      </c>
      <c r="F209" s="32" t="s">
        <v>288</v>
      </c>
      <c r="J209" s="32">
        <v>2</v>
      </c>
      <c r="P209" s="32">
        <v>1600</v>
      </c>
      <c r="R209" s="32">
        <v>900</v>
      </c>
      <c r="T209" s="32">
        <v>700</v>
      </c>
    </row>
    <row r="210" spans="2:20" ht="12.75" hidden="1" x14ac:dyDescent="0.25">
      <c r="B210" s="32">
        <v>33</v>
      </c>
      <c r="F210" s="32" t="s">
        <v>234</v>
      </c>
      <c r="J210" s="32">
        <v>1</v>
      </c>
      <c r="P210" s="32">
        <v>800</v>
      </c>
      <c r="R210" s="32">
        <v>450</v>
      </c>
      <c r="T210" s="32">
        <v>350</v>
      </c>
    </row>
    <row r="211" spans="2:20" ht="12.75" hidden="1" x14ac:dyDescent="0.25">
      <c r="B211" s="32">
        <v>34</v>
      </c>
      <c r="F211" s="32" t="s">
        <v>193</v>
      </c>
      <c r="J211" s="32">
        <v>1</v>
      </c>
      <c r="P211" s="32">
        <v>890</v>
      </c>
      <c r="R211" s="32">
        <v>130</v>
      </c>
      <c r="T211" s="32">
        <v>760</v>
      </c>
    </row>
    <row r="212" spans="2:20" ht="12.75" hidden="1" x14ac:dyDescent="0.25">
      <c r="B212" s="32">
        <v>35</v>
      </c>
      <c r="F212" s="32" t="s">
        <v>142</v>
      </c>
      <c r="J212" s="32">
        <v>1</v>
      </c>
      <c r="P212" s="32">
        <v>350</v>
      </c>
      <c r="R212" s="32">
        <v>150</v>
      </c>
      <c r="T212" s="32">
        <v>200</v>
      </c>
    </row>
    <row r="213" spans="2:20" ht="12.75" hidden="1" x14ac:dyDescent="0.25">
      <c r="B213" s="32">
        <v>36</v>
      </c>
      <c r="F213" s="32" t="s">
        <v>75</v>
      </c>
      <c r="J213" s="32">
        <v>757</v>
      </c>
      <c r="P213" s="32">
        <v>1892500</v>
      </c>
      <c r="R213" s="32">
        <v>1892500</v>
      </c>
      <c r="T213" s="32">
        <v>0</v>
      </c>
    </row>
    <row r="214" spans="2:20" ht="12.75" hidden="1" x14ac:dyDescent="0.25">
      <c r="B214" s="32">
        <v>37</v>
      </c>
      <c r="F214" s="32" t="s">
        <v>139</v>
      </c>
      <c r="J214" s="32">
        <v>2</v>
      </c>
      <c r="P214" s="32">
        <v>540</v>
      </c>
      <c r="R214" s="32">
        <v>160</v>
      </c>
      <c r="T214" s="32">
        <v>380</v>
      </c>
    </row>
    <row r="215" spans="2:20" ht="12.75" hidden="1" x14ac:dyDescent="0.25">
      <c r="B215" s="32">
        <v>38</v>
      </c>
      <c r="F215" s="32" t="s">
        <v>138</v>
      </c>
      <c r="J215" s="32">
        <v>1</v>
      </c>
      <c r="P215" s="32">
        <v>800</v>
      </c>
      <c r="R215" s="32">
        <v>450</v>
      </c>
      <c r="T215" s="32">
        <v>350</v>
      </c>
    </row>
    <row r="216" spans="2:20" ht="12.75" hidden="1" x14ac:dyDescent="0.25">
      <c r="B216" s="32">
        <v>39</v>
      </c>
      <c r="F216" s="32" t="s">
        <v>137</v>
      </c>
      <c r="J216" s="32">
        <v>1</v>
      </c>
      <c r="P216" s="32">
        <v>800</v>
      </c>
      <c r="R216" s="32">
        <v>450</v>
      </c>
      <c r="T216" s="32">
        <v>350</v>
      </c>
    </row>
    <row r="217" spans="2:20" ht="12.75" hidden="1" x14ac:dyDescent="0.25">
      <c r="B217" s="32">
        <v>40</v>
      </c>
      <c r="F217" s="32" t="s">
        <v>136</v>
      </c>
      <c r="J217" s="32">
        <v>10</v>
      </c>
      <c r="P217" s="32">
        <v>8500</v>
      </c>
      <c r="R217" s="32">
        <v>2210</v>
      </c>
      <c r="T217" s="32">
        <v>6290</v>
      </c>
    </row>
    <row r="218" spans="2:20" ht="12.75" hidden="1" x14ac:dyDescent="0.25">
      <c r="B218" s="32">
        <v>41</v>
      </c>
      <c r="F218" s="32" t="s">
        <v>74</v>
      </c>
      <c r="J218" s="32">
        <v>3</v>
      </c>
      <c r="P218" s="32">
        <v>2550</v>
      </c>
      <c r="R218" s="32">
        <v>2550</v>
      </c>
      <c r="T218" s="32">
        <v>0</v>
      </c>
    </row>
    <row r="219" spans="2:20" ht="12.75" hidden="1" x14ac:dyDescent="0.25">
      <c r="B219" s="32">
        <v>42</v>
      </c>
      <c r="F219" s="32" t="s">
        <v>191</v>
      </c>
      <c r="J219" s="32">
        <v>2</v>
      </c>
      <c r="P219" s="32">
        <v>700</v>
      </c>
      <c r="R219" s="32">
        <v>200</v>
      </c>
      <c r="T219" s="32">
        <v>500</v>
      </c>
    </row>
    <row r="220" spans="2:20" ht="12.75" hidden="1" x14ac:dyDescent="0.25">
      <c r="B220" s="32">
        <v>43</v>
      </c>
      <c r="F220" s="32" t="s">
        <v>190</v>
      </c>
      <c r="J220" s="32">
        <v>3</v>
      </c>
      <c r="P220" s="32">
        <v>4710</v>
      </c>
      <c r="R220" s="32">
        <v>720</v>
      </c>
      <c r="T220" s="32">
        <v>3990</v>
      </c>
    </row>
    <row r="221" spans="2:20" ht="12.75" hidden="1" x14ac:dyDescent="0.25">
      <c r="B221" s="32">
        <v>44</v>
      </c>
      <c r="F221" s="32" t="s">
        <v>135</v>
      </c>
      <c r="J221" s="32">
        <v>4</v>
      </c>
      <c r="P221" s="32">
        <v>3800</v>
      </c>
      <c r="R221" s="32">
        <v>1120</v>
      </c>
      <c r="T221" s="32">
        <v>2680</v>
      </c>
    </row>
    <row r="222" spans="2:20" ht="12.75" hidden="1" x14ac:dyDescent="0.25">
      <c r="B222" s="32">
        <v>45</v>
      </c>
      <c r="F222" s="32" t="s">
        <v>132</v>
      </c>
      <c r="J222" s="32">
        <v>4</v>
      </c>
      <c r="P222" s="32">
        <v>4960</v>
      </c>
      <c r="R222" s="32">
        <v>1480</v>
      </c>
      <c r="T222" s="32">
        <v>3480</v>
      </c>
    </row>
    <row r="223" spans="2:20" ht="12.75" hidden="1" x14ac:dyDescent="0.25">
      <c r="B223" s="32">
        <v>46</v>
      </c>
      <c r="F223" s="32" t="s">
        <v>455</v>
      </c>
      <c r="J223" s="32">
        <v>1</v>
      </c>
      <c r="P223" s="32">
        <v>9000</v>
      </c>
      <c r="R223" s="32">
        <v>4500</v>
      </c>
      <c r="T223" s="32">
        <v>4500</v>
      </c>
    </row>
    <row r="224" spans="2:20" ht="12.75" hidden="1" x14ac:dyDescent="0.25">
      <c r="B224" s="32">
        <v>47</v>
      </c>
      <c r="F224" s="32" t="s">
        <v>131</v>
      </c>
      <c r="J224" s="32">
        <v>1</v>
      </c>
      <c r="P224" s="32">
        <v>3700</v>
      </c>
      <c r="R224" s="32">
        <v>0</v>
      </c>
      <c r="T224" s="32">
        <v>3700</v>
      </c>
    </row>
    <row r="225" spans="2:20" ht="12.75" hidden="1" x14ac:dyDescent="0.25">
      <c r="B225" s="32">
        <v>48</v>
      </c>
      <c r="F225" s="32" t="s">
        <v>130</v>
      </c>
      <c r="J225" s="32">
        <v>4</v>
      </c>
      <c r="P225" s="32">
        <v>32000</v>
      </c>
      <c r="R225" s="32">
        <v>16400</v>
      </c>
      <c r="T225" s="32">
        <v>15600</v>
      </c>
    </row>
    <row r="226" spans="2:20" ht="12.75" hidden="1" x14ac:dyDescent="0.25">
      <c r="B226" s="32">
        <v>49</v>
      </c>
      <c r="F226" s="32" t="s">
        <v>127</v>
      </c>
      <c r="J226" s="32">
        <v>24</v>
      </c>
      <c r="P226" s="32">
        <v>7200</v>
      </c>
      <c r="R226" s="32">
        <v>2911</v>
      </c>
      <c r="T226" s="32">
        <v>4289</v>
      </c>
    </row>
    <row r="227" spans="2:20" ht="12.75" hidden="1" x14ac:dyDescent="0.25">
      <c r="B227" s="32">
        <v>50</v>
      </c>
      <c r="F227" s="32" t="s">
        <v>126</v>
      </c>
      <c r="J227" s="32">
        <v>51</v>
      </c>
      <c r="P227" s="32">
        <v>10200</v>
      </c>
      <c r="R227" s="32">
        <v>3555</v>
      </c>
      <c r="T227" s="32">
        <v>6645</v>
      </c>
    </row>
    <row r="228" spans="2:20" ht="12.75" hidden="1" x14ac:dyDescent="0.25">
      <c r="B228" s="32">
        <v>51</v>
      </c>
      <c r="F228" s="32" t="s">
        <v>124</v>
      </c>
      <c r="J228" s="32">
        <v>10</v>
      </c>
      <c r="P228" s="32">
        <v>5900</v>
      </c>
      <c r="R228" s="32">
        <v>1750</v>
      </c>
      <c r="T228" s="32">
        <v>4150</v>
      </c>
    </row>
    <row r="229" spans="2:20" ht="12.75" hidden="1" x14ac:dyDescent="0.25">
      <c r="B229" s="32">
        <v>52</v>
      </c>
      <c r="F229" s="32" t="s">
        <v>123</v>
      </c>
      <c r="J229" s="32">
        <v>22</v>
      </c>
      <c r="P229" s="32">
        <v>17160</v>
      </c>
      <c r="R229" s="32">
        <v>5060</v>
      </c>
      <c r="T229" s="32">
        <v>12100</v>
      </c>
    </row>
    <row r="230" spans="2:20" ht="12.75" hidden="1" x14ac:dyDescent="0.25">
      <c r="B230" s="32">
        <v>53</v>
      </c>
      <c r="F230" s="32" t="s">
        <v>183</v>
      </c>
      <c r="J230" s="32">
        <v>2</v>
      </c>
      <c r="P230" s="32">
        <v>880</v>
      </c>
      <c r="R230" s="32">
        <v>260</v>
      </c>
      <c r="T230" s="32">
        <v>620</v>
      </c>
    </row>
    <row r="231" spans="2:20" ht="12.75" hidden="1" x14ac:dyDescent="0.25">
      <c r="B231" s="32">
        <v>54</v>
      </c>
      <c r="F231" s="32" t="s">
        <v>227</v>
      </c>
      <c r="J231" s="32">
        <v>1</v>
      </c>
      <c r="P231" s="32">
        <v>500</v>
      </c>
      <c r="R231" s="32">
        <v>150</v>
      </c>
      <c r="T231" s="32">
        <v>350</v>
      </c>
    </row>
    <row r="232" spans="2:20" ht="12.75" hidden="1" x14ac:dyDescent="0.25">
      <c r="B232" s="32">
        <v>55</v>
      </c>
      <c r="F232" s="32" t="s">
        <v>122</v>
      </c>
      <c r="J232" s="32">
        <v>4</v>
      </c>
      <c r="P232" s="32">
        <v>2000</v>
      </c>
      <c r="R232" s="32">
        <v>580</v>
      </c>
      <c r="T232" s="32">
        <v>1420</v>
      </c>
    </row>
    <row r="233" spans="2:20" ht="12.75" hidden="1" x14ac:dyDescent="0.25">
      <c r="B233" s="32">
        <v>56</v>
      </c>
      <c r="F233" s="32" t="s">
        <v>121</v>
      </c>
      <c r="J233" s="32">
        <v>4</v>
      </c>
      <c r="P233" s="32">
        <v>2000</v>
      </c>
      <c r="R233" s="32">
        <v>600</v>
      </c>
      <c r="T233" s="32">
        <v>1400</v>
      </c>
    </row>
    <row r="234" spans="2:20" ht="12.75" hidden="1" x14ac:dyDescent="0.25">
      <c r="B234" s="32">
        <v>57</v>
      </c>
      <c r="F234" s="32" t="s">
        <v>381</v>
      </c>
      <c r="J234" s="32">
        <v>1</v>
      </c>
      <c r="P234" s="32">
        <v>390</v>
      </c>
      <c r="R234" s="32">
        <v>120</v>
      </c>
      <c r="T234" s="32">
        <v>270</v>
      </c>
    </row>
    <row r="235" spans="2:20" ht="12.75" hidden="1" x14ac:dyDescent="0.25">
      <c r="B235" s="32">
        <v>58</v>
      </c>
      <c r="F235" s="32" t="s">
        <v>120</v>
      </c>
      <c r="J235" s="32">
        <v>2</v>
      </c>
      <c r="P235" s="32">
        <v>700</v>
      </c>
      <c r="R235" s="32">
        <v>200</v>
      </c>
      <c r="T235" s="32">
        <v>500</v>
      </c>
    </row>
    <row r="236" spans="2:20" ht="12.75" hidden="1" x14ac:dyDescent="0.25">
      <c r="B236" s="32">
        <v>59</v>
      </c>
      <c r="F236" s="32" t="s">
        <v>182</v>
      </c>
      <c r="J236" s="32">
        <v>1</v>
      </c>
      <c r="P236" s="32">
        <v>790</v>
      </c>
      <c r="R236" s="32">
        <v>120</v>
      </c>
      <c r="T236" s="32">
        <v>670</v>
      </c>
    </row>
    <row r="237" spans="2:20" ht="12.75" hidden="1" x14ac:dyDescent="0.25">
      <c r="B237" s="32">
        <v>60</v>
      </c>
      <c r="F237" s="32" t="s">
        <v>119</v>
      </c>
      <c r="J237" s="32">
        <v>12</v>
      </c>
      <c r="P237" s="32">
        <v>10680</v>
      </c>
      <c r="R237" s="32">
        <v>3510</v>
      </c>
      <c r="T237" s="32">
        <v>7170</v>
      </c>
    </row>
    <row r="238" spans="2:20" ht="12.75" hidden="1" x14ac:dyDescent="0.25">
      <c r="B238" s="32">
        <v>61</v>
      </c>
      <c r="F238" s="32" t="s">
        <v>118</v>
      </c>
      <c r="J238" s="32">
        <v>241</v>
      </c>
      <c r="P238" s="32">
        <v>238590</v>
      </c>
      <c r="R238" s="32">
        <v>116391</v>
      </c>
      <c r="T238" s="32">
        <v>122199</v>
      </c>
    </row>
    <row r="239" spans="2:20" ht="12.75" hidden="1" x14ac:dyDescent="0.25">
      <c r="B239" s="32">
        <v>62</v>
      </c>
      <c r="F239" s="32" t="s">
        <v>117</v>
      </c>
      <c r="J239" s="32">
        <v>9</v>
      </c>
      <c r="P239" s="32">
        <v>7200</v>
      </c>
      <c r="R239" s="32">
        <v>1800</v>
      </c>
      <c r="T239" s="32">
        <v>5400</v>
      </c>
    </row>
    <row r="240" spans="2:20" ht="12.75" hidden="1" x14ac:dyDescent="0.25">
      <c r="B240" s="32">
        <v>63</v>
      </c>
      <c r="F240" s="32" t="s">
        <v>115</v>
      </c>
      <c r="J240" s="32">
        <v>2</v>
      </c>
      <c r="P240" s="32">
        <v>580</v>
      </c>
      <c r="R240" s="32">
        <v>220</v>
      </c>
      <c r="T240" s="32">
        <v>360</v>
      </c>
    </row>
    <row r="241" spans="2:20" ht="12.75" hidden="1" x14ac:dyDescent="0.25">
      <c r="B241" s="32">
        <v>64</v>
      </c>
      <c r="F241" s="32" t="s">
        <v>300</v>
      </c>
      <c r="J241" s="32">
        <v>1</v>
      </c>
      <c r="P241" s="32">
        <v>330</v>
      </c>
      <c r="R241" s="32">
        <v>140</v>
      </c>
      <c r="T241" s="32">
        <v>190</v>
      </c>
    </row>
    <row r="242" spans="2:20" ht="12.75" hidden="1" x14ac:dyDescent="0.25">
      <c r="B242" s="32">
        <v>65</v>
      </c>
      <c r="F242" s="32" t="s">
        <v>219</v>
      </c>
      <c r="J242" s="32">
        <v>2</v>
      </c>
      <c r="P242" s="32">
        <v>1000</v>
      </c>
      <c r="R242" s="32">
        <v>130</v>
      </c>
      <c r="T242" s="32">
        <v>870</v>
      </c>
    </row>
    <row r="243" spans="2:20" ht="12.75" hidden="1" x14ac:dyDescent="0.25">
      <c r="B243" s="32">
        <v>66</v>
      </c>
      <c r="F243" s="32" t="s">
        <v>334</v>
      </c>
      <c r="J243" s="32">
        <v>1</v>
      </c>
      <c r="P243" s="32">
        <v>790</v>
      </c>
      <c r="R243" s="32">
        <v>120</v>
      </c>
      <c r="T243" s="32">
        <v>670</v>
      </c>
    </row>
    <row r="244" spans="2:20" ht="12.75" hidden="1" x14ac:dyDescent="0.25">
      <c r="B244" s="32">
        <v>67</v>
      </c>
      <c r="F244" s="32" t="s">
        <v>181</v>
      </c>
      <c r="J244" s="32">
        <v>2</v>
      </c>
      <c r="P244" s="32">
        <v>1580</v>
      </c>
      <c r="R244" s="32">
        <v>240</v>
      </c>
      <c r="T244" s="32">
        <v>1340</v>
      </c>
    </row>
    <row r="245" spans="2:20" ht="12.75" hidden="1" x14ac:dyDescent="0.25">
      <c r="B245" s="32">
        <v>68</v>
      </c>
      <c r="F245" s="32" t="s">
        <v>108</v>
      </c>
      <c r="J245" s="32">
        <v>11</v>
      </c>
      <c r="P245" s="32">
        <v>1100</v>
      </c>
      <c r="R245" s="32">
        <v>0</v>
      </c>
      <c r="T245" s="32">
        <v>1100</v>
      </c>
    </row>
    <row r="246" spans="2:20" ht="12.75" hidden="1" x14ac:dyDescent="0.25">
      <c r="B246" s="32">
        <v>69</v>
      </c>
      <c r="F246" s="32" t="s">
        <v>107</v>
      </c>
      <c r="J246" s="32">
        <v>47</v>
      </c>
      <c r="P246" s="32">
        <v>7990</v>
      </c>
      <c r="R246" s="32">
        <v>2811</v>
      </c>
      <c r="T246" s="32">
        <v>5179</v>
      </c>
    </row>
    <row r="247" spans="2:20" ht="12.75" hidden="1" x14ac:dyDescent="0.25">
      <c r="B247" s="32">
        <v>70</v>
      </c>
      <c r="F247" s="32" t="s">
        <v>103</v>
      </c>
      <c r="J247" s="32">
        <v>7</v>
      </c>
      <c r="P247" s="32">
        <v>2310</v>
      </c>
      <c r="R247" s="32">
        <v>880</v>
      </c>
      <c r="T247" s="32">
        <v>1430</v>
      </c>
    </row>
    <row r="248" spans="2:20" ht="12.75" hidden="1" x14ac:dyDescent="0.25">
      <c r="B248" s="32">
        <v>71</v>
      </c>
      <c r="F248" s="32" t="s">
        <v>213</v>
      </c>
      <c r="J248" s="32">
        <v>1</v>
      </c>
      <c r="P248" s="32">
        <v>700</v>
      </c>
      <c r="R248" s="32">
        <v>350</v>
      </c>
      <c r="T248" s="32">
        <v>350</v>
      </c>
    </row>
    <row r="249" spans="2:20" ht="12.75" hidden="1" x14ac:dyDescent="0.25">
      <c r="B249" s="32">
        <v>72</v>
      </c>
      <c r="F249" s="32" t="s">
        <v>98</v>
      </c>
      <c r="J249" s="32">
        <v>1</v>
      </c>
      <c r="P249" s="32">
        <v>570</v>
      </c>
      <c r="R249" s="32">
        <v>80</v>
      </c>
      <c r="T249" s="32">
        <v>490</v>
      </c>
    </row>
    <row r="250" spans="2:20" ht="12.75" hidden="1" x14ac:dyDescent="0.25">
      <c r="B250" s="32">
        <v>73</v>
      </c>
      <c r="F250" s="32" t="s">
        <v>428</v>
      </c>
      <c r="J250" s="32">
        <v>1</v>
      </c>
      <c r="P250" s="32">
        <v>700</v>
      </c>
      <c r="R250" s="32">
        <v>350</v>
      </c>
      <c r="T250" s="32">
        <v>350</v>
      </c>
    </row>
    <row r="251" spans="2:20" ht="12.75" hidden="1" x14ac:dyDescent="0.25">
      <c r="B251" s="32">
        <v>74</v>
      </c>
      <c r="F251" s="32" t="s">
        <v>176</v>
      </c>
      <c r="J251" s="32">
        <v>1</v>
      </c>
      <c r="P251" s="32">
        <v>1060</v>
      </c>
      <c r="R251" s="32">
        <v>160</v>
      </c>
      <c r="T251" s="32">
        <v>900</v>
      </c>
    </row>
    <row r="252" spans="2:20" ht="12.75" hidden="1" x14ac:dyDescent="0.25">
      <c r="B252" s="32">
        <v>75</v>
      </c>
      <c r="F252" s="32" t="s">
        <v>97</v>
      </c>
      <c r="J252" s="32">
        <v>17</v>
      </c>
      <c r="P252" s="32">
        <v>27030</v>
      </c>
      <c r="R252" s="32">
        <v>4080</v>
      </c>
      <c r="T252" s="32">
        <v>22950</v>
      </c>
    </row>
    <row r="253" spans="2:20" ht="12.75" hidden="1" x14ac:dyDescent="0.25">
      <c r="B253" s="32">
        <v>76</v>
      </c>
      <c r="F253" s="32" t="s">
        <v>96</v>
      </c>
      <c r="J253" s="32">
        <v>1</v>
      </c>
      <c r="P253" s="32">
        <v>440</v>
      </c>
      <c r="R253" s="32">
        <v>130</v>
      </c>
      <c r="T253" s="32">
        <v>310</v>
      </c>
    </row>
    <row r="254" spans="2:20" ht="12.75" hidden="1" x14ac:dyDescent="0.25">
      <c r="B254" s="32">
        <v>77</v>
      </c>
      <c r="F254" s="32" t="s">
        <v>95</v>
      </c>
      <c r="J254" s="32">
        <v>1</v>
      </c>
      <c r="P254" s="32">
        <v>290</v>
      </c>
      <c r="R254" s="32">
        <v>80</v>
      </c>
      <c r="T254" s="32">
        <v>210</v>
      </c>
    </row>
    <row r="255" spans="2:20" ht="12.75" hidden="1" x14ac:dyDescent="0.25">
      <c r="B255" s="32">
        <v>78</v>
      </c>
      <c r="F255" s="32" t="s">
        <v>253</v>
      </c>
      <c r="J255" s="32">
        <v>2</v>
      </c>
      <c r="P255" s="32">
        <v>580</v>
      </c>
      <c r="R255" s="32">
        <v>160</v>
      </c>
      <c r="T255" s="32">
        <v>420</v>
      </c>
    </row>
    <row r="256" spans="2:20" ht="12.75" hidden="1" x14ac:dyDescent="0.25">
      <c r="B256" s="32">
        <v>79</v>
      </c>
      <c r="F256" s="32" t="s">
        <v>93</v>
      </c>
      <c r="J256" s="32">
        <v>1</v>
      </c>
      <c r="P256" s="32">
        <v>590</v>
      </c>
      <c r="R256" s="32">
        <v>90</v>
      </c>
      <c r="T256" s="32">
        <v>500</v>
      </c>
    </row>
    <row r="257" spans="1:20" ht="12.75" hidden="1" x14ac:dyDescent="0.25">
      <c r="B257" s="32">
        <v>80</v>
      </c>
      <c r="F257" s="32" t="s">
        <v>92</v>
      </c>
      <c r="J257" s="32">
        <v>11</v>
      </c>
      <c r="P257" s="32">
        <v>9840</v>
      </c>
      <c r="R257" s="32">
        <v>2920</v>
      </c>
      <c r="T257" s="32">
        <v>6920</v>
      </c>
    </row>
    <row r="258" spans="1:20" ht="12.75" hidden="1" x14ac:dyDescent="0.25">
      <c r="B258" s="32">
        <v>81</v>
      </c>
      <c r="F258" s="32" t="s">
        <v>306</v>
      </c>
      <c r="J258" s="32">
        <v>2</v>
      </c>
      <c r="P258" s="32">
        <v>2160</v>
      </c>
      <c r="R258" s="32">
        <v>640</v>
      </c>
      <c r="T258" s="32">
        <v>1520</v>
      </c>
    </row>
    <row r="259" spans="1:20" ht="12.75" hidden="1" x14ac:dyDescent="0.25">
      <c r="B259" s="32">
        <v>82</v>
      </c>
      <c r="F259" s="32" t="s">
        <v>91</v>
      </c>
      <c r="J259" s="32">
        <v>229</v>
      </c>
      <c r="P259" s="32">
        <v>57250</v>
      </c>
      <c r="R259" s="32">
        <v>28072</v>
      </c>
      <c r="T259" s="32">
        <v>29178</v>
      </c>
    </row>
    <row r="260" spans="1:20" ht="12.75" hidden="1" x14ac:dyDescent="0.25">
      <c r="B260" s="32">
        <v>83</v>
      </c>
      <c r="F260" s="32" t="s">
        <v>90</v>
      </c>
      <c r="J260" s="32">
        <v>52</v>
      </c>
      <c r="P260" s="32">
        <v>15080</v>
      </c>
      <c r="R260" s="32">
        <v>4160</v>
      </c>
      <c r="T260" s="32">
        <v>10920</v>
      </c>
    </row>
    <row r="261" spans="1:20" ht="12.75" hidden="1" x14ac:dyDescent="0.25">
      <c r="B261" s="32">
        <v>84</v>
      </c>
      <c r="F261" s="32" t="s">
        <v>89</v>
      </c>
      <c r="J261" s="32">
        <v>2</v>
      </c>
      <c r="P261" s="32">
        <v>1760</v>
      </c>
      <c r="R261" s="32">
        <v>260</v>
      </c>
      <c r="T261" s="32">
        <v>1500</v>
      </c>
    </row>
    <row r="262" spans="1:20" ht="12.75" hidden="1" x14ac:dyDescent="0.25">
      <c r="B262" s="32">
        <v>85</v>
      </c>
      <c r="F262" s="32" t="s">
        <v>88</v>
      </c>
      <c r="J262" s="32">
        <v>51</v>
      </c>
      <c r="P262" s="32">
        <v>9180</v>
      </c>
      <c r="R262" s="32">
        <v>3281</v>
      </c>
      <c r="T262" s="32">
        <v>5899</v>
      </c>
    </row>
    <row r="263" spans="1:20" ht="12.75" hidden="1" x14ac:dyDescent="0.25">
      <c r="B263" s="32">
        <v>86</v>
      </c>
      <c r="F263" s="32" t="s">
        <v>86</v>
      </c>
      <c r="J263" s="32">
        <v>4</v>
      </c>
      <c r="P263" s="32">
        <v>4560</v>
      </c>
      <c r="R263" s="32">
        <v>680</v>
      </c>
      <c r="T263" s="32">
        <v>3880</v>
      </c>
    </row>
    <row r="264" spans="1:20" ht="12.75" hidden="1" x14ac:dyDescent="0.25">
      <c r="B264" s="32">
        <v>87</v>
      </c>
      <c r="F264" s="32" t="s">
        <v>85</v>
      </c>
      <c r="J264" s="32">
        <v>3</v>
      </c>
      <c r="P264" s="32">
        <v>6240</v>
      </c>
      <c r="R264" s="32">
        <v>930</v>
      </c>
      <c r="T264" s="32">
        <v>5310</v>
      </c>
    </row>
    <row r="265" spans="1:20" ht="12.75" hidden="1" x14ac:dyDescent="0.25">
      <c r="B265" s="32">
        <v>88</v>
      </c>
      <c r="F265" s="32" t="s">
        <v>84</v>
      </c>
      <c r="J265" s="32">
        <v>2</v>
      </c>
      <c r="P265" s="32">
        <v>1180</v>
      </c>
      <c r="R265" s="32">
        <v>360</v>
      </c>
      <c r="T265" s="32">
        <v>820</v>
      </c>
    </row>
    <row r="266" spans="1:20" ht="12.75" hidden="1" x14ac:dyDescent="0.25">
      <c r="B266" s="32">
        <v>89</v>
      </c>
      <c r="F266" s="32" t="s">
        <v>83</v>
      </c>
      <c r="J266" s="32">
        <v>1</v>
      </c>
      <c r="P266" s="32">
        <v>500</v>
      </c>
      <c r="R266" s="32">
        <v>130</v>
      </c>
      <c r="T266" s="32">
        <v>370</v>
      </c>
    </row>
    <row r="267" spans="1:20" ht="12.75" hidden="1" x14ac:dyDescent="0.25">
      <c r="A267" s="32" t="s">
        <v>454</v>
      </c>
      <c r="K267" s="32">
        <v>4223</v>
      </c>
      <c r="P267" s="32">
        <v>4976750</v>
      </c>
      <c r="R267" s="32">
        <v>4576281</v>
      </c>
      <c r="T267" s="32">
        <v>400469</v>
      </c>
    </row>
    <row r="268" spans="1:20" ht="12.75" hidden="1" x14ac:dyDescent="0.25">
      <c r="B268" s="32">
        <v>1</v>
      </c>
      <c r="F268" s="32" t="s">
        <v>316</v>
      </c>
      <c r="J268" s="32">
        <v>1</v>
      </c>
      <c r="P268" s="32">
        <v>390</v>
      </c>
      <c r="R268" s="32">
        <v>120</v>
      </c>
      <c r="T268" s="32">
        <v>270</v>
      </c>
    </row>
    <row r="269" spans="1:20" ht="12.75" hidden="1" x14ac:dyDescent="0.25">
      <c r="B269" s="32">
        <v>2</v>
      </c>
      <c r="F269" s="32" t="s">
        <v>78</v>
      </c>
      <c r="J269" s="32">
        <v>456</v>
      </c>
      <c r="P269" s="32">
        <v>132240</v>
      </c>
      <c r="R269" s="32">
        <v>132240</v>
      </c>
      <c r="T269" s="32">
        <v>0</v>
      </c>
    </row>
    <row r="270" spans="1:20" ht="12.75" hidden="1" x14ac:dyDescent="0.25">
      <c r="B270" s="32">
        <v>3</v>
      </c>
      <c r="F270" s="32" t="s">
        <v>162</v>
      </c>
      <c r="J270" s="32">
        <v>4</v>
      </c>
      <c r="P270" s="32">
        <v>1720</v>
      </c>
      <c r="R270" s="32">
        <v>570</v>
      </c>
      <c r="T270" s="32">
        <v>1150</v>
      </c>
    </row>
    <row r="271" spans="1:20" ht="12.75" hidden="1" x14ac:dyDescent="0.25">
      <c r="B271" s="32">
        <v>4</v>
      </c>
      <c r="F271" s="32" t="s">
        <v>160</v>
      </c>
      <c r="J271" s="32">
        <v>22</v>
      </c>
      <c r="P271" s="32">
        <v>6380</v>
      </c>
      <c r="R271" s="32">
        <v>960</v>
      </c>
      <c r="T271" s="32">
        <v>5420</v>
      </c>
    </row>
    <row r="272" spans="1:20" ht="12.75" hidden="1" x14ac:dyDescent="0.25">
      <c r="B272" s="32">
        <v>5</v>
      </c>
      <c r="F272" s="32" t="s">
        <v>158</v>
      </c>
      <c r="J272" s="32">
        <v>416</v>
      </c>
      <c r="P272" s="32">
        <v>228800</v>
      </c>
      <c r="R272" s="32">
        <v>65206</v>
      </c>
      <c r="T272" s="32">
        <v>163594</v>
      </c>
    </row>
    <row r="273" spans="2:20" ht="12.75" hidden="1" x14ac:dyDescent="0.25">
      <c r="B273" s="32">
        <v>6</v>
      </c>
      <c r="F273" s="32" t="s">
        <v>157</v>
      </c>
      <c r="J273" s="32">
        <v>261</v>
      </c>
      <c r="P273" s="32">
        <v>127890</v>
      </c>
      <c r="R273" s="32">
        <v>52735</v>
      </c>
      <c r="T273" s="32">
        <v>75155</v>
      </c>
    </row>
    <row r="274" spans="2:20" ht="12.75" hidden="1" x14ac:dyDescent="0.25">
      <c r="B274" s="32">
        <v>7</v>
      </c>
      <c r="F274" s="32" t="s">
        <v>309</v>
      </c>
      <c r="J274" s="32">
        <v>11</v>
      </c>
      <c r="P274" s="32">
        <v>5500</v>
      </c>
      <c r="R274" s="32">
        <v>1650</v>
      </c>
      <c r="T274" s="32">
        <v>3850</v>
      </c>
    </row>
    <row r="275" spans="2:20" ht="12.75" hidden="1" x14ac:dyDescent="0.25">
      <c r="B275" s="32">
        <v>8</v>
      </c>
      <c r="F275" s="32" t="s">
        <v>244</v>
      </c>
      <c r="J275" s="32">
        <v>2</v>
      </c>
      <c r="P275" s="32">
        <v>600</v>
      </c>
      <c r="R275" s="32">
        <v>160</v>
      </c>
      <c r="T275" s="32">
        <v>440</v>
      </c>
    </row>
    <row r="276" spans="2:20" ht="12.75" hidden="1" x14ac:dyDescent="0.25">
      <c r="B276" s="32">
        <v>9</v>
      </c>
      <c r="F276" s="32" t="s">
        <v>77</v>
      </c>
      <c r="J276" s="32">
        <v>837</v>
      </c>
      <c r="P276" s="32">
        <v>339700</v>
      </c>
      <c r="R276" s="32">
        <v>339700</v>
      </c>
      <c r="T276" s="32">
        <v>0</v>
      </c>
    </row>
    <row r="277" spans="2:20" ht="12.75" hidden="1" x14ac:dyDescent="0.25">
      <c r="B277" s="32">
        <v>10</v>
      </c>
      <c r="F277" s="32" t="s">
        <v>76</v>
      </c>
      <c r="J277" s="32">
        <v>8</v>
      </c>
      <c r="P277" s="32">
        <v>4800</v>
      </c>
      <c r="R277" s="32">
        <v>4800</v>
      </c>
      <c r="T277" s="32">
        <v>0</v>
      </c>
    </row>
    <row r="278" spans="2:20" ht="12.75" hidden="1" x14ac:dyDescent="0.25">
      <c r="B278" s="32">
        <v>11</v>
      </c>
      <c r="F278" s="32" t="s">
        <v>156</v>
      </c>
      <c r="J278" s="32">
        <v>5</v>
      </c>
      <c r="P278" s="32">
        <v>950</v>
      </c>
      <c r="R278" s="32">
        <v>220</v>
      </c>
      <c r="T278" s="32">
        <v>730</v>
      </c>
    </row>
    <row r="279" spans="2:20" ht="12.75" hidden="1" x14ac:dyDescent="0.25">
      <c r="B279" s="32">
        <v>12</v>
      </c>
      <c r="F279" s="32" t="s">
        <v>155</v>
      </c>
      <c r="J279" s="32">
        <v>8</v>
      </c>
      <c r="P279" s="32">
        <v>2000</v>
      </c>
      <c r="R279" s="32">
        <v>340</v>
      </c>
      <c r="T279" s="32">
        <v>1660</v>
      </c>
    </row>
    <row r="280" spans="2:20" ht="12.75" hidden="1" x14ac:dyDescent="0.25">
      <c r="B280" s="32">
        <v>13</v>
      </c>
      <c r="F280" s="32" t="s">
        <v>321</v>
      </c>
      <c r="J280" s="32">
        <v>1</v>
      </c>
      <c r="P280" s="32">
        <v>300</v>
      </c>
      <c r="R280" s="32">
        <v>80</v>
      </c>
      <c r="T280" s="32">
        <v>220</v>
      </c>
    </row>
    <row r="281" spans="2:20" ht="12.75" hidden="1" x14ac:dyDescent="0.25">
      <c r="B281" s="32">
        <v>14</v>
      </c>
      <c r="F281" s="32" t="s">
        <v>151</v>
      </c>
      <c r="J281" s="32">
        <v>6</v>
      </c>
      <c r="P281" s="32">
        <v>1380</v>
      </c>
      <c r="R281" s="32">
        <v>450</v>
      </c>
      <c r="T281" s="32">
        <v>930</v>
      </c>
    </row>
    <row r="282" spans="2:20" ht="12.75" hidden="1" x14ac:dyDescent="0.25">
      <c r="B282" s="32">
        <v>15</v>
      </c>
      <c r="F282" s="32" t="s">
        <v>150</v>
      </c>
      <c r="J282" s="32">
        <v>10</v>
      </c>
      <c r="P282" s="32">
        <v>1700</v>
      </c>
      <c r="R282" s="32">
        <v>350</v>
      </c>
      <c r="T282" s="32">
        <v>1350</v>
      </c>
    </row>
    <row r="283" spans="2:20" ht="12.75" hidden="1" x14ac:dyDescent="0.25">
      <c r="B283" s="32">
        <v>16</v>
      </c>
      <c r="F283" s="32" t="s">
        <v>149</v>
      </c>
      <c r="J283" s="32">
        <v>26</v>
      </c>
      <c r="P283" s="32">
        <v>1300</v>
      </c>
      <c r="R283" s="32">
        <v>250</v>
      </c>
      <c r="T283" s="32">
        <v>1050</v>
      </c>
    </row>
    <row r="284" spans="2:20" ht="12.75" hidden="1" x14ac:dyDescent="0.25">
      <c r="B284" s="32">
        <v>17</v>
      </c>
      <c r="F284" s="32" t="s">
        <v>75</v>
      </c>
      <c r="J284" s="32">
        <v>1568</v>
      </c>
      <c r="P284" s="32">
        <v>3920000</v>
      </c>
      <c r="R284" s="32">
        <v>3920000</v>
      </c>
      <c r="T284" s="32">
        <v>0</v>
      </c>
    </row>
    <row r="285" spans="2:20" ht="12.75" hidden="1" x14ac:dyDescent="0.25">
      <c r="B285" s="32">
        <v>18</v>
      </c>
      <c r="F285" s="32" t="s">
        <v>139</v>
      </c>
      <c r="J285" s="32">
        <v>3</v>
      </c>
      <c r="P285" s="32">
        <v>810</v>
      </c>
      <c r="R285" s="32">
        <v>240</v>
      </c>
      <c r="T285" s="32">
        <v>570</v>
      </c>
    </row>
    <row r="286" spans="2:20" ht="12.75" hidden="1" x14ac:dyDescent="0.25">
      <c r="B286" s="32">
        <v>19</v>
      </c>
      <c r="F286" s="32" t="s">
        <v>136</v>
      </c>
      <c r="J286" s="32">
        <v>4</v>
      </c>
      <c r="P286" s="32">
        <v>3400</v>
      </c>
      <c r="R286" s="32">
        <v>520</v>
      </c>
      <c r="T286" s="32">
        <v>2880</v>
      </c>
    </row>
    <row r="287" spans="2:20" ht="12.75" hidden="1" x14ac:dyDescent="0.25">
      <c r="B287" s="32">
        <v>20</v>
      </c>
      <c r="F287" s="32" t="s">
        <v>74</v>
      </c>
      <c r="J287" s="32">
        <v>3</v>
      </c>
      <c r="P287" s="32">
        <v>2550</v>
      </c>
      <c r="R287" s="32">
        <v>2550</v>
      </c>
      <c r="T287" s="32">
        <v>0</v>
      </c>
    </row>
    <row r="288" spans="2:20" ht="12.75" hidden="1" x14ac:dyDescent="0.25">
      <c r="B288" s="32">
        <v>21</v>
      </c>
      <c r="F288" s="32" t="s">
        <v>190</v>
      </c>
      <c r="J288" s="32">
        <v>2</v>
      </c>
      <c r="P288" s="32">
        <v>3140</v>
      </c>
      <c r="R288" s="32">
        <v>240</v>
      </c>
      <c r="T288" s="32">
        <v>2900</v>
      </c>
    </row>
    <row r="289" spans="2:20" ht="12.75" hidden="1" x14ac:dyDescent="0.25">
      <c r="B289" s="32">
        <v>22</v>
      </c>
      <c r="F289" s="32" t="s">
        <v>135</v>
      </c>
      <c r="J289" s="32">
        <v>3</v>
      </c>
      <c r="P289" s="32">
        <v>2850</v>
      </c>
      <c r="R289" s="32">
        <v>280</v>
      </c>
      <c r="T289" s="32">
        <v>2570</v>
      </c>
    </row>
    <row r="290" spans="2:20" ht="12.75" hidden="1" x14ac:dyDescent="0.25">
      <c r="B290" s="32">
        <v>23</v>
      </c>
      <c r="F290" s="32" t="s">
        <v>229</v>
      </c>
      <c r="J290" s="32">
        <v>1</v>
      </c>
      <c r="P290" s="32">
        <v>7000</v>
      </c>
      <c r="R290" s="32">
        <v>7000</v>
      </c>
      <c r="T290" s="32">
        <v>0</v>
      </c>
    </row>
    <row r="291" spans="2:20" ht="12.75" hidden="1" x14ac:dyDescent="0.25">
      <c r="B291" s="32">
        <v>24</v>
      </c>
      <c r="F291" s="32" t="s">
        <v>132</v>
      </c>
      <c r="J291" s="32">
        <v>3</v>
      </c>
      <c r="P291" s="32">
        <v>3720</v>
      </c>
      <c r="R291" s="32">
        <v>740</v>
      </c>
      <c r="T291" s="32">
        <v>2980</v>
      </c>
    </row>
    <row r="292" spans="2:20" ht="12.75" hidden="1" x14ac:dyDescent="0.25">
      <c r="B292" s="32">
        <v>25</v>
      </c>
      <c r="F292" s="32" t="s">
        <v>127</v>
      </c>
      <c r="J292" s="32">
        <v>4</v>
      </c>
      <c r="P292" s="32">
        <v>1200</v>
      </c>
      <c r="R292" s="32">
        <v>180</v>
      </c>
      <c r="T292" s="32">
        <v>1020</v>
      </c>
    </row>
    <row r="293" spans="2:20" ht="12.75" hidden="1" x14ac:dyDescent="0.25">
      <c r="B293" s="32">
        <v>26</v>
      </c>
      <c r="F293" s="32" t="s">
        <v>126</v>
      </c>
      <c r="J293" s="32">
        <v>3</v>
      </c>
      <c r="P293" s="32">
        <v>600</v>
      </c>
      <c r="R293" s="32">
        <v>120</v>
      </c>
      <c r="T293" s="32">
        <v>480</v>
      </c>
    </row>
    <row r="294" spans="2:20" ht="12.75" hidden="1" x14ac:dyDescent="0.25">
      <c r="B294" s="32">
        <v>27</v>
      </c>
      <c r="F294" s="32" t="s">
        <v>125</v>
      </c>
      <c r="J294" s="32">
        <v>3</v>
      </c>
      <c r="P294" s="32">
        <v>1200</v>
      </c>
      <c r="R294" s="32">
        <v>120</v>
      </c>
      <c r="T294" s="32">
        <v>1080</v>
      </c>
    </row>
    <row r="295" spans="2:20" ht="12.75" hidden="1" x14ac:dyDescent="0.25">
      <c r="B295" s="32">
        <v>28</v>
      </c>
      <c r="F295" s="32" t="s">
        <v>124</v>
      </c>
      <c r="J295" s="32">
        <v>1</v>
      </c>
      <c r="P295" s="32">
        <v>780</v>
      </c>
      <c r="R295" s="32">
        <v>230</v>
      </c>
      <c r="T295" s="32">
        <v>550</v>
      </c>
    </row>
    <row r="296" spans="2:20" ht="12.75" hidden="1" x14ac:dyDescent="0.25">
      <c r="B296" s="32">
        <v>29</v>
      </c>
      <c r="F296" s="32" t="s">
        <v>121</v>
      </c>
      <c r="J296" s="32">
        <v>1</v>
      </c>
      <c r="P296" s="32">
        <v>500</v>
      </c>
      <c r="R296" s="32">
        <v>150</v>
      </c>
      <c r="T296" s="32">
        <v>350</v>
      </c>
    </row>
    <row r="297" spans="2:20" ht="12.75" hidden="1" x14ac:dyDescent="0.25">
      <c r="B297" s="32">
        <v>30</v>
      </c>
      <c r="F297" s="32" t="s">
        <v>119</v>
      </c>
      <c r="J297" s="32">
        <v>4</v>
      </c>
      <c r="P297" s="32">
        <v>3560</v>
      </c>
      <c r="R297" s="32">
        <v>300</v>
      </c>
      <c r="T297" s="32">
        <v>3260</v>
      </c>
    </row>
    <row r="298" spans="2:20" ht="12.75" hidden="1" x14ac:dyDescent="0.25">
      <c r="B298" s="32">
        <v>31</v>
      </c>
      <c r="F298" s="32" t="s">
        <v>118</v>
      </c>
      <c r="J298" s="32">
        <v>26</v>
      </c>
      <c r="P298" s="32">
        <v>25740</v>
      </c>
      <c r="R298" s="32">
        <v>9330</v>
      </c>
      <c r="T298" s="32">
        <v>16410</v>
      </c>
    </row>
    <row r="299" spans="2:20" ht="12.75" hidden="1" x14ac:dyDescent="0.25">
      <c r="B299" s="32">
        <v>32</v>
      </c>
      <c r="F299" s="32" t="s">
        <v>115</v>
      </c>
      <c r="J299" s="32">
        <v>6</v>
      </c>
      <c r="P299" s="32">
        <v>1740</v>
      </c>
      <c r="R299" s="32">
        <v>490</v>
      </c>
      <c r="T299" s="32">
        <v>1250</v>
      </c>
    </row>
    <row r="300" spans="2:20" ht="12.75" hidden="1" x14ac:dyDescent="0.25">
      <c r="B300" s="32">
        <v>33</v>
      </c>
      <c r="F300" s="32" t="s">
        <v>181</v>
      </c>
      <c r="J300" s="32">
        <v>4</v>
      </c>
      <c r="P300" s="32">
        <v>3160</v>
      </c>
      <c r="R300" s="32">
        <v>480</v>
      </c>
      <c r="T300" s="32">
        <v>2680</v>
      </c>
    </row>
    <row r="301" spans="2:20" ht="12.75" hidden="1" x14ac:dyDescent="0.25">
      <c r="B301" s="32">
        <v>34</v>
      </c>
      <c r="F301" s="32" t="s">
        <v>109</v>
      </c>
      <c r="J301" s="32">
        <v>3</v>
      </c>
      <c r="P301" s="32">
        <v>2340</v>
      </c>
      <c r="R301" s="32">
        <v>0</v>
      </c>
      <c r="T301" s="32">
        <v>2340</v>
      </c>
    </row>
    <row r="302" spans="2:20" ht="12.75" hidden="1" x14ac:dyDescent="0.25">
      <c r="B302" s="32">
        <v>35</v>
      </c>
      <c r="F302" s="32" t="s">
        <v>108</v>
      </c>
      <c r="J302" s="32">
        <v>9</v>
      </c>
      <c r="P302" s="32">
        <v>900</v>
      </c>
      <c r="R302" s="32">
        <v>120</v>
      </c>
      <c r="T302" s="32">
        <v>780</v>
      </c>
    </row>
    <row r="303" spans="2:20" ht="12.75" hidden="1" x14ac:dyDescent="0.25">
      <c r="B303" s="32">
        <v>36</v>
      </c>
      <c r="F303" s="32" t="s">
        <v>107</v>
      </c>
      <c r="J303" s="32">
        <v>275</v>
      </c>
      <c r="P303" s="32">
        <v>46750</v>
      </c>
      <c r="R303" s="32">
        <v>13050</v>
      </c>
      <c r="T303" s="32">
        <v>33700</v>
      </c>
    </row>
    <row r="304" spans="2:20" ht="12.75" hidden="1" x14ac:dyDescent="0.25">
      <c r="B304" s="32">
        <v>37</v>
      </c>
      <c r="F304" s="32" t="s">
        <v>103</v>
      </c>
      <c r="J304" s="32">
        <v>4</v>
      </c>
      <c r="P304" s="32">
        <v>1320</v>
      </c>
      <c r="R304" s="32">
        <v>340</v>
      </c>
      <c r="T304" s="32">
        <v>980</v>
      </c>
    </row>
    <row r="305" spans="1:20" ht="12.75" hidden="1" x14ac:dyDescent="0.25">
      <c r="B305" s="32">
        <v>38</v>
      </c>
      <c r="F305" s="32" t="s">
        <v>211</v>
      </c>
      <c r="J305" s="32">
        <v>1</v>
      </c>
      <c r="P305" s="32">
        <v>500</v>
      </c>
      <c r="R305" s="32">
        <v>150</v>
      </c>
      <c r="T305" s="32">
        <v>350</v>
      </c>
    </row>
    <row r="306" spans="1:20" ht="12.75" hidden="1" x14ac:dyDescent="0.25">
      <c r="B306" s="32">
        <v>39</v>
      </c>
      <c r="F306" s="32" t="s">
        <v>97</v>
      </c>
      <c r="J306" s="32">
        <v>4</v>
      </c>
      <c r="P306" s="32">
        <v>6360</v>
      </c>
      <c r="R306" s="32">
        <v>960</v>
      </c>
      <c r="T306" s="32">
        <v>5400</v>
      </c>
    </row>
    <row r="307" spans="1:20" ht="12.75" hidden="1" x14ac:dyDescent="0.25">
      <c r="B307" s="32">
        <v>40</v>
      </c>
      <c r="F307" s="32" t="s">
        <v>93</v>
      </c>
      <c r="J307" s="32">
        <v>2</v>
      </c>
      <c r="P307" s="32">
        <v>1180</v>
      </c>
      <c r="R307" s="32">
        <v>180</v>
      </c>
      <c r="T307" s="32">
        <v>1000</v>
      </c>
    </row>
    <row r="308" spans="1:20" ht="12.75" hidden="1" x14ac:dyDescent="0.25">
      <c r="B308" s="32">
        <v>41</v>
      </c>
      <c r="F308" s="32" t="s">
        <v>92</v>
      </c>
      <c r="J308" s="32">
        <v>63</v>
      </c>
      <c r="P308" s="32">
        <v>36080</v>
      </c>
      <c r="R308" s="32">
        <v>8960</v>
      </c>
      <c r="T308" s="32">
        <v>27120</v>
      </c>
    </row>
    <row r="309" spans="1:20" ht="12.75" hidden="1" x14ac:dyDescent="0.25">
      <c r="B309" s="32">
        <v>42</v>
      </c>
      <c r="F309" s="32" t="s">
        <v>91</v>
      </c>
      <c r="J309" s="32">
        <v>7</v>
      </c>
      <c r="P309" s="32">
        <v>1750</v>
      </c>
      <c r="R309" s="32">
        <v>280</v>
      </c>
      <c r="T309" s="32">
        <v>1470</v>
      </c>
    </row>
    <row r="310" spans="1:20" ht="12.75" hidden="1" x14ac:dyDescent="0.25">
      <c r="B310" s="32">
        <v>43</v>
      </c>
      <c r="F310" s="32" t="s">
        <v>90</v>
      </c>
      <c r="J310" s="32">
        <v>116</v>
      </c>
      <c r="P310" s="32">
        <v>33640</v>
      </c>
      <c r="R310" s="32">
        <v>8240</v>
      </c>
      <c r="T310" s="32">
        <v>25400</v>
      </c>
    </row>
    <row r="311" spans="1:20" ht="12.75" hidden="1" x14ac:dyDescent="0.25">
      <c r="B311" s="32">
        <v>44</v>
      </c>
      <c r="F311" s="32" t="s">
        <v>89</v>
      </c>
      <c r="J311" s="32">
        <v>1</v>
      </c>
      <c r="P311" s="32">
        <v>880</v>
      </c>
      <c r="R311" s="32">
        <v>130</v>
      </c>
      <c r="T311" s="32">
        <v>750</v>
      </c>
    </row>
    <row r="312" spans="1:20" ht="12.75" hidden="1" x14ac:dyDescent="0.25">
      <c r="B312" s="32">
        <v>45</v>
      </c>
      <c r="F312" s="32" t="s">
        <v>88</v>
      </c>
      <c r="J312" s="32">
        <v>21</v>
      </c>
      <c r="P312" s="32">
        <v>3780</v>
      </c>
      <c r="R312" s="32">
        <v>770</v>
      </c>
      <c r="T312" s="32">
        <v>3010</v>
      </c>
    </row>
    <row r="313" spans="1:20" ht="12.75" hidden="1" x14ac:dyDescent="0.25">
      <c r="B313" s="32">
        <v>46</v>
      </c>
      <c r="F313" s="32" t="s">
        <v>85</v>
      </c>
      <c r="J313" s="32">
        <v>1</v>
      </c>
      <c r="P313" s="32">
        <v>2080</v>
      </c>
      <c r="R313" s="32">
        <v>0</v>
      </c>
      <c r="T313" s="32">
        <v>2080</v>
      </c>
    </row>
    <row r="314" spans="1:20" ht="12.75" hidden="1" x14ac:dyDescent="0.25">
      <c r="B314" s="32">
        <v>47</v>
      </c>
      <c r="F314" s="32" t="s">
        <v>84</v>
      </c>
      <c r="J314" s="32">
        <v>1</v>
      </c>
      <c r="P314" s="32">
        <v>590</v>
      </c>
      <c r="R314" s="32">
        <v>0</v>
      </c>
      <c r="T314" s="32">
        <v>590</v>
      </c>
    </row>
    <row r="315" spans="1:20" ht="12.75" hidden="1" x14ac:dyDescent="0.25">
      <c r="B315" s="32">
        <v>48</v>
      </c>
      <c r="F315" s="32" t="s">
        <v>206</v>
      </c>
      <c r="J315" s="32">
        <v>1</v>
      </c>
      <c r="P315" s="32">
        <v>500</v>
      </c>
      <c r="R315" s="32">
        <v>150</v>
      </c>
      <c r="T315" s="32">
        <v>350</v>
      </c>
    </row>
    <row r="316" spans="1:20" ht="12.75" hidden="1" x14ac:dyDescent="0.25">
      <c r="B316" s="32">
        <v>49</v>
      </c>
      <c r="F316" s="32" t="s">
        <v>453</v>
      </c>
      <c r="J316" s="32">
        <v>1</v>
      </c>
      <c r="P316" s="32">
        <v>500</v>
      </c>
      <c r="R316" s="32">
        <v>150</v>
      </c>
      <c r="T316" s="32">
        <v>350</v>
      </c>
    </row>
    <row r="317" spans="1:20" ht="12.75" hidden="1" x14ac:dyDescent="0.25">
      <c r="A317" s="32" t="s">
        <v>452</v>
      </c>
      <c r="K317" s="32">
        <v>1084</v>
      </c>
      <c r="P317" s="32">
        <v>1874000</v>
      </c>
      <c r="R317" s="32">
        <v>1872950</v>
      </c>
      <c r="T317" s="32">
        <v>1050</v>
      </c>
    </row>
    <row r="318" spans="1:20" ht="12.75" hidden="1" x14ac:dyDescent="0.25">
      <c r="B318" s="32">
        <v>1</v>
      </c>
      <c r="F318" s="32" t="s">
        <v>78</v>
      </c>
      <c r="J318" s="32">
        <v>40</v>
      </c>
      <c r="P318" s="32">
        <v>11600</v>
      </c>
      <c r="R318" s="32">
        <v>11600</v>
      </c>
      <c r="T318" s="32">
        <v>0</v>
      </c>
    </row>
    <row r="319" spans="1:20" ht="12.75" hidden="1" x14ac:dyDescent="0.25">
      <c r="B319" s="32">
        <v>2</v>
      </c>
      <c r="F319" s="32" t="s">
        <v>292</v>
      </c>
      <c r="J319" s="32">
        <v>1</v>
      </c>
      <c r="P319" s="32">
        <v>700</v>
      </c>
      <c r="R319" s="32">
        <v>700</v>
      </c>
      <c r="T319" s="32">
        <v>0</v>
      </c>
    </row>
    <row r="320" spans="1:20" ht="12.75" hidden="1" x14ac:dyDescent="0.25">
      <c r="B320" s="32">
        <v>3</v>
      </c>
      <c r="F320" s="32" t="s">
        <v>77</v>
      </c>
      <c r="J320" s="32">
        <v>350</v>
      </c>
      <c r="P320" s="32">
        <v>142800</v>
      </c>
      <c r="R320" s="32">
        <v>142800</v>
      </c>
      <c r="T320" s="32">
        <v>0</v>
      </c>
    </row>
    <row r="321" spans="1:20" ht="12.75" hidden="1" x14ac:dyDescent="0.25">
      <c r="B321" s="32">
        <v>4</v>
      </c>
      <c r="F321" s="32" t="s">
        <v>76</v>
      </c>
      <c r="J321" s="32">
        <v>4</v>
      </c>
      <c r="P321" s="32">
        <v>2400</v>
      </c>
      <c r="R321" s="32">
        <v>2400</v>
      </c>
      <c r="T321" s="32">
        <v>0</v>
      </c>
    </row>
    <row r="322" spans="1:20" ht="12.75" hidden="1" x14ac:dyDescent="0.25">
      <c r="B322" s="32">
        <v>5</v>
      </c>
      <c r="F322" s="32" t="s">
        <v>75</v>
      </c>
      <c r="J322" s="32">
        <v>686</v>
      </c>
      <c r="P322" s="32">
        <v>1715000</v>
      </c>
      <c r="R322" s="32">
        <v>1715000</v>
      </c>
      <c r="T322" s="32">
        <v>0</v>
      </c>
    </row>
    <row r="323" spans="1:20" ht="12.75" hidden="1" x14ac:dyDescent="0.25">
      <c r="B323" s="32">
        <v>6</v>
      </c>
      <c r="F323" s="32" t="s">
        <v>219</v>
      </c>
      <c r="J323" s="32">
        <v>1</v>
      </c>
      <c r="P323" s="32">
        <v>500</v>
      </c>
      <c r="R323" s="32">
        <v>150</v>
      </c>
      <c r="T323" s="32">
        <v>350</v>
      </c>
    </row>
    <row r="324" spans="1:20" ht="12.75" hidden="1" x14ac:dyDescent="0.25">
      <c r="B324" s="32">
        <v>7</v>
      </c>
      <c r="F324" s="32" t="s">
        <v>331</v>
      </c>
      <c r="J324" s="32">
        <v>2</v>
      </c>
      <c r="P324" s="32">
        <v>1000</v>
      </c>
      <c r="R324" s="32">
        <v>300</v>
      </c>
      <c r="T324" s="32">
        <v>700</v>
      </c>
    </row>
    <row r="325" spans="1:20" ht="12.75" hidden="1" x14ac:dyDescent="0.25">
      <c r="A325" s="32" t="s">
        <v>451</v>
      </c>
      <c r="K325" s="32">
        <v>4416</v>
      </c>
      <c r="P325" s="32">
        <v>3885715</v>
      </c>
      <c r="R325" s="32">
        <v>3186083</v>
      </c>
      <c r="T325" s="32">
        <v>699632</v>
      </c>
    </row>
    <row r="326" spans="1:20" ht="12.75" hidden="1" x14ac:dyDescent="0.25">
      <c r="B326" s="32">
        <v>1</v>
      </c>
      <c r="F326" s="32" t="s">
        <v>200</v>
      </c>
      <c r="J326" s="32">
        <v>1</v>
      </c>
      <c r="P326" s="32">
        <v>500</v>
      </c>
      <c r="R326" s="32">
        <v>150</v>
      </c>
      <c r="T326" s="32">
        <v>350</v>
      </c>
    </row>
    <row r="327" spans="1:20" ht="12.75" hidden="1" x14ac:dyDescent="0.25">
      <c r="B327" s="32">
        <v>2</v>
      </c>
      <c r="F327" s="32" t="s">
        <v>250</v>
      </c>
      <c r="J327" s="32">
        <v>1</v>
      </c>
      <c r="P327" s="32">
        <v>500</v>
      </c>
      <c r="R327" s="32">
        <v>150</v>
      </c>
      <c r="T327" s="32">
        <v>350</v>
      </c>
    </row>
    <row r="328" spans="1:20" ht="12.75" hidden="1" x14ac:dyDescent="0.25">
      <c r="B328" s="32">
        <v>3</v>
      </c>
      <c r="F328" s="32" t="s">
        <v>78</v>
      </c>
      <c r="J328" s="32">
        <v>174</v>
      </c>
      <c r="P328" s="32">
        <v>50460</v>
      </c>
      <c r="R328" s="32">
        <v>50460</v>
      </c>
      <c r="T328" s="32">
        <v>0</v>
      </c>
    </row>
    <row r="329" spans="1:20" ht="12.75" hidden="1" x14ac:dyDescent="0.25">
      <c r="B329" s="32">
        <v>4</v>
      </c>
      <c r="F329" s="32" t="s">
        <v>167</v>
      </c>
      <c r="J329" s="32">
        <v>2</v>
      </c>
      <c r="P329" s="32">
        <v>1140</v>
      </c>
      <c r="R329" s="32">
        <v>340</v>
      </c>
      <c r="T329" s="32">
        <v>800</v>
      </c>
    </row>
    <row r="330" spans="1:20" ht="12.75" hidden="1" x14ac:dyDescent="0.25">
      <c r="B330" s="32">
        <v>5</v>
      </c>
      <c r="F330" s="32" t="s">
        <v>329</v>
      </c>
      <c r="J330" s="32">
        <v>1</v>
      </c>
      <c r="P330" s="32">
        <v>1200</v>
      </c>
      <c r="R330" s="32">
        <v>180</v>
      </c>
      <c r="T330" s="32">
        <v>1020</v>
      </c>
    </row>
    <row r="331" spans="1:20" ht="12.75" hidden="1" x14ac:dyDescent="0.25">
      <c r="B331" s="32">
        <v>6</v>
      </c>
      <c r="F331" s="32" t="s">
        <v>165</v>
      </c>
      <c r="J331" s="32">
        <v>1</v>
      </c>
      <c r="P331" s="32">
        <v>590</v>
      </c>
      <c r="R331" s="32">
        <v>180</v>
      </c>
      <c r="T331" s="32">
        <v>410</v>
      </c>
    </row>
    <row r="332" spans="1:20" ht="12.75" hidden="1" x14ac:dyDescent="0.25">
      <c r="B332" s="32">
        <v>7</v>
      </c>
      <c r="F332" s="32" t="s">
        <v>164</v>
      </c>
      <c r="J332" s="32">
        <v>1</v>
      </c>
      <c r="P332" s="32">
        <v>590</v>
      </c>
      <c r="R332" s="32">
        <v>180</v>
      </c>
      <c r="T332" s="32">
        <v>410</v>
      </c>
    </row>
    <row r="333" spans="1:20" ht="12.75" hidden="1" x14ac:dyDescent="0.25">
      <c r="B333" s="32">
        <v>8</v>
      </c>
      <c r="F333" s="32" t="s">
        <v>163</v>
      </c>
      <c r="J333" s="32">
        <v>6</v>
      </c>
      <c r="P333" s="32">
        <v>7140</v>
      </c>
      <c r="R333" s="32">
        <v>1080</v>
      </c>
      <c r="T333" s="32">
        <v>6060</v>
      </c>
    </row>
    <row r="334" spans="1:20" ht="12.75" hidden="1" x14ac:dyDescent="0.25">
      <c r="B334" s="32">
        <v>9</v>
      </c>
      <c r="F334" s="32" t="s">
        <v>162</v>
      </c>
      <c r="J334" s="32">
        <v>16</v>
      </c>
      <c r="P334" s="32">
        <v>6880</v>
      </c>
      <c r="R334" s="32">
        <v>2824</v>
      </c>
      <c r="T334" s="32">
        <v>4056</v>
      </c>
    </row>
    <row r="335" spans="1:20" ht="12.75" hidden="1" x14ac:dyDescent="0.25">
      <c r="B335" s="32">
        <v>10</v>
      </c>
      <c r="F335" s="32" t="s">
        <v>198</v>
      </c>
      <c r="J335" s="32">
        <v>1</v>
      </c>
      <c r="P335" s="32">
        <v>290</v>
      </c>
      <c r="R335" s="32">
        <v>80</v>
      </c>
      <c r="T335" s="32">
        <v>210</v>
      </c>
    </row>
    <row r="336" spans="1:20" ht="12.75" hidden="1" x14ac:dyDescent="0.25">
      <c r="B336" s="32">
        <v>11</v>
      </c>
      <c r="F336" s="32" t="s">
        <v>161</v>
      </c>
      <c r="J336" s="32">
        <v>9</v>
      </c>
      <c r="P336" s="32">
        <v>225</v>
      </c>
      <c r="R336" s="32">
        <v>45</v>
      </c>
      <c r="T336" s="32">
        <v>180</v>
      </c>
    </row>
    <row r="337" spans="2:20" ht="12.75" hidden="1" x14ac:dyDescent="0.25">
      <c r="B337" s="32">
        <v>12</v>
      </c>
      <c r="F337" s="32" t="s">
        <v>160</v>
      </c>
      <c r="J337" s="32">
        <v>7</v>
      </c>
      <c r="P337" s="32">
        <v>2030</v>
      </c>
      <c r="R337" s="32">
        <v>512</v>
      </c>
      <c r="T337" s="32">
        <v>1518</v>
      </c>
    </row>
    <row r="338" spans="2:20" ht="12.75" hidden="1" x14ac:dyDescent="0.25">
      <c r="B338" s="32">
        <v>13</v>
      </c>
      <c r="F338" s="32" t="s">
        <v>159</v>
      </c>
      <c r="J338" s="32">
        <v>472</v>
      </c>
      <c r="P338" s="32">
        <v>0</v>
      </c>
      <c r="R338" s="32">
        <v>0</v>
      </c>
      <c r="T338" s="32">
        <v>0</v>
      </c>
    </row>
    <row r="339" spans="2:20" ht="12.75" hidden="1" x14ac:dyDescent="0.25">
      <c r="B339" s="32">
        <v>14</v>
      </c>
      <c r="F339" s="32" t="s">
        <v>158</v>
      </c>
      <c r="J339" s="32">
        <v>335</v>
      </c>
      <c r="P339" s="32">
        <v>184250</v>
      </c>
      <c r="R339" s="32">
        <v>55330</v>
      </c>
      <c r="T339" s="32">
        <v>128920</v>
      </c>
    </row>
    <row r="340" spans="2:20" ht="12.75" hidden="1" x14ac:dyDescent="0.25">
      <c r="B340" s="32">
        <v>15</v>
      </c>
      <c r="F340" s="32" t="s">
        <v>157</v>
      </c>
      <c r="J340" s="32">
        <v>115</v>
      </c>
      <c r="P340" s="32">
        <v>56350</v>
      </c>
      <c r="R340" s="32">
        <v>24895</v>
      </c>
      <c r="T340" s="32">
        <v>31455</v>
      </c>
    </row>
    <row r="341" spans="2:20" ht="12.75" hidden="1" x14ac:dyDescent="0.25">
      <c r="B341" s="32">
        <v>16</v>
      </c>
      <c r="F341" s="32" t="s">
        <v>197</v>
      </c>
      <c r="J341" s="32">
        <v>2</v>
      </c>
      <c r="P341" s="32">
        <v>1000</v>
      </c>
      <c r="R341" s="32">
        <v>300</v>
      </c>
      <c r="T341" s="32">
        <v>700</v>
      </c>
    </row>
    <row r="342" spans="2:20" ht="12.75" hidden="1" x14ac:dyDescent="0.25">
      <c r="B342" s="32">
        <v>17</v>
      </c>
      <c r="F342" s="32" t="s">
        <v>293</v>
      </c>
      <c r="J342" s="32">
        <v>1</v>
      </c>
      <c r="P342" s="32">
        <v>900</v>
      </c>
      <c r="R342" s="32">
        <v>270</v>
      </c>
      <c r="T342" s="32">
        <v>630</v>
      </c>
    </row>
    <row r="343" spans="2:20" ht="12.75" hidden="1" x14ac:dyDescent="0.25">
      <c r="B343" s="32">
        <v>18</v>
      </c>
      <c r="F343" s="32" t="s">
        <v>196</v>
      </c>
      <c r="J343" s="32">
        <v>2</v>
      </c>
      <c r="P343" s="32">
        <v>1400</v>
      </c>
      <c r="R343" s="32">
        <v>700</v>
      </c>
      <c r="T343" s="32">
        <v>700</v>
      </c>
    </row>
    <row r="344" spans="2:20" ht="12.75" hidden="1" x14ac:dyDescent="0.25">
      <c r="B344" s="32">
        <v>19</v>
      </c>
      <c r="F344" s="32" t="s">
        <v>244</v>
      </c>
      <c r="J344" s="32">
        <v>1</v>
      </c>
      <c r="P344" s="32">
        <v>500</v>
      </c>
      <c r="R344" s="32">
        <v>500</v>
      </c>
      <c r="T344" s="32">
        <v>0</v>
      </c>
    </row>
    <row r="345" spans="2:20" ht="12.75" hidden="1" x14ac:dyDescent="0.25">
      <c r="B345" s="32">
        <v>20</v>
      </c>
      <c r="F345" s="32" t="s">
        <v>77</v>
      </c>
      <c r="J345" s="32">
        <v>901</v>
      </c>
      <c r="P345" s="32">
        <v>377000</v>
      </c>
      <c r="R345" s="32">
        <v>377000</v>
      </c>
      <c r="T345" s="32">
        <v>0</v>
      </c>
    </row>
    <row r="346" spans="2:20" ht="12.75" hidden="1" x14ac:dyDescent="0.25">
      <c r="B346" s="32">
        <v>21</v>
      </c>
      <c r="F346" s="32" t="s">
        <v>156</v>
      </c>
      <c r="J346" s="32">
        <v>7</v>
      </c>
      <c r="P346" s="32">
        <v>1330</v>
      </c>
      <c r="R346" s="32">
        <v>450</v>
      </c>
      <c r="T346" s="32">
        <v>880</v>
      </c>
    </row>
    <row r="347" spans="2:20" ht="12.75" hidden="1" x14ac:dyDescent="0.25">
      <c r="B347" s="32">
        <v>22</v>
      </c>
      <c r="F347" s="32" t="s">
        <v>155</v>
      </c>
      <c r="J347" s="32">
        <v>53</v>
      </c>
      <c r="P347" s="32">
        <v>13250</v>
      </c>
      <c r="R347" s="32">
        <v>4435</v>
      </c>
      <c r="T347" s="32">
        <v>8815</v>
      </c>
    </row>
    <row r="348" spans="2:20" ht="12.75" hidden="1" x14ac:dyDescent="0.25">
      <c r="B348" s="32">
        <v>23</v>
      </c>
      <c r="F348" s="32" t="s">
        <v>154</v>
      </c>
      <c r="J348" s="32">
        <v>7</v>
      </c>
      <c r="P348" s="32">
        <v>6230</v>
      </c>
      <c r="R348" s="32">
        <v>910</v>
      </c>
      <c r="T348" s="32">
        <v>5320</v>
      </c>
    </row>
    <row r="349" spans="2:20" ht="12.75" hidden="1" x14ac:dyDescent="0.25">
      <c r="B349" s="32">
        <v>24</v>
      </c>
      <c r="F349" s="32" t="s">
        <v>153</v>
      </c>
      <c r="J349" s="32">
        <v>1</v>
      </c>
      <c r="P349" s="32">
        <v>1180</v>
      </c>
      <c r="R349" s="32">
        <v>180</v>
      </c>
      <c r="T349" s="32">
        <v>1000</v>
      </c>
    </row>
    <row r="350" spans="2:20" ht="12.75" hidden="1" x14ac:dyDescent="0.25">
      <c r="B350" s="32">
        <v>25</v>
      </c>
      <c r="F350" s="32" t="s">
        <v>322</v>
      </c>
      <c r="J350" s="32">
        <v>1</v>
      </c>
      <c r="P350" s="32">
        <v>1180</v>
      </c>
      <c r="R350" s="32">
        <v>180</v>
      </c>
      <c r="T350" s="32">
        <v>1000</v>
      </c>
    </row>
    <row r="351" spans="2:20" ht="12.75" hidden="1" x14ac:dyDescent="0.25">
      <c r="B351" s="32">
        <v>26</v>
      </c>
      <c r="F351" s="32" t="s">
        <v>321</v>
      </c>
      <c r="J351" s="32">
        <v>1</v>
      </c>
      <c r="P351" s="32">
        <v>500</v>
      </c>
      <c r="R351" s="32">
        <v>150</v>
      </c>
      <c r="T351" s="32">
        <v>350</v>
      </c>
    </row>
    <row r="352" spans="2:20" ht="12.75" hidden="1" x14ac:dyDescent="0.25">
      <c r="B352" s="32">
        <v>27</v>
      </c>
      <c r="F352" s="32" t="s">
        <v>152</v>
      </c>
      <c r="J352" s="32">
        <v>11</v>
      </c>
      <c r="P352" s="32">
        <v>6490</v>
      </c>
      <c r="R352" s="32">
        <v>1930</v>
      </c>
      <c r="T352" s="32">
        <v>4560</v>
      </c>
    </row>
    <row r="353" spans="2:20" ht="12.75" hidden="1" x14ac:dyDescent="0.25">
      <c r="B353" s="32">
        <v>28</v>
      </c>
      <c r="F353" s="32" t="s">
        <v>151</v>
      </c>
      <c r="J353" s="32">
        <v>14</v>
      </c>
      <c r="P353" s="32">
        <v>3220</v>
      </c>
      <c r="R353" s="32">
        <v>1010</v>
      </c>
      <c r="T353" s="32">
        <v>2210</v>
      </c>
    </row>
    <row r="354" spans="2:20" ht="12.75" hidden="1" x14ac:dyDescent="0.25">
      <c r="B354" s="32">
        <v>29</v>
      </c>
      <c r="F354" s="32" t="s">
        <v>150</v>
      </c>
      <c r="J354" s="32">
        <v>53</v>
      </c>
      <c r="P354" s="32">
        <v>9010</v>
      </c>
      <c r="R354" s="32">
        <v>2600</v>
      </c>
      <c r="T354" s="32">
        <v>6410</v>
      </c>
    </row>
    <row r="355" spans="2:20" ht="12.75" hidden="1" x14ac:dyDescent="0.25">
      <c r="B355" s="32">
        <v>30</v>
      </c>
      <c r="F355" s="32" t="s">
        <v>149</v>
      </c>
      <c r="J355" s="32">
        <v>8</v>
      </c>
      <c r="P355" s="32">
        <v>400</v>
      </c>
      <c r="R355" s="32">
        <v>80</v>
      </c>
      <c r="T355" s="32">
        <v>320</v>
      </c>
    </row>
    <row r="356" spans="2:20" ht="12.75" hidden="1" x14ac:dyDescent="0.25">
      <c r="B356" s="32">
        <v>31</v>
      </c>
      <c r="F356" s="32" t="s">
        <v>147</v>
      </c>
      <c r="J356" s="32">
        <v>4</v>
      </c>
      <c r="P356" s="32">
        <v>120</v>
      </c>
      <c r="R356" s="32">
        <v>0</v>
      </c>
      <c r="T356" s="32">
        <v>120</v>
      </c>
    </row>
    <row r="357" spans="2:20" ht="12.75" hidden="1" x14ac:dyDescent="0.25">
      <c r="B357" s="32">
        <v>32</v>
      </c>
      <c r="F357" s="32" t="s">
        <v>146</v>
      </c>
      <c r="J357" s="32">
        <v>3</v>
      </c>
      <c r="P357" s="32">
        <v>150</v>
      </c>
      <c r="R357" s="32">
        <v>0</v>
      </c>
      <c r="T357" s="32">
        <v>150</v>
      </c>
    </row>
    <row r="358" spans="2:20" ht="12.75" hidden="1" x14ac:dyDescent="0.25">
      <c r="B358" s="32">
        <v>33</v>
      </c>
      <c r="F358" s="32" t="s">
        <v>145</v>
      </c>
      <c r="J358" s="32">
        <v>15</v>
      </c>
      <c r="P358" s="32">
        <v>2250</v>
      </c>
      <c r="R358" s="32">
        <v>0</v>
      </c>
      <c r="T358" s="32">
        <v>2250</v>
      </c>
    </row>
    <row r="359" spans="2:20" ht="12.75" hidden="1" x14ac:dyDescent="0.25">
      <c r="B359" s="32">
        <v>34</v>
      </c>
      <c r="F359" s="32" t="s">
        <v>143</v>
      </c>
      <c r="J359" s="32">
        <v>2</v>
      </c>
      <c r="P359" s="32">
        <v>200</v>
      </c>
      <c r="R359" s="32">
        <v>0</v>
      </c>
      <c r="T359" s="32">
        <v>200</v>
      </c>
    </row>
    <row r="360" spans="2:20" ht="12.75" hidden="1" x14ac:dyDescent="0.25">
      <c r="B360" s="32">
        <v>35</v>
      </c>
      <c r="F360" s="32" t="s">
        <v>234</v>
      </c>
      <c r="J360" s="32">
        <v>1</v>
      </c>
      <c r="P360" s="32">
        <v>800</v>
      </c>
      <c r="R360" s="32">
        <v>450</v>
      </c>
      <c r="T360" s="32">
        <v>350</v>
      </c>
    </row>
    <row r="361" spans="2:20" ht="12.75" hidden="1" x14ac:dyDescent="0.25">
      <c r="B361" s="32">
        <v>36</v>
      </c>
      <c r="F361" s="32" t="s">
        <v>287</v>
      </c>
      <c r="J361" s="32">
        <v>1</v>
      </c>
      <c r="P361" s="32">
        <v>800</v>
      </c>
      <c r="R361" s="32">
        <v>450</v>
      </c>
      <c r="T361" s="32">
        <v>350</v>
      </c>
    </row>
    <row r="362" spans="2:20" ht="12.75" hidden="1" x14ac:dyDescent="0.25">
      <c r="B362" s="32">
        <v>37</v>
      </c>
      <c r="F362" s="32" t="s">
        <v>286</v>
      </c>
      <c r="J362" s="32">
        <v>1</v>
      </c>
      <c r="P362" s="32">
        <v>800</v>
      </c>
      <c r="R362" s="32">
        <v>450</v>
      </c>
      <c r="T362" s="32">
        <v>350</v>
      </c>
    </row>
    <row r="363" spans="2:20" ht="12.75" hidden="1" x14ac:dyDescent="0.25">
      <c r="B363" s="32">
        <v>38</v>
      </c>
      <c r="F363" s="32" t="s">
        <v>232</v>
      </c>
      <c r="J363" s="32">
        <v>1</v>
      </c>
      <c r="P363" s="32">
        <v>980</v>
      </c>
      <c r="R363" s="32">
        <v>150</v>
      </c>
      <c r="T363" s="32">
        <v>830</v>
      </c>
    </row>
    <row r="364" spans="2:20" ht="12.75" hidden="1" x14ac:dyDescent="0.25">
      <c r="B364" s="32">
        <v>39</v>
      </c>
      <c r="F364" s="32" t="s">
        <v>193</v>
      </c>
      <c r="J364" s="32">
        <v>1</v>
      </c>
      <c r="P364" s="32">
        <v>890</v>
      </c>
      <c r="R364" s="32">
        <v>130</v>
      </c>
      <c r="T364" s="32">
        <v>760</v>
      </c>
    </row>
    <row r="365" spans="2:20" ht="12.75" hidden="1" x14ac:dyDescent="0.25">
      <c r="B365" s="32">
        <v>40</v>
      </c>
      <c r="F365" s="32" t="s">
        <v>75</v>
      </c>
      <c r="J365" s="32">
        <v>971</v>
      </c>
      <c r="P365" s="32">
        <v>2427500</v>
      </c>
      <c r="R365" s="32">
        <v>2427500</v>
      </c>
      <c r="T365" s="32">
        <v>0</v>
      </c>
    </row>
    <row r="366" spans="2:20" ht="12.75" hidden="1" x14ac:dyDescent="0.25">
      <c r="B366" s="32">
        <v>41</v>
      </c>
      <c r="F366" s="32" t="s">
        <v>141</v>
      </c>
      <c r="J366" s="32">
        <v>51</v>
      </c>
      <c r="P366" s="32">
        <v>3825</v>
      </c>
      <c r="R366" s="32">
        <v>1122</v>
      </c>
      <c r="T366" s="32">
        <v>2703</v>
      </c>
    </row>
    <row r="367" spans="2:20" ht="12.75" hidden="1" x14ac:dyDescent="0.25">
      <c r="B367" s="32">
        <v>42</v>
      </c>
      <c r="F367" s="32" t="s">
        <v>139</v>
      </c>
      <c r="J367" s="32">
        <v>2</v>
      </c>
      <c r="P367" s="32">
        <v>540</v>
      </c>
      <c r="R367" s="32">
        <v>160</v>
      </c>
      <c r="T367" s="32">
        <v>380</v>
      </c>
    </row>
    <row r="368" spans="2:20" ht="12.75" hidden="1" x14ac:dyDescent="0.25">
      <c r="B368" s="32">
        <v>43</v>
      </c>
      <c r="F368" s="32" t="s">
        <v>138</v>
      </c>
      <c r="J368" s="32">
        <v>1</v>
      </c>
      <c r="P368" s="32">
        <v>800</v>
      </c>
      <c r="R368" s="32">
        <v>450</v>
      </c>
      <c r="T368" s="32">
        <v>350</v>
      </c>
    </row>
    <row r="369" spans="2:20" ht="12.75" hidden="1" x14ac:dyDescent="0.25">
      <c r="B369" s="32">
        <v>44</v>
      </c>
      <c r="F369" s="32" t="s">
        <v>137</v>
      </c>
      <c r="J369" s="32">
        <v>2</v>
      </c>
      <c r="P369" s="32">
        <v>1600</v>
      </c>
      <c r="R369" s="32">
        <v>900</v>
      </c>
      <c r="T369" s="32">
        <v>700</v>
      </c>
    </row>
    <row r="370" spans="2:20" ht="12.75" hidden="1" x14ac:dyDescent="0.25">
      <c r="B370" s="32">
        <v>45</v>
      </c>
      <c r="F370" s="32" t="s">
        <v>313</v>
      </c>
      <c r="J370" s="32">
        <v>1</v>
      </c>
      <c r="P370" s="32">
        <v>800</v>
      </c>
      <c r="R370" s="32">
        <v>450</v>
      </c>
      <c r="T370" s="32">
        <v>350</v>
      </c>
    </row>
    <row r="371" spans="2:20" ht="12.75" hidden="1" x14ac:dyDescent="0.25">
      <c r="B371" s="32">
        <v>46</v>
      </c>
      <c r="F371" s="32" t="s">
        <v>136</v>
      </c>
      <c r="J371" s="32">
        <v>42</v>
      </c>
      <c r="P371" s="32">
        <v>35700</v>
      </c>
      <c r="R371" s="32">
        <v>7577</v>
      </c>
      <c r="T371" s="32">
        <v>28123</v>
      </c>
    </row>
    <row r="372" spans="2:20" ht="12.75" hidden="1" x14ac:dyDescent="0.25">
      <c r="B372" s="32">
        <v>47</v>
      </c>
      <c r="F372" s="32" t="s">
        <v>74</v>
      </c>
      <c r="J372" s="32">
        <v>77</v>
      </c>
      <c r="P372" s="32">
        <v>65450</v>
      </c>
      <c r="R372" s="32">
        <v>65450</v>
      </c>
      <c r="T372" s="32">
        <v>0</v>
      </c>
    </row>
    <row r="373" spans="2:20" ht="12.75" hidden="1" x14ac:dyDescent="0.25">
      <c r="B373" s="32">
        <v>48</v>
      </c>
      <c r="F373" s="32" t="s">
        <v>190</v>
      </c>
      <c r="J373" s="32">
        <v>24</v>
      </c>
      <c r="P373" s="32">
        <v>37680</v>
      </c>
      <c r="R373" s="32">
        <v>5735</v>
      </c>
      <c r="T373" s="32">
        <v>31945</v>
      </c>
    </row>
    <row r="374" spans="2:20" ht="12.75" hidden="1" x14ac:dyDescent="0.25">
      <c r="B374" s="32">
        <v>49</v>
      </c>
      <c r="F374" s="32" t="s">
        <v>135</v>
      </c>
      <c r="J374" s="32">
        <v>6</v>
      </c>
      <c r="P374" s="32">
        <v>5700</v>
      </c>
      <c r="R374" s="32">
        <v>1680</v>
      </c>
      <c r="T374" s="32">
        <v>4020</v>
      </c>
    </row>
    <row r="375" spans="2:20" ht="12.75" hidden="1" x14ac:dyDescent="0.25">
      <c r="B375" s="32">
        <v>50</v>
      </c>
      <c r="F375" s="32" t="s">
        <v>132</v>
      </c>
      <c r="J375" s="32">
        <v>11</v>
      </c>
      <c r="P375" s="32">
        <v>13640</v>
      </c>
      <c r="R375" s="32">
        <v>4070</v>
      </c>
      <c r="T375" s="32">
        <v>9570</v>
      </c>
    </row>
    <row r="376" spans="2:20" ht="12.75" hidden="1" x14ac:dyDescent="0.25">
      <c r="B376" s="32">
        <v>51</v>
      </c>
      <c r="F376" s="32" t="s">
        <v>131</v>
      </c>
      <c r="J376" s="32">
        <v>5</v>
      </c>
      <c r="P376" s="32">
        <v>18500</v>
      </c>
      <c r="R376" s="32">
        <v>4000</v>
      </c>
      <c r="T376" s="32">
        <v>14500</v>
      </c>
    </row>
    <row r="377" spans="2:20" ht="12.75" hidden="1" x14ac:dyDescent="0.25">
      <c r="B377" s="32">
        <v>52</v>
      </c>
      <c r="F377" s="32" t="s">
        <v>319</v>
      </c>
      <c r="J377" s="32">
        <v>40</v>
      </c>
      <c r="P377" s="32">
        <v>4000</v>
      </c>
      <c r="R377" s="32">
        <v>0</v>
      </c>
      <c r="T377" s="32">
        <v>4000</v>
      </c>
    </row>
    <row r="378" spans="2:20" ht="12.75" hidden="1" x14ac:dyDescent="0.25">
      <c r="B378" s="32">
        <v>53</v>
      </c>
      <c r="F378" s="32" t="s">
        <v>127</v>
      </c>
      <c r="J378" s="32">
        <v>18</v>
      </c>
      <c r="P378" s="32">
        <v>5400</v>
      </c>
      <c r="R378" s="32">
        <v>1702</v>
      </c>
      <c r="T378" s="32">
        <v>3698</v>
      </c>
    </row>
    <row r="379" spans="2:20" ht="12.75" hidden="1" x14ac:dyDescent="0.25">
      <c r="B379" s="32">
        <v>54</v>
      </c>
      <c r="F379" s="32" t="s">
        <v>126</v>
      </c>
      <c r="J379" s="32">
        <v>20</v>
      </c>
      <c r="P379" s="32">
        <v>4000</v>
      </c>
      <c r="R379" s="32">
        <v>1254</v>
      </c>
      <c r="T379" s="32">
        <v>2746</v>
      </c>
    </row>
    <row r="380" spans="2:20" ht="12.75" hidden="1" x14ac:dyDescent="0.25">
      <c r="B380" s="32">
        <v>55</v>
      </c>
      <c r="F380" s="32" t="s">
        <v>125</v>
      </c>
      <c r="J380" s="32">
        <v>8</v>
      </c>
      <c r="P380" s="32">
        <v>3200</v>
      </c>
      <c r="R380" s="32">
        <v>960</v>
      </c>
      <c r="T380" s="32">
        <v>2240</v>
      </c>
    </row>
    <row r="381" spans="2:20" ht="12.75" hidden="1" x14ac:dyDescent="0.25">
      <c r="B381" s="32">
        <v>56</v>
      </c>
      <c r="F381" s="32" t="s">
        <v>124</v>
      </c>
      <c r="J381" s="32">
        <v>30</v>
      </c>
      <c r="P381" s="32">
        <v>17320</v>
      </c>
      <c r="R381" s="32">
        <v>5049</v>
      </c>
      <c r="T381" s="32">
        <v>12271</v>
      </c>
    </row>
    <row r="382" spans="2:20" ht="12.75" hidden="1" x14ac:dyDescent="0.25">
      <c r="B382" s="32">
        <v>57</v>
      </c>
      <c r="F382" s="32" t="s">
        <v>123</v>
      </c>
      <c r="J382" s="32">
        <v>7</v>
      </c>
      <c r="P382" s="32">
        <v>5460</v>
      </c>
      <c r="R382" s="32">
        <v>1600</v>
      </c>
      <c r="T382" s="32">
        <v>3860</v>
      </c>
    </row>
    <row r="383" spans="2:20" ht="12.75" hidden="1" x14ac:dyDescent="0.25">
      <c r="B383" s="32">
        <v>58</v>
      </c>
      <c r="F383" s="32" t="s">
        <v>227</v>
      </c>
      <c r="J383" s="32">
        <v>3</v>
      </c>
      <c r="P383" s="32">
        <v>1500</v>
      </c>
      <c r="R383" s="32">
        <v>450</v>
      </c>
      <c r="T383" s="32">
        <v>1050</v>
      </c>
    </row>
    <row r="384" spans="2:20" ht="12.75" hidden="1" x14ac:dyDescent="0.25">
      <c r="B384" s="32">
        <v>59</v>
      </c>
      <c r="F384" s="32" t="s">
        <v>121</v>
      </c>
      <c r="J384" s="32">
        <v>3</v>
      </c>
      <c r="P384" s="32">
        <v>1500</v>
      </c>
      <c r="R384" s="32">
        <v>450</v>
      </c>
      <c r="T384" s="32">
        <v>1050</v>
      </c>
    </row>
    <row r="385" spans="2:20" ht="12.75" hidden="1" x14ac:dyDescent="0.25">
      <c r="B385" s="32">
        <v>60</v>
      </c>
      <c r="F385" s="32" t="s">
        <v>119</v>
      </c>
      <c r="J385" s="32">
        <v>41</v>
      </c>
      <c r="P385" s="32">
        <v>36490</v>
      </c>
      <c r="R385" s="32">
        <v>11657</v>
      </c>
      <c r="T385" s="32">
        <v>24833</v>
      </c>
    </row>
    <row r="386" spans="2:20" ht="12.75" hidden="1" x14ac:dyDescent="0.25">
      <c r="B386" s="32">
        <v>61</v>
      </c>
      <c r="F386" s="32" t="s">
        <v>118</v>
      </c>
      <c r="J386" s="32">
        <v>138</v>
      </c>
      <c r="P386" s="32">
        <v>136620</v>
      </c>
      <c r="R386" s="32">
        <v>44796</v>
      </c>
      <c r="T386" s="32">
        <v>91824</v>
      </c>
    </row>
    <row r="387" spans="2:20" ht="12.75" hidden="1" x14ac:dyDescent="0.25">
      <c r="B387" s="32">
        <v>62</v>
      </c>
      <c r="F387" s="32" t="s">
        <v>116</v>
      </c>
      <c r="J387" s="32">
        <v>1</v>
      </c>
      <c r="P387" s="32">
        <v>800</v>
      </c>
      <c r="R387" s="32">
        <v>200</v>
      </c>
      <c r="T387" s="32">
        <v>600</v>
      </c>
    </row>
    <row r="388" spans="2:20" ht="12.75" hidden="1" x14ac:dyDescent="0.25">
      <c r="T388" s="32"/>
    </row>
    <row r="389" spans="2:20" ht="12.75" hidden="1" x14ac:dyDescent="0.25">
      <c r="B389" s="32">
        <v>63</v>
      </c>
      <c r="F389" s="32" t="s">
        <v>115</v>
      </c>
      <c r="J389" s="32">
        <v>61</v>
      </c>
      <c r="P389" s="32">
        <v>17690</v>
      </c>
      <c r="R389" s="32">
        <v>5669</v>
      </c>
      <c r="T389" s="32">
        <v>12021</v>
      </c>
    </row>
    <row r="390" spans="2:20" ht="12.75" hidden="1" x14ac:dyDescent="0.25">
      <c r="B390" s="32">
        <v>64</v>
      </c>
      <c r="F390" s="32" t="s">
        <v>280</v>
      </c>
      <c r="J390" s="32">
        <v>1</v>
      </c>
      <c r="P390" s="32">
        <v>700</v>
      </c>
      <c r="R390" s="32">
        <v>350</v>
      </c>
      <c r="T390" s="32">
        <v>350</v>
      </c>
    </row>
    <row r="391" spans="2:20" ht="12.75" hidden="1" x14ac:dyDescent="0.25">
      <c r="B391" s="32">
        <v>65</v>
      </c>
      <c r="F391" s="32" t="s">
        <v>450</v>
      </c>
      <c r="J391" s="32">
        <v>19</v>
      </c>
      <c r="P391" s="32">
        <v>855</v>
      </c>
      <c r="R391" s="32">
        <v>0</v>
      </c>
      <c r="T391" s="32">
        <v>855</v>
      </c>
    </row>
    <row r="392" spans="2:20" ht="12.75" hidden="1" x14ac:dyDescent="0.25">
      <c r="T392" s="32"/>
    </row>
    <row r="393" spans="2:20" ht="12.75" hidden="1" x14ac:dyDescent="0.25">
      <c r="B393" s="32">
        <v>66</v>
      </c>
      <c r="F393" s="32" t="s">
        <v>222</v>
      </c>
      <c r="J393" s="32">
        <v>1</v>
      </c>
      <c r="P393" s="32">
        <v>500</v>
      </c>
      <c r="R393" s="32">
        <v>150</v>
      </c>
      <c r="T393" s="32">
        <v>350</v>
      </c>
    </row>
    <row r="394" spans="2:20" ht="12.75" hidden="1" x14ac:dyDescent="0.25">
      <c r="B394" s="32">
        <v>67</v>
      </c>
      <c r="F394" s="32" t="s">
        <v>278</v>
      </c>
      <c r="J394" s="32">
        <v>1</v>
      </c>
      <c r="P394" s="32">
        <v>330</v>
      </c>
      <c r="R394" s="32">
        <v>100</v>
      </c>
      <c r="T394" s="32">
        <v>230</v>
      </c>
    </row>
    <row r="395" spans="2:20" ht="12.75" hidden="1" x14ac:dyDescent="0.25">
      <c r="B395" s="32">
        <v>68</v>
      </c>
      <c r="F395" s="32" t="s">
        <v>181</v>
      </c>
      <c r="J395" s="32">
        <v>1</v>
      </c>
      <c r="P395" s="32">
        <v>790</v>
      </c>
      <c r="R395" s="32">
        <v>120</v>
      </c>
      <c r="T395" s="32">
        <v>670</v>
      </c>
    </row>
    <row r="396" spans="2:20" ht="12.75" hidden="1" x14ac:dyDescent="0.25">
      <c r="B396" s="32">
        <v>69</v>
      </c>
      <c r="F396" s="32" t="s">
        <v>171</v>
      </c>
      <c r="J396" s="32">
        <v>1</v>
      </c>
      <c r="P396" s="32">
        <v>530</v>
      </c>
      <c r="R396" s="32">
        <v>160</v>
      </c>
      <c r="T396" s="32">
        <v>370</v>
      </c>
    </row>
    <row r="397" spans="2:20" ht="12.75" hidden="1" x14ac:dyDescent="0.25">
      <c r="B397" s="32">
        <v>70</v>
      </c>
      <c r="F397" s="32" t="s">
        <v>111</v>
      </c>
      <c r="J397" s="32">
        <v>1</v>
      </c>
      <c r="P397" s="32">
        <v>430</v>
      </c>
      <c r="R397" s="32">
        <v>130</v>
      </c>
      <c r="T397" s="32">
        <v>300</v>
      </c>
    </row>
    <row r="398" spans="2:20" ht="12.75" hidden="1" x14ac:dyDescent="0.25">
      <c r="B398" s="32">
        <v>71</v>
      </c>
      <c r="F398" s="32" t="s">
        <v>109</v>
      </c>
      <c r="J398" s="32">
        <v>10</v>
      </c>
      <c r="P398" s="32">
        <v>7800</v>
      </c>
      <c r="R398" s="32">
        <v>2300</v>
      </c>
      <c r="T398" s="32">
        <v>5500</v>
      </c>
    </row>
    <row r="399" spans="2:20" ht="12.75" hidden="1" x14ac:dyDescent="0.25">
      <c r="B399" s="32">
        <v>72</v>
      </c>
      <c r="F399" s="32" t="s">
        <v>108</v>
      </c>
      <c r="J399" s="32">
        <v>21</v>
      </c>
      <c r="P399" s="32">
        <v>2100</v>
      </c>
      <c r="R399" s="32">
        <v>630</v>
      </c>
      <c r="T399" s="32">
        <v>1470</v>
      </c>
    </row>
    <row r="400" spans="2:20" ht="12.75" hidden="1" x14ac:dyDescent="0.25">
      <c r="B400" s="32">
        <v>73</v>
      </c>
      <c r="F400" s="32" t="s">
        <v>107</v>
      </c>
      <c r="J400" s="32">
        <v>57</v>
      </c>
      <c r="P400" s="32">
        <v>9690</v>
      </c>
      <c r="R400" s="32">
        <v>2848</v>
      </c>
      <c r="T400" s="32">
        <v>6842</v>
      </c>
    </row>
    <row r="401" spans="2:20" ht="12.75" hidden="1" x14ac:dyDescent="0.25">
      <c r="B401" s="32">
        <v>74</v>
      </c>
      <c r="F401" s="32" t="s">
        <v>106</v>
      </c>
      <c r="J401" s="32">
        <v>10</v>
      </c>
      <c r="P401" s="32">
        <v>1000</v>
      </c>
      <c r="R401" s="32">
        <v>300</v>
      </c>
      <c r="T401" s="32">
        <v>700</v>
      </c>
    </row>
    <row r="402" spans="2:20" ht="12.75" hidden="1" x14ac:dyDescent="0.25">
      <c r="B402" s="32">
        <v>75</v>
      </c>
      <c r="F402" s="32" t="s">
        <v>218</v>
      </c>
      <c r="J402" s="32">
        <v>1</v>
      </c>
      <c r="P402" s="32">
        <v>290</v>
      </c>
      <c r="R402" s="32">
        <v>100</v>
      </c>
      <c r="T402" s="32">
        <v>190</v>
      </c>
    </row>
    <row r="403" spans="2:20" ht="12.75" hidden="1" x14ac:dyDescent="0.25">
      <c r="B403" s="32">
        <v>76</v>
      </c>
      <c r="F403" s="32" t="s">
        <v>255</v>
      </c>
      <c r="J403" s="32">
        <v>1</v>
      </c>
      <c r="P403" s="32">
        <v>950</v>
      </c>
      <c r="R403" s="32">
        <v>140</v>
      </c>
      <c r="T403" s="32">
        <v>810</v>
      </c>
    </row>
    <row r="404" spans="2:20" ht="12.75" hidden="1" x14ac:dyDescent="0.25">
      <c r="B404" s="32">
        <v>77</v>
      </c>
      <c r="F404" s="32" t="s">
        <v>216</v>
      </c>
      <c r="J404" s="32">
        <v>5</v>
      </c>
      <c r="P404" s="32">
        <v>5400</v>
      </c>
      <c r="R404" s="32">
        <v>825</v>
      </c>
      <c r="T404" s="32">
        <v>4575</v>
      </c>
    </row>
    <row r="405" spans="2:20" ht="12.75" hidden="1" x14ac:dyDescent="0.25">
      <c r="B405" s="32">
        <v>78</v>
      </c>
      <c r="F405" s="32" t="s">
        <v>105</v>
      </c>
      <c r="J405" s="32">
        <v>28</v>
      </c>
      <c r="P405" s="32">
        <v>32200</v>
      </c>
      <c r="R405" s="32">
        <v>0</v>
      </c>
      <c r="T405" s="32">
        <v>32200</v>
      </c>
    </row>
    <row r="406" spans="2:20" ht="12.75" hidden="1" x14ac:dyDescent="0.25">
      <c r="B406" s="32">
        <v>79</v>
      </c>
      <c r="F406" s="32" t="s">
        <v>104</v>
      </c>
      <c r="J406" s="32">
        <v>4</v>
      </c>
      <c r="P406" s="32">
        <v>1320</v>
      </c>
      <c r="R406" s="32">
        <v>525</v>
      </c>
      <c r="T406" s="32">
        <v>795</v>
      </c>
    </row>
    <row r="407" spans="2:20" ht="12.75" hidden="1" x14ac:dyDescent="0.25">
      <c r="B407" s="32">
        <v>80</v>
      </c>
      <c r="F407" s="32" t="s">
        <v>103</v>
      </c>
      <c r="J407" s="32">
        <v>7</v>
      </c>
      <c r="P407" s="32">
        <v>2310</v>
      </c>
      <c r="R407" s="32">
        <v>860</v>
      </c>
      <c r="T407" s="32">
        <v>1450</v>
      </c>
    </row>
    <row r="408" spans="2:20" ht="12.75" hidden="1" x14ac:dyDescent="0.25">
      <c r="B408" s="32">
        <v>81</v>
      </c>
      <c r="F408" s="32" t="s">
        <v>211</v>
      </c>
      <c r="J408" s="32">
        <v>1</v>
      </c>
      <c r="P408" s="32">
        <v>500</v>
      </c>
      <c r="R408" s="32">
        <v>150</v>
      </c>
      <c r="T408" s="32">
        <v>350</v>
      </c>
    </row>
    <row r="409" spans="2:20" ht="12.75" hidden="1" x14ac:dyDescent="0.25">
      <c r="B409" s="32">
        <v>82</v>
      </c>
      <c r="F409" s="32" t="s">
        <v>276</v>
      </c>
      <c r="J409" s="32">
        <v>1</v>
      </c>
      <c r="P409" s="32">
        <v>500</v>
      </c>
      <c r="R409" s="32">
        <v>150</v>
      </c>
      <c r="T409" s="32">
        <v>350</v>
      </c>
    </row>
    <row r="410" spans="2:20" ht="12.75" hidden="1" x14ac:dyDescent="0.25">
      <c r="B410" s="32">
        <v>83</v>
      </c>
      <c r="F410" s="32" t="s">
        <v>275</v>
      </c>
      <c r="J410" s="32">
        <v>2</v>
      </c>
      <c r="P410" s="32">
        <v>1200</v>
      </c>
      <c r="R410" s="32">
        <v>500</v>
      </c>
      <c r="T410" s="32">
        <v>700</v>
      </c>
    </row>
    <row r="411" spans="2:20" ht="12.75" hidden="1" x14ac:dyDescent="0.25">
      <c r="B411" s="32">
        <v>84</v>
      </c>
      <c r="F411" s="32" t="s">
        <v>102</v>
      </c>
      <c r="J411" s="32">
        <v>2</v>
      </c>
      <c r="P411" s="32">
        <v>1760</v>
      </c>
      <c r="R411" s="32">
        <v>260</v>
      </c>
      <c r="T411" s="32">
        <v>1500</v>
      </c>
    </row>
    <row r="412" spans="2:20" ht="12.75" hidden="1" x14ac:dyDescent="0.25">
      <c r="B412" s="32">
        <v>85</v>
      </c>
      <c r="F412" s="32" t="s">
        <v>100</v>
      </c>
      <c r="J412" s="32">
        <v>8</v>
      </c>
      <c r="P412" s="32">
        <v>1440</v>
      </c>
      <c r="R412" s="32">
        <v>400</v>
      </c>
      <c r="T412" s="32">
        <v>1040</v>
      </c>
    </row>
    <row r="413" spans="2:20" ht="12.75" hidden="1" x14ac:dyDescent="0.25">
      <c r="B413" s="32">
        <v>86</v>
      </c>
      <c r="F413" s="32" t="s">
        <v>178</v>
      </c>
      <c r="J413" s="32">
        <v>1</v>
      </c>
      <c r="P413" s="32">
        <v>1650</v>
      </c>
      <c r="R413" s="32">
        <v>0</v>
      </c>
      <c r="T413" s="32">
        <v>1650</v>
      </c>
    </row>
    <row r="414" spans="2:20" ht="12.75" hidden="1" x14ac:dyDescent="0.25">
      <c r="B414" s="32">
        <v>87</v>
      </c>
      <c r="F414" s="32" t="s">
        <v>97</v>
      </c>
      <c r="J414" s="32">
        <v>5</v>
      </c>
      <c r="P414" s="32">
        <v>7950</v>
      </c>
      <c r="R414" s="32">
        <v>1200</v>
      </c>
      <c r="T414" s="32">
        <v>6750</v>
      </c>
    </row>
    <row r="415" spans="2:20" ht="12.75" hidden="1" x14ac:dyDescent="0.25">
      <c r="B415" s="32">
        <v>88</v>
      </c>
      <c r="F415" s="32" t="s">
        <v>332</v>
      </c>
      <c r="J415" s="32">
        <v>1</v>
      </c>
      <c r="P415" s="32">
        <v>290</v>
      </c>
      <c r="R415" s="32">
        <v>80</v>
      </c>
      <c r="T415" s="32">
        <v>210</v>
      </c>
    </row>
    <row r="416" spans="2:20" ht="12.75" hidden="1" x14ac:dyDescent="0.25">
      <c r="B416" s="32">
        <v>89</v>
      </c>
      <c r="F416" s="32" t="s">
        <v>93</v>
      </c>
      <c r="J416" s="32">
        <v>12</v>
      </c>
      <c r="P416" s="32">
        <v>7080</v>
      </c>
      <c r="R416" s="32">
        <v>1080</v>
      </c>
      <c r="T416" s="32">
        <v>6000</v>
      </c>
    </row>
    <row r="417" spans="2:20" ht="12.75" hidden="1" x14ac:dyDescent="0.25">
      <c r="B417" s="32">
        <v>90</v>
      </c>
      <c r="F417" s="32" t="s">
        <v>92</v>
      </c>
      <c r="J417" s="32">
        <v>77</v>
      </c>
      <c r="P417" s="32">
        <v>60720</v>
      </c>
      <c r="R417" s="32">
        <v>17750</v>
      </c>
      <c r="T417" s="32">
        <v>42970</v>
      </c>
    </row>
    <row r="418" spans="2:20" ht="12.75" hidden="1" x14ac:dyDescent="0.25">
      <c r="B418" s="32">
        <v>91</v>
      </c>
      <c r="F418" s="32" t="s">
        <v>174</v>
      </c>
      <c r="J418" s="32">
        <v>1</v>
      </c>
      <c r="P418" s="32">
        <v>400</v>
      </c>
      <c r="R418" s="32">
        <v>120</v>
      </c>
      <c r="T418" s="32">
        <v>280</v>
      </c>
    </row>
    <row r="419" spans="2:20" ht="12.75" hidden="1" x14ac:dyDescent="0.25">
      <c r="B419" s="32">
        <v>92</v>
      </c>
      <c r="F419" s="32" t="s">
        <v>173</v>
      </c>
      <c r="J419" s="32">
        <v>1</v>
      </c>
      <c r="P419" s="32">
        <v>1000</v>
      </c>
      <c r="R419" s="32">
        <v>300</v>
      </c>
      <c r="T419" s="32">
        <v>700</v>
      </c>
    </row>
    <row r="420" spans="2:20" ht="12.75" hidden="1" x14ac:dyDescent="0.25">
      <c r="B420" s="32">
        <v>93</v>
      </c>
      <c r="F420" s="32" t="s">
        <v>91</v>
      </c>
      <c r="J420" s="32">
        <v>48</v>
      </c>
      <c r="P420" s="32">
        <v>12000</v>
      </c>
      <c r="R420" s="32">
        <v>3233</v>
      </c>
      <c r="T420" s="32">
        <v>8767</v>
      </c>
    </row>
    <row r="421" spans="2:20" ht="12.75" hidden="1" x14ac:dyDescent="0.25">
      <c r="B421" s="32">
        <v>94</v>
      </c>
      <c r="F421" s="32" t="s">
        <v>90</v>
      </c>
      <c r="J421" s="32">
        <v>25</v>
      </c>
      <c r="P421" s="32">
        <v>7250</v>
      </c>
      <c r="R421" s="32">
        <v>1931</v>
      </c>
      <c r="T421" s="32">
        <v>5319</v>
      </c>
    </row>
    <row r="422" spans="2:20" ht="12.75" hidden="1" x14ac:dyDescent="0.25">
      <c r="B422" s="32">
        <v>95</v>
      </c>
      <c r="F422" s="32" t="s">
        <v>89</v>
      </c>
      <c r="J422" s="32">
        <v>6</v>
      </c>
      <c r="P422" s="32">
        <v>5280</v>
      </c>
      <c r="R422" s="32">
        <v>738</v>
      </c>
      <c r="T422" s="32">
        <v>4542</v>
      </c>
    </row>
    <row r="423" spans="2:20" ht="12.75" hidden="1" x14ac:dyDescent="0.25">
      <c r="B423" s="32">
        <v>96</v>
      </c>
      <c r="F423" s="32" t="s">
        <v>88</v>
      </c>
      <c r="J423" s="32">
        <v>159</v>
      </c>
      <c r="P423" s="32">
        <v>28620</v>
      </c>
      <c r="R423" s="32">
        <v>8159</v>
      </c>
      <c r="T423" s="32">
        <v>20461</v>
      </c>
    </row>
    <row r="424" spans="2:20" ht="12.75" hidden="1" x14ac:dyDescent="0.25">
      <c r="B424" s="32">
        <v>97</v>
      </c>
      <c r="F424" s="32" t="s">
        <v>87</v>
      </c>
      <c r="J424" s="32">
        <v>3</v>
      </c>
      <c r="P424" s="32">
        <v>870</v>
      </c>
      <c r="R424" s="32">
        <v>240</v>
      </c>
      <c r="T424" s="32">
        <v>630</v>
      </c>
    </row>
    <row r="425" spans="2:20" ht="12.75" hidden="1" x14ac:dyDescent="0.25">
      <c r="B425" s="32">
        <v>98</v>
      </c>
      <c r="F425" s="32" t="s">
        <v>85</v>
      </c>
      <c r="J425" s="32">
        <v>28</v>
      </c>
      <c r="P425" s="32">
        <v>58240</v>
      </c>
      <c r="R425" s="32">
        <v>8542</v>
      </c>
      <c r="T425" s="32">
        <v>49698</v>
      </c>
    </row>
    <row r="426" spans="2:20" ht="12.75" hidden="1" x14ac:dyDescent="0.25">
      <c r="B426" s="32">
        <v>99</v>
      </c>
      <c r="F426" s="32" t="s">
        <v>84</v>
      </c>
      <c r="J426" s="32">
        <v>22</v>
      </c>
      <c r="P426" s="32">
        <v>12980</v>
      </c>
      <c r="R426" s="32">
        <v>3960</v>
      </c>
      <c r="T426" s="32">
        <v>9020</v>
      </c>
    </row>
    <row r="427" spans="2:20" ht="12.75" hidden="1" x14ac:dyDescent="0.25">
      <c r="B427" s="32">
        <v>100</v>
      </c>
      <c r="F427" s="32" t="s">
        <v>207</v>
      </c>
      <c r="J427" s="32">
        <v>1</v>
      </c>
      <c r="P427" s="32">
        <v>500</v>
      </c>
      <c r="R427" s="32">
        <v>150</v>
      </c>
      <c r="T427" s="32">
        <v>350</v>
      </c>
    </row>
    <row r="428" spans="2:20" ht="12.75" hidden="1" x14ac:dyDescent="0.25">
      <c r="B428" s="32">
        <v>101</v>
      </c>
      <c r="F428" s="32" t="s">
        <v>206</v>
      </c>
      <c r="J428" s="32">
        <v>2</v>
      </c>
      <c r="P428" s="32">
        <v>1000</v>
      </c>
      <c r="R428" s="32">
        <v>300</v>
      </c>
      <c r="T428" s="32">
        <v>700</v>
      </c>
    </row>
    <row r="429" spans="2:20" ht="12.75" hidden="1" x14ac:dyDescent="0.25">
      <c r="B429" s="32">
        <v>102</v>
      </c>
      <c r="F429" s="32" t="s">
        <v>205</v>
      </c>
      <c r="J429" s="32">
        <v>1</v>
      </c>
      <c r="P429" s="32">
        <v>500</v>
      </c>
      <c r="R429" s="32">
        <v>150</v>
      </c>
      <c r="T429" s="32">
        <v>350</v>
      </c>
    </row>
    <row r="430" spans="2:20" ht="12.75" hidden="1" x14ac:dyDescent="0.25">
      <c r="B430" s="32">
        <v>103</v>
      </c>
      <c r="F430" s="32" t="s">
        <v>204</v>
      </c>
      <c r="J430" s="32">
        <v>6</v>
      </c>
      <c r="P430" s="32">
        <v>3000</v>
      </c>
      <c r="R430" s="32">
        <v>900</v>
      </c>
      <c r="T430" s="32">
        <v>2100</v>
      </c>
    </row>
    <row r="431" spans="2:20" ht="12.75" hidden="1" x14ac:dyDescent="0.25">
      <c r="B431" s="32">
        <v>104</v>
      </c>
      <c r="F431" s="32" t="s">
        <v>83</v>
      </c>
      <c r="J431" s="32">
        <v>9</v>
      </c>
      <c r="P431" s="32">
        <v>4500</v>
      </c>
      <c r="R431" s="32">
        <v>1350</v>
      </c>
      <c r="T431" s="32">
        <v>3150</v>
      </c>
    </row>
    <row r="432" spans="2:20" ht="12.75" hidden="1" x14ac:dyDescent="0.25">
      <c r="B432" s="32">
        <v>105</v>
      </c>
      <c r="F432" s="32" t="s">
        <v>271</v>
      </c>
      <c r="J432" s="32">
        <v>10</v>
      </c>
      <c r="P432" s="32">
        <v>5000</v>
      </c>
      <c r="R432" s="32">
        <v>1500</v>
      </c>
      <c r="T432" s="32">
        <v>3500</v>
      </c>
    </row>
    <row r="433" spans="1:20" ht="12.75" hidden="1" x14ac:dyDescent="0.25">
      <c r="B433" s="32">
        <v>106</v>
      </c>
      <c r="F433" s="32" t="s">
        <v>203</v>
      </c>
      <c r="J433" s="32">
        <v>1</v>
      </c>
      <c r="P433" s="32">
        <v>500</v>
      </c>
      <c r="R433" s="32">
        <v>150</v>
      </c>
      <c r="T433" s="32">
        <v>350</v>
      </c>
    </row>
    <row r="434" spans="1:20" ht="12.75" hidden="1" x14ac:dyDescent="0.25">
      <c r="B434" s="32">
        <v>107</v>
      </c>
      <c r="F434" s="32" t="s">
        <v>363</v>
      </c>
      <c r="J434" s="32">
        <v>2</v>
      </c>
      <c r="P434" s="32">
        <v>1000</v>
      </c>
      <c r="R434" s="32">
        <v>300</v>
      </c>
      <c r="T434" s="32">
        <v>700</v>
      </c>
    </row>
    <row r="435" spans="1:20" ht="12.75" hidden="1" x14ac:dyDescent="0.25">
      <c r="B435" s="32">
        <v>108</v>
      </c>
      <c r="F435" s="32" t="s">
        <v>82</v>
      </c>
      <c r="J435" s="32">
        <v>1</v>
      </c>
      <c r="P435" s="32">
        <v>290</v>
      </c>
      <c r="R435" s="32">
        <v>290</v>
      </c>
      <c r="T435" s="32">
        <v>0</v>
      </c>
    </row>
    <row r="436" spans="1:20" ht="12.75" hidden="1" x14ac:dyDescent="0.25">
      <c r="B436" s="32">
        <v>109</v>
      </c>
      <c r="F436" s="32" t="s">
        <v>81</v>
      </c>
      <c r="J436" s="32">
        <v>14</v>
      </c>
      <c r="P436" s="32">
        <v>4060</v>
      </c>
      <c r="R436" s="32">
        <v>1050</v>
      </c>
      <c r="T436" s="32">
        <v>3010</v>
      </c>
    </row>
    <row r="437" spans="1:20" ht="12.75" hidden="1" x14ac:dyDescent="0.25">
      <c r="A437" s="32" t="s">
        <v>449</v>
      </c>
      <c r="K437" s="32">
        <v>3012</v>
      </c>
      <c r="P437" s="32">
        <v>3178300</v>
      </c>
      <c r="R437" s="32">
        <v>2783064</v>
      </c>
      <c r="T437" s="32">
        <v>395236</v>
      </c>
    </row>
    <row r="438" spans="1:20" ht="12.75" hidden="1" x14ac:dyDescent="0.25">
      <c r="B438" s="32">
        <v>1</v>
      </c>
      <c r="F438" s="32" t="s">
        <v>250</v>
      </c>
      <c r="J438" s="32">
        <v>1</v>
      </c>
      <c r="P438" s="32">
        <v>500</v>
      </c>
      <c r="R438" s="32">
        <v>150</v>
      </c>
      <c r="T438" s="32">
        <v>350</v>
      </c>
    </row>
    <row r="439" spans="1:20" ht="12.75" hidden="1" x14ac:dyDescent="0.25">
      <c r="B439" s="32">
        <v>2</v>
      </c>
      <c r="F439" s="32" t="s">
        <v>346</v>
      </c>
      <c r="J439" s="32">
        <v>1</v>
      </c>
      <c r="P439" s="32">
        <v>500</v>
      </c>
      <c r="R439" s="32">
        <v>150</v>
      </c>
      <c r="T439" s="32">
        <v>350</v>
      </c>
    </row>
    <row r="440" spans="1:20" ht="12.75" hidden="1" x14ac:dyDescent="0.25">
      <c r="B440" s="32">
        <v>3</v>
      </c>
      <c r="F440" s="32" t="s">
        <v>168</v>
      </c>
      <c r="J440" s="32">
        <v>2</v>
      </c>
      <c r="P440" s="32">
        <v>4400</v>
      </c>
      <c r="R440" s="32">
        <v>660</v>
      </c>
      <c r="T440" s="32">
        <v>3740</v>
      </c>
    </row>
    <row r="441" spans="1:20" ht="12.75" hidden="1" x14ac:dyDescent="0.25">
      <c r="B441" s="32">
        <v>4</v>
      </c>
      <c r="F441" s="32" t="s">
        <v>78</v>
      </c>
      <c r="J441" s="32">
        <v>161</v>
      </c>
      <c r="P441" s="32">
        <v>46690</v>
      </c>
      <c r="R441" s="32">
        <v>46400</v>
      </c>
      <c r="T441" s="32">
        <v>290</v>
      </c>
    </row>
    <row r="442" spans="1:20" ht="12.75" hidden="1" x14ac:dyDescent="0.25">
      <c r="B442" s="32">
        <v>5</v>
      </c>
      <c r="F442" s="32" t="s">
        <v>199</v>
      </c>
      <c r="J442" s="32">
        <v>1</v>
      </c>
      <c r="P442" s="32">
        <v>290</v>
      </c>
      <c r="R442" s="32">
        <v>80</v>
      </c>
      <c r="T442" s="32">
        <v>210</v>
      </c>
    </row>
    <row r="443" spans="1:20" ht="12.75" hidden="1" x14ac:dyDescent="0.25">
      <c r="B443" s="32">
        <v>6</v>
      </c>
      <c r="F443" s="32" t="s">
        <v>249</v>
      </c>
      <c r="J443" s="32">
        <v>1</v>
      </c>
      <c r="P443" s="32">
        <v>1300</v>
      </c>
      <c r="R443" s="32">
        <v>200</v>
      </c>
      <c r="T443" s="32">
        <v>1100</v>
      </c>
    </row>
    <row r="444" spans="1:20" ht="12.75" hidden="1" x14ac:dyDescent="0.25">
      <c r="B444" s="32">
        <v>7</v>
      </c>
      <c r="F444" s="32" t="s">
        <v>345</v>
      </c>
      <c r="J444" s="32">
        <v>1</v>
      </c>
      <c r="P444" s="32">
        <v>1880</v>
      </c>
      <c r="R444" s="32">
        <v>280</v>
      </c>
      <c r="T444" s="32">
        <v>1600</v>
      </c>
    </row>
    <row r="445" spans="1:20" ht="12.75" hidden="1" x14ac:dyDescent="0.25">
      <c r="B445" s="32">
        <v>8</v>
      </c>
      <c r="F445" s="32" t="s">
        <v>165</v>
      </c>
      <c r="J445" s="32">
        <v>1</v>
      </c>
      <c r="P445" s="32">
        <v>590</v>
      </c>
      <c r="R445" s="32">
        <v>180</v>
      </c>
      <c r="T445" s="32">
        <v>410</v>
      </c>
    </row>
    <row r="446" spans="1:20" ht="12.75" hidden="1" x14ac:dyDescent="0.25">
      <c r="B446" s="32">
        <v>9</v>
      </c>
      <c r="F446" s="32" t="s">
        <v>163</v>
      </c>
      <c r="J446" s="32">
        <v>2</v>
      </c>
      <c r="P446" s="32">
        <v>2380</v>
      </c>
      <c r="R446" s="32">
        <v>360</v>
      </c>
      <c r="T446" s="32">
        <v>2020</v>
      </c>
    </row>
    <row r="447" spans="1:20" ht="12.75" hidden="1" x14ac:dyDescent="0.25">
      <c r="B447" s="32">
        <v>10</v>
      </c>
      <c r="F447" s="32" t="s">
        <v>162</v>
      </c>
      <c r="J447" s="32">
        <v>26</v>
      </c>
      <c r="P447" s="32">
        <v>11180</v>
      </c>
      <c r="R447" s="32">
        <v>5384</v>
      </c>
      <c r="T447" s="32">
        <v>5796</v>
      </c>
    </row>
    <row r="448" spans="1:20" ht="12.75" hidden="1" x14ac:dyDescent="0.25">
      <c r="B448" s="32">
        <v>11</v>
      </c>
      <c r="F448" s="32" t="s">
        <v>198</v>
      </c>
      <c r="J448" s="32">
        <v>2</v>
      </c>
      <c r="P448" s="32">
        <v>580</v>
      </c>
      <c r="R448" s="32">
        <v>160</v>
      </c>
      <c r="T448" s="32">
        <v>420</v>
      </c>
    </row>
    <row r="449" spans="2:20" ht="12.75" hidden="1" x14ac:dyDescent="0.25">
      <c r="B449" s="32">
        <v>12</v>
      </c>
      <c r="F449" s="32" t="s">
        <v>160</v>
      </c>
      <c r="J449" s="32">
        <v>4</v>
      </c>
      <c r="P449" s="32">
        <v>1160</v>
      </c>
      <c r="R449" s="32">
        <v>320</v>
      </c>
      <c r="T449" s="32">
        <v>840</v>
      </c>
    </row>
    <row r="450" spans="2:20" ht="12.75" hidden="1" x14ac:dyDescent="0.25">
      <c r="B450" s="32">
        <v>13</v>
      </c>
      <c r="F450" s="32" t="s">
        <v>159</v>
      </c>
      <c r="J450" s="32">
        <v>12</v>
      </c>
      <c r="P450" s="32">
        <v>0</v>
      </c>
      <c r="R450" s="32">
        <v>0</v>
      </c>
      <c r="T450" s="32">
        <v>0</v>
      </c>
    </row>
    <row r="451" spans="2:20" ht="12.75" hidden="1" x14ac:dyDescent="0.25">
      <c r="B451" s="32">
        <v>14</v>
      </c>
      <c r="F451" s="32" t="s">
        <v>266</v>
      </c>
      <c r="J451" s="32">
        <v>3</v>
      </c>
      <c r="P451" s="32">
        <v>4050</v>
      </c>
      <c r="R451" s="32">
        <v>1200</v>
      </c>
      <c r="T451" s="32">
        <v>2850</v>
      </c>
    </row>
    <row r="452" spans="2:20" ht="12.75" hidden="1" x14ac:dyDescent="0.25">
      <c r="B452" s="32">
        <v>15</v>
      </c>
      <c r="F452" s="32" t="s">
        <v>158</v>
      </c>
      <c r="J452" s="32">
        <v>228</v>
      </c>
      <c r="P452" s="32">
        <v>125400</v>
      </c>
      <c r="R452" s="32">
        <v>33153</v>
      </c>
      <c r="T452" s="32">
        <v>92247</v>
      </c>
    </row>
    <row r="453" spans="2:20" ht="12.75" hidden="1" x14ac:dyDescent="0.25">
      <c r="B453" s="32">
        <v>16</v>
      </c>
      <c r="F453" s="32" t="s">
        <v>157</v>
      </c>
      <c r="J453" s="32">
        <v>77</v>
      </c>
      <c r="P453" s="32">
        <v>37730</v>
      </c>
      <c r="R453" s="32">
        <v>14917</v>
      </c>
      <c r="T453" s="32">
        <v>22813</v>
      </c>
    </row>
    <row r="454" spans="2:20" ht="12.75" hidden="1" x14ac:dyDescent="0.25">
      <c r="B454" s="32">
        <v>17</v>
      </c>
      <c r="F454" s="32" t="s">
        <v>196</v>
      </c>
      <c r="J454" s="32">
        <v>3</v>
      </c>
      <c r="P454" s="32">
        <v>2300</v>
      </c>
      <c r="R454" s="32">
        <v>270</v>
      </c>
      <c r="T454" s="32">
        <v>2030</v>
      </c>
    </row>
    <row r="455" spans="2:20" ht="12.75" hidden="1" x14ac:dyDescent="0.25">
      <c r="B455" s="32">
        <v>18</v>
      </c>
      <c r="F455" s="32" t="s">
        <v>292</v>
      </c>
      <c r="J455" s="32">
        <v>3</v>
      </c>
      <c r="P455" s="32">
        <v>2100</v>
      </c>
      <c r="R455" s="32">
        <v>1400</v>
      </c>
      <c r="T455" s="32">
        <v>700</v>
      </c>
    </row>
    <row r="456" spans="2:20" ht="12.75" hidden="1" x14ac:dyDescent="0.25">
      <c r="B456" s="32">
        <v>19</v>
      </c>
      <c r="F456" s="32" t="s">
        <v>77</v>
      </c>
      <c r="J456" s="32">
        <v>868</v>
      </c>
      <c r="P456" s="32">
        <v>353100</v>
      </c>
      <c r="R456" s="32">
        <v>353100</v>
      </c>
      <c r="T456" s="32">
        <v>0</v>
      </c>
    </row>
    <row r="457" spans="2:20" ht="12.75" hidden="1" x14ac:dyDescent="0.25">
      <c r="B457" s="32">
        <v>20</v>
      </c>
      <c r="F457" s="32" t="s">
        <v>242</v>
      </c>
      <c r="J457" s="32">
        <v>2</v>
      </c>
      <c r="P457" s="32">
        <v>1000</v>
      </c>
      <c r="R457" s="32">
        <v>1000</v>
      </c>
      <c r="T457" s="32">
        <v>0</v>
      </c>
    </row>
    <row r="458" spans="2:20" ht="12.75" hidden="1" x14ac:dyDescent="0.25">
      <c r="B458" s="32">
        <v>21</v>
      </c>
      <c r="F458" s="32" t="s">
        <v>76</v>
      </c>
      <c r="J458" s="32">
        <v>4</v>
      </c>
      <c r="P458" s="32">
        <v>2300</v>
      </c>
      <c r="R458" s="32">
        <v>2300</v>
      </c>
      <c r="T458" s="32">
        <v>0</v>
      </c>
    </row>
    <row r="459" spans="2:20" ht="12.75" hidden="1" x14ac:dyDescent="0.25">
      <c r="B459" s="32">
        <v>22</v>
      </c>
      <c r="F459" s="32" t="s">
        <v>156</v>
      </c>
      <c r="J459" s="32">
        <v>26</v>
      </c>
      <c r="P459" s="32">
        <v>4940</v>
      </c>
      <c r="R459" s="32">
        <v>1900</v>
      </c>
      <c r="T459" s="32">
        <v>3040</v>
      </c>
    </row>
    <row r="460" spans="2:20" ht="12.75" hidden="1" x14ac:dyDescent="0.25">
      <c r="B460" s="32">
        <v>23</v>
      </c>
      <c r="F460" s="32" t="s">
        <v>155</v>
      </c>
      <c r="J460" s="32">
        <v>58</v>
      </c>
      <c r="P460" s="32">
        <v>14500</v>
      </c>
      <c r="R460" s="32">
        <v>5088</v>
      </c>
      <c r="T460" s="32">
        <v>9412</v>
      </c>
    </row>
    <row r="461" spans="2:20" ht="12.75" hidden="1" x14ac:dyDescent="0.25">
      <c r="B461" s="32">
        <v>24</v>
      </c>
      <c r="F461" s="32" t="s">
        <v>154</v>
      </c>
      <c r="J461" s="32">
        <v>10</v>
      </c>
      <c r="P461" s="32">
        <v>8900</v>
      </c>
      <c r="R461" s="32">
        <v>1040</v>
      </c>
      <c r="T461" s="32">
        <v>7860</v>
      </c>
    </row>
    <row r="462" spans="2:20" ht="12.75" hidden="1" x14ac:dyDescent="0.25">
      <c r="B462" s="32">
        <v>25</v>
      </c>
      <c r="F462" s="32" t="s">
        <v>194</v>
      </c>
      <c r="J462" s="32">
        <v>1</v>
      </c>
      <c r="P462" s="32">
        <v>700</v>
      </c>
      <c r="R462" s="32">
        <v>180</v>
      </c>
      <c r="T462" s="32">
        <v>520</v>
      </c>
    </row>
    <row r="463" spans="2:20" ht="12.75" hidden="1" x14ac:dyDescent="0.25">
      <c r="B463" s="32">
        <v>26</v>
      </c>
      <c r="F463" s="32" t="s">
        <v>152</v>
      </c>
      <c r="J463" s="32">
        <v>34</v>
      </c>
      <c r="P463" s="32">
        <v>20060</v>
      </c>
      <c r="R463" s="32">
        <v>6570</v>
      </c>
      <c r="T463" s="32">
        <v>13490</v>
      </c>
    </row>
    <row r="464" spans="2:20" ht="12.75" hidden="1" x14ac:dyDescent="0.25">
      <c r="B464" s="32">
        <v>27</v>
      </c>
      <c r="F464" s="32" t="s">
        <v>151</v>
      </c>
      <c r="J464" s="32">
        <v>60</v>
      </c>
      <c r="P464" s="32">
        <v>13800</v>
      </c>
      <c r="R464" s="32">
        <v>3375</v>
      </c>
      <c r="T464" s="32">
        <v>10425</v>
      </c>
    </row>
    <row r="465" spans="2:20" ht="12.75" hidden="1" x14ac:dyDescent="0.25">
      <c r="B465" s="32">
        <v>28</v>
      </c>
      <c r="F465" s="32" t="s">
        <v>150</v>
      </c>
      <c r="J465" s="32">
        <v>10</v>
      </c>
      <c r="P465" s="32">
        <v>1700</v>
      </c>
      <c r="R465" s="32">
        <v>510</v>
      </c>
      <c r="T465" s="32">
        <v>1190</v>
      </c>
    </row>
    <row r="466" spans="2:20" ht="12.75" hidden="1" x14ac:dyDescent="0.25">
      <c r="B466" s="32">
        <v>29</v>
      </c>
      <c r="F466" s="32" t="s">
        <v>143</v>
      </c>
      <c r="J466" s="32">
        <v>1</v>
      </c>
      <c r="P466" s="32">
        <v>100</v>
      </c>
      <c r="R466" s="32">
        <v>0</v>
      </c>
      <c r="T466" s="32">
        <v>100</v>
      </c>
    </row>
    <row r="467" spans="2:20" ht="12.75" hidden="1" x14ac:dyDescent="0.25">
      <c r="B467" s="32">
        <v>30</v>
      </c>
      <c r="F467" s="32" t="s">
        <v>288</v>
      </c>
      <c r="J467" s="32">
        <v>1</v>
      </c>
      <c r="P467" s="32">
        <v>800</v>
      </c>
      <c r="R467" s="32">
        <v>450</v>
      </c>
      <c r="T467" s="32">
        <v>350</v>
      </c>
    </row>
    <row r="468" spans="2:20" ht="12.75" hidden="1" x14ac:dyDescent="0.25">
      <c r="B468" s="32">
        <v>31</v>
      </c>
      <c r="F468" s="32" t="s">
        <v>234</v>
      </c>
      <c r="J468" s="32">
        <v>1</v>
      </c>
      <c r="P468" s="32">
        <v>800</v>
      </c>
      <c r="R468" s="32">
        <v>450</v>
      </c>
      <c r="T468" s="32">
        <v>350</v>
      </c>
    </row>
    <row r="469" spans="2:20" ht="12.75" hidden="1" x14ac:dyDescent="0.25">
      <c r="B469" s="32">
        <v>32</v>
      </c>
      <c r="F469" s="32" t="s">
        <v>232</v>
      </c>
      <c r="J469" s="32">
        <v>5</v>
      </c>
      <c r="P469" s="32">
        <v>4900</v>
      </c>
      <c r="R469" s="32">
        <v>600</v>
      </c>
      <c r="T469" s="32">
        <v>4300</v>
      </c>
    </row>
    <row r="470" spans="2:20" ht="12.75" hidden="1" x14ac:dyDescent="0.25">
      <c r="B470" s="32">
        <v>33</v>
      </c>
      <c r="F470" s="32" t="s">
        <v>353</v>
      </c>
      <c r="J470" s="32">
        <v>1</v>
      </c>
      <c r="P470" s="32">
        <v>350</v>
      </c>
      <c r="R470" s="32">
        <v>150</v>
      </c>
      <c r="T470" s="32">
        <v>200</v>
      </c>
    </row>
    <row r="471" spans="2:20" ht="12.75" hidden="1" x14ac:dyDescent="0.25">
      <c r="B471" s="32">
        <v>34</v>
      </c>
      <c r="F471" s="32" t="s">
        <v>142</v>
      </c>
      <c r="J471" s="32">
        <v>21</v>
      </c>
      <c r="P471" s="32">
        <v>7350</v>
      </c>
      <c r="R471" s="32">
        <v>3150</v>
      </c>
      <c r="T471" s="32">
        <v>4200</v>
      </c>
    </row>
    <row r="472" spans="2:20" ht="12.75" hidden="1" x14ac:dyDescent="0.25">
      <c r="B472" s="32">
        <v>35</v>
      </c>
      <c r="F472" s="32" t="s">
        <v>75</v>
      </c>
      <c r="J472" s="32">
        <v>871</v>
      </c>
      <c r="P472" s="32">
        <v>2177500</v>
      </c>
      <c r="R472" s="32">
        <v>2177500</v>
      </c>
      <c r="T472" s="32">
        <v>0</v>
      </c>
    </row>
    <row r="473" spans="2:20" ht="12.75" hidden="1" x14ac:dyDescent="0.25">
      <c r="B473" s="32">
        <v>36</v>
      </c>
      <c r="F473" s="32" t="s">
        <v>139</v>
      </c>
      <c r="J473" s="32">
        <v>5</v>
      </c>
      <c r="P473" s="32">
        <v>1350</v>
      </c>
      <c r="R473" s="32">
        <v>160</v>
      </c>
      <c r="T473" s="32">
        <v>1190</v>
      </c>
    </row>
    <row r="474" spans="2:20" ht="12.75" hidden="1" x14ac:dyDescent="0.25">
      <c r="B474" s="32">
        <v>37</v>
      </c>
      <c r="F474" s="32" t="s">
        <v>231</v>
      </c>
      <c r="J474" s="32">
        <v>1</v>
      </c>
      <c r="P474" s="32">
        <v>500</v>
      </c>
      <c r="R474" s="32">
        <v>150</v>
      </c>
      <c r="T474" s="32">
        <v>350</v>
      </c>
    </row>
    <row r="475" spans="2:20" ht="12.75" hidden="1" x14ac:dyDescent="0.25">
      <c r="B475" s="32">
        <v>38</v>
      </c>
      <c r="F475" s="32" t="s">
        <v>136</v>
      </c>
      <c r="J475" s="32">
        <v>17</v>
      </c>
      <c r="P475" s="32">
        <v>14450</v>
      </c>
      <c r="R475" s="32">
        <v>3380</v>
      </c>
      <c r="T475" s="32">
        <v>11070</v>
      </c>
    </row>
    <row r="476" spans="2:20" ht="12.75" hidden="1" x14ac:dyDescent="0.25">
      <c r="B476" s="32">
        <v>39</v>
      </c>
      <c r="F476" s="32" t="s">
        <v>74</v>
      </c>
      <c r="J476" s="32">
        <v>28</v>
      </c>
      <c r="P476" s="32">
        <v>23800</v>
      </c>
      <c r="R476" s="32">
        <v>23800</v>
      </c>
      <c r="T476" s="32">
        <v>0</v>
      </c>
    </row>
    <row r="477" spans="2:20" ht="12.75" hidden="1" x14ac:dyDescent="0.25">
      <c r="B477" s="32">
        <v>40</v>
      </c>
      <c r="F477" s="32" t="s">
        <v>190</v>
      </c>
      <c r="J477" s="32">
        <v>1</v>
      </c>
      <c r="P477" s="32">
        <v>1570</v>
      </c>
      <c r="R477" s="32">
        <v>240</v>
      </c>
      <c r="T477" s="32">
        <v>1330</v>
      </c>
    </row>
    <row r="478" spans="2:20" ht="12.75" hidden="1" x14ac:dyDescent="0.25">
      <c r="B478" s="32">
        <v>41</v>
      </c>
      <c r="F478" s="32" t="s">
        <v>230</v>
      </c>
      <c r="J478" s="32">
        <v>3</v>
      </c>
      <c r="P478" s="32">
        <v>2850</v>
      </c>
      <c r="R478" s="32">
        <v>420</v>
      </c>
      <c r="T478" s="32">
        <v>2430</v>
      </c>
    </row>
    <row r="479" spans="2:20" ht="12.75" hidden="1" x14ac:dyDescent="0.25">
      <c r="B479" s="32">
        <v>42</v>
      </c>
      <c r="F479" s="32" t="s">
        <v>135</v>
      </c>
      <c r="J479" s="32">
        <v>28</v>
      </c>
      <c r="P479" s="32">
        <v>26600</v>
      </c>
      <c r="R479" s="32">
        <v>7333</v>
      </c>
      <c r="T479" s="32">
        <v>19267</v>
      </c>
    </row>
    <row r="480" spans="2:20" ht="12.75" hidden="1" x14ac:dyDescent="0.25">
      <c r="B480" s="32">
        <v>43</v>
      </c>
      <c r="F480" s="32" t="s">
        <v>132</v>
      </c>
      <c r="J480" s="32">
        <v>32</v>
      </c>
      <c r="P480" s="32">
        <v>39680</v>
      </c>
      <c r="R480" s="32">
        <v>11164</v>
      </c>
      <c r="T480" s="32">
        <v>28516</v>
      </c>
    </row>
    <row r="481" spans="2:20" ht="12.75" hidden="1" x14ac:dyDescent="0.25">
      <c r="B481" s="32">
        <v>44</v>
      </c>
      <c r="F481" s="32" t="s">
        <v>131</v>
      </c>
      <c r="J481" s="32">
        <v>1</v>
      </c>
      <c r="P481" s="32">
        <v>3700</v>
      </c>
      <c r="R481" s="32">
        <v>0</v>
      </c>
      <c r="T481" s="32">
        <v>3700</v>
      </c>
    </row>
    <row r="482" spans="2:20" ht="12.75" hidden="1" x14ac:dyDescent="0.25">
      <c r="B482" s="32">
        <v>45</v>
      </c>
      <c r="F482" s="32" t="s">
        <v>127</v>
      </c>
      <c r="J482" s="32">
        <v>6</v>
      </c>
      <c r="P482" s="32">
        <v>1800</v>
      </c>
      <c r="R482" s="32">
        <v>532</v>
      </c>
      <c r="T482" s="32">
        <v>1268</v>
      </c>
    </row>
    <row r="483" spans="2:20" ht="12.75" hidden="1" x14ac:dyDescent="0.25">
      <c r="B483" s="32">
        <v>46</v>
      </c>
      <c r="F483" s="32" t="s">
        <v>126</v>
      </c>
      <c r="J483" s="32">
        <v>8</v>
      </c>
      <c r="P483" s="32">
        <v>1600</v>
      </c>
      <c r="R483" s="32">
        <v>414</v>
      </c>
      <c r="T483" s="32">
        <v>1186</v>
      </c>
    </row>
    <row r="484" spans="2:20" ht="12.75" hidden="1" x14ac:dyDescent="0.25">
      <c r="B484" s="32">
        <v>47</v>
      </c>
      <c r="F484" s="32" t="s">
        <v>124</v>
      </c>
      <c r="J484" s="32">
        <v>2</v>
      </c>
      <c r="P484" s="32">
        <v>1180</v>
      </c>
      <c r="R484" s="32">
        <v>350</v>
      </c>
      <c r="T484" s="32">
        <v>830</v>
      </c>
    </row>
    <row r="485" spans="2:20" ht="12.75" hidden="1" x14ac:dyDescent="0.25">
      <c r="B485" s="32">
        <v>48</v>
      </c>
      <c r="F485" s="32" t="s">
        <v>123</v>
      </c>
      <c r="J485" s="32">
        <v>2</v>
      </c>
      <c r="P485" s="32">
        <v>1560</v>
      </c>
      <c r="R485" s="32">
        <v>460</v>
      </c>
      <c r="T485" s="32">
        <v>1100</v>
      </c>
    </row>
    <row r="486" spans="2:20" ht="12.75" hidden="1" x14ac:dyDescent="0.25">
      <c r="B486" s="32">
        <v>49</v>
      </c>
      <c r="F486" s="32" t="s">
        <v>336</v>
      </c>
      <c r="J486" s="32">
        <v>3</v>
      </c>
      <c r="P486" s="32">
        <v>1800</v>
      </c>
      <c r="R486" s="32">
        <v>500</v>
      </c>
      <c r="T486" s="32">
        <v>1300</v>
      </c>
    </row>
    <row r="487" spans="2:20" ht="12.75" hidden="1" x14ac:dyDescent="0.25">
      <c r="B487" s="32">
        <v>50</v>
      </c>
      <c r="F487" s="32" t="s">
        <v>122</v>
      </c>
      <c r="J487" s="32">
        <v>1</v>
      </c>
      <c r="P487" s="32">
        <v>500</v>
      </c>
      <c r="R487" s="32">
        <v>0</v>
      </c>
      <c r="T487" s="32">
        <v>500</v>
      </c>
    </row>
    <row r="488" spans="2:20" ht="12.75" hidden="1" x14ac:dyDescent="0.25">
      <c r="B488" s="32">
        <v>51</v>
      </c>
      <c r="F488" s="32" t="s">
        <v>121</v>
      </c>
      <c r="J488" s="32">
        <v>3</v>
      </c>
      <c r="P488" s="32">
        <v>1500</v>
      </c>
      <c r="R488" s="32">
        <v>300</v>
      </c>
      <c r="T488" s="32">
        <v>1200</v>
      </c>
    </row>
    <row r="489" spans="2:20" ht="12.75" hidden="1" x14ac:dyDescent="0.25">
      <c r="B489" s="32">
        <v>52</v>
      </c>
      <c r="F489" s="32" t="s">
        <v>282</v>
      </c>
      <c r="J489" s="32">
        <v>1</v>
      </c>
      <c r="P489" s="32">
        <v>500</v>
      </c>
      <c r="R489" s="32">
        <v>0</v>
      </c>
      <c r="T489" s="32">
        <v>500</v>
      </c>
    </row>
    <row r="490" spans="2:20" ht="12.75" hidden="1" x14ac:dyDescent="0.25">
      <c r="B490" s="32">
        <v>53</v>
      </c>
      <c r="F490" s="32" t="s">
        <v>119</v>
      </c>
      <c r="J490" s="32">
        <v>10</v>
      </c>
      <c r="P490" s="32">
        <v>8900</v>
      </c>
      <c r="R490" s="32">
        <v>2862</v>
      </c>
      <c r="T490" s="32">
        <v>6038</v>
      </c>
    </row>
    <row r="491" spans="2:20" ht="12.75" hidden="1" x14ac:dyDescent="0.25">
      <c r="B491" s="32">
        <v>54</v>
      </c>
      <c r="F491" s="32" t="s">
        <v>118</v>
      </c>
      <c r="J491" s="32">
        <v>38</v>
      </c>
      <c r="P491" s="32">
        <v>37620</v>
      </c>
      <c r="R491" s="32">
        <v>11775</v>
      </c>
      <c r="T491" s="32">
        <v>25845</v>
      </c>
    </row>
    <row r="492" spans="2:20" ht="12.75" hidden="1" x14ac:dyDescent="0.25">
      <c r="B492" s="32">
        <v>55</v>
      </c>
      <c r="F492" s="32" t="s">
        <v>117</v>
      </c>
      <c r="J492" s="32">
        <v>4</v>
      </c>
      <c r="P492" s="32">
        <v>3200</v>
      </c>
      <c r="R492" s="32">
        <v>200</v>
      </c>
      <c r="T492" s="32">
        <v>3000</v>
      </c>
    </row>
    <row r="493" spans="2:20" ht="12.75" hidden="1" x14ac:dyDescent="0.25">
      <c r="B493" s="32">
        <v>56</v>
      </c>
      <c r="F493" s="32" t="s">
        <v>262</v>
      </c>
      <c r="J493" s="32">
        <v>1</v>
      </c>
      <c r="P493" s="32">
        <v>450</v>
      </c>
      <c r="R493" s="32">
        <v>70</v>
      </c>
      <c r="T493" s="32">
        <v>380</v>
      </c>
    </row>
    <row r="494" spans="2:20" ht="12.75" hidden="1" x14ac:dyDescent="0.25">
      <c r="B494" s="32">
        <v>57</v>
      </c>
      <c r="F494" s="32" t="s">
        <v>115</v>
      </c>
      <c r="J494" s="32">
        <v>3</v>
      </c>
      <c r="P494" s="32">
        <v>870</v>
      </c>
      <c r="R494" s="32">
        <v>270</v>
      </c>
      <c r="T494" s="32">
        <v>600</v>
      </c>
    </row>
    <row r="495" spans="2:20" ht="12.75" hidden="1" x14ac:dyDescent="0.25">
      <c r="B495" s="32">
        <v>58</v>
      </c>
      <c r="F495" s="32" t="s">
        <v>417</v>
      </c>
      <c r="J495" s="32">
        <v>2</v>
      </c>
      <c r="P495" s="32">
        <v>1200</v>
      </c>
      <c r="R495" s="32">
        <v>0</v>
      </c>
      <c r="T495" s="32">
        <v>1200</v>
      </c>
    </row>
    <row r="496" spans="2:20" ht="12.75" hidden="1" x14ac:dyDescent="0.25">
      <c r="B496" s="32">
        <v>59</v>
      </c>
      <c r="F496" s="32" t="s">
        <v>448</v>
      </c>
      <c r="J496" s="32">
        <v>1</v>
      </c>
      <c r="P496" s="32">
        <v>60</v>
      </c>
      <c r="R496" s="32">
        <v>0</v>
      </c>
      <c r="T496" s="32">
        <v>60</v>
      </c>
    </row>
    <row r="497" spans="2:20" ht="12.75" hidden="1" x14ac:dyDescent="0.25">
      <c r="B497" s="32">
        <v>60</v>
      </c>
      <c r="F497" s="32" t="s">
        <v>225</v>
      </c>
      <c r="J497" s="32">
        <v>6</v>
      </c>
      <c r="P497" s="32">
        <v>30000</v>
      </c>
      <c r="R497" s="32">
        <v>29600</v>
      </c>
      <c r="T497" s="32">
        <v>400</v>
      </c>
    </row>
    <row r="498" spans="2:20" ht="12.75" hidden="1" x14ac:dyDescent="0.25">
      <c r="B498" s="32">
        <v>61</v>
      </c>
      <c r="F498" s="32" t="s">
        <v>222</v>
      </c>
      <c r="J498" s="32">
        <v>1</v>
      </c>
      <c r="P498" s="32">
        <v>500</v>
      </c>
      <c r="R498" s="32">
        <v>0</v>
      </c>
      <c r="T498" s="32">
        <v>500</v>
      </c>
    </row>
    <row r="499" spans="2:20" ht="12.75" hidden="1" x14ac:dyDescent="0.25">
      <c r="B499" s="32">
        <v>62</v>
      </c>
      <c r="F499" s="32" t="s">
        <v>300</v>
      </c>
      <c r="J499" s="32">
        <v>2</v>
      </c>
      <c r="P499" s="32">
        <v>660</v>
      </c>
      <c r="R499" s="32">
        <v>199</v>
      </c>
      <c r="T499" s="32">
        <v>461</v>
      </c>
    </row>
    <row r="500" spans="2:20" ht="12.75" hidden="1" x14ac:dyDescent="0.25">
      <c r="B500" s="32">
        <v>63</v>
      </c>
      <c r="F500" s="32" t="s">
        <v>219</v>
      </c>
      <c r="J500" s="32">
        <v>1</v>
      </c>
      <c r="P500" s="32">
        <v>500</v>
      </c>
      <c r="R500" s="32">
        <v>150</v>
      </c>
      <c r="T500" s="32">
        <v>350</v>
      </c>
    </row>
    <row r="501" spans="2:20" ht="12.75" hidden="1" x14ac:dyDescent="0.25">
      <c r="B501" s="32">
        <v>64</v>
      </c>
      <c r="F501" s="32" t="s">
        <v>171</v>
      </c>
      <c r="J501" s="32">
        <v>2</v>
      </c>
      <c r="P501" s="32">
        <v>1060</v>
      </c>
      <c r="R501" s="32">
        <v>346</v>
      </c>
      <c r="T501" s="32">
        <v>714</v>
      </c>
    </row>
    <row r="502" spans="2:20" ht="12.75" hidden="1" x14ac:dyDescent="0.25">
      <c r="B502" s="32">
        <v>65</v>
      </c>
      <c r="F502" s="32" t="s">
        <v>111</v>
      </c>
      <c r="J502" s="32">
        <v>3</v>
      </c>
      <c r="P502" s="32">
        <v>1290</v>
      </c>
      <c r="R502" s="32">
        <v>390</v>
      </c>
      <c r="T502" s="32">
        <v>900</v>
      </c>
    </row>
    <row r="503" spans="2:20" ht="12.75" hidden="1" x14ac:dyDescent="0.25">
      <c r="B503" s="32">
        <v>66</v>
      </c>
      <c r="F503" s="32" t="s">
        <v>109</v>
      </c>
      <c r="J503" s="32">
        <v>2</v>
      </c>
      <c r="P503" s="32">
        <v>1560</v>
      </c>
      <c r="R503" s="32">
        <v>230</v>
      </c>
      <c r="T503" s="32">
        <v>1330</v>
      </c>
    </row>
    <row r="504" spans="2:20" ht="12.75" hidden="1" x14ac:dyDescent="0.25">
      <c r="B504" s="32">
        <v>67</v>
      </c>
      <c r="F504" s="32" t="s">
        <v>108</v>
      </c>
      <c r="J504" s="32">
        <v>3</v>
      </c>
      <c r="P504" s="32">
        <v>300</v>
      </c>
      <c r="R504" s="32">
        <v>30</v>
      </c>
      <c r="T504" s="32">
        <v>270</v>
      </c>
    </row>
    <row r="505" spans="2:20" ht="12.75" hidden="1" x14ac:dyDescent="0.25">
      <c r="B505" s="32">
        <v>68</v>
      </c>
      <c r="F505" s="32" t="s">
        <v>107</v>
      </c>
      <c r="J505" s="32">
        <v>42</v>
      </c>
      <c r="P505" s="32">
        <v>7140</v>
      </c>
      <c r="R505" s="32">
        <v>2468</v>
      </c>
      <c r="T505" s="32">
        <v>4672</v>
      </c>
    </row>
    <row r="506" spans="2:20" ht="12.75" hidden="1" x14ac:dyDescent="0.25">
      <c r="B506" s="32">
        <v>69</v>
      </c>
      <c r="F506" s="32" t="s">
        <v>256</v>
      </c>
      <c r="J506" s="32">
        <v>1</v>
      </c>
      <c r="P506" s="32">
        <v>630</v>
      </c>
      <c r="R506" s="32">
        <v>190</v>
      </c>
      <c r="T506" s="32">
        <v>440</v>
      </c>
    </row>
    <row r="507" spans="2:20" ht="12.75" hidden="1" x14ac:dyDescent="0.25">
      <c r="B507" s="32">
        <v>70</v>
      </c>
      <c r="F507" s="32" t="s">
        <v>105</v>
      </c>
      <c r="J507" s="32">
        <v>1</v>
      </c>
      <c r="P507" s="32">
        <v>1150</v>
      </c>
      <c r="R507" s="32">
        <v>0</v>
      </c>
      <c r="T507" s="32">
        <v>1150</v>
      </c>
    </row>
    <row r="508" spans="2:20" ht="12.75" hidden="1" x14ac:dyDescent="0.25">
      <c r="B508" s="32">
        <v>71</v>
      </c>
      <c r="F508" s="32" t="s">
        <v>104</v>
      </c>
      <c r="J508" s="32">
        <v>4</v>
      </c>
      <c r="P508" s="32">
        <v>1320</v>
      </c>
      <c r="R508" s="32">
        <v>505</v>
      </c>
      <c r="T508" s="32">
        <v>815</v>
      </c>
    </row>
    <row r="509" spans="2:20" ht="12.75" hidden="1" x14ac:dyDescent="0.25">
      <c r="B509" s="32">
        <v>72</v>
      </c>
      <c r="F509" s="32" t="s">
        <v>103</v>
      </c>
      <c r="J509" s="32">
        <v>39</v>
      </c>
      <c r="P509" s="32">
        <v>12870</v>
      </c>
      <c r="R509" s="32">
        <v>5420</v>
      </c>
      <c r="T509" s="32">
        <v>7450</v>
      </c>
    </row>
    <row r="510" spans="2:20" ht="12.75" hidden="1" x14ac:dyDescent="0.25">
      <c r="B510" s="32">
        <v>73</v>
      </c>
      <c r="F510" s="32" t="s">
        <v>307</v>
      </c>
      <c r="J510" s="32">
        <v>1</v>
      </c>
      <c r="P510" s="32">
        <v>700</v>
      </c>
      <c r="R510" s="32">
        <v>350</v>
      </c>
      <c r="T510" s="32">
        <v>350</v>
      </c>
    </row>
    <row r="511" spans="2:20" ht="12.75" hidden="1" x14ac:dyDescent="0.25">
      <c r="B511" s="32">
        <v>74</v>
      </c>
      <c r="F511" s="32" t="s">
        <v>102</v>
      </c>
      <c r="J511" s="32">
        <v>4</v>
      </c>
      <c r="P511" s="32">
        <v>3520</v>
      </c>
      <c r="R511" s="32">
        <v>520</v>
      </c>
      <c r="T511" s="32">
        <v>3000</v>
      </c>
    </row>
    <row r="512" spans="2:20" ht="12.75" hidden="1" x14ac:dyDescent="0.25">
      <c r="B512" s="32">
        <v>75</v>
      </c>
      <c r="F512" s="32" t="s">
        <v>99</v>
      </c>
      <c r="J512" s="32">
        <v>3</v>
      </c>
      <c r="P512" s="32">
        <v>1770</v>
      </c>
      <c r="R512" s="32">
        <v>90</v>
      </c>
      <c r="T512" s="32">
        <v>1680</v>
      </c>
    </row>
    <row r="513" spans="2:20" ht="12.75" hidden="1" x14ac:dyDescent="0.25">
      <c r="B513" s="32">
        <v>76</v>
      </c>
      <c r="F513" s="32" t="s">
        <v>98</v>
      </c>
      <c r="J513" s="32">
        <v>4</v>
      </c>
      <c r="P513" s="32">
        <v>2280</v>
      </c>
      <c r="R513" s="32">
        <v>240</v>
      </c>
      <c r="T513" s="32">
        <v>2040</v>
      </c>
    </row>
    <row r="514" spans="2:20" ht="12.75" hidden="1" x14ac:dyDescent="0.25">
      <c r="B514" s="32">
        <v>77</v>
      </c>
      <c r="F514" s="32" t="s">
        <v>97</v>
      </c>
      <c r="J514" s="32">
        <v>1</v>
      </c>
      <c r="P514" s="32">
        <v>1590</v>
      </c>
      <c r="R514" s="32">
        <v>240</v>
      </c>
      <c r="T514" s="32">
        <v>1350</v>
      </c>
    </row>
    <row r="515" spans="2:20" ht="12.75" hidden="1" x14ac:dyDescent="0.25">
      <c r="B515" s="32">
        <v>78</v>
      </c>
      <c r="F515" s="32" t="s">
        <v>253</v>
      </c>
      <c r="J515" s="32">
        <v>1</v>
      </c>
      <c r="P515" s="32">
        <v>290</v>
      </c>
      <c r="R515" s="32">
        <v>80</v>
      </c>
      <c r="T515" s="32">
        <v>210</v>
      </c>
    </row>
    <row r="516" spans="2:20" ht="12.75" hidden="1" x14ac:dyDescent="0.25">
      <c r="B516" s="32">
        <v>79</v>
      </c>
      <c r="F516" s="32" t="s">
        <v>93</v>
      </c>
      <c r="J516" s="32">
        <v>17</v>
      </c>
      <c r="P516" s="32">
        <v>10030</v>
      </c>
      <c r="R516" s="32">
        <v>990</v>
      </c>
      <c r="T516" s="32">
        <v>9040</v>
      </c>
    </row>
    <row r="517" spans="2:20" ht="12.75" hidden="1" x14ac:dyDescent="0.25">
      <c r="B517" s="32">
        <v>80</v>
      </c>
      <c r="F517" s="32" t="s">
        <v>92</v>
      </c>
      <c r="J517" s="32">
        <v>4</v>
      </c>
      <c r="P517" s="32">
        <v>2960</v>
      </c>
      <c r="R517" s="32">
        <v>860</v>
      </c>
      <c r="T517" s="32">
        <v>2100</v>
      </c>
    </row>
    <row r="518" spans="2:20" ht="12.75" hidden="1" x14ac:dyDescent="0.25">
      <c r="B518" s="32">
        <v>81</v>
      </c>
      <c r="F518" s="32" t="s">
        <v>91</v>
      </c>
      <c r="J518" s="32">
        <v>43</v>
      </c>
      <c r="P518" s="32">
        <v>10750</v>
      </c>
      <c r="R518" s="32">
        <v>2835</v>
      </c>
      <c r="T518" s="32">
        <v>7915</v>
      </c>
    </row>
    <row r="519" spans="2:20" ht="12.75" hidden="1" x14ac:dyDescent="0.25">
      <c r="B519" s="32">
        <v>82</v>
      </c>
      <c r="F519" s="32" t="s">
        <v>90</v>
      </c>
      <c r="J519" s="32">
        <v>16</v>
      </c>
      <c r="P519" s="32">
        <v>4640</v>
      </c>
      <c r="R519" s="32">
        <v>960</v>
      </c>
      <c r="T519" s="32">
        <v>3680</v>
      </c>
    </row>
    <row r="520" spans="2:20" ht="12.75" hidden="1" x14ac:dyDescent="0.25">
      <c r="B520" s="32">
        <v>83</v>
      </c>
      <c r="F520" s="32" t="s">
        <v>89</v>
      </c>
      <c r="J520" s="32">
        <v>3</v>
      </c>
      <c r="P520" s="32">
        <v>2640</v>
      </c>
      <c r="R520" s="32">
        <v>130</v>
      </c>
      <c r="T520" s="32">
        <v>2510</v>
      </c>
    </row>
    <row r="521" spans="2:20" ht="12.75" hidden="1" x14ac:dyDescent="0.25">
      <c r="B521" s="32">
        <v>84</v>
      </c>
      <c r="F521" s="32" t="s">
        <v>88</v>
      </c>
      <c r="J521" s="32">
        <v>48</v>
      </c>
      <c r="P521" s="32">
        <v>8640</v>
      </c>
      <c r="R521" s="32">
        <v>3014</v>
      </c>
      <c r="T521" s="32">
        <v>5626</v>
      </c>
    </row>
    <row r="522" spans="2:20" ht="12.75" hidden="1" x14ac:dyDescent="0.25">
      <c r="B522" s="32">
        <v>85</v>
      </c>
      <c r="F522" s="32" t="s">
        <v>86</v>
      </c>
      <c r="J522" s="32">
        <v>1</v>
      </c>
      <c r="P522" s="32">
        <v>1140</v>
      </c>
      <c r="R522" s="32">
        <v>170</v>
      </c>
      <c r="T522" s="32">
        <v>970</v>
      </c>
    </row>
    <row r="523" spans="2:20" ht="12.75" hidden="1" x14ac:dyDescent="0.25">
      <c r="B523" s="32">
        <v>86</v>
      </c>
      <c r="F523" s="32" t="s">
        <v>85</v>
      </c>
      <c r="J523" s="32">
        <v>9</v>
      </c>
      <c r="P523" s="32">
        <v>18720</v>
      </c>
      <c r="R523" s="32">
        <v>2480</v>
      </c>
      <c r="T523" s="32">
        <v>16240</v>
      </c>
    </row>
    <row r="524" spans="2:20" ht="12.75" hidden="1" x14ac:dyDescent="0.25">
      <c r="B524" s="32">
        <v>87</v>
      </c>
      <c r="F524" s="32" t="s">
        <v>84</v>
      </c>
      <c r="J524" s="32">
        <v>1</v>
      </c>
      <c r="P524" s="32">
        <v>590</v>
      </c>
      <c r="R524" s="32">
        <v>180</v>
      </c>
      <c r="T524" s="32">
        <v>410</v>
      </c>
    </row>
    <row r="525" spans="2:20" ht="12.75" hidden="1" x14ac:dyDescent="0.25">
      <c r="B525" s="32">
        <v>88</v>
      </c>
      <c r="F525" s="32" t="s">
        <v>206</v>
      </c>
      <c r="J525" s="32">
        <v>2</v>
      </c>
      <c r="P525" s="32">
        <v>1000</v>
      </c>
      <c r="R525" s="32">
        <v>300</v>
      </c>
      <c r="T525" s="32">
        <v>700</v>
      </c>
    </row>
    <row r="526" spans="2:20" ht="12.75" hidden="1" x14ac:dyDescent="0.25">
      <c r="B526" s="32">
        <v>89</v>
      </c>
      <c r="F526" s="32" t="s">
        <v>205</v>
      </c>
      <c r="J526" s="32">
        <v>1</v>
      </c>
      <c r="P526" s="32">
        <v>500</v>
      </c>
      <c r="R526" s="32">
        <v>0</v>
      </c>
      <c r="T526" s="32">
        <v>500</v>
      </c>
    </row>
    <row r="527" spans="2:20" ht="12.75" hidden="1" x14ac:dyDescent="0.25">
      <c r="B527" s="32">
        <v>90</v>
      </c>
      <c r="F527" s="32" t="s">
        <v>83</v>
      </c>
      <c r="J527" s="32">
        <v>7</v>
      </c>
      <c r="P527" s="32">
        <v>3500</v>
      </c>
      <c r="R527" s="32">
        <v>1050</v>
      </c>
      <c r="T527" s="32">
        <v>2450</v>
      </c>
    </row>
    <row r="528" spans="2:20" ht="12.75" hidden="1" x14ac:dyDescent="0.25">
      <c r="B528" s="32">
        <v>91</v>
      </c>
      <c r="F528" s="32" t="s">
        <v>271</v>
      </c>
      <c r="J528" s="32">
        <v>2</v>
      </c>
      <c r="P528" s="32">
        <v>1000</v>
      </c>
      <c r="R528" s="32">
        <v>300</v>
      </c>
      <c r="T528" s="32">
        <v>700</v>
      </c>
    </row>
    <row r="529" spans="1:20" ht="12.75" hidden="1" x14ac:dyDescent="0.25">
      <c r="B529" s="32">
        <v>92</v>
      </c>
      <c r="F529" s="32" t="s">
        <v>203</v>
      </c>
      <c r="J529" s="32">
        <v>2</v>
      </c>
      <c r="P529" s="32">
        <v>1000</v>
      </c>
      <c r="R529" s="32">
        <v>300</v>
      </c>
      <c r="T529" s="32">
        <v>700</v>
      </c>
    </row>
    <row r="530" spans="1:20" ht="12.75" hidden="1" x14ac:dyDescent="0.25">
      <c r="B530" s="32">
        <v>93</v>
      </c>
      <c r="F530" s="32" t="s">
        <v>81</v>
      </c>
      <c r="J530" s="32">
        <v>31</v>
      </c>
      <c r="P530" s="32">
        <v>8990</v>
      </c>
      <c r="R530" s="32">
        <v>1440</v>
      </c>
      <c r="T530" s="32">
        <v>7550</v>
      </c>
    </row>
    <row r="531" spans="1:20" ht="12.75" hidden="1" x14ac:dyDescent="0.25">
      <c r="A531" s="32" t="s">
        <v>447</v>
      </c>
      <c r="K531" s="32">
        <v>5074</v>
      </c>
      <c r="P531" s="32">
        <v>5178170</v>
      </c>
      <c r="R531" s="32">
        <v>4632725</v>
      </c>
      <c r="T531" s="32">
        <v>546830</v>
      </c>
    </row>
    <row r="532" spans="1:20" ht="12.75" hidden="1" x14ac:dyDescent="0.25">
      <c r="B532" s="32">
        <v>1</v>
      </c>
      <c r="F532" s="32" t="s">
        <v>250</v>
      </c>
      <c r="J532" s="32">
        <v>1</v>
      </c>
      <c r="P532" s="32">
        <v>500</v>
      </c>
      <c r="R532" s="32">
        <v>150</v>
      </c>
      <c r="T532" s="32">
        <v>350</v>
      </c>
    </row>
    <row r="533" spans="1:20" ht="12.75" hidden="1" x14ac:dyDescent="0.25">
      <c r="B533" s="32">
        <v>2</v>
      </c>
      <c r="F533" s="32" t="s">
        <v>78</v>
      </c>
      <c r="J533" s="32">
        <v>283</v>
      </c>
      <c r="P533" s="32">
        <v>82070</v>
      </c>
      <c r="R533" s="32">
        <v>82070</v>
      </c>
      <c r="T533" s="32">
        <v>0</v>
      </c>
    </row>
    <row r="534" spans="1:20" ht="12.75" hidden="1" x14ac:dyDescent="0.25">
      <c r="B534" s="32">
        <v>3</v>
      </c>
      <c r="F534" s="32" t="s">
        <v>199</v>
      </c>
      <c r="J534" s="32">
        <v>1</v>
      </c>
      <c r="P534" s="32">
        <v>290</v>
      </c>
      <c r="R534" s="32">
        <v>0</v>
      </c>
      <c r="T534" s="32">
        <v>290</v>
      </c>
    </row>
    <row r="535" spans="1:20" ht="12.75" hidden="1" x14ac:dyDescent="0.25">
      <c r="B535" s="32">
        <v>4</v>
      </c>
      <c r="F535" s="32" t="s">
        <v>165</v>
      </c>
      <c r="J535" s="32">
        <v>5</v>
      </c>
      <c r="P535" s="32">
        <v>2950</v>
      </c>
      <c r="R535" s="32">
        <v>720</v>
      </c>
      <c r="T535" s="32">
        <v>2230</v>
      </c>
    </row>
    <row r="536" spans="1:20" ht="12.75" hidden="1" x14ac:dyDescent="0.25">
      <c r="B536" s="32">
        <v>5</v>
      </c>
      <c r="F536" s="32" t="s">
        <v>247</v>
      </c>
      <c r="J536" s="32">
        <v>1</v>
      </c>
      <c r="P536" s="32">
        <v>880</v>
      </c>
      <c r="R536" s="32">
        <v>130</v>
      </c>
      <c r="T536" s="32">
        <v>750</v>
      </c>
    </row>
    <row r="537" spans="1:20" ht="12.75" hidden="1" x14ac:dyDescent="0.25">
      <c r="B537" s="32">
        <v>6</v>
      </c>
      <c r="F537" s="32" t="s">
        <v>246</v>
      </c>
      <c r="J537" s="32">
        <v>1</v>
      </c>
      <c r="P537" s="32">
        <v>990</v>
      </c>
      <c r="R537" s="32">
        <v>300</v>
      </c>
      <c r="T537" s="32">
        <v>690</v>
      </c>
    </row>
    <row r="538" spans="1:20" ht="12.75" hidden="1" x14ac:dyDescent="0.25">
      <c r="B538" s="32">
        <v>7</v>
      </c>
      <c r="F538" s="32" t="s">
        <v>163</v>
      </c>
      <c r="J538" s="32">
        <v>2</v>
      </c>
      <c r="P538" s="32">
        <v>2380</v>
      </c>
      <c r="R538" s="32">
        <v>360</v>
      </c>
      <c r="T538" s="32">
        <v>2020</v>
      </c>
    </row>
    <row r="539" spans="1:20" ht="12.75" hidden="1" x14ac:dyDescent="0.25">
      <c r="B539" s="32">
        <v>8</v>
      </c>
      <c r="F539" s="32" t="s">
        <v>162</v>
      </c>
      <c r="J539" s="32">
        <v>26</v>
      </c>
      <c r="P539" s="32">
        <v>11180</v>
      </c>
      <c r="R539" s="32">
        <v>4619</v>
      </c>
      <c r="T539" s="32">
        <v>6561</v>
      </c>
    </row>
    <row r="540" spans="1:20" ht="12.75" hidden="1" x14ac:dyDescent="0.25">
      <c r="B540" s="32">
        <v>9</v>
      </c>
      <c r="F540" s="32" t="s">
        <v>160</v>
      </c>
      <c r="J540" s="32">
        <v>18</v>
      </c>
      <c r="P540" s="32">
        <v>5140</v>
      </c>
      <c r="R540" s="32">
        <v>1280</v>
      </c>
      <c r="T540" s="32">
        <v>3860</v>
      </c>
    </row>
    <row r="541" spans="1:20" ht="12.75" hidden="1" x14ac:dyDescent="0.25">
      <c r="B541" s="32">
        <v>10</v>
      </c>
      <c r="F541" s="32" t="s">
        <v>159</v>
      </c>
      <c r="J541" s="32">
        <v>430</v>
      </c>
      <c r="P541" s="32">
        <v>0</v>
      </c>
      <c r="R541" s="32">
        <v>0</v>
      </c>
      <c r="T541" s="32">
        <v>0</v>
      </c>
    </row>
    <row r="542" spans="1:20" ht="12.75" hidden="1" x14ac:dyDescent="0.25">
      <c r="B542" s="32">
        <v>11</v>
      </c>
      <c r="F542" s="32" t="s">
        <v>158</v>
      </c>
      <c r="J542" s="32">
        <v>378</v>
      </c>
      <c r="P542" s="32">
        <v>207600</v>
      </c>
      <c r="R542" s="32">
        <v>62970</v>
      </c>
      <c r="T542" s="32">
        <v>144630</v>
      </c>
    </row>
    <row r="543" spans="1:20" ht="12.75" hidden="1" x14ac:dyDescent="0.25">
      <c r="B543" s="32">
        <v>12</v>
      </c>
      <c r="F543" s="32" t="s">
        <v>157</v>
      </c>
      <c r="J543" s="32">
        <v>414</v>
      </c>
      <c r="P543" s="32">
        <v>200620</v>
      </c>
      <c r="R543" s="32">
        <v>85517</v>
      </c>
      <c r="T543" s="32">
        <v>115168</v>
      </c>
    </row>
    <row r="544" spans="1:20" ht="12.75" hidden="1" x14ac:dyDescent="0.25">
      <c r="B544" s="32">
        <v>13</v>
      </c>
      <c r="F544" s="32" t="s">
        <v>197</v>
      </c>
      <c r="J544" s="32">
        <v>1</v>
      </c>
      <c r="P544" s="32">
        <v>500</v>
      </c>
      <c r="R544" s="32">
        <v>150</v>
      </c>
      <c r="T544" s="32">
        <v>350</v>
      </c>
    </row>
    <row r="545" spans="2:20" ht="12.75" hidden="1" x14ac:dyDescent="0.25">
      <c r="B545" s="32">
        <v>14</v>
      </c>
      <c r="F545" s="32" t="s">
        <v>292</v>
      </c>
      <c r="J545" s="32">
        <v>3</v>
      </c>
      <c r="P545" s="32">
        <v>2100</v>
      </c>
      <c r="R545" s="32">
        <v>2100</v>
      </c>
      <c r="T545" s="32">
        <v>0</v>
      </c>
    </row>
    <row r="546" spans="2:20" ht="12.75" hidden="1" x14ac:dyDescent="0.25">
      <c r="B546" s="32">
        <v>15</v>
      </c>
      <c r="F546" s="32" t="s">
        <v>77</v>
      </c>
      <c r="J546" s="32">
        <v>577</v>
      </c>
      <c r="P546" s="32">
        <v>241800</v>
      </c>
      <c r="R546" s="32">
        <v>241800</v>
      </c>
      <c r="T546" s="32">
        <v>0</v>
      </c>
    </row>
    <row r="547" spans="2:20" ht="12.75" hidden="1" x14ac:dyDescent="0.25">
      <c r="B547" s="32">
        <v>16</v>
      </c>
      <c r="F547" s="32" t="s">
        <v>242</v>
      </c>
      <c r="J547" s="32">
        <v>163</v>
      </c>
      <c r="P547" s="32">
        <v>81500</v>
      </c>
      <c r="R547" s="32">
        <v>81500</v>
      </c>
      <c r="T547" s="32">
        <v>0</v>
      </c>
    </row>
    <row r="548" spans="2:20" ht="12.75" hidden="1" x14ac:dyDescent="0.25">
      <c r="B548" s="32">
        <v>17</v>
      </c>
      <c r="F548" s="32" t="s">
        <v>156</v>
      </c>
      <c r="J548" s="32">
        <v>5</v>
      </c>
      <c r="P548" s="32">
        <v>950</v>
      </c>
      <c r="R548" s="32">
        <v>260</v>
      </c>
      <c r="T548" s="32">
        <v>690</v>
      </c>
    </row>
    <row r="549" spans="2:20" ht="12.75" hidden="1" x14ac:dyDescent="0.25">
      <c r="B549" s="32">
        <v>18</v>
      </c>
      <c r="F549" s="32" t="s">
        <v>155</v>
      </c>
      <c r="J549" s="32">
        <v>13</v>
      </c>
      <c r="P549" s="32">
        <v>3200</v>
      </c>
      <c r="R549" s="32">
        <v>950</v>
      </c>
      <c r="T549" s="32">
        <v>2250</v>
      </c>
    </row>
    <row r="550" spans="2:20" ht="12.75" hidden="1" x14ac:dyDescent="0.25">
      <c r="B550" s="32">
        <v>19</v>
      </c>
      <c r="F550" s="32" t="s">
        <v>152</v>
      </c>
      <c r="J550" s="32">
        <v>6</v>
      </c>
      <c r="P550" s="32">
        <v>3540</v>
      </c>
      <c r="R550" s="32">
        <v>1080</v>
      </c>
      <c r="T550" s="32">
        <v>2460</v>
      </c>
    </row>
    <row r="551" spans="2:20" ht="12.75" hidden="1" x14ac:dyDescent="0.25">
      <c r="B551" s="32">
        <v>20</v>
      </c>
      <c r="F551" s="32" t="s">
        <v>151</v>
      </c>
      <c r="J551" s="32">
        <v>260</v>
      </c>
      <c r="P551" s="32">
        <v>59800</v>
      </c>
      <c r="R551" s="32">
        <v>19820</v>
      </c>
      <c r="T551" s="32">
        <v>39980</v>
      </c>
    </row>
    <row r="552" spans="2:20" ht="12.75" hidden="1" x14ac:dyDescent="0.25">
      <c r="B552" s="32">
        <v>21</v>
      </c>
      <c r="F552" s="32" t="s">
        <v>150</v>
      </c>
      <c r="J552" s="32">
        <v>25</v>
      </c>
      <c r="P552" s="32">
        <v>4150</v>
      </c>
      <c r="R552" s="32">
        <v>1150</v>
      </c>
      <c r="T552" s="32">
        <v>3000</v>
      </c>
    </row>
    <row r="553" spans="2:20" ht="12.75" hidden="1" x14ac:dyDescent="0.25">
      <c r="B553" s="32">
        <v>22</v>
      </c>
      <c r="F553" s="32" t="s">
        <v>75</v>
      </c>
      <c r="J553" s="32">
        <v>1544</v>
      </c>
      <c r="P553" s="32">
        <v>3860000</v>
      </c>
      <c r="R553" s="32">
        <v>3860000</v>
      </c>
      <c r="T553" s="32">
        <v>0</v>
      </c>
    </row>
    <row r="554" spans="2:20" ht="12.75" hidden="1" x14ac:dyDescent="0.25">
      <c r="B554" s="32">
        <v>23</v>
      </c>
      <c r="F554" s="32" t="s">
        <v>139</v>
      </c>
      <c r="J554" s="32">
        <v>2</v>
      </c>
      <c r="P554" s="32">
        <v>540</v>
      </c>
      <c r="R554" s="32">
        <v>160</v>
      </c>
      <c r="T554" s="32">
        <v>380</v>
      </c>
    </row>
    <row r="555" spans="2:20" ht="12.75" hidden="1" x14ac:dyDescent="0.25">
      <c r="B555" s="32">
        <v>24</v>
      </c>
      <c r="F555" s="32" t="s">
        <v>192</v>
      </c>
      <c r="J555" s="32">
        <v>1</v>
      </c>
      <c r="P555" s="32">
        <v>1550</v>
      </c>
      <c r="R555" s="32">
        <v>0</v>
      </c>
      <c r="T555" s="32">
        <v>1550</v>
      </c>
    </row>
    <row r="556" spans="2:20" ht="12.75" hidden="1" x14ac:dyDescent="0.25">
      <c r="B556" s="32">
        <v>25</v>
      </c>
      <c r="F556" s="32" t="s">
        <v>136</v>
      </c>
      <c r="J556" s="32">
        <v>12</v>
      </c>
      <c r="P556" s="32">
        <v>10200</v>
      </c>
      <c r="R556" s="32">
        <v>2224</v>
      </c>
      <c r="T556" s="32">
        <v>7976</v>
      </c>
    </row>
    <row r="557" spans="2:20" ht="12.75" hidden="1" x14ac:dyDescent="0.25">
      <c r="B557" s="32">
        <v>26</v>
      </c>
      <c r="F557" s="32" t="s">
        <v>74</v>
      </c>
      <c r="J557" s="32">
        <v>119</v>
      </c>
      <c r="P557" s="32">
        <v>101150</v>
      </c>
      <c r="R557" s="32">
        <v>101150</v>
      </c>
      <c r="T557" s="32">
        <v>0</v>
      </c>
    </row>
    <row r="558" spans="2:20" ht="12.75" hidden="1" x14ac:dyDescent="0.25">
      <c r="B558" s="32">
        <v>27</v>
      </c>
      <c r="F558" s="32" t="s">
        <v>190</v>
      </c>
      <c r="J558" s="32">
        <v>5</v>
      </c>
      <c r="P558" s="32">
        <v>7850</v>
      </c>
      <c r="R558" s="32">
        <v>1200</v>
      </c>
      <c r="T558" s="32">
        <v>6650</v>
      </c>
    </row>
    <row r="559" spans="2:20" ht="12.75" hidden="1" x14ac:dyDescent="0.25">
      <c r="B559" s="32">
        <v>28</v>
      </c>
      <c r="F559" s="32" t="s">
        <v>135</v>
      </c>
      <c r="J559" s="32">
        <v>2</v>
      </c>
      <c r="P559" s="32">
        <v>1900</v>
      </c>
      <c r="R559" s="32">
        <v>560</v>
      </c>
      <c r="T559" s="32">
        <v>1340</v>
      </c>
    </row>
    <row r="560" spans="2:20" ht="12.75" hidden="1" x14ac:dyDescent="0.25">
      <c r="B560" s="32">
        <v>29</v>
      </c>
      <c r="F560" s="32" t="s">
        <v>134</v>
      </c>
      <c r="J560" s="32">
        <v>1</v>
      </c>
      <c r="P560" s="32">
        <v>3700</v>
      </c>
      <c r="R560" s="32">
        <v>800</v>
      </c>
      <c r="T560" s="32">
        <v>2900</v>
      </c>
    </row>
    <row r="561" spans="2:20" ht="12.75" hidden="1" x14ac:dyDescent="0.25">
      <c r="B561" s="32">
        <v>30</v>
      </c>
      <c r="F561" s="32" t="s">
        <v>132</v>
      </c>
      <c r="J561" s="32">
        <v>1</v>
      </c>
      <c r="P561" s="32">
        <v>1240</v>
      </c>
      <c r="R561" s="32">
        <v>370</v>
      </c>
      <c r="T561" s="32">
        <v>870</v>
      </c>
    </row>
    <row r="562" spans="2:20" ht="12.75" hidden="1" x14ac:dyDescent="0.25">
      <c r="B562" s="32">
        <v>31</v>
      </c>
      <c r="F562" s="32" t="s">
        <v>131</v>
      </c>
      <c r="J562" s="32">
        <v>2</v>
      </c>
      <c r="P562" s="32">
        <v>7400</v>
      </c>
      <c r="R562" s="32">
        <v>1600</v>
      </c>
      <c r="T562" s="32">
        <v>5800</v>
      </c>
    </row>
    <row r="563" spans="2:20" ht="12.75" hidden="1" x14ac:dyDescent="0.25">
      <c r="B563" s="32">
        <v>32</v>
      </c>
      <c r="F563" s="32" t="s">
        <v>127</v>
      </c>
      <c r="J563" s="32">
        <v>34</v>
      </c>
      <c r="P563" s="32">
        <v>10200</v>
      </c>
      <c r="R563" s="32">
        <v>3567</v>
      </c>
      <c r="T563" s="32">
        <v>6633</v>
      </c>
    </row>
    <row r="564" spans="2:20" ht="12.75" hidden="1" x14ac:dyDescent="0.25">
      <c r="B564" s="32">
        <v>33</v>
      </c>
      <c r="F564" s="32" t="s">
        <v>126</v>
      </c>
      <c r="J564" s="32">
        <v>32</v>
      </c>
      <c r="P564" s="32">
        <v>6400</v>
      </c>
      <c r="R564" s="32">
        <v>2199</v>
      </c>
      <c r="T564" s="32">
        <v>4201</v>
      </c>
    </row>
    <row r="565" spans="2:20" ht="12.75" hidden="1" x14ac:dyDescent="0.25">
      <c r="B565" s="32">
        <v>34</v>
      </c>
      <c r="F565" s="32" t="s">
        <v>125</v>
      </c>
      <c r="J565" s="32">
        <v>8</v>
      </c>
      <c r="P565" s="32">
        <v>3200</v>
      </c>
      <c r="R565" s="32">
        <v>960</v>
      </c>
      <c r="T565" s="32">
        <v>2240</v>
      </c>
    </row>
    <row r="566" spans="2:20" ht="12.75" hidden="1" x14ac:dyDescent="0.25">
      <c r="B566" s="32">
        <v>35</v>
      </c>
      <c r="F566" s="32" t="s">
        <v>124</v>
      </c>
      <c r="J566" s="32">
        <v>6</v>
      </c>
      <c r="P566" s="32">
        <v>2780</v>
      </c>
      <c r="R566" s="32">
        <v>810</v>
      </c>
      <c r="T566" s="32">
        <v>1970</v>
      </c>
    </row>
    <row r="567" spans="2:20" ht="12.75" hidden="1" x14ac:dyDescent="0.25">
      <c r="B567" s="32">
        <v>36</v>
      </c>
      <c r="F567" s="32" t="s">
        <v>123</v>
      </c>
      <c r="J567" s="32">
        <v>5</v>
      </c>
      <c r="P567" s="32">
        <v>3900</v>
      </c>
      <c r="R567" s="32">
        <v>1150</v>
      </c>
      <c r="T567" s="32">
        <v>2750</v>
      </c>
    </row>
    <row r="568" spans="2:20" ht="12.75" hidden="1" x14ac:dyDescent="0.25">
      <c r="B568" s="32">
        <v>37</v>
      </c>
      <c r="F568" s="32" t="s">
        <v>183</v>
      </c>
      <c r="J568" s="32">
        <v>1</v>
      </c>
      <c r="P568" s="32">
        <v>440</v>
      </c>
      <c r="R568" s="32">
        <v>130</v>
      </c>
      <c r="T568" s="32">
        <v>310</v>
      </c>
    </row>
    <row r="569" spans="2:20" ht="12.75" hidden="1" x14ac:dyDescent="0.25">
      <c r="B569" s="32">
        <v>38</v>
      </c>
      <c r="F569" s="32" t="s">
        <v>119</v>
      </c>
      <c r="J569" s="32">
        <v>10</v>
      </c>
      <c r="P569" s="32">
        <v>8660</v>
      </c>
      <c r="R569" s="32">
        <v>2250</v>
      </c>
      <c r="T569" s="32">
        <v>6410</v>
      </c>
    </row>
    <row r="570" spans="2:20" ht="12.75" hidden="1" x14ac:dyDescent="0.25">
      <c r="B570" s="32">
        <v>39</v>
      </c>
      <c r="F570" s="32" t="s">
        <v>118</v>
      </c>
      <c r="J570" s="32">
        <v>104</v>
      </c>
      <c r="P570" s="32">
        <v>102180</v>
      </c>
      <c r="R570" s="32">
        <v>35337</v>
      </c>
      <c r="T570" s="32">
        <v>67623</v>
      </c>
    </row>
    <row r="571" spans="2:20" ht="12.75" hidden="1" x14ac:dyDescent="0.25">
      <c r="B571" s="32">
        <v>40</v>
      </c>
      <c r="F571" s="32" t="s">
        <v>115</v>
      </c>
      <c r="J571" s="32">
        <v>41</v>
      </c>
      <c r="P571" s="32">
        <v>11350</v>
      </c>
      <c r="R571" s="32">
        <v>3550</v>
      </c>
      <c r="T571" s="32">
        <v>8340</v>
      </c>
    </row>
    <row r="572" spans="2:20" ht="12.75" hidden="1" x14ac:dyDescent="0.25">
      <c r="B572" s="32">
        <v>41</v>
      </c>
      <c r="F572" s="32" t="s">
        <v>279</v>
      </c>
      <c r="J572" s="32">
        <v>1</v>
      </c>
      <c r="P572" s="32">
        <v>500</v>
      </c>
      <c r="R572" s="32">
        <v>150</v>
      </c>
      <c r="T572" s="32">
        <v>350</v>
      </c>
    </row>
    <row r="573" spans="2:20" ht="12.75" hidden="1" x14ac:dyDescent="0.25">
      <c r="B573" s="32">
        <v>42</v>
      </c>
      <c r="F573" s="32" t="s">
        <v>446</v>
      </c>
      <c r="J573" s="32">
        <v>6</v>
      </c>
      <c r="P573" s="32">
        <v>450</v>
      </c>
      <c r="R573" s="32">
        <v>0</v>
      </c>
      <c r="T573" s="32">
        <v>450</v>
      </c>
    </row>
    <row r="574" spans="2:20" ht="12.75" hidden="1" x14ac:dyDescent="0.25">
      <c r="B574" s="32">
        <v>43</v>
      </c>
      <c r="F574" s="32" t="s">
        <v>334</v>
      </c>
      <c r="J574" s="32">
        <v>2</v>
      </c>
      <c r="P574" s="32">
        <v>1580</v>
      </c>
      <c r="R574" s="32">
        <v>120</v>
      </c>
      <c r="T574" s="32">
        <v>1460</v>
      </c>
    </row>
    <row r="575" spans="2:20" ht="12.75" hidden="1" x14ac:dyDescent="0.25">
      <c r="B575" s="32">
        <v>44</v>
      </c>
      <c r="F575" s="32" t="s">
        <v>111</v>
      </c>
      <c r="J575" s="32">
        <v>1</v>
      </c>
      <c r="P575" s="32">
        <v>430</v>
      </c>
      <c r="R575" s="32">
        <v>130</v>
      </c>
      <c r="T575" s="32">
        <v>300</v>
      </c>
    </row>
    <row r="576" spans="2:20" ht="12.75" hidden="1" x14ac:dyDescent="0.25">
      <c r="B576" s="32">
        <v>45</v>
      </c>
      <c r="F576" s="32" t="s">
        <v>110</v>
      </c>
      <c r="J576" s="32">
        <v>1</v>
      </c>
      <c r="P576" s="32">
        <v>1080</v>
      </c>
      <c r="R576" s="32">
        <v>160</v>
      </c>
      <c r="T576" s="32">
        <v>920</v>
      </c>
    </row>
    <row r="577" spans="2:20" ht="12.75" hidden="1" x14ac:dyDescent="0.25">
      <c r="B577" s="32">
        <v>46</v>
      </c>
      <c r="F577" s="32" t="s">
        <v>108</v>
      </c>
      <c r="J577" s="32">
        <v>251</v>
      </c>
      <c r="P577" s="32">
        <v>25100</v>
      </c>
      <c r="R577" s="32">
        <v>3990</v>
      </c>
      <c r="T577" s="32">
        <v>21110</v>
      </c>
    </row>
    <row r="578" spans="2:20" ht="12.75" hidden="1" x14ac:dyDescent="0.25">
      <c r="B578" s="32">
        <v>47</v>
      </c>
      <c r="F578" s="32" t="s">
        <v>107</v>
      </c>
      <c r="J578" s="32">
        <v>60</v>
      </c>
      <c r="P578" s="32">
        <v>10150</v>
      </c>
      <c r="R578" s="32">
        <v>3308</v>
      </c>
      <c r="T578" s="32">
        <v>6842</v>
      </c>
    </row>
    <row r="579" spans="2:20" ht="12.75" hidden="1" x14ac:dyDescent="0.25">
      <c r="B579" s="32">
        <v>48</v>
      </c>
      <c r="F579" s="32" t="s">
        <v>105</v>
      </c>
      <c r="J579" s="32">
        <v>1</v>
      </c>
      <c r="P579" s="32">
        <v>1150</v>
      </c>
      <c r="R579" s="32">
        <v>0</v>
      </c>
      <c r="T579" s="32">
        <v>1150</v>
      </c>
    </row>
    <row r="580" spans="2:20" ht="12.75" hidden="1" x14ac:dyDescent="0.25">
      <c r="B580" s="32">
        <v>49</v>
      </c>
      <c r="F580" s="32" t="s">
        <v>103</v>
      </c>
      <c r="J580" s="32">
        <v>25</v>
      </c>
      <c r="P580" s="32">
        <v>7930</v>
      </c>
      <c r="R580" s="32">
        <v>2000</v>
      </c>
      <c r="T580" s="32">
        <v>5930</v>
      </c>
    </row>
    <row r="581" spans="2:20" ht="12.75" hidden="1" x14ac:dyDescent="0.25">
      <c r="B581" s="32">
        <v>50</v>
      </c>
      <c r="F581" s="32" t="s">
        <v>212</v>
      </c>
      <c r="J581" s="32">
        <v>1</v>
      </c>
      <c r="P581" s="32">
        <v>500</v>
      </c>
      <c r="R581" s="32">
        <v>150</v>
      </c>
      <c r="T581" s="32">
        <v>350</v>
      </c>
    </row>
    <row r="582" spans="2:20" ht="12.75" hidden="1" x14ac:dyDescent="0.25">
      <c r="B582" s="32">
        <v>51</v>
      </c>
      <c r="F582" s="32" t="s">
        <v>276</v>
      </c>
      <c r="J582" s="32">
        <v>1</v>
      </c>
      <c r="P582" s="32">
        <v>500</v>
      </c>
      <c r="R582" s="32">
        <v>150</v>
      </c>
      <c r="T582" s="32">
        <v>350</v>
      </c>
    </row>
    <row r="583" spans="2:20" ht="12.75" hidden="1" x14ac:dyDescent="0.25">
      <c r="B583" s="32">
        <v>52</v>
      </c>
      <c r="F583" s="32" t="s">
        <v>102</v>
      </c>
      <c r="J583" s="32">
        <v>2</v>
      </c>
      <c r="P583" s="32">
        <v>1760</v>
      </c>
      <c r="R583" s="32">
        <v>260</v>
      </c>
      <c r="T583" s="32">
        <v>1500</v>
      </c>
    </row>
    <row r="584" spans="2:20" ht="12.75" hidden="1" x14ac:dyDescent="0.25">
      <c r="B584" s="32">
        <v>53</v>
      </c>
      <c r="F584" s="32" t="s">
        <v>254</v>
      </c>
      <c r="J584" s="32">
        <v>1</v>
      </c>
      <c r="P584" s="32">
        <v>290</v>
      </c>
      <c r="R584" s="32">
        <v>80</v>
      </c>
      <c r="T584" s="32">
        <v>210</v>
      </c>
    </row>
    <row r="585" spans="2:20" ht="12.75" hidden="1" x14ac:dyDescent="0.25">
      <c r="B585" s="32">
        <v>54</v>
      </c>
      <c r="F585" s="32" t="s">
        <v>100</v>
      </c>
      <c r="J585" s="32">
        <v>1</v>
      </c>
      <c r="P585" s="32">
        <v>180</v>
      </c>
      <c r="R585" s="32">
        <v>50</v>
      </c>
      <c r="T585" s="32">
        <v>130</v>
      </c>
    </row>
    <row r="586" spans="2:20" ht="12.75" hidden="1" x14ac:dyDescent="0.25">
      <c r="B586" s="32">
        <v>55</v>
      </c>
      <c r="F586" s="32" t="s">
        <v>178</v>
      </c>
      <c r="J586" s="32">
        <v>3</v>
      </c>
      <c r="P586" s="32">
        <v>4950</v>
      </c>
      <c r="R586" s="32">
        <v>0</v>
      </c>
      <c r="T586" s="32">
        <v>4950</v>
      </c>
    </row>
    <row r="587" spans="2:20" ht="12.75" hidden="1" x14ac:dyDescent="0.25">
      <c r="B587" s="32">
        <v>56</v>
      </c>
      <c r="F587" s="32" t="s">
        <v>176</v>
      </c>
      <c r="J587" s="32">
        <v>1</v>
      </c>
      <c r="P587" s="32">
        <v>1060</v>
      </c>
      <c r="R587" s="32">
        <v>160</v>
      </c>
      <c r="T587" s="32">
        <v>900</v>
      </c>
    </row>
    <row r="588" spans="2:20" ht="12.75" hidden="1" x14ac:dyDescent="0.25">
      <c r="B588" s="32">
        <v>57</v>
      </c>
      <c r="F588" s="32" t="s">
        <v>332</v>
      </c>
      <c r="J588" s="32">
        <v>1</v>
      </c>
      <c r="P588" s="32">
        <v>290</v>
      </c>
      <c r="R588" s="32">
        <v>80</v>
      </c>
      <c r="T588" s="32">
        <v>210</v>
      </c>
    </row>
    <row r="589" spans="2:20" ht="12.75" hidden="1" x14ac:dyDescent="0.25">
      <c r="B589" s="32">
        <v>58</v>
      </c>
      <c r="F589" s="32" t="s">
        <v>93</v>
      </c>
      <c r="J589" s="32">
        <v>2</v>
      </c>
      <c r="P589" s="32">
        <v>1180</v>
      </c>
      <c r="R589" s="32">
        <v>180</v>
      </c>
      <c r="T589" s="32">
        <v>1000</v>
      </c>
    </row>
    <row r="590" spans="2:20" ht="12.75" hidden="1" x14ac:dyDescent="0.25">
      <c r="B590" s="32">
        <v>59</v>
      </c>
      <c r="F590" s="32" t="s">
        <v>92</v>
      </c>
      <c r="J590" s="32">
        <v>50</v>
      </c>
      <c r="P590" s="32">
        <v>23860</v>
      </c>
      <c r="R590" s="32">
        <v>6320</v>
      </c>
      <c r="T590" s="32">
        <v>17540</v>
      </c>
    </row>
    <row r="591" spans="2:20" ht="12.75" hidden="1" x14ac:dyDescent="0.25">
      <c r="B591" s="32">
        <v>60</v>
      </c>
      <c r="F591" s="32" t="s">
        <v>91</v>
      </c>
      <c r="J591" s="32">
        <v>9</v>
      </c>
      <c r="P591" s="32">
        <v>2200</v>
      </c>
      <c r="R591" s="32">
        <v>560</v>
      </c>
      <c r="T591" s="32">
        <v>1640</v>
      </c>
    </row>
    <row r="592" spans="2:20" ht="12.75" hidden="1" x14ac:dyDescent="0.25">
      <c r="B592" s="32">
        <v>61</v>
      </c>
      <c r="F592" s="32" t="s">
        <v>90</v>
      </c>
      <c r="J592" s="32">
        <v>5</v>
      </c>
      <c r="P592" s="32">
        <v>1450</v>
      </c>
      <c r="R592" s="32">
        <v>400</v>
      </c>
      <c r="T592" s="32">
        <v>1050</v>
      </c>
    </row>
    <row r="593" spans="1:20" ht="12.75" hidden="1" x14ac:dyDescent="0.25">
      <c r="B593" s="32">
        <v>62</v>
      </c>
      <c r="F593" s="32" t="s">
        <v>89</v>
      </c>
      <c r="J593" s="32">
        <v>1</v>
      </c>
      <c r="P593" s="32">
        <v>880</v>
      </c>
      <c r="R593" s="32">
        <v>130</v>
      </c>
      <c r="T593" s="32">
        <v>750</v>
      </c>
    </row>
    <row r="594" spans="1:20" ht="12.75" hidden="1" x14ac:dyDescent="0.25">
      <c r="B594" s="32">
        <v>63</v>
      </c>
      <c r="F594" s="32" t="s">
        <v>88</v>
      </c>
      <c r="J594" s="32">
        <v>45</v>
      </c>
      <c r="P594" s="32">
        <v>8050</v>
      </c>
      <c r="R594" s="32">
        <v>2686</v>
      </c>
      <c r="T594" s="32">
        <v>5364</v>
      </c>
    </row>
    <row r="595" spans="1:20" ht="12.75" hidden="1" x14ac:dyDescent="0.25">
      <c r="B595" s="32">
        <v>64</v>
      </c>
      <c r="F595" s="32" t="s">
        <v>87</v>
      </c>
      <c r="J595" s="32">
        <v>4</v>
      </c>
      <c r="P595" s="32">
        <v>1160</v>
      </c>
      <c r="R595" s="32">
        <v>320</v>
      </c>
      <c r="T595" s="32">
        <v>840</v>
      </c>
    </row>
    <row r="596" spans="1:20" ht="12.75" hidden="1" x14ac:dyDescent="0.25">
      <c r="B596" s="32">
        <v>65</v>
      </c>
      <c r="F596" s="32" t="s">
        <v>85</v>
      </c>
      <c r="J596" s="32">
        <v>2</v>
      </c>
      <c r="P596" s="32">
        <v>4160</v>
      </c>
      <c r="R596" s="32">
        <v>620</v>
      </c>
      <c r="T596" s="32">
        <v>3540</v>
      </c>
    </row>
    <row r="597" spans="1:20" ht="12.75" hidden="1" x14ac:dyDescent="0.25">
      <c r="B597" s="32">
        <v>66</v>
      </c>
      <c r="F597" s="32" t="s">
        <v>84</v>
      </c>
      <c r="J597" s="32">
        <v>10</v>
      </c>
      <c r="P597" s="32">
        <v>5900</v>
      </c>
      <c r="R597" s="32">
        <v>1738</v>
      </c>
      <c r="T597" s="32">
        <v>4162</v>
      </c>
    </row>
    <row r="598" spans="1:20" ht="12.75" hidden="1" x14ac:dyDescent="0.25">
      <c r="B598" s="32">
        <v>67</v>
      </c>
      <c r="F598" s="32" t="s">
        <v>206</v>
      </c>
      <c r="J598" s="32">
        <v>2</v>
      </c>
      <c r="P598" s="32">
        <v>1000</v>
      </c>
      <c r="R598" s="32">
        <v>300</v>
      </c>
      <c r="T598" s="32">
        <v>700</v>
      </c>
    </row>
    <row r="599" spans="1:20" ht="12.75" hidden="1" x14ac:dyDescent="0.25">
      <c r="B599" s="32">
        <v>68</v>
      </c>
      <c r="F599" s="32" t="s">
        <v>272</v>
      </c>
      <c r="J599" s="32">
        <v>1</v>
      </c>
      <c r="P599" s="32">
        <v>500</v>
      </c>
      <c r="R599" s="32">
        <v>150</v>
      </c>
      <c r="T599" s="32">
        <v>350</v>
      </c>
    </row>
    <row r="600" spans="1:20" ht="12.75" hidden="1" x14ac:dyDescent="0.25">
      <c r="B600" s="32">
        <v>69</v>
      </c>
      <c r="F600" s="32" t="s">
        <v>205</v>
      </c>
      <c r="J600" s="32">
        <v>1</v>
      </c>
      <c r="P600" s="32">
        <v>500</v>
      </c>
      <c r="R600" s="32">
        <v>150</v>
      </c>
      <c r="T600" s="32">
        <v>350</v>
      </c>
    </row>
    <row r="601" spans="1:20" ht="12.75" hidden="1" x14ac:dyDescent="0.25">
      <c r="B601" s="32">
        <v>70</v>
      </c>
      <c r="F601" s="32" t="s">
        <v>204</v>
      </c>
      <c r="J601" s="32">
        <v>2</v>
      </c>
      <c r="P601" s="32">
        <v>1000</v>
      </c>
      <c r="R601" s="32">
        <v>300</v>
      </c>
      <c r="T601" s="32">
        <v>700</v>
      </c>
    </row>
    <row r="602" spans="1:20" ht="12.75" hidden="1" x14ac:dyDescent="0.25">
      <c r="B602" s="32">
        <v>71</v>
      </c>
      <c r="F602" s="32" t="s">
        <v>271</v>
      </c>
      <c r="J602" s="32">
        <v>2</v>
      </c>
      <c r="P602" s="32">
        <v>1000</v>
      </c>
      <c r="R602" s="32">
        <v>300</v>
      </c>
      <c r="T602" s="32">
        <v>700</v>
      </c>
    </row>
    <row r="603" spans="1:20" ht="12.75" hidden="1" x14ac:dyDescent="0.25">
      <c r="B603" s="32">
        <v>72</v>
      </c>
      <c r="F603" s="32" t="s">
        <v>203</v>
      </c>
      <c r="J603" s="32">
        <v>1</v>
      </c>
      <c r="P603" s="32">
        <v>500</v>
      </c>
      <c r="R603" s="32">
        <v>150</v>
      </c>
      <c r="T603" s="32">
        <v>350</v>
      </c>
    </row>
    <row r="604" spans="1:20" ht="12.75" hidden="1" x14ac:dyDescent="0.25">
      <c r="B604" s="32">
        <v>73</v>
      </c>
      <c r="F604" s="32" t="s">
        <v>82</v>
      </c>
      <c r="J604" s="32">
        <v>1</v>
      </c>
      <c r="P604" s="32">
        <v>290</v>
      </c>
      <c r="R604" s="32">
        <v>290</v>
      </c>
      <c r="T604" s="32">
        <v>0</v>
      </c>
    </row>
    <row r="605" spans="1:20" ht="12.75" hidden="1" x14ac:dyDescent="0.25">
      <c r="B605" s="32">
        <v>74</v>
      </c>
      <c r="F605" s="32" t="s">
        <v>81</v>
      </c>
      <c r="J605" s="32">
        <v>34</v>
      </c>
      <c r="P605" s="32">
        <v>9860</v>
      </c>
      <c r="R605" s="32">
        <v>2400</v>
      </c>
      <c r="T605" s="32">
        <v>7460</v>
      </c>
    </row>
    <row r="606" spans="1:20" ht="12.75" hidden="1" x14ac:dyDescent="0.25">
      <c r="A606" s="32" t="s">
        <v>445</v>
      </c>
      <c r="K606" s="32">
        <v>2036</v>
      </c>
      <c r="P606" s="32">
        <v>2523580</v>
      </c>
      <c r="R606" s="32">
        <v>2223382</v>
      </c>
      <c r="T606" s="32">
        <v>300198</v>
      </c>
    </row>
    <row r="607" spans="1:20" ht="12.75" hidden="1" x14ac:dyDescent="0.25">
      <c r="B607" s="32">
        <v>1</v>
      </c>
      <c r="F607" s="32" t="s">
        <v>78</v>
      </c>
      <c r="J607" s="32">
        <v>45</v>
      </c>
      <c r="P607" s="32">
        <v>13050</v>
      </c>
      <c r="R607" s="32">
        <v>13050</v>
      </c>
      <c r="T607" s="32">
        <v>0</v>
      </c>
    </row>
    <row r="608" spans="1:20" ht="12.75" hidden="1" x14ac:dyDescent="0.25">
      <c r="B608" s="32">
        <v>2</v>
      </c>
      <c r="F608" s="32" t="s">
        <v>162</v>
      </c>
      <c r="J608" s="32">
        <v>9</v>
      </c>
      <c r="P608" s="32">
        <v>3870</v>
      </c>
      <c r="R608" s="32">
        <v>1659</v>
      </c>
      <c r="T608" s="32">
        <v>2211</v>
      </c>
    </row>
    <row r="609" spans="2:20" ht="12.75" hidden="1" x14ac:dyDescent="0.25">
      <c r="B609" s="32">
        <v>3</v>
      </c>
      <c r="F609" s="32" t="s">
        <v>160</v>
      </c>
      <c r="J609" s="32">
        <v>4</v>
      </c>
      <c r="P609" s="32">
        <v>1160</v>
      </c>
      <c r="R609" s="32">
        <v>320</v>
      </c>
      <c r="T609" s="32">
        <v>840</v>
      </c>
    </row>
    <row r="610" spans="2:20" ht="12.75" hidden="1" x14ac:dyDescent="0.25">
      <c r="B610" s="32">
        <v>4</v>
      </c>
      <c r="F610" s="32" t="s">
        <v>158</v>
      </c>
      <c r="J610" s="32">
        <v>116</v>
      </c>
      <c r="P610" s="32">
        <v>63800</v>
      </c>
      <c r="R610" s="32">
        <v>17939</v>
      </c>
      <c r="T610" s="32">
        <v>45861</v>
      </c>
    </row>
    <row r="611" spans="2:20" ht="12.75" hidden="1" x14ac:dyDescent="0.25">
      <c r="B611" s="32">
        <v>5</v>
      </c>
      <c r="F611" s="32" t="s">
        <v>157</v>
      </c>
      <c r="J611" s="32">
        <v>155</v>
      </c>
      <c r="P611" s="32">
        <v>75950</v>
      </c>
      <c r="R611" s="32">
        <v>32570</v>
      </c>
      <c r="T611" s="32">
        <v>43380</v>
      </c>
    </row>
    <row r="612" spans="2:20" ht="12.75" hidden="1" x14ac:dyDescent="0.25">
      <c r="B612" s="32">
        <v>6</v>
      </c>
      <c r="F612" s="32" t="s">
        <v>77</v>
      </c>
      <c r="J612" s="32">
        <v>251</v>
      </c>
      <c r="P612" s="32">
        <v>102400</v>
      </c>
      <c r="R612" s="32">
        <v>102400</v>
      </c>
      <c r="T612" s="32">
        <v>0</v>
      </c>
    </row>
    <row r="613" spans="2:20" ht="12.75" hidden="1" x14ac:dyDescent="0.25">
      <c r="B613" s="32">
        <v>7</v>
      </c>
      <c r="F613" s="32" t="s">
        <v>242</v>
      </c>
      <c r="J613" s="32">
        <v>1</v>
      </c>
      <c r="P613" s="32">
        <v>500</v>
      </c>
      <c r="R613" s="32">
        <v>500</v>
      </c>
      <c r="T613" s="32">
        <v>0</v>
      </c>
    </row>
    <row r="614" spans="2:20" ht="12.75" hidden="1" x14ac:dyDescent="0.25">
      <c r="B614" s="32">
        <v>8</v>
      </c>
      <c r="F614" s="32" t="s">
        <v>76</v>
      </c>
      <c r="J614" s="32">
        <v>2</v>
      </c>
      <c r="P614" s="32">
        <v>1200</v>
      </c>
      <c r="R614" s="32">
        <v>1200</v>
      </c>
      <c r="T614" s="32">
        <v>0</v>
      </c>
    </row>
    <row r="615" spans="2:20" ht="12.75" hidden="1" x14ac:dyDescent="0.25">
      <c r="B615" s="32">
        <v>9</v>
      </c>
      <c r="F615" s="32" t="s">
        <v>156</v>
      </c>
      <c r="J615" s="32">
        <v>6</v>
      </c>
      <c r="P615" s="32">
        <v>1140</v>
      </c>
      <c r="R615" s="32">
        <v>320</v>
      </c>
      <c r="T615" s="32">
        <v>820</v>
      </c>
    </row>
    <row r="616" spans="2:20" ht="12.75" hidden="1" x14ac:dyDescent="0.25">
      <c r="B616" s="32">
        <v>10</v>
      </c>
      <c r="F616" s="32" t="s">
        <v>155</v>
      </c>
      <c r="J616" s="32">
        <v>20</v>
      </c>
      <c r="P616" s="32">
        <v>5000</v>
      </c>
      <c r="R616" s="32">
        <v>1640</v>
      </c>
      <c r="T616" s="32">
        <v>3360</v>
      </c>
    </row>
    <row r="617" spans="2:20" ht="12.75" hidden="1" x14ac:dyDescent="0.25">
      <c r="B617" s="32">
        <v>11</v>
      </c>
      <c r="F617" s="32" t="s">
        <v>154</v>
      </c>
      <c r="J617" s="32">
        <v>3</v>
      </c>
      <c r="P617" s="32">
        <v>2670</v>
      </c>
      <c r="R617" s="32">
        <v>260</v>
      </c>
      <c r="T617" s="32">
        <v>2410</v>
      </c>
    </row>
    <row r="618" spans="2:20" ht="12.75" hidden="1" x14ac:dyDescent="0.25">
      <c r="B618" s="32">
        <v>12</v>
      </c>
      <c r="F618" s="32" t="s">
        <v>444</v>
      </c>
      <c r="J618" s="32">
        <v>1</v>
      </c>
      <c r="P618" s="32">
        <v>880</v>
      </c>
      <c r="R618" s="32">
        <v>130</v>
      </c>
      <c r="T618" s="32">
        <v>750</v>
      </c>
    </row>
    <row r="619" spans="2:20" ht="12.75" hidden="1" x14ac:dyDescent="0.25">
      <c r="B619" s="32">
        <v>13</v>
      </c>
      <c r="F619" s="32" t="s">
        <v>152</v>
      </c>
      <c r="J619" s="32">
        <v>3</v>
      </c>
      <c r="P619" s="32">
        <v>1770</v>
      </c>
      <c r="R619" s="32">
        <v>540</v>
      </c>
      <c r="T619" s="32">
        <v>1230</v>
      </c>
    </row>
    <row r="620" spans="2:20" ht="12.75" hidden="1" x14ac:dyDescent="0.25">
      <c r="B620" s="32">
        <v>14</v>
      </c>
      <c r="F620" s="32" t="s">
        <v>151</v>
      </c>
      <c r="J620" s="32">
        <v>102</v>
      </c>
      <c r="P620" s="32">
        <v>23460</v>
      </c>
      <c r="R620" s="32">
        <v>6138</v>
      </c>
      <c r="T620" s="32">
        <v>17322</v>
      </c>
    </row>
    <row r="621" spans="2:20" ht="12.75" hidden="1" x14ac:dyDescent="0.25">
      <c r="B621" s="32">
        <v>15</v>
      </c>
      <c r="F621" s="32" t="s">
        <v>150</v>
      </c>
      <c r="J621" s="32">
        <v>4</v>
      </c>
      <c r="P621" s="32">
        <v>680</v>
      </c>
      <c r="R621" s="32">
        <v>150</v>
      </c>
      <c r="T621" s="32">
        <v>530</v>
      </c>
    </row>
    <row r="622" spans="2:20" ht="12.75" hidden="1" x14ac:dyDescent="0.25">
      <c r="B622" s="32">
        <v>16</v>
      </c>
      <c r="F622" s="32" t="s">
        <v>148</v>
      </c>
      <c r="J622" s="32">
        <v>1</v>
      </c>
      <c r="P622" s="32">
        <v>980</v>
      </c>
      <c r="R622" s="32">
        <v>150</v>
      </c>
      <c r="T622" s="32">
        <v>830</v>
      </c>
    </row>
    <row r="623" spans="2:20" ht="12.75" hidden="1" x14ac:dyDescent="0.25">
      <c r="B623" s="32">
        <v>17</v>
      </c>
      <c r="F623" s="32" t="s">
        <v>288</v>
      </c>
      <c r="J623" s="32">
        <v>1</v>
      </c>
      <c r="P623" s="32">
        <v>800</v>
      </c>
      <c r="R623" s="32">
        <v>450</v>
      </c>
      <c r="T623" s="32">
        <v>350</v>
      </c>
    </row>
    <row r="624" spans="2:20" ht="12.75" hidden="1" x14ac:dyDescent="0.25">
      <c r="B624" s="32">
        <v>18</v>
      </c>
      <c r="F624" s="32" t="s">
        <v>193</v>
      </c>
      <c r="J624" s="32">
        <v>1</v>
      </c>
      <c r="P624" s="32">
        <v>890</v>
      </c>
      <c r="R624" s="32">
        <v>267</v>
      </c>
      <c r="T624" s="32">
        <v>623</v>
      </c>
    </row>
    <row r="625" spans="2:20" ht="12.75" hidden="1" x14ac:dyDescent="0.25">
      <c r="B625" s="32">
        <v>19</v>
      </c>
      <c r="F625" s="32" t="s">
        <v>75</v>
      </c>
      <c r="J625" s="32">
        <v>779</v>
      </c>
      <c r="P625" s="32">
        <v>1947500</v>
      </c>
      <c r="R625" s="32">
        <v>1947500</v>
      </c>
      <c r="T625" s="32">
        <v>0</v>
      </c>
    </row>
    <row r="626" spans="2:20" ht="12.75" hidden="1" x14ac:dyDescent="0.25">
      <c r="B626" s="32">
        <v>20</v>
      </c>
      <c r="F626" s="32" t="s">
        <v>139</v>
      </c>
      <c r="J626" s="32">
        <v>5</v>
      </c>
      <c r="P626" s="32">
        <v>1350</v>
      </c>
      <c r="R626" s="32">
        <v>400</v>
      </c>
      <c r="T626" s="32">
        <v>950</v>
      </c>
    </row>
    <row r="627" spans="2:20" ht="12.75" hidden="1" x14ac:dyDescent="0.25">
      <c r="B627" s="32">
        <v>21</v>
      </c>
      <c r="F627" s="32" t="s">
        <v>136</v>
      </c>
      <c r="J627" s="32">
        <v>11</v>
      </c>
      <c r="P627" s="32">
        <v>9350</v>
      </c>
      <c r="R627" s="32">
        <v>1950</v>
      </c>
      <c r="T627" s="32">
        <v>7400</v>
      </c>
    </row>
    <row r="628" spans="2:20" ht="12.75" hidden="1" x14ac:dyDescent="0.25">
      <c r="B628" s="32">
        <v>22</v>
      </c>
      <c r="F628" s="32" t="s">
        <v>74</v>
      </c>
      <c r="J628" s="32">
        <v>34</v>
      </c>
      <c r="P628" s="32">
        <v>28900</v>
      </c>
      <c r="R628" s="32">
        <v>28900</v>
      </c>
      <c r="T628" s="32">
        <v>0</v>
      </c>
    </row>
    <row r="629" spans="2:20" ht="12.75" hidden="1" x14ac:dyDescent="0.25">
      <c r="B629" s="32">
        <v>23</v>
      </c>
      <c r="F629" s="32" t="s">
        <v>190</v>
      </c>
      <c r="J629" s="32">
        <v>2</v>
      </c>
      <c r="P629" s="32">
        <v>3140</v>
      </c>
      <c r="R629" s="32">
        <v>480</v>
      </c>
      <c r="T629" s="32">
        <v>2660</v>
      </c>
    </row>
    <row r="630" spans="2:20" ht="12.75" hidden="1" x14ac:dyDescent="0.25">
      <c r="B630" s="32">
        <v>24</v>
      </c>
      <c r="F630" s="32" t="s">
        <v>135</v>
      </c>
      <c r="J630" s="32">
        <v>6</v>
      </c>
      <c r="P630" s="32">
        <v>5700</v>
      </c>
      <c r="R630" s="32">
        <v>1542</v>
      </c>
      <c r="T630" s="32">
        <v>4158</v>
      </c>
    </row>
    <row r="631" spans="2:20" ht="12.75" hidden="1" x14ac:dyDescent="0.25">
      <c r="B631" s="32">
        <v>25</v>
      </c>
      <c r="F631" s="32" t="s">
        <v>229</v>
      </c>
      <c r="J631" s="32">
        <v>1</v>
      </c>
      <c r="P631" s="32">
        <v>7000</v>
      </c>
      <c r="R631" s="32">
        <v>3100</v>
      </c>
      <c r="T631" s="32">
        <v>3900</v>
      </c>
    </row>
    <row r="632" spans="2:20" ht="12.75" hidden="1" x14ac:dyDescent="0.25">
      <c r="B632" s="32">
        <v>26</v>
      </c>
      <c r="F632" s="32" t="s">
        <v>132</v>
      </c>
      <c r="J632" s="32">
        <v>3</v>
      </c>
      <c r="P632" s="32">
        <v>3720</v>
      </c>
      <c r="R632" s="32">
        <v>1110</v>
      </c>
      <c r="T632" s="32">
        <v>2610</v>
      </c>
    </row>
    <row r="633" spans="2:20" ht="12.75" hidden="1" x14ac:dyDescent="0.25">
      <c r="B633" s="32">
        <v>27</v>
      </c>
      <c r="F633" s="32" t="s">
        <v>392</v>
      </c>
      <c r="J633" s="32">
        <v>1</v>
      </c>
      <c r="P633" s="32">
        <v>9000</v>
      </c>
      <c r="R633" s="32">
        <v>1800</v>
      </c>
      <c r="T633" s="32">
        <v>7200</v>
      </c>
    </row>
    <row r="634" spans="2:20" ht="12.75" hidden="1" x14ac:dyDescent="0.25">
      <c r="B634" s="32">
        <v>28</v>
      </c>
      <c r="F634" s="32" t="s">
        <v>131</v>
      </c>
      <c r="J634" s="32">
        <v>3</v>
      </c>
      <c r="P634" s="32">
        <v>11100</v>
      </c>
      <c r="R634" s="32">
        <v>2220</v>
      </c>
      <c r="T634" s="32">
        <v>8880</v>
      </c>
    </row>
    <row r="635" spans="2:20" ht="12.75" hidden="1" x14ac:dyDescent="0.25">
      <c r="B635" s="32">
        <v>29</v>
      </c>
      <c r="F635" s="32" t="s">
        <v>130</v>
      </c>
      <c r="J635" s="32">
        <v>2</v>
      </c>
      <c r="P635" s="32">
        <v>16000</v>
      </c>
      <c r="R635" s="32">
        <v>5700</v>
      </c>
      <c r="T635" s="32">
        <v>10300</v>
      </c>
    </row>
    <row r="636" spans="2:20" ht="12.75" hidden="1" x14ac:dyDescent="0.25">
      <c r="B636" s="32">
        <v>30</v>
      </c>
      <c r="F636" s="32" t="s">
        <v>186</v>
      </c>
      <c r="J636" s="32">
        <v>14</v>
      </c>
      <c r="P636" s="32">
        <v>840</v>
      </c>
      <c r="R636" s="32">
        <v>0</v>
      </c>
      <c r="T636" s="32">
        <v>840</v>
      </c>
    </row>
    <row r="637" spans="2:20" ht="12.75" hidden="1" x14ac:dyDescent="0.25">
      <c r="T637" s="32"/>
    </row>
    <row r="638" spans="2:20" ht="12.75" hidden="1" x14ac:dyDescent="0.25">
      <c r="B638" s="32">
        <v>31</v>
      </c>
      <c r="F638" s="32" t="s">
        <v>128</v>
      </c>
      <c r="J638" s="32">
        <v>2</v>
      </c>
      <c r="P638" s="32">
        <v>2300</v>
      </c>
      <c r="R638" s="32">
        <v>340</v>
      </c>
      <c r="T638" s="32">
        <v>1960</v>
      </c>
    </row>
    <row r="639" spans="2:20" ht="12.75" hidden="1" x14ac:dyDescent="0.25">
      <c r="B639" s="32">
        <v>32</v>
      </c>
      <c r="F639" s="32" t="s">
        <v>127</v>
      </c>
      <c r="J639" s="32">
        <v>32</v>
      </c>
      <c r="P639" s="32">
        <v>9600</v>
      </c>
      <c r="R639" s="32">
        <v>3077</v>
      </c>
      <c r="T639" s="32">
        <v>6523</v>
      </c>
    </row>
    <row r="640" spans="2:20" ht="12.75" hidden="1" x14ac:dyDescent="0.25">
      <c r="B640" s="32">
        <v>33</v>
      </c>
      <c r="F640" s="32" t="s">
        <v>126</v>
      </c>
      <c r="J640" s="32">
        <v>31</v>
      </c>
      <c r="P640" s="32">
        <v>6200</v>
      </c>
      <c r="R640" s="32">
        <v>2049</v>
      </c>
      <c r="T640" s="32">
        <v>4151</v>
      </c>
    </row>
    <row r="641" spans="2:20" ht="12.75" hidden="1" x14ac:dyDescent="0.25">
      <c r="B641" s="32">
        <v>34</v>
      </c>
      <c r="F641" s="32" t="s">
        <v>125</v>
      </c>
      <c r="J641" s="32">
        <v>7</v>
      </c>
      <c r="P641" s="32">
        <v>2800</v>
      </c>
      <c r="R641" s="32">
        <v>600</v>
      </c>
      <c r="T641" s="32">
        <v>2200</v>
      </c>
    </row>
    <row r="642" spans="2:20" ht="12.75" hidden="1" x14ac:dyDescent="0.25">
      <c r="B642" s="32">
        <v>35</v>
      </c>
      <c r="F642" s="32" t="s">
        <v>124</v>
      </c>
      <c r="J642" s="32">
        <v>7</v>
      </c>
      <c r="P642" s="32">
        <v>4700</v>
      </c>
      <c r="R642" s="32">
        <v>1270</v>
      </c>
      <c r="T642" s="32">
        <v>3430</v>
      </c>
    </row>
    <row r="643" spans="2:20" ht="12.75" hidden="1" x14ac:dyDescent="0.25">
      <c r="B643" s="32">
        <v>36</v>
      </c>
      <c r="F643" s="32" t="s">
        <v>123</v>
      </c>
      <c r="J643" s="32">
        <v>6</v>
      </c>
      <c r="P643" s="32">
        <v>4680</v>
      </c>
      <c r="R643" s="32">
        <v>920</v>
      </c>
      <c r="T643" s="32">
        <v>3760</v>
      </c>
    </row>
    <row r="644" spans="2:20" ht="12.75" hidden="1" x14ac:dyDescent="0.25">
      <c r="B644" s="32">
        <v>37</v>
      </c>
      <c r="F644" s="32" t="s">
        <v>182</v>
      </c>
      <c r="J644" s="32">
        <v>1</v>
      </c>
      <c r="P644" s="32">
        <v>790</v>
      </c>
      <c r="R644" s="32">
        <v>237</v>
      </c>
      <c r="T644" s="32">
        <v>553</v>
      </c>
    </row>
    <row r="645" spans="2:20" ht="12.75" hidden="1" x14ac:dyDescent="0.25">
      <c r="B645" s="32">
        <v>38</v>
      </c>
      <c r="F645" s="32" t="s">
        <v>119</v>
      </c>
      <c r="J645" s="32">
        <v>9</v>
      </c>
      <c r="P645" s="32">
        <v>8010</v>
      </c>
      <c r="R645" s="32">
        <v>2610</v>
      </c>
      <c r="T645" s="32">
        <v>5400</v>
      </c>
    </row>
    <row r="646" spans="2:20" ht="12.75" hidden="1" x14ac:dyDescent="0.25">
      <c r="B646" s="32">
        <v>39</v>
      </c>
      <c r="F646" s="32" t="s">
        <v>118</v>
      </c>
      <c r="J646" s="32">
        <v>45</v>
      </c>
      <c r="P646" s="32">
        <v>44550</v>
      </c>
      <c r="R646" s="32">
        <v>14308</v>
      </c>
      <c r="T646" s="32">
        <v>30242</v>
      </c>
    </row>
    <row r="647" spans="2:20" ht="12.75" hidden="1" x14ac:dyDescent="0.25">
      <c r="B647" s="32">
        <v>40</v>
      </c>
      <c r="F647" s="32" t="s">
        <v>115</v>
      </c>
      <c r="J647" s="32">
        <v>18</v>
      </c>
      <c r="P647" s="32">
        <v>5220</v>
      </c>
      <c r="R647" s="32">
        <v>1504</v>
      </c>
      <c r="T647" s="32">
        <v>3716</v>
      </c>
    </row>
    <row r="648" spans="2:20" ht="12.75" hidden="1" x14ac:dyDescent="0.25">
      <c r="B648" s="32">
        <v>41</v>
      </c>
      <c r="F648" s="32" t="s">
        <v>181</v>
      </c>
      <c r="J648" s="32">
        <v>2</v>
      </c>
      <c r="P648" s="32">
        <v>1580</v>
      </c>
      <c r="R648" s="32">
        <v>357</v>
      </c>
      <c r="T648" s="32">
        <v>1223</v>
      </c>
    </row>
    <row r="649" spans="2:20" ht="12.75" hidden="1" x14ac:dyDescent="0.25">
      <c r="B649" s="32">
        <v>42</v>
      </c>
      <c r="F649" s="32" t="s">
        <v>109</v>
      </c>
      <c r="J649" s="32">
        <v>1</v>
      </c>
      <c r="P649" s="32">
        <v>780</v>
      </c>
      <c r="R649" s="32">
        <v>230</v>
      </c>
      <c r="T649" s="32">
        <v>550</v>
      </c>
    </row>
    <row r="650" spans="2:20" ht="12.75" hidden="1" x14ac:dyDescent="0.25">
      <c r="B650" s="32">
        <v>43</v>
      </c>
      <c r="F650" s="32" t="s">
        <v>108</v>
      </c>
      <c r="J650" s="32">
        <v>42</v>
      </c>
      <c r="P650" s="32">
        <v>4200</v>
      </c>
      <c r="R650" s="32">
        <v>540</v>
      </c>
      <c r="T650" s="32">
        <v>3660</v>
      </c>
    </row>
    <row r="651" spans="2:20" ht="12.75" hidden="1" x14ac:dyDescent="0.25">
      <c r="B651" s="32">
        <v>44</v>
      </c>
      <c r="F651" s="32" t="s">
        <v>107</v>
      </c>
      <c r="J651" s="32">
        <v>15</v>
      </c>
      <c r="P651" s="32">
        <v>2550</v>
      </c>
      <c r="R651" s="32">
        <v>918</v>
      </c>
      <c r="T651" s="32">
        <v>1632</v>
      </c>
    </row>
    <row r="652" spans="2:20" ht="12.75" hidden="1" x14ac:dyDescent="0.25">
      <c r="B652" s="32">
        <v>45</v>
      </c>
      <c r="F652" s="32" t="s">
        <v>106</v>
      </c>
      <c r="J652" s="32">
        <v>89</v>
      </c>
      <c r="P652" s="32">
        <v>8900</v>
      </c>
      <c r="R652" s="32">
        <v>600</v>
      </c>
      <c r="T652" s="32">
        <v>8300</v>
      </c>
    </row>
    <row r="653" spans="2:20" ht="12.75" hidden="1" x14ac:dyDescent="0.25">
      <c r="B653" s="32">
        <v>46</v>
      </c>
      <c r="F653" s="32" t="s">
        <v>255</v>
      </c>
      <c r="J653" s="32">
        <v>1</v>
      </c>
      <c r="P653" s="32">
        <v>950</v>
      </c>
      <c r="R653" s="32">
        <v>140</v>
      </c>
      <c r="T653" s="32">
        <v>810</v>
      </c>
    </row>
    <row r="654" spans="2:20" ht="12.75" hidden="1" x14ac:dyDescent="0.25">
      <c r="B654" s="32">
        <v>47</v>
      </c>
      <c r="F654" s="32" t="s">
        <v>216</v>
      </c>
      <c r="J654" s="32">
        <v>1</v>
      </c>
      <c r="P654" s="32">
        <v>1080</v>
      </c>
      <c r="R654" s="32">
        <v>165</v>
      </c>
      <c r="T654" s="32">
        <v>915</v>
      </c>
    </row>
    <row r="655" spans="2:20" ht="12.75" hidden="1" x14ac:dyDescent="0.25">
      <c r="B655" s="32">
        <v>48</v>
      </c>
      <c r="F655" s="32" t="s">
        <v>103</v>
      </c>
      <c r="J655" s="32">
        <v>4</v>
      </c>
      <c r="P655" s="32">
        <v>1320</v>
      </c>
      <c r="R655" s="32">
        <v>480</v>
      </c>
      <c r="T655" s="32">
        <v>840</v>
      </c>
    </row>
    <row r="656" spans="2:20" ht="12.75" hidden="1" x14ac:dyDescent="0.25">
      <c r="B656" s="32">
        <v>49</v>
      </c>
      <c r="F656" s="32" t="s">
        <v>408</v>
      </c>
      <c r="J656" s="32">
        <v>32</v>
      </c>
      <c r="P656" s="32">
        <v>16000</v>
      </c>
      <c r="R656" s="32">
        <v>4800</v>
      </c>
      <c r="T656" s="32">
        <v>11200</v>
      </c>
    </row>
    <row r="657" spans="2:20" ht="12.75" hidden="1" x14ac:dyDescent="0.25">
      <c r="B657" s="32">
        <v>50</v>
      </c>
      <c r="F657" s="32" t="s">
        <v>102</v>
      </c>
      <c r="J657" s="32">
        <v>1</v>
      </c>
      <c r="P657" s="32">
        <v>880</v>
      </c>
      <c r="R657" s="32">
        <v>130</v>
      </c>
      <c r="T657" s="32">
        <v>750</v>
      </c>
    </row>
    <row r="658" spans="2:20" ht="12.75" hidden="1" x14ac:dyDescent="0.25">
      <c r="B658" s="32">
        <v>51</v>
      </c>
      <c r="F658" s="32" t="s">
        <v>99</v>
      </c>
      <c r="J658" s="32">
        <v>1</v>
      </c>
      <c r="P658" s="32">
        <v>590</v>
      </c>
      <c r="R658" s="32">
        <v>90</v>
      </c>
      <c r="T658" s="32">
        <v>500</v>
      </c>
    </row>
    <row r="659" spans="2:20" ht="12.75" hidden="1" x14ac:dyDescent="0.25">
      <c r="B659" s="32">
        <v>52</v>
      </c>
      <c r="F659" s="32" t="s">
        <v>98</v>
      </c>
      <c r="J659" s="32">
        <v>1</v>
      </c>
      <c r="P659" s="32">
        <v>570</v>
      </c>
      <c r="R659" s="32">
        <v>80</v>
      </c>
      <c r="T659" s="32">
        <v>490</v>
      </c>
    </row>
    <row r="660" spans="2:20" ht="12.75" hidden="1" x14ac:dyDescent="0.25">
      <c r="B660" s="32">
        <v>53</v>
      </c>
      <c r="F660" s="32" t="s">
        <v>97</v>
      </c>
      <c r="J660" s="32">
        <v>1</v>
      </c>
      <c r="P660" s="32">
        <v>1590</v>
      </c>
      <c r="R660" s="32">
        <v>240</v>
      </c>
      <c r="T660" s="32">
        <v>1350</v>
      </c>
    </row>
    <row r="661" spans="2:20" ht="12.75" hidden="1" x14ac:dyDescent="0.25">
      <c r="B661" s="32">
        <v>54</v>
      </c>
      <c r="F661" s="32" t="s">
        <v>96</v>
      </c>
      <c r="J661" s="32">
        <v>1</v>
      </c>
      <c r="P661" s="32">
        <v>440</v>
      </c>
      <c r="R661" s="32">
        <v>130</v>
      </c>
      <c r="T661" s="32">
        <v>310</v>
      </c>
    </row>
    <row r="662" spans="2:20" ht="12.75" hidden="1" x14ac:dyDescent="0.25">
      <c r="B662" s="32">
        <v>55</v>
      </c>
      <c r="F662" s="32" t="s">
        <v>93</v>
      </c>
      <c r="J662" s="32">
        <v>5</v>
      </c>
      <c r="P662" s="32">
        <v>2950</v>
      </c>
      <c r="R662" s="32">
        <v>447</v>
      </c>
      <c r="T662" s="32">
        <v>2503</v>
      </c>
    </row>
    <row r="663" spans="2:20" ht="12.75" hidden="1" x14ac:dyDescent="0.25">
      <c r="B663" s="32">
        <v>56</v>
      </c>
      <c r="F663" s="32" t="s">
        <v>92</v>
      </c>
      <c r="J663" s="32">
        <v>15</v>
      </c>
      <c r="P663" s="32">
        <v>11440</v>
      </c>
      <c r="R663" s="32">
        <v>3160</v>
      </c>
      <c r="T663" s="32">
        <v>8280</v>
      </c>
    </row>
    <row r="664" spans="2:20" ht="12.75" hidden="1" x14ac:dyDescent="0.25">
      <c r="B664" s="32">
        <v>57</v>
      </c>
      <c r="F664" s="32" t="s">
        <v>175</v>
      </c>
      <c r="J664" s="32">
        <v>5</v>
      </c>
      <c r="P664" s="32">
        <v>3000</v>
      </c>
      <c r="R664" s="32">
        <v>720</v>
      </c>
      <c r="T664" s="32">
        <v>2280</v>
      </c>
    </row>
    <row r="665" spans="2:20" ht="12.75" hidden="1" x14ac:dyDescent="0.25">
      <c r="B665" s="32">
        <v>58</v>
      </c>
      <c r="F665" s="32" t="s">
        <v>174</v>
      </c>
      <c r="J665" s="32">
        <v>3</v>
      </c>
      <c r="P665" s="32">
        <v>1200</v>
      </c>
      <c r="R665" s="32">
        <v>360</v>
      </c>
      <c r="T665" s="32">
        <v>840</v>
      </c>
    </row>
    <row r="666" spans="2:20" ht="12.75" hidden="1" x14ac:dyDescent="0.25">
      <c r="B666" s="32">
        <v>59</v>
      </c>
      <c r="F666" s="32" t="s">
        <v>355</v>
      </c>
      <c r="J666" s="32">
        <v>1</v>
      </c>
      <c r="P666" s="32">
        <v>600</v>
      </c>
      <c r="R666" s="32">
        <v>180</v>
      </c>
      <c r="T666" s="32">
        <v>420</v>
      </c>
    </row>
    <row r="667" spans="2:20" ht="12.75" hidden="1" x14ac:dyDescent="0.25">
      <c r="B667" s="32">
        <v>60</v>
      </c>
      <c r="F667" s="32" t="s">
        <v>173</v>
      </c>
      <c r="J667" s="32">
        <v>9</v>
      </c>
      <c r="P667" s="32">
        <v>9000</v>
      </c>
      <c r="R667" s="32">
        <v>2400</v>
      </c>
      <c r="T667" s="32">
        <v>6600</v>
      </c>
    </row>
    <row r="668" spans="2:20" ht="12.75" hidden="1" x14ac:dyDescent="0.25">
      <c r="B668" s="32">
        <v>61</v>
      </c>
      <c r="F668" s="32" t="s">
        <v>91</v>
      </c>
      <c r="J668" s="32">
        <v>12</v>
      </c>
      <c r="P668" s="32">
        <v>3000</v>
      </c>
      <c r="R668" s="32">
        <v>770</v>
      </c>
      <c r="T668" s="32">
        <v>2230</v>
      </c>
    </row>
    <row r="669" spans="2:20" ht="12.75" hidden="1" x14ac:dyDescent="0.25">
      <c r="B669" s="32">
        <v>62</v>
      </c>
      <c r="F669" s="32" t="s">
        <v>90</v>
      </c>
      <c r="J669" s="32">
        <v>9</v>
      </c>
      <c r="P669" s="32">
        <v>2610</v>
      </c>
      <c r="R669" s="32">
        <v>720</v>
      </c>
      <c r="T669" s="32">
        <v>1890</v>
      </c>
    </row>
    <row r="670" spans="2:20" ht="12.75" hidden="1" x14ac:dyDescent="0.25">
      <c r="B670" s="32">
        <v>63</v>
      </c>
      <c r="F670" s="32" t="s">
        <v>88</v>
      </c>
      <c r="J670" s="32">
        <v>19</v>
      </c>
      <c r="P670" s="32">
        <v>3420</v>
      </c>
      <c r="R670" s="32">
        <v>1145</v>
      </c>
      <c r="T670" s="32">
        <v>2275</v>
      </c>
    </row>
    <row r="671" spans="2:20" ht="12.75" hidden="1" x14ac:dyDescent="0.25">
      <c r="B671" s="32">
        <v>64</v>
      </c>
      <c r="F671" s="32" t="s">
        <v>85</v>
      </c>
      <c r="J671" s="32">
        <v>1</v>
      </c>
      <c r="P671" s="32">
        <v>2080</v>
      </c>
      <c r="R671" s="32">
        <v>310</v>
      </c>
      <c r="T671" s="32">
        <v>1770</v>
      </c>
    </row>
    <row r="672" spans="2:20" ht="12.75" hidden="1" x14ac:dyDescent="0.25">
      <c r="B672" s="32">
        <v>65</v>
      </c>
      <c r="F672" s="32" t="s">
        <v>84</v>
      </c>
      <c r="J672" s="32">
        <v>13</v>
      </c>
      <c r="P672" s="32">
        <v>7670</v>
      </c>
      <c r="R672" s="32">
        <v>2340</v>
      </c>
      <c r="T672" s="32">
        <v>5330</v>
      </c>
    </row>
    <row r="673" spans="1:20" ht="12.75" hidden="1" x14ac:dyDescent="0.25">
      <c r="B673" s="32">
        <v>66</v>
      </c>
      <c r="F673" s="32" t="s">
        <v>205</v>
      </c>
      <c r="J673" s="32">
        <v>1</v>
      </c>
      <c r="P673" s="32">
        <v>500</v>
      </c>
      <c r="R673" s="32">
        <v>150</v>
      </c>
      <c r="T673" s="32">
        <v>350</v>
      </c>
    </row>
    <row r="674" spans="1:20" ht="12.75" hidden="1" x14ac:dyDescent="0.25">
      <c r="B674" s="32">
        <v>67</v>
      </c>
      <c r="F674" s="32" t="s">
        <v>81</v>
      </c>
      <c r="J674" s="32">
        <v>7</v>
      </c>
      <c r="P674" s="32">
        <v>2030</v>
      </c>
      <c r="R674" s="32">
        <v>480</v>
      </c>
      <c r="T674" s="32">
        <v>1550</v>
      </c>
    </row>
    <row r="675" spans="1:20" ht="12.75" hidden="1" x14ac:dyDescent="0.25">
      <c r="A675" s="32" t="s">
        <v>443</v>
      </c>
      <c r="K675" s="32">
        <v>4196</v>
      </c>
      <c r="P675" s="32">
        <v>4316500</v>
      </c>
      <c r="R675" s="32">
        <v>3702225</v>
      </c>
      <c r="T675" s="32">
        <v>614275</v>
      </c>
    </row>
    <row r="676" spans="1:20" ht="12.75" hidden="1" x14ac:dyDescent="0.25">
      <c r="B676" s="32">
        <v>1</v>
      </c>
      <c r="F676" s="32" t="s">
        <v>442</v>
      </c>
      <c r="J676" s="32">
        <v>1</v>
      </c>
      <c r="P676" s="32">
        <v>290</v>
      </c>
      <c r="R676" s="32">
        <v>0</v>
      </c>
      <c r="T676" s="32">
        <v>290</v>
      </c>
    </row>
    <row r="677" spans="1:20" ht="12.75" hidden="1" x14ac:dyDescent="0.25">
      <c r="B677" s="32">
        <v>2</v>
      </c>
      <c r="F677" s="32" t="s">
        <v>78</v>
      </c>
      <c r="J677" s="32">
        <v>175</v>
      </c>
      <c r="P677" s="32">
        <v>50750</v>
      </c>
      <c r="R677" s="32">
        <v>50750</v>
      </c>
      <c r="T677" s="32">
        <v>0</v>
      </c>
    </row>
    <row r="678" spans="1:20" ht="12.75" hidden="1" x14ac:dyDescent="0.25">
      <c r="B678" s="32">
        <v>3</v>
      </c>
      <c r="F678" s="32" t="s">
        <v>268</v>
      </c>
      <c r="J678" s="32">
        <v>1</v>
      </c>
      <c r="P678" s="32">
        <v>250</v>
      </c>
      <c r="R678" s="32">
        <v>70</v>
      </c>
      <c r="T678" s="32">
        <v>180</v>
      </c>
    </row>
    <row r="679" spans="1:20" ht="12.75" hidden="1" x14ac:dyDescent="0.25">
      <c r="B679" s="32">
        <v>4</v>
      </c>
      <c r="F679" s="32" t="s">
        <v>294</v>
      </c>
      <c r="J679" s="32">
        <v>1</v>
      </c>
      <c r="P679" s="32">
        <v>500</v>
      </c>
      <c r="R679" s="32">
        <v>150</v>
      </c>
      <c r="T679" s="32">
        <v>350</v>
      </c>
    </row>
    <row r="680" spans="1:20" ht="12.75" hidden="1" x14ac:dyDescent="0.25">
      <c r="B680" s="32">
        <v>5</v>
      </c>
      <c r="F680" s="32" t="s">
        <v>164</v>
      </c>
      <c r="J680" s="32">
        <v>1</v>
      </c>
      <c r="P680" s="32">
        <v>590</v>
      </c>
      <c r="R680" s="32">
        <v>180</v>
      </c>
      <c r="T680" s="32">
        <v>410</v>
      </c>
    </row>
    <row r="681" spans="1:20" ht="12.75" hidden="1" x14ac:dyDescent="0.25">
      <c r="B681" s="32">
        <v>6</v>
      </c>
      <c r="F681" s="32" t="s">
        <v>163</v>
      </c>
      <c r="J681" s="32">
        <v>8</v>
      </c>
      <c r="P681" s="32">
        <v>9520</v>
      </c>
      <c r="R681" s="32">
        <v>1440</v>
      </c>
      <c r="T681" s="32">
        <v>8080</v>
      </c>
    </row>
    <row r="682" spans="1:20" ht="12.75" hidden="1" x14ac:dyDescent="0.25">
      <c r="B682" s="32">
        <v>7</v>
      </c>
      <c r="F682" s="32" t="s">
        <v>162</v>
      </c>
      <c r="J682" s="32">
        <v>8</v>
      </c>
      <c r="P682" s="32">
        <v>3440</v>
      </c>
      <c r="R682" s="32">
        <v>1529</v>
      </c>
      <c r="T682" s="32">
        <v>1911</v>
      </c>
    </row>
    <row r="683" spans="1:20" ht="12.75" hidden="1" x14ac:dyDescent="0.25">
      <c r="B683" s="32">
        <v>8</v>
      </c>
      <c r="F683" s="32" t="s">
        <v>198</v>
      </c>
      <c r="J683" s="32">
        <v>2</v>
      </c>
      <c r="P683" s="32">
        <v>580</v>
      </c>
      <c r="R683" s="32">
        <v>160</v>
      </c>
      <c r="T683" s="32">
        <v>420</v>
      </c>
    </row>
    <row r="684" spans="1:20" ht="12.75" hidden="1" x14ac:dyDescent="0.25">
      <c r="B684" s="32">
        <v>9</v>
      </c>
      <c r="F684" s="32" t="s">
        <v>160</v>
      </c>
      <c r="J684" s="32">
        <v>30</v>
      </c>
      <c r="P684" s="32">
        <v>8700</v>
      </c>
      <c r="R684" s="32">
        <v>2400</v>
      </c>
      <c r="T684" s="32">
        <v>6300</v>
      </c>
    </row>
    <row r="685" spans="1:20" ht="12.75" hidden="1" x14ac:dyDescent="0.25">
      <c r="B685" s="32">
        <v>10</v>
      </c>
      <c r="F685" s="32" t="s">
        <v>159</v>
      </c>
      <c r="J685" s="32">
        <v>3</v>
      </c>
      <c r="P685" s="32">
        <v>0</v>
      </c>
      <c r="R685" s="32">
        <v>0</v>
      </c>
      <c r="T685" s="32">
        <v>0</v>
      </c>
    </row>
    <row r="686" spans="1:20" ht="12.75" hidden="1" x14ac:dyDescent="0.25">
      <c r="B686" s="32">
        <v>11</v>
      </c>
      <c r="F686" s="32" t="s">
        <v>158</v>
      </c>
      <c r="J686" s="32">
        <v>663</v>
      </c>
      <c r="P686" s="32">
        <v>364650</v>
      </c>
      <c r="R686" s="32">
        <v>108980</v>
      </c>
      <c r="T686" s="32">
        <v>255670</v>
      </c>
    </row>
    <row r="687" spans="1:20" ht="12.75" hidden="1" x14ac:dyDescent="0.25">
      <c r="B687" s="32">
        <v>12</v>
      </c>
      <c r="F687" s="32" t="s">
        <v>157</v>
      </c>
      <c r="J687" s="32">
        <v>58</v>
      </c>
      <c r="P687" s="32">
        <v>28420</v>
      </c>
      <c r="R687" s="32">
        <v>11961</v>
      </c>
      <c r="T687" s="32">
        <v>16459</v>
      </c>
    </row>
    <row r="688" spans="1:20" ht="12.75" hidden="1" x14ac:dyDescent="0.25">
      <c r="B688" s="32">
        <v>13</v>
      </c>
      <c r="F688" s="32" t="s">
        <v>77</v>
      </c>
      <c r="J688" s="32">
        <v>1020</v>
      </c>
      <c r="P688" s="32">
        <v>417400</v>
      </c>
      <c r="R688" s="32">
        <v>417400</v>
      </c>
      <c r="T688" s="32">
        <v>0</v>
      </c>
    </row>
    <row r="689" spans="2:20" ht="12.75" hidden="1" x14ac:dyDescent="0.25">
      <c r="B689" s="32">
        <v>14</v>
      </c>
      <c r="F689" s="32" t="s">
        <v>242</v>
      </c>
      <c r="J689" s="32">
        <v>4</v>
      </c>
      <c r="P689" s="32">
        <v>2000</v>
      </c>
      <c r="R689" s="32">
        <v>2000</v>
      </c>
      <c r="T689" s="32">
        <v>0</v>
      </c>
    </row>
    <row r="690" spans="2:20" ht="12.75" hidden="1" x14ac:dyDescent="0.25">
      <c r="B690" s="32">
        <v>15</v>
      </c>
      <c r="F690" s="32" t="s">
        <v>76</v>
      </c>
      <c r="J690" s="32">
        <v>3</v>
      </c>
      <c r="P690" s="32">
        <v>1800</v>
      </c>
      <c r="R690" s="32">
        <v>1800</v>
      </c>
      <c r="T690" s="32">
        <v>0</v>
      </c>
    </row>
    <row r="691" spans="2:20" ht="12.75" hidden="1" x14ac:dyDescent="0.25">
      <c r="B691" s="32">
        <v>16</v>
      </c>
      <c r="F691" s="32" t="s">
        <v>156</v>
      </c>
      <c r="J691" s="32">
        <v>4</v>
      </c>
      <c r="P691" s="32">
        <v>760</v>
      </c>
      <c r="R691" s="32">
        <v>260</v>
      </c>
      <c r="T691" s="32">
        <v>500</v>
      </c>
    </row>
    <row r="692" spans="2:20" ht="12.75" hidden="1" x14ac:dyDescent="0.25">
      <c r="B692" s="32">
        <v>17</v>
      </c>
      <c r="F692" s="32" t="s">
        <v>155</v>
      </c>
      <c r="J692" s="32">
        <v>34</v>
      </c>
      <c r="P692" s="32">
        <v>8500</v>
      </c>
      <c r="R692" s="32">
        <v>2670</v>
      </c>
      <c r="T692" s="32">
        <v>5830</v>
      </c>
    </row>
    <row r="693" spans="2:20" ht="12.75" hidden="1" x14ac:dyDescent="0.25">
      <c r="B693" s="32">
        <v>18</v>
      </c>
      <c r="F693" s="32" t="s">
        <v>154</v>
      </c>
      <c r="J693" s="32">
        <v>3</v>
      </c>
      <c r="P693" s="32">
        <v>2670</v>
      </c>
      <c r="R693" s="32">
        <v>390</v>
      </c>
      <c r="T693" s="32">
        <v>2280</v>
      </c>
    </row>
    <row r="694" spans="2:20" ht="12.75" hidden="1" x14ac:dyDescent="0.25">
      <c r="B694" s="32">
        <v>19</v>
      </c>
      <c r="F694" s="32" t="s">
        <v>153</v>
      </c>
      <c r="J694" s="32">
        <v>1</v>
      </c>
      <c r="P694" s="32">
        <v>1180</v>
      </c>
      <c r="R694" s="32">
        <v>180</v>
      </c>
      <c r="T694" s="32">
        <v>1000</v>
      </c>
    </row>
    <row r="695" spans="2:20" ht="12.75" hidden="1" x14ac:dyDescent="0.25">
      <c r="B695" s="32">
        <v>20</v>
      </c>
      <c r="F695" s="32" t="s">
        <v>338</v>
      </c>
      <c r="J695" s="32">
        <v>1</v>
      </c>
      <c r="P695" s="32">
        <v>290</v>
      </c>
      <c r="R695" s="32">
        <v>80</v>
      </c>
      <c r="T695" s="32">
        <v>210</v>
      </c>
    </row>
    <row r="696" spans="2:20" ht="12.75" hidden="1" x14ac:dyDescent="0.25">
      <c r="B696" s="32">
        <v>21</v>
      </c>
      <c r="F696" s="32" t="s">
        <v>265</v>
      </c>
      <c r="J696" s="32">
        <v>1</v>
      </c>
      <c r="P696" s="32">
        <v>300</v>
      </c>
      <c r="R696" s="32">
        <v>0</v>
      </c>
      <c r="T696" s="32">
        <v>300</v>
      </c>
    </row>
    <row r="697" spans="2:20" ht="12.75" hidden="1" x14ac:dyDescent="0.25">
      <c r="B697" s="32">
        <v>22</v>
      </c>
      <c r="F697" s="32" t="s">
        <v>320</v>
      </c>
      <c r="J697" s="32">
        <v>1</v>
      </c>
      <c r="P697" s="32">
        <v>500</v>
      </c>
      <c r="R697" s="32">
        <v>150</v>
      </c>
      <c r="T697" s="32">
        <v>350</v>
      </c>
    </row>
    <row r="698" spans="2:20" ht="12.75" hidden="1" x14ac:dyDescent="0.25">
      <c r="B698" s="32">
        <v>23</v>
      </c>
      <c r="F698" s="32" t="s">
        <v>152</v>
      </c>
      <c r="J698" s="32">
        <v>11</v>
      </c>
      <c r="P698" s="32">
        <v>6490</v>
      </c>
      <c r="R698" s="32">
        <v>1800</v>
      </c>
      <c r="T698" s="32">
        <v>4690</v>
      </c>
    </row>
    <row r="699" spans="2:20" ht="12.75" hidden="1" x14ac:dyDescent="0.25">
      <c r="B699" s="32">
        <v>24</v>
      </c>
      <c r="F699" s="32" t="s">
        <v>151</v>
      </c>
      <c r="J699" s="32">
        <v>17</v>
      </c>
      <c r="P699" s="32">
        <v>3910</v>
      </c>
      <c r="R699" s="32">
        <v>1280</v>
      </c>
      <c r="T699" s="32">
        <v>2630</v>
      </c>
    </row>
    <row r="700" spans="2:20" ht="12.75" hidden="1" x14ac:dyDescent="0.25">
      <c r="B700" s="32">
        <v>25</v>
      </c>
      <c r="F700" s="32" t="s">
        <v>150</v>
      </c>
      <c r="J700" s="32">
        <v>21</v>
      </c>
      <c r="P700" s="32">
        <v>3570</v>
      </c>
      <c r="R700" s="32">
        <v>900</v>
      </c>
      <c r="T700" s="32">
        <v>2670</v>
      </c>
    </row>
    <row r="701" spans="2:20" ht="12.75" hidden="1" x14ac:dyDescent="0.25">
      <c r="B701" s="32">
        <v>26</v>
      </c>
      <c r="F701" s="32" t="s">
        <v>148</v>
      </c>
      <c r="J701" s="32">
        <v>5</v>
      </c>
      <c r="P701" s="32">
        <v>4900</v>
      </c>
      <c r="R701" s="32">
        <v>750</v>
      </c>
      <c r="T701" s="32">
        <v>4150</v>
      </c>
    </row>
    <row r="702" spans="2:20" ht="12.75" hidden="1" x14ac:dyDescent="0.25">
      <c r="B702" s="32">
        <v>27</v>
      </c>
      <c r="F702" s="32" t="s">
        <v>441</v>
      </c>
      <c r="J702" s="32">
        <v>1</v>
      </c>
      <c r="P702" s="32">
        <v>990</v>
      </c>
      <c r="R702" s="32">
        <v>300</v>
      </c>
      <c r="T702" s="32">
        <v>690</v>
      </c>
    </row>
    <row r="703" spans="2:20" ht="12.75" hidden="1" x14ac:dyDescent="0.25">
      <c r="B703" s="32">
        <v>28</v>
      </c>
      <c r="F703" s="32" t="s">
        <v>233</v>
      </c>
      <c r="J703" s="32">
        <v>1</v>
      </c>
      <c r="P703" s="32">
        <v>980</v>
      </c>
      <c r="R703" s="32">
        <v>150</v>
      </c>
      <c r="T703" s="32">
        <v>830</v>
      </c>
    </row>
    <row r="704" spans="2:20" ht="12.75" hidden="1" x14ac:dyDescent="0.25">
      <c r="B704" s="32">
        <v>29</v>
      </c>
      <c r="F704" s="32" t="s">
        <v>232</v>
      </c>
      <c r="J704" s="32">
        <v>1</v>
      </c>
      <c r="P704" s="32">
        <v>980</v>
      </c>
      <c r="R704" s="32">
        <v>150</v>
      </c>
      <c r="T704" s="32">
        <v>830</v>
      </c>
    </row>
    <row r="705" spans="2:20" ht="12.75" hidden="1" x14ac:dyDescent="0.25">
      <c r="B705" s="32">
        <v>30</v>
      </c>
      <c r="F705" s="32" t="s">
        <v>193</v>
      </c>
      <c r="J705" s="32">
        <v>4</v>
      </c>
      <c r="P705" s="32">
        <v>3560</v>
      </c>
      <c r="R705" s="32">
        <v>520</v>
      </c>
      <c r="T705" s="32">
        <v>3040</v>
      </c>
    </row>
    <row r="706" spans="2:20" ht="12.75" hidden="1" x14ac:dyDescent="0.25">
      <c r="B706" s="32">
        <v>31</v>
      </c>
      <c r="F706" s="32" t="s">
        <v>75</v>
      </c>
      <c r="J706" s="32">
        <v>1187</v>
      </c>
      <c r="P706" s="32">
        <v>2967500</v>
      </c>
      <c r="R706" s="32">
        <v>2967500</v>
      </c>
      <c r="T706" s="32">
        <v>0</v>
      </c>
    </row>
    <row r="707" spans="2:20" ht="12.75" hidden="1" x14ac:dyDescent="0.25">
      <c r="B707" s="32">
        <v>32</v>
      </c>
      <c r="F707" s="32" t="s">
        <v>139</v>
      </c>
      <c r="J707" s="32">
        <v>1</v>
      </c>
      <c r="P707" s="32">
        <v>270</v>
      </c>
      <c r="R707" s="32">
        <v>80</v>
      </c>
      <c r="T707" s="32">
        <v>190</v>
      </c>
    </row>
    <row r="708" spans="2:20" ht="12.75" hidden="1" x14ac:dyDescent="0.25">
      <c r="B708" s="32">
        <v>33</v>
      </c>
      <c r="F708" s="32" t="s">
        <v>192</v>
      </c>
      <c r="J708" s="32">
        <v>4</v>
      </c>
      <c r="P708" s="32">
        <v>6200</v>
      </c>
      <c r="R708" s="32">
        <v>0</v>
      </c>
      <c r="T708" s="32">
        <v>6200</v>
      </c>
    </row>
    <row r="709" spans="2:20" ht="12.75" hidden="1" x14ac:dyDescent="0.25">
      <c r="B709" s="32">
        <v>34</v>
      </c>
      <c r="F709" s="32" t="s">
        <v>136</v>
      </c>
      <c r="J709" s="32">
        <v>27</v>
      </c>
      <c r="P709" s="32">
        <v>22950</v>
      </c>
      <c r="R709" s="32">
        <v>5200</v>
      </c>
      <c r="T709" s="32">
        <v>17750</v>
      </c>
    </row>
    <row r="710" spans="2:20" ht="12.75" hidden="1" x14ac:dyDescent="0.25">
      <c r="B710" s="32">
        <v>35</v>
      </c>
      <c r="F710" s="32" t="s">
        <v>74</v>
      </c>
      <c r="J710" s="32">
        <v>32</v>
      </c>
      <c r="P710" s="32">
        <v>27200</v>
      </c>
      <c r="R710" s="32">
        <v>27200</v>
      </c>
      <c r="T710" s="32">
        <v>0</v>
      </c>
    </row>
    <row r="711" spans="2:20" ht="12.75" hidden="1" x14ac:dyDescent="0.25">
      <c r="B711" s="32">
        <v>36</v>
      </c>
      <c r="F711" s="32" t="s">
        <v>190</v>
      </c>
      <c r="J711" s="32">
        <v>18</v>
      </c>
      <c r="P711" s="32">
        <v>28260</v>
      </c>
      <c r="R711" s="32">
        <v>4320</v>
      </c>
      <c r="T711" s="32">
        <v>23940</v>
      </c>
    </row>
    <row r="712" spans="2:20" ht="12.75" hidden="1" x14ac:dyDescent="0.25">
      <c r="B712" s="32">
        <v>37</v>
      </c>
      <c r="F712" s="32" t="s">
        <v>135</v>
      </c>
      <c r="J712" s="32">
        <v>3</v>
      </c>
      <c r="P712" s="32">
        <v>2850</v>
      </c>
      <c r="R712" s="32">
        <v>840</v>
      </c>
      <c r="T712" s="32">
        <v>2010</v>
      </c>
    </row>
    <row r="713" spans="2:20" ht="12.75" hidden="1" x14ac:dyDescent="0.25">
      <c r="B713" s="32">
        <v>38</v>
      </c>
      <c r="F713" s="32" t="s">
        <v>132</v>
      </c>
      <c r="J713" s="32">
        <v>4</v>
      </c>
      <c r="P713" s="32">
        <v>4960</v>
      </c>
      <c r="R713" s="32">
        <v>1480</v>
      </c>
      <c r="T713" s="32">
        <v>3480</v>
      </c>
    </row>
    <row r="714" spans="2:20" ht="12.75" hidden="1" x14ac:dyDescent="0.25">
      <c r="B714" s="32">
        <v>39</v>
      </c>
      <c r="F714" s="32" t="s">
        <v>131</v>
      </c>
      <c r="J714" s="32">
        <v>4</v>
      </c>
      <c r="P714" s="32">
        <v>14800</v>
      </c>
      <c r="R714" s="32">
        <v>3200</v>
      </c>
      <c r="T714" s="32">
        <v>11600</v>
      </c>
    </row>
    <row r="715" spans="2:20" ht="12.75" hidden="1" x14ac:dyDescent="0.25">
      <c r="B715" s="32">
        <v>40</v>
      </c>
      <c r="F715" s="32" t="s">
        <v>130</v>
      </c>
      <c r="J715" s="32">
        <v>5</v>
      </c>
      <c r="P715" s="32">
        <v>40000</v>
      </c>
      <c r="R715" s="32">
        <v>20500</v>
      </c>
      <c r="T715" s="32">
        <v>19500</v>
      </c>
    </row>
    <row r="716" spans="2:20" ht="12.75" hidden="1" x14ac:dyDescent="0.25">
      <c r="B716" s="32">
        <v>41</v>
      </c>
      <c r="F716" s="32" t="s">
        <v>228</v>
      </c>
      <c r="J716" s="32">
        <v>2</v>
      </c>
      <c r="P716" s="32">
        <v>1760</v>
      </c>
      <c r="R716" s="32">
        <v>130</v>
      </c>
      <c r="T716" s="32">
        <v>1630</v>
      </c>
    </row>
    <row r="717" spans="2:20" ht="12.75" hidden="1" x14ac:dyDescent="0.25">
      <c r="B717" s="32">
        <v>42</v>
      </c>
      <c r="F717" s="32" t="s">
        <v>127</v>
      </c>
      <c r="J717" s="32">
        <v>15</v>
      </c>
      <c r="P717" s="32">
        <v>4500</v>
      </c>
      <c r="R717" s="32">
        <v>1547</v>
      </c>
      <c r="T717" s="32">
        <v>2953</v>
      </c>
    </row>
    <row r="718" spans="2:20" ht="12.75" hidden="1" x14ac:dyDescent="0.25">
      <c r="B718" s="32">
        <v>43</v>
      </c>
      <c r="F718" s="32" t="s">
        <v>126</v>
      </c>
      <c r="J718" s="32">
        <v>16</v>
      </c>
      <c r="P718" s="32">
        <v>3200</v>
      </c>
      <c r="R718" s="32">
        <v>1089</v>
      </c>
      <c r="T718" s="32">
        <v>2111</v>
      </c>
    </row>
    <row r="719" spans="2:20" ht="12.75" hidden="1" x14ac:dyDescent="0.25">
      <c r="B719" s="32">
        <v>44</v>
      </c>
      <c r="F719" s="32" t="s">
        <v>125</v>
      </c>
      <c r="J719" s="32">
        <v>10</v>
      </c>
      <c r="P719" s="32">
        <v>4000</v>
      </c>
      <c r="R719" s="32">
        <v>1080</v>
      </c>
      <c r="T719" s="32">
        <v>2920</v>
      </c>
    </row>
    <row r="720" spans="2:20" ht="12.75" hidden="1" x14ac:dyDescent="0.25">
      <c r="B720" s="32">
        <v>45</v>
      </c>
      <c r="F720" s="32" t="s">
        <v>124</v>
      </c>
      <c r="J720" s="32">
        <v>8</v>
      </c>
      <c r="P720" s="32">
        <v>3580</v>
      </c>
      <c r="R720" s="32">
        <v>1070</v>
      </c>
      <c r="T720" s="32">
        <v>2510</v>
      </c>
    </row>
    <row r="721" spans="2:20" ht="12.75" hidden="1" x14ac:dyDescent="0.25">
      <c r="B721" s="32">
        <v>46</v>
      </c>
      <c r="F721" s="32" t="s">
        <v>184</v>
      </c>
      <c r="J721" s="32">
        <v>1</v>
      </c>
      <c r="P721" s="32">
        <v>1080</v>
      </c>
      <c r="R721" s="32">
        <v>160</v>
      </c>
      <c r="T721" s="32">
        <v>920</v>
      </c>
    </row>
    <row r="722" spans="2:20" ht="12.75" hidden="1" x14ac:dyDescent="0.25">
      <c r="B722" s="32">
        <v>47</v>
      </c>
      <c r="F722" s="32" t="s">
        <v>183</v>
      </c>
      <c r="J722" s="32">
        <v>5</v>
      </c>
      <c r="P722" s="32">
        <v>2200</v>
      </c>
      <c r="R722" s="32">
        <v>650</v>
      </c>
      <c r="T722" s="32">
        <v>1550</v>
      </c>
    </row>
    <row r="723" spans="2:20" ht="12.75" hidden="1" x14ac:dyDescent="0.25">
      <c r="B723" s="32">
        <v>48</v>
      </c>
      <c r="F723" s="32" t="s">
        <v>122</v>
      </c>
      <c r="J723" s="32">
        <v>2</v>
      </c>
      <c r="P723" s="32">
        <v>1400</v>
      </c>
      <c r="R723" s="32">
        <v>420</v>
      </c>
      <c r="T723" s="32">
        <v>980</v>
      </c>
    </row>
    <row r="724" spans="2:20" ht="12.75" hidden="1" x14ac:dyDescent="0.25">
      <c r="B724" s="32">
        <v>49</v>
      </c>
      <c r="F724" s="32" t="s">
        <v>182</v>
      </c>
      <c r="J724" s="32">
        <v>4</v>
      </c>
      <c r="P724" s="32">
        <v>3160</v>
      </c>
      <c r="R724" s="32">
        <v>480</v>
      </c>
      <c r="T724" s="32">
        <v>2680</v>
      </c>
    </row>
    <row r="725" spans="2:20" ht="12.75" hidden="1" x14ac:dyDescent="0.25">
      <c r="B725" s="32">
        <v>50</v>
      </c>
      <c r="F725" s="32" t="s">
        <v>119</v>
      </c>
      <c r="J725" s="32">
        <v>32</v>
      </c>
      <c r="P725" s="32">
        <v>28480</v>
      </c>
      <c r="R725" s="32">
        <v>9120</v>
      </c>
      <c r="T725" s="32">
        <v>19360</v>
      </c>
    </row>
    <row r="726" spans="2:20" ht="12.75" hidden="1" x14ac:dyDescent="0.25">
      <c r="B726" s="32">
        <v>51</v>
      </c>
      <c r="F726" s="32" t="s">
        <v>118</v>
      </c>
      <c r="J726" s="32">
        <v>47</v>
      </c>
      <c r="P726" s="32">
        <v>46530</v>
      </c>
      <c r="R726" s="32">
        <v>14920</v>
      </c>
      <c r="T726" s="32">
        <v>31610</v>
      </c>
    </row>
    <row r="727" spans="2:20" ht="12.75" hidden="1" x14ac:dyDescent="0.25">
      <c r="B727" s="32">
        <v>52</v>
      </c>
      <c r="F727" s="32" t="s">
        <v>115</v>
      </c>
      <c r="J727" s="32">
        <v>12</v>
      </c>
      <c r="P727" s="32">
        <v>3480</v>
      </c>
      <c r="R727" s="32">
        <v>970</v>
      </c>
      <c r="T727" s="32">
        <v>2510</v>
      </c>
    </row>
    <row r="728" spans="2:20" ht="12.75" hidden="1" x14ac:dyDescent="0.25">
      <c r="B728" s="32">
        <v>53</v>
      </c>
      <c r="F728" s="32" t="s">
        <v>440</v>
      </c>
      <c r="J728" s="32">
        <v>6</v>
      </c>
      <c r="P728" s="32">
        <v>540</v>
      </c>
      <c r="R728" s="32">
        <v>0</v>
      </c>
      <c r="T728" s="32">
        <v>540</v>
      </c>
    </row>
    <row r="729" spans="2:20" ht="12.75" hidden="1" x14ac:dyDescent="0.25">
      <c r="B729" s="32">
        <v>54</v>
      </c>
      <c r="F729" s="32" t="s">
        <v>439</v>
      </c>
      <c r="J729" s="32">
        <v>2</v>
      </c>
      <c r="P729" s="32">
        <v>180</v>
      </c>
      <c r="R729" s="32">
        <v>0</v>
      </c>
      <c r="T729" s="32">
        <v>180</v>
      </c>
    </row>
    <row r="730" spans="2:20" ht="12.75" hidden="1" x14ac:dyDescent="0.25">
      <c r="B730" s="32">
        <v>55</v>
      </c>
      <c r="F730" s="32" t="s">
        <v>278</v>
      </c>
      <c r="J730" s="32">
        <v>1</v>
      </c>
      <c r="P730" s="32">
        <v>330</v>
      </c>
      <c r="R730" s="32">
        <v>100</v>
      </c>
      <c r="T730" s="32">
        <v>230</v>
      </c>
    </row>
    <row r="731" spans="2:20" ht="12.75" hidden="1" x14ac:dyDescent="0.25">
      <c r="B731" s="32">
        <v>56</v>
      </c>
      <c r="F731" s="32" t="s">
        <v>300</v>
      </c>
      <c r="J731" s="32">
        <v>1</v>
      </c>
      <c r="P731" s="32">
        <v>330</v>
      </c>
      <c r="R731" s="32">
        <v>140</v>
      </c>
      <c r="T731" s="32">
        <v>190</v>
      </c>
    </row>
    <row r="732" spans="2:20" ht="12.75" hidden="1" x14ac:dyDescent="0.25">
      <c r="B732" s="32">
        <v>57</v>
      </c>
      <c r="F732" s="32" t="s">
        <v>181</v>
      </c>
      <c r="J732" s="32">
        <v>4</v>
      </c>
      <c r="P732" s="32">
        <v>3160</v>
      </c>
      <c r="R732" s="32">
        <v>480</v>
      </c>
      <c r="T732" s="32">
        <v>2680</v>
      </c>
    </row>
    <row r="733" spans="2:20" ht="12.75" hidden="1" x14ac:dyDescent="0.25">
      <c r="B733" s="32">
        <v>58</v>
      </c>
      <c r="F733" s="32" t="s">
        <v>171</v>
      </c>
      <c r="J733" s="32">
        <v>1</v>
      </c>
      <c r="P733" s="32">
        <v>530</v>
      </c>
      <c r="R733" s="32">
        <v>160</v>
      </c>
      <c r="T733" s="32">
        <v>370</v>
      </c>
    </row>
    <row r="734" spans="2:20" ht="12.75" hidden="1" x14ac:dyDescent="0.25">
      <c r="B734" s="32">
        <v>59</v>
      </c>
      <c r="F734" s="32" t="s">
        <v>111</v>
      </c>
      <c r="J734" s="32">
        <v>1</v>
      </c>
      <c r="P734" s="32">
        <v>430</v>
      </c>
      <c r="R734" s="32">
        <v>130</v>
      </c>
      <c r="T734" s="32">
        <v>300</v>
      </c>
    </row>
    <row r="735" spans="2:20" ht="12.75" hidden="1" x14ac:dyDescent="0.25">
      <c r="B735" s="32">
        <v>60</v>
      </c>
      <c r="F735" s="32" t="s">
        <v>109</v>
      </c>
      <c r="J735" s="32">
        <v>4</v>
      </c>
      <c r="P735" s="32">
        <v>3120</v>
      </c>
      <c r="R735" s="32">
        <v>920</v>
      </c>
      <c r="T735" s="32">
        <v>2200</v>
      </c>
    </row>
    <row r="736" spans="2:20" ht="12.75" hidden="1" x14ac:dyDescent="0.25">
      <c r="B736" s="32">
        <v>61</v>
      </c>
      <c r="F736" s="32" t="s">
        <v>108</v>
      </c>
      <c r="J736" s="32">
        <v>255</v>
      </c>
      <c r="P736" s="32">
        <v>25500</v>
      </c>
      <c r="R736" s="32">
        <v>450</v>
      </c>
      <c r="T736" s="32">
        <v>25050</v>
      </c>
    </row>
    <row r="737" spans="2:20" ht="12.75" hidden="1" x14ac:dyDescent="0.25">
      <c r="B737" s="32">
        <v>62</v>
      </c>
      <c r="F737" s="32" t="s">
        <v>107</v>
      </c>
      <c r="J737" s="32">
        <v>25</v>
      </c>
      <c r="P737" s="32">
        <v>4250</v>
      </c>
      <c r="R737" s="32">
        <v>1318</v>
      </c>
      <c r="T737" s="32">
        <v>2932</v>
      </c>
    </row>
    <row r="738" spans="2:20" ht="12.75" hidden="1" x14ac:dyDescent="0.25">
      <c r="B738" s="32">
        <v>63</v>
      </c>
      <c r="F738" s="32" t="s">
        <v>106</v>
      </c>
      <c r="J738" s="32">
        <v>134</v>
      </c>
      <c r="P738" s="32">
        <v>13400</v>
      </c>
      <c r="R738" s="32">
        <v>3000</v>
      </c>
      <c r="T738" s="32">
        <v>10400</v>
      </c>
    </row>
    <row r="739" spans="2:20" ht="12.75" hidden="1" x14ac:dyDescent="0.25">
      <c r="B739" s="32">
        <v>64</v>
      </c>
      <c r="F739" s="32" t="s">
        <v>216</v>
      </c>
      <c r="J739" s="32">
        <v>2</v>
      </c>
      <c r="P739" s="32">
        <v>2160</v>
      </c>
      <c r="R739" s="32">
        <v>165</v>
      </c>
      <c r="T739" s="32">
        <v>1995</v>
      </c>
    </row>
    <row r="740" spans="2:20" ht="12.75" hidden="1" x14ac:dyDescent="0.25">
      <c r="B740" s="32">
        <v>65</v>
      </c>
      <c r="F740" s="32" t="s">
        <v>105</v>
      </c>
      <c r="J740" s="32">
        <v>8</v>
      </c>
      <c r="P740" s="32">
        <v>9200</v>
      </c>
      <c r="R740" s="32">
        <v>0</v>
      </c>
      <c r="T740" s="32">
        <v>9200</v>
      </c>
    </row>
    <row r="741" spans="2:20" ht="12.75" hidden="1" x14ac:dyDescent="0.25">
      <c r="B741" s="32">
        <v>66</v>
      </c>
      <c r="F741" s="32" t="s">
        <v>103</v>
      </c>
      <c r="J741" s="32">
        <v>3</v>
      </c>
      <c r="P741" s="32">
        <v>990</v>
      </c>
      <c r="R741" s="32">
        <v>340</v>
      </c>
      <c r="T741" s="32">
        <v>650</v>
      </c>
    </row>
    <row r="742" spans="2:20" ht="12.75" hidden="1" x14ac:dyDescent="0.25">
      <c r="B742" s="32">
        <v>67</v>
      </c>
      <c r="F742" s="32" t="s">
        <v>102</v>
      </c>
      <c r="J742" s="32">
        <v>8</v>
      </c>
      <c r="P742" s="32">
        <v>7040</v>
      </c>
      <c r="R742" s="32">
        <v>1040</v>
      </c>
      <c r="T742" s="32">
        <v>6000</v>
      </c>
    </row>
    <row r="743" spans="2:20" ht="12.75" hidden="1" x14ac:dyDescent="0.25">
      <c r="B743" s="32">
        <v>68</v>
      </c>
      <c r="F743" s="32" t="s">
        <v>101</v>
      </c>
      <c r="J743" s="32">
        <v>2</v>
      </c>
      <c r="P743" s="32">
        <v>920</v>
      </c>
      <c r="R743" s="32">
        <v>280</v>
      </c>
      <c r="T743" s="32">
        <v>640</v>
      </c>
    </row>
    <row r="744" spans="2:20" ht="12.75" hidden="1" x14ac:dyDescent="0.25">
      <c r="B744" s="32">
        <v>69</v>
      </c>
      <c r="F744" s="32" t="s">
        <v>100</v>
      </c>
      <c r="J744" s="32">
        <v>3</v>
      </c>
      <c r="P744" s="32">
        <v>540</v>
      </c>
      <c r="R744" s="32">
        <v>150</v>
      </c>
      <c r="T744" s="32">
        <v>390</v>
      </c>
    </row>
    <row r="745" spans="2:20" ht="12.75" hidden="1" x14ac:dyDescent="0.25">
      <c r="B745" s="32">
        <v>70</v>
      </c>
      <c r="F745" s="32" t="s">
        <v>97</v>
      </c>
      <c r="J745" s="32">
        <v>6</v>
      </c>
      <c r="P745" s="32">
        <v>9540</v>
      </c>
      <c r="R745" s="32">
        <v>1440</v>
      </c>
      <c r="T745" s="32">
        <v>8100</v>
      </c>
    </row>
    <row r="746" spans="2:20" ht="12.75" hidden="1" x14ac:dyDescent="0.25">
      <c r="B746" s="32">
        <v>71</v>
      </c>
      <c r="F746" s="32" t="s">
        <v>96</v>
      </c>
      <c r="J746" s="32">
        <v>5</v>
      </c>
      <c r="P746" s="32">
        <v>2200</v>
      </c>
      <c r="R746" s="32">
        <v>650</v>
      </c>
      <c r="T746" s="32">
        <v>1550</v>
      </c>
    </row>
    <row r="747" spans="2:20" ht="12.75" hidden="1" x14ac:dyDescent="0.25">
      <c r="B747" s="32">
        <v>72</v>
      </c>
      <c r="F747" s="32" t="s">
        <v>253</v>
      </c>
      <c r="J747" s="32">
        <v>1</v>
      </c>
      <c r="P747" s="32">
        <v>290</v>
      </c>
      <c r="R747" s="32">
        <v>130</v>
      </c>
      <c r="T747" s="32">
        <v>160</v>
      </c>
    </row>
    <row r="748" spans="2:20" ht="12.75" hidden="1" x14ac:dyDescent="0.25">
      <c r="B748" s="32">
        <v>73</v>
      </c>
      <c r="F748" s="32" t="s">
        <v>93</v>
      </c>
      <c r="J748" s="32">
        <v>3</v>
      </c>
      <c r="P748" s="32">
        <v>1770</v>
      </c>
      <c r="R748" s="32">
        <v>270</v>
      </c>
      <c r="T748" s="32">
        <v>1500</v>
      </c>
    </row>
    <row r="749" spans="2:20" ht="12.75" hidden="1" x14ac:dyDescent="0.25">
      <c r="B749" s="32">
        <v>74</v>
      </c>
      <c r="F749" s="32" t="s">
        <v>92</v>
      </c>
      <c r="J749" s="32">
        <v>34</v>
      </c>
      <c r="P749" s="32">
        <v>19720</v>
      </c>
      <c r="R749" s="32">
        <v>5880</v>
      </c>
      <c r="T749" s="32">
        <v>13840</v>
      </c>
    </row>
    <row r="750" spans="2:20" ht="12.75" hidden="1" x14ac:dyDescent="0.25">
      <c r="B750" s="32">
        <v>75</v>
      </c>
      <c r="F750" s="32" t="s">
        <v>175</v>
      </c>
      <c r="J750" s="32">
        <v>5</v>
      </c>
      <c r="P750" s="32">
        <v>3000</v>
      </c>
      <c r="R750" s="32">
        <v>180</v>
      </c>
      <c r="T750" s="32">
        <v>2820</v>
      </c>
    </row>
    <row r="751" spans="2:20" ht="12.75" hidden="1" x14ac:dyDescent="0.25">
      <c r="B751" s="32">
        <v>76</v>
      </c>
      <c r="F751" s="32" t="s">
        <v>174</v>
      </c>
      <c r="J751" s="32">
        <v>2</v>
      </c>
      <c r="P751" s="32">
        <v>800</v>
      </c>
      <c r="R751" s="32">
        <v>120</v>
      </c>
      <c r="T751" s="32">
        <v>680</v>
      </c>
    </row>
    <row r="752" spans="2:20" ht="12.75" hidden="1" x14ac:dyDescent="0.25">
      <c r="B752" s="32">
        <v>77</v>
      </c>
      <c r="F752" s="32" t="s">
        <v>438</v>
      </c>
      <c r="J752" s="32">
        <v>1</v>
      </c>
      <c r="P752" s="32">
        <v>1000</v>
      </c>
      <c r="R752" s="32">
        <v>0</v>
      </c>
      <c r="T752" s="32">
        <v>1000</v>
      </c>
    </row>
    <row r="753" spans="1:20" ht="12.75" hidden="1" x14ac:dyDescent="0.25">
      <c r="B753" s="32">
        <v>78</v>
      </c>
      <c r="F753" s="32" t="s">
        <v>355</v>
      </c>
      <c r="J753" s="32">
        <v>1</v>
      </c>
      <c r="P753" s="32">
        <v>600</v>
      </c>
      <c r="R753" s="32">
        <v>180</v>
      </c>
      <c r="T753" s="32">
        <v>420</v>
      </c>
    </row>
    <row r="754" spans="1:20" ht="12.75" hidden="1" x14ac:dyDescent="0.25">
      <c r="B754" s="32">
        <v>79</v>
      </c>
      <c r="F754" s="32" t="s">
        <v>173</v>
      </c>
      <c r="J754" s="32">
        <v>4</v>
      </c>
      <c r="P754" s="32">
        <v>4000</v>
      </c>
      <c r="R754" s="32">
        <v>0</v>
      </c>
      <c r="T754" s="32">
        <v>4000</v>
      </c>
    </row>
    <row r="755" spans="1:20" ht="12.75" hidden="1" x14ac:dyDescent="0.25">
      <c r="B755" s="32">
        <v>80</v>
      </c>
      <c r="F755" s="32" t="s">
        <v>91</v>
      </c>
      <c r="J755" s="32">
        <v>31</v>
      </c>
      <c r="P755" s="32">
        <v>7750</v>
      </c>
      <c r="R755" s="32">
        <v>2100</v>
      </c>
      <c r="T755" s="32">
        <v>5650</v>
      </c>
    </row>
    <row r="756" spans="1:20" ht="12.75" hidden="1" x14ac:dyDescent="0.25">
      <c r="B756" s="32">
        <v>81</v>
      </c>
      <c r="F756" s="32" t="s">
        <v>90</v>
      </c>
      <c r="J756" s="32">
        <v>33</v>
      </c>
      <c r="P756" s="32">
        <v>9570</v>
      </c>
      <c r="R756" s="32">
        <v>2480</v>
      </c>
      <c r="T756" s="32">
        <v>7090</v>
      </c>
    </row>
    <row r="757" spans="1:20" ht="12.75" hidden="1" x14ac:dyDescent="0.25">
      <c r="B757" s="32">
        <v>82</v>
      </c>
      <c r="F757" s="32" t="s">
        <v>89</v>
      </c>
      <c r="J757" s="32">
        <v>1</v>
      </c>
      <c r="P757" s="32">
        <v>880</v>
      </c>
      <c r="R757" s="32">
        <v>130</v>
      </c>
      <c r="T757" s="32">
        <v>750</v>
      </c>
    </row>
    <row r="758" spans="1:20" ht="12.75" hidden="1" x14ac:dyDescent="0.25">
      <c r="B758" s="32">
        <v>83</v>
      </c>
      <c r="F758" s="32" t="s">
        <v>88</v>
      </c>
      <c r="J758" s="32">
        <v>35</v>
      </c>
      <c r="P758" s="32">
        <v>6300</v>
      </c>
      <c r="R758" s="32">
        <v>1966</v>
      </c>
      <c r="T758" s="32">
        <v>4334</v>
      </c>
    </row>
    <row r="759" spans="1:20" ht="12.75" hidden="1" x14ac:dyDescent="0.25">
      <c r="B759" s="32">
        <v>84</v>
      </c>
      <c r="F759" s="32" t="s">
        <v>87</v>
      </c>
      <c r="J759" s="32">
        <v>1</v>
      </c>
      <c r="P759" s="32">
        <v>290</v>
      </c>
      <c r="R759" s="32">
        <v>80</v>
      </c>
      <c r="T759" s="32">
        <v>210</v>
      </c>
    </row>
    <row r="760" spans="1:20" ht="12.75" hidden="1" x14ac:dyDescent="0.25">
      <c r="B760" s="32">
        <v>85</v>
      </c>
      <c r="F760" s="32" t="s">
        <v>85</v>
      </c>
      <c r="J760" s="32">
        <v>7</v>
      </c>
      <c r="P760" s="32">
        <v>14560</v>
      </c>
      <c r="R760" s="32">
        <v>2170</v>
      </c>
      <c r="T760" s="32">
        <v>12390</v>
      </c>
    </row>
    <row r="761" spans="1:20" ht="12.75" hidden="1" x14ac:dyDescent="0.25">
      <c r="B761" s="32">
        <v>86</v>
      </c>
      <c r="F761" s="32" t="s">
        <v>84</v>
      </c>
      <c r="J761" s="32">
        <v>7</v>
      </c>
      <c r="P761" s="32">
        <v>4130</v>
      </c>
      <c r="R761" s="32">
        <v>1080</v>
      </c>
      <c r="T761" s="32">
        <v>3050</v>
      </c>
    </row>
    <row r="762" spans="1:20" ht="12.75" hidden="1" x14ac:dyDescent="0.25">
      <c r="B762" s="32">
        <v>87</v>
      </c>
      <c r="F762" s="32" t="s">
        <v>83</v>
      </c>
      <c r="J762" s="32">
        <v>1</v>
      </c>
      <c r="P762" s="32">
        <v>500</v>
      </c>
      <c r="R762" s="32">
        <v>150</v>
      </c>
      <c r="T762" s="32">
        <v>350</v>
      </c>
    </row>
    <row r="763" spans="1:20" ht="12.75" hidden="1" x14ac:dyDescent="0.25">
      <c r="B763" s="32">
        <v>88</v>
      </c>
      <c r="F763" s="32" t="s">
        <v>82</v>
      </c>
      <c r="J763" s="32">
        <v>7</v>
      </c>
      <c r="P763" s="32">
        <v>2030</v>
      </c>
      <c r="R763" s="32">
        <v>2030</v>
      </c>
      <c r="T763" s="32">
        <v>0</v>
      </c>
    </row>
    <row r="764" spans="1:20" ht="12.75" hidden="1" x14ac:dyDescent="0.25">
      <c r="B764" s="32">
        <v>89</v>
      </c>
      <c r="F764" s="32" t="s">
        <v>81</v>
      </c>
      <c r="J764" s="32">
        <v>28</v>
      </c>
      <c r="P764" s="32">
        <v>8120</v>
      </c>
      <c r="R764" s="32">
        <v>2160</v>
      </c>
      <c r="T764" s="32">
        <v>5960</v>
      </c>
    </row>
    <row r="765" spans="1:20" ht="12.75" hidden="1" x14ac:dyDescent="0.25">
      <c r="A765" s="32" t="s">
        <v>437</v>
      </c>
      <c r="K765" s="32">
        <v>3983</v>
      </c>
      <c r="P765" s="32">
        <v>4519810</v>
      </c>
      <c r="R765" s="32">
        <v>3549920</v>
      </c>
      <c r="T765" s="32">
        <v>969890</v>
      </c>
    </row>
    <row r="766" spans="1:20" ht="12.75" hidden="1" x14ac:dyDescent="0.25">
      <c r="B766" s="32">
        <v>1</v>
      </c>
      <c r="F766" s="32" t="s">
        <v>316</v>
      </c>
      <c r="J766" s="32">
        <v>1</v>
      </c>
      <c r="P766" s="32">
        <v>390</v>
      </c>
      <c r="R766" s="32">
        <v>120</v>
      </c>
      <c r="T766" s="32">
        <v>270</v>
      </c>
    </row>
    <row r="767" spans="1:20" ht="12.75" hidden="1" x14ac:dyDescent="0.25">
      <c r="B767" s="32">
        <v>2</v>
      </c>
      <c r="F767" s="32" t="s">
        <v>78</v>
      </c>
      <c r="J767" s="32">
        <v>136</v>
      </c>
      <c r="P767" s="32">
        <v>39440</v>
      </c>
      <c r="R767" s="32">
        <v>39230</v>
      </c>
      <c r="T767" s="32">
        <v>210</v>
      </c>
    </row>
    <row r="768" spans="1:20" ht="12.75" hidden="1" x14ac:dyDescent="0.25">
      <c r="B768" s="32">
        <v>3</v>
      </c>
      <c r="F768" s="32" t="s">
        <v>268</v>
      </c>
      <c r="J768" s="32">
        <v>1</v>
      </c>
      <c r="P768" s="32">
        <v>250</v>
      </c>
      <c r="R768" s="32">
        <v>70</v>
      </c>
      <c r="T768" s="32">
        <v>180</v>
      </c>
    </row>
    <row r="769" spans="2:20" ht="12.75" hidden="1" x14ac:dyDescent="0.25">
      <c r="B769" s="32">
        <v>4</v>
      </c>
      <c r="F769" s="32" t="s">
        <v>199</v>
      </c>
      <c r="J769" s="32">
        <v>1</v>
      </c>
      <c r="P769" s="32">
        <v>290</v>
      </c>
      <c r="R769" s="32">
        <v>80</v>
      </c>
      <c r="T769" s="32">
        <v>210</v>
      </c>
    </row>
    <row r="770" spans="2:20" ht="12.75" hidden="1" x14ac:dyDescent="0.25">
      <c r="B770" s="32">
        <v>5</v>
      </c>
      <c r="F770" s="32" t="s">
        <v>165</v>
      </c>
      <c r="J770" s="32">
        <v>2</v>
      </c>
      <c r="P770" s="32">
        <v>1180</v>
      </c>
      <c r="R770" s="32">
        <v>360</v>
      </c>
      <c r="T770" s="32">
        <v>820</v>
      </c>
    </row>
    <row r="771" spans="2:20" ht="12.75" hidden="1" x14ac:dyDescent="0.25">
      <c r="B771" s="32">
        <v>6</v>
      </c>
      <c r="F771" s="32" t="s">
        <v>164</v>
      </c>
      <c r="J771" s="32">
        <v>1</v>
      </c>
      <c r="P771" s="32">
        <v>590</v>
      </c>
      <c r="R771" s="32">
        <v>180</v>
      </c>
      <c r="T771" s="32">
        <v>410</v>
      </c>
    </row>
    <row r="772" spans="2:20" ht="12.75" hidden="1" x14ac:dyDescent="0.25">
      <c r="B772" s="32">
        <v>7</v>
      </c>
      <c r="F772" s="32" t="s">
        <v>163</v>
      </c>
      <c r="J772" s="32">
        <v>3</v>
      </c>
      <c r="P772" s="32">
        <v>3570</v>
      </c>
      <c r="R772" s="32">
        <v>540</v>
      </c>
      <c r="T772" s="32">
        <v>3030</v>
      </c>
    </row>
    <row r="773" spans="2:20" ht="12.75" hidden="1" x14ac:dyDescent="0.25">
      <c r="B773" s="32">
        <v>8</v>
      </c>
      <c r="F773" s="32" t="s">
        <v>162</v>
      </c>
      <c r="J773" s="32">
        <v>16</v>
      </c>
      <c r="P773" s="32">
        <v>6880</v>
      </c>
      <c r="R773" s="32">
        <v>3241</v>
      </c>
      <c r="T773" s="32">
        <v>3639</v>
      </c>
    </row>
    <row r="774" spans="2:20" ht="12.75" hidden="1" x14ac:dyDescent="0.25">
      <c r="B774" s="32">
        <v>9</v>
      </c>
      <c r="F774" s="32" t="s">
        <v>160</v>
      </c>
      <c r="J774" s="32">
        <v>19</v>
      </c>
      <c r="P774" s="32">
        <v>5510</v>
      </c>
      <c r="R774" s="32">
        <v>1498</v>
      </c>
      <c r="T774" s="32">
        <v>4012</v>
      </c>
    </row>
    <row r="775" spans="2:20" ht="12.75" hidden="1" x14ac:dyDescent="0.25">
      <c r="B775" s="32">
        <v>10</v>
      </c>
      <c r="F775" s="32" t="s">
        <v>158</v>
      </c>
      <c r="J775" s="32">
        <v>423</v>
      </c>
      <c r="P775" s="32">
        <v>232650</v>
      </c>
      <c r="R775" s="32">
        <v>71690</v>
      </c>
      <c r="T775" s="32">
        <v>160960</v>
      </c>
    </row>
    <row r="776" spans="2:20" ht="12.75" hidden="1" x14ac:dyDescent="0.25">
      <c r="B776" s="32">
        <v>11</v>
      </c>
      <c r="F776" s="32" t="s">
        <v>157</v>
      </c>
      <c r="J776" s="32">
        <v>293</v>
      </c>
      <c r="P776" s="32">
        <v>143570</v>
      </c>
      <c r="R776" s="32">
        <v>62742</v>
      </c>
      <c r="T776" s="32">
        <v>80828</v>
      </c>
    </row>
    <row r="777" spans="2:20" ht="12.75" hidden="1" x14ac:dyDescent="0.25">
      <c r="B777" s="32">
        <v>12</v>
      </c>
      <c r="F777" s="32" t="s">
        <v>77</v>
      </c>
      <c r="J777" s="32">
        <v>376</v>
      </c>
      <c r="P777" s="32">
        <v>158000</v>
      </c>
      <c r="R777" s="32">
        <v>158000</v>
      </c>
      <c r="T777" s="32">
        <v>0</v>
      </c>
    </row>
    <row r="778" spans="2:20" ht="12.75" hidden="1" x14ac:dyDescent="0.25">
      <c r="B778" s="32">
        <v>13</v>
      </c>
      <c r="F778" s="32" t="s">
        <v>76</v>
      </c>
      <c r="J778" s="32">
        <v>1</v>
      </c>
      <c r="P778" s="32">
        <v>600</v>
      </c>
      <c r="R778" s="32">
        <v>600</v>
      </c>
      <c r="T778" s="32">
        <v>0</v>
      </c>
    </row>
    <row r="779" spans="2:20" ht="12.75" hidden="1" x14ac:dyDescent="0.25">
      <c r="B779" s="32">
        <v>14</v>
      </c>
      <c r="F779" s="32" t="s">
        <v>156</v>
      </c>
      <c r="J779" s="32">
        <v>15</v>
      </c>
      <c r="P779" s="32">
        <v>2850</v>
      </c>
      <c r="R779" s="32">
        <v>970</v>
      </c>
      <c r="T779" s="32">
        <v>1880</v>
      </c>
    </row>
    <row r="780" spans="2:20" ht="12.75" hidden="1" x14ac:dyDescent="0.25">
      <c r="B780" s="32">
        <v>15</v>
      </c>
      <c r="F780" s="32" t="s">
        <v>155</v>
      </c>
      <c r="J780" s="32">
        <v>74</v>
      </c>
      <c r="P780" s="32">
        <v>18500</v>
      </c>
      <c r="R780" s="32">
        <v>6130</v>
      </c>
      <c r="T780" s="32">
        <v>12370</v>
      </c>
    </row>
    <row r="781" spans="2:20" ht="12.75" hidden="1" x14ac:dyDescent="0.25">
      <c r="B781" s="32">
        <v>16</v>
      </c>
      <c r="F781" s="32" t="s">
        <v>154</v>
      </c>
      <c r="J781" s="32">
        <v>2</v>
      </c>
      <c r="P781" s="32">
        <v>1780</v>
      </c>
      <c r="R781" s="32">
        <v>260</v>
      </c>
      <c r="T781" s="32">
        <v>1520</v>
      </c>
    </row>
    <row r="782" spans="2:20" ht="12.75" hidden="1" x14ac:dyDescent="0.25">
      <c r="B782" s="32">
        <v>17</v>
      </c>
      <c r="F782" s="32" t="s">
        <v>322</v>
      </c>
      <c r="J782" s="32">
        <v>1</v>
      </c>
      <c r="P782" s="32">
        <v>1180</v>
      </c>
      <c r="R782" s="32">
        <v>180</v>
      </c>
      <c r="T782" s="32">
        <v>1000</v>
      </c>
    </row>
    <row r="783" spans="2:20" ht="12.75" hidden="1" x14ac:dyDescent="0.25">
      <c r="B783" s="32">
        <v>18</v>
      </c>
      <c r="F783" s="32" t="s">
        <v>152</v>
      </c>
      <c r="J783" s="32">
        <v>15</v>
      </c>
      <c r="P783" s="32">
        <v>8850</v>
      </c>
      <c r="R783" s="32">
        <v>2700</v>
      </c>
      <c r="T783" s="32">
        <v>6150</v>
      </c>
    </row>
    <row r="784" spans="2:20" ht="12.75" hidden="1" x14ac:dyDescent="0.25">
      <c r="B784" s="32">
        <v>19</v>
      </c>
      <c r="F784" s="32" t="s">
        <v>151</v>
      </c>
      <c r="J784" s="32">
        <v>47</v>
      </c>
      <c r="P784" s="32">
        <v>10810</v>
      </c>
      <c r="R784" s="32">
        <v>3400</v>
      </c>
      <c r="T784" s="32">
        <v>7410</v>
      </c>
    </row>
    <row r="785" spans="2:20" ht="12.75" hidden="1" x14ac:dyDescent="0.25">
      <c r="B785" s="32">
        <v>20</v>
      </c>
      <c r="F785" s="32" t="s">
        <v>150</v>
      </c>
      <c r="J785" s="32">
        <v>32</v>
      </c>
      <c r="P785" s="32">
        <v>5440</v>
      </c>
      <c r="R785" s="32">
        <v>1600</v>
      </c>
      <c r="T785" s="32">
        <v>3840</v>
      </c>
    </row>
    <row r="786" spans="2:20" ht="12.75" hidden="1" x14ac:dyDescent="0.25">
      <c r="B786" s="32">
        <v>21</v>
      </c>
      <c r="F786" s="32" t="s">
        <v>288</v>
      </c>
      <c r="J786" s="32">
        <v>1</v>
      </c>
      <c r="P786" s="32">
        <v>800</v>
      </c>
      <c r="R786" s="32">
        <v>450</v>
      </c>
      <c r="T786" s="32">
        <v>350</v>
      </c>
    </row>
    <row r="787" spans="2:20" ht="12.75" hidden="1" x14ac:dyDescent="0.25">
      <c r="B787" s="32">
        <v>22</v>
      </c>
      <c r="F787" s="32" t="s">
        <v>234</v>
      </c>
      <c r="J787" s="32">
        <v>1</v>
      </c>
      <c r="P787" s="32">
        <v>800</v>
      </c>
      <c r="R787" s="32">
        <v>450</v>
      </c>
      <c r="T787" s="32">
        <v>350</v>
      </c>
    </row>
    <row r="788" spans="2:20" ht="12.75" hidden="1" x14ac:dyDescent="0.25">
      <c r="B788" s="32">
        <v>23</v>
      </c>
      <c r="F788" s="32" t="s">
        <v>232</v>
      </c>
      <c r="J788" s="32">
        <v>1</v>
      </c>
      <c r="P788" s="32">
        <v>980</v>
      </c>
      <c r="R788" s="32">
        <v>150</v>
      </c>
      <c r="T788" s="32">
        <v>830</v>
      </c>
    </row>
    <row r="789" spans="2:20" ht="12.75" hidden="1" x14ac:dyDescent="0.25">
      <c r="B789" s="32">
        <v>24</v>
      </c>
      <c r="F789" s="32" t="s">
        <v>193</v>
      </c>
      <c r="J789" s="32">
        <v>1</v>
      </c>
      <c r="P789" s="32">
        <v>890</v>
      </c>
      <c r="R789" s="32">
        <v>130</v>
      </c>
      <c r="T789" s="32">
        <v>760</v>
      </c>
    </row>
    <row r="790" spans="2:20" ht="12.75" hidden="1" x14ac:dyDescent="0.25">
      <c r="B790" s="32">
        <v>25</v>
      </c>
      <c r="F790" s="32" t="s">
        <v>75</v>
      </c>
      <c r="J790" s="32">
        <v>1139</v>
      </c>
      <c r="P790" s="32">
        <v>2847500</v>
      </c>
      <c r="R790" s="32">
        <v>2847500</v>
      </c>
      <c r="T790" s="32">
        <v>0</v>
      </c>
    </row>
    <row r="791" spans="2:20" ht="12.75" hidden="1" x14ac:dyDescent="0.25">
      <c r="B791" s="32">
        <v>26</v>
      </c>
      <c r="F791" s="32" t="s">
        <v>139</v>
      </c>
      <c r="J791" s="32">
        <v>3</v>
      </c>
      <c r="P791" s="32">
        <v>810</v>
      </c>
      <c r="R791" s="32">
        <v>240</v>
      </c>
      <c r="T791" s="32">
        <v>570</v>
      </c>
    </row>
    <row r="792" spans="2:20" ht="12.75" hidden="1" x14ac:dyDescent="0.25">
      <c r="B792" s="32">
        <v>27</v>
      </c>
      <c r="F792" s="32" t="s">
        <v>192</v>
      </c>
      <c r="J792" s="32">
        <v>2</v>
      </c>
      <c r="P792" s="32">
        <v>3100</v>
      </c>
      <c r="R792" s="32">
        <v>465</v>
      </c>
      <c r="T792" s="32">
        <v>2635</v>
      </c>
    </row>
    <row r="793" spans="2:20" ht="12.75" hidden="1" x14ac:dyDescent="0.25">
      <c r="B793" s="32">
        <v>28</v>
      </c>
      <c r="F793" s="32" t="s">
        <v>136</v>
      </c>
      <c r="J793" s="32">
        <v>67</v>
      </c>
      <c r="P793" s="32">
        <v>56950</v>
      </c>
      <c r="R793" s="32">
        <v>13130</v>
      </c>
      <c r="T793" s="32">
        <v>43820</v>
      </c>
    </row>
    <row r="794" spans="2:20" ht="12.75" hidden="1" x14ac:dyDescent="0.25">
      <c r="B794" s="32">
        <v>29</v>
      </c>
      <c r="F794" s="32" t="s">
        <v>74</v>
      </c>
      <c r="J794" s="32">
        <v>86</v>
      </c>
      <c r="P794" s="32">
        <v>73100</v>
      </c>
      <c r="R794" s="32">
        <v>73100</v>
      </c>
      <c r="T794" s="32">
        <v>0</v>
      </c>
    </row>
    <row r="795" spans="2:20" ht="12.75" hidden="1" x14ac:dyDescent="0.25">
      <c r="B795" s="32">
        <v>30</v>
      </c>
      <c r="F795" s="32" t="s">
        <v>191</v>
      </c>
      <c r="J795" s="32">
        <v>1</v>
      </c>
      <c r="P795" s="32">
        <v>350</v>
      </c>
      <c r="R795" s="32">
        <v>130</v>
      </c>
      <c r="T795" s="32">
        <v>220</v>
      </c>
    </row>
    <row r="796" spans="2:20" ht="12.75" hidden="1" x14ac:dyDescent="0.25">
      <c r="B796" s="32">
        <v>31</v>
      </c>
      <c r="F796" s="32" t="s">
        <v>190</v>
      </c>
      <c r="J796" s="32">
        <v>15</v>
      </c>
      <c r="P796" s="32">
        <v>23550</v>
      </c>
      <c r="R796" s="32">
        <v>3600</v>
      </c>
      <c r="T796" s="32">
        <v>19950</v>
      </c>
    </row>
    <row r="797" spans="2:20" ht="12.75" hidden="1" x14ac:dyDescent="0.25">
      <c r="B797" s="32">
        <v>32</v>
      </c>
      <c r="F797" s="32" t="s">
        <v>264</v>
      </c>
      <c r="J797" s="32">
        <v>1</v>
      </c>
      <c r="P797" s="32">
        <v>1290</v>
      </c>
      <c r="R797" s="32">
        <v>0</v>
      </c>
      <c r="T797" s="32">
        <v>1290</v>
      </c>
    </row>
    <row r="798" spans="2:20" ht="12.75" hidden="1" x14ac:dyDescent="0.25">
      <c r="B798" s="32">
        <v>33</v>
      </c>
      <c r="F798" s="32" t="s">
        <v>189</v>
      </c>
      <c r="J798" s="32">
        <v>1</v>
      </c>
      <c r="P798" s="32">
        <v>1140</v>
      </c>
      <c r="R798" s="32">
        <v>0</v>
      </c>
      <c r="T798" s="32">
        <v>1140</v>
      </c>
    </row>
    <row r="799" spans="2:20" ht="12.75" hidden="1" x14ac:dyDescent="0.25">
      <c r="B799" s="32">
        <v>34</v>
      </c>
      <c r="F799" s="32" t="s">
        <v>230</v>
      </c>
      <c r="J799" s="32">
        <v>1</v>
      </c>
      <c r="P799" s="32">
        <v>950</v>
      </c>
      <c r="R799" s="32">
        <v>140</v>
      </c>
      <c r="T799" s="32">
        <v>810</v>
      </c>
    </row>
    <row r="800" spans="2:20" ht="12.75" hidden="1" x14ac:dyDescent="0.25">
      <c r="B800" s="32">
        <v>35</v>
      </c>
      <c r="F800" s="32" t="s">
        <v>135</v>
      </c>
      <c r="J800" s="32">
        <v>38</v>
      </c>
      <c r="P800" s="32">
        <v>36100</v>
      </c>
      <c r="R800" s="32">
        <v>10640</v>
      </c>
      <c r="T800" s="32">
        <v>25460</v>
      </c>
    </row>
    <row r="801" spans="2:20" ht="12.75" hidden="1" x14ac:dyDescent="0.25">
      <c r="B801" s="32">
        <v>36</v>
      </c>
      <c r="F801" s="32" t="s">
        <v>134</v>
      </c>
      <c r="J801" s="32">
        <v>3</v>
      </c>
      <c r="P801" s="32">
        <v>11100</v>
      </c>
      <c r="R801" s="32">
        <v>1600</v>
      </c>
      <c r="T801" s="32">
        <v>9500</v>
      </c>
    </row>
    <row r="802" spans="2:20" ht="12.75" hidden="1" x14ac:dyDescent="0.25">
      <c r="B802" s="32">
        <v>37</v>
      </c>
      <c r="F802" s="32" t="s">
        <v>229</v>
      </c>
      <c r="J802" s="32">
        <v>3</v>
      </c>
      <c r="P802" s="32">
        <v>21000</v>
      </c>
      <c r="R802" s="32">
        <v>6200</v>
      </c>
      <c r="T802" s="32">
        <v>14800</v>
      </c>
    </row>
    <row r="803" spans="2:20" ht="12.75" hidden="1" x14ac:dyDescent="0.25">
      <c r="B803" s="32">
        <v>38</v>
      </c>
      <c r="F803" s="32" t="s">
        <v>133</v>
      </c>
      <c r="J803" s="32">
        <v>1</v>
      </c>
      <c r="P803" s="32">
        <v>1090</v>
      </c>
      <c r="R803" s="32">
        <v>0</v>
      </c>
      <c r="T803" s="32">
        <v>1090</v>
      </c>
    </row>
    <row r="804" spans="2:20" ht="12.75" hidden="1" x14ac:dyDescent="0.25">
      <c r="B804" s="32">
        <v>39</v>
      </c>
      <c r="F804" s="32" t="s">
        <v>132</v>
      </c>
      <c r="J804" s="32">
        <v>51</v>
      </c>
      <c r="P804" s="32">
        <v>63240</v>
      </c>
      <c r="R804" s="32">
        <v>18748</v>
      </c>
      <c r="T804" s="32">
        <v>44492</v>
      </c>
    </row>
    <row r="805" spans="2:20" ht="12.75" hidden="1" x14ac:dyDescent="0.25">
      <c r="B805" s="32">
        <v>40</v>
      </c>
      <c r="F805" s="32" t="s">
        <v>392</v>
      </c>
      <c r="J805" s="32">
        <v>2</v>
      </c>
      <c r="P805" s="32">
        <v>18000</v>
      </c>
      <c r="R805" s="32">
        <v>1800</v>
      </c>
      <c r="T805" s="32">
        <v>16200</v>
      </c>
    </row>
    <row r="806" spans="2:20" ht="12.75" hidden="1" x14ac:dyDescent="0.25">
      <c r="B806" s="32">
        <v>41</v>
      </c>
      <c r="F806" s="32" t="s">
        <v>131</v>
      </c>
      <c r="J806" s="32">
        <v>29</v>
      </c>
      <c r="P806" s="32">
        <v>107300</v>
      </c>
      <c r="R806" s="32">
        <v>17212</v>
      </c>
      <c r="T806" s="32">
        <v>90088</v>
      </c>
    </row>
    <row r="807" spans="2:20" ht="12.75" hidden="1" x14ac:dyDescent="0.25">
      <c r="B807" s="32">
        <v>42</v>
      </c>
      <c r="F807" s="32" t="s">
        <v>130</v>
      </c>
      <c r="J807" s="32">
        <v>7</v>
      </c>
      <c r="P807" s="32">
        <v>56000</v>
      </c>
      <c r="R807" s="32">
        <v>28700</v>
      </c>
      <c r="T807" s="32">
        <v>27300</v>
      </c>
    </row>
    <row r="808" spans="2:20" ht="12.75" hidden="1" x14ac:dyDescent="0.25">
      <c r="B808" s="32">
        <v>43</v>
      </c>
      <c r="F808" s="32" t="s">
        <v>128</v>
      </c>
      <c r="J808" s="32">
        <v>2</v>
      </c>
      <c r="P808" s="32">
        <v>2300</v>
      </c>
      <c r="R808" s="32">
        <v>340</v>
      </c>
      <c r="T808" s="32">
        <v>1960</v>
      </c>
    </row>
    <row r="809" spans="2:20" ht="12.75" hidden="1" x14ac:dyDescent="0.25">
      <c r="B809" s="32">
        <v>44</v>
      </c>
      <c r="F809" s="32" t="s">
        <v>127</v>
      </c>
      <c r="J809" s="32">
        <v>50</v>
      </c>
      <c r="P809" s="32">
        <v>15000</v>
      </c>
      <c r="R809" s="32">
        <v>4623</v>
      </c>
      <c r="T809" s="32">
        <v>10377</v>
      </c>
    </row>
    <row r="810" spans="2:20" ht="12.75" hidden="1" x14ac:dyDescent="0.25">
      <c r="B810" s="32">
        <v>45</v>
      </c>
      <c r="F810" s="32" t="s">
        <v>126</v>
      </c>
      <c r="J810" s="32">
        <v>36</v>
      </c>
      <c r="P810" s="32">
        <v>7200</v>
      </c>
      <c r="R810" s="32">
        <v>2241</v>
      </c>
      <c r="T810" s="32">
        <v>4959</v>
      </c>
    </row>
    <row r="811" spans="2:20" ht="12.75" hidden="1" x14ac:dyDescent="0.25">
      <c r="B811" s="32">
        <v>46</v>
      </c>
      <c r="F811" s="32" t="s">
        <v>125</v>
      </c>
      <c r="J811" s="32">
        <v>7</v>
      </c>
      <c r="P811" s="32">
        <v>2800</v>
      </c>
      <c r="R811" s="32">
        <v>840</v>
      </c>
      <c r="T811" s="32">
        <v>1960</v>
      </c>
    </row>
    <row r="812" spans="2:20" ht="12.75" hidden="1" x14ac:dyDescent="0.25">
      <c r="B812" s="32">
        <v>47</v>
      </c>
      <c r="F812" s="32" t="s">
        <v>124</v>
      </c>
      <c r="J812" s="32">
        <v>11</v>
      </c>
      <c r="P812" s="32">
        <v>7440</v>
      </c>
      <c r="R812" s="32">
        <v>2200</v>
      </c>
      <c r="T812" s="32">
        <v>5240</v>
      </c>
    </row>
    <row r="813" spans="2:20" ht="12.75" hidden="1" x14ac:dyDescent="0.25">
      <c r="B813" s="32">
        <v>48</v>
      </c>
      <c r="F813" s="32" t="s">
        <v>184</v>
      </c>
      <c r="J813" s="32">
        <v>1</v>
      </c>
      <c r="P813" s="32">
        <v>1080</v>
      </c>
      <c r="R813" s="32">
        <v>160</v>
      </c>
      <c r="T813" s="32">
        <v>920</v>
      </c>
    </row>
    <row r="814" spans="2:20" ht="12.75" hidden="1" x14ac:dyDescent="0.25">
      <c r="B814" s="32">
        <v>49</v>
      </c>
      <c r="F814" s="32" t="s">
        <v>121</v>
      </c>
      <c r="J814" s="32">
        <v>2</v>
      </c>
      <c r="P814" s="32">
        <v>1000</v>
      </c>
      <c r="R814" s="32">
        <v>300</v>
      </c>
      <c r="T814" s="32">
        <v>700</v>
      </c>
    </row>
    <row r="815" spans="2:20" ht="12.75" hidden="1" x14ac:dyDescent="0.25">
      <c r="B815" s="32">
        <v>50</v>
      </c>
      <c r="F815" s="32" t="s">
        <v>120</v>
      </c>
      <c r="J815" s="32">
        <v>1</v>
      </c>
      <c r="P815" s="32">
        <v>350</v>
      </c>
      <c r="R815" s="32">
        <v>60</v>
      </c>
      <c r="T815" s="32">
        <v>290</v>
      </c>
    </row>
    <row r="816" spans="2:20" ht="12.75" hidden="1" x14ac:dyDescent="0.25">
      <c r="B816" s="32">
        <v>51</v>
      </c>
      <c r="F816" s="32" t="s">
        <v>119</v>
      </c>
      <c r="J816" s="32">
        <v>36</v>
      </c>
      <c r="P816" s="32">
        <v>32040</v>
      </c>
      <c r="R816" s="32">
        <v>9986</v>
      </c>
      <c r="T816" s="32">
        <v>22054</v>
      </c>
    </row>
    <row r="817" spans="2:20" ht="12.75" hidden="1" x14ac:dyDescent="0.25">
      <c r="B817" s="32">
        <v>52</v>
      </c>
      <c r="F817" s="32" t="s">
        <v>118</v>
      </c>
      <c r="J817" s="32">
        <v>242</v>
      </c>
      <c r="P817" s="32">
        <v>239580</v>
      </c>
      <c r="R817" s="32">
        <v>81424</v>
      </c>
      <c r="T817" s="32">
        <v>158156</v>
      </c>
    </row>
    <row r="818" spans="2:20" ht="12.75" hidden="1" x14ac:dyDescent="0.25">
      <c r="B818" s="32">
        <v>53</v>
      </c>
      <c r="F818" s="32" t="s">
        <v>115</v>
      </c>
      <c r="J818" s="32">
        <v>41</v>
      </c>
      <c r="P818" s="32">
        <v>11890</v>
      </c>
      <c r="R818" s="32">
        <v>3866</v>
      </c>
      <c r="T818" s="32">
        <v>8024</v>
      </c>
    </row>
    <row r="819" spans="2:20" ht="12.75" hidden="1" x14ac:dyDescent="0.25">
      <c r="B819" s="32">
        <v>54</v>
      </c>
      <c r="F819" s="32" t="s">
        <v>171</v>
      </c>
      <c r="J819" s="32">
        <v>1</v>
      </c>
      <c r="P819" s="32">
        <v>530</v>
      </c>
      <c r="R819" s="32">
        <v>160</v>
      </c>
      <c r="T819" s="32">
        <v>370</v>
      </c>
    </row>
    <row r="820" spans="2:20" ht="12.75" hidden="1" x14ac:dyDescent="0.25">
      <c r="B820" s="32">
        <v>55</v>
      </c>
      <c r="F820" s="32" t="s">
        <v>111</v>
      </c>
      <c r="J820" s="32">
        <v>4</v>
      </c>
      <c r="P820" s="32">
        <v>1720</v>
      </c>
      <c r="R820" s="32">
        <v>520</v>
      </c>
      <c r="T820" s="32">
        <v>1200</v>
      </c>
    </row>
    <row r="821" spans="2:20" ht="12.75" hidden="1" x14ac:dyDescent="0.25">
      <c r="B821" s="32">
        <v>56</v>
      </c>
      <c r="F821" s="32" t="s">
        <v>257</v>
      </c>
      <c r="J821" s="32">
        <v>1</v>
      </c>
      <c r="P821" s="32">
        <v>990</v>
      </c>
      <c r="R821" s="32">
        <v>150</v>
      </c>
      <c r="T821" s="32">
        <v>840</v>
      </c>
    </row>
    <row r="822" spans="2:20" ht="12.75" hidden="1" x14ac:dyDescent="0.25">
      <c r="B822" s="32">
        <v>57</v>
      </c>
      <c r="F822" s="32" t="s">
        <v>109</v>
      </c>
      <c r="J822" s="32">
        <v>3</v>
      </c>
      <c r="P822" s="32">
        <v>2340</v>
      </c>
      <c r="R822" s="32">
        <v>690</v>
      </c>
      <c r="T822" s="32">
        <v>1650</v>
      </c>
    </row>
    <row r="823" spans="2:20" ht="12.75" hidden="1" x14ac:dyDescent="0.25">
      <c r="B823" s="32">
        <v>58</v>
      </c>
      <c r="F823" s="32" t="s">
        <v>108</v>
      </c>
      <c r="J823" s="32">
        <v>36</v>
      </c>
      <c r="P823" s="32">
        <v>3600</v>
      </c>
      <c r="R823" s="32">
        <v>180</v>
      </c>
      <c r="T823" s="32">
        <v>3420</v>
      </c>
    </row>
    <row r="824" spans="2:20" ht="12.75" hidden="1" x14ac:dyDescent="0.25">
      <c r="B824" s="32">
        <v>59</v>
      </c>
      <c r="F824" s="32" t="s">
        <v>107</v>
      </c>
      <c r="J824" s="32">
        <v>69</v>
      </c>
      <c r="P824" s="32">
        <v>11730</v>
      </c>
      <c r="R824" s="32">
        <v>3522</v>
      </c>
      <c r="T824" s="32">
        <v>8208</v>
      </c>
    </row>
    <row r="825" spans="2:20" ht="12.75" hidden="1" x14ac:dyDescent="0.25">
      <c r="B825" s="32">
        <v>60</v>
      </c>
      <c r="F825" s="32" t="s">
        <v>106</v>
      </c>
      <c r="J825" s="32">
        <v>139</v>
      </c>
      <c r="P825" s="32">
        <v>13900</v>
      </c>
      <c r="R825" s="32">
        <v>4140</v>
      </c>
      <c r="T825" s="32">
        <v>9760</v>
      </c>
    </row>
    <row r="826" spans="2:20" ht="12.75" hidden="1" x14ac:dyDescent="0.25">
      <c r="B826" s="32">
        <v>61</v>
      </c>
      <c r="F826" s="32" t="s">
        <v>105</v>
      </c>
      <c r="J826" s="32">
        <v>2</v>
      </c>
      <c r="P826" s="32">
        <v>2300</v>
      </c>
      <c r="R826" s="32">
        <v>0</v>
      </c>
      <c r="T826" s="32">
        <v>2300</v>
      </c>
    </row>
    <row r="827" spans="2:20" ht="12.75" hidden="1" x14ac:dyDescent="0.25">
      <c r="B827" s="32">
        <v>62</v>
      </c>
      <c r="F827" s="32" t="s">
        <v>103</v>
      </c>
      <c r="J827" s="32">
        <v>36</v>
      </c>
      <c r="P827" s="32">
        <v>11880</v>
      </c>
      <c r="R827" s="32">
        <v>4480</v>
      </c>
      <c r="T827" s="32">
        <v>7400</v>
      </c>
    </row>
    <row r="828" spans="2:20" ht="12.75" hidden="1" x14ac:dyDescent="0.25">
      <c r="B828" s="32">
        <v>63</v>
      </c>
      <c r="F828" s="32" t="s">
        <v>275</v>
      </c>
      <c r="J828" s="32">
        <v>1</v>
      </c>
      <c r="P828" s="32">
        <v>700</v>
      </c>
      <c r="R828" s="32">
        <v>350</v>
      </c>
      <c r="T828" s="32">
        <v>350</v>
      </c>
    </row>
    <row r="829" spans="2:20" ht="12.75" hidden="1" x14ac:dyDescent="0.25">
      <c r="B829" s="32">
        <v>64</v>
      </c>
      <c r="F829" s="32" t="s">
        <v>102</v>
      </c>
      <c r="J829" s="32">
        <v>1</v>
      </c>
      <c r="P829" s="32">
        <v>880</v>
      </c>
      <c r="R829" s="32">
        <v>130</v>
      </c>
      <c r="T829" s="32">
        <v>750</v>
      </c>
    </row>
    <row r="830" spans="2:20" ht="12.75" hidden="1" x14ac:dyDescent="0.25">
      <c r="B830" s="32">
        <v>65</v>
      </c>
      <c r="F830" s="32" t="s">
        <v>179</v>
      </c>
      <c r="J830" s="32">
        <v>2</v>
      </c>
      <c r="P830" s="32">
        <v>1760</v>
      </c>
      <c r="R830" s="32">
        <v>260</v>
      </c>
      <c r="T830" s="32">
        <v>1500</v>
      </c>
    </row>
    <row r="831" spans="2:20" ht="12.75" hidden="1" x14ac:dyDescent="0.25">
      <c r="B831" s="32">
        <v>66</v>
      </c>
      <c r="F831" s="32" t="s">
        <v>100</v>
      </c>
      <c r="J831" s="32">
        <v>3</v>
      </c>
      <c r="P831" s="32">
        <v>540</v>
      </c>
      <c r="R831" s="32">
        <v>150</v>
      </c>
      <c r="T831" s="32">
        <v>390</v>
      </c>
    </row>
    <row r="832" spans="2:20" ht="12.75" hidden="1" x14ac:dyDescent="0.25">
      <c r="B832" s="32">
        <v>67</v>
      </c>
      <c r="F832" s="32" t="s">
        <v>178</v>
      </c>
      <c r="J832" s="32">
        <v>3</v>
      </c>
      <c r="P832" s="32">
        <v>4950</v>
      </c>
      <c r="R832" s="32">
        <v>0</v>
      </c>
      <c r="T832" s="32">
        <v>4950</v>
      </c>
    </row>
    <row r="833" spans="2:20" ht="12.75" hidden="1" x14ac:dyDescent="0.25">
      <c r="B833" s="32">
        <v>68</v>
      </c>
      <c r="F833" s="32" t="s">
        <v>99</v>
      </c>
      <c r="J833" s="32">
        <v>3</v>
      </c>
      <c r="P833" s="32">
        <v>1770</v>
      </c>
      <c r="R833" s="32">
        <v>270</v>
      </c>
      <c r="T833" s="32">
        <v>1500</v>
      </c>
    </row>
    <row r="834" spans="2:20" ht="12.75" hidden="1" x14ac:dyDescent="0.25">
      <c r="B834" s="32">
        <v>69</v>
      </c>
      <c r="F834" s="32" t="s">
        <v>98</v>
      </c>
      <c r="J834" s="32">
        <v>3</v>
      </c>
      <c r="P834" s="32">
        <v>1710</v>
      </c>
      <c r="R834" s="32">
        <v>240</v>
      </c>
      <c r="T834" s="32">
        <v>1470</v>
      </c>
    </row>
    <row r="835" spans="2:20" ht="12.75" hidden="1" x14ac:dyDescent="0.25">
      <c r="B835" s="32">
        <v>70</v>
      </c>
      <c r="F835" s="32" t="s">
        <v>97</v>
      </c>
      <c r="J835" s="32">
        <v>7</v>
      </c>
      <c r="P835" s="32">
        <v>11130</v>
      </c>
      <c r="R835" s="32">
        <v>1758</v>
      </c>
      <c r="T835" s="32">
        <v>9372</v>
      </c>
    </row>
    <row r="836" spans="2:20" ht="12.75" hidden="1" x14ac:dyDescent="0.25">
      <c r="B836" s="32">
        <v>71</v>
      </c>
      <c r="F836" s="32" t="s">
        <v>253</v>
      </c>
      <c r="J836" s="32">
        <v>1</v>
      </c>
      <c r="P836" s="32">
        <v>290</v>
      </c>
      <c r="R836" s="32">
        <v>130</v>
      </c>
      <c r="T836" s="32">
        <v>160</v>
      </c>
    </row>
    <row r="837" spans="2:20" ht="12.75" hidden="1" x14ac:dyDescent="0.25">
      <c r="B837" s="32">
        <v>72</v>
      </c>
      <c r="F837" s="32" t="s">
        <v>93</v>
      </c>
      <c r="J837" s="32">
        <v>11</v>
      </c>
      <c r="P837" s="32">
        <v>6490</v>
      </c>
      <c r="R837" s="32">
        <v>990</v>
      </c>
      <c r="T837" s="32">
        <v>5500</v>
      </c>
    </row>
    <row r="838" spans="2:20" ht="12.75" hidden="1" x14ac:dyDescent="0.25">
      <c r="B838" s="32">
        <v>73</v>
      </c>
      <c r="F838" s="32" t="s">
        <v>92</v>
      </c>
      <c r="J838" s="32">
        <v>87</v>
      </c>
      <c r="P838" s="32">
        <v>70840</v>
      </c>
      <c r="R838" s="32">
        <v>20832</v>
      </c>
      <c r="T838" s="32">
        <v>50008</v>
      </c>
    </row>
    <row r="839" spans="2:20" ht="12.75" hidden="1" x14ac:dyDescent="0.25">
      <c r="B839" s="32">
        <v>74</v>
      </c>
      <c r="F839" s="32" t="s">
        <v>91</v>
      </c>
      <c r="J839" s="32">
        <v>44</v>
      </c>
      <c r="P839" s="32">
        <v>11000</v>
      </c>
      <c r="R839" s="32">
        <v>3080</v>
      </c>
      <c r="T839" s="32">
        <v>7920</v>
      </c>
    </row>
    <row r="840" spans="2:20" ht="12.75" hidden="1" x14ac:dyDescent="0.25">
      <c r="B840" s="32">
        <v>75</v>
      </c>
      <c r="F840" s="32" t="s">
        <v>90</v>
      </c>
      <c r="J840" s="32">
        <v>22</v>
      </c>
      <c r="P840" s="32">
        <v>6380</v>
      </c>
      <c r="R840" s="32">
        <v>1760</v>
      </c>
      <c r="T840" s="32">
        <v>4620</v>
      </c>
    </row>
    <row r="841" spans="2:20" ht="12.75" hidden="1" x14ac:dyDescent="0.25">
      <c r="B841" s="32">
        <v>76</v>
      </c>
      <c r="F841" s="32" t="s">
        <v>89</v>
      </c>
      <c r="J841" s="32">
        <v>5</v>
      </c>
      <c r="P841" s="32">
        <v>4400</v>
      </c>
      <c r="R841" s="32">
        <v>650</v>
      </c>
      <c r="T841" s="32">
        <v>3750</v>
      </c>
    </row>
    <row r="842" spans="2:20" ht="12.75" hidden="1" x14ac:dyDescent="0.25">
      <c r="B842" s="32">
        <v>77</v>
      </c>
      <c r="F842" s="32" t="s">
        <v>88</v>
      </c>
      <c r="J842" s="32">
        <v>61</v>
      </c>
      <c r="P842" s="32">
        <v>10980</v>
      </c>
      <c r="R842" s="32">
        <v>3464</v>
      </c>
      <c r="T842" s="32">
        <v>7516</v>
      </c>
    </row>
    <row r="843" spans="2:20" ht="12.75" hidden="1" x14ac:dyDescent="0.25">
      <c r="B843" s="32">
        <v>78</v>
      </c>
      <c r="F843" s="32" t="s">
        <v>87</v>
      </c>
      <c r="J843" s="32">
        <v>1</v>
      </c>
      <c r="P843" s="32">
        <v>290</v>
      </c>
      <c r="R843" s="32">
        <v>80</v>
      </c>
      <c r="T843" s="32">
        <v>210</v>
      </c>
    </row>
    <row r="844" spans="2:20" ht="12.75" hidden="1" x14ac:dyDescent="0.25">
      <c r="B844" s="32">
        <v>79</v>
      </c>
      <c r="F844" s="32" t="s">
        <v>86</v>
      </c>
      <c r="J844" s="32">
        <v>3</v>
      </c>
      <c r="P844" s="32">
        <v>3420</v>
      </c>
      <c r="R844" s="32">
        <v>510</v>
      </c>
      <c r="T844" s="32">
        <v>2910</v>
      </c>
    </row>
    <row r="845" spans="2:20" ht="12.75" hidden="1" x14ac:dyDescent="0.25">
      <c r="B845" s="32">
        <v>80</v>
      </c>
      <c r="F845" s="32" t="s">
        <v>85</v>
      </c>
      <c r="J845" s="32">
        <v>5</v>
      </c>
      <c r="P845" s="32">
        <v>10400</v>
      </c>
      <c r="R845" s="32">
        <v>1550</v>
      </c>
      <c r="T845" s="32">
        <v>8850</v>
      </c>
    </row>
    <row r="846" spans="2:20" ht="12.75" hidden="1" x14ac:dyDescent="0.25">
      <c r="B846" s="32">
        <v>81</v>
      </c>
      <c r="F846" s="32" t="s">
        <v>84</v>
      </c>
      <c r="J846" s="32">
        <v>28</v>
      </c>
      <c r="P846" s="32">
        <v>16520</v>
      </c>
      <c r="R846" s="32">
        <v>4978</v>
      </c>
      <c r="T846" s="32">
        <v>11542</v>
      </c>
    </row>
    <row r="847" spans="2:20" ht="12.75" hidden="1" x14ac:dyDescent="0.25">
      <c r="B847" s="32">
        <v>82</v>
      </c>
      <c r="F847" s="32" t="s">
        <v>83</v>
      </c>
      <c r="J847" s="32">
        <v>1</v>
      </c>
      <c r="P847" s="32">
        <v>500</v>
      </c>
      <c r="R847" s="32">
        <v>150</v>
      </c>
      <c r="T847" s="32">
        <v>350</v>
      </c>
    </row>
    <row r="848" spans="2:20" ht="12.75" hidden="1" x14ac:dyDescent="0.25">
      <c r="B848" s="32">
        <v>83</v>
      </c>
      <c r="F848" s="32" t="s">
        <v>82</v>
      </c>
      <c r="J848" s="32">
        <v>29</v>
      </c>
      <c r="P848" s="32">
        <v>8410</v>
      </c>
      <c r="R848" s="32">
        <v>8410</v>
      </c>
      <c r="T848" s="32">
        <v>0</v>
      </c>
    </row>
    <row r="849" spans="1:20" ht="12.75" hidden="1" x14ac:dyDescent="0.25">
      <c r="B849" s="32">
        <v>84</v>
      </c>
      <c r="F849" s="32" t="s">
        <v>81</v>
      </c>
      <c r="J849" s="32">
        <v>29</v>
      </c>
      <c r="P849" s="32">
        <v>8410</v>
      </c>
      <c r="R849" s="32">
        <v>2320</v>
      </c>
      <c r="T849" s="32">
        <v>6090</v>
      </c>
    </row>
    <row r="850" spans="1:20" ht="12.75" hidden="1" x14ac:dyDescent="0.25">
      <c r="A850" s="32" t="s">
        <v>436</v>
      </c>
      <c r="K850" s="32">
        <v>1009</v>
      </c>
      <c r="P850" s="32">
        <v>1862070</v>
      </c>
      <c r="R850" s="32">
        <v>1861120</v>
      </c>
      <c r="T850" s="32">
        <v>950</v>
      </c>
    </row>
    <row r="851" spans="1:20" ht="12.75" hidden="1" x14ac:dyDescent="0.25">
      <c r="B851" s="32">
        <v>1</v>
      </c>
      <c r="F851" s="32" t="s">
        <v>78</v>
      </c>
      <c r="J851" s="32">
        <v>68</v>
      </c>
      <c r="P851" s="32">
        <v>19720</v>
      </c>
      <c r="R851" s="32">
        <v>19720</v>
      </c>
      <c r="T851" s="32">
        <v>0</v>
      </c>
    </row>
    <row r="852" spans="1:20" ht="12.75" hidden="1" x14ac:dyDescent="0.25">
      <c r="B852" s="32">
        <v>2</v>
      </c>
      <c r="F852" s="32" t="s">
        <v>196</v>
      </c>
      <c r="J852" s="32">
        <v>1</v>
      </c>
      <c r="P852" s="32">
        <v>700</v>
      </c>
      <c r="R852" s="32">
        <v>350</v>
      </c>
      <c r="T852" s="32">
        <v>350</v>
      </c>
    </row>
    <row r="853" spans="1:20" ht="12.75" hidden="1" x14ac:dyDescent="0.25">
      <c r="B853" s="32">
        <v>3</v>
      </c>
      <c r="F853" s="32" t="s">
        <v>77</v>
      </c>
      <c r="J853" s="32">
        <v>242</v>
      </c>
      <c r="P853" s="32">
        <v>100000</v>
      </c>
      <c r="R853" s="32">
        <v>100000</v>
      </c>
      <c r="T853" s="32">
        <v>0</v>
      </c>
    </row>
    <row r="854" spans="1:20" ht="12.75" hidden="1" x14ac:dyDescent="0.25">
      <c r="B854" s="32">
        <v>4</v>
      </c>
      <c r="F854" s="32" t="s">
        <v>75</v>
      </c>
      <c r="J854" s="32">
        <v>696</v>
      </c>
      <c r="P854" s="32">
        <v>1740000</v>
      </c>
      <c r="R854" s="32">
        <v>1740000</v>
      </c>
      <c r="T854" s="32">
        <v>0</v>
      </c>
    </row>
    <row r="855" spans="1:20" ht="12.75" hidden="1" x14ac:dyDescent="0.25">
      <c r="B855" s="32">
        <v>5</v>
      </c>
      <c r="F855" s="32" t="s">
        <v>74</v>
      </c>
      <c r="J855" s="32">
        <v>1</v>
      </c>
      <c r="P855" s="32">
        <v>850</v>
      </c>
      <c r="R855" s="32">
        <v>850</v>
      </c>
      <c r="T855" s="32">
        <v>0</v>
      </c>
    </row>
    <row r="856" spans="1:20" ht="12.75" hidden="1" x14ac:dyDescent="0.25">
      <c r="B856" s="32">
        <v>6</v>
      </c>
      <c r="F856" s="32" t="s">
        <v>116</v>
      </c>
      <c r="J856" s="32">
        <v>1</v>
      </c>
      <c r="P856" s="32">
        <v>800</v>
      </c>
      <c r="R856" s="32">
        <v>200</v>
      </c>
      <c r="T856" s="32">
        <v>600</v>
      </c>
    </row>
    <row r="857" spans="1:20" ht="12.75" hidden="1" x14ac:dyDescent="0.25">
      <c r="T857" s="32"/>
    </row>
    <row r="858" spans="1:20" ht="12.75" hidden="1" x14ac:dyDescent="0.25">
      <c r="A858" s="32" t="s">
        <v>435</v>
      </c>
      <c r="K858" s="32">
        <v>7084</v>
      </c>
      <c r="P858" s="32">
        <v>6153250</v>
      </c>
      <c r="R858" s="32">
        <v>5367649</v>
      </c>
      <c r="T858" s="32">
        <v>785601</v>
      </c>
    </row>
    <row r="859" spans="1:20" ht="12.75" hidden="1" x14ac:dyDescent="0.25">
      <c r="B859" s="32">
        <v>1</v>
      </c>
      <c r="F859" s="32" t="s">
        <v>168</v>
      </c>
      <c r="J859" s="32">
        <v>1</v>
      </c>
      <c r="P859" s="32">
        <v>2200</v>
      </c>
      <c r="R859" s="32">
        <v>330</v>
      </c>
      <c r="T859" s="32">
        <v>1870</v>
      </c>
    </row>
    <row r="860" spans="1:20" ht="12.75" hidden="1" x14ac:dyDescent="0.25">
      <c r="B860" s="32">
        <v>2</v>
      </c>
      <c r="F860" s="32" t="s">
        <v>78</v>
      </c>
      <c r="J860" s="32">
        <v>227</v>
      </c>
      <c r="P860" s="32">
        <v>65830</v>
      </c>
      <c r="R860" s="32">
        <v>65830</v>
      </c>
      <c r="T860" s="32">
        <v>0</v>
      </c>
    </row>
    <row r="861" spans="1:20" ht="12.75" hidden="1" x14ac:dyDescent="0.25">
      <c r="B861" s="32">
        <v>3</v>
      </c>
      <c r="F861" s="32" t="s">
        <v>268</v>
      </c>
      <c r="J861" s="32">
        <v>2</v>
      </c>
      <c r="P861" s="32">
        <v>500</v>
      </c>
      <c r="R861" s="32">
        <v>140</v>
      </c>
      <c r="T861" s="32">
        <v>360</v>
      </c>
    </row>
    <row r="862" spans="1:20" ht="12.75" hidden="1" x14ac:dyDescent="0.25">
      <c r="B862" s="32">
        <v>4</v>
      </c>
      <c r="F862" s="32" t="s">
        <v>199</v>
      </c>
      <c r="J862" s="32">
        <v>1</v>
      </c>
      <c r="P862" s="32">
        <v>290</v>
      </c>
      <c r="R862" s="32">
        <v>100</v>
      </c>
      <c r="T862" s="32">
        <v>190</v>
      </c>
    </row>
    <row r="863" spans="1:20" ht="12.75" hidden="1" x14ac:dyDescent="0.25">
      <c r="B863" s="32">
        <v>5</v>
      </c>
      <c r="F863" s="32" t="s">
        <v>329</v>
      </c>
      <c r="J863" s="32">
        <v>1</v>
      </c>
      <c r="P863" s="32">
        <v>1200</v>
      </c>
      <c r="R863" s="32">
        <v>180</v>
      </c>
      <c r="T863" s="32">
        <v>1020</v>
      </c>
    </row>
    <row r="864" spans="1:20" ht="12.75" hidden="1" x14ac:dyDescent="0.25">
      <c r="B864" s="32">
        <v>6</v>
      </c>
      <c r="F864" s="32" t="s">
        <v>248</v>
      </c>
      <c r="J864" s="32">
        <v>1</v>
      </c>
      <c r="P864" s="32">
        <v>1200</v>
      </c>
      <c r="R864" s="32">
        <v>180</v>
      </c>
      <c r="T864" s="32">
        <v>1020</v>
      </c>
    </row>
    <row r="865" spans="2:20" ht="12.75" hidden="1" x14ac:dyDescent="0.25">
      <c r="B865" s="32">
        <v>7</v>
      </c>
      <c r="F865" s="32" t="s">
        <v>165</v>
      </c>
      <c r="J865" s="32">
        <v>1</v>
      </c>
      <c r="P865" s="32">
        <v>590</v>
      </c>
      <c r="R865" s="32">
        <v>180</v>
      </c>
      <c r="T865" s="32">
        <v>410</v>
      </c>
    </row>
    <row r="866" spans="2:20" ht="12.75" hidden="1" x14ac:dyDescent="0.25">
      <c r="B866" s="32">
        <v>8</v>
      </c>
      <c r="F866" s="32" t="s">
        <v>162</v>
      </c>
      <c r="J866" s="32">
        <v>6</v>
      </c>
      <c r="P866" s="32">
        <v>2580</v>
      </c>
      <c r="R866" s="32">
        <v>1287</v>
      </c>
      <c r="T866" s="32">
        <v>1293</v>
      </c>
    </row>
    <row r="867" spans="2:20" ht="12.75" hidden="1" x14ac:dyDescent="0.25">
      <c r="B867" s="32">
        <v>9</v>
      </c>
      <c r="F867" s="32" t="s">
        <v>198</v>
      </c>
      <c r="J867" s="32">
        <v>2</v>
      </c>
      <c r="P867" s="32">
        <v>580</v>
      </c>
      <c r="R867" s="32">
        <v>160</v>
      </c>
      <c r="T867" s="32">
        <v>420</v>
      </c>
    </row>
    <row r="868" spans="2:20" ht="12.75" hidden="1" x14ac:dyDescent="0.25">
      <c r="B868" s="32">
        <v>10</v>
      </c>
      <c r="F868" s="32" t="s">
        <v>160</v>
      </c>
      <c r="J868" s="32">
        <v>5</v>
      </c>
      <c r="P868" s="32">
        <v>1450</v>
      </c>
      <c r="R868" s="32">
        <v>320</v>
      </c>
      <c r="T868" s="32">
        <v>1130</v>
      </c>
    </row>
    <row r="869" spans="2:20" ht="12.75" hidden="1" x14ac:dyDescent="0.25">
      <c r="B869" s="32">
        <v>11</v>
      </c>
      <c r="F869" s="32" t="s">
        <v>158</v>
      </c>
      <c r="J869" s="32">
        <v>253</v>
      </c>
      <c r="P869" s="32">
        <v>139150</v>
      </c>
      <c r="R869" s="32">
        <v>62186</v>
      </c>
      <c r="T869" s="32">
        <v>76964</v>
      </c>
    </row>
    <row r="870" spans="2:20" ht="12.75" hidden="1" x14ac:dyDescent="0.25">
      <c r="B870" s="32">
        <v>12</v>
      </c>
      <c r="F870" s="32" t="s">
        <v>157</v>
      </c>
      <c r="J870" s="32">
        <v>437</v>
      </c>
      <c r="P870" s="32">
        <v>214130</v>
      </c>
      <c r="R870" s="32">
        <v>91738</v>
      </c>
      <c r="T870" s="32">
        <v>122392</v>
      </c>
    </row>
    <row r="871" spans="2:20" ht="12.75" hidden="1" x14ac:dyDescent="0.25">
      <c r="B871" s="32">
        <v>13</v>
      </c>
      <c r="F871" s="32" t="s">
        <v>293</v>
      </c>
      <c r="J871" s="32">
        <v>1</v>
      </c>
      <c r="P871" s="32">
        <v>700</v>
      </c>
      <c r="R871" s="32">
        <v>180</v>
      </c>
      <c r="T871" s="32">
        <v>520</v>
      </c>
    </row>
    <row r="872" spans="2:20" ht="12.75" hidden="1" x14ac:dyDescent="0.25">
      <c r="B872" s="32">
        <v>14</v>
      </c>
      <c r="F872" s="32" t="s">
        <v>196</v>
      </c>
      <c r="J872" s="32">
        <v>1</v>
      </c>
      <c r="P872" s="32">
        <v>700</v>
      </c>
      <c r="R872" s="32">
        <v>0</v>
      </c>
      <c r="T872" s="32">
        <v>700</v>
      </c>
    </row>
    <row r="873" spans="2:20" ht="12.75" hidden="1" x14ac:dyDescent="0.25">
      <c r="B873" s="32">
        <v>15</v>
      </c>
      <c r="F873" s="32" t="s">
        <v>244</v>
      </c>
      <c r="J873" s="32">
        <v>1</v>
      </c>
      <c r="P873" s="32">
        <v>300</v>
      </c>
      <c r="R873" s="32">
        <v>80</v>
      </c>
      <c r="T873" s="32">
        <v>220</v>
      </c>
    </row>
    <row r="874" spans="2:20" ht="12.75" hidden="1" x14ac:dyDescent="0.25">
      <c r="B874" s="32">
        <v>16</v>
      </c>
      <c r="F874" s="32" t="s">
        <v>77</v>
      </c>
      <c r="J874" s="32">
        <v>2791</v>
      </c>
      <c r="P874" s="32">
        <v>1131600</v>
      </c>
      <c r="R874" s="32">
        <v>1131600</v>
      </c>
      <c r="T874" s="32">
        <v>0</v>
      </c>
    </row>
    <row r="875" spans="2:20" ht="12.75" hidden="1" x14ac:dyDescent="0.25">
      <c r="B875" s="32">
        <v>17</v>
      </c>
      <c r="F875" s="32" t="s">
        <v>343</v>
      </c>
      <c r="J875" s="32">
        <v>3</v>
      </c>
      <c r="P875" s="32">
        <v>630</v>
      </c>
      <c r="R875" s="32">
        <v>189</v>
      </c>
      <c r="T875" s="32">
        <v>441</v>
      </c>
    </row>
    <row r="876" spans="2:20" ht="12.75" hidden="1" x14ac:dyDescent="0.25">
      <c r="B876" s="32">
        <v>18</v>
      </c>
      <c r="F876" s="32" t="s">
        <v>242</v>
      </c>
      <c r="J876" s="32">
        <v>2</v>
      </c>
      <c r="P876" s="32">
        <v>1000</v>
      </c>
      <c r="R876" s="32">
        <v>1000</v>
      </c>
      <c r="T876" s="32">
        <v>0</v>
      </c>
    </row>
    <row r="877" spans="2:20" ht="12.75" hidden="1" x14ac:dyDescent="0.25">
      <c r="B877" s="32">
        <v>19</v>
      </c>
      <c r="F877" s="32" t="s">
        <v>76</v>
      </c>
      <c r="J877" s="32">
        <v>8</v>
      </c>
      <c r="P877" s="32">
        <v>4800</v>
      </c>
      <c r="R877" s="32">
        <v>4800</v>
      </c>
      <c r="T877" s="32">
        <v>0</v>
      </c>
    </row>
    <row r="878" spans="2:20" ht="12.75" hidden="1" x14ac:dyDescent="0.25">
      <c r="B878" s="32">
        <v>20</v>
      </c>
      <c r="F878" s="32" t="s">
        <v>156</v>
      </c>
      <c r="J878" s="32">
        <v>14</v>
      </c>
      <c r="P878" s="32">
        <v>2660</v>
      </c>
      <c r="R878" s="32">
        <v>990</v>
      </c>
      <c r="T878" s="32">
        <v>1670</v>
      </c>
    </row>
    <row r="879" spans="2:20" ht="12.75" hidden="1" x14ac:dyDescent="0.25">
      <c r="B879" s="32">
        <v>21</v>
      </c>
      <c r="F879" s="32" t="s">
        <v>155</v>
      </c>
      <c r="J879" s="32">
        <v>335</v>
      </c>
      <c r="P879" s="32">
        <v>83750</v>
      </c>
      <c r="R879" s="32">
        <v>35582</v>
      </c>
      <c r="T879" s="32">
        <v>48168</v>
      </c>
    </row>
    <row r="880" spans="2:20" ht="12.75" hidden="1" x14ac:dyDescent="0.25">
      <c r="B880" s="32">
        <v>22</v>
      </c>
      <c r="F880" s="32" t="s">
        <v>154</v>
      </c>
      <c r="J880" s="32">
        <v>57</v>
      </c>
      <c r="P880" s="32">
        <v>50730</v>
      </c>
      <c r="R880" s="32">
        <v>7280</v>
      </c>
      <c r="T880" s="32">
        <v>43450</v>
      </c>
    </row>
    <row r="881" spans="2:20" ht="12.75" hidden="1" x14ac:dyDescent="0.25">
      <c r="B881" s="32">
        <v>23</v>
      </c>
      <c r="F881" s="32" t="s">
        <v>153</v>
      </c>
      <c r="J881" s="32">
        <v>1</v>
      </c>
      <c r="P881" s="32">
        <v>1180</v>
      </c>
      <c r="R881" s="32">
        <v>180</v>
      </c>
      <c r="T881" s="32">
        <v>1000</v>
      </c>
    </row>
    <row r="882" spans="2:20" ht="12.75" hidden="1" x14ac:dyDescent="0.25">
      <c r="B882" s="32">
        <v>24</v>
      </c>
      <c r="F882" s="32" t="s">
        <v>320</v>
      </c>
      <c r="J882" s="32">
        <v>2</v>
      </c>
      <c r="P882" s="32">
        <v>1000</v>
      </c>
      <c r="R882" s="32">
        <v>300</v>
      </c>
      <c r="T882" s="32">
        <v>700</v>
      </c>
    </row>
    <row r="883" spans="2:20" ht="12.75" hidden="1" x14ac:dyDescent="0.25">
      <c r="B883" s="32">
        <v>25</v>
      </c>
      <c r="F883" s="32" t="s">
        <v>152</v>
      </c>
      <c r="J883" s="32">
        <v>8</v>
      </c>
      <c r="P883" s="32">
        <v>4720</v>
      </c>
      <c r="R883" s="32">
        <v>1530</v>
      </c>
      <c r="T883" s="32">
        <v>3190</v>
      </c>
    </row>
    <row r="884" spans="2:20" ht="12.75" hidden="1" x14ac:dyDescent="0.25">
      <c r="B884" s="32">
        <v>26</v>
      </c>
      <c r="F884" s="32" t="s">
        <v>150</v>
      </c>
      <c r="J884" s="32">
        <v>9</v>
      </c>
      <c r="P884" s="32">
        <v>1530</v>
      </c>
      <c r="R884" s="32">
        <v>300</v>
      </c>
      <c r="T884" s="32">
        <v>1230</v>
      </c>
    </row>
    <row r="885" spans="2:20" ht="12.75" hidden="1" x14ac:dyDescent="0.25">
      <c r="B885" s="32">
        <v>27</v>
      </c>
      <c r="F885" s="32" t="s">
        <v>149</v>
      </c>
      <c r="J885" s="32">
        <v>27</v>
      </c>
      <c r="P885" s="32">
        <v>1350</v>
      </c>
      <c r="R885" s="32">
        <v>230</v>
      </c>
      <c r="T885" s="32">
        <v>1120</v>
      </c>
    </row>
    <row r="886" spans="2:20" ht="12.75" hidden="1" x14ac:dyDescent="0.25">
      <c r="B886" s="32">
        <v>28</v>
      </c>
      <c r="F886" s="32" t="s">
        <v>236</v>
      </c>
      <c r="J886" s="32">
        <v>1</v>
      </c>
      <c r="P886" s="32">
        <v>800</v>
      </c>
      <c r="R886" s="32">
        <v>200</v>
      </c>
      <c r="T886" s="32">
        <v>600</v>
      </c>
    </row>
    <row r="887" spans="2:20" ht="12.75" hidden="1" x14ac:dyDescent="0.25">
      <c r="B887" s="32">
        <v>29</v>
      </c>
      <c r="F887" s="32" t="s">
        <v>286</v>
      </c>
      <c r="J887" s="32">
        <v>3</v>
      </c>
      <c r="P887" s="32">
        <v>2400</v>
      </c>
      <c r="R887" s="32">
        <v>1350</v>
      </c>
      <c r="T887" s="32">
        <v>1050</v>
      </c>
    </row>
    <row r="888" spans="2:20" ht="12.75" hidden="1" x14ac:dyDescent="0.25">
      <c r="B888" s="32">
        <v>30</v>
      </c>
      <c r="F888" s="32" t="s">
        <v>193</v>
      </c>
      <c r="J888" s="32">
        <v>2</v>
      </c>
      <c r="P888" s="32">
        <v>1780</v>
      </c>
      <c r="R888" s="32">
        <v>260</v>
      </c>
      <c r="T888" s="32">
        <v>1520</v>
      </c>
    </row>
    <row r="889" spans="2:20" ht="12.75" hidden="1" x14ac:dyDescent="0.25">
      <c r="B889" s="32">
        <v>31</v>
      </c>
      <c r="F889" s="32" t="s">
        <v>142</v>
      </c>
      <c r="J889" s="32">
        <v>5</v>
      </c>
      <c r="P889" s="32">
        <v>1750</v>
      </c>
      <c r="R889" s="32">
        <v>750</v>
      </c>
      <c r="T889" s="32">
        <v>1000</v>
      </c>
    </row>
    <row r="890" spans="2:20" ht="12.75" hidden="1" x14ac:dyDescent="0.25">
      <c r="B890" s="32">
        <v>32</v>
      </c>
      <c r="F890" s="32" t="s">
        <v>75</v>
      </c>
      <c r="J890" s="32">
        <v>1463</v>
      </c>
      <c r="P890" s="32">
        <v>3657500</v>
      </c>
      <c r="R890" s="32">
        <v>3657500</v>
      </c>
      <c r="T890" s="32">
        <v>0</v>
      </c>
    </row>
    <row r="891" spans="2:20" ht="12.75" hidden="1" x14ac:dyDescent="0.25">
      <c r="B891" s="32">
        <v>33</v>
      </c>
      <c r="F891" s="32" t="s">
        <v>231</v>
      </c>
      <c r="J891" s="32">
        <v>1</v>
      </c>
      <c r="P891" s="32">
        <v>500</v>
      </c>
      <c r="R891" s="32">
        <v>150</v>
      </c>
      <c r="T891" s="32">
        <v>350</v>
      </c>
    </row>
    <row r="892" spans="2:20" ht="12.75" hidden="1" x14ac:dyDescent="0.25">
      <c r="B892" s="32">
        <v>34</v>
      </c>
      <c r="F892" s="32" t="s">
        <v>313</v>
      </c>
      <c r="J892" s="32">
        <v>1</v>
      </c>
      <c r="P892" s="32">
        <v>800</v>
      </c>
      <c r="R892" s="32">
        <v>450</v>
      </c>
      <c r="T892" s="32">
        <v>350</v>
      </c>
    </row>
    <row r="893" spans="2:20" ht="12.75" hidden="1" x14ac:dyDescent="0.25">
      <c r="B893" s="32">
        <v>35</v>
      </c>
      <c r="F893" s="32" t="s">
        <v>136</v>
      </c>
      <c r="J893" s="32">
        <v>16</v>
      </c>
      <c r="P893" s="32">
        <v>13600</v>
      </c>
      <c r="R893" s="32">
        <v>2470</v>
      </c>
      <c r="T893" s="32">
        <v>11130</v>
      </c>
    </row>
    <row r="894" spans="2:20" ht="12.75" hidden="1" x14ac:dyDescent="0.25">
      <c r="B894" s="32">
        <v>36</v>
      </c>
      <c r="F894" s="32" t="s">
        <v>74</v>
      </c>
      <c r="J894" s="32">
        <v>21</v>
      </c>
      <c r="P894" s="32">
        <v>17850</v>
      </c>
      <c r="R894" s="32">
        <v>17850</v>
      </c>
      <c r="T894" s="32">
        <v>0</v>
      </c>
    </row>
    <row r="895" spans="2:20" ht="12.75" hidden="1" x14ac:dyDescent="0.25">
      <c r="B895" s="32">
        <v>37</v>
      </c>
      <c r="F895" s="32" t="s">
        <v>135</v>
      </c>
      <c r="J895" s="32">
        <v>5</v>
      </c>
      <c r="P895" s="32">
        <v>4750</v>
      </c>
      <c r="R895" s="32">
        <v>1400</v>
      </c>
      <c r="T895" s="32">
        <v>3350</v>
      </c>
    </row>
    <row r="896" spans="2:20" ht="12.75" hidden="1" x14ac:dyDescent="0.25">
      <c r="B896" s="32">
        <v>38</v>
      </c>
      <c r="F896" s="32" t="s">
        <v>285</v>
      </c>
      <c r="J896" s="32">
        <v>2</v>
      </c>
      <c r="P896" s="32">
        <v>7400</v>
      </c>
      <c r="R896" s="32">
        <v>3700</v>
      </c>
      <c r="T896" s="32">
        <v>3700</v>
      </c>
    </row>
    <row r="897" spans="2:20" ht="12.75" hidden="1" x14ac:dyDescent="0.25">
      <c r="B897" s="32">
        <v>39</v>
      </c>
      <c r="F897" s="32" t="s">
        <v>132</v>
      </c>
      <c r="J897" s="32">
        <v>6</v>
      </c>
      <c r="P897" s="32">
        <v>7440</v>
      </c>
      <c r="R897" s="32">
        <v>2220</v>
      </c>
      <c r="T897" s="32">
        <v>5220</v>
      </c>
    </row>
    <row r="898" spans="2:20" ht="12.75" hidden="1" x14ac:dyDescent="0.25">
      <c r="B898" s="32">
        <v>40</v>
      </c>
      <c r="F898" s="32" t="s">
        <v>131</v>
      </c>
      <c r="J898" s="32">
        <v>1</v>
      </c>
      <c r="P898" s="32">
        <v>3700</v>
      </c>
      <c r="R898" s="32">
        <v>0</v>
      </c>
      <c r="T898" s="32">
        <v>3700</v>
      </c>
    </row>
    <row r="899" spans="2:20" ht="12.75" hidden="1" x14ac:dyDescent="0.25">
      <c r="B899" s="32">
        <v>41</v>
      </c>
      <c r="F899" s="32" t="s">
        <v>284</v>
      </c>
      <c r="J899" s="32">
        <v>8</v>
      </c>
      <c r="P899" s="32">
        <v>29600</v>
      </c>
      <c r="R899" s="32">
        <v>14800</v>
      </c>
      <c r="T899" s="32">
        <v>14800</v>
      </c>
    </row>
    <row r="900" spans="2:20" ht="12.75" hidden="1" x14ac:dyDescent="0.25">
      <c r="T900" s="32"/>
    </row>
    <row r="901" spans="2:20" ht="12.75" hidden="1" x14ac:dyDescent="0.25">
      <c r="B901" s="32">
        <v>42</v>
      </c>
      <c r="F901" s="32" t="s">
        <v>130</v>
      </c>
      <c r="J901" s="32">
        <v>4</v>
      </c>
      <c r="P901" s="32">
        <v>32000</v>
      </c>
      <c r="R901" s="32">
        <v>16400</v>
      </c>
      <c r="T901" s="32">
        <v>15600</v>
      </c>
    </row>
    <row r="902" spans="2:20" ht="12.75" hidden="1" x14ac:dyDescent="0.25">
      <c r="B902" s="32">
        <v>43</v>
      </c>
      <c r="F902" s="32" t="s">
        <v>188</v>
      </c>
      <c r="J902" s="32">
        <v>1</v>
      </c>
      <c r="P902" s="32">
        <v>8000</v>
      </c>
      <c r="R902" s="32">
        <v>4000</v>
      </c>
      <c r="T902" s="32">
        <v>4000</v>
      </c>
    </row>
    <row r="903" spans="2:20" ht="12.75" hidden="1" x14ac:dyDescent="0.25">
      <c r="T903" s="32"/>
    </row>
    <row r="904" spans="2:20" ht="12.75" hidden="1" x14ac:dyDescent="0.25">
      <c r="B904" s="32">
        <v>44</v>
      </c>
      <c r="F904" s="32" t="s">
        <v>283</v>
      </c>
      <c r="J904" s="32">
        <v>1</v>
      </c>
      <c r="P904" s="32">
        <v>800</v>
      </c>
      <c r="R904" s="32">
        <v>450</v>
      </c>
      <c r="T904" s="32">
        <v>350</v>
      </c>
    </row>
    <row r="905" spans="2:20" ht="12.75" hidden="1" x14ac:dyDescent="0.25">
      <c r="B905" s="32">
        <v>45</v>
      </c>
      <c r="F905" s="32" t="s">
        <v>128</v>
      </c>
      <c r="J905" s="32">
        <v>3</v>
      </c>
      <c r="P905" s="32">
        <v>3450</v>
      </c>
      <c r="R905" s="32">
        <v>510</v>
      </c>
      <c r="T905" s="32">
        <v>2940</v>
      </c>
    </row>
    <row r="906" spans="2:20" ht="12.75" hidden="1" x14ac:dyDescent="0.25">
      <c r="B906" s="32">
        <v>46</v>
      </c>
      <c r="F906" s="32" t="s">
        <v>127</v>
      </c>
      <c r="J906" s="32">
        <v>150</v>
      </c>
      <c r="P906" s="32">
        <v>45000</v>
      </c>
      <c r="R906" s="32">
        <v>12911</v>
      </c>
      <c r="T906" s="32">
        <v>32089</v>
      </c>
    </row>
    <row r="907" spans="2:20" ht="12.75" hidden="1" x14ac:dyDescent="0.25">
      <c r="B907" s="32">
        <v>47</v>
      </c>
      <c r="F907" s="32" t="s">
        <v>126</v>
      </c>
      <c r="J907" s="32">
        <v>165</v>
      </c>
      <c r="P907" s="32">
        <v>33000</v>
      </c>
      <c r="R907" s="32">
        <v>9567</v>
      </c>
      <c r="T907" s="32">
        <v>23433</v>
      </c>
    </row>
    <row r="908" spans="2:20" ht="12.75" hidden="1" x14ac:dyDescent="0.25">
      <c r="B908" s="32">
        <v>48</v>
      </c>
      <c r="F908" s="32" t="s">
        <v>123</v>
      </c>
      <c r="J908" s="32">
        <v>17</v>
      </c>
      <c r="P908" s="32">
        <v>13260</v>
      </c>
      <c r="R908" s="32">
        <v>3910</v>
      </c>
      <c r="T908" s="32">
        <v>9350</v>
      </c>
    </row>
    <row r="909" spans="2:20" ht="12.75" hidden="1" x14ac:dyDescent="0.25">
      <c r="B909" s="32">
        <v>49</v>
      </c>
      <c r="F909" s="32" t="s">
        <v>227</v>
      </c>
      <c r="J909" s="32">
        <v>1</v>
      </c>
      <c r="P909" s="32">
        <v>500</v>
      </c>
      <c r="R909" s="32">
        <v>0</v>
      </c>
      <c r="T909" s="32">
        <v>500</v>
      </c>
    </row>
    <row r="910" spans="2:20" ht="12.75" hidden="1" x14ac:dyDescent="0.25">
      <c r="B910" s="32">
        <v>50</v>
      </c>
      <c r="F910" s="32" t="s">
        <v>282</v>
      </c>
      <c r="J910" s="32">
        <v>1</v>
      </c>
      <c r="P910" s="32">
        <v>500</v>
      </c>
      <c r="R910" s="32">
        <v>150</v>
      </c>
      <c r="T910" s="32">
        <v>350</v>
      </c>
    </row>
    <row r="911" spans="2:20" ht="12.75" hidden="1" x14ac:dyDescent="0.25">
      <c r="B911" s="32">
        <v>51</v>
      </c>
      <c r="F911" s="32" t="s">
        <v>182</v>
      </c>
      <c r="J911" s="32">
        <v>2</v>
      </c>
      <c r="P911" s="32">
        <v>1580</v>
      </c>
      <c r="R911" s="32">
        <v>240</v>
      </c>
      <c r="T911" s="32">
        <v>1340</v>
      </c>
    </row>
    <row r="912" spans="2:20" ht="12.75" hidden="1" x14ac:dyDescent="0.25">
      <c r="B912" s="32">
        <v>52</v>
      </c>
      <c r="F912" s="32" t="s">
        <v>119</v>
      </c>
      <c r="J912" s="32">
        <v>20</v>
      </c>
      <c r="P912" s="32">
        <v>17800</v>
      </c>
      <c r="R912" s="32">
        <v>4290</v>
      </c>
      <c r="T912" s="32">
        <v>13510</v>
      </c>
    </row>
    <row r="913" spans="2:20" ht="12.75" hidden="1" x14ac:dyDescent="0.25">
      <c r="B913" s="32">
        <v>53</v>
      </c>
      <c r="F913" s="32" t="s">
        <v>118</v>
      </c>
      <c r="J913" s="32">
        <v>332</v>
      </c>
      <c r="P913" s="32">
        <v>328680</v>
      </c>
      <c r="R913" s="32">
        <v>141170</v>
      </c>
      <c r="T913" s="32">
        <v>187510</v>
      </c>
    </row>
    <row r="914" spans="2:20" ht="12.75" hidden="1" x14ac:dyDescent="0.25">
      <c r="B914" s="32">
        <v>54</v>
      </c>
      <c r="F914" s="32" t="s">
        <v>117</v>
      </c>
      <c r="J914" s="32">
        <v>1</v>
      </c>
      <c r="P914" s="32">
        <v>800</v>
      </c>
      <c r="R914" s="32">
        <v>200</v>
      </c>
      <c r="T914" s="32">
        <v>600</v>
      </c>
    </row>
    <row r="915" spans="2:20" ht="12.75" hidden="1" x14ac:dyDescent="0.25">
      <c r="B915" s="32">
        <v>55</v>
      </c>
      <c r="F915" s="32" t="s">
        <v>116</v>
      </c>
      <c r="J915" s="32">
        <v>1</v>
      </c>
      <c r="P915" s="32">
        <v>800</v>
      </c>
      <c r="R915" s="32">
        <v>200</v>
      </c>
      <c r="T915" s="32">
        <v>600</v>
      </c>
    </row>
    <row r="916" spans="2:20" ht="12.75" hidden="1" x14ac:dyDescent="0.25">
      <c r="T916" s="32"/>
    </row>
    <row r="917" spans="2:20" ht="12.75" hidden="1" x14ac:dyDescent="0.25">
      <c r="B917" s="32">
        <v>56</v>
      </c>
      <c r="F917" s="32" t="s">
        <v>115</v>
      </c>
      <c r="J917" s="32">
        <v>5</v>
      </c>
      <c r="P917" s="32">
        <v>1450</v>
      </c>
      <c r="R917" s="32">
        <v>350</v>
      </c>
      <c r="T917" s="32">
        <v>1100</v>
      </c>
    </row>
    <row r="918" spans="2:20" ht="12.75" hidden="1" x14ac:dyDescent="0.25">
      <c r="B918" s="32">
        <v>57</v>
      </c>
      <c r="F918" s="32" t="s">
        <v>280</v>
      </c>
      <c r="J918" s="32">
        <v>1</v>
      </c>
      <c r="P918" s="32">
        <v>700</v>
      </c>
      <c r="R918" s="32">
        <v>350</v>
      </c>
      <c r="T918" s="32">
        <v>350</v>
      </c>
    </row>
    <row r="919" spans="2:20" ht="12.75" hidden="1" x14ac:dyDescent="0.25">
      <c r="B919" s="32">
        <v>58</v>
      </c>
      <c r="F919" s="32" t="s">
        <v>300</v>
      </c>
      <c r="J919" s="32">
        <v>1</v>
      </c>
      <c r="P919" s="32">
        <v>330</v>
      </c>
      <c r="R919" s="32">
        <v>140</v>
      </c>
      <c r="T919" s="32">
        <v>190</v>
      </c>
    </row>
    <row r="920" spans="2:20" ht="12.75" hidden="1" x14ac:dyDescent="0.25">
      <c r="B920" s="32">
        <v>59</v>
      </c>
      <c r="F920" s="32" t="s">
        <v>221</v>
      </c>
      <c r="J920" s="32">
        <v>1</v>
      </c>
      <c r="P920" s="32">
        <v>990</v>
      </c>
      <c r="R920" s="32">
        <v>300</v>
      </c>
      <c r="T920" s="32">
        <v>690</v>
      </c>
    </row>
    <row r="921" spans="2:20" ht="12.75" hidden="1" x14ac:dyDescent="0.25">
      <c r="B921" s="32">
        <v>60</v>
      </c>
      <c r="F921" s="32" t="s">
        <v>181</v>
      </c>
      <c r="J921" s="32">
        <v>3</v>
      </c>
      <c r="P921" s="32">
        <v>2370</v>
      </c>
      <c r="R921" s="32">
        <v>360</v>
      </c>
      <c r="T921" s="32">
        <v>2010</v>
      </c>
    </row>
    <row r="922" spans="2:20" ht="12.75" hidden="1" x14ac:dyDescent="0.25">
      <c r="B922" s="32">
        <v>61</v>
      </c>
      <c r="F922" s="32" t="s">
        <v>171</v>
      </c>
      <c r="J922" s="32">
        <v>2</v>
      </c>
      <c r="P922" s="32">
        <v>1060</v>
      </c>
      <c r="R922" s="32">
        <v>160</v>
      </c>
      <c r="T922" s="32">
        <v>900</v>
      </c>
    </row>
    <row r="923" spans="2:20" ht="12.75" hidden="1" x14ac:dyDescent="0.25">
      <c r="B923" s="32">
        <v>62</v>
      </c>
      <c r="F923" s="32" t="s">
        <v>111</v>
      </c>
      <c r="J923" s="32">
        <v>4</v>
      </c>
      <c r="P923" s="32">
        <v>1720</v>
      </c>
      <c r="R923" s="32">
        <v>390</v>
      </c>
      <c r="T923" s="32">
        <v>1330</v>
      </c>
    </row>
    <row r="924" spans="2:20" ht="12.75" hidden="1" x14ac:dyDescent="0.25">
      <c r="B924" s="32">
        <v>63</v>
      </c>
      <c r="F924" s="32" t="s">
        <v>257</v>
      </c>
      <c r="J924" s="32">
        <v>2</v>
      </c>
      <c r="P924" s="32">
        <v>1980</v>
      </c>
      <c r="R924" s="32">
        <v>150</v>
      </c>
      <c r="T924" s="32">
        <v>1830</v>
      </c>
    </row>
    <row r="925" spans="2:20" ht="12.75" hidden="1" x14ac:dyDescent="0.25">
      <c r="B925" s="32">
        <v>64</v>
      </c>
      <c r="F925" s="32" t="s">
        <v>109</v>
      </c>
      <c r="J925" s="32">
        <v>3</v>
      </c>
      <c r="P925" s="32">
        <v>2340</v>
      </c>
      <c r="R925" s="32">
        <v>460</v>
      </c>
      <c r="T925" s="32">
        <v>1880</v>
      </c>
    </row>
    <row r="926" spans="2:20" ht="12.75" hidden="1" x14ac:dyDescent="0.25">
      <c r="B926" s="32">
        <v>65</v>
      </c>
      <c r="F926" s="32" t="s">
        <v>108</v>
      </c>
      <c r="J926" s="32">
        <v>3</v>
      </c>
      <c r="P926" s="32">
        <v>300</v>
      </c>
      <c r="R926" s="32">
        <v>0</v>
      </c>
      <c r="T926" s="32">
        <v>300</v>
      </c>
    </row>
    <row r="927" spans="2:20" ht="12.75" hidden="1" x14ac:dyDescent="0.25">
      <c r="B927" s="32">
        <v>66</v>
      </c>
      <c r="F927" s="32" t="s">
        <v>107</v>
      </c>
      <c r="J927" s="32">
        <v>68</v>
      </c>
      <c r="P927" s="32">
        <v>11560</v>
      </c>
      <c r="R927" s="32">
        <v>3024</v>
      </c>
      <c r="T927" s="32">
        <v>8536</v>
      </c>
    </row>
    <row r="928" spans="2:20" ht="12.75" hidden="1" x14ac:dyDescent="0.25">
      <c r="B928" s="32">
        <v>67</v>
      </c>
      <c r="F928" s="32" t="s">
        <v>105</v>
      </c>
      <c r="J928" s="32">
        <v>2</v>
      </c>
      <c r="P928" s="32">
        <v>2300</v>
      </c>
      <c r="R928" s="32">
        <v>0</v>
      </c>
      <c r="T928" s="32">
        <v>2300</v>
      </c>
    </row>
    <row r="929" spans="2:20" ht="12.75" hidden="1" x14ac:dyDescent="0.25">
      <c r="B929" s="32">
        <v>68</v>
      </c>
      <c r="F929" s="32" t="s">
        <v>103</v>
      </c>
      <c r="J929" s="32">
        <v>31</v>
      </c>
      <c r="P929" s="32">
        <v>10230</v>
      </c>
      <c r="R929" s="32">
        <v>3200</v>
      </c>
      <c r="T929" s="32">
        <v>7030</v>
      </c>
    </row>
    <row r="930" spans="2:20" ht="12.75" hidden="1" x14ac:dyDescent="0.25">
      <c r="B930" s="32">
        <v>69</v>
      </c>
      <c r="F930" s="32" t="s">
        <v>212</v>
      </c>
      <c r="J930" s="32">
        <v>10</v>
      </c>
      <c r="P930" s="32">
        <v>5000</v>
      </c>
      <c r="R930" s="32">
        <v>1500</v>
      </c>
      <c r="T930" s="32">
        <v>3500</v>
      </c>
    </row>
    <row r="931" spans="2:20" ht="12.75" hidden="1" x14ac:dyDescent="0.25">
      <c r="B931" s="32">
        <v>70</v>
      </c>
      <c r="F931" s="32" t="s">
        <v>211</v>
      </c>
      <c r="J931" s="32">
        <v>1</v>
      </c>
      <c r="P931" s="32">
        <v>500</v>
      </c>
      <c r="R931" s="32">
        <v>150</v>
      </c>
      <c r="T931" s="32">
        <v>350</v>
      </c>
    </row>
    <row r="932" spans="2:20" ht="12.75" hidden="1" x14ac:dyDescent="0.25">
      <c r="B932" s="32">
        <v>71</v>
      </c>
      <c r="F932" s="32" t="s">
        <v>276</v>
      </c>
      <c r="J932" s="32">
        <v>1</v>
      </c>
      <c r="P932" s="32">
        <v>500</v>
      </c>
      <c r="R932" s="32">
        <v>150</v>
      </c>
      <c r="T932" s="32">
        <v>350</v>
      </c>
    </row>
    <row r="933" spans="2:20" ht="12.75" hidden="1" x14ac:dyDescent="0.25">
      <c r="B933" s="32">
        <v>72</v>
      </c>
      <c r="F933" s="32" t="s">
        <v>102</v>
      </c>
      <c r="J933" s="32">
        <v>1</v>
      </c>
      <c r="P933" s="32">
        <v>880</v>
      </c>
      <c r="R933" s="32">
        <v>130</v>
      </c>
      <c r="T933" s="32">
        <v>750</v>
      </c>
    </row>
    <row r="934" spans="2:20" ht="12.75" hidden="1" x14ac:dyDescent="0.25">
      <c r="B934" s="32">
        <v>73</v>
      </c>
      <c r="F934" s="32" t="s">
        <v>99</v>
      </c>
      <c r="J934" s="32">
        <v>1</v>
      </c>
      <c r="P934" s="32">
        <v>590</v>
      </c>
      <c r="R934" s="32">
        <v>90</v>
      </c>
      <c r="T934" s="32">
        <v>500</v>
      </c>
    </row>
    <row r="935" spans="2:20" ht="12.75" hidden="1" x14ac:dyDescent="0.25">
      <c r="B935" s="32">
        <v>74</v>
      </c>
      <c r="F935" s="32" t="s">
        <v>97</v>
      </c>
      <c r="J935" s="32">
        <v>3</v>
      </c>
      <c r="P935" s="32">
        <v>4770</v>
      </c>
      <c r="R935" s="32">
        <v>720</v>
      </c>
      <c r="T935" s="32">
        <v>4050</v>
      </c>
    </row>
    <row r="936" spans="2:20" ht="12.75" hidden="1" x14ac:dyDescent="0.25">
      <c r="B936" s="32">
        <v>75</v>
      </c>
      <c r="F936" s="32" t="s">
        <v>93</v>
      </c>
      <c r="J936" s="32">
        <v>7</v>
      </c>
      <c r="P936" s="32">
        <v>4130</v>
      </c>
      <c r="R936" s="32">
        <v>630</v>
      </c>
      <c r="T936" s="32">
        <v>3500</v>
      </c>
    </row>
    <row r="937" spans="2:20" ht="12.75" hidden="1" x14ac:dyDescent="0.25">
      <c r="B937" s="32">
        <v>76</v>
      </c>
      <c r="F937" s="32" t="s">
        <v>92</v>
      </c>
      <c r="J937" s="32">
        <v>21</v>
      </c>
      <c r="P937" s="32">
        <v>11800</v>
      </c>
      <c r="R937" s="32">
        <v>3520</v>
      </c>
      <c r="T937" s="32">
        <v>8280</v>
      </c>
    </row>
    <row r="938" spans="2:20" ht="12.75" hidden="1" x14ac:dyDescent="0.25">
      <c r="B938" s="32">
        <v>77</v>
      </c>
      <c r="F938" s="32" t="s">
        <v>306</v>
      </c>
      <c r="J938" s="32">
        <v>4</v>
      </c>
      <c r="P938" s="32">
        <v>4320</v>
      </c>
      <c r="R938" s="32">
        <v>1280</v>
      </c>
      <c r="T938" s="32">
        <v>3040</v>
      </c>
    </row>
    <row r="939" spans="2:20" ht="12.75" hidden="1" x14ac:dyDescent="0.25">
      <c r="B939" s="32">
        <v>78</v>
      </c>
      <c r="F939" s="32" t="s">
        <v>91</v>
      </c>
      <c r="J939" s="32">
        <v>335</v>
      </c>
      <c r="P939" s="32">
        <v>83750</v>
      </c>
      <c r="R939" s="32">
        <v>35057</v>
      </c>
      <c r="T939" s="32">
        <v>48693</v>
      </c>
    </row>
    <row r="940" spans="2:20" ht="12.75" hidden="1" x14ac:dyDescent="0.25">
      <c r="B940" s="32">
        <v>79</v>
      </c>
      <c r="F940" s="32" t="s">
        <v>90</v>
      </c>
      <c r="J940" s="32">
        <v>33</v>
      </c>
      <c r="P940" s="32">
        <v>9570</v>
      </c>
      <c r="R940" s="32">
        <v>2480</v>
      </c>
      <c r="T940" s="32">
        <v>7090</v>
      </c>
    </row>
    <row r="941" spans="2:20" ht="12.75" hidden="1" x14ac:dyDescent="0.25">
      <c r="B941" s="32">
        <v>80</v>
      </c>
      <c r="F941" s="32" t="s">
        <v>88</v>
      </c>
      <c r="J941" s="32">
        <v>65</v>
      </c>
      <c r="P941" s="32">
        <v>11700</v>
      </c>
      <c r="R941" s="32">
        <v>2623</v>
      </c>
      <c r="T941" s="32">
        <v>9077</v>
      </c>
    </row>
    <row r="942" spans="2:20" ht="12.75" hidden="1" x14ac:dyDescent="0.25">
      <c r="B942" s="32">
        <v>81</v>
      </c>
      <c r="F942" s="32" t="s">
        <v>85</v>
      </c>
      <c r="J942" s="32">
        <v>2</v>
      </c>
      <c r="P942" s="32">
        <v>4160</v>
      </c>
      <c r="R942" s="32">
        <v>310</v>
      </c>
      <c r="T942" s="32">
        <v>3850</v>
      </c>
    </row>
    <row r="943" spans="2:20" ht="12.75" hidden="1" x14ac:dyDescent="0.25">
      <c r="B943" s="32">
        <v>82</v>
      </c>
      <c r="F943" s="32" t="s">
        <v>84</v>
      </c>
      <c r="J943" s="32">
        <v>4</v>
      </c>
      <c r="P943" s="32">
        <v>2360</v>
      </c>
      <c r="R943" s="32">
        <v>540</v>
      </c>
      <c r="T943" s="32">
        <v>1820</v>
      </c>
    </row>
    <row r="944" spans="2:20" ht="12.75" hidden="1" x14ac:dyDescent="0.25">
      <c r="B944" s="32">
        <v>83</v>
      </c>
      <c r="F944" s="32" t="s">
        <v>206</v>
      </c>
      <c r="J944" s="32">
        <v>3</v>
      </c>
      <c r="P944" s="32">
        <v>1500</v>
      </c>
      <c r="R944" s="32">
        <v>300</v>
      </c>
      <c r="T944" s="32">
        <v>1200</v>
      </c>
    </row>
    <row r="945" spans="1:20" ht="12.75" hidden="1" x14ac:dyDescent="0.25">
      <c r="B945" s="32">
        <v>84</v>
      </c>
      <c r="F945" s="32" t="s">
        <v>272</v>
      </c>
      <c r="J945" s="32">
        <v>5</v>
      </c>
      <c r="P945" s="32">
        <v>2500</v>
      </c>
      <c r="R945" s="32">
        <v>750</v>
      </c>
      <c r="T945" s="32">
        <v>1750</v>
      </c>
    </row>
    <row r="946" spans="1:20" ht="12.75" hidden="1" x14ac:dyDescent="0.25">
      <c r="B946" s="32">
        <v>85</v>
      </c>
      <c r="F946" s="32" t="s">
        <v>205</v>
      </c>
      <c r="J946" s="32">
        <v>1</v>
      </c>
      <c r="P946" s="32">
        <v>500</v>
      </c>
      <c r="R946" s="32">
        <v>150</v>
      </c>
      <c r="T946" s="32">
        <v>350</v>
      </c>
    </row>
    <row r="947" spans="1:20" ht="12.75" hidden="1" x14ac:dyDescent="0.25">
      <c r="B947" s="32">
        <v>86</v>
      </c>
      <c r="F947" s="32" t="s">
        <v>204</v>
      </c>
      <c r="J947" s="32">
        <v>8</v>
      </c>
      <c r="P947" s="32">
        <v>4000</v>
      </c>
      <c r="R947" s="32">
        <v>1200</v>
      </c>
      <c r="T947" s="32">
        <v>2800</v>
      </c>
    </row>
    <row r="948" spans="1:20" ht="12.75" hidden="1" x14ac:dyDescent="0.25">
      <c r="B948" s="32">
        <v>87</v>
      </c>
      <c r="F948" s="32" t="s">
        <v>83</v>
      </c>
      <c r="J948" s="32">
        <v>17</v>
      </c>
      <c r="P948" s="32">
        <v>8500</v>
      </c>
      <c r="R948" s="32">
        <v>2550</v>
      </c>
      <c r="T948" s="32">
        <v>5950</v>
      </c>
    </row>
    <row r="949" spans="1:20" ht="12.75" hidden="1" x14ac:dyDescent="0.25">
      <c r="B949" s="32">
        <v>88</v>
      </c>
      <c r="F949" s="32" t="s">
        <v>271</v>
      </c>
      <c r="J949" s="32">
        <v>1</v>
      </c>
      <c r="P949" s="32">
        <v>500</v>
      </c>
      <c r="R949" s="32">
        <v>150</v>
      </c>
      <c r="T949" s="32">
        <v>350</v>
      </c>
    </row>
    <row r="950" spans="1:20" ht="12.75" hidden="1" x14ac:dyDescent="0.25">
      <c r="B950" s="32">
        <v>89</v>
      </c>
      <c r="F950" s="32" t="s">
        <v>202</v>
      </c>
      <c r="J950" s="32">
        <v>4</v>
      </c>
      <c r="P950" s="32">
        <v>2000</v>
      </c>
      <c r="R950" s="32">
        <v>515</v>
      </c>
      <c r="T950" s="32">
        <v>1485</v>
      </c>
    </row>
    <row r="951" spans="1:20" ht="12.75" hidden="1" x14ac:dyDescent="0.25">
      <c r="A951" s="32" t="s">
        <v>434</v>
      </c>
      <c r="K951" s="32">
        <v>7335</v>
      </c>
      <c r="P951" s="32">
        <v>7246495</v>
      </c>
      <c r="R951" s="32">
        <v>6400854</v>
      </c>
      <c r="T951" s="32">
        <v>845641</v>
      </c>
    </row>
    <row r="952" spans="1:20" ht="12.75" hidden="1" x14ac:dyDescent="0.25">
      <c r="B952" s="32">
        <v>1</v>
      </c>
      <c r="F952" s="32" t="s">
        <v>371</v>
      </c>
      <c r="J952" s="32">
        <v>1</v>
      </c>
      <c r="P952" s="32">
        <v>390</v>
      </c>
      <c r="R952" s="32">
        <v>120</v>
      </c>
      <c r="T952" s="32">
        <v>270</v>
      </c>
    </row>
    <row r="953" spans="1:20" ht="12.75" hidden="1" x14ac:dyDescent="0.25">
      <c r="B953" s="32">
        <v>2</v>
      </c>
      <c r="F953" s="32" t="s">
        <v>78</v>
      </c>
      <c r="J953" s="32">
        <v>323</v>
      </c>
      <c r="P953" s="32">
        <v>93670</v>
      </c>
      <c r="R953" s="32">
        <v>93670</v>
      </c>
      <c r="T953" s="32">
        <v>0</v>
      </c>
    </row>
    <row r="954" spans="1:20" ht="12.75" hidden="1" x14ac:dyDescent="0.25">
      <c r="B954" s="32">
        <v>3</v>
      </c>
      <c r="F954" s="32" t="s">
        <v>268</v>
      </c>
      <c r="J954" s="32">
        <v>1</v>
      </c>
      <c r="P954" s="32">
        <v>250</v>
      </c>
      <c r="R954" s="32">
        <v>70</v>
      </c>
      <c r="T954" s="32">
        <v>180</v>
      </c>
    </row>
    <row r="955" spans="1:20" ht="12.75" hidden="1" x14ac:dyDescent="0.25">
      <c r="B955" s="32">
        <v>4</v>
      </c>
      <c r="F955" s="32" t="s">
        <v>164</v>
      </c>
      <c r="J955" s="32">
        <v>2</v>
      </c>
      <c r="P955" s="32">
        <v>1180</v>
      </c>
      <c r="R955" s="32">
        <v>360</v>
      </c>
      <c r="T955" s="32">
        <v>820</v>
      </c>
    </row>
    <row r="956" spans="1:20" ht="12.75" hidden="1" x14ac:dyDescent="0.25">
      <c r="B956" s="32">
        <v>5</v>
      </c>
      <c r="F956" s="32" t="s">
        <v>163</v>
      </c>
      <c r="J956" s="32">
        <v>7</v>
      </c>
      <c r="P956" s="32">
        <v>8330</v>
      </c>
      <c r="R956" s="32">
        <v>1260</v>
      </c>
      <c r="T956" s="32">
        <v>7070</v>
      </c>
    </row>
    <row r="957" spans="1:20" ht="12.75" hidden="1" x14ac:dyDescent="0.25">
      <c r="B957" s="32">
        <v>6</v>
      </c>
      <c r="F957" s="32" t="s">
        <v>162</v>
      </c>
      <c r="J957" s="32">
        <v>58</v>
      </c>
      <c r="P957" s="32">
        <v>24940</v>
      </c>
      <c r="R957" s="32">
        <v>11188</v>
      </c>
      <c r="T957" s="32">
        <v>13752</v>
      </c>
    </row>
    <row r="958" spans="1:20" ht="12.75" hidden="1" x14ac:dyDescent="0.25">
      <c r="B958" s="32">
        <v>7</v>
      </c>
      <c r="F958" s="32" t="s">
        <v>198</v>
      </c>
      <c r="J958" s="32">
        <v>1</v>
      </c>
      <c r="P958" s="32">
        <v>290</v>
      </c>
      <c r="R958" s="32">
        <v>80</v>
      </c>
      <c r="T958" s="32">
        <v>210</v>
      </c>
    </row>
    <row r="959" spans="1:20" ht="12.75" hidden="1" x14ac:dyDescent="0.25">
      <c r="B959" s="32">
        <v>8</v>
      </c>
      <c r="F959" s="32" t="s">
        <v>161</v>
      </c>
      <c r="J959" s="32">
        <v>1</v>
      </c>
      <c r="P959" s="32">
        <v>25</v>
      </c>
      <c r="R959" s="32">
        <v>5</v>
      </c>
      <c r="T959" s="32">
        <v>20</v>
      </c>
    </row>
    <row r="960" spans="1:20" ht="12.75" hidden="1" x14ac:dyDescent="0.25">
      <c r="B960" s="32">
        <v>9</v>
      </c>
      <c r="F960" s="32" t="s">
        <v>160</v>
      </c>
      <c r="J960" s="32">
        <v>26</v>
      </c>
      <c r="P960" s="32">
        <v>7540</v>
      </c>
      <c r="R960" s="32">
        <v>2080</v>
      </c>
      <c r="T960" s="32">
        <v>5460</v>
      </c>
    </row>
    <row r="961" spans="2:20" ht="12.75" hidden="1" x14ac:dyDescent="0.25">
      <c r="B961" s="32">
        <v>10</v>
      </c>
      <c r="F961" s="32" t="s">
        <v>159</v>
      </c>
      <c r="J961" s="32">
        <v>250</v>
      </c>
      <c r="P961" s="32">
        <v>0</v>
      </c>
      <c r="R961" s="32">
        <v>0</v>
      </c>
      <c r="T961" s="32">
        <v>0</v>
      </c>
    </row>
    <row r="962" spans="2:20" ht="12.75" hidden="1" x14ac:dyDescent="0.25">
      <c r="B962" s="32">
        <v>11</v>
      </c>
      <c r="F962" s="32" t="s">
        <v>158</v>
      </c>
      <c r="J962" s="32">
        <v>928</v>
      </c>
      <c r="P962" s="32">
        <v>510400</v>
      </c>
      <c r="R962" s="32">
        <v>155204</v>
      </c>
      <c r="T962" s="32">
        <v>355196</v>
      </c>
    </row>
    <row r="963" spans="2:20" ht="12.75" hidden="1" x14ac:dyDescent="0.25">
      <c r="B963" s="32">
        <v>12</v>
      </c>
      <c r="F963" s="32" t="s">
        <v>157</v>
      </c>
      <c r="J963" s="32">
        <v>105</v>
      </c>
      <c r="P963" s="32">
        <v>51450</v>
      </c>
      <c r="R963" s="32">
        <v>22442</v>
      </c>
      <c r="T963" s="32">
        <v>29008</v>
      </c>
    </row>
    <row r="964" spans="2:20" ht="12.75" hidden="1" x14ac:dyDescent="0.25">
      <c r="B964" s="32">
        <v>13</v>
      </c>
      <c r="F964" s="32" t="s">
        <v>196</v>
      </c>
      <c r="J964" s="32">
        <v>2</v>
      </c>
      <c r="P964" s="32">
        <v>1400</v>
      </c>
      <c r="R964" s="32">
        <v>700</v>
      </c>
      <c r="T964" s="32">
        <v>700</v>
      </c>
    </row>
    <row r="965" spans="2:20" ht="12.75" hidden="1" x14ac:dyDescent="0.25">
      <c r="B965" s="32">
        <v>14</v>
      </c>
      <c r="F965" s="32" t="s">
        <v>309</v>
      </c>
      <c r="J965" s="32">
        <v>5</v>
      </c>
      <c r="P965" s="32">
        <v>2500</v>
      </c>
      <c r="R965" s="32">
        <v>750</v>
      </c>
      <c r="T965" s="32">
        <v>1750</v>
      </c>
    </row>
    <row r="966" spans="2:20" ht="12.75" hidden="1" x14ac:dyDescent="0.25">
      <c r="B966" s="32">
        <v>15</v>
      </c>
      <c r="F966" s="32" t="s">
        <v>292</v>
      </c>
      <c r="J966" s="32">
        <v>1</v>
      </c>
      <c r="P966" s="32">
        <v>700</v>
      </c>
      <c r="R966" s="32">
        <v>700</v>
      </c>
      <c r="T966" s="32">
        <v>0</v>
      </c>
    </row>
    <row r="967" spans="2:20" ht="12.75" hidden="1" x14ac:dyDescent="0.25">
      <c r="B967" s="32">
        <v>16</v>
      </c>
      <c r="F967" s="32" t="s">
        <v>77</v>
      </c>
      <c r="J967" s="32">
        <v>1707</v>
      </c>
      <c r="P967" s="32">
        <v>684000</v>
      </c>
      <c r="R967" s="32">
        <v>684000</v>
      </c>
      <c r="T967" s="32">
        <v>0</v>
      </c>
    </row>
    <row r="968" spans="2:20" ht="12.75" hidden="1" x14ac:dyDescent="0.25">
      <c r="B968" s="32">
        <v>17</v>
      </c>
      <c r="F968" s="32" t="s">
        <v>242</v>
      </c>
      <c r="J968" s="32">
        <v>2</v>
      </c>
      <c r="P968" s="32">
        <v>1000</v>
      </c>
      <c r="R968" s="32">
        <v>1000</v>
      </c>
      <c r="T968" s="32">
        <v>0</v>
      </c>
    </row>
    <row r="969" spans="2:20" ht="12.75" hidden="1" x14ac:dyDescent="0.25">
      <c r="B969" s="32">
        <v>18</v>
      </c>
      <c r="F969" s="32" t="s">
        <v>76</v>
      </c>
      <c r="J969" s="32">
        <v>5</v>
      </c>
      <c r="P969" s="32">
        <v>3000</v>
      </c>
      <c r="R969" s="32">
        <v>3000</v>
      </c>
      <c r="T969" s="32">
        <v>0</v>
      </c>
    </row>
    <row r="970" spans="2:20" ht="12.75" hidden="1" x14ac:dyDescent="0.25">
      <c r="B970" s="32">
        <v>19</v>
      </c>
      <c r="F970" s="32" t="s">
        <v>156</v>
      </c>
      <c r="J970" s="32">
        <v>10</v>
      </c>
      <c r="P970" s="32">
        <v>1900</v>
      </c>
      <c r="R970" s="32">
        <v>560</v>
      </c>
      <c r="T970" s="32">
        <v>1340</v>
      </c>
    </row>
    <row r="971" spans="2:20" ht="12.75" hidden="1" x14ac:dyDescent="0.25">
      <c r="B971" s="32">
        <v>20</v>
      </c>
      <c r="F971" s="32" t="s">
        <v>155</v>
      </c>
      <c r="J971" s="32">
        <v>37</v>
      </c>
      <c r="P971" s="32">
        <v>9250</v>
      </c>
      <c r="R971" s="32">
        <v>3130</v>
      </c>
      <c r="T971" s="32">
        <v>6120</v>
      </c>
    </row>
    <row r="972" spans="2:20" ht="12.75" hidden="1" x14ac:dyDescent="0.25">
      <c r="B972" s="32">
        <v>21</v>
      </c>
      <c r="F972" s="32" t="s">
        <v>154</v>
      </c>
      <c r="J972" s="32">
        <v>3</v>
      </c>
      <c r="P972" s="32">
        <v>2670</v>
      </c>
      <c r="R972" s="32">
        <v>390</v>
      </c>
      <c r="T972" s="32">
        <v>2280</v>
      </c>
    </row>
    <row r="973" spans="2:20" ht="12.75" hidden="1" x14ac:dyDescent="0.25">
      <c r="B973" s="32">
        <v>22</v>
      </c>
      <c r="F973" s="32" t="s">
        <v>153</v>
      </c>
      <c r="J973" s="32">
        <v>2</v>
      </c>
      <c r="P973" s="32">
        <v>2360</v>
      </c>
      <c r="R973" s="32">
        <v>360</v>
      </c>
      <c r="T973" s="32">
        <v>2000</v>
      </c>
    </row>
    <row r="974" spans="2:20" ht="12.75" hidden="1" x14ac:dyDescent="0.25">
      <c r="B974" s="32">
        <v>23</v>
      </c>
      <c r="F974" s="32" t="s">
        <v>289</v>
      </c>
      <c r="J974" s="32">
        <v>1</v>
      </c>
      <c r="P974" s="32">
        <v>500</v>
      </c>
      <c r="R974" s="32">
        <v>150</v>
      </c>
      <c r="T974" s="32">
        <v>350</v>
      </c>
    </row>
    <row r="975" spans="2:20" ht="12.75" hidden="1" x14ac:dyDescent="0.25">
      <c r="B975" s="32">
        <v>24</v>
      </c>
      <c r="F975" s="32" t="s">
        <v>152</v>
      </c>
      <c r="J975" s="32">
        <v>13</v>
      </c>
      <c r="P975" s="32">
        <v>7670</v>
      </c>
      <c r="R975" s="32">
        <v>2340</v>
      </c>
      <c r="T975" s="32">
        <v>5330</v>
      </c>
    </row>
    <row r="976" spans="2:20" ht="12.75" hidden="1" x14ac:dyDescent="0.25">
      <c r="B976" s="32">
        <v>25</v>
      </c>
      <c r="F976" s="32" t="s">
        <v>151</v>
      </c>
      <c r="J976" s="32">
        <v>13</v>
      </c>
      <c r="P976" s="32">
        <v>2990</v>
      </c>
      <c r="R976" s="32">
        <v>1000</v>
      </c>
      <c r="T976" s="32">
        <v>1990</v>
      </c>
    </row>
    <row r="977" spans="2:20" ht="12.75" hidden="1" x14ac:dyDescent="0.25">
      <c r="B977" s="32">
        <v>26</v>
      </c>
      <c r="F977" s="32" t="s">
        <v>150</v>
      </c>
      <c r="J977" s="32">
        <v>44</v>
      </c>
      <c r="P977" s="32">
        <v>7480</v>
      </c>
      <c r="R977" s="32">
        <v>2150</v>
      </c>
      <c r="T977" s="32">
        <v>5330</v>
      </c>
    </row>
    <row r="978" spans="2:20" ht="12.75" hidden="1" x14ac:dyDescent="0.25">
      <c r="B978" s="32">
        <v>27</v>
      </c>
      <c r="F978" s="32" t="s">
        <v>149</v>
      </c>
      <c r="J978" s="32">
        <v>1</v>
      </c>
      <c r="P978" s="32">
        <v>50</v>
      </c>
      <c r="R978" s="32">
        <v>10</v>
      </c>
      <c r="T978" s="32">
        <v>40</v>
      </c>
    </row>
    <row r="979" spans="2:20" ht="12.75" hidden="1" x14ac:dyDescent="0.25">
      <c r="B979" s="32">
        <v>28</v>
      </c>
      <c r="F979" s="32" t="s">
        <v>148</v>
      </c>
      <c r="J979" s="32">
        <v>3</v>
      </c>
      <c r="P979" s="32">
        <v>2940</v>
      </c>
      <c r="R979" s="32">
        <v>450</v>
      </c>
      <c r="T979" s="32">
        <v>2490</v>
      </c>
    </row>
    <row r="980" spans="2:20" ht="12.75" hidden="1" x14ac:dyDescent="0.25">
      <c r="B980" s="32">
        <v>29</v>
      </c>
      <c r="F980" s="32" t="s">
        <v>288</v>
      </c>
      <c r="J980" s="32">
        <v>2</v>
      </c>
      <c r="P980" s="32">
        <v>1600</v>
      </c>
      <c r="R980" s="32">
        <v>900</v>
      </c>
      <c r="T980" s="32">
        <v>700</v>
      </c>
    </row>
    <row r="981" spans="2:20" ht="12.75" hidden="1" x14ac:dyDescent="0.25">
      <c r="B981" s="32">
        <v>30</v>
      </c>
      <c r="F981" s="32" t="s">
        <v>234</v>
      </c>
      <c r="J981" s="32">
        <v>4</v>
      </c>
      <c r="P981" s="32">
        <v>3300</v>
      </c>
      <c r="R981" s="32">
        <v>1620</v>
      </c>
      <c r="T981" s="32">
        <v>1680</v>
      </c>
    </row>
    <row r="982" spans="2:20" ht="12.75" hidden="1" x14ac:dyDescent="0.25">
      <c r="B982" s="32">
        <v>31</v>
      </c>
      <c r="F982" s="32" t="s">
        <v>193</v>
      </c>
      <c r="J982" s="32">
        <v>1</v>
      </c>
      <c r="P982" s="32">
        <v>890</v>
      </c>
      <c r="R982" s="32">
        <v>130</v>
      </c>
      <c r="T982" s="32">
        <v>760</v>
      </c>
    </row>
    <row r="983" spans="2:20" ht="12.75" hidden="1" x14ac:dyDescent="0.25">
      <c r="B983" s="32">
        <v>32</v>
      </c>
      <c r="F983" s="32" t="s">
        <v>75</v>
      </c>
      <c r="J983" s="32">
        <v>2062</v>
      </c>
      <c r="P983" s="32">
        <v>5155000</v>
      </c>
      <c r="R983" s="32">
        <v>5155000</v>
      </c>
      <c r="T983" s="32">
        <v>0</v>
      </c>
    </row>
    <row r="984" spans="2:20" ht="12.75" hidden="1" x14ac:dyDescent="0.25">
      <c r="B984" s="32">
        <v>33</v>
      </c>
      <c r="F984" s="32" t="s">
        <v>139</v>
      </c>
      <c r="J984" s="32">
        <v>7</v>
      </c>
      <c r="P984" s="32">
        <v>1890</v>
      </c>
      <c r="R984" s="32">
        <v>560</v>
      </c>
      <c r="T984" s="32">
        <v>1330</v>
      </c>
    </row>
    <row r="985" spans="2:20" ht="12.75" hidden="1" x14ac:dyDescent="0.25">
      <c r="B985" s="32">
        <v>34</v>
      </c>
      <c r="F985" s="32" t="s">
        <v>302</v>
      </c>
      <c r="J985" s="32">
        <v>1</v>
      </c>
      <c r="P985" s="32">
        <v>800</v>
      </c>
      <c r="R985" s="32">
        <v>450</v>
      </c>
      <c r="T985" s="32">
        <v>350</v>
      </c>
    </row>
    <row r="986" spans="2:20" ht="12.75" hidden="1" x14ac:dyDescent="0.25">
      <c r="B986" s="32">
        <v>35</v>
      </c>
      <c r="F986" s="32" t="s">
        <v>138</v>
      </c>
      <c r="J986" s="32">
        <v>1</v>
      </c>
      <c r="P986" s="32">
        <v>800</v>
      </c>
      <c r="R986" s="32">
        <v>450</v>
      </c>
      <c r="T986" s="32">
        <v>350</v>
      </c>
    </row>
    <row r="987" spans="2:20" ht="12.75" hidden="1" x14ac:dyDescent="0.25">
      <c r="B987" s="32">
        <v>36</v>
      </c>
      <c r="F987" s="32" t="s">
        <v>136</v>
      </c>
      <c r="J987" s="32">
        <v>22</v>
      </c>
      <c r="P987" s="32">
        <v>18700</v>
      </c>
      <c r="R987" s="32">
        <v>4550</v>
      </c>
      <c r="T987" s="32">
        <v>14150</v>
      </c>
    </row>
    <row r="988" spans="2:20" ht="12.75" hidden="1" x14ac:dyDescent="0.25">
      <c r="B988" s="32">
        <v>37</v>
      </c>
      <c r="F988" s="32" t="s">
        <v>74</v>
      </c>
      <c r="J988" s="32">
        <v>74</v>
      </c>
      <c r="P988" s="32">
        <v>62900</v>
      </c>
      <c r="R988" s="32">
        <v>62900</v>
      </c>
      <c r="T988" s="32">
        <v>0</v>
      </c>
    </row>
    <row r="989" spans="2:20" ht="12.75" hidden="1" x14ac:dyDescent="0.25">
      <c r="B989" s="32">
        <v>38</v>
      </c>
      <c r="F989" s="32" t="s">
        <v>190</v>
      </c>
      <c r="J989" s="32">
        <v>8</v>
      </c>
      <c r="P989" s="32">
        <v>12560</v>
      </c>
      <c r="R989" s="32">
        <v>1920</v>
      </c>
      <c r="T989" s="32">
        <v>10640</v>
      </c>
    </row>
    <row r="990" spans="2:20" ht="12.75" hidden="1" x14ac:dyDescent="0.25">
      <c r="B990" s="32">
        <v>39</v>
      </c>
      <c r="F990" s="32" t="s">
        <v>135</v>
      </c>
      <c r="J990" s="32">
        <v>2</v>
      </c>
      <c r="P990" s="32">
        <v>1900</v>
      </c>
      <c r="R990" s="32">
        <v>560</v>
      </c>
      <c r="T990" s="32">
        <v>1340</v>
      </c>
    </row>
    <row r="991" spans="2:20" ht="12.75" hidden="1" x14ac:dyDescent="0.25">
      <c r="B991" s="32">
        <v>40</v>
      </c>
      <c r="F991" s="32" t="s">
        <v>229</v>
      </c>
      <c r="J991" s="32">
        <v>1</v>
      </c>
      <c r="P991" s="32">
        <v>7000</v>
      </c>
      <c r="R991" s="32">
        <v>3100</v>
      </c>
      <c r="T991" s="32">
        <v>3900</v>
      </c>
    </row>
    <row r="992" spans="2:20" ht="12.75" hidden="1" x14ac:dyDescent="0.25">
      <c r="B992" s="32">
        <v>41</v>
      </c>
      <c r="F992" s="32" t="s">
        <v>132</v>
      </c>
      <c r="J992" s="32">
        <v>2</v>
      </c>
      <c r="P992" s="32">
        <v>2480</v>
      </c>
      <c r="R992" s="32">
        <v>740</v>
      </c>
      <c r="T992" s="32">
        <v>1740</v>
      </c>
    </row>
    <row r="993" spans="2:20" ht="12.75" hidden="1" x14ac:dyDescent="0.25">
      <c r="B993" s="32">
        <v>42</v>
      </c>
      <c r="F993" s="32" t="s">
        <v>130</v>
      </c>
      <c r="J993" s="32">
        <v>1</v>
      </c>
      <c r="P993" s="32">
        <v>8000</v>
      </c>
      <c r="R993" s="32">
        <v>4100</v>
      </c>
      <c r="T993" s="32">
        <v>3900</v>
      </c>
    </row>
    <row r="994" spans="2:20" ht="12.75" hidden="1" x14ac:dyDescent="0.25">
      <c r="B994" s="32">
        <v>43</v>
      </c>
      <c r="F994" s="32" t="s">
        <v>127</v>
      </c>
      <c r="J994" s="32">
        <v>86</v>
      </c>
      <c r="P994" s="32">
        <v>25800</v>
      </c>
      <c r="R994" s="32">
        <v>9134</v>
      </c>
      <c r="T994" s="32">
        <v>16666</v>
      </c>
    </row>
    <row r="995" spans="2:20" ht="12.75" hidden="1" x14ac:dyDescent="0.25">
      <c r="B995" s="32">
        <v>44</v>
      </c>
      <c r="F995" s="32" t="s">
        <v>126</v>
      </c>
      <c r="J995" s="32">
        <v>87</v>
      </c>
      <c r="P995" s="32">
        <v>17400</v>
      </c>
      <c r="R995" s="32">
        <v>6138</v>
      </c>
      <c r="T995" s="32">
        <v>11262</v>
      </c>
    </row>
    <row r="996" spans="2:20" ht="12.75" hidden="1" x14ac:dyDescent="0.25">
      <c r="B996" s="32">
        <v>45</v>
      </c>
      <c r="F996" s="32" t="s">
        <v>124</v>
      </c>
      <c r="J996" s="32">
        <v>7</v>
      </c>
      <c r="P996" s="32">
        <v>3560</v>
      </c>
      <c r="R996" s="32">
        <v>1060</v>
      </c>
      <c r="T996" s="32">
        <v>2500</v>
      </c>
    </row>
    <row r="997" spans="2:20" ht="12.75" hidden="1" x14ac:dyDescent="0.25">
      <c r="B997" s="32">
        <v>46</v>
      </c>
      <c r="F997" s="32" t="s">
        <v>123</v>
      </c>
      <c r="J997" s="32">
        <v>40</v>
      </c>
      <c r="P997" s="32">
        <v>31200</v>
      </c>
      <c r="R997" s="32">
        <v>9200</v>
      </c>
      <c r="T997" s="32">
        <v>22000</v>
      </c>
    </row>
    <row r="998" spans="2:20" ht="12.75" hidden="1" x14ac:dyDescent="0.25">
      <c r="B998" s="32">
        <v>47</v>
      </c>
      <c r="F998" s="32" t="s">
        <v>183</v>
      </c>
      <c r="J998" s="32">
        <v>4</v>
      </c>
      <c r="P998" s="32">
        <v>1760</v>
      </c>
      <c r="R998" s="32">
        <v>520</v>
      </c>
      <c r="T998" s="32">
        <v>1240</v>
      </c>
    </row>
    <row r="999" spans="2:20" ht="12.75" hidden="1" x14ac:dyDescent="0.25">
      <c r="B999" s="32">
        <v>48</v>
      </c>
      <c r="F999" s="32" t="s">
        <v>227</v>
      </c>
      <c r="J999" s="32">
        <v>3</v>
      </c>
      <c r="P999" s="32">
        <v>1500</v>
      </c>
      <c r="R999" s="32">
        <v>450</v>
      </c>
      <c r="T999" s="32">
        <v>1050</v>
      </c>
    </row>
    <row r="1000" spans="2:20" ht="12.75" hidden="1" x14ac:dyDescent="0.25">
      <c r="B1000" s="32">
        <v>49</v>
      </c>
      <c r="F1000" s="32" t="s">
        <v>122</v>
      </c>
      <c r="J1000" s="32">
        <v>7</v>
      </c>
      <c r="P1000" s="32">
        <v>3500</v>
      </c>
      <c r="R1000" s="32">
        <v>1050</v>
      </c>
      <c r="T1000" s="32">
        <v>2450</v>
      </c>
    </row>
    <row r="1001" spans="2:20" ht="12.75" hidden="1" x14ac:dyDescent="0.25">
      <c r="B1001" s="32">
        <v>50</v>
      </c>
      <c r="F1001" s="32" t="s">
        <v>121</v>
      </c>
      <c r="J1001" s="32">
        <v>5</v>
      </c>
      <c r="P1001" s="32">
        <v>2500</v>
      </c>
      <c r="R1001" s="32">
        <v>750</v>
      </c>
      <c r="T1001" s="32">
        <v>1750</v>
      </c>
    </row>
    <row r="1002" spans="2:20" ht="12.75" hidden="1" x14ac:dyDescent="0.25">
      <c r="B1002" s="32">
        <v>51</v>
      </c>
      <c r="F1002" s="32" t="s">
        <v>282</v>
      </c>
      <c r="J1002" s="32">
        <v>2</v>
      </c>
      <c r="P1002" s="32">
        <v>1000</v>
      </c>
      <c r="R1002" s="32">
        <v>300</v>
      </c>
      <c r="T1002" s="32">
        <v>700</v>
      </c>
    </row>
    <row r="1003" spans="2:20" ht="12.75" hidden="1" x14ac:dyDescent="0.25">
      <c r="B1003" s="32">
        <v>52</v>
      </c>
      <c r="F1003" s="32" t="s">
        <v>182</v>
      </c>
      <c r="J1003" s="32">
        <v>1</v>
      </c>
      <c r="P1003" s="32">
        <v>790</v>
      </c>
      <c r="R1003" s="32">
        <v>120</v>
      </c>
      <c r="T1003" s="32">
        <v>670</v>
      </c>
    </row>
    <row r="1004" spans="2:20" ht="12.75" hidden="1" x14ac:dyDescent="0.25">
      <c r="B1004" s="32">
        <v>53</v>
      </c>
      <c r="F1004" s="32" t="s">
        <v>119</v>
      </c>
      <c r="J1004" s="32">
        <v>22</v>
      </c>
      <c r="P1004" s="32">
        <v>19580</v>
      </c>
      <c r="R1004" s="32">
        <v>6360</v>
      </c>
      <c r="T1004" s="32">
        <v>13220</v>
      </c>
    </row>
    <row r="1005" spans="2:20" ht="12.75" hidden="1" x14ac:dyDescent="0.25">
      <c r="B1005" s="32">
        <v>54</v>
      </c>
      <c r="F1005" s="32" t="s">
        <v>118</v>
      </c>
      <c r="J1005" s="32">
        <v>153</v>
      </c>
      <c r="P1005" s="32">
        <v>151470</v>
      </c>
      <c r="R1005" s="32">
        <v>52340</v>
      </c>
      <c r="T1005" s="32">
        <v>99130</v>
      </c>
    </row>
    <row r="1006" spans="2:20" ht="12.75" hidden="1" x14ac:dyDescent="0.25">
      <c r="B1006" s="32">
        <v>55</v>
      </c>
      <c r="F1006" s="32" t="s">
        <v>117</v>
      </c>
      <c r="J1006" s="32">
        <v>3</v>
      </c>
      <c r="P1006" s="32">
        <v>2400</v>
      </c>
      <c r="R1006" s="32">
        <v>600</v>
      </c>
      <c r="T1006" s="32">
        <v>1800</v>
      </c>
    </row>
    <row r="1007" spans="2:20" ht="12.75" hidden="1" x14ac:dyDescent="0.25">
      <c r="B1007" s="32">
        <v>56</v>
      </c>
      <c r="F1007" s="32" t="s">
        <v>116</v>
      </c>
      <c r="J1007" s="32">
        <v>1</v>
      </c>
      <c r="P1007" s="32">
        <v>900</v>
      </c>
      <c r="R1007" s="32">
        <v>270</v>
      </c>
      <c r="T1007" s="32">
        <v>630</v>
      </c>
    </row>
    <row r="1008" spans="2:20" ht="12.75" hidden="1" x14ac:dyDescent="0.25">
      <c r="T1008" s="32"/>
    </row>
    <row r="1009" spans="2:20" ht="12.75" hidden="1" x14ac:dyDescent="0.25">
      <c r="B1009" s="32">
        <v>57</v>
      </c>
      <c r="F1009" s="32" t="s">
        <v>115</v>
      </c>
      <c r="J1009" s="32">
        <v>19</v>
      </c>
      <c r="P1009" s="32">
        <v>5510</v>
      </c>
      <c r="R1009" s="32">
        <v>1880</v>
      </c>
      <c r="T1009" s="32">
        <v>3630</v>
      </c>
    </row>
    <row r="1010" spans="2:20" ht="12.75" hidden="1" x14ac:dyDescent="0.25">
      <c r="B1010" s="32">
        <v>58</v>
      </c>
      <c r="F1010" s="32" t="s">
        <v>225</v>
      </c>
      <c r="J1010" s="32">
        <v>2</v>
      </c>
      <c r="P1010" s="32">
        <v>10000</v>
      </c>
      <c r="R1010" s="32">
        <v>9900</v>
      </c>
      <c r="T1010" s="32">
        <v>100</v>
      </c>
    </row>
    <row r="1011" spans="2:20" ht="12.75" hidden="1" x14ac:dyDescent="0.25">
      <c r="B1011" s="32">
        <v>59</v>
      </c>
      <c r="F1011" s="32" t="s">
        <v>219</v>
      </c>
      <c r="J1011" s="32">
        <v>1</v>
      </c>
      <c r="P1011" s="32">
        <v>500</v>
      </c>
      <c r="R1011" s="32">
        <v>150</v>
      </c>
      <c r="T1011" s="32">
        <v>350</v>
      </c>
    </row>
    <row r="1012" spans="2:20" ht="12.75" hidden="1" x14ac:dyDescent="0.25">
      <c r="B1012" s="32">
        <v>60</v>
      </c>
      <c r="F1012" s="32" t="s">
        <v>181</v>
      </c>
      <c r="J1012" s="32">
        <v>1</v>
      </c>
      <c r="P1012" s="32">
        <v>790</v>
      </c>
      <c r="R1012" s="32">
        <v>120</v>
      </c>
      <c r="T1012" s="32">
        <v>670</v>
      </c>
    </row>
    <row r="1013" spans="2:20" ht="12.75" hidden="1" x14ac:dyDescent="0.25">
      <c r="B1013" s="32">
        <v>61</v>
      </c>
      <c r="F1013" s="32" t="s">
        <v>109</v>
      </c>
      <c r="J1013" s="32">
        <v>5</v>
      </c>
      <c r="P1013" s="32">
        <v>3900</v>
      </c>
      <c r="R1013" s="32">
        <v>1150</v>
      </c>
      <c r="T1013" s="32">
        <v>2750</v>
      </c>
    </row>
    <row r="1014" spans="2:20" ht="12.75" hidden="1" x14ac:dyDescent="0.25">
      <c r="B1014" s="32">
        <v>62</v>
      </c>
      <c r="F1014" s="32" t="s">
        <v>108</v>
      </c>
      <c r="J1014" s="32">
        <v>524</v>
      </c>
      <c r="P1014" s="32">
        <v>52400</v>
      </c>
      <c r="R1014" s="32">
        <v>15720</v>
      </c>
      <c r="T1014" s="32">
        <v>36680</v>
      </c>
    </row>
    <row r="1015" spans="2:20" ht="12.75" hidden="1" x14ac:dyDescent="0.25">
      <c r="B1015" s="32">
        <v>63</v>
      </c>
      <c r="F1015" s="32" t="s">
        <v>107</v>
      </c>
      <c r="J1015" s="32">
        <v>100</v>
      </c>
      <c r="P1015" s="32">
        <v>17000</v>
      </c>
      <c r="R1015" s="32">
        <v>5766</v>
      </c>
      <c r="T1015" s="32">
        <v>11234</v>
      </c>
    </row>
    <row r="1016" spans="2:20" ht="12.75" hidden="1" x14ac:dyDescent="0.25">
      <c r="B1016" s="32">
        <v>64</v>
      </c>
      <c r="F1016" s="32" t="s">
        <v>106</v>
      </c>
      <c r="J1016" s="32">
        <v>17</v>
      </c>
      <c r="P1016" s="32">
        <v>1700</v>
      </c>
      <c r="R1016" s="32">
        <v>510</v>
      </c>
      <c r="T1016" s="32">
        <v>1190</v>
      </c>
    </row>
    <row r="1017" spans="2:20" ht="12.75" hidden="1" x14ac:dyDescent="0.25">
      <c r="B1017" s="32">
        <v>65</v>
      </c>
      <c r="F1017" s="32" t="s">
        <v>216</v>
      </c>
      <c r="J1017" s="32">
        <v>1</v>
      </c>
      <c r="P1017" s="32">
        <v>1080</v>
      </c>
      <c r="R1017" s="32">
        <v>165</v>
      </c>
      <c r="T1017" s="32">
        <v>915</v>
      </c>
    </row>
    <row r="1018" spans="2:20" ht="12.75" hidden="1" x14ac:dyDescent="0.25">
      <c r="B1018" s="32">
        <v>66</v>
      </c>
      <c r="F1018" s="32" t="s">
        <v>105</v>
      </c>
      <c r="J1018" s="32">
        <v>1</v>
      </c>
      <c r="P1018" s="32">
        <v>1150</v>
      </c>
      <c r="R1018" s="32">
        <v>0</v>
      </c>
      <c r="T1018" s="32">
        <v>1150</v>
      </c>
    </row>
    <row r="1019" spans="2:20" ht="12.75" hidden="1" x14ac:dyDescent="0.25">
      <c r="B1019" s="32">
        <v>67</v>
      </c>
      <c r="F1019" s="32" t="s">
        <v>103</v>
      </c>
      <c r="J1019" s="32">
        <v>7</v>
      </c>
      <c r="P1019" s="32">
        <v>2310</v>
      </c>
      <c r="R1019" s="32">
        <v>820</v>
      </c>
      <c r="T1019" s="32">
        <v>1490</v>
      </c>
    </row>
    <row r="1020" spans="2:20" ht="12.75" hidden="1" x14ac:dyDescent="0.25">
      <c r="B1020" s="32">
        <v>68</v>
      </c>
      <c r="F1020" s="32" t="s">
        <v>211</v>
      </c>
      <c r="J1020" s="32">
        <v>1</v>
      </c>
      <c r="P1020" s="32">
        <v>500</v>
      </c>
      <c r="R1020" s="32">
        <v>150</v>
      </c>
      <c r="T1020" s="32">
        <v>350</v>
      </c>
    </row>
    <row r="1021" spans="2:20" ht="12.75" hidden="1" x14ac:dyDescent="0.25">
      <c r="B1021" s="32">
        <v>69</v>
      </c>
      <c r="F1021" s="32" t="s">
        <v>276</v>
      </c>
      <c r="J1021" s="32">
        <v>1</v>
      </c>
      <c r="P1021" s="32">
        <v>500</v>
      </c>
      <c r="R1021" s="32">
        <v>150</v>
      </c>
      <c r="T1021" s="32">
        <v>350</v>
      </c>
    </row>
    <row r="1022" spans="2:20" ht="12.75" hidden="1" x14ac:dyDescent="0.25">
      <c r="B1022" s="32">
        <v>70</v>
      </c>
      <c r="F1022" s="32" t="s">
        <v>275</v>
      </c>
      <c r="J1022" s="32">
        <v>1</v>
      </c>
      <c r="P1022" s="32">
        <v>700</v>
      </c>
      <c r="R1022" s="32">
        <v>350</v>
      </c>
      <c r="T1022" s="32">
        <v>350</v>
      </c>
    </row>
    <row r="1023" spans="2:20" ht="12.75" hidden="1" x14ac:dyDescent="0.25">
      <c r="B1023" s="32">
        <v>71</v>
      </c>
      <c r="F1023" s="32" t="s">
        <v>102</v>
      </c>
      <c r="J1023" s="32">
        <v>2</v>
      </c>
      <c r="P1023" s="32">
        <v>1760</v>
      </c>
      <c r="R1023" s="32">
        <v>260</v>
      </c>
      <c r="T1023" s="32">
        <v>1500</v>
      </c>
    </row>
    <row r="1024" spans="2:20" ht="12.75" hidden="1" x14ac:dyDescent="0.25">
      <c r="B1024" s="32">
        <v>72</v>
      </c>
      <c r="F1024" s="32" t="s">
        <v>101</v>
      </c>
      <c r="J1024" s="32">
        <v>1</v>
      </c>
      <c r="P1024" s="32">
        <v>460</v>
      </c>
      <c r="R1024" s="32">
        <v>140</v>
      </c>
      <c r="T1024" s="32">
        <v>320</v>
      </c>
    </row>
    <row r="1025" spans="2:20" ht="12.75" hidden="1" x14ac:dyDescent="0.25">
      <c r="B1025" s="32">
        <v>73</v>
      </c>
      <c r="F1025" s="32" t="s">
        <v>100</v>
      </c>
      <c r="J1025" s="32">
        <v>1</v>
      </c>
      <c r="P1025" s="32">
        <v>180</v>
      </c>
      <c r="R1025" s="32">
        <v>50</v>
      </c>
      <c r="T1025" s="32">
        <v>130</v>
      </c>
    </row>
    <row r="1026" spans="2:20" ht="12.75" hidden="1" x14ac:dyDescent="0.25">
      <c r="B1026" s="32">
        <v>74</v>
      </c>
      <c r="F1026" s="32" t="s">
        <v>178</v>
      </c>
      <c r="J1026" s="32">
        <v>1</v>
      </c>
      <c r="P1026" s="32">
        <v>1650</v>
      </c>
      <c r="R1026" s="32">
        <v>0</v>
      </c>
      <c r="T1026" s="32">
        <v>1650</v>
      </c>
    </row>
    <row r="1027" spans="2:20" ht="12.75" hidden="1" x14ac:dyDescent="0.25">
      <c r="B1027" s="32">
        <v>75</v>
      </c>
      <c r="F1027" s="32" t="s">
        <v>99</v>
      </c>
      <c r="J1027" s="32">
        <v>1</v>
      </c>
      <c r="P1027" s="32">
        <v>590</v>
      </c>
      <c r="R1027" s="32">
        <v>90</v>
      </c>
      <c r="T1027" s="32">
        <v>500</v>
      </c>
    </row>
    <row r="1028" spans="2:20" ht="12.75" hidden="1" x14ac:dyDescent="0.25">
      <c r="B1028" s="32">
        <v>76</v>
      </c>
      <c r="F1028" s="32" t="s">
        <v>98</v>
      </c>
      <c r="J1028" s="32">
        <v>1</v>
      </c>
      <c r="P1028" s="32">
        <v>570</v>
      </c>
      <c r="R1028" s="32">
        <v>80</v>
      </c>
      <c r="T1028" s="32">
        <v>490</v>
      </c>
    </row>
    <row r="1029" spans="2:20" ht="12.75" hidden="1" x14ac:dyDescent="0.25">
      <c r="B1029" s="32">
        <v>77</v>
      </c>
      <c r="F1029" s="32" t="s">
        <v>97</v>
      </c>
      <c r="J1029" s="32">
        <v>2</v>
      </c>
      <c r="P1029" s="32">
        <v>3180</v>
      </c>
      <c r="R1029" s="32">
        <v>480</v>
      </c>
      <c r="T1029" s="32">
        <v>2700</v>
      </c>
    </row>
    <row r="1030" spans="2:20" ht="12.75" hidden="1" x14ac:dyDescent="0.25">
      <c r="B1030" s="32">
        <v>78</v>
      </c>
      <c r="F1030" s="32" t="s">
        <v>96</v>
      </c>
      <c r="J1030" s="32">
        <v>3</v>
      </c>
      <c r="P1030" s="32">
        <v>1320</v>
      </c>
      <c r="R1030" s="32">
        <v>390</v>
      </c>
      <c r="T1030" s="32">
        <v>930</v>
      </c>
    </row>
    <row r="1031" spans="2:20" ht="12.75" hidden="1" x14ac:dyDescent="0.25">
      <c r="B1031" s="32">
        <v>79</v>
      </c>
      <c r="F1031" s="32" t="s">
        <v>324</v>
      </c>
      <c r="J1031" s="32">
        <v>1</v>
      </c>
      <c r="P1031" s="32">
        <v>350</v>
      </c>
      <c r="R1031" s="32">
        <v>100</v>
      </c>
      <c r="T1031" s="32">
        <v>250</v>
      </c>
    </row>
    <row r="1032" spans="2:20" ht="12.75" hidden="1" x14ac:dyDescent="0.25">
      <c r="B1032" s="32">
        <v>80</v>
      </c>
      <c r="F1032" s="32" t="s">
        <v>95</v>
      </c>
      <c r="J1032" s="32">
        <v>36</v>
      </c>
      <c r="P1032" s="32">
        <v>10440</v>
      </c>
      <c r="R1032" s="32">
        <v>2880</v>
      </c>
      <c r="T1032" s="32">
        <v>7560</v>
      </c>
    </row>
    <row r="1033" spans="2:20" ht="12.75" hidden="1" x14ac:dyDescent="0.25">
      <c r="B1033" s="32">
        <v>81</v>
      </c>
      <c r="F1033" s="32" t="s">
        <v>253</v>
      </c>
      <c r="J1033" s="32">
        <v>1</v>
      </c>
      <c r="P1033" s="32">
        <v>290</v>
      </c>
      <c r="R1033" s="32">
        <v>130</v>
      </c>
      <c r="T1033" s="32">
        <v>160</v>
      </c>
    </row>
    <row r="1034" spans="2:20" ht="12.75" hidden="1" x14ac:dyDescent="0.25">
      <c r="B1034" s="32">
        <v>82</v>
      </c>
      <c r="F1034" s="32" t="s">
        <v>93</v>
      </c>
      <c r="J1034" s="32">
        <v>15</v>
      </c>
      <c r="P1034" s="32">
        <v>8850</v>
      </c>
      <c r="R1034" s="32">
        <v>1350</v>
      </c>
      <c r="T1034" s="32">
        <v>7500</v>
      </c>
    </row>
    <row r="1035" spans="2:20" ht="12.75" hidden="1" x14ac:dyDescent="0.25">
      <c r="B1035" s="32">
        <v>83</v>
      </c>
      <c r="F1035" s="32" t="s">
        <v>92</v>
      </c>
      <c r="J1035" s="32">
        <v>39</v>
      </c>
      <c r="P1035" s="32">
        <v>29880</v>
      </c>
      <c r="R1035" s="32">
        <v>8880</v>
      </c>
      <c r="T1035" s="32">
        <v>21000</v>
      </c>
    </row>
    <row r="1036" spans="2:20" ht="12.75" hidden="1" x14ac:dyDescent="0.25">
      <c r="B1036" s="32">
        <v>84</v>
      </c>
      <c r="F1036" s="32" t="s">
        <v>91</v>
      </c>
      <c r="J1036" s="32">
        <v>29</v>
      </c>
      <c r="P1036" s="32">
        <v>7250</v>
      </c>
      <c r="R1036" s="32">
        <v>2030</v>
      </c>
      <c r="T1036" s="32">
        <v>5220</v>
      </c>
    </row>
    <row r="1037" spans="2:20" ht="12.75" hidden="1" x14ac:dyDescent="0.25">
      <c r="B1037" s="32">
        <v>85</v>
      </c>
      <c r="F1037" s="32" t="s">
        <v>90</v>
      </c>
      <c r="J1037" s="32">
        <v>32</v>
      </c>
      <c r="P1037" s="32">
        <v>9280</v>
      </c>
      <c r="R1037" s="32">
        <v>2560</v>
      </c>
      <c r="T1037" s="32">
        <v>6720</v>
      </c>
    </row>
    <row r="1038" spans="2:20" ht="12.75" hidden="1" x14ac:dyDescent="0.25">
      <c r="B1038" s="32">
        <v>86</v>
      </c>
      <c r="F1038" s="32" t="s">
        <v>89</v>
      </c>
      <c r="J1038" s="32">
        <v>2</v>
      </c>
      <c r="P1038" s="32">
        <v>1760</v>
      </c>
      <c r="R1038" s="32">
        <v>260</v>
      </c>
      <c r="T1038" s="32">
        <v>1500</v>
      </c>
    </row>
    <row r="1039" spans="2:20" ht="12.75" hidden="1" x14ac:dyDescent="0.25">
      <c r="B1039" s="32">
        <v>87</v>
      </c>
      <c r="F1039" s="32" t="s">
        <v>88</v>
      </c>
      <c r="J1039" s="32">
        <v>106</v>
      </c>
      <c r="P1039" s="32">
        <v>19080</v>
      </c>
      <c r="R1039" s="32">
        <v>6752</v>
      </c>
      <c r="T1039" s="32">
        <v>12328</v>
      </c>
    </row>
    <row r="1040" spans="2:20" ht="12.75" hidden="1" x14ac:dyDescent="0.25">
      <c r="B1040" s="32">
        <v>88</v>
      </c>
      <c r="F1040" s="32" t="s">
        <v>86</v>
      </c>
      <c r="J1040" s="32">
        <v>2</v>
      </c>
      <c r="P1040" s="32">
        <v>2280</v>
      </c>
      <c r="R1040" s="32">
        <v>340</v>
      </c>
      <c r="T1040" s="32">
        <v>1940</v>
      </c>
    </row>
    <row r="1041" spans="1:20" ht="12.75" hidden="1" x14ac:dyDescent="0.25">
      <c r="B1041" s="32">
        <v>89</v>
      </c>
      <c r="F1041" s="32" t="s">
        <v>85</v>
      </c>
      <c r="J1041" s="32">
        <v>7</v>
      </c>
      <c r="P1041" s="32">
        <v>14560</v>
      </c>
      <c r="R1041" s="32">
        <v>2170</v>
      </c>
      <c r="T1041" s="32">
        <v>12390</v>
      </c>
    </row>
    <row r="1042" spans="1:20" ht="12.75" hidden="1" x14ac:dyDescent="0.25">
      <c r="B1042" s="32">
        <v>90</v>
      </c>
      <c r="F1042" s="32" t="s">
        <v>84</v>
      </c>
      <c r="J1042" s="32">
        <v>6</v>
      </c>
      <c r="P1042" s="32">
        <v>3540</v>
      </c>
      <c r="R1042" s="32">
        <v>1080</v>
      </c>
      <c r="T1042" s="32">
        <v>2460</v>
      </c>
    </row>
    <row r="1043" spans="1:20" ht="12.75" hidden="1" x14ac:dyDescent="0.25">
      <c r="B1043" s="32">
        <v>91</v>
      </c>
      <c r="F1043" s="32" t="s">
        <v>208</v>
      </c>
      <c r="J1043" s="32">
        <v>1</v>
      </c>
      <c r="P1043" s="32">
        <v>500</v>
      </c>
      <c r="R1043" s="32">
        <v>150</v>
      </c>
      <c r="T1043" s="32">
        <v>350</v>
      </c>
    </row>
    <row r="1044" spans="1:20" ht="12.75" hidden="1" x14ac:dyDescent="0.25">
      <c r="B1044" s="32">
        <v>92</v>
      </c>
      <c r="F1044" s="32" t="s">
        <v>272</v>
      </c>
      <c r="J1044" s="32">
        <v>1</v>
      </c>
      <c r="P1044" s="32">
        <v>500</v>
      </c>
      <c r="R1044" s="32">
        <v>150</v>
      </c>
      <c r="T1044" s="32">
        <v>350</v>
      </c>
    </row>
    <row r="1045" spans="1:20" ht="12.75" hidden="1" x14ac:dyDescent="0.25">
      <c r="B1045" s="32">
        <v>93</v>
      </c>
      <c r="F1045" s="32" t="s">
        <v>205</v>
      </c>
      <c r="J1045" s="32">
        <v>2</v>
      </c>
      <c r="P1045" s="32">
        <v>1000</v>
      </c>
      <c r="R1045" s="32">
        <v>280</v>
      </c>
      <c r="T1045" s="32">
        <v>720</v>
      </c>
    </row>
    <row r="1046" spans="1:20" ht="12.75" hidden="1" x14ac:dyDescent="0.25">
      <c r="B1046" s="32">
        <v>94</v>
      </c>
      <c r="F1046" s="32" t="s">
        <v>83</v>
      </c>
      <c r="J1046" s="32">
        <v>4</v>
      </c>
      <c r="P1046" s="32">
        <v>2000</v>
      </c>
      <c r="R1046" s="32">
        <v>600</v>
      </c>
      <c r="T1046" s="32">
        <v>1400</v>
      </c>
    </row>
    <row r="1047" spans="1:20" ht="12.75" hidden="1" x14ac:dyDescent="0.25">
      <c r="B1047" s="32">
        <v>95</v>
      </c>
      <c r="F1047" s="32" t="s">
        <v>82</v>
      </c>
      <c r="J1047" s="32">
        <v>9</v>
      </c>
      <c r="P1047" s="32">
        <v>2610</v>
      </c>
      <c r="R1047" s="32">
        <v>2610</v>
      </c>
      <c r="T1047" s="32">
        <v>0</v>
      </c>
    </row>
    <row r="1048" spans="1:20" ht="12.75" hidden="1" x14ac:dyDescent="0.25">
      <c r="B1048" s="32">
        <v>96</v>
      </c>
      <c r="F1048" s="32" t="s">
        <v>81</v>
      </c>
      <c r="J1048" s="32">
        <v>188</v>
      </c>
      <c r="P1048" s="32">
        <v>54520</v>
      </c>
      <c r="R1048" s="32">
        <v>17770</v>
      </c>
      <c r="T1048" s="32">
        <v>36750</v>
      </c>
    </row>
    <row r="1049" spans="1:20" ht="12.75" hidden="1" x14ac:dyDescent="0.25">
      <c r="A1049" s="32" t="s">
        <v>433</v>
      </c>
      <c r="K1049" s="32">
        <v>2876</v>
      </c>
      <c r="P1049" s="32">
        <v>1421420</v>
      </c>
      <c r="R1049" s="32">
        <v>1058770</v>
      </c>
      <c r="T1049" s="32">
        <v>362650</v>
      </c>
    </row>
    <row r="1050" spans="1:20" ht="12.75" hidden="1" x14ac:dyDescent="0.25">
      <c r="B1050" s="32">
        <v>1</v>
      </c>
      <c r="F1050" s="32" t="s">
        <v>78</v>
      </c>
      <c r="J1050" s="32">
        <v>524</v>
      </c>
      <c r="P1050" s="32">
        <v>151960</v>
      </c>
      <c r="R1050" s="32">
        <v>151960</v>
      </c>
      <c r="T1050" s="32">
        <v>0</v>
      </c>
    </row>
    <row r="1051" spans="1:20" ht="12.75" hidden="1" x14ac:dyDescent="0.25">
      <c r="B1051" s="32">
        <v>2</v>
      </c>
      <c r="F1051" s="32" t="s">
        <v>199</v>
      </c>
      <c r="J1051" s="32">
        <v>1</v>
      </c>
      <c r="P1051" s="32">
        <v>290</v>
      </c>
      <c r="R1051" s="32">
        <v>80</v>
      </c>
      <c r="T1051" s="32">
        <v>210</v>
      </c>
    </row>
    <row r="1052" spans="1:20" ht="12.75" hidden="1" x14ac:dyDescent="0.25">
      <c r="B1052" s="32">
        <v>3</v>
      </c>
      <c r="F1052" s="32" t="s">
        <v>165</v>
      </c>
      <c r="J1052" s="32">
        <v>1</v>
      </c>
      <c r="P1052" s="32">
        <v>590</v>
      </c>
      <c r="R1052" s="32">
        <v>180</v>
      </c>
      <c r="T1052" s="32">
        <v>410</v>
      </c>
    </row>
    <row r="1053" spans="1:20" ht="12.75" hidden="1" x14ac:dyDescent="0.25">
      <c r="B1053" s="32">
        <v>4</v>
      </c>
      <c r="F1053" s="32" t="s">
        <v>162</v>
      </c>
      <c r="J1053" s="32">
        <v>6</v>
      </c>
      <c r="P1053" s="32">
        <v>2580</v>
      </c>
      <c r="R1053" s="32">
        <v>1107</v>
      </c>
      <c r="T1053" s="32">
        <v>1473</v>
      </c>
    </row>
    <row r="1054" spans="1:20" ht="12.75" hidden="1" x14ac:dyDescent="0.25">
      <c r="B1054" s="32">
        <v>5</v>
      </c>
      <c r="F1054" s="32" t="s">
        <v>160</v>
      </c>
      <c r="J1054" s="32">
        <v>7</v>
      </c>
      <c r="P1054" s="32">
        <v>2030</v>
      </c>
      <c r="R1054" s="32">
        <v>400</v>
      </c>
      <c r="T1054" s="32">
        <v>1630</v>
      </c>
    </row>
    <row r="1055" spans="1:20" ht="12.75" hidden="1" x14ac:dyDescent="0.25">
      <c r="B1055" s="32">
        <v>6</v>
      </c>
      <c r="F1055" s="32" t="s">
        <v>158</v>
      </c>
      <c r="J1055" s="32">
        <v>313</v>
      </c>
      <c r="P1055" s="32">
        <v>172150</v>
      </c>
      <c r="R1055" s="32">
        <v>63349</v>
      </c>
      <c r="T1055" s="32">
        <v>108801</v>
      </c>
    </row>
    <row r="1056" spans="1:20" ht="12.75" hidden="1" x14ac:dyDescent="0.25">
      <c r="B1056" s="32">
        <v>7</v>
      </c>
      <c r="F1056" s="32" t="s">
        <v>157</v>
      </c>
      <c r="J1056" s="32">
        <v>36</v>
      </c>
      <c r="P1056" s="32">
        <v>17640</v>
      </c>
      <c r="R1056" s="32">
        <v>7738</v>
      </c>
      <c r="T1056" s="32">
        <v>9902</v>
      </c>
    </row>
    <row r="1057" spans="2:20" ht="12.75" hidden="1" x14ac:dyDescent="0.25">
      <c r="B1057" s="32">
        <v>8</v>
      </c>
      <c r="F1057" s="32" t="s">
        <v>77</v>
      </c>
      <c r="J1057" s="32">
        <v>1162</v>
      </c>
      <c r="P1057" s="32">
        <v>472000</v>
      </c>
      <c r="R1057" s="32">
        <v>472000</v>
      </c>
      <c r="T1057" s="32">
        <v>0</v>
      </c>
    </row>
    <row r="1058" spans="2:20" ht="12.75" hidden="1" x14ac:dyDescent="0.25">
      <c r="B1058" s="32">
        <v>9</v>
      </c>
      <c r="F1058" s="32" t="s">
        <v>291</v>
      </c>
      <c r="J1058" s="32">
        <v>1</v>
      </c>
      <c r="P1058" s="32">
        <v>200</v>
      </c>
      <c r="R1058" s="32">
        <v>50</v>
      </c>
      <c r="T1058" s="32">
        <v>150</v>
      </c>
    </row>
    <row r="1059" spans="2:20" ht="12.75" hidden="1" x14ac:dyDescent="0.25">
      <c r="B1059" s="32">
        <v>10</v>
      </c>
      <c r="F1059" s="32" t="s">
        <v>156</v>
      </c>
      <c r="J1059" s="32">
        <v>18</v>
      </c>
      <c r="P1059" s="32">
        <v>3420</v>
      </c>
      <c r="R1059" s="32">
        <v>1170</v>
      </c>
      <c r="T1059" s="32">
        <v>2250</v>
      </c>
    </row>
    <row r="1060" spans="2:20" ht="12.75" hidden="1" x14ac:dyDescent="0.25">
      <c r="B1060" s="32">
        <v>11</v>
      </c>
      <c r="F1060" s="32" t="s">
        <v>155</v>
      </c>
      <c r="J1060" s="32">
        <v>127</v>
      </c>
      <c r="P1060" s="32">
        <v>31750</v>
      </c>
      <c r="R1060" s="32">
        <v>15833</v>
      </c>
      <c r="T1060" s="32">
        <v>15917</v>
      </c>
    </row>
    <row r="1061" spans="2:20" ht="12.75" hidden="1" x14ac:dyDescent="0.25">
      <c r="B1061" s="32">
        <v>12</v>
      </c>
      <c r="F1061" s="32" t="s">
        <v>152</v>
      </c>
      <c r="J1061" s="32">
        <v>2</v>
      </c>
      <c r="P1061" s="32">
        <v>1180</v>
      </c>
      <c r="R1061" s="32">
        <v>420</v>
      </c>
      <c r="T1061" s="32">
        <v>760</v>
      </c>
    </row>
    <row r="1062" spans="2:20" ht="12.75" hidden="1" x14ac:dyDescent="0.25">
      <c r="B1062" s="32">
        <v>13</v>
      </c>
      <c r="F1062" s="32" t="s">
        <v>151</v>
      </c>
      <c r="J1062" s="32">
        <v>13</v>
      </c>
      <c r="P1062" s="32">
        <v>2990</v>
      </c>
      <c r="R1062" s="32">
        <v>1010</v>
      </c>
      <c r="T1062" s="32">
        <v>1980</v>
      </c>
    </row>
    <row r="1063" spans="2:20" ht="12.75" hidden="1" x14ac:dyDescent="0.25">
      <c r="B1063" s="32">
        <v>14</v>
      </c>
      <c r="F1063" s="32" t="s">
        <v>193</v>
      </c>
      <c r="J1063" s="32">
        <v>1</v>
      </c>
      <c r="P1063" s="32">
        <v>890</v>
      </c>
      <c r="R1063" s="32">
        <v>130</v>
      </c>
      <c r="T1063" s="32">
        <v>760</v>
      </c>
    </row>
    <row r="1064" spans="2:20" ht="12.75" hidden="1" x14ac:dyDescent="0.25">
      <c r="B1064" s="32">
        <v>15</v>
      </c>
      <c r="F1064" s="32" t="s">
        <v>142</v>
      </c>
      <c r="J1064" s="32">
        <v>2</v>
      </c>
      <c r="P1064" s="32">
        <v>700</v>
      </c>
      <c r="R1064" s="32">
        <v>300</v>
      </c>
      <c r="T1064" s="32">
        <v>400</v>
      </c>
    </row>
    <row r="1065" spans="2:20" ht="12.75" hidden="1" x14ac:dyDescent="0.25">
      <c r="B1065" s="32">
        <v>16</v>
      </c>
      <c r="F1065" s="32" t="s">
        <v>75</v>
      </c>
      <c r="J1065" s="32">
        <v>79</v>
      </c>
      <c r="P1065" s="32">
        <v>197500</v>
      </c>
      <c r="R1065" s="32">
        <v>197500</v>
      </c>
      <c r="T1065" s="32">
        <v>0</v>
      </c>
    </row>
    <row r="1066" spans="2:20" ht="12.75" hidden="1" x14ac:dyDescent="0.25">
      <c r="B1066" s="32">
        <v>17</v>
      </c>
      <c r="F1066" s="32" t="s">
        <v>139</v>
      </c>
      <c r="J1066" s="32">
        <v>36</v>
      </c>
      <c r="P1066" s="32">
        <v>9720</v>
      </c>
      <c r="R1066" s="32">
        <v>2800</v>
      </c>
      <c r="T1066" s="32">
        <v>6920</v>
      </c>
    </row>
    <row r="1067" spans="2:20" ht="12.75" hidden="1" x14ac:dyDescent="0.25">
      <c r="B1067" s="32">
        <v>18</v>
      </c>
      <c r="F1067" s="32" t="s">
        <v>192</v>
      </c>
      <c r="J1067" s="32">
        <v>1</v>
      </c>
      <c r="P1067" s="32">
        <v>1550</v>
      </c>
      <c r="R1067" s="32">
        <v>0</v>
      </c>
      <c r="T1067" s="32">
        <v>1550</v>
      </c>
    </row>
    <row r="1068" spans="2:20" ht="12.75" hidden="1" x14ac:dyDescent="0.25">
      <c r="B1068" s="32">
        <v>19</v>
      </c>
      <c r="F1068" s="32" t="s">
        <v>136</v>
      </c>
      <c r="J1068" s="32">
        <v>18</v>
      </c>
      <c r="P1068" s="32">
        <v>15300</v>
      </c>
      <c r="R1068" s="32">
        <v>4160</v>
      </c>
      <c r="T1068" s="32">
        <v>11140</v>
      </c>
    </row>
    <row r="1069" spans="2:20" ht="12.75" hidden="1" x14ac:dyDescent="0.25">
      <c r="B1069" s="32">
        <v>20</v>
      </c>
      <c r="F1069" s="32" t="s">
        <v>74</v>
      </c>
      <c r="J1069" s="32">
        <v>1</v>
      </c>
      <c r="P1069" s="32">
        <v>850</v>
      </c>
      <c r="R1069" s="32">
        <v>850</v>
      </c>
      <c r="T1069" s="32">
        <v>0</v>
      </c>
    </row>
    <row r="1070" spans="2:20" ht="12.75" hidden="1" x14ac:dyDescent="0.25">
      <c r="B1070" s="32">
        <v>21</v>
      </c>
      <c r="F1070" s="32" t="s">
        <v>135</v>
      </c>
      <c r="J1070" s="32">
        <v>7</v>
      </c>
      <c r="P1070" s="32">
        <v>6650</v>
      </c>
      <c r="R1070" s="32">
        <v>1960</v>
      </c>
      <c r="T1070" s="32">
        <v>4690</v>
      </c>
    </row>
    <row r="1071" spans="2:20" ht="12.75" hidden="1" x14ac:dyDescent="0.25">
      <c r="B1071" s="32">
        <v>22</v>
      </c>
      <c r="F1071" s="32" t="s">
        <v>229</v>
      </c>
      <c r="J1071" s="32">
        <v>1</v>
      </c>
      <c r="P1071" s="32">
        <v>7000</v>
      </c>
      <c r="R1071" s="32">
        <v>3100</v>
      </c>
      <c r="T1071" s="32">
        <v>3900</v>
      </c>
    </row>
    <row r="1072" spans="2:20" ht="12.75" hidden="1" x14ac:dyDescent="0.25">
      <c r="B1072" s="32">
        <v>23</v>
      </c>
      <c r="F1072" s="32" t="s">
        <v>132</v>
      </c>
      <c r="J1072" s="32">
        <v>8</v>
      </c>
      <c r="P1072" s="32">
        <v>9920</v>
      </c>
      <c r="R1072" s="32">
        <v>2960</v>
      </c>
      <c r="T1072" s="32">
        <v>6960</v>
      </c>
    </row>
    <row r="1073" spans="2:20" ht="12.75" hidden="1" x14ac:dyDescent="0.25">
      <c r="B1073" s="32">
        <v>24</v>
      </c>
      <c r="F1073" s="32" t="s">
        <v>130</v>
      </c>
      <c r="J1073" s="32">
        <v>6</v>
      </c>
      <c r="P1073" s="32">
        <v>48000</v>
      </c>
      <c r="R1073" s="32">
        <v>24600</v>
      </c>
      <c r="T1073" s="32">
        <v>23400</v>
      </c>
    </row>
    <row r="1074" spans="2:20" ht="12.75" hidden="1" x14ac:dyDescent="0.25">
      <c r="B1074" s="32">
        <v>25</v>
      </c>
      <c r="F1074" s="32" t="s">
        <v>128</v>
      </c>
      <c r="J1074" s="32">
        <v>1</v>
      </c>
      <c r="P1074" s="32">
        <v>1150</v>
      </c>
      <c r="R1074" s="32">
        <v>170</v>
      </c>
      <c r="T1074" s="32">
        <v>980</v>
      </c>
    </row>
    <row r="1075" spans="2:20" ht="12.75" hidden="1" x14ac:dyDescent="0.25">
      <c r="B1075" s="32">
        <v>26</v>
      </c>
      <c r="F1075" s="32" t="s">
        <v>127</v>
      </c>
      <c r="J1075" s="32">
        <v>3</v>
      </c>
      <c r="P1075" s="32">
        <v>900</v>
      </c>
      <c r="R1075" s="32">
        <v>311</v>
      </c>
      <c r="T1075" s="32">
        <v>589</v>
      </c>
    </row>
    <row r="1076" spans="2:20" ht="12.75" hidden="1" x14ac:dyDescent="0.25">
      <c r="B1076" s="32">
        <v>27</v>
      </c>
      <c r="F1076" s="32" t="s">
        <v>126</v>
      </c>
      <c r="J1076" s="32">
        <v>14</v>
      </c>
      <c r="P1076" s="32">
        <v>2800</v>
      </c>
      <c r="R1076" s="32">
        <v>867</v>
      </c>
      <c r="T1076" s="32">
        <v>1933</v>
      </c>
    </row>
    <row r="1077" spans="2:20" ht="12.75" hidden="1" x14ac:dyDescent="0.25">
      <c r="B1077" s="32">
        <v>28</v>
      </c>
      <c r="F1077" s="32" t="s">
        <v>125</v>
      </c>
      <c r="J1077" s="32">
        <v>9</v>
      </c>
      <c r="P1077" s="32">
        <v>3600</v>
      </c>
      <c r="R1077" s="32">
        <v>1080</v>
      </c>
      <c r="T1077" s="32">
        <v>2520</v>
      </c>
    </row>
    <row r="1078" spans="2:20" ht="12.75" hidden="1" x14ac:dyDescent="0.25">
      <c r="B1078" s="32">
        <v>29</v>
      </c>
      <c r="F1078" s="32" t="s">
        <v>123</v>
      </c>
      <c r="J1078" s="32">
        <v>4</v>
      </c>
      <c r="P1078" s="32">
        <v>3120</v>
      </c>
      <c r="R1078" s="32">
        <v>920</v>
      </c>
      <c r="T1078" s="32">
        <v>2200</v>
      </c>
    </row>
    <row r="1079" spans="2:20" ht="12.75" hidden="1" x14ac:dyDescent="0.25">
      <c r="B1079" s="32">
        <v>30</v>
      </c>
      <c r="F1079" s="32" t="s">
        <v>183</v>
      </c>
      <c r="J1079" s="32">
        <v>1</v>
      </c>
      <c r="P1079" s="32">
        <v>440</v>
      </c>
      <c r="R1079" s="32">
        <v>130</v>
      </c>
      <c r="T1079" s="32">
        <v>310</v>
      </c>
    </row>
    <row r="1080" spans="2:20" ht="12.75" hidden="1" x14ac:dyDescent="0.25">
      <c r="B1080" s="32">
        <v>31</v>
      </c>
      <c r="F1080" s="32" t="s">
        <v>282</v>
      </c>
      <c r="J1080" s="32">
        <v>1</v>
      </c>
      <c r="P1080" s="32">
        <v>900</v>
      </c>
      <c r="R1080" s="32">
        <v>270</v>
      </c>
      <c r="T1080" s="32">
        <v>630</v>
      </c>
    </row>
    <row r="1081" spans="2:20" ht="12.75" hidden="1" x14ac:dyDescent="0.25">
      <c r="B1081" s="32">
        <v>32</v>
      </c>
      <c r="F1081" s="32" t="s">
        <v>182</v>
      </c>
      <c r="J1081" s="32">
        <v>1</v>
      </c>
      <c r="P1081" s="32">
        <v>790</v>
      </c>
      <c r="R1081" s="32">
        <v>120</v>
      </c>
      <c r="T1081" s="32">
        <v>670</v>
      </c>
    </row>
    <row r="1082" spans="2:20" ht="12.75" hidden="1" x14ac:dyDescent="0.25">
      <c r="B1082" s="32">
        <v>33</v>
      </c>
      <c r="F1082" s="32" t="s">
        <v>119</v>
      </c>
      <c r="J1082" s="32">
        <v>6</v>
      </c>
      <c r="P1082" s="32">
        <v>5340</v>
      </c>
      <c r="R1082" s="32">
        <v>1380</v>
      </c>
      <c r="T1082" s="32">
        <v>3960</v>
      </c>
    </row>
    <row r="1083" spans="2:20" ht="12.75" hidden="1" x14ac:dyDescent="0.25">
      <c r="B1083" s="32">
        <v>34</v>
      </c>
      <c r="F1083" s="32" t="s">
        <v>118</v>
      </c>
      <c r="J1083" s="32">
        <v>146</v>
      </c>
      <c r="P1083" s="32">
        <v>144540</v>
      </c>
      <c r="R1083" s="32">
        <v>68085</v>
      </c>
      <c r="T1083" s="32">
        <v>76455</v>
      </c>
    </row>
    <row r="1084" spans="2:20" ht="12.75" hidden="1" x14ac:dyDescent="0.25">
      <c r="B1084" s="32">
        <v>35</v>
      </c>
      <c r="F1084" s="32" t="s">
        <v>115</v>
      </c>
      <c r="J1084" s="32">
        <v>1</v>
      </c>
      <c r="P1084" s="32">
        <v>290</v>
      </c>
      <c r="R1084" s="32">
        <v>110</v>
      </c>
      <c r="T1084" s="32">
        <v>180</v>
      </c>
    </row>
    <row r="1085" spans="2:20" ht="12.75" hidden="1" x14ac:dyDescent="0.25">
      <c r="B1085" s="32">
        <v>36</v>
      </c>
      <c r="F1085" s="32" t="s">
        <v>432</v>
      </c>
      <c r="J1085" s="32">
        <v>2</v>
      </c>
      <c r="P1085" s="32">
        <v>120</v>
      </c>
      <c r="R1085" s="32">
        <v>0</v>
      </c>
      <c r="T1085" s="32">
        <v>120</v>
      </c>
    </row>
    <row r="1086" spans="2:20" ht="12.75" hidden="1" x14ac:dyDescent="0.25">
      <c r="B1086" s="32">
        <v>37</v>
      </c>
      <c r="F1086" s="32" t="s">
        <v>300</v>
      </c>
      <c r="J1086" s="32">
        <v>1</v>
      </c>
      <c r="P1086" s="32">
        <v>330</v>
      </c>
      <c r="R1086" s="32">
        <v>100</v>
      </c>
      <c r="T1086" s="32">
        <v>230</v>
      </c>
    </row>
    <row r="1087" spans="2:20" ht="12.75" hidden="1" x14ac:dyDescent="0.25">
      <c r="B1087" s="32">
        <v>38</v>
      </c>
      <c r="F1087" s="32" t="s">
        <v>334</v>
      </c>
      <c r="J1087" s="32">
        <v>1</v>
      </c>
      <c r="P1087" s="32">
        <v>790</v>
      </c>
      <c r="R1087" s="32">
        <v>120</v>
      </c>
      <c r="T1087" s="32">
        <v>670</v>
      </c>
    </row>
    <row r="1088" spans="2:20" ht="12.75" hidden="1" x14ac:dyDescent="0.25">
      <c r="B1088" s="32">
        <v>39</v>
      </c>
      <c r="F1088" s="32" t="s">
        <v>110</v>
      </c>
      <c r="J1088" s="32">
        <v>1</v>
      </c>
      <c r="P1088" s="32">
        <v>1080</v>
      </c>
      <c r="R1088" s="32">
        <v>160</v>
      </c>
      <c r="T1088" s="32">
        <v>920</v>
      </c>
    </row>
    <row r="1089" spans="2:20" ht="12.75" hidden="1" x14ac:dyDescent="0.25">
      <c r="B1089" s="32">
        <v>40</v>
      </c>
      <c r="F1089" s="32" t="s">
        <v>108</v>
      </c>
      <c r="J1089" s="32">
        <v>3</v>
      </c>
      <c r="P1089" s="32">
        <v>300</v>
      </c>
      <c r="R1089" s="32">
        <v>90</v>
      </c>
      <c r="T1089" s="32">
        <v>210</v>
      </c>
    </row>
    <row r="1090" spans="2:20" ht="12.75" hidden="1" x14ac:dyDescent="0.25">
      <c r="B1090" s="32">
        <v>41</v>
      </c>
      <c r="F1090" s="32" t="s">
        <v>107</v>
      </c>
      <c r="J1090" s="32">
        <v>45</v>
      </c>
      <c r="P1090" s="32">
        <v>7650</v>
      </c>
      <c r="R1090" s="32">
        <v>2014</v>
      </c>
      <c r="T1090" s="32">
        <v>5636</v>
      </c>
    </row>
    <row r="1091" spans="2:20" ht="12.75" hidden="1" x14ac:dyDescent="0.25">
      <c r="B1091" s="32">
        <v>42</v>
      </c>
      <c r="F1091" s="32" t="s">
        <v>218</v>
      </c>
      <c r="J1091" s="32">
        <v>1</v>
      </c>
      <c r="P1091" s="32">
        <v>290</v>
      </c>
      <c r="R1091" s="32">
        <v>80</v>
      </c>
      <c r="T1091" s="32">
        <v>210</v>
      </c>
    </row>
    <row r="1092" spans="2:20" ht="12.75" hidden="1" x14ac:dyDescent="0.25">
      <c r="B1092" s="32">
        <v>43</v>
      </c>
      <c r="F1092" s="32" t="s">
        <v>217</v>
      </c>
      <c r="J1092" s="32">
        <v>2</v>
      </c>
      <c r="P1092" s="32">
        <v>700</v>
      </c>
      <c r="R1092" s="32">
        <v>200</v>
      </c>
      <c r="T1092" s="32">
        <v>500</v>
      </c>
    </row>
    <row r="1093" spans="2:20" ht="12.75" hidden="1" x14ac:dyDescent="0.25">
      <c r="B1093" s="32">
        <v>44</v>
      </c>
      <c r="F1093" s="32" t="s">
        <v>216</v>
      </c>
      <c r="J1093" s="32">
        <v>1</v>
      </c>
      <c r="P1093" s="32">
        <v>1080</v>
      </c>
      <c r="R1093" s="32">
        <v>165</v>
      </c>
      <c r="T1093" s="32">
        <v>915</v>
      </c>
    </row>
    <row r="1094" spans="2:20" ht="12.75" hidden="1" x14ac:dyDescent="0.25">
      <c r="B1094" s="32">
        <v>45</v>
      </c>
      <c r="F1094" s="32" t="s">
        <v>103</v>
      </c>
      <c r="J1094" s="32">
        <v>6</v>
      </c>
      <c r="P1094" s="32">
        <v>1980</v>
      </c>
      <c r="R1094" s="32">
        <v>760</v>
      </c>
      <c r="T1094" s="32">
        <v>1220</v>
      </c>
    </row>
    <row r="1095" spans="2:20" ht="12.75" hidden="1" x14ac:dyDescent="0.25">
      <c r="B1095" s="32">
        <v>46</v>
      </c>
      <c r="F1095" s="32" t="s">
        <v>100</v>
      </c>
      <c r="J1095" s="32">
        <v>1</v>
      </c>
      <c r="P1095" s="32">
        <v>180</v>
      </c>
      <c r="R1095" s="32">
        <v>50</v>
      </c>
      <c r="T1095" s="32">
        <v>130</v>
      </c>
    </row>
    <row r="1096" spans="2:20" ht="12.75" hidden="1" x14ac:dyDescent="0.25">
      <c r="B1096" s="32">
        <v>47</v>
      </c>
      <c r="F1096" s="32" t="s">
        <v>178</v>
      </c>
      <c r="J1096" s="32">
        <v>1</v>
      </c>
      <c r="P1096" s="32">
        <v>1650</v>
      </c>
      <c r="R1096" s="32">
        <v>0</v>
      </c>
      <c r="T1096" s="32">
        <v>1650</v>
      </c>
    </row>
    <row r="1097" spans="2:20" ht="12.75" hidden="1" x14ac:dyDescent="0.25">
      <c r="B1097" s="32">
        <v>48</v>
      </c>
      <c r="F1097" s="32" t="s">
        <v>99</v>
      </c>
      <c r="J1097" s="32">
        <v>3</v>
      </c>
      <c r="P1097" s="32">
        <v>1770</v>
      </c>
      <c r="R1097" s="32">
        <v>270</v>
      </c>
      <c r="T1097" s="32">
        <v>1500</v>
      </c>
    </row>
    <row r="1098" spans="2:20" ht="12.75" hidden="1" x14ac:dyDescent="0.25">
      <c r="B1098" s="32">
        <v>49</v>
      </c>
      <c r="F1098" s="32" t="s">
        <v>98</v>
      </c>
      <c r="J1098" s="32">
        <v>3</v>
      </c>
      <c r="P1098" s="32">
        <v>1710</v>
      </c>
      <c r="R1098" s="32">
        <v>240</v>
      </c>
      <c r="T1098" s="32">
        <v>1470</v>
      </c>
    </row>
    <row r="1099" spans="2:20" ht="12.75" hidden="1" x14ac:dyDescent="0.25">
      <c r="B1099" s="32">
        <v>50</v>
      </c>
      <c r="F1099" s="32" t="s">
        <v>176</v>
      </c>
      <c r="J1099" s="32">
        <v>1</v>
      </c>
      <c r="P1099" s="32">
        <v>1060</v>
      </c>
      <c r="R1099" s="32">
        <v>160</v>
      </c>
      <c r="T1099" s="32">
        <v>900</v>
      </c>
    </row>
    <row r="1100" spans="2:20" ht="12.75" hidden="1" x14ac:dyDescent="0.25">
      <c r="B1100" s="32">
        <v>51</v>
      </c>
      <c r="F1100" s="32" t="s">
        <v>93</v>
      </c>
      <c r="J1100" s="32">
        <v>2</v>
      </c>
      <c r="P1100" s="32">
        <v>1180</v>
      </c>
      <c r="R1100" s="32">
        <v>180</v>
      </c>
      <c r="T1100" s="32">
        <v>1000</v>
      </c>
    </row>
    <row r="1101" spans="2:20" ht="12.75" hidden="1" x14ac:dyDescent="0.25">
      <c r="B1101" s="32">
        <v>52</v>
      </c>
      <c r="F1101" s="32" t="s">
        <v>92</v>
      </c>
      <c r="J1101" s="32">
        <v>6</v>
      </c>
      <c r="P1101" s="32">
        <v>5120</v>
      </c>
      <c r="R1101" s="32">
        <v>1200</v>
      </c>
      <c r="T1101" s="32">
        <v>3920</v>
      </c>
    </row>
    <row r="1102" spans="2:20" ht="12.75" hidden="1" x14ac:dyDescent="0.25">
      <c r="B1102" s="32">
        <v>53</v>
      </c>
      <c r="F1102" s="32" t="s">
        <v>174</v>
      </c>
      <c r="J1102" s="32">
        <v>4</v>
      </c>
      <c r="P1102" s="32">
        <v>1600</v>
      </c>
      <c r="R1102" s="32">
        <v>120</v>
      </c>
      <c r="T1102" s="32">
        <v>1480</v>
      </c>
    </row>
    <row r="1103" spans="2:20" ht="12.75" hidden="1" x14ac:dyDescent="0.25">
      <c r="B1103" s="32">
        <v>54</v>
      </c>
      <c r="F1103" s="32" t="s">
        <v>91</v>
      </c>
      <c r="J1103" s="32">
        <v>127</v>
      </c>
      <c r="P1103" s="32">
        <v>31750</v>
      </c>
      <c r="R1103" s="32">
        <v>15703</v>
      </c>
      <c r="T1103" s="32">
        <v>16047</v>
      </c>
    </row>
    <row r="1104" spans="2:20" ht="12.75" hidden="1" x14ac:dyDescent="0.25">
      <c r="B1104" s="32">
        <v>55</v>
      </c>
      <c r="F1104" s="32" t="s">
        <v>90</v>
      </c>
      <c r="J1104" s="32">
        <v>76</v>
      </c>
      <c r="P1104" s="32">
        <v>22040</v>
      </c>
      <c r="R1104" s="32">
        <v>5600</v>
      </c>
      <c r="T1104" s="32">
        <v>16440</v>
      </c>
    </row>
    <row r="1105" spans="1:20" ht="12.75" hidden="1" x14ac:dyDescent="0.25">
      <c r="B1105" s="32">
        <v>56</v>
      </c>
      <c r="F1105" s="32" t="s">
        <v>88</v>
      </c>
      <c r="J1105" s="32">
        <v>7</v>
      </c>
      <c r="P1105" s="32">
        <v>1260</v>
      </c>
      <c r="R1105" s="32">
        <v>468</v>
      </c>
      <c r="T1105" s="32">
        <v>792</v>
      </c>
    </row>
    <row r="1106" spans="1:20" ht="12.75" hidden="1" x14ac:dyDescent="0.25">
      <c r="B1106" s="32">
        <v>57</v>
      </c>
      <c r="F1106" s="32" t="s">
        <v>85</v>
      </c>
      <c r="J1106" s="32">
        <v>2</v>
      </c>
      <c r="P1106" s="32">
        <v>4160</v>
      </c>
      <c r="R1106" s="32">
        <v>620</v>
      </c>
      <c r="T1106" s="32">
        <v>3540</v>
      </c>
    </row>
    <row r="1107" spans="1:20" ht="12.75" hidden="1" x14ac:dyDescent="0.25">
      <c r="B1107" s="32">
        <v>58</v>
      </c>
      <c r="F1107" s="32" t="s">
        <v>84</v>
      </c>
      <c r="J1107" s="32">
        <v>21</v>
      </c>
      <c r="P1107" s="32">
        <v>12390</v>
      </c>
      <c r="R1107" s="32">
        <v>3240</v>
      </c>
      <c r="T1107" s="32">
        <v>9150</v>
      </c>
    </row>
    <row r="1108" spans="1:20" ht="12.75" hidden="1" x14ac:dyDescent="0.25">
      <c r="B1108" s="32">
        <v>59</v>
      </c>
      <c r="F1108" s="32" t="s">
        <v>202</v>
      </c>
      <c r="J1108" s="32">
        <v>1</v>
      </c>
      <c r="P1108" s="32">
        <v>500</v>
      </c>
      <c r="R1108" s="32">
        <v>130</v>
      </c>
      <c r="T1108" s="32">
        <v>370</v>
      </c>
    </row>
    <row r="1109" spans="1:20" ht="12.75" hidden="1" x14ac:dyDescent="0.25">
      <c r="A1109" s="32" t="s">
        <v>431</v>
      </c>
      <c r="K1109" s="32">
        <v>1058</v>
      </c>
      <c r="P1109" s="32">
        <v>1894770</v>
      </c>
      <c r="R1109" s="32">
        <v>1852100</v>
      </c>
      <c r="T1109" s="32">
        <v>42670</v>
      </c>
    </row>
    <row r="1110" spans="1:20" ht="12.75" hidden="1" x14ac:dyDescent="0.25">
      <c r="B1110" s="32">
        <v>1</v>
      </c>
      <c r="F1110" s="32" t="s">
        <v>200</v>
      </c>
      <c r="J1110" s="32">
        <v>1</v>
      </c>
      <c r="P1110" s="32">
        <v>500</v>
      </c>
      <c r="R1110" s="32">
        <v>150</v>
      </c>
      <c r="T1110" s="32">
        <v>350</v>
      </c>
    </row>
    <row r="1111" spans="1:20" ht="12.75" hidden="1" x14ac:dyDescent="0.25">
      <c r="B1111" s="32">
        <v>2</v>
      </c>
      <c r="F1111" s="32" t="s">
        <v>250</v>
      </c>
      <c r="J1111" s="32">
        <v>2</v>
      </c>
      <c r="P1111" s="32">
        <v>1000</v>
      </c>
      <c r="R1111" s="32">
        <v>300</v>
      </c>
      <c r="T1111" s="32">
        <v>700</v>
      </c>
    </row>
    <row r="1112" spans="1:20" ht="12.75" hidden="1" x14ac:dyDescent="0.25">
      <c r="B1112" s="32">
        <v>3</v>
      </c>
      <c r="F1112" s="32" t="s">
        <v>78</v>
      </c>
      <c r="J1112" s="32">
        <v>3</v>
      </c>
      <c r="P1112" s="32">
        <v>870</v>
      </c>
      <c r="R1112" s="32">
        <v>870</v>
      </c>
      <c r="T1112" s="32">
        <v>0</v>
      </c>
    </row>
    <row r="1113" spans="1:20" ht="12.75" hidden="1" x14ac:dyDescent="0.25">
      <c r="B1113" s="32">
        <v>4</v>
      </c>
      <c r="F1113" s="32" t="s">
        <v>197</v>
      </c>
      <c r="J1113" s="32">
        <v>6</v>
      </c>
      <c r="P1113" s="32">
        <v>3000</v>
      </c>
      <c r="R1113" s="32">
        <v>900</v>
      </c>
      <c r="T1113" s="32">
        <v>2100</v>
      </c>
    </row>
    <row r="1114" spans="1:20" ht="12.75" hidden="1" x14ac:dyDescent="0.25">
      <c r="B1114" s="32">
        <v>5</v>
      </c>
      <c r="F1114" s="32" t="s">
        <v>293</v>
      </c>
      <c r="J1114" s="32">
        <v>1</v>
      </c>
      <c r="P1114" s="32">
        <v>700</v>
      </c>
      <c r="R1114" s="32">
        <v>180</v>
      </c>
      <c r="T1114" s="32">
        <v>520</v>
      </c>
    </row>
    <row r="1115" spans="1:20" ht="12.75" hidden="1" x14ac:dyDescent="0.25">
      <c r="B1115" s="32">
        <v>6</v>
      </c>
      <c r="F1115" s="32" t="s">
        <v>196</v>
      </c>
      <c r="J1115" s="32">
        <v>5</v>
      </c>
      <c r="P1115" s="32">
        <v>3500</v>
      </c>
      <c r="R1115" s="32">
        <v>1750</v>
      </c>
      <c r="T1115" s="32">
        <v>1750</v>
      </c>
    </row>
    <row r="1116" spans="1:20" ht="12.75" hidden="1" x14ac:dyDescent="0.25">
      <c r="B1116" s="32">
        <v>7</v>
      </c>
      <c r="F1116" s="32" t="s">
        <v>77</v>
      </c>
      <c r="J1116" s="32">
        <v>239</v>
      </c>
      <c r="P1116" s="32">
        <v>98100</v>
      </c>
      <c r="R1116" s="32">
        <v>98100</v>
      </c>
      <c r="T1116" s="32">
        <v>0</v>
      </c>
    </row>
    <row r="1117" spans="1:20" ht="12.75" hidden="1" x14ac:dyDescent="0.25">
      <c r="B1117" s="32">
        <v>8</v>
      </c>
      <c r="F1117" s="32" t="s">
        <v>76</v>
      </c>
      <c r="J1117" s="32">
        <v>6</v>
      </c>
      <c r="P1117" s="32">
        <v>3400</v>
      </c>
      <c r="R1117" s="32">
        <v>3400</v>
      </c>
      <c r="T1117" s="32">
        <v>0</v>
      </c>
    </row>
    <row r="1118" spans="1:20" ht="12.75" hidden="1" x14ac:dyDescent="0.25">
      <c r="B1118" s="32">
        <v>9</v>
      </c>
      <c r="F1118" s="32" t="s">
        <v>289</v>
      </c>
      <c r="J1118" s="32">
        <v>4</v>
      </c>
      <c r="P1118" s="32">
        <v>2000</v>
      </c>
      <c r="R1118" s="32">
        <v>600</v>
      </c>
      <c r="T1118" s="32">
        <v>1400</v>
      </c>
    </row>
    <row r="1119" spans="1:20" ht="12.75" hidden="1" x14ac:dyDescent="0.25">
      <c r="B1119" s="32">
        <v>10</v>
      </c>
      <c r="F1119" s="32" t="s">
        <v>288</v>
      </c>
      <c r="J1119" s="32">
        <v>1</v>
      </c>
      <c r="P1119" s="32">
        <v>800</v>
      </c>
      <c r="R1119" s="32">
        <v>450</v>
      </c>
      <c r="T1119" s="32">
        <v>350</v>
      </c>
    </row>
    <row r="1120" spans="1:20" ht="12.75" hidden="1" x14ac:dyDescent="0.25">
      <c r="B1120" s="32">
        <v>11</v>
      </c>
      <c r="F1120" s="32" t="s">
        <v>234</v>
      </c>
      <c r="J1120" s="32">
        <v>1</v>
      </c>
      <c r="P1120" s="32">
        <v>800</v>
      </c>
      <c r="R1120" s="32">
        <v>450</v>
      </c>
      <c r="T1120" s="32">
        <v>350</v>
      </c>
    </row>
    <row r="1121" spans="2:20" ht="12.75" hidden="1" x14ac:dyDescent="0.25">
      <c r="B1121" s="32">
        <v>12</v>
      </c>
      <c r="F1121" s="32" t="s">
        <v>287</v>
      </c>
      <c r="J1121" s="32">
        <v>6</v>
      </c>
      <c r="P1121" s="32">
        <v>4800</v>
      </c>
      <c r="R1121" s="32">
        <v>2700</v>
      </c>
      <c r="T1121" s="32">
        <v>2100</v>
      </c>
    </row>
    <row r="1122" spans="2:20" ht="12.75" hidden="1" x14ac:dyDescent="0.25">
      <c r="B1122" s="32">
        <v>13</v>
      </c>
      <c r="F1122" s="32" t="s">
        <v>75</v>
      </c>
      <c r="J1122" s="32">
        <v>688</v>
      </c>
      <c r="P1122" s="32">
        <v>1720000</v>
      </c>
      <c r="R1122" s="32">
        <v>1720000</v>
      </c>
      <c r="T1122" s="32">
        <v>0</v>
      </c>
    </row>
    <row r="1123" spans="2:20" ht="12.75" hidden="1" x14ac:dyDescent="0.25">
      <c r="B1123" s="32">
        <v>14</v>
      </c>
      <c r="F1123" s="32" t="s">
        <v>231</v>
      </c>
      <c r="J1123" s="32">
        <v>4</v>
      </c>
      <c r="P1123" s="32">
        <v>2000</v>
      </c>
      <c r="R1123" s="32">
        <v>600</v>
      </c>
      <c r="T1123" s="32">
        <v>1400</v>
      </c>
    </row>
    <row r="1124" spans="2:20" ht="12.75" hidden="1" x14ac:dyDescent="0.25">
      <c r="B1124" s="32">
        <v>15</v>
      </c>
      <c r="F1124" s="32" t="s">
        <v>302</v>
      </c>
      <c r="J1124" s="32">
        <v>8</v>
      </c>
      <c r="P1124" s="32">
        <v>6400</v>
      </c>
      <c r="R1124" s="32">
        <v>3600</v>
      </c>
      <c r="T1124" s="32">
        <v>2800</v>
      </c>
    </row>
    <row r="1125" spans="2:20" ht="12.75" hidden="1" x14ac:dyDescent="0.25">
      <c r="B1125" s="32">
        <v>16</v>
      </c>
      <c r="F1125" s="32" t="s">
        <v>138</v>
      </c>
      <c r="J1125" s="32">
        <v>2</v>
      </c>
      <c r="P1125" s="32">
        <v>1600</v>
      </c>
      <c r="R1125" s="32">
        <v>900</v>
      </c>
      <c r="T1125" s="32">
        <v>700</v>
      </c>
    </row>
    <row r="1126" spans="2:20" ht="12.75" hidden="1" x14ac:dyDescent="0.25">
      <c r="B1126" s="32">
        <v>17</v>
      </c>
      <c r="F1126" s="32" t="s">
        <v>74</v>
      </c>
      <c r="J1126" s="32">
        <v>2</v>
      </c>
      <c r="P1126" s="32">
        <v>1700</v>
      </c>
      <c r="R1126" s="32">
        <v>1700</v>
      </c>
      <c r="T1126" s="32">
        <v>0</v>
      </c>
    </row>
    <row r="1127" spans="2:20" ht="12.75" hidden="1" x14ac:dyDescent="0.25">
      <c r="B1127" s="32">
        <v>18</v>
      </c>
      <c r="F1127" s="32" t="s">
        <v>185</v>
      </c>
      <c r="J1127" s="32">
        <v>6</v>
      </c>
      <c r="P1127" s="32">
        <v>4800</v>
      </c>
      <c r="R1127" s="32">
        <v>2700</v>
      </c>
      <c r="T1127" s="32">
        <v>2100</v>
      </c>
    </row>
    <row r="1128" spans="2:20" ht="12.75" hidden="1" x14ac:dyDescent="0.25">
      <c r="B1128" s="32">
        <v>19</v>
      </c>
      <c r="F1128" s="32" t="s">
        <v>283</v>
      </c>
      <c r="J1128" s="32">
        <v>1</v>
      </c>
      <c r="P1128" s="32">
        <v>800</v>
      </c>
      <c r="R1128" s="32">
        <v>450</v>
      </c>
      <c r="T1128" s="32">
        <v>350</v>
      </c>
    </row>
    <row r="1129" spans="2:20" ht="12.75" hidden="1" x14ac:dyDescent="0.25">
      <c r="B1129" s="32">
        <v>20</v>
      </c>
      <c r="F1129" s="32" t="s">
        <v>366</v>
      </c>
      <c r="J1129" s="32">
        <v>4</v>
      </c>
      <c r="P1129" s="32">
        <v>3200</v>
      </c>
      <c r="R1129" s="32">
        <v>1800</v>
      </c>
      <c r="T1129" s="32">
        <v>1400</v>
      </c>
    </row>
    <row r="1130" spans="2:20" ht="12.75" hidden="1" x14ac:dyDescent="0.25">
      <c r="B1130" s="32">
        <v>21</v>
      </c>
      <c r="F1130" s="32" t="s">
        <v>122</v>
      </c>
      <c r="J1130" s="32">
        <v>15</v>
      </c>
      <c r="P1130" s="32">
        <v>7500</v>
      </c>
      <c r="R1130" s="32">
        <v>2250</v>
      </c>
      <c r="T1130" s="32">
        <v>5250</v>
      </c>
    </row>
    <row r="1131" spans="2:20" ht="12.75" hidden="1" x14ac:dyDescent="0.25">
      <c r="B1131" s="32">
        <v>22</v>
      </c>
      <c r="F1131" s="32" t="s">
        <v>121</v>
      </c>
      <c r="J1131" s="32">
        <v>2</v>
      </c>
      <c r="P1131" s="32">
        <v>1000</v>
      </c>
      <c r="R1131" s="32">
        <v>300</v>
      </c>
      <c r="T1131" s="32">
        <v>700</v>
      </c>
    </row>
    <row r="1132" spans="2:20" ht="12.75" hidden="1" x14ac:dyDescent="0.25">
      <c r="B1132" s="32">
        <v>23</v>
      </c>
      <c r="F1132" s="32" t="s">
        <v>349</v>
      </c>
      <c r="J1132" s="32">
        <v>4</v>
      </c>
      <c r="P1132" s="32">
        <v>2000</v>
      </c>
      <c r="R1132" s="32">
        <v>600</v>
      </c>
      <c r="T1132" s="32">
        <v>1400</v>
      </c>
    </row>
    <row r="1133" spans="2:20" ht="12.75" hidden="1" x14ac:dyDescent="0.25">
      <c r="B1133" s="32">
        <v>24</v>
      </c>
      <c r="F1133" s="32" t="s">
        <v>282</v>
      </c>
      <c r="J1133" s="32">
        <v>13</v>
      </c>
      <c r="P1133" s="32">
        <v>6500</v>
      </c>
      <c r="R1133" s="32">
        <v>1950</v>
      </c>
      <c r="T1133" s="32">
        <v>4550</v>
      </c>
    </row>
    <row r="1134" spans="2:20" ht="12.75" hidden="1" x14ac:dyDescent="0.25">
      <c r="B1134" s="32">
        <v>25</v>
      </c>
      <c r="F1134" s="32" t="s">
        <v>117</v>
      </c>
      <c r="J1134" s="32">
        <v>1</v>
      </c>
      <c r="P1134" s="32">
        <v>800</v>
      </c>
      <c r="R1134" s="32">
        <v>200</v>
      </c>
      <c r="T1134" s="32">
        <v>600</v>
      </c>
    </row>
    <row r="1135" spans="2:20" ht="12.75" hidden="1" x14ac:dyDescent="0.25">
      <c r="B1135" s="32">
        <v>26</v>
      </c>
      <c r="F1135" s="32" t="s">
        <v>116</v>
      </c>
      <c r="J1135" s="32">
        <v>1</v>
      </c>
      <c r="P1135" s="32">
        <v>800</v>
      </c>
      <c r="R1135" s="32">
        <v>200</v>
      </c>
      <c r="T1135" s="32">
        <v>600</v>
      </c>
    </row>
    <row r="1136" spans="2:20" ht="12.75" hidden="1" x14ac:dyDescent="0.25">
      <c r="T1136" s="32"/>
    </row>
    <row r="1137" spans="1:20" ht="12.75" hidden="1" x14ac:dyDescent="0.25">
      <c r="B1137" s="32">
        <v>27</v>
      </c>
      <c r="F1137" s="32" t="s">
        <v>335</v>
      </c>
      <c r="J1137" s="32">
        <v>2</v>
      </c>
      <c r="P1137" s="32">
        <v>1000</v>
      </c>
      <c r="R1137" s="32">
        <v>300</v>
      </c>
      <c r="T1137" s="32">
        <v>700</v>
      </c>
    </row>
    <row r="1138" spans="1:20" ht="12.75" hidden="1" x14ac:dyDescent="0.25">
      <c r="B1138" s="32">
        <v>28</v>
      </c>
      <c r="F1138" s="32" t="s">
        <v>279</v>
      </c>
      <c r="J1138" s="32">
        <v>1</v>
      </c>
      <c r="P1138" s="32">
        <v>500</v>
      </c>
      <c r="R1138" s="32">
        <v>150</v>
      </c>
      <c r="T1138" s="32">
        <v>350</v>
      </c>
    </row>
    <row r="1139" spans="1:20" ht="12.75" hidden="1" x14ac:dyDescent="0.25">
      <c r="B1139" s="32">
        <v>29</v>
      </c>
      <c r="F1139" s="32" t="s">
        <v>222</v>
      </c>
      <c r="J1139" s="32">
        <v>4</v>
      </c>
      <c r="P1139" s="32">
        <v>2000</v>
      </c>
      <c r="R1139" s="32">
        <v>600</v>
      </c>
      <c r="T1139" s="32">
        <v>1400</v>
      </c>
    </row>
    <row r="1140" spans="1:20" ht="12.75" hidden="1" x14ac:dyDescent="0.25">
      <c r="B1140" s="32">
        <v>30</v>
      </c>
      <c r="F1140" s="32" t="s">
        <v>219</v>
      </c>
      <c r="J1140" s="32">
        <v>4</v>
      </c>
      <c r="P1140" s="32">
        <v>2000</v>
      </c>
      <c r="R1140" s="32">
        <v>600</v>
      </c>
      <c r="T1140" s="32">
        <v>1400</v>
      </c>
    </row>
    <row r="1141" spans="1:20" ht="12.75" hidden="1" x14ac:dyDescent="0.25">
      <c r="B1141" s="32">
        <v>31</v>
      </c>
      <c r="F1141" s="32" t="s">
        <v>212</v>
      </c>
      <c r="J1141" s="32">
        <v>5</v>
      </c>
      <c r="P1141" s="32">
        <v>2500</v>
      </c>
      <c r="R1141" s="32">
        <v>750</v>
      </c>
      <c r="T1141" s="32">
        <v>1750</v>
      </c>
    </row>
    <row r="1142" spans="1:20" ht="12.75" hidden="1" x14ac:dyDescent="0.25">
      <c r="B1142" s="32">
        <v>32</v>
      </c>
      <c r="F1142" s="32" t="s">
        <v>211</v>
      </c>
      <c r="J1142" s="32">
        <v>3</v>
      </c>
      <c r="P1142" s="32">
        <v>1500</v>
      </c>
      <c r="R1142" s="32">
        <v>450</v>
      </c>
      <c r="T1142" s="32">
        <v>1050</v>
      </c>
    </row>
    <row r="1143" spans="1:20" ht="12.75" hidden="1" x14ac:dyDescent="0.25">
      <c r="B1143" s="32">
        <v>33</v>
      </c>
      <c r="F1143" s="32" t="s">
        <v>276</v>
      </c>
      <c r="J1143" s="32">
        <v>1</v>
      </c>
      <c r="P1143" s="32">
        <v>500</v>
      </c>
      <c r="R1143" s="32">
        <v>150</v>
      </c>
      <c r="T1143" s="32">
        <v>350</v>
      </c>
    </row>
    <row r="1144" spans="1:20" ht="12.75" hidden="1" x14ac:dyDescent="0.25">
      <c r="B1144" s="32">
        <v>34</v>
      </c>
      <c r="F1144" s="32" t="s">
        <v>307</v>
      </c>
      <c r="J1144" s="32">
        <v>1</v>
      </c>
      <c r="P1144" s="32">
        <v>700</v>
      </c>
      <c r="R1144" s="32">
        <v>350</v>
      </c>
      <c r="T1144" s="32">
        <v>350</v>
      </c>
    </row>
    <row r="1145" spans="1:20" ht="12.75" hidden="1" x14ac:dyDescent="0.25">
      <c r="B1145" s="32">
        <v>35</v>
      </c>
      <c r="F1145" s="32" t="s">
        <v>331</v>
      </c>
      <c r="J1145" s="32">
        <v>2</v>
      </c>
      <c r="P1145" s="32">
        <v>1000</v>
      </c>
      <c r="R1145" s="32">
        <v>300</v>
      </c>
      <c r="T1145" s="32">
        <v>700</v>
      </c>
    </row>
    <row r="1146" spans="1:20" ht="12.75" hidden="1" x14ac:dyDescent="0.25">
      <c r="B1146" s="32">
        <v>36</v>
      </c>
      <c r="F1146" s="32" t="s">
        <v>206</v>
      </c>
      <c r="J1146" s="32">
        <v>3</v>
      </c>
      <c r="P1146" s="32">
        <v>1500</v>
      </c>
      <c r="R1146" s="32">
        <v>450</v>
      </c>
      <c r="T1146" s="32">
        <v>1050</v>
      </c>
    </row>
    <row r="1147" spans="1:20" ht="12.75" hidden="1" x14ac:dyDescent="0.25">
      <c r="B1147" s="32">
        <v>37</v>
      </c>
      <c r="F1147" s="32" t="s">
        <v>204</v>
      </c>
      <c r="J1147" s="32">
        <v>1</v>
      </c>
      <c r="P1147" s="32">
        <v>500</v>
      </c>
      <c r="R1147" s="32">
        <v>150</v>
      </c>
      <c r="T1147" s="32">
        <v>350</v>
      </c>
    </row>
    <row r="1148" spans="1:20" ht="12.75" hidden="1" x14ac:dyDescent="0.25">
      <c r="B1148" s="32">
        <v>38</v>
      </c>
      <c r="F1148" s="32" t="s">
        <v>83</v>
      </c>
      <c r="J1148" s="32">
        <v>2</v>
      </c>
      <c r="P1148" s="32">
        <v>1000</v>
      </c>
      <c r="R1148" s="32">
        <v>300</v>
      </c>
      <c r="T1148" s="32">
        <v>700</v>
      </c>
    </row>
    <row r="1149" spans="1:20" ht="12.75" hidden="1" x14ac:dyDescent="0.25">
      <c r="B1149" s="32">
        <v>39</v>
      </c>
      <c r="F1149" s="32" t="s">
        <v>271</v>
      </c>
      <c r="J1149" s="32">
        <v>2</v>
      </c>
      <c r="P1149" s="32">
        <v>1000</v>
      </c>
      <c r="R1149" s="32">
        <v>300</v>
      </c>
      <c r="T1149" s="32">
        <v>700</v>
      </c>
    </row>
    <row r="1150" spans="1:20" ht="12.75" hidden="1" x14ac:dyDescent="0.25">
      <c r="B1150" s="32">
        <v>40</v>
      </c>
      <c r="F1150" s="32" t="s">
        <v>363</v>
      </c>
      <c r="J1150" s="32">
        <v>1</v>
      </c>
      <c r="P1150" s="32">
        <v>500</v>
      </c>
      <c r="R1150" s="32">
        <v>150</v>
      </c>
      <c r="T1150" s="32">
        <v>350</v>
      </c>
    </row>
    <row r="1151" spans="1:20" ht="12.75" hidden="1" x14ac:dyDescent="0.25">
      <c r="A1151" s="32" t="s">
        <v>430</v>
      </c>
      <c r="K1151" s="32">
        <v>3276</v>
      </c>
      <c r="P1151" s="32">
        <v>3599840</v>
      </c>
      <c r="R1151" s="32">
        <v>3186556</v>
      </c>
      <c r="T1151" s="32">
        <v>413284</v>
      </c>
    </row>
    <row r="1152" spans="1:20" ht="12.75" hidden="1" x14ac:dyDescent="0.25">
      <c r="B1152" s="32">
        <v>1</v>
      </c>
      <c r="F1152" s="32" t="s">
        <v>78</v>
      </c>
      <c r="J1152" s="32">
        <v>139</v>
      </c>
      <c r="P1152" s="32">
        <v>40310</v>
      </c>
      <c r="R1152" s="32">
        <v>40310</v>
      </c>
      <c r="T1152" s="32">
        <v>0</v>
      </c>
    </row>
    <row r="1153" spans="2:20" ht="12.75" hidden="1" x14ac:dyDescent="0.25">
      <c r="B1153" s="32">
        <v>2</v>
      </c>
      <c r="F1153" s="32" t="s">
        <v>199</v>
      </c>
      <c r="J1153" s="32">
        <v>1</v>
      </c>
      <c r="P1153" s="32">
        <v>290</v>
      </c>
      <c r="R1153" s="32">
        <v>58</v>
      </c>
      <c r="T1153" s="32">
        <v>232</v>
      </c>
    </row>
    <row r="1154" spans="2:20" ht="12.75" hidden="1" x14ac:dyDescent="0.25">
      <c r="B1154" s="32">
        <v>3</v>
      </c>
      <c r="F1154" s="32" t="s">
        <v>165</v>
      </c>
      <c r="J1154" s="32">
        <v>1</v>
      </c>
      <c r="P1154" s="32">
        <v>590</v>
      </c>
      <c r="R1154" s="32">
        <v>180</v>
      </c>
      <c r="T1154" s="32">
        <v>410</v>
      </c>
    </row>
    <row r="1155" spans="2:20" ht="12.75" hidden="1" x14ac:dyDescent="0.25">
      <c r="B1155" s="32">
        <v>4</v>
      </c>
      <c r="F1155" s="32" t="s">
        <v>162</v>
      </c>
      <c r="J1155" s="32">
        <v>1</v>
      </c>
      <c r="P1155" s="32">
        <v>430</v>
      </c>
      <c r="R1155" s="32">
        <v>148</v>
      </c>
      <c r="T1155" s="32">
        <v>282</v>
      </c>
    </row>
    <row r="1156" spans="2:20" ht="12.75" hidden="1" x14ac:dyDescent="0.25">
      <c r="B1156" s="32">
        <v>5</v>
      </c>
      <c r="F1156" s="32" t="s">
        <v>266</v>
      </c>
      <c r="J1156" s="32">
        <v>1</v>
      </c>
      <c r="P1156" s="32">
        <v>1350</v>
      </c>
      <c r="R1156" s="32">
        <v>400</v>
      </c>
      <c r="T1156" s="32">
        <v>950</v>
      </c>
    </row>
    <row r="1157" spans="2:20" ht="12.75" hidden="1" x14ac:dyDescent="0.25">
      <c r="B1157" s="32">
        <v>6</v>
      </c>
      <c r="F1157" s="32" t="s">
        <v>158</v>
      </c>
      <c r="J1157" s="32">
        <v>499</v>
      </c>
      <c r="P1157" s="32">
        <v>274450</v>
      </c>
      <c r="R1157" s="32">
        <v>108951</v>
      </c>
      <c r="T1157" s="32">
        <v>165499</v>
      </c>
    </row>
    <row r="1158" spans="2:20" ht="12.75" hidden="1" x14ac:dyDescent="0.25">
      <c r="B1158" s="32">
        <v>7</v>
      </c>
      <c r="F1158" s="32" t="s">
        <v>157</v>
      </c>
      <c r="J1158" s="32">
        <v>52</v>
      </c>
      <c r="P1158" s="32">
        <v>25480</v>
      </c>
      <c r="R1158" s="32">
        <v>9130</v>
      </c>
      <c r="T1158" s="32">
        <v>16350</v>
      </c>
    </row>
    <row r="1159" spans="2:20" ht="12.75" hidden="1" x14ac:dyDescent="0.25">
      <c r="B1159" s="32">
        <v>8</v>
      </c>
      <c r="F1159" s="32" t="s">
        <v>77</v>
      </c>
      <c r="J1159" s="32">
        <v>661</v>
      </c>
      <c r="P1159" s="32">
        <v>268000</v>
      </c>
      <c r="R1159" s="32">
        <v>268000</v>
      </c>
      <c r="T1159" s="32">
        <v>0</v>
      </c>
    </row>
    <row r="1160" spans="2:20" ht="12.75" hidden="1" x14ac:dyDescent="0.25">
      <c r="B1160" s="32">
        <v>9</v>
      </c>
      <c r="F1160" s="32" t="s">
        <v>76</v>
      </c>
      <c r="J1160" s="32">
        <v>4</v>
      </c>
      <c r="P1160" s="32">
        <v>2400</v>
      </c>
      <c r="R1160" s="32">
        <v>2400</v>
      </c>
      <c r="T1160" s="32">
        <v>0</v>
      </c>
    </row>
    <row r="1161" spans="2:20" ht="12.75" hidden="1" x14ac:dyDescent="0.25">
      <c r="B1161" s="32">
        <v>10</v>
      </c>
      <c r="F1161" s="32" t="s">
        <v>156</v>
      </c>
      <c r="J1161" s="32">
        <v>6</v>
      </c>
      <c r="P1161" s="32">
        <v>1140</v>
      </c>
      <c r="R1161" s="32">
        <v>380</v>
      </c>
      <c r="T1161" s="32">
        <v>760</v>
      </c>
    </row>
    <row r="1162" spans="2:20" ht="12.75" hidden="1" x14ac:dyDescent="0.25">
      <c r="B1162" s="32">
        <v>11</v>
      </c>
      <c r="F1162" s="32" t="s">
        <v>155</v>
      </c>
      <c r="J1162" s="32">
        <v>229</v>
      </c>
      <c r="P1162" s="32">
        <v>57250</v>
      </c>
      <c r="R1162" s="32">
        <v>28744</v>
      </c>
      <c r="T1162" s="32">
        <v>28506</v>
      </c>
    </row>
    <row r="1163" spans="2:20" ht="12.75" hidden="1" x14ac:dyDescent="0.25">
      <c r="B1163" s="32">
        <v>12</v>
      </c>
      <c r="F1163" s="32" t="s">
        <v>154</v>
      </c>
      <c r="J1163" s="32">
        <v>2</v>
      </c>
      <c r="P1163" s="32">
        <v>1780</v>
      </c>
      <c r="R1163" s="32">
        <v>260</v>
      </c>
      <c r="T1163" s="32">
        <v>1520</v>
      </c>
    </row>
    <row r="1164" spans="2:20" ht="12.75" hidden="1" x14ac:dyDescent="0.25">
      <c r="B1164" s="32">
        <v>13</v>
      </c>
      <c r="F1164" s="32" t="s">
        <v>153</v>
      </c>
      <c r="J1164" s="32">
        <v>1</v>
      </c>
      <c r="P1164" s="32">
        <v>1180</v>
      </c>
      <c r="R1164" s="32">
        <v>180</v>
      </c>
      <c r="T1164" s="32">
        <v>1000</v>
      </c>
    </row>
    <row r="1165" spans="2:20" ht="12.75" hidden="1" x14ac:dyDescent="0.25">
      <c r="B1165" s="32">
        <v>14</v>
      </c>
      <c r="F1165" s="32" t="s">
        <v>152</v>
      </c>
      <c r="J1165" s="32">
        <v>1</v>
      </c>
      <c r="P1165" s="32">
        <v>590</v>
      </c>
      <c r="R1165" s="32">
        <v>180</v>
      </c>
      <c r="T1165" s="32">
        <v>410</v>
      </c>
    </row>
    <row r="1166" spans="2:20" ht="12.75" hidden="1" x14ac:dyDescent="0.25">
      <c r="B1166" s="32">
        <v>15</v>
      </c>
      <c r="F1166" s="32" t="s">
        <v>151</v>
      </c>
      <c r="J1166" s="32">
        <v>8</v>
      </c>
      <c r="P1166" s="32">
        <v>1840</v>
      </c>
      <c r="R1166" s="32">
        <v>370</v>
      </c>
      <c r="T1166" s="32">
        <v>1470</v>
      </c>
    </row>
    <row r="1167" spans="2:20" ht="12.75" hidden="1" x14ac:dyDescent="0.25">
      <c r="B1167" s="32">
        <v>16</v>
      </c>
      <c r="F1167" s="32" t="s">
        <v>150</v>
      </c>
      <c r="J1167" s="32">
        <v>2</v>
      </c>
      <c r="P1167" s="32">
        <v>340</v>
      </c>
      <c r="R1167" s="32">
        <v>100</v>
      </c>
      <c r="T1167" s="32">
        <v>240</v>
      </c>
    </row>
    <row r="1168" spans="2:20" ht="12.75" hidden="1" x14ac:dyDescent="0.25">
      <c r="B1168" s="32">
        <v>17</v>
      </c>
      <c r="F1168" s="32" t="s">
        <v>75</v>
      </c>
      <c r="J1168" s="32">
        <v>1021</v>
      </c>
      <c r="P1168" s="32">
        <v>2552500</v>
      </c>
      <c r="R1168" s="32">
        <v>2552500</v>
      </c>
      <c r="T1168" s="32">
        <v>0</v>
      </c>
    </row>
    <row r="1169" spans="2:20" ht="12.75" hidden="1" x14ac:dyDescent="0.25">
      <c r="B1169" s="32">
        <v>18</v>
      </c>
      <c r="F1169" s="32" t="s">
        <v>139</v>
      </c>
      <c r="J1169" s="32">
        <v>1</v>
      </c>
      <c r="P1169" s="32">
        <v>270</v>
      </c>
      <c r="R1169" s="32">
        <v>80</v>
      </c>
      <c r="T1169" s="32">
        <v>190</v>
      </c>
    </row>
    <row r="1170" spans="2:20" ht="12.75" hidden="1" x14ac:dyDescent="0.25">
      <c r="B1170" s="32">
        <v>19</v>
      </c>
      <c r="F1170" s="32" t="s">
        <v>136</v>
      </c>
      <c r="J1170" s="32">
        <v>8</v>
      </c>
      <c r="P1170" s="32">
        <v>6800</v>
      </c>
      <c r="R1170" s="32">
        <v>1560</v>
      </c>
      <c r="T1170" s="32">
        <v>5240</v>
      </c>
    </row>
    <row r="1171" spans="2:20" ht="12.75" hidden="1" x14ac:dyDescent="0.25">
      <c r="B1171" s="32">
        <v>20</v>
      </c>
      <c r="F1171" s="32" t="s">
        <v>191</v>
      </c>
      <c r="J1171" s="32">
        <v>4</v>
      </c>
      <c r="P1171" s="32">
        <v>1400</v>
      </c>
      <c r="R1171" s="32">
        <v>460</v>
      </c>
      <c r="T1171" s="32">
        <v>940</v>
      </c>
    </row>
    <row r="1172" spans="2:20" ht="12.75" hidden="1" x14ac:dyDescent="0.25">
      <c r="B1172" s="32">
        <v>21</v>
      </c>
      <c r="F1172" s="32" t="s">
        <v>132</v>
      </c>
      <c r="J1172" s="32">
        <v>1</v>
      </c>
      <c r="P1172" s="32">
        <v>1240</v>
      </c>
      <c r="R1172" s="32">
        <v>370</v>
      </c>
      <c r="T1172" s="32">
        <v>870</v>
      </c>
    </row>
    <row r="1173" spans="2:20" ht="12.75" hidden="1" x14ac:dyDescent="0.25">
      <c r="B1173" s="32">
        <v>22</v>
      </c>
      <c r="F1173" s="32" t="s">
        <v>186</v>
      </c>
      <c r="J1173" s="32">
        <v>1</v>
      </c>
      <c r="P1173" s="32">
        <v>60</v>
      </c>
      <c r="R1173" s="32">
        <v>0</v>
      </c>
      <c r="T1173" s="32">
        <v>60</v>
      </c>
    </row>
    <row r="1174" spans="2:20" ht="12.75" hidden="1" x14ac:dyDescent="0.25">
      <c r="T1174" s="32"/>
    </row>
    <row r="1175" spans="2:20" ht="12.75" hidden="1" x14ac:dyDescent="0.25">
      <c r="B1175" s="32">
        <v>23</v>
      </c>
      <c r="F1175" s="32" t="s">
        <v>127</v>
      </c>
      <c r="J1175" s="32">
        <v>6</v>
      </c>
      <c r="P1175" s="32">
        <v>1800</v>
      </c>
      <c r="R1175" s="32">
        <v>553</v>
      </c>
      <c r="T1175" s="32">
        <v>1247</v>
      </c>
    </row>
    <row r="1176" spans="2:20" ht="12.75" hidden="1" x14ac:dyDescent="0.25">
      <c r="B1176" s="32">
        <v>24</v>
      </c>
      <c r="F1176" s="32" t="s">
        <v>126</v>
      </c>
      <c r="J1176" s="32">
        <v>24</v>
      </c>
      <c r="P1176" s="32">
        <v>4800</v>
      </c>
      <c r="R1176" s="32">
        <v>1449</v>
      </c>
      <c r="T1176" s="32">
        <v>3351</v>
      </c>
    </row>
    <row r="1177" spans="2:20" ht="12.75" hidden="1" x14ac:dyDescent="0.25">
      <c r="B1177" s="32">
        <v>25</v>
      </c>
      <c r="F1177" s="32" t="s">
        <v>125</v>
      </c>
      <c r="J1177" s="32">
        <v>1</v>
      </c>
      <c r="P1177" s="32">
        <v>400</v>
      </c>
      <c r="R1177" s="32">
        <v>120</v>
      </c>
      <c r="T1177" s="32">
        <v>280</v>
      </c>
    </row>
    <row r="1178" spans="2:20" ht="12.75" hidden="1" x14ac:dyDescent="0.25">
      <c r="B1178" s="32">
        <v>26</v>
      </c>
      <c r="F1178" s="32" t="s">
        <v>123</v>
      </c>
      <c r="J1178" s="32">
        <v>1</v>
      </c>
      <c r="P1178" s="32">
        <v>780</v>
      </c>
      <c r="R1178" s="32">
        <v>230</v>
      </c>
      <c r="T1178" s="32">
        <v>550</v>
      </c>
    </row>
    <row r="1179" spans="2:20" ht="12.75" hidden="1" x14ac:dyDescent="0.25">
      <c r="B1179" s="32">
        <v>27</v>
      </c>
      <c r="F1179" s="32" t="s">
        <v>120</v>
      </c>
      <c r="J1179" s="32">
        <v>4</v>
      </c>
      <c r="P1179" s="32">
        <v>1400</v>
      </c>
      <c r="R1179" s="32">
        <v>320</v>
      </c>
      <c r="T1179" s="32">
        <v>1080</v>
      </c>
    </row>
    <row r="1180" spans="2:20" ht="12.75" hidden="1" x14ac:dyDescent="0.25">
      <c r="B1180" s="32">
        <v>28</v>
      </c>
      <c r="F1180" s="32" t="s">
        <v>119</v>
      </c>
      <c r="J1180" s="32">
        <v>7</v>
      </c>
      <c r="P1180" s="32">
        <v>6230</v>
      </c>
      <c r="R1180" s="32">
        <v>1888</v>
      </c>
      <c r="T1180" s="32">
        <v>4342</v>
      </c>
    </row>
    <row r="1181" spans="2:20" ht="12.75" hidden="1" x14ac:dyDescent="0.25">
      <c r="B1181" s="32">
        <v>29</v>
      </c>
      <c r="F1181" s="32" t="s">
        <v>118</v>
      </c>
      <c r="J1181" s="32">
        <v>250</v>
      </c>
      <c r="P1181" s="32">
        <v>247500</v>
      </c>
      <c r="R1181" s="32">
        <v>120898</v>
      </c>
      <c r="T1181" s="32">
        <v>126602</v>
      </c>
    </row>
    <row r="1182" spans="2:20" ht="12.75" hidden="1" x14ac:dyDescent="0.25">
      <c r="B1182" s="32">
        <v>30</v>
      </c>
      <c r="F1182" s="32" t="s">
        <v>117</v>
      </c>
      <c r="J1182" s="32">
        <v>1</v>
      </c>
      <c r="P1182" s="32">
        <v>900</v>
      </c>
      <c r="R1182" s="32">
        <v>270</v>
      </c>
      <c r="T1182" s="32">
        <v>630</v>
      </c>
    </row>
    <row r="1183" spans="2:20" ht="12.75" hidden="1" x14ac:dyDescent="0.25">
      <c r="B1183" s="32">
        <v>31</v>
      </c>
      <c r="F1183" s="32" t="s">
        <v>115</v>
      </c>
      <c r="J1183" s="32">
        <v>2</v>
      </c>
      <c r="P1183" s="32">
        <v>580</v>
      </c>
      <c r="R1183" s="32">
        <v>190</v>
      </c>
      <c r="T1183" s="32">
        <v>390</v>
      </c>
    </row>
    <row r="1184" spans="2:20" ht="12.75" hidden="1" x14ac:dyDescent="0.25">
      <c r="B1184" s="32">
        <v>32</v>
      </c>
      <c r="F1184" s="32" t="s">
        <v>225</v>
      </c>
      <c r="J1184" s="32">
        <v>2</v>
      </c>
      <c r="P1184" s="32">
        <v>10000</v>
      </c>
      <c r="R1184" s="32">
        <v>9900</v>
      </c>
      <c r="T1184" s="32">
        <v>100</v>
      </c>
    </row>
    <row r="1185" spans="1:20" ht="12.75" hidden="1" x14ac:dyDescent="0.25">
      <c r="B1185" s="32">
        <v>33</v>
      </c>
      <c r="F1185" s="32" t="s">
        <v>171</v>
      </c>
      <c r="J1185" s="32">
        <v>1</v>
      </c>
      <c r="P1185" s="32">
        <v>530</v>
      </c>
      <c r="R1185" s="32">
        <v>106</v>
      </c>
      <c r="T1185" s="32">
        <v>424</v>
      </c>
    </row>
    <row r="1186" spans="1:20" ht="12.75" hidden="1" x14ac:dyDescent="0.25">
      <c r="B1186" s="32">
        <v>34</v>
      </c>
      <c r="F1186" s="32" t="s">
        <v>109</v>
      </c>
      <c r="J1186" s="32">
        <v>2</v>
      </c>
      <c r="P1186" s="32">
        <v>1560</v>
      </c>
      <c r="R1186" s="32">
        <v>460</v>
      </c>
      <c r="T1186" s="32">
        <v>1100</v>
      </c>
    </row>
    <row r="1187" spans="1:20" ht="12.75" hidden="1" x14ac:dyDescent="0.25">
      <c r="B1187" s="32">
        <v>35</v>
      </c>
      <c r="F1187" s="32" t="s">
        <v>108</v>
      </c>
      <c r="J1187" s="32">
        <v>42</v>
      </c>
      <c r="P1187" s="32">
        <v>4200</v>
      </c>
      <c r="R1187" s="32">
        <v>960</v>
      </c>
      <c r="T1187" s="32">
        <v>3240</v>
      </c>
    </row>
    <row r="1188" spans="1:20" ht="12.75" hidden="1" x14ac:dyDescent="0.25">
      <c r="B1188" s="32">
        <v>36</v>
      </c>
      <c r="F1188" s="32" t="s">
        <v>107</v>
      </c>
      <c r="J1188" s="32">
        <v>16</v>
      </c>
      <c r="P1188" s="32">
        <v>2720</v>
      </c>
      <c r="R1188" s="32">
        <v>809</v>
      </c>
      <c r="T1188" s="32">
        <v>1911</v>
      </c>
    </row>
    <row r="1189" spans="1:20" ht="12.75" hidden="1" x14ac:dyDescent="0.25">
      <c r="B1189" s="32">
        <v>37</v>
      </c>
      <c r="F1189" s="32" t="s">
        <v>106</v>
      </c>
      <c r="J1189" s="32">
        <v>3</v>
      </c>
      <c r="P1189" s="32">
        <v>300</v>
      </c>
      <c r="R1189" s="32">
        <v>90</v>
      </c>
      <c r="T1189" s="32">
        <v>210</v>
      </c>
    </row>
    <row r="1190" spans="1:20" ht="12.75" hidden="1" x14ac:dyDescent="0.25">
      <c r="B1190" s="32">
        <v>38</v>
      </c>
      <c r="F1190" s="32" t="s">
        <v>103</v>
      </c>
      <c r="J1190" s="32">
        <v>1</v>
      </c>
      <c r="P1190" s="32">
        <v>330</v>
      </c>
      <c r="R1190" s="32">
        <v>66</v>
      </c>
      <c r="T1190" s="32">
        <v>264</v>
      </c>
    </row>
    <row r="1191" spans="1:20" ht="12.75" hidden="1" x14ac:dyDescent="0.25">
      <c r="B1191" s="32">
        <v>39</v>
      </c>
      <c r="F1191" s="32" t="s">
        <v>99</v>
      </c>
      <c r="J1191" s="32">
        <v>1</v>
      </c>
      <c r="P1191" s="32">
        <v>590</v>
      </c>
      <c r="R1191" s="32">
        <v>90</v>
      </c>
      <c r="T1191" s="32">
        <v>500</v>
      </c>
    </row>
    <row r="1192" spans="1:20" ht="12.75" hidden="1" x14ac:dyDescent="0.25">
      <c r="B1192" s="32">
        <v>40</v>
      </c>
      <c r="F1192" s="32" t="s">
        <v>98</v>
      </c>
      <c r="J1192" s="32">
        <v>1</v>
      </c>
      <c r="P1192" s="32">
        <v>570</v>
      </c>
      <c r="R1192" s="32">
        <v>80</v>
      </c>
      <c r="T1192" s="32">
        <v>490</v>
      </c>
    </row>
    <row r="1193" spans="1:20" ht="12.75" hidden="1" x14ac:dyDescent="0.25">
      <c r="B1193" s="32">
        <v>41</v>
      </c>
      <c r="F1193" s="32" t="s">
        <v>97</v>
      </c>
      <c r="J1193" s="32">
        <v>2</v>
      </c>
      <c r="P1193" s="32">
        <v>3180</v>
      </c>
      <c r="R1193" s="32">
        <v>480</v>
      </c>
      <c r="T1193" s="32">
        <v>2700</v>
      </c>
    </row>
    <row r="1194" spans="1:20" ht="12.75" hidden="1" x14ac:dyDescent="0.25">
      <c r="B1194" s="32">
        <v>42</v>
      </c>
      <c r="F1194" s="32" t="s">
        <v>93</v>
      </c>
      <c r="J1194" s="32">
        <v>1</v>
      </c>
      <c r="P1194" s="32">
        <v>590</v>
      </c>
      <c r="R1194" s="32">
        <v>90</v>
      </c>
      <c r="T1194" s="32">
        <v>500</v>
      </c>
    </row>
    <row r="1195" spans="1:20" ht="12.75" hidden="1" x14ac:dyDescent="0.25">
      <c r="B1195" s="32">
        <v>43</v>
      </c>
      <c r="F1195" s="32" t="s">
        <v>92</v>
      </c>
      <c r="J1195" s="32">
        <v>12</v>
      </c>
      <c r="P1195" s="32">
        <v>7520</v>
      </c>
      <c r="R1195" s="32">
        <v>2240</v>
      </c>
      <c r="T1195" s="32">
        <v>5280</v>
      </c>
    </row>
    <row r="1196" spans="1:20" ht="12.75" hidden="1" x14ac:dyDescent="0.25">
      <c r="B1196" s="32">
        <v>44</v>
      </c>
      <c r="F1196" s="32" t="s">
        <v>91</v>
      </c>
      <c r="J1196" s="32">
        <v>229</v>
      </c>
      <c r="P1196" s="32">
        <v>57250</v>
      </c>
      <c r="R1196" s="32">
        <v>28684</v>
      </c>
      <c r="T1196" s="32">
        <v>28566</v>
      </c>
    </row>
    <row r="1197" spans="1:20" ht="12.75" hidden="1" x14ac:dyDescent="0.25">
      <c r="B1197" s="32">
        <v>45</v>
      </c>
      <c r="F1197" s="32" t="s">
        <v>90</v>
      </c>
      <c r="J1197" s="32">
        <v>17</v>
      </c>
      <c r="P1197" s="32">
        <v>4930</v>
      </c>
      <c r="R1197" s="32">
        <v>1360</v>
      </c>
      <c r="T1197" s="32">
        <v>3570</v>
      </c>
    </row>
    <row r="1198" spans="1:20" ht="12.75" hidden="1" x14ac:dyDescent="0.25">
      <c r="B1198" s="32">
        <v>46</v>
      </c>
      <c r="F1198" s="32" t="s">
        <v>88</v>
      </c>
      <c r="J1198" s="32">
        <v>5</v>
      </c>
      <c r="P1198" s="32">
        <v>900</v>
      </c>
      <c r="R1198" s="32">
        <v>282</v>
      </c>
      <c r="T1198" s="32">
        <v>618</v>
      </c>
    </row>
    <row r="1199" spans="1:20" ht="12.75" hidden="1" x14ac:dyDescent="0.25">
      <c r="B1199" s="32">
        <v>47</v>
      </c>
      <c r="F1199" s="32" t="s">
        <v>84</v>
      </c>
      <c r="J1199" s="32">
        <v>1</v>
      </c>
      <c r="P1199" s="32">
        <v>590</v>
      </c>
      <c r="R1199" s="32">
        <v>180</v>
      </c>
      <c r="T1199" s="32">
        <v>410</v>
      </c>
    </row>
    <row r="1200" spans="1:20" ht="12.75" hidden="1" x14ac:dyDescent="0.25">
      <c r="A1200" s="32" t="s">
        <v>429</v>
      </c>
      <c r="K1200" s="32">
        <v>6982</v>
      </c>
      <c r="P1200" s="32">
        <v>5564790</v>
      </c>
      <c r="R1200" s="32">
        <v>4469034</v>
      </c>
      <c r="T1200" s="32">
        <v>1095756</v>
      </c>
    </row>
    <row r="1201" spans="2:20" ht="12.75" hidden="1" x14ac:dyDescent="0.25">
      <c r="B1201" s="32">
        <v>1</v>
      </c>
      <c r="F1201" s="32" t="s">
        <v>200</v>
      </c>
      <c r="J1201" s="32">
        <v>2</v>
      </c>
      <c r="P1201" s="32">
        <v>1000</v>
      </c>
      <c r="R1201" s="32">
        <v>300</v>
      </c>
      <c r="T1201" s="32">
        <v>700</v>
      </c>
    </row>
    <row r="1202" spans="2:20" ht="12.75" hidden="1" x14ac:dyDescent="0.25">
      <c r="B1202" s="32">
        <v>2</v>
      </c>
      <c r="F1202" s="32" t="s">
        <v>311</v>
      </c>
      <c r="J1202" s="32">
        <v>1</v>
      </c>
      <c r="P1202" s="32">
        <v>690</v>
      </c>
      <c r="R1202" s="32">
        <v>210</v>
      </c>
      <c r="T1202" s="32">
        <v>480</v>
      </c>
    </row>
    <row r="1203" spans="2:20" ht="12.75" hidden="1" x14ac:dyDescent="0.25">
      <c r="B1203" s="32">
        <v>3</v>
      </c>
      <c r="F1203" s="32" t="s">
        <v>169</v>
      </c>
      <c r="J1203" s="32">
        <v>1</v>
      </c>
      <c r="P1203" s="32">
        <v>1030</v>
      </c>
      <c r="R1203" s="32">
        <v>150</v>
      </c>
      <c r="T1203" s="32">
        <v>880</v>
      </c>
    </row>
    <row r="1204" spans="2:20" ht="12.75" hidden="1" x14ac:dyDescent="0.25">
      <c r="B1204" s="32">
        <v>4</v>
      </c>
      <c r="F1204" s="32" t="s">
        <v>78</v>
      </c>
      <c r="J1204" s="32">
        <v>371</v>
      </c>
      <c r="P1204" s="32">
        <v>107590</v>
      </c>
      <c r="R1204" s="32">
        <v>107590</v>
      </c>
      <c r="T1204" s="32">
        <v>0</v>
      </c>
    </row>
    <row r="1205" spans="2:20" ht="12.75" hidden="1" x14ac:dyDescent="0.25">
      <c r="B1205" s="32">
        <v>5</v>
      </c>
      <c r="F1205" s="32" t="s">
        <v>199</v>
      </c>
      <c r="J1205" s="32">
        <v>1</v>
      </c>
      <c r="P1205" s="32">
        <v>290</v>
      </c>
      <c r="R1205" s="32">
        <v>80</v>
      </c>
      <c r="T1205" s="32">
        <v>210</v>
      </c>
    </row>
    <row r="1206" spans="2:20" ht="12.75" hidden="1" x14ac:dyDescent="0.25">
      <c r="B1206" s="32">
        <v>6</v>
      </c>
      <c r="F1206" s="32" t="s">
        <v>167</v>
      </c>
      <c r="J1206" s="32">
        <v>2</v>
      </c>
      <c r="P1206" s="32">
        <v>1140</v>
      </c>
      <c r="R1206" s="32">
        <v>340</v>
      </c>
      <c r="T1206" s="32">
        <v>800</v>
      </c>
    </row>
    <row r="1207" spans="2:20" ht="12.75" hidden="1" x14ac:dyDescent="0.25">
      <c r="B1207" s="32">
        <v>7</v>
      </c>
      <c r="F1207" s="32" t="s">
        <v>249</v>
      </c>
      <c r="J1207" s="32">
        <v>5</v>
      </c>
      <c r="P1207" s="32">
        <v>6500</v>
      </c>
      <c r="R1207" s="32">
        <v>1000</v>
      </c>
      <c r="T1207" s="32">
        <v>5500</v>
      </c>
    </row>
    <row r="1208" spans="2:20" ht="12.75" hidden="1" x14ac:dyDescent="0.25">
      <c r="B1208" s="32">
        <v>8</v>
      </c>
      <c r="F1208" s="32" t="s">
        <v>294</v>
      </c>
      <c r="J1208" s="32">
        <v>1</v>
      </c>
      <c r="P1208" s="32">
        <v>900</v>
      </c>
      <c r="R1208" s="32">
        <v>270</v>
      </c>
      <c r="T1208" s="32">
        <v>630</v>
      </c>
    </row>
    <row r="1209" spans="2:20" ht="12.75" hidden="1" x14ac:dyDescent="0.25">
      <c r="B1209" s="32">
        <v>9</v>
      </c>
      <c r="F1209" s="32" t="s">
        <v>345</v>
      </c>
      <c r="J1209" s="32">
        <v>1</v>
      </c>
      <c r="P1209" s="32">
        <v>1880</v>
      </c>
      <c r="R1209" s="32">
        <v>280</v>
      </c>
      <c r="T1209" s="32">
        <v>1600</v>
      </c>
    </row>
    <row r="1210" spans="2:20" ht="12.75" hidden="1" x14ac:dyDescent="0.25">
      <c r="B1210" s="32">
        <v>10</v>
      </c>
      <c r="F1210" s="32" t="s">
        <v>165</v>
      </c>
      <c r="J1210" s="32">
        <v>4</v>
      </c>
      <c r="P1210" s="32">
        <v>2360</v>
      </c>
      <c r="R1210" s="32">
        <v>720</v>
      </c>
      <c r="T1210" s="32">
        <v>1640</v>
      </c>
    </row>
    <row r="1211" spans="2:20" ht="12.75" hidden="1" x14ac:dyDescent="0.25">
      <c r="B1211" s="32">
        <v>11</v>
      </c>
      <c r="F1211" s="32" t="s">
        <v>164</v>
      </c>
      <c r="J1211" s="32">
        <v>1</v>
      </c>
      <c r="P1211" s="32">
        <v>590</v>
      </c>
      <c r="R1211" s="32">
        <v>180</v>
      </c>
      <c r="T1211" s="32">
        <v>410</v>
      </c>
    </row>
    <row r="1212" spans="2:20" ht="12.75" hidden="1" x14ac:dyDescent="0.25">
      <c r="B1212" s="32">
        <v>12</v>
      </c>
      <c r="F1212" s="32" t="s">
        <v>162</v>
      </c>
      <c r="J1212" s="32">
        <v>10</v>
      </c>
      <c r="P1212" s="32">
        <v>4300</v>
      </c>
      <c r="R1212" s="32">
        <v>2101</v>
      </c>
      <c r="T1212" s="32">
        <v>2199</v>
      </c>
    </row>
    <row r="1213" spans="2:20" ht="12.75" hidden="1" x14ac:dyDescent="0.25">
      <c r="B1213" s="32">
        <v>13</v>
      </c>
      <c r="F1213" s="32" t="s">
        <v>160</v>
      </c>
      <c r="J1213" s="32">
        <v>2</v>
      </c>
      <c r="P1213" s="32">
        <v>580</v>
      </c>
      <c r="R1213" s="32">
        <v>160</v>
      </c>
      <c r="T1213" s="32">
        <v>420</v>
      </c>
    </row>
    <row r="1214" spans="2:20" ht="12.75" hidden="1" x14ac:dyDescent="0.25">
      <c r="B1214" s="32">
        <v>14</v>
      </c>
      <c r="F1214" s="32" t="s">
        <v>158</v>
      </c>
      <c r="J1214" s="32">
        <v>1144</v>
      </c>
      <c r="P1214" s="32">
        <v>629200</v>
      </c>
      <c r="R1214" s="32">
        <v>253201</v>
      </c>
      <c r="T1214" s="32">
        <v>375999</v>
      </c>
    </row>
    <row r="1215" spans="2:20" ht="12.75" hidden="1" x14ac:dyDescent="0.25">
      <c r="B1215" s="32">
        <v>15</v>
      </c>
      <c r="F1215" s="32" t="s">
        <v>157</v>
      </c>
      <c r="J1215" s="32">
        <v>17</v>
      </c>
      <c r="P1215" s="32">
        <v>8330</v>
      </c>
      <c r="R1215" s="32">
        <v>3519</v>
      </c>
      <c r="T1215" s="32">
        <v>4811</v>
      </c>
    </row>
    <row r="1216" spans="2:20" ht="12.75" hidden="1" x14ac:dyDescent="0.25">
      <c r="B1216" s="32">
        <v>16</v>
      </c>
      <c r="F1216" s="32" t="s">
        <v>196</v>
      </c>
      <c r="J1216" s="32">
        <v>1</v>
      </c>
      <c r="P1216" s="32">
        <v>700</v>
      </c>
      <c r="R1216" s="32">
        <v>350</v>
      </c>
      <c r="T1216" s="32">
        <v>350</v>
      </c>
    </row>
    <row r="1217" spans="2:20" ht="12.75" hidden="1" x14ac:dyDescent="0.25">
      <c r="B1217" s="32">
        <v>17</v>
      </c>
      <c r="F1217" s="32" t="s">
        <v>309</v>
      </c>
      <c r="J1217" s="32">
        <v>3</v>
      </c>
      <c r="P1217" s="32">
        <v>1500</v>
      </c>
      <c r="R1217" s="32">
        <v>450</v>
      </c>
      <c r="T1217" s="32">
        <v>1050</v>
      </c>
    </row>
    <row r="1218" spans="2:20" ht="12.75" hidden="1" x14ac:dyDescent="0.25">
      <c r="B1218" s="32">
        <v>18</v>
      </c>
      <c r="F1218" s="32" t="s">
        <v>328</v>
      </c>
      <c r="J1218" s="32">
        <v>1</v>
      </c>
      <c r="P1218" s="32">
        <v>700</v>
      </c>
      <c r="R1218" s="32">
        <v>350</v>
      </c>
      <c r="T1218" s="32">
        <v>350</v>
      </c>
    </row>
    <row r="1219" spans="2:20" ht="12.75" hidden="1" x14ac:dyDescent="0.25">
      <c r="B1219" s="32">
        <v>19</v>
      </c>
      <c r="F1219" s="32" t="s">
        <v>244</v>
      </c>
      <c r="J1219" s="32">
        <v>1</v>
      </c>
      <c r="P1219" s="32">
        <v>300</v>
      </c>
      <c r="R1219" s="32">
        <v>80</v>
      </c>
      <c r="T1219" s="32">
        <v>220</v>
      </c>
    </row>
    <row r="1220" spans="2:20" ht="12.75" hidden="1" x14ac:dyDescent="0.25">
      <c r="B1220" s="32">
        <v>20</v>
      </c>
      <c r="F1220" s="32" t="s">
        <v>77</v>
      </c>
      <c r="J1220" s="32">
        <v>1879</v>
      </c>
      <c r="P1220" s="32">
        <v>762900</v>
      </c>
      <c r="R1220" s="32">
        <v>762900</v>
      </c>
      <c r="T1220" s="32">
        <v>0</v>
      </c>
    </row>
    <row r="1221" spans="2:20" ht="12.75" hidden="1" x14ac:dyDescent="0.25">
      <c r="B1221" s="32">
        <v>21</v>
      </c>
      <c r="F1221" s="32" t="s">
        <v>156</v>
      </c>
      <c r="J1221" s="32">
        <v>10</v>
      </c>
      <c r="P1221" s="32">
        <v>1900</v>
      </c>
      <c r="R1221" s="32">
        <v>720</v>
      </c>
      <c r="T1221" s="32">
        <v>1180</v>
      </c>
    </row>
    <row r="1222" spans="2:20" ht="12.75" hidden="1" x14ac:dyDescent="0.25">
      <c r="B1222" s="32">
        <v>22</v>
      </c>
      <c r="F1222" s="32" t="s">
        <v>155</v>
      </c>
      <c r="J1222" s="32">
        <v>554</v>
      </c>
      <c r="P1222" s="32">
        <v>138500</v>
      </c>
      <c r="R1222" s="32">
        <v>69743</v>
      </c>
      <c r="T1222" s="32">
        <v>68757</v>
      </c>
    </row>
    <row r="1223" spans="2:20" ht="12.75" hidden="1" x14ac:dyDescent="0.25">
      <c r="B1223" s="32">
        <v>23</v>
      </c>
      <c r="F1223" s="32" t="s">
        <v>154</v>
      </c>
      <c r="J1223" s="32">
        <v>1</v>
      </c>
      <c r="P1223" s="32">
        <v>890</v>
      </c>
      <c r="R1223" s="32">
        <v>130</v>
      </c>
      <c r="T1223" s="32">
        <v>760</v>
      </c>
    </row>
    <row r="1224" spans="2:20" ht="12.75" hidden="1" x14ac:dyDescent="0.25">
      <c r="B1224" s="32">
        <v>24</v>
      </c>
      <c r="F1224" s="32" t="s">
        <v>289</v>
      </c>
      <c r="J1224" s="32">
        <v>1</v>
      </c>
      <c r="P1224" s="32">
        <v>500</v>
      </c>
      <c r="R1224" s="32">
        <v>150</v>
      </c>
      <c r="T1224" s="32">
        <v>350</v>
      </c>
    </row>
    <row r="1225" spans="2:20" ht="12.75" hidden="1" x14ac:dyDescent="0.25">
      <c r="B1225" s="32">
        <v>25</v>
      </c>
      <c r="F1225" s="32" t="s">
        <v>320</v>
      </c>
      <c r="J1225" s="32">
        <v>1</v>
      </c>
      <c r="P1225" s="32">
        <v>500</v>
      </c>
      <c r="R1225" s="32">
        <v>150</v>
      </c>
      <c r="T1225" s="32">
        <v>350</v>
      </c>
    </row>
    <row r="1226" spans="2:20" ht="12.75" hidden="1" x14ac:dyDescent="0.25">
      <c r="B1226" s="32">
        <v>26</v>
      </c>
      <c r="F1226" s="32" t="s">
        <v>152</v>
      </c>
      <c r="J1226" s="32">
        <v>11</v>
      </c>
      <c r="P1226" s="32">
        <v>6490</v>
      </c>
      <c r="R1226" s="32">
        <v>2160</v>
      </c>
      <c r="T1226" s="32">
        <v>4330</v>
      </c>
    </row>
    <row r="1227" spans="2:20" ht="12.75" hidden="1" x14ac:dyDescent="0.25">
      <c r="B1227" s="32">
        <v>27</v>
      </c>
      <c r="F1227" s="32" t="s">
        <v>151</v>
      </c>
      <c r="J1227" s="32">
        <v>2</v>
      </c>
      <c r="P1227" s="32">
        <v>460</v>
      </c>
      <c r="R1227" s="32">
        <v>140</v>
      </c>
      <c r="T1227" s="32">
        <v>320</v>
      </c>
    </row>
    <row r="1228" spans="2:20" ht="12.75" hidden="1" x14ac:dyDescent="0.25">
      <c r="B1228" s="32">
        <v>28</v>
      </c>
      <c r="F1228" s="32" t="s">
        <v>150</v>
      </c>
      <c r="J1228" s="32">
        <v>5</v>
      </c>
      <c r="P1228" s="32">
        <v>850</v>
      </c>
      <c r="R1228" s="32">
        <v>260</v>
      </c>
      <c r="T1228" s="32">
        <v>590</v>
      </c>
    </row>
    <row r="1229" spans="2:20" ht="12.75" hidden="1" x14ac:dyDescent="0.25">
      <c r="B1229" s="32">
        <v>29</v>
      </c>
      <c r="F1229" s="32" t="s">
        <v>415</v>
      </c>
      <c r="J1229" s="32">
        <v>1</v>
      </c>
      <c r="P1229" s="32">
        <v>800</v>
      </c>
      <c r="R1229" s="32">
        <v>200</v>
      </c>
      <c r="T1229" s="32">
        <v>600</v>
      </c>
    </row>
    <row r="1230" spans="2:20" ht="12.75" hidden="1" x14ac:dyDescent="0.25">
      <c r="B1230" s="32">
        <v>30</v>
      </c>
      <c r="F1230" s="32" t="s">
        <v>288</v>
      </c>
      <c r="J1230" s="32">
        <v>1</v>
      </c>
      <c r="P1230" s="32">
        <v>900</v>
      </c>
      <c r="R1230" s="32">
        <v>270</v>
      </c>
      <c r="T1230" s="32">
        <v>630</v>
      </c>
    </row>
    <row r="1231" spans="2:20" ht="12.75" hidden="1" x14ac:dyDescent="0.25">
      <c r="B1231" s="32">
        <v>31</v>
      </c>
      <c r="F1231" s="32" t="s">
        <v>234</v>
      </c>
      <c r="J1231" s="32">
        <v>4</v>
      </c>
      <c r="P1231" s="32">
        <v>3200</v>
      </c>
      <c r="R1231" s="32">
        <v>1800</v>
      </c>
      <c r="T1231" s="32">
        <v>1400</v>
      </c>
    </row>
    <row r="1232" spans="2:20" ht="12.75" hidden="1" x14ac:dyDescent="0.25">
      <c r="B1232" s="32">
        <v>32</v>
      </c>
      <c r="F1232" s="32" t="s">
        <v>287</v>
      </c>
      <c r="J1232" s="32">
        <v>1</v>
      </c>
      <c r="P1232" s="32">
        <v>800</v>
      </c>
      <c r="R1232" s="32">
        <v>450</v>
      </c>
      <c r="T1232" s="32">
        <v>350</v>
      </c>
    </row>
    <row r="1233" spans="2:20" ht="12.75" hidden="1" x14ac:dyDescent="0.25">
      <c r="B1233" s="32">
        <v>33</v>
      </c>
      <c r="F1233" s="32" t="s">
        <v>286</v>
      </c>
      <c r="J1233" s="32">
        <v>1</v>
      </c>
      <c r="P1233" s="32">
        <v>800</v>
      </c>
      <c r="R1233" s="32">
        <v>450</v>
      </c>
      <c r="T1233" s="32">
        <v>350</v>
      </c>
    </row>
    <row r="1234" spans="2:20" ht="12.75" hidden="1" x14ac:dyDescent="0.25">
      <c r="B1234" s="32">
        <v>34</v>
      </c>
      <c r="F1234" s="32" t="s">
        <v>233</v>
      </c>
      <c r="J1234" s="32">
        <v>5</v>
      </c>
      <c r="P1234" s="32">
        <v>4900</v>
      </c>
      <c r="R1234" s="32">
        <v>750</v>
      </c>
      <c r="T1234" s="32">
        <v>4150</v>
      </c>
    </row>
    <row r="1235" spans="2:20" ht="12.75" hidden="1" x14ac:dyDescent="0.25">
      <c r="B1235" s="32">
        <v>35</v>
      </c>
      <c r="F1235" s="32" t="s">
        <v>232</v>
      </c>
      <c r="J1235" s="32">
        <v>5</v>
      </c>
      <c r="P1235" s="32">
        <v>4900</v>
      </c>
      <c r="R1235" s="32">
        <v>750</v>
      </c>
      <c r="T1235" s="32">
        <v>4150</v>
      </c>
    </row>
    <row r="1236" spans="2:20" ht="12.75" hidden="1" x14ac:dyDescent="0.25">
      <c r="B1236" s="32">
        <v>36</v>
      </c>
      <c r="F1236" s="32" t="s">
        <v>142</v>
      </c>
      <c r="J1236" s="32">
        <v>6</v>
      </c>
      <c r="P1236" s="32">
        <v>2100</v>
      </c>
      <c r="R1236" s="32">
        <v>900</v>
      </c>
      <c r="T1236" s="32">
        <v>1200</v>
      </c>
    </row>
    <row r="1237" spans="2:20" ht="12.75" hidden="1" x14ac:dyDescent="0.25">
      <c r="B1237" s="32">
        <v>37</v>
      </c>
      <c r="F1237" s="32" t="s">
        <v>75</v>
      </c>
      <c r="J1237" s="32">
        <v>1119</v>
      </c>
      <c r="P1237" s="32">
        <v>2797500</v>
      </c>
      <c r="R1237" s="32">
        <v>2797500</v>
      </c>
      <c r="T1237" s="32">
        <v>0</v>
      </c>
    </row>
    <row r="1238" spans="2:20" ht="12.75" hidden="1" x14ac:dyDescent="0.25">
      <c r="B1238" s="32">
        <v>38</v>
      </c>
      <c r="F1238" s="32" t="s">
        <v>302</v>
      </c>
      <c r="J1238" s="32">
        <v>1</v>
      </c>
      <c r="P1238" s="32">
        <v>800</v>
      </c>
      <c r="R1238" s="32">
        <v>450</v>
      </c>
      <c r="T1238" s="32">
        <v>350</v>
      </c>
    </row>
    <row r="1239" spans="2:20" ht="12.75" hidden="1" x14ac:dyDescent="0.25">
      <c r="B1239" s="32">
        <v>39</v>
      </c>
      <c r="F1239" s="32" t="s">
        <v>192</v>
      </c>
      <c r="J1239" s="32">
        <v>2</v>
      </c>
      <c r="P1239" s="32">
        <v>3100</v>
      </c>
      <c r="R1239" s="32">
        <v>0</v>
      </c>
      <c r="T1239" s="32">
        <v>3100</v>
      </c>
    </row>
    <row r="1240" spans="2:20" ht="12.75" hidden="1" x14ac:dyDescent="0.25">
      <c r="B1240" s="32">
        <v>40</v>
      </c>
      <c r="F1240" s="32" t="s">
        <v>136</v>
      </c>
      <c r="J1240" s="32">
        <v>47</v>
      </c>
      <c r="P1240" s="32">
        <v>39950</v>
      </c>
      <c r="R1240" s="32">
        <v>9918</v>
      </c>
      <c r="T1240" s="32">
        <v>30032</v>
      </c>
    </row>
    <row r="1241" spans="2:20" ht="12.75" hidden="1" x14ac:dyDescent="0.25">
      <c r="B1241" s="32">
        <v>41</v>
      </c>
      <c r="F1241" s="32" t="s">
        <v>74</v>
      </c>
      <c r="J1241" s="32">
        <v>11</v>
      </c>
      <c r="P1241" s="32">
        <v>9350</v>
      </c>
      <c r="R1241" s="32">
        <v>9350</v>
      </c>
      <c r="T1241" s="32">
        <v>0</v>
      </c>
    </row>
    <row r="1242" spans="2:20" ht="12.75" hidden="1" x14ac:dyDescent="0.25">
      <c r="B1242" s="32">
        <v>42</v>
      </c>
      <c r="F1242" s="32" t="s">
        <v>190</v>
      </c>
      <c r="J1242" s="32">
        <v>18</v>
      </c>
      <c r="P1242" s="32">
        <v>28260</v>
      </c>
      <c r="R1242" s="32">
        <v>4320</v>
      </c>
      <c r="T1242" s="32">
        <v>23940</v>
      </c>
    </row>
    <row r="1243" spans="2:20" ht="12.75" hidden="1" x14ac:dyDescent="0.25">
      <c r="B1243" s="32">
        <v>43</v>
      </c>
      <c r="F1243" s="32" t="s">
        <v>264</v>
      </c>
      <c r="J1243" s="32">
        <v>2</v>
      </c>
      <c r="P1243" s="32">
        <v>2580</v>
      </c>
      <c r="R1243" s="32">
        <v>0</v>
      </c>
      <c r="T1243" s="32">
        <v>2580</v>
      </c>
    </row>
    <row r="1244" spans="2:20" ht="12.75" hidden="1" x14ac:dyDescent="0.25">
      <c r="B1244" s="32">
        <v>44</v>
      </c>
      <c r="F1244" s="32" t="s">
        <v>135</v>
      </c>
      <c r="J1244" s="32">
        <v>24</v>
      </c>
      <c r="P1244" s="32">
        <v>22800</v>
      </c>
      <c r="R1244" s="32">
        <v>6720</v>
      </c>
      <c r="T1244" s="32">
        <v>16080</v>
      </c>
    </row>
    <row r="1245" spans="2:20" ht="12.75" hidden="1" x14ac:dyDescent="0.25">
      <c r="B1245" s="32">
        <v>45</v>
      </c>
      <c r="F1245" s="32" t="s">
        <v>132</v>
      </c>
      <c r="J1245" s="32">
        <v>27</v>
      </c>
      <c r="P1245" s="32">
        <v>33480</v>
      </c>
      <c r="R1245" s="32">
        <v>9990</v>
      </c>
      <c r="T1245" s="32">
        <v>23490</v>
      </c>
    </row>
    <row r="1246" spans="2:20" ht="12.75" hidden="1" x14ac:dyDescent="0.25">
      <c r="B1246" s="32">
        <v>46</v>
      </c>
      <c r="F1246" s="32" t="s">
        <v>188</v>
      </c>
      <c r="J1246" s="32">
        <v>1</v>
      </c>
      <c r="P1246" s="32">
        <v>8000</v>
      </c>
      <c r="R1246" s="32">
        <v>4000</v>
      </c>
      <c r="T1246" s="32">
        <v>4000</v>
      </c>
    </row>
    <row r="1247" spans="2:20" ht="12.75" hidden="1" x14ac:dyDescent="0.25">
      <c r="T1247" s="32"/>
    </row>
    <row r="1248" spans="2:20" ht="12.75" hidden="1" x14ac:dyDescent="0.25">
      <c r="B1248" s="32">
        <v>47</v>
      </c>
      <c r="F1248" s="32" t="s">
        <v>185</v>
      </c>
      <c r="J1248" s="32">
        <v>1</v>
      </c>
      <c r="P1248" s="32">
        <v>800</v>
      </c>
      <c r="R1248" s="32">
        <v>450</v>
      </c>
      <c r="T1248" s="32">
        <v>350</v>
      </c>
    </row>
    <row r="1249" spans="2:20" ht="12.75" hidden="1" x14ac:dyDescent="0.25">
      <c r="B1249" s="32">
        <v>48</v>
      </c>
      <c r="F1249" s="32" t="s">
        <v>283</v>
      </c>
      <c r="J1249" s="32">
        <v>1</v>
      </c>
      <c r="P1249" s="32">
        <v>800</v>
      </c>
      <c r="R1249" s="32">
        <v>450</v>
      </c>
      <c r="T1249" s="32">
        <v>350</v>
      </c>
    </row>
    <row r="1250" spans="2:20" ht="12.75" hidden="1" x14ac:dyDescent="0.25">
      <c r="B1250" s="32">
        <v>49</v>
      </c>
      <c r="F1250" s="32" t="s">
        <v>128</v>
      </c>
      <c r="J1250" s="32">
        <v>2</v>
      </c>
      <c r="P1250" s="32">
        <v>2300</v>
      </c>
      <c r="R1250" s="32">
        <v>340</v>
      </c>
      <c r="T1250" s="32">
        <v>1960</v>
      </c>
    </row>
    <row r="1251" spans="2:20" ht="12.75" hidden="1" x14ac:dyDescent="0.25">
      <c r="B1251" s="32">
        <v>50</v>
      </c>
      <c r="F1251" s="32" t="s">
        <v>366</v>
      </c>
      <c r="J1251" s="32">
        <v>1</v>
      </c>
      <c r="P1251" s="32">
        <v>800</v>
      </c>
      <c r="R1251" s="32">
        <v>450</v>
      </c>
      <c r="T1251" s="32">
        <v>350</v>
      </c>
    </row>
    <row r="1252" spans="2:20" ht="12.75" hidden="1" x14ac:dyDescent="0.25">
      <c r="B1252" s="32">
        <v>51</v>
      </c>
      <c r="F1252" s="32" t="s">
        <v>127</v>
      </c>
      <c r="J1252" s="32">
        <v>13</v>
      </c>
      <c r="P1252" s="32">
        <v>3900</v>
      </c>
      <c r="R1252" s="32">
        <v>1293</v>
      </c>
      <c r="T1252" s="32">
        <v>2607</v>
      </c>
    </row>
    <row r="1253" spans="2:20" ht="12.75" hidden="1" x14ac:dyDescent="0.25">
      <c r="B1253" s="32">
        <v>52</v>
      </c>
      <c r="F1253" s="32" t="s">
        <v>126</v>
      </c>
      <c r="J1253" s="32">
        <v>27</v>
      </c>
      <c r="P1253" s="32">
        <v>5400</v>
      </c>
      <c r="R1253" s="32">
        <v>1641</v>
      </c>
      <c r="T1253" s="32">
        <v>3759</v>
      </c>
    </row>
    <row r="1254" spans="2:20" ht="12.75" hidden="1" x14ac:dyDescent="0.25">
      <c r="B1254" s="32">
        <v>53</v>
      </c>
      <c r="F1254" s="32" t="s">
        <v>123</v>
      </c>
      <c r="J1254" s="32">
        <v>1</v>
      </c>
      <c r="P1254" s="32">
        <v>780</v>
      </c>
      <c r="R1254" s="32">
        <v>230</v>
      </c>
      <c r="T1254" s="32">
        <v>550</v>
      </c>
    </row>
    <row r="1255" spans="2:20" ht="12.75" hidden="1" x14ac:dyDescent="0.25">
      <c r="B1255" s="32">
        <v>54</v>
      </c>
      <c r="F1255" s="32" t="s">
        <v>183</v>
      </c>
      <c r="J1255" s="32">
        <v>1</v>
      </c>
      <c r="P1255" s="32">
        <v>440</v>
      </c>
      <c r="R1255" s="32">
        <v>130</v>
      </c>
      <c r="T1255" s="32">
        <v>310</v>
      </c>
    </row>
    <row r="1256" spans="2:20" ht="12.75" hidden="1" x14ac:dyDescent="0.25">
      <c r="B1256" s="32">
        <v>55</v>
      </c>
      <c r="F1256" s="32" t="s">
        <v>122</v>
      </c>
      <c r="J1256" s="32">
        <v>5</v>
      </c>
      <c r="P1256" s="32">
        <v>2500</v>
      </c>
      <c r="R1256" s="32">
        <v>750</v>
      </c>
      <c r="T1256" s="32">
        <v>1750</v>
      </c>
    </row>
    <row r="1257" spans="2:20" ht="12.75" hidden="1" x14ac:dyDescent="0.25">
      <c r="B1257" s="32">
        <v>56</v>
      </c>
      <c r="F1257" s="32" t="s">
        <v>121</v>
      </c>
      <c r="J1257" s="32">
        <v>2</v>
      </c>
      <c r="P1257" s="32">
        <v>1000</v>
      </c>
      <c r="R1257" s="32">
        <v>300</v>
      </c>
      <c r="T1257" s="32">
        <v>700</v>
      </c>
    </row>
    <row r="1258" spans="2:20" ht="12.75" hidden="1" x14ac:dyDescent="0.25">
      <c r="B1258" s="32">
        <v>57</v>
      </c>
      <c r="F1258" s="32" t="s">
        <v>282</v>
      </c>
      <c r="J1258" s="32">
        <v>1</v>
      </c>
      <c r="P1258" s="32">
        <v>500</v>
      </c>
      <c r="R1258" s="32">
        <v>150</v>
      </c>
      <c r="T1258" s="32">
        <v>350</v>
      </c>
    </row>
    <row r="1259" spans="2:20" ht="12.75" hidden="1" x14ac:dyDescent="0.25">
      <c r="B1259" s="32">
        <v>58</v>
      </c>
      <c r="F1259" s="32" t="s">
        <v>119</v>
      </c>
      <c r="J1259" s="32">
        <v>33</v>
      </c>
      <c r="P1259" s="32">
        <v>29370</v>
      </c>
      <c r="R1259" s="32">
        <v>9612</v>
      </c>
      <c r="T1259" s="32">
        <v>19758</v>
      </c>
    </row>
    <row r="1260" spans="2:20" ht="12.75" hidden="1" x14ac:dyDescent="0.25">
      <c r="B1260" s="32">
        <v>59</v>
      </c>
      <c r="F1260" s="32" t="s">
        <v>118</v>
      </c>
      <c r="J1260" s="32">
        <v>598</v>
      </c>
      <c r="P1260" s="32">
        <v>592020</v>
      </c>
      <c r="R1260" s="32">
        <v>290427</v>
      </c>
      <c r="T1260" s="32">
        <v>301593</v>
      </c>
    </row>
    <row r="1261" spans="2:20" ht="12.75" hidden="1" x14ac:dyDescent="0.25">
      <c r="B1261" s="32">
        <v>60</v>
      </c>
      <c r="F1261" s="32" t="s">
        <v>117</v>
      </c>
      <c r="J1261" s="32">
        <v>6</v>
      </c>
      <c r="P1261" s="32">
        <v>4800</v>
      </c>
      <c r="R1261" s="32">
        <v>1200</v>
      </c>
      <c r="T1261" s="32">
        <v>3600</v>
      </c>
    </row>
    <row r="1262" spans="2:20" ht="12.75" hidden="1" x14ac:dyDescent="0.25">
      <c r="B1262" s="32">
        <v>61</v>
      </c>
      <c r="F1262" s="32" t="s">
        <v>115</v>
      </c>
      <c r="J1262" s="32">
        <v>7</v>
      </c>
      <c r="P1262" s="32">
        <v>2030</v>
      </c>
      <c r="R1262" s="32">
        <v>710</v>
      </c>
      <c r="T1262" s="32">
        <v>1320</v>
      </c>
    </row>
    <row r="1263" spans="2:20" ht="12.75" hidden="1" x14ac:dyDescent="0.25">
      <c r="B1263" s="32">
        <v>62</v>
      </c>
      <c r="F1263" s="32" t="s">
        <v>280</v>
      </c>
      <c r="J1263" s="32">
        <v>1</v>
      </c>
      <c r="P1263" s="32">
        <v>700</v>
      </c>
      <c r="R1263" s="32">
        <v>350</v>
      </c>
      <c r="T1263" s="32">
        <v>350</v>
      </c>
    </row>
    <row r="1264" spans="2:20" ht="12.75" hidden="1" x14ac:dyDescent="0.25">
      <c r="B1264" s="32">
        <v>63</v>
      </c>
      <c r="F1264" s="32" t="s">
        <v>279</v>
      </c>
      <c r="J1264" s="32">
        <v>1</v>
      </c>
      <c r="P1264" s="32">
        <v>500</v>
      </c>
      <c r="R1264" s="32">
        <v>150</v>
      </c>
      <c r="T1264" s="32">
        <v>350</v>
      </c>
    </row>
    <row r="1265" spans="2:20" ht="12.75" hidden="1" x14ac:dyDescent="0.25">
      <c r="B1265" s="32">
        <v>64</v>
      </c>
      <c r="F1265" s="32" t="s">
        <v>219</v>
      </c>
      <c r="J1265" s="32">
        <v>1</v>
      </c>
      <c r="P1265" s="32">
        <v>500</v>
      </c>
      <c r="R1265" s="32">
        <v>150</v>
      </c>
      <c r="T1265" s="32">
        <v>350</v>
      </c>
    </row>
    <row r="1266" spans="2:20" ht="12.75" hidden="1" x14ac:dyDescent="0.25">
      <c r="B1266" s="32">
        <v>65</v>
      </c>
      <c r="F1266" s="32" t="s">
        <v>111</v>
      </c>
      <c r="J1266" s="32">
        <v>1</v>
      </c>
      <c r="P1266" s="32">
        <v>430</v>
      </c>
      <c r="R1266" s="32">
        <v>130</v>
      </c>
      <c r="T1266" s="32">
        <v>300</v>
      </c>
    </row>
    <row r="1267" spans="2:20" ht="12.75" hidden="1" x14ac:dyDescent="0.25">
      <c r="B1267" s="32">
        <v>66</v>
      </c>
      <c r="F1267" s="32" t="s">
        <v>109</v>
      </c>
      <c r="J1267" s="32">
        <v>9</v>
      </c>
      <c r="P1267" s="32">
        <v>7020</v>
      </c>
      <c r="R1267" s="32">
        <v>2070</v>
      </c>
      <c r="T1267" s="32">
        <v>4950</v>
      </c>
    </row>
    <row r="1268" spans="2:20" ht="12.75" hidden="1" x14ac:dyDescent="0.25">
      <c r="B1268" s="32">
        <v>67</v>
      </c>
      <c r="F1268" s="32" t="s">
        <v>108</v>
      </c>
      <c r="J1268" s="32">
        <v>158</v>
      </c>
      <c r="P1268" s="32">
        <v>15800</v>
      </c>
      <c r="R1268" s="32">
        <v>2940</v>
      </c>
      <c r="T1268" s="32">
        <v>12860</v>
      </c>
    </row>
    <row r="1269" spans="2:20" ht="12.75" hidden="1" x14ac:dyDescent="0.25">
      <c r="B1269" s="32">
        <v>68</v>
      </c>
      <c r="F1269" s="32" t="s">
        <v>107</v>
      </c>
      <c r="J1269" s="32">
        <v>82</v>
      </c>
      <c r="P1269" s="32">
        <v>13940</v>
      </c>
      <c r="R1269" s="32">
        <v>4292</v>
      </c>
      <c r="T1269" s="32">
        <v>9648</v>
      </c>
    </row>
    <row r="1270" spans="2:20" ht="12.75" hidden="1" x14ac:dyDescent="0.25">
      <c r="B1270" s="32">
        <v>69</v>
      </c>
      <c r="F1270" s="32" t="s">
        <v>214</v>
      </c>
      <c r="J1270" s="32">
        <v>1</v>
      </c>
      <c r="P1270" s="32">
        <v>990</v>
      </c>
      <c r="R1270" s="32">
        <v>150</v>
      </c>
      <c r="T1270" s="32">
        <v>840</v>
      </c>
    </row>
    <row r="1271" spans="2:20" ht="12.75" hidden="1" x14ac:dyDescent="0.25">
      <c r="B1271" s="32">
        <v>70</v>
      </c>
      <c r="F1271" s="32" t="s">
        <v>103</v>
      </c>
      <c r="J1271" s="32">
        <v>6</v>
      </c>
      <c r="P1271" s="32">
        <v>1980</v>
      </c>
      <c r="R1271" s="32">
        <v>960</v>
      </c>
      <c r="T1271" s="32">
        <v>1020</v>
      </c>
    </row>
    <row r="1272" spans="2:20" ht="12.75" hidden="1" x14ac:dyDescent="0.25">
      <c r="B1272" s="32">
        <v>71</v>
      </c>
      <c r="F1272" s="32" t="s">
        <v>276</v>
      </c>
      <c r="J1272" s="32">
        <v>3</v>
      </c>
      <c r="P1272" s="32">
        <v>1500</v>
      </c>
      <c r="R1272" s="32">
        <v>450</v>
      </c>
      <c r="T1272" s="32">
        <v>1050</v>
      </c>
    </row>
    <row r="1273" spans="2:20" ht="12.75" hidden="1" x14ac:dyDescent="0.25">
      <c r="B1273" s="32">
        <v>72</v>
      </c>
      <c r="F1273" s="32" t="s">
        <v>179</v>
      </c>
      <c r="J1273" s="32">
        <v>1</v>
      </c>
      <c r="P1273" s="32">
        <v>880</v>
      </c>
      <c r="R1273" s="32">
        <v>130</v>
      </c>
      <c r="T1273" s="32">
        <v>750</v>
      </c>
    </row>
    <row r="1274" spans="2:20" ht="12.75" hidden="1" x14ac:dyDescent="0.25">
      <c r="B1274" s="32">
        <v>73</v>
      </c>
      <c r="F1274" s="32" t="s">
        <v>428</v>
      </c>
      <c r="J1274" s="32">
        <v>2</v>
      </c>
      <c r="P1274" s="32">
        <v>1400</v>
      </c>
      <c r="R1274" s="32">
        <v>700</v>
      </c>
      <c r="T1274" s="32">
        <v>700</v>
      </c>
    </row>
    <row r="1275" spans="2:20" ht="12.75" hidden="1" x14ac:dyDescent="0.25">
      <c r="B1275" s="32">
        <v>74</v>
      </c>
      <c r="F1275" s="32" t="s">
        <v>427</v>
      </c>
      <c r="J1275" s="32">
        <v>1</v>
      </c>
      <c r="P1275" s="32">
        <v>880</v>
      </c>
      <c r="R1275" s="32">
        <v>130</v>
      </c>
      <c r="T1275" s="32">
        <v>750</v>
      </c>
    </row>
    <row r="1276" spans="2:20" ht="12.75" hidden="1" x14ac:dyDescent="0.25">
      <c r="B1276" s="32">
        <v>75</v>
      </c>
      <c r="F1276" s="32" t="s">
        <v>97</v>
      </c>
      <c r="J1276" s="32">
        <v>5</v>
      </c>
      <c r="P1276" s="32">
        <v>7950</v>
      </c>
      <c r="R1276" s="32">
        <v>1200</v>
      </c>
      <c r="T1276" s="32">
        <v>6750</v>
      </c>
    </row>
    <row r="1277" spans="2:20" ht="12.75" hidden="1" x14ac:dyDescent="0.25">
      <c r="B1277" s="32">
        <v>76</v>
      </c>
      <c r="F1277" s="32" t="s">
        <v>96</v>
      </c>
      <c r="J1277" s="32">
        <v>1</v>
      </c>
      <c r="P1277" s="32">
        <v>440</v>
      </c>
      <c r="R1277" s="32">
        <v>130</v>
      </c>
      <c r="T1277" s="32">
        <v>310</v>
      </c>
    </row>
    <row r="1278" spans="2:20" ht="12.75" hidden="1" x14ac:dyDescent="0.25">
      <c r="B1278" s="32">
        <v>77</v>
      </c>
      <c r="F1278" s="32" t="s">
        <v>95</v>
      </c>
      <c r="J1278" s="32">
        <v>7</v>
      </c>
      <c r="P1278" s="32">
        <v>2030</v>
      </c>
      <c r="R1278" s="32">
        <v>560</v>
      </c>
      <c r="T1278" s="32">
        <v>1470</v>
      </c>
    </row>
    <row r="1279" spans="2:20" ht="12.75" hidden="1" x14ac:dyDescent="0.25">
      <c r="B1279" s="32">
        <v>78</v>
      </c>
      <c r="F1279" s="32" t="s">
        <v>93</v>
      </c>
      <c r="J1279" s="32">
        <v>6</v>
      </c>
      <c r="P1279" s="32">
        <v>3540</v>
      </c>
      <c r="R1279" s="32">
        <v>540</v>
      </c>
      <c r="T1279" s="32">
        <v>3000</v>
      </c>
    </row>
    <row r="1280" spans="2:20" ht="12.75" hidden="1" x14ac:dyDescent="0.25">
      <c r="B1280" s="32">
        <v>79</v>
      </c>
      <c r="F1280" s="32" t="s">
        <v>92</v>
      </c>
      <c r="J1280" s="32">
        <v>50</v>
      </c>
      <c r="P1280" s="32">
        <v>45160</v>
      </c>
      <c r="R1280" s="32">
        <v>13400</v>
      </c>
      <c r="T1280" s="32">
        <v>31760</v>
      </c>
    </row>
    <row r="1281" spans="1:20" ht="12.75" hidden="1" x14ac:dyDescent="0.25">
      <c r="B1281" s="32">
        <v>80</v>
      </c>
      <c r="F1281" s="32" t="s">
        <v>306</v>
      </c>
      <c r="J1281" s="32">
        <v>2</v>
      </c>
      <c r="P1281" s="32">
        <v>2160</v>
      </c>
      <c r="R1281" s="32">
        <v>640</v>
      </c>
      <c r="T1281" s="32">
        <v>1520</v>
      </c>
    </row>
    <row r="1282" spans="1:20" ht="12.75" hidden="1" x14ac:dyDescent="0.25">
      <c r="B1282" s="32">
        <v>81</v>
      </c>
      <c r="F1282" s="32" t="s">
        <v>91</v>
      </c>
      <c r="J1282" s="32">
        <v>554</v>
      </c>
      <c r="P1282" s="32">
        <v>138500</v>
      </c>
      <c r="R1282" s="32">
        <v>69353</v>
      </c>
      <c r="T1282" s="32">
        <v>69147</v>
      </c>
    </row>
    <row r="1283" spans="1:20" ht="12.75" hidden="1" x14ac:dyDescent="0.25">
      <c r="B1283" s="32">
        <v>82</v>
      </c>
      <c r="F1283" s="32" t="s">
        <v>90</v>
      </c>
      <c r="J1283" s="32">
        <v>45</v>
      </c>
      <c r="P1283" s="32">
        <v>13050</v>
      </c>
      <c r="R1283" s="32">
        <v>3600</v>
      </c>
      <c r="T1283" s="32">
        <v>9450</v>
      </c>
    </row>
    <row r="1284" spans="1:20" ht="12.75" hidden="1" x14ac:dyDescent="0.25">
      <c r="B1284" s="32">
        <v>83</v>
      </c>
      <c r="F1284" s="32" t="s">
        <v>88</v>
      </c>
      <c r="J1284" s="32">
        <v>28</v>
      </c>
      <c r="P1284" s="32">
        <v>5040</v>
      </c>
      <c r="R1284" s="32">
        <v>1834</v>
      </c>
      <c r="T1284" s="32">
        <v>3206</v>
      </c>
    </row>
    <row r="1285" spans="1:20" ht="12.75" hidden="1" x14ac:dyDescent="0.25">
      <c r="B1285" s="32">
        <v>84</v>
      </c>
      <c r="F1285" s="32" t="s">
        <v>85</v>
      </c>
      <c r="J1285" s="32">
        <v>1</v>
      </c>
      <c r="P1285" s="32">
        <v>2080</v>
      </c>
      <c r="R1285" s="32">
        <v>310</v>
      </c>
      <c r="T1285" s="32">
        <v>1770</v>
      </c>
    </row>
    <row r="1286" spans="1:20" ht="12.75" hidden="1" x14ac:dyDescent="0.25">
      <c r="B1286" s="32">
        <v>85</v>
      </c>
      <c r="F1286" s="32" t="s">
        <v>84</v>
      </c>
      <c r="J1286" s="32">
        <v>1</v>
      </c>
      <c r="P1286" s="32">
        <v>590</v>
      </c>
      <c r="R1286" s="32">
        <v>180</v>
      </c>
      <c r="T1286" s="32">
        <v>410</v>
      </c>
    </row>
    <row r="1287" spans="1:20" ht="12.75" hidden="1" x14ac:dyDescent="0.25">
      <c r="B1287" s="32">
        <v>86</v>
      </c>
      <c r="F1287" s="32" t="s">
        <v>208</v>
      </c>
      <c r="J1287" s="32">
        <v>1</v>
      </c>
      <c r="P1287" s="32">
        <v>500</v>
      </c>
      <c r="R1287" s="32">
        <v>150</v>
      </c>
      <c r="T1287" s="32">
        <v>350</v>
      </c>
    </row>
    <row r="1288" spans="1:20" ht="12.75" hidden="1" x14ac:dyDescent="0.25">
      <c r="B1288" s="32">
        <v>87</v>
      </c>
      <c r="F1288" s="32" t="s">
        <v>273</v>
      </c>
      <c r="J1288" s="32">
        <v>5</v>
      </c>
      <c r="P1288" s="32">
        <v>2500</v>
      </c>
      <c r="R1288" s="32">
        <v>750</v>
      </c>
      <c r="T1288" s="32">
        <v>1750</v>
      </c>
    </row>
    <row r="1289" spans="1:20" ht="12.75" hidden="1" x14ac:dyDescent="0.25">
      <c r="B1289" s="32">
        <v>88</v>
      </c>
      <c r="F1289" s="32" t="s">
        <v>207</v>
      </c>
      <c r="J1289" s="32">
        <v>1</v>
      </c>
      <c r="P1289" s="32">
        <v>500</v>
      </c>
      <c r="R1289" s="32">
        <v>150</v>
      </c>
      <c r="T1289" s="32">
        <v>350</v>
      </c>
    </row>
    <row r="1290" spans="1:20" ht="12.75" hidden="1" x14ac:dyDescent="0.25">
      <c r="A1290" s="32" t="s">
        <v>426</v>
      </c>
      <c r="K1290" s="32">
        <v>5436</v>
      </c>
      <c r="P1290" s="32">
        <v>5322310</v>
      </c>
      <c r="R1290" s="32">
        <v>4700918</v>
      </c>
      <c r="T1290" s="32">
        <v>621392</v>
      </c>
    </row>
    <row r="1291" spans="1:20" ht="12.75" hidden="1" x14ac:dyDescent="0.25">
      <c r="B1291" s="32">
        <v>1</v>
      </c>
      <c r="F1291" s="32" t="s">
        <v>200</v>
      </c>
      <c r="J1291" s="32">
        <v>1</v>
      </c>
      <c r="P1291" s="32">
        <v>500</v>
      </c>
      <c r="R1291" s="32">
        <v>150</v>
      </c>
      <c r="T1291" s="32">
        <v>350</v>
      </c>
    </row>
    <row r="1292" spans="1:20" ht="12.75" hidden="1" x14ac:dyDescent="0.25">
      <c r="B1292" s="32">
        <v>2</v>
      </c>
      <c r="F1292" s="32" t="s">
        <v>250</v>
      </c>
      <c r="J1292" s="32">
        <v>2</v>
      </c>
      <c r="P1292" s="32">
        <v>1000</v>
      </c>
      <c r="R1292" s="32">
        <v>250</v>
      </c>
      <c r="T1292" s="32">
        <v>750</v>
      </c>
    </row>
    <row r="1293" spans="1:20" ht="12.75" hidden="1" x14ac:dyDescent="0.25">
      <c r="B1293" s="32">
        <v>3</v>
      </c>
      <c r="F1293" s="32" t="s">
        <v>168</v>
      </c>
      <c r="J1293" s="32">
        <v>2</v>
      </c>
      <c r="P1293" s="32">
        <v>4400</v>
      </c>
      <c r="R1293" s="32">
        <v>660</v>
      </c>
      <c r="T1293" s="32">
        <v>3740</v>
      </c>
    </row>
    <row r="1294" spans="1:20" ht="12.75" hidden="1" x14ac:dyDescent="0.25">
      <c r="B1294" s="32">
        <v>4</v>
      </c>
      <c r="F1294" s="32" t="s">
        <v>78</v>
      </c>
      <c r="J1294" s="32">
        <v>246</v>
      </c>
      <c r="P1294" s="32">
        <v>71340</v>
      </c>
      <c r="R1294" s="32">
        <v>71340</v>
      </c>
      <c r="T1294" s="32">
        <v>0</v>
      </c>
    </row>
    <row r="1295" spans="1:20" ht="12.75" hidden="1" x14ac:dyDescent="0.25">
      <c r="B1295" s="32">
        <v>5</v>
      </c>
      <c r="F1295" s="32" t="s">
        <v>294</v>
      </c>
      <c r="J1295" s="32">
        <v>1</v>
      </c>
      <c r="P1295" s="32">
        <v>500</v>
      </c>
      <c r="R1295" s="32">
        <v>150</v>
      </c>
      <c r="T1295" s="32">
        <v>350</v>
      </c>
    </row>
    <row r="1296" spans="1:20" ht="12.75" hidden="1" x14ac:dyDescent="0.25">
      <c r="B1296" s="32">
        <v>6</v>
      </c>
      <c r="F1296" s="32" t="s">
        <v>165</v>
      </c>
      <c r="J1296" s="32">
        <v>1</v>
      </c>
      <c r="P1296" s="32">
        <v>590</v>
      </c>
      <c r="R1296" s="32">
        <v>180</v>
      </c>
      <c r="T1296" s="32">
        <v>410</v>
      </c>
    </row>
    <row r="1297" spans="2:20" ht="12.75" hidden="1" x14ac:dyDescent="0.25">
      <c r="B1297" s="32">
        <v>7</v>
      </c>
      <c r="F1297" s="32" t="s">
        <v>163</v>
      </c>
      <c r="J1297" s="32">
        <v>2</v>
      </c>
      <c r="P1297" s="32">
        <v>2380</v>
      </c>
      <c r="R1297" s="32">
        <v>360</v>
      </c>
      <c r="T1297" s="32">
        <v>2020</v>
      </c>
    </row>
    <row r="1298" spans="2:20" ht="12.75" hidden="1" x14ac:dyDescent="0.25">
      <c r="B1298" s="32">
        <v>8</v>
      </c>
      <c r="F1298" s="32" t="s">
        <v>162</v>
      </c>
      <c r="J1298" s="32">
        <v>13</v>
      </c>
      <c r="P1298" s="32">
        <v>5590</v>
      </c>
      <c r="R1298" s="32">
        <v>2302</v>
      </c>
      <c r="T1298" s="32">
        <v>3288</v>
      </c>
    </row>
    <row r="1299" spans="2:20" ht="12.75" hidden="1" x14ac:dyDescent="0.25">
      <c r="B1299" s="32">
        <v>9</v>
      </c>
      <c r="F1299" s="32" t="s">
        <v>198</v>
      </c>
      <c r="J1299" s="32">
        <v>3</v>
      </c>
      <c r="P1299" s="32">
        <v>870</v>
      </c>
      <c r="R1299" s="32">
        <v>240</v>
      </c>
      <c r="T1299" s="32">
        <v>630</v>
      </c>
    </row>
    <row r="1300" spans="2:20" ht="12.75" hidden="1" x14ac:dyDescent="0.25">
      <c r="B1300" s="32">
        <v>10</v>
      </c>
      <c r="F1300" s="32" t="s">
        <v>161</v>
      </c>
      <c r="J1300" s="32">
        <v>2</v>
      </c>
      <c r="P1300" s="32">
        <v>50</v>
      </c>
      <c r="R1300" s="32">
        <v>5</v>
      </c>
      <c r="T1300" s="32">
        <v>45</v>
      </c>
    </row>
    <row r="1301" spans="2:20" ht="12.75" hidden="1" x14ac:dyDescent="0.25">
      <c r="B1301" s="32">
        <v>11</v>
      </c>
      <c r="F1301" s="32" t="s">
        <v>160</v>
      </c>
      <c r="J1301" s="32">
        <v>17</v>
      </c>
      <c r="P1301" s="32">
        <v>4930</v>
      </c>
      <c r="R1301" s="32">
        <v>1229</v>
      </c>
      <c r="T1301" s="32">
        <v>3701</v>
      </c>
    </row>
    <row r="1302" spans="2:20" ht="12.75" hidden="1" x14ac:dyDescent="0.25">
      <c r="B1302" s="32">
        <v>12</v>
      </c>
      <c r="F1302" s="32" t="s">
        <v>159</v>
      </c>
      <c r="J1302" s="32">
        <v>138</v>
      </c>
      <c r="P1302" s="32">
        <v>0</v>
      </c>
      <c r="R1302" s="32">
        <v>0</v>
      </c>
      <c r="T1302" s="32">
        <v>0</v>
      </c>
    </row>
    <row r="1303" spans="2:20" ht="12.75" hidden="1" x14ac:dyDescent="0.25">
      <c r="B1303" s="32">
        <v>13</v>
      </c>
      <c r="F1303" s="32" t="s">
        <v>158</v>
      </c>
      <c r="J1303" s="32">
        <v>485</v>
      </c>
      <c r="P1303" s="32">
        <v>266750</v>
      </c>
      <c r="R1303" s="32">
        <v>78694</v>
      </c>
      <c r="T1303" s="32">
        <v>188056</v>
      </c>
    </row>
    <row r="1304" spans="2:20" ht="12.75" hidden="1" x14ac:dyDescent="0.25">
      <c r="B1304" s="32">
        <v>14</v>
      </c>
      <c r="F1304" s="32" t="s">
        <v>157</v>
      </c>
      <c r="J1304" s="32">
        <v>125</v>
      </c>
      <c r="P1304" s="32">
        <v>61250</v>
      </c>
      <c r="R1304" s="32">
        <v>25534</v>
      </c>
      <c r="T1304" s="32">
        <v>35716</v>
      </c>
    </row>
    <row r="1305" spans="2:20" ht="12.75" hidden="1" x14ac:dyDescent="0.25">
      <c r="B1305" s="32">
        <v>15</v>
      </c>
      <c r="F1305" s="32" t="s">
        <v>197</v>
      </c>
      <c r="J1305" s="32">
        <v>1</v>
      </c>
      <c r="P1305" s="32">
        <v>500</v>
      </c>
      <c r="R1305" s="32">
        <v>90</v>
      </c>
      <c r="T1305" s="32">
        <v>410</v>
      </c>
    </row>
    <row r="1306" spans="2:20" ht="12.75" hidden="1" x14ac:dyDescent="0.25">
      <c r="B1306" s="32">
        <v>16</v>
      </c>
      <c r="F1306" s="32" t="s">
        <v>196</v>
      </c>
      <c r="J1306" s="32">
        <v>5</v>
      </c>
      <c r="P1306" s="32">
        <v>3500</v>
      </c>
      <c r="R1306" s="32">
        <v>1419</v>
      </c>
      <c r="T1306" s="32">
        <v>2081</v>
      </c>
    </row>
    <row r="1307" spans="2:20" ht="12.75" hidden="1" x14ac:dyDescent="0.25">
      <c r="B1307" s="32">
        <v>17</v>
      </c>
      <c r="F1307" s="32" t="s">
        <v>309</v>
      </c>
      <c r="J1307" s="32">
        <v>1</v>
      </c>
      <c r="P1307" s="32">
        <v>500</v>
      </c>
      <c r="R1307" s="32">
        <v>150</v>
      </c>
      <c r="T1307" s="32">
        <v>350</v>
      </c>
    </row>
    <row r="1308" spans="2:20" ht="12.75" hidden="1" x14ac:dyDescent="0.25">
      <c r="B1308" s="32">
        <v>18</v>
      </c>
      <c r="F1308" s="32" t="s">
        <v>292</v>
      </c>
      <c r="J1308" s="32">
        <v>1</v>
      </c>
      <c r="P1308" s="32">
        <v>700</v>
      </c>
      <c r="R1308" s="32">
        <v>700</v>
      </c>
      <c r="T1308" s="32">
        <v>0</v>
      </c>
    </row>
    <row r="1309" spans="2:20" ht="12.75" hidden="1" x14ac:dyDescent="0.25">
      <c r="B1309" s="32">
        <v>19</v>
      </c>
      <c r="F1309" s="32" t="s">
        <v>77</v>
      </c>
      <c r="J1309" s="32">
        <v>1737</v>
      </c>
      <c r="P1309" s="32">
        <v>700100</v>
      </c>
      <c r="R1309" s="32">
        <v>700100</v>
      </c>
      <c r="T1309" s="32">
        <v>0</v>
      </c>
    </row>
    <row r="1310" spans="2:20" ht="12.75" hidden="1" x14ac:dyDescent="0.25">
      <c r="B1310" s="32">
        <v>20</v>
      </c>
      <c r="F1310" s="32" t="s">
        <v>242</v>
      </c>
      <c r="J1310" s="32">
        <v>1</v>
      </c>
      <c r="P1310" s="32">
        <v>500</v>
      </c>
      <c r="R1310" s="32">
        <v>500</v>
      </c>
      <c r="T1310" s="32">
        <v>0</v>
      </c>
    </row>
    <row r="1311" spans="2:20" ht="12.75" hidden="1" x14ac:dyDescent="0.25">
      <c r="B1311" s="32">
        <v>21</v>
      </c>
      <c r="F1311" s="32" t="s">
        <v>241</v>
      </c>
      <c r="J1311" s="32">
        <v>1</v>
      </c>
      <c r="P1311" s="32">
        <v>350</v>
      </c>
      <c r="R1311" s="32">
        <v>350</v>
      </c>
      <c r="T1311" s="32">
        <v>0</v>
      </c>
    </row>
    <row r="1312" spans="2:20" ht="12.75" hidden="1" x14ac:dyDescent="0.25">
      <c r="B1312" s="32">
        <v>22</v>
      </c>
      <c r="F1312" s="32" t="s">
        <v>76</v>
      </c>
      <c r="J1312" s="32">
        <v>4</v>
      </c>
      <c r="P1312" s="32">
        <v>2400</v>
      </c>
      <c r="R1312" s="32">
        <v>2400</v>
      </c>
      <c r="T1312" s="32">
        <v>0</v>
      </c>
    </row>
    <row r="1313" spans="2:20" ht="12.75" hidden="1" x14ac:dyDescent="0.25">
      <c r="B1313" s="32">
        <v>23</v>
      </c>
      <c r="F1313" s="32" t="s">
        <v>156</v>
      </c>
      <c r="J1313" s="32">
        <v>7</v>
      </c>
      <c r="P1313" s="32">
        <v>1330</v>
      </c>
      <c r="R1313" s="32">
        <v>360</v>
      </c>
      <c r="T1313" s="32">
        <v>970</v>
      </c>
    </row>
    <row r="1314" spans="2:20" ht="12.75" hidden="1" x14ac:dyDescent="0.25">
      <c r="B1314" s="32">
        <v>24</v>
      </c>
      <c r="F1314" s="32" t="s">
        <v>155</v>
      </c>
      <c r="J1314" s="32">
        <v>24</v>
      </c>
      <c r="P1314" s="32">
        <v>6000</v>
      </c>
      <c r="R1314" s="32">
        <v>1969</v>
      </c>
      <c r="T1314" s="32">
        <v>4031</v>
      </c>
    </row>
    <row r="1315" spans="2:20" ht="12.75" hidden="1" x14ac:dyDescent="0.25">
      <c r="B1315" s="32">
        <v>25</v>
      </c>
      <c r="F1315" s="32" t="s">
        <v>154</v>
      </c>
      <c r="J1315" s="32">
        <v>2</v>
      </c>
      <c r="P1315" s="32">
        <v>1780</v>
      </c>
      <c r="R1315" s="32">
        <v>260</v>
      </c>
      <c r="T1315" s="32">
        <v>1520</v>
      </c>
    </row>
    <row r="1316" spans="2:20" ht="12.75" hidden="1" x14ac:dyDescent="0.25">
      <c r="B1316" s="32">
        <v>26</v>
      </c>
      <c r="F1316" s="32" t="s">
        <v>322</v>
      </c>
      <c r="J1316" s="32">
        <v>1</v>
      </c>
      <c r="P1316" s="32">
        <v>1180</v>
      </c>
      <c r="R1316" s="32">
        <v>180</v>
      </c>
      <c r="T1316" s="32">
        <v>1000</v>
      </c>
    </row>
    <row r="1317" spans="2:20" ht="12.75" hidden="1" x14ac:dyDescent="0.25">
      <c r="B1317" s="32">
        <v>27</v>
      </c>
      <c r="F1317" s="32" t="s">
        <v>194</v>
      </c>
      <c r="J1317" s="32">
        <v>1</v>
      </c>
      <c r="P1317" s="32">
        <v>700</v>
      </c>
      <c r="R1317" s="32">
        <v>180</v>
      </c>
      <c r="T1317" s="32">
        <v>520</v>
      </c>
    </row>
    <row r="1318" spans="2:20" ht="12.75" hidden="1" x14ac:dyDescent="0.25">
      <c r="B1318" s="32">
        <v>28</v>
      </c>
      <c r="F1318" s="32" t="s">
        <v>265</v>
      </c>
      <c r="J1318" s="32">
        <v>1</v>
      </c>
      <c r="P1318" s="32">
        <v>300</v>
      </c>
      <c r="R1318" s="32">
        <v>0</v>
      </c>
      <c r="T1318" s="32">
        <v>300</v>
      </c>
    </row>
    <row r="1319" spans="2:20" ht="12.75" hidden="1" x14ac:dyDescent="0.25">
      <c r="B1319" s="32">
        <v>29</v>
      </c>
      <c r="F1319" s="32" t="s">
        <v>289</v>
      </c>
      <c r="J1319" s="32">
        <v>1</v>
      </c>
      <c r="P1319" s="32">
        <v>500</v>
      </c>
      <c r="R1319" s="32">
        <v>150</v>
      </c>
      <c r="T1319" s="32">
        <v>350</v>
      </c>
    </row>
    <row r="1320" spans="2:20" ht="12.75" hidden="1" x14ac:dyDescent="0.25">
      <c r="B1320" s="32">
        <v>30</v>
      </c>
      <c r="F1320" s="32" t="s">
        <v>152</v>
      </c>
      <c r="J1320" s="32">
        <v>23</v>
      </c>
      <c r="P1320" s="32">
        <v>13570</v>
      </c>
      <c r="R1320" s="32">
        <v>4236</v>
      </c>
      <c r="T1320" s="32">
        <v>9334</v>
      </c>
    </row>
    <row r="1321" spans="2:20" ht="12.75" hidden="1" x14ac:dyDescent="0.25">
      <c r="B1321" s="32">
        <v>31</v>
      </c>
      <c r="F1321" s="32" t="s">
        <v>151</v>
      </c>
      <c r="J1321" s="32">
        <v>7</v>
      </c>
      <c r="P1321" s="32">
        <v>1610</v>
      </c>
      <c r="R1321" s="32">
        <v>496</v>
      </c>
      <c r="T1321" s="32">
        <v>1114</v>
      </c>
    </row>
    <row r="1322" spans="2:20" ht="12.75" hidden="1" x14ac:dyDescent="0.25">
      <c r="B1322" s="32">
        <v>32</v>
      </c>
      <c r="F1322" s="32" t="s">
        <v>150</v>
      </c>
      <c r="J1322" s="32">
        <v>17</v>
      </c>
      <c r="P1322" s="32">
        <v>2890</v>
      </c>
      <c r="R1322" s="32">
        <v>770</v>
      </c>
      <c r="T1322" s="32">
        <v>2120</v>
      </c>
    </row>
    <row r="1323" spans="2:20" ht="12.75" hidden="1" x14ac:dyDescent="0.25">
      <c r="B1323" s="32">
        <v>33</v>
      </c>
      <c r="F1323" s="32" t="s">
        <v>149</v>
      </c>
      <c r="J1323" s="32">
        <v>13</v>
      </c>
      <c r="P1323" s="32">
        <v>650</v>
      </c>
      <c r="R1323" s="32">
        <v>30</v>
      </c>
      <c r="T1323" s="32">
        <v>620</v>
      </c>
    </row>
    <row r="1324" spans="2:20" ht="12.75" hidden="1" x14ac:dyDescent="0.25">
      <c r="B1324" s="32">
        <v>34</v>
      </c>
      <c r="F1324" s="32" t="s">
        <v>236</v>
      </c>
      <c r="J1324" s="32">
        <v>1</v>
      </c>
      <c r="P1324" s="32">
        <v>800</v>
      </c>
      <c r="R1324" s="32">
        <v>0</v>
      </c>
      <c r="T1324" s="32">
        <v>800</v>
      </c>
    </row>
    <row r="1325" spans="2:20" ht="12.75" hidden="1" x14ac:dyDescent="0.25">
      <c r="B1325" s="32">
        <v>35</v>
      </c>
      <c r="F1325" s="32" t="s">
        <v>148</v>
      </c>
      <c r="J1325" s="32">
        <v>2</v>
      </c>
      <c r="P1325" s="32">
        <v>1960</v>
      </c>
      <c r="R1325" s="32">
        <v>300</v>
      </c>
      <c r="T1325" s="32">
        <v>1660</v>
      </c>
    </row>
    <row r="1326" spans="2:20" ht="12.75" hidden="1" x14ac:dyDescent="0.25">
      <c r="B1326" s="32">
        <v>36</v>
      </c>
      <c r="F1326" s="32" t="s">
        <v>144</v>
      </c>
      <c r="J1326" s="32">
        <v>2</v>
      </c>
      <c r="P1326" s="32">
        <v>600</v>
      </c>
      <c r="R1326" s="32">
        <v>0</v>
      </c>
      <c r="T1326" s="32">
        <v>600</v>
      </c>
    </row>
    <row r="1327" spans="2:20" ht="12.75" hidden="1" x14ac:dyDescent="0.25">
      <c r="B1327" s="32">
        <v>37</v>
      </c>
      <c r="F1327" s="32" t="s">
        <v>425</v>
      </c>
      <c r="J1327" s="32">
        <v>1</v>
      </c>
      <c r="P1327" s="32">
        <v>500</v>
      </c>
      <c r="R1327" s="32">
        <v>0</v>
      </c>
      <c r="T1327" s="32">
        <v>500</v>
      </c>
    </row>
    <row r="1328" spans="2:20" ht="12.75" hidden="1" x14ac:dyDescent="0.25">
      <c r="B1328" s="32">
        <v>38</v>
      </c>
      <c r="F1328" s="32" t="s">
        <v>288</v>
      </c>
      <c r="J1328" s="32">
        <v>2</v>
      </c>
      <c r="P1328" s="32">
        <v>1600</v>
      </c>
      <c r="R1328" s="32">
        <v>900</v>
      </c>
      <c r="T1328" s="32">
        <v>700</v>
      </c>
    </row>
    <row r="1329" spans="2:20" ht="12.75" hidden="1" x14ac:dyDescent="0.25">
      <c r="B1329" s="32">
        <v>39</v>
      </c>
      <c r="F1329" s="32" t="s">
        <v>234</v>
      </c>
      <c r="J1329" s="32">
        <v>1</v>
      </c>
      <c r="P1329" s="32">
        <v>800</v>
      </c>
      <c r="R1329" s="32">
        <v>450</v>
      </c>
      <c r="T1329" s="32">
        <v>350</v>
      </c>
    </row>
    <row r="1330" spans="2:20" ht="12.75" hidden="1" x14ac:dyDescent="0.25">
      <c r="B1330" s="32">
        <v>40</v>
      </c>
      <c r="F1330" s="32" t="s">
        <v>142</v>
      </c>
      <c r="J1330" s="32">
        <v>3</v>
      </c>
      <c r="P1330" s="32">
        <v>1050</v>
      </c>
      <c r="R1330" s="32">
        <v>450</v>
      </c>
      <c r="T1330" s="32">
        <v>600</v>
      </c>
    </row>
    <row r="1331" spans="2:20" ht="12.75" hidden="1" x14ac:dyDescent="0.25">
      <c r="B1331" s="32">
        <v>41</v>
      </c>
      <c r="F1331" s="32" t="s">
        <v>75</v>
      </c>
      <c r="J1331" s="32">
        <v>1410</v>
      </c>
      <c r="P1331" s="32">
        <v>3525000</v>
      </c>
      <c r="R1331" s="32">
        <v>3525000</v>
      </c>
      <c r="T1331" s="32">
        <v>0</v>
      </c>
    </row>
    <row r="1332" spans="2:20" ht="12.75" hidden="1" x14ac:dyDescent="0.25">
      <c r="B1332" s="32">
        <v>42</v>
      </c>
      <c r="F1332" s="32" t="s">
        <v>139</v>
      </c>
      <c r="J1332" s="32">
        <v>1</v>
      </c>
      <c r="P1332" s="32">
        <v>270</v>
      </c>
      <c r="R1332" s="32">
        <v>80</v>
      </c>
      <c r="T1332" s="32">
        <v>190</v>
      </c>
    </row>
    <row r="1333" spans="2:20" ht="12.75" hidden="1" x14ac:dyDescent="0.25">
      <c r="B1333" s="32">
        <v>43</v>
      </c>
      <c r="F1333" s="32" t="s">
        <v>302</v>
      </c>
      <c r="J1333" s="32">
        <v>1</v>
      </c>
      <c r="P1333" s="32">
        <v>800</v>
      </c>
      <c r="R1333" s="32">
        <v>450</v>
      </c>
      <c r="T1333" s="32">
        <v>350</v>
      </c>
    </row>
    <row r="1334" spans="2:20" ht="12.75" hidden="1" x14ac:dyDescent="0.25">
      <c r="B1334" s="32">
        <v>44</v>
      </c>
      <c r="F1334" s="32" t="s">
        <v>138</v>
      </c>
      <c r="J1334" s="32">
        <v>1</v>
      </c>
      <c r="P1334" s="32">
        <v>800</v>
      </c>
      <c r="R1334" s="32">
        <v>450</v>
      </c>
      <c r="T1334" s="32">
        <v>350</v>
      </c>
    </row>
    <row r="1335" spans="2:20" ht="12.75" hidden="1" x14ac:dyDescent="0.25">
      <c r="B1335" s="32">
        <v>45</v>
      </c>
      <c r="F1335" s="32" t="s">
        <v>192</v>
      </c>
      <c r="J1335" s="32">
        <v>1</v>
      </c>
      <c r="P1335" s="32">
        <v>1550</v>
      </c>
      <c r="R1335" s="32">
        <v>0</v>
      </c>
      <c r="T1335" s="32">
        <v>1550</v>
      </c>
    </row>
    <row r="1336" spans="2:20" ht="12.75" hidden="1" x14ac:dyDescent="0.25">
      <c r="B1336" s="32">
        <v>46</v>
      </c>
      <c r="F1336" s="32" t="s">
        <v>136</v>
      </c>
      <c r="J1336" s="32">
        <v>15</v>
      </c>
      <c r="P1336" s="32">
        <v>12750</v>
      </c>
      <c r="R1336" s="32">
        <v>3324</v>
      </c>
      <c r="T1336" s="32">
        <v>9426</v>
      </c>
    </row>
    <row r="1337" spans="2:20" ht="12.75" hidden="1" x14ac:dyDescent="0.25">
      <c r="B1337" s="32">
        <v>47</v>
      </c>
      <c r="F1337" s="32" t="s">
        <v>74</v>
      </c>
      <c r="J1337" s="32">
        <v>187</v>
      </c>
      <c r="P1337" s="32">
        <v>158950</v>
      </c>
      <c r="R1337" s="32">
        <v>158950</v>
      </c>
      <c r="T1337" s="32">
        <v>0</v>
      </c>
    </row>
    <row r="1338" spans="2:20" ht="12.75" hidden="1" x14ac:dyDescent="0.25">
      <c r="B1338" s="32">
        <v>48</v>
      </c>
      <c r="F1338" s="32" t="s">
        <v>424</v>
      </c>
      <c r="J1338" s="32">
        <v>1</v>
      </c>
      <c r="P1338" s="32">
        <v>500</v>
      </c>
      <c r="R1338" s="32">
        <v>150</v>
      </c>
      <c r="T1338" s="32">
        <v>350</v>
      </c>
    </row>
    <row r="1339" spans="2:20" ht="12.75" hidden="1" x14ac:dyDescent="0.25">
      <c r="B1339" s="32">
        <v>49</v>
      </c>
      <c r="F1339" s="32" t="s">
        <v>190</v>
      </c>
      <c r="J1339" s="32">
        <v>3</v>
      </c>
      <c r="P1339" s="32">
        <v>4710</v>
      </c>
      <c r="R1339" s="32">
        <v>720</v>
      </c>
      <c r="T1339" s="32">
        <v>3990</v>
      </c>
    </row>
    <row r="1340" spans="2:20" ht="12.75" hidden="1" x14ac:dyDescent="0.25">
      <c r="B1340" s="32">
        <v>50</v>
      </c>
      <c r="F1340" s="32" t="s">
        <v>230</v>
      </c>
      <c r="J1340" s="32">
        <v>5</v>
      </c>
      <c r="P1340" s="32">
        <v>4750</v>
      </c>
      <c r="R1340" s="32">
        <v>700</v>
      </c>
      <c r="T1340" s="32">
        <v>4050</v>
      </c>
    </row>
    <row r="1341" spans="2:20" ht="12.75" hidden="1" x14ac:dyDescent="0.25">
      <c r="B1341" s="32">
        <v>51</v>
      </c>
      <c r="F1341" s="32" t="s">
        <v>135</v>
      </c>
      <c r="J1341" s="32">
        <v>7</v>
      </c>
      <c r="P1341" s="32">
        <v>6650</v>
      </c>
      <c r="R1341" s="32">
        <v>1960</v>
      </c>
      <c r="T1341" s="32">
        <v>4690</v>
      </c>
    </row>
    <row r="1342" spans="2:20" ht="12.75" hidden="1" x14ac:dyDescent="0.25">
      <c r="B1342" s="32">
        <v>52</v>
      </c>
      <c r="F1342" s="32" t="s">
        <v>134</v>
      </c>
      <c r="J1342" s="32">
        <v>1</v>
      </c>
      <c r="P1342" s="32">
        <v>3700</v>
      </c>
      <c r="R1342" s="32">
        <v>800</v>
      </c>
      <c r="T1342" s="32">
        <v>2900</v>
      </c>
    </row>
    <row r="1343" spans="2:20" ht="12.75" hidden="1" x14ac:dyDescent="0.25">
      <c r="B1343" s="32">
        <v>53</v>
      </c>
      <c r="F1343" s="32" t="s">
        <v>132</v>
      </c>
      <c r="J1343" s="32">
        <v>12</v>
      </c>
      <c r="P1343" s="32">
        <v>14880</v>
      </c>
      <c r="R1343" s="32">
        <v>4440</v>
      </c>
      <c r="T1343" s="32">
        <v>10440</v>
      </c>
    </row>
    <row r="1344" spans="2:20" ht="12.75" hidden="1" x14ac:dyDescent="0.25">
      <c r="B1344" s="32">
        <v>54</v>
      </c>
      <c r="F1344" s="32" t="s">
        <v>131</v>
      </c>
      <c r="J1344" s="32">
        <v>2</v>
      </c>
      <c r="P1344" s="32">
        <v>7400</v>
      </c>
      <c r="R1344" s="32">
        <v>1600</v>
      </c>
      <c r="T1344" s="32">
        <v>5800</v>
      </c>
    </row>
    <row r="1345" spans="2:20" ht="12.75" hidden="1" x14ac:dyDescent="0.25">
      <c r="B1345" s="32">
        <v>55</v>
      </c>
      <c r="F1345" s="32" t="s">
        <v>130</v>
      </c>
      <c r="J1345" s="32">
        <v>2</v>
      </c>
      <c r="P1345" s="32">
        <v>16000</v>
      </c>
      <c r="R1345" s="32">
        <v>8200</v>
      </c>
      <c r="T1345" s="32">
        <v>7800</v>
      </c>
    </row>
    <row r="1346" spans="2:20" ht="12.75" hidden="1" x14ac:dyDescent="0.25">
      <c r="B1346" s="32">
        <v>56</v>
      </c>
      <c r="F1346" s="32" t="s">
        <v>127</v>
      </c>
      <c r="J1346" s="32">
        <v>10</v>
      </c>
      <c r="P1346" s="32">
        <v>3000</v>
      </c>
      <c r="R1346" s="32">
        <v>1056</v>
      </c>
      <c r="T1346" s="32">
        <v>1944</v>
      </c>
    </row>
    <row r="1347" spans="2:20" ht="12.75" hidden="1" x14ac:dyDescent="0.25">
      <c r="B1347" s="32">
        <v>57</v>
      </c>
      <c r="F1347" s="32" t="s">
        <v>126</v>
      </c>
      <c r="J1347" s="32">
        <v>10</v>
      </c>
      <c r="P1347" s="32">
        <v>2000</v>
      </c>
      <c r="R1347" s="32">
        <v>702</v>
      </c>
      <c r="T1347" s="32">
        <v>1298</v>
      </c>
    </row>
    <row r="1348" spans="2:20" ht="12.75" hidden="1" x14ac:dyDescent="0.25">
      <c r="B1348" s="32">
        <v>58</v>
      </c>
      <c r="F1348" s="32" t="s">
        <v>125</v>
      </c>
      <c r="J1348" s="32">
        <v>2</v>
      </c>
      <c r="P1348" s="32">
        <v>800</v>
      </c>
      <c r="R1348" s="32">
        <v>240</v>
      </c>
      <c r="T1348" s="32">
        <v>560</v>
      </c>
    </row>
    <row r="1349" spans="2:20" ht="12.75" hidden="1" x14ac:dyDescent="0.25">
      <c r="B1349" s="32">
        <v>59</v>
      </c>
      <c r="F1349" s="32" t="s">
        <v>124</v>
      </c>
      <c r="J1349" s="32">
        <v>6</v>
      </c>
      <c r="P1349" s="32">
        <v>3920</v>
      </c>
      <c r="R1349" s="32">
        <v>1160</v>
      </c>
      <c r="T1349" s="32">
        <v>2760</v>
      </c>
    </row>
    <row r="1350" spans="2:20" ht="12.75" hidden="1" x14ac:dyDescent="0.25">
      <c r="B1350" s="32">
        <v>60</v>
      </c>
      <c r="F1350" s="32" t="s">
        <v>123</v>
      </c>
      <c r="J1350" s="32">
        <v>90</v>
      </c>
      <c r="P1350" s="32">
        <v>70200</v>
      </c>
      <c r="R1350" s="32">
        <v>19982</v>
      </c>
      <c r="T1350" s="32">
        <v>50218</v>
      </c>
    </row>
    <row r="1351" spans="2:20" ht="12.75" hidden="1" x14ac:dyDescent="0.25">
      <c r="B1351" s="32">
        <v>61</v>
      </c>
      <c r="F1351" s="32" t="s">
        <v>183</v>
      </c>
      <c r="J1351" s="32">
        <v>1</v>
      </c>
      <c r="P1351" s="32">
        <v>440</v>
      </c>
      <c r="R1351" s="32">
        <v>0</v>
      </c>
      <c r="T1351" s="32">
        <v>440</v>
      </c>
    </row>
    <row r="1352" spans="2:20" ht="12.75" hidden="1" x14ac:dyDescent="0.25">
      <c r="B1352" s="32">
        <v>62</v>
      </c>
      <c r="F1352" s="32" t="s">
        <v>336</v>
      </c>
      <c r="J1352" s="32">
        <v>2</v>
      </c>
      <c r="P1352" s="32">
        <v>1200</v>
      </c>
      <c r="R1352" s="32">
        <v>340</v>
      </c>
      <c r="T1352" s="32">
        <v>860</v>
      </c>
    </row>
    <row r="1353" spans="2:20" ht="12.75" hidden="1" x14ac:dyDescent="0.25">
      <c r="B1353" s="32">
        <v>63</v>
      </c>
      <c r="F1353" s="32" t="s">
        <v>122</v>
      </c>
      <c r="J1353" s="32">
        <v>1</v>
      </c>
      <c r="P1353" s="32">
        <v>500</v>
      </c>
      <c r="R1353" s="32">
        <v>150</v>
      </c>
      <c r="T1353" s="32">
        <v>350</v>
      </c>
    </row>
    <row r="1354" spans="2:20" ht="12.75" hidden="1" x14ac:dyDescent="0.25">
      <c r="B1354" s="32">
        <v>64</v>
      </c>
      <c r="F1354" s="32" t="s">
        <v>121</v>
      </c>
      <c r="J1354" s="32">
        <v>3</v>
      </c>
      <c r="P1354" s="32">
        <v>1500</v>
      </c>
      <c r="R1354" s="32">
        <v>300</v>
      </c>
      <c r="T1354" s="32">
        <v>1200</v>
      </c>
    </row>
    <row r="1355" spans="2:20" ht="12.75" hidden="1" x14ac:dyDescent="0.25">
      <c r="B1355" s="32">
        <v>65</v>
      </c>
      <c r="F1355" s="32" t="s">
        <v>119</v>
      </c>
      <c r="J1355" s="32">
        <v>8</v>
      </c>
      <c r="P1355" s="32">
        <v>7120</v>
      </c>
      <c r="R1355" s="32">
        <v>2334</v>
      </c>
      <c r="T1355" s="32">
        <v>4786</v>
      </c>
    </row>
    <row r="1356" spans="2:20" ht="12.75" hidden="1" x14ac:dyDescent="0.25">
      <c r="B1356" s="32">
        <v>66</v>
      </c>
      <c r="F1356" s="32" t="s">
        <v>118</v>
      </c>
      <c r="J1356" s="32">
        <v>63</v>
      </c>
      <c r="P1356" s="32">
        <v>62370</v>
      </c>
      <c r="R1356" s="32">
        <v>20902</v>
      </c>
      <c r="T1356" s="32">
        <v>41468</v>
      </c>
    </row>
    <row r="1357" spans="2:20" ht="12.75" hidden="1" x14ac:dyDescent="0.25">
      <c r="B1357" s="32">
        <v>67</v>
      </c>
      <c r="F1357" s="32" t="s">
        <v>117</v>
      </c>
      <c r="J1357" s="32">
        <v>2</v>
      </c>
      <c r="P1357" s="32">
        <v>1600</v>
      </c>
      <c r="R1357" s="32">
        <v>400</v>
      </c>
      <c r="T1357" s="32">
        <v>1200</v>
      </c>
    </row>
    <row r="1358" spans="2:20" ht="12.75" hidden="1" x14ac:dyDescent="0.25">
      <c r="B1358" s="32">
        <v>68</v>
      </c>
      <c r="F1358" s="32" t="s">
        <v>116</v>
      </c>
      <c r="J1358" s="32">
        <v>1</v>
      </c>
      <c r="P1358" s="32">
        <v>800</v>
      </c>
      <c r="R1358" s="32">
        <v>200</v>
      </c>
      <c r="T1358" s="32">
        <v>600</v>
      </c>
    </row>
    <row r="1359" spans="2:20" ht="12.75" hidden="1" x14ac:dyDescent="0.25">
      <c r="T1359" s="32"/>
    </row>
    <row r="1360" spans="2:20" ht="12.75" hidden="1" x14ac:dyDescent="0.25">
      <c r="B1360" s="32">
        <v>69</v>
      </c>
      <c r="F1360" s="32" t="s">
        <v>115</v>
      </c>
      <c r="J1360" s="32">
        <v>29</v>
      </c>
      <c r="P1360" s="32">
        <v>8410</v>
      </c>
      <c r="R1360" s="32">
        <v>2307</v>
      </c>
      <c r="T1360" s="32">
        <v>6103</v>
      </c>
    </row>
    <row r="1361" spans="2:20" ht="12.75" hidden="1" x14ac:dyDescent="0.25">
      <c r="B1361" s="32">
        <v>70</v>
      </c>
      <c r="F1361" s="32" t="s">
        <v>417</v>
      </c>
      <c r="J1361" s="32">
        <v>1</v>
      </c>
      <c r="P1361" s="32">
        <v>600</v>
      </c>
      <c r="R1361" s="32">
        <v>0</v>
      </c>
      <c r="T1361" s="32">
        <v>600</v>
      </c>
    </row>
    <row r="1362" spans="2:20" ht="12.75" hidden="1" x14ac:dyDescent="0.25">
      <c r="B1362" s="32">
        <v>71</v>
      </c>
      <c r="F1362" s="32" t="s">
        <v>423</v>
      </c>
      <c r="J1362" s="32">
        <v>1</v>
      </c>
      <c r="P1362" s="32">
        <v>120</v>
      </c>
      <c r="R1362" s="32">
        <v>0</v>
      </c>
      <c r="T1362" s="32">
        <v>120</v>
      </c>
    </row>
    <row r="1363" spans="2:20" ht="12.75" hidden="1" x14ac:dyDescent="0.25">
      <c r="B1363" s="32">
        <v>72</v>
      </c>
      <c r="F1363" s="32" t="s">
        <v>219</v>
      </c>
      <c r="J1363" s="32">
        <v>2</v>
      </c>
      <c r="P1363" s="32">
        <v>1000</v>
      </c>
      <c r="R1363" s="32">
        <v>300</v>
      </c>
      <c r="T1363" s="32">
        <v>700</v>
      </c>
    </row>
    <row r="1364" spans="2:20" ht="12.75" hidden="1" x14ac:dyDescent="0.25">
      <c r="B1364" s="32">
        <v>73</v>
      </c>
      <c r="F1364" s="32" t="s">
        <v>108</v>
      </c>
      <c r="J1364" s="32">
        <v>199</v>
      </c>
      <c r="P1364" s="32">
        <v>19900</v>
      </c>
      <c r="R1364" s="32">
        <v>2850</v>
      </c>
      <c r="T1364" s="32">
        <v>17050</v>
      </c>
    </row>
    <row r="1365" spans="2:20" ht="12.75" hidden="1" x14ac:dyDescent="0.25">
      <c r="B1365" s="32">
        <v>74</v>
      </c>
      <c r="F1365" s="32" t="s">
        <v>107</v>
      </c>
      <c r="J1365" s="32">
        <v>36</v>
      </c>
      <c r="P1365" s="32">
        <v>6120</v>
      </c>
      <c r="R1365" s="32">
        <v>1814</v>
      </c>
      <c r="T1365" s="32">
        <v>4306</v>
      </c>
    </row>
    <row r="1366" spans="2:20" ht="12.75" hidden="1" x14ac:dyDescent="0.25">
      <c r="B1366" s="32">
        <v>75</v>
      </c>
      <c r="F1366" s="32" t="s">
        <v>106</v>
      </c>
      <c r="J1366" s="32">
        <v>18</v>
      </c>
      <c r="P1366" s="32">
        <v>1800</v>
      </c>
      <c r="R1366" s="32">
        <v>540</v>
      </c>
      <c r="T1366" s="32">
        <v>1260</v>
      </c>
    </row>
    <row r="1367" spans="2:20" ht="12.75" hidden="1" x14ac:dyDescent="0.25">
      <c r="B1367" s="32">
        <v>76</v>
      </c>
      <c r="F1367" s="32" t="s">
        <v>218</v>
      </c>
      <c r="J1367" s="32">
        <v>1</v>
      </c>
      <c r="P1367" s="32">
        <v>290</v>
      </c>
      <c r="R1367" s="32">
        <v>80</v>
      </c>
      <c r="T1367" s="32">
        <v>210</v>
      </c>
    </row>
    <row r="1368" spans="2:20" ht="12.75" hidden="1" x14ac:dyDescent="0.25">
      <c r="B1368" s="32">
        <v>77</v>
      </c>
      <c r="F1368" s="32" t="s">
        <v>105</v>
      </c>
      <c r="J1368" s="32">
        <v>29</v>
      </c>
      <c r="P1368" s="32">
        <v>33350</v>
      </c>
      <c r="R1368" s="32">
        <v>0</v>
      </c>
      <c r="T1368" s="32">
        <v>33350</v>
      </c>
    </row>
    <row r="1369" spans="2:20" ht="12.75" hidden="1" x14ac:dyDescent="0.25">
      <c r="B1369" s="32">
        <v>78</v>
      </c>
      <c r="F1369" s="32" t="s">
        <v>397</v>
      </c>
      <c r="J1369" s="32">
        <v>5</v>
      </c>
      <c r="P1369" s="32">
        <v>5750</v>
      </c>
      <c r="R1369" s="32">
        <v>0</v>
      </c>
      <c r="T1369" s="32">
        <v>5750</v>
      </c>
    </row>
    <row r="1370" spans="2:20" ht="12.75" hidden="1" x14ac:dyDescent="0.25">
      <c r="B1370" s="32">
        <v>79</v>
      </c>
      <c r="F1370" s="32" t="s">
        <v>104</v>
      </c>
      <c r="J1370" s="32">
        <v>1</v>
      </c>
      <c r="P1370" s="32">
        <v>330</v>
      </c>
      <c r="R1370" s="32">
        <v>135</v>
      </c>
      <c r="T1370" s="32">
        <v>195</v>
      </c>
    </row>
    <row r="1371" spans="2:20" ht="12.75" hidden="1" x14ac:dyDescent="0.25">
      <c r="B1371" s="32">
        <v>80</v>
      </c>
      <c r="F1371" s="32" t="s">
        <v>103</v>
      </c>
      <c r="J1371" s="32">
        <v>94</v>
      </c>
      <c r="P1371" s="32">
        <v>31020</v>
      </c>
      <c r="R1371" s="32">
        <v>11102</v>
      </c>
      <c r="T1371" s="32">
        <v>19918</v>
      </c>
    </row>
    <row r="1372" spans="2:20" ht="12.75" hidden="1" x14ac:dyDescent="0.25">
      <c r="B1372" s="32">
        <v>81</v>
      </c>
      <c r="F1372" s="32" t="s">
        <v>213</v>
      </c>
      <c r="J1372" s="32">
        <v>1</v>
      </c>
      <c r="P1372" s="32">
        <v>700</v>
      </c>
      <c r="R1372" s="32">
        <v>0</v>
      </c>
      <c r="T1372" s="32">
        <v>700</v>
      </c>
    </row>
    <row r="1373" spans="2:20" ht="12.75" hidden="1" x14ac:dyDescent="0.25">
      <c r="B1373" s="32">
        <v>82</v>
      </c>
      <c r="F1373" s="32" t="s">
        <v>211</v>
      </c>
      <c r="J1373" s="32">
        <v>2</v>
      </c>
      <c r="P1373" s="32">
        <v>1000</v>
      </c>
      <c r="R1373" s="32">
        <v>300</v>
      </c>
      <c r="T1373" s="32">
        <v>700</v>
      </c>
    </row>
    <row r="1374" spans="2:20" ht="12.75" hidden="1" x14ac:dyDescent="0.25">
      <c r="B1374" s="32">
        <v>83</v>
      </c>
      <c r="F1374" s="32" t="s">
        <v>276</v>
      </c>
      <c r="J1374" s="32">
        <v>1</v>
      </c>
      <c r="P1374" s="32">
        <v>500</v>
      </c>
      <c r="R1374" s="32">
        <v>150</v>
      </c>
      <c r="T1374" s="32">
        <v>350</v>
      </c>
    </row>
    <row r="1375" spans="2:20" ht="12.75" hidden="1" x14ac:dyDescent="0.25">
      <c r="B1375" s="32">
        <v>84</v>
      </c>
      <c r="F1375" s="32" t="s">
        <v>210</v>
      </c>
      <c r="J1375" s="32">
        <v>1</v>
      </c>
      <c r="P1375" s="32">
        <v>390</v>
      </c>
      <c r="R1375" s="32">
        <v>120</v>
      </c>
      <c r="T1375" s="32">
        <v>270</v>
      </c>
    </row>
    <row r="1376" spans="2:20" ht="12.75" hidden="1" x14ac:dyDescent="0.25">
      <c r="B1376" s="32">
        <v>85</v>
      </c>
      <c r="F1376" s="32" t="s">
        <v>102</v>
      </c>
      <c r="J1376" s="32">
        <v>16</v>
      </c>
      <c r="P1376" s="32">
        <v>14080</v>
      </c>
      <c r="R1376" s="32">
        <v>1560</v>
      </c>
      <c r="T1376" s="32">
        <v>12520</v>
      </c>
    </row>
    <row r="1377" spans="2:20" ht="12.75" hidden="1" x14ac:dyDescent="0.25">
      <c r="B1377" s="32">
        <v>86</v>
      </c>
      <c r="F1377" s="32" t="s">
        <v>101</v>
      </c>
      <c r="J1377" s="32">
        <v>1</v>
      </c>
      <c r="P1377" s="32">
        <v>460</v>
      </c>
      <c r="R1377" s="32">
        <v>0</v>
      </c>
      <c r="T1377" s="32">
        <v>460</v>
      </c>
    </row>
    <row r="1378" spans="2:20" ht="12.75" hidden="1" x14ac:dyDescent="0.25">
      <c r="B1378" s="32">
        <v>87</v>
      </c>
      <c r="F1378" s="32" t="s">
        <v>100</v>
      </c>
      <c r="J1378" s="32">
        <v>2</v>
      </c>
      <c r="P1378" s="32">
        <v>360</v>
      </c>
      <c r="R1378" s="32">
        <v>100</v>
      </c>
      <c r="T1378" s="32">
        <v>260</v>
      </c>
    </row>
    <row r="1379" spans="2:20" ht="12.75" hidden="1" x14ac:dyDescent="0.25">
      <c r="B1379" s="32">
        <v>88</v>
      </c>
      <c r="F1379" s="32" t="s">
        <v>178</v>
      </c>
      <c r="J1379" s="32">
        <v>1</v>
      </c>
      <c r="P1379" s="32">
        <v>1650</v>
      </c>
      <c r="R1379" s="32">
        <v>0</v>
      </c>
      <c r="T1379" s="32">
        <v>1650</v>
      </c>
    </row>
    <row r="1380" spans="2:20" ht="12.75" hidden="1" x14ac:dyDescent="0.25">
      <c r="B1380" s="32">
        <v>89</v>
      </c>
      <c r="F1380" s="32" t="s">
        <v>99</v>
      </c>
      <c r="J1380" s="32">
        <v>2</v>
      </c>
      <c r="P1380" s="32">
        <v>1180</v>
      </c>
      <c r="R1380" s="32">
        <v>90</v>
      </c>
      <c r="T1380" s="32">
        <v>1090</v>
      </c>
    </row>
    <row r="1381" spans="2:20" ht="12.75" hidden="1" x14ac:dyDescent="0.25">
      <c r="B1381" s="32">
        <v>90</v>
      </c>
      <c r="F1381" s="32" t="s">
        <v>98</v>
      </c>
      <c r="J1381" s="32">
        <v>2</v>
      </c>
      <c r="P1381" s="32">
        <v>1140</v>
      </c>
      <c r="R1381" s="32">
        <v>80</v>
      </c>
      <c r="T1381" s="32">
        <v>1060</v>
      </c>
    </row>
    <row r="1382" spans="2:20" ht="12.75" hidden="1" x14ac:dyDescent="0.25">
      <c r="B1382" s="32">
        <v>91</v>
      </c>
      <c r="F1382" s="32" t="s">
        <v>97</v>
      </c>
      <c r="J1382" s="32">
        <v>4</v>
      </c>
      <c r="P1382" s="32">
        <v>6360</v>
      </c>
      <c r="R1382" s="32">
        <v>960</v>
      </c>
      <c r="T1382" s="32">
        <v>5400</v>
      </c>
    </row>
    <row r="1383" spans="2:20" ht="12.75" hidden="1" x14ac:dyDescent="0.25">
      <c r="B1383" s="32">
        <v>92</v>
      </c>
      <c r="F1383" s="32" t="s">
        <v>96</v>
      </c>
      <c r="J1383" s="32">
        <v>1</v>
      </c>
      <c r="P1383" s="32">
        <v>440</v>
      </c>
      <c r="R1383" s="32">
        <v>130</v>
      </c>
      <c r="T1383" s="32">
        <v>310</v>
      </c>
    </row>
    <row r="1384" spans="2:20" ht="12.75" hidden="1" x14ac:dyDescent="0.25">
      <c r="B1384" s="32">
        <v>93</v>
      </c>
      <c r="F1384" s="32" t="s">
        <v>93</v>
      </c>
      <c r="J1384" s="32">
        <v>9</v>
      </c>
      <c r="P1384" s="32">
        <v>5310</v>
      </c>
      <c r="R1384" s="32">
        <v>630</v>
      </c>
      <c r="T1384" s="32">
        <v>4680</v>
      </c>
    </row>
    <row r="1385" spans="2:20" ht="12.75" hidden="1" x14ac:dyDescent="0.25">
      <c r="B1385" s="32">
        <v>94</v>
      </c>
      <c r="F1385" s="32" t="s">
        <v>92</v>
      </c>
      <c r="J1385" s="32">
        <v>28</v>
      </c>
      <c r="P1385" s="32">
        <v>22080</v>
      </c>
      <c r="R1385" s="32">
        <v>5716</v>
      </c>
      <c r="T1385" s="32">
        <v>16364</v>
      </c>
    </row>
    <row r="1386" spans="2:20" ht="12.75" hidden="1" x14ac:dyDescent="0.25">
      <c r="B1386" s="32">
        <v>95</v>
      </c>
      <c r="F1386" s="32" t="s">
        <v>91</v>
      </c>
      <c r="J1386" s="32">
        <v>22</v>
      </c>
      <c r="P1386" s="32">
        <v>5500</v>
      </c>
      <c r="R1386" s="32">
        <v>1612</v>
      </c>
      <c r="T1386" s="32">
        <v>3888</v>
      </c>
    </row>
    <row r="1387" spans="2:20" ht="12.75" hidden="1" x14ac:dyDescent="0.25">
      <c r="B1387" s="32">
        <v>96</v>
      </c>
      <c r="F1387" s="32" t="s">
        <v>90</v>
      </c>
      <c r="J1387" s="32">
        <v>12</v>
      </c>
      <c r="P1387" s="32">
        <v>3480</v>
      </c>
      <c r="R1387" s="32">
        <v>960</v>
      </c>
      <c r="T1387" s="32">
        <v>2520</v>
      </c>
    </row>
    <row r="1388" spans="2:20" ht="12.75" hidden="1" x14ac:dyDescent="0.25">
      <c r="B1388" s="32">
        <v>97</v>
      </c>
      <c r="F1388" s="32" t="s">
        <v>89</v>
      </c>
      <c r="J1388" s="32">
        <v>2</v>
      </c>
      <c r="P1388" s="32">
        <v>1760</v>
      </c>
      <c r="R1388" s="32">
        <v>260</v>
      </c>
      <c r="T1388" s="32">
        <v>1500</v>
      </c>
    </row>
    <row r="1389" spans="2:20" ht="12.75" hidden="1" x14ac:dyDescent="0.25">
      <c r="B1389" s="32">
        <v>98</v>
      </c>
      <c r="F1389" s="32" t="s">
        <v>88</v>
      </c>
      <c r="J1389" s="32">
        <v>53</v>
      </c>
      <c r="P1389" s="32">
        <v>9540</v>
      </c>
      <c r="R1389" s="32">
        <v>2664</v>
      </c>
      <c r="T1389" s="32">
        <v>6876</v>
      </c>
    </row>
    <row r="1390" spans="2:20" ht="12.75" hidden="1" x14ac:dyDescent="0.25">
      <c r="B1390" s="32">
        <v>99</v>
      </c>
      <c r="F1390" s="32" t="s">
        <v>87</v>
      </c>
      <c r="J1390" s="32">
        <v>1</v>
      </c>
      <c r="P1390" s="32">
        <v>290</v>
      </c>
      <c r="R1390" s="32">
        <v>80</v>
      </c>
      <c r="T1390" s="32">
        <v>210</v>
      </c>
    </row>
    <row r="1391" spans="2:20" ht="12.75" hidden="1" x14ac:dyDescent="0.25">
      <c r="B1391" s="32">
        <v>100</v>
      </c>
      <c r="F1391" s="32" t="s">
        <v>86</v>
      </c>
      <c r="J1391" s="32">
        <v>3</v>
      </c>
      <c r="P1391" s="32">
        <v>3420</v>
      </c>
      <c r="R1391" s="32">
        <v>510</v>
      </c>
      <c r="T1391" s="32">
        <v>2910</v>
      </c>
    </row>
    <row r="1392" spans="2:20" ht="12.75" hidden="1" x14ac:dyDescent="0.25">
      <c r="B1392" s="32">
        <v>101</v>
      </c>
      <c r="F1392" s="32" t="s">
        <v>85</v>
      </c>
      <c r="J1392" s="32">
        <v>8</v>
      </c>
      <c r="P1392" s="32">
        <v>16640</v>
      </c>
      <c r="R1392" s="32">
        <v>2480</v>
      </c>
      <c r="T1392" s="32">
        <v>14160</v>
      </c>
    </row>
    <row r="1393" spans="1:20" ht="12.75" hidden="1" x14ac:dyDescent="0.25">
      <c r="B1393" s="32">
        <v>102</v>
      </c>
      <c r="F1393" s="32" t="s">
        <v>84</v>
      </c>
      <c r="J1393" s="32">
        <v>18</v>
      </c>
      <c r="P1393" s="32">
        <v>10620</v>
      </c>
      <c r="R1393" s="32">
        <v>3240</v>
      </c>
      <c r="T1393" s="32">
        <v>7380</v>
      </c>
    </row>
    <row r="1394" spans="1:20" ht="12.75" hidden="1" x14ac:dyDescent="0.25">
      <c r="B1394" s="32">
        <v>103</v>
      </c>
      <c r="F1394" s="32" t="s">
        <v>271</v>
      </c>
      <c r="J1394" s="32">
        <v>7</v>
      </c>
      <c r="P1394" s="32">
        <v>3500</v>
      </c>
      <c r="R1394" s="32">
        <v>990</v>
      </c>
      <c r="T1394" s="32">
        <v>2510</v>
      </c>
    </row>
    <row r="1395" spans="1:20" ht="12.75" hidden="1" x14ac:dyDescent="0.25">
      <c r="B1395" s="32">
        <v>104</v>
      </c>
      <c r="F1395" s="32" t="s">
        <v>363</v>
      </c>
      <c r="J1395" s="32">
        <v>1</v>
      </c>
      <c r="P1395" s="32">
        <v>500</v>
      </c>
      <c r="R1395" s="32">
        <v>0</v>
      </c>
      <c r="T1395" s="32">
        <v>500</v>
      </c>
    </row>
    <row r="1396" spans="1:20" ht="12.75" hidden="1" x14ac:dyDescent="0.25">
      <c r="B1396" s="32">
        <v>105</v>
      </c>
      <c r="F1396" s="32" t="s">
        <v>82</v>
      </c>
      <c r="J1396" s="32">
        <v>2</v>
      </c>
      <c r="P1396" s="32">
        <v>580</v>
      </c>
      <c r="R1396" s="32">
        <v>580</v>
      </c>
      <c r="T1396" s="32">
        <v>0</v>
      </c>
    </row>
    <row r="1397" spans="1:20" ht="12.75" hidden="1" x14ac:dyDescent="0.25">
      <c r="B1397" s="32">
        <v>106</v>
      </c>
      <c r="F1397" s="32" t="s">
        <v>81</v>
      </c>
      <c r="J1397" s="32">
        <v>74</v>
      </c>
      <c r="P1397" s="32">
        <v>21460</v>
      </c>
      <c r="R1397" s="32">
        <v>6454</v>
      </c>
      <c r="T1397" s="32">
        <v>15006</v>
      </c>
    </row>
    <row r="1398" spans="1:20" ht="12.75" hidden="1" x14ac:dyDescent="0.25">
      <c r="A1398" s="32" t="s">
        <v>422</v>
      </c>
      <c r="K1398" s="32">
        <v>3707</v>
      </c>
      <c r="P1398" s="32">
        <v>4054050</v>
      </c>
      <c r="R1398" s="32">
        <v>3644035</v>
      </c>
      <c r="T1398" s="32">
        <v>410015</v>
      </c>
    </row>
    <row r="1399" spans="1:20" ht="12.75" hidden="1" x14ac:dyDescent="0.25">
      <c r="B1399" s="32">
        <v>1</v>
      </c>
      <c r="F1399" s="32" t="s">
        <v>200</v>
      </c>
      <c r="J1399" s="32">
        <v>3</v>
      </c>
      <c r="P1399" s="32">
        <v>1500</v>
      </c>
      <c r="R1399" s="32">
        <v>450</v>
      </c>
      <c r="T1399" s="32">
        <v>1050</v>
      </c>
    </row>
    <row r="1400" spans="1:20" ht="12.75" hidden="1" x14ac:dyDescent="0.25">
      <c r="B1400" s="32">
        <v>2</v>
      </c>
      <c r="F1400" s="32" t="s">
        <v>251</v>
      </c>
      <c r="J1400" s="32">
        <v>1</v>
      </c>
      <c r="P1400" s="32">
        <v>800</v>
      </c>
      <c r="R1400" s="32">
        <v>200</v>
      </c>
      <c r="T1400" s="32">
        <v>600</v>
      </c>
    </row>
    <row r="1401" spans="1:20" ht="12.75" hidden="1" x14ac:dyDescent="0.25">
      <c r="B1401" s="32">
        <v>3</v>
      </c>
      <c r="F1401" s="32" t="s">
        <v>78</v>
      </c>
      <c r="J1401" s="32">
        <v>319</v>
      </c>
      <c r="P1401" s="32">
        <v>92510</v>
      </c>
      <c r="R1401" s="32">
        <v>92510</v>
      </c>
      <c r="T1401" s="32">
        <v>0</v>
      </c>
    </row>
    <row r="1402" spans="1:20" ht="12.75" hidden="1" x14ac:dyDescent="0.25">
      <c r="B1402" s="32">
        <v>4</v>
      </c>
      <c r="F1402" s="32" t="s">
        <v>199</v>
      </c>
      <c r="J1402" s="32">
        <v>1</v>
      </c>
      <c r="P1402" s="32">
        <v>290</v>
      </c>
      <c r="R1402" s="32">
        <v>100</v>
      </c>
      <c r="T1402" s="32">
        <v>190</v>
      </c>
    </row>
    <row r="1403" spans="1:20" ht="12.75" hidden="1" x14ac:dyDescent="0.25">
      <c r="B1403" s="32">
        <v>5</v>
      </c>
      <c r="F1403" s="32" t="s">
        <v>164</v>
      </c>
      <c r="J1403" s="32">
        <v>1</v>
      </c>
      <c r="P1403" s="32">
        <v>590</v>
      </c>
      <c r="R1403" s="32">
        <v>180</v>
      </c>
      <c r="T1403" s="32">
        <v>410</v>
      </c>
    </row>
    <row r="1404" spans="1:20" ht="12.75" hidden="1" x14ac:dyDescent="0.25">
      <c r="B1404" s="32">
        <v>6</v>
      </c>
      <c r="F1404" s="32" t="s">
        <v>163</v>
      </c>
      <c r="J1404" s="32">
        <v>1</v>
      </c>
      <c r="P1404" s="32">
        <v>1190</v>
      </c>
      <c r="R1404" s="32">
        <v>180</v>
      </c>
      <c r="T1404" s="32">
        <v>1010</v>
      </c>
    </row>
    <row r="1405" spans="1:20" ht="12.75" hidden="1" x14ac:dyDescent="0.25">
      <c r="B1405" s="32">
        <v>7</v>
      </c>
      <c r="F1405" s="32" t="s">
        <v>162</v>
      </c>
      <c r="J1405" s="32">
        <v>14</v>
      </c>
      <c r="P1405" s="32">
        <v>6020</v>
      </c>
      <c r="R1405" s="32">
        <v>2548</v>
      </c>
      <c r="T1405" s="32">
        <v>3472</v>
      </c>
    </row>
    <row r="1406" spans="1:20" ht="12.75" hidden="1" x14ac:dyDescent="0.25">
      <c r="B1406" s="32">
        <v>8</v>
      </c>
      <c r="F1406" s="32" t="s">
        <v>160</v>
      </c>
      <c r="J1406" s="32">
        <v>10</v>
      </c>
      <c r="P1406" s="32">
        <v>2900</v>
      </c>
      <c r="R1406" s="32">
        <v>800</v>
      </c>
      <c r="T1406" s="32">
        <v>2100</v>
      </c>
    </row>
    <row r="1407" spans="1:20" ht="12.75" hidden="1" x14ac:dyDescent="0.25">
      <c r="B1407" s="32">
        <v>9</v>
      </c>
      <c r="F1407" s="32" t="s">
        <v>266</v>
      </c>
      <c r="J1407" s="32">
        <v>1</v>
      </c>
      <c r="P1407" s="32">
        <v>1350</v>
      </c>
      <c r="R1407" s="32">
        <v>400</v>
      </c>
      <c r="T1407" s="32">
        <v>950</v>
      </c>
    </row>
    <row r="1408" spans="1:20" ht="12.75" hidden="1" x14ac:dyDescent="0.25">
      <c r="B1408" s="32">
        <v>10</v>
      </c>
      <c r="F1408" s="32" t="s">
        <v>158</v>
      </c>
      <c r="J1408" s="32">
        <v>197</v>
      </c>
      <c r="P1408" s="32">
        <v>108350</v>
      </c>
      <c r="R1408" s="32">
        <v>32590</v>
      </c>
      <c r="T1408" s="32">
        <v>75760</v>
      </c>
    </row>
    <row r="1409" spans="2:20" ht="12.75" hidden="1" x14ac:dyDescent="0.25">
      <c r="B1409" s="32">
        <v>11</v>
      </c>
      <c r="F1409" s="32" t="s">
        <v>157</v>
      </c>
      <c r="J1409" s="32">
        <v>84</v>
      </c>
      <c r="P1409" s="32">
        <v>41160</v>
      </c>
      <c r="R1409" s="32">
        <v>17837</v>
      </c>
      <c r="T1409" s="32">
        <v>23323</v>
      </c>
    </row>
    <row r="1410" spans="2:20" ht="12.75" hidden="1" x14ac:dyDescent="0.25">
      <c r="B1410" s="32">
        <v>12</v>
      </c>
      <c r="F1410" s="32" t="s">
        <v>196</v>
      </c>
      <c r="J1410" s="32">
        <v>5</v>
      </c>
      <c r="P1410" s="32">
        <v>3500</v>
      </c>
      <c r="R1410" s="32">
        <v>1750</v>
      </c>
      <c r="T1410" s="32">
        <v>1750</v>
      </c>
    </row>
    <row r="1411" spans="2:20" ht="12.75" hidden="1" x14ac:dyDescent="0.25">
      <c r="B1411" s="32">
        <v>13</v>
      </c>
      <c r="F1411" s="32" t="s">
        <v>77</v>
      </c>
      <c r="J1411" s="32">
        <v>514</v>
      </c>
      <c r="P1411" s="32">
        <v>208600</v>
      </c>
      <c r="R1411" s="32">
        <v>208600</v>
      </c>
      <c r="T1411" s="32">
        <v>0</v>
      </c>
    </row>
    <row r="1412" spans="2:20" ht="12.75" hidden="1" x14ac:dyDescent="0.25">
      <c r="B1412" s="32">
        <v>14</v>
      </c>
      <c r="F1412" s="32" t="s">
        <v>156</v>
      </c>
      <c r="J1412" s="32">
        <v>10</v>
      </c>
      <c r="P1412" s="32">
        <v>1900</v>
      </c>
      <c r="R1412" s="32">
        <v>570</v>
      </c>
      <c r="T1412" s="32">
        <v>1330</v>
      </c>
    </row>
    <row r="1413" spans="2:20" ht="12.75" hidden="1" x14ac:dyDescent="0.25">
      <c r="B1413" s="32">
        <v>15</v>
      </c>
      <c r="F1413" s="32" t="s">
        <v>342</v>
      </c>
      <c r="J1413" s="32">
        <v>1</v>
      </c>
      <c r="P1413" s="32">
        <v>500</v>
      </c>
      <c r="R1413" s="32">
        <v>150</v>
      </c>
      <c r="T1413" s="32">
        <v>350</v>
      </c>
    </row>
    <row r="1414" spans="2:20" ht="12.75" hidden="1" x14ac:dyDescent="0.25">
      <c r="B1414" s="32">
        <v>16</v>
      </c>
      <c r="F1414" s="32" t="s">
        <v>155</v>
      </c>
      <c r="J1414" s="32">
        <v>32</v>
      </c>
      <c r="P1414" s="32">
        <v>8000</v>
      </c>
      <c r="R1414" s="32">
        <v>2660</v>
      </c>
      <c r="T1414" s="32">
        <v>5340</v>
      </c>
    </row>
    <row r="1415" spans="2:20" ht="12.75" hidden="1" x14ac:dyDescent="0.25">
      <c r="B1415" s="32">
        <v>17</v>
      </c>
      <c r="F1415" s="32" t="s">
        <v>289</v>
      </c>
      <c r="J1415" s="32">
        <v>1</v>
      </c>
      <c r="P1415" s="32">
        <v>500</v>
      </c>
      <c r="R1415" s="32">
        <v>150</v>
      </c>
      <c r="T1415" s="32">
        <v>350</v>
      </c>
    </row>
    <row r="1416" spans="2:20" ht="12.75" hidden="1" x14ac:dyDescent="0.25">
      <c r="B1416" s="32">
        <v>18</v>
      </c>
      <c r="F1416" s="32" t="s">
        <v>320</v>
      </c>
      <c r="J1416" s="32">
        <v>3</v>
      </c>
      <c r="P1416" s="32">
        <v>1500</v>
      </c>
      <c r="R1416" s="32">
        <v>450</v>
      </c>
      <c r="T1416" s="32">
        <v>1050</v>
      </c>
    </row>
    <row r="1417" spans="2:20" ht="12.75" hidden="1" x14ac:dyDescent="0.25">
      <c r="B1417" s="32">
        <v>19</v>
      </c>
      <c r="F1417" s="32" t="s">
        <v>152</v>
      </c>
      <c r="J1417" s="32">
        <v>10</v>
      </c>
      <c r="P1417" s="32">
        <v>5900</v>
      </c>
      <c r="R1417" s="32">
        <v>1830</v>
      </c>
      <c r="T1417" s="32">
        <v>4070</v>
      </c>
    </row>
    <row r="1418" spans="2:20" ht="12.75" hidden="1" x14ac:dyDescent="0.25">
      <c r="B1418" s="32">
        <v>20</v>
      </c>
      <c r="F1418" s="32" t="s">
        <v>151</v>
      </c>
      <c r="J1418" s="32">
        <v>55</v>
      </c>
      <c r="P1418" s="32">
        <v>12650</v>
      </c>
      <c r="R1418" s="32">
        <v>2070</v>
      </c>
      <c r="T1418" s="32">
        <v>10580</v>
      </c>
    </row>
    <row r="1419" spans="2:20" ht="12.75" hidden="1" x14ac:dyDescent="0.25">
      <c r="B1419" s="32">
        <v>21</v>
      </c>
      <c r="F1419" s="32" t="s">
        <v>150</v>
      </c>
      <c r="J1419" s="32">
        <v>29</v>
      </c>
      <c r="P1419" s="32">
        <v>4930</v>
      </c>
      <c r="R1419" s="32">
        <v>1400</v>
      </c>
      <c r="T1419" s="32">
        <v>3530</v>
      </c>
    </row>
    <row r="1420" spans="2:20" ht="12.75" hidden="1" x14ac:dyDescent="0.25">
      <c r="B1420" s="32">
        <v>22</v>
      </c>
      <c r="F1420" s="32" t="s">
        <v>288</v>
      </c>
      <c r="J1420" s="32">
        <v>2</v>
      </c>
      <c r="P1420" s="32">
        <v>1600</v>
      </c>
      <c r="R1420" s="32">
        <v>900</v>
      </c>
      <c r="T1420" s="32">
        <v>700</v>
      </c>
    </row>
    <row r="1421" spans="2:20" ht="12.75" hidden="1" x14ac:dyDescent="0.25">
      <c r="B1421" s="32">
        <v>23</v>
      </c>
      <c r="F1421" s="32" t="s">
        <v>234</v>
      </c>
      <c r="J1421" s="32">
        <v>3</v>
      </c>
      <c r="P1421" s="32">
        <v>2400</v>
      </c>
      <c r="R1421" s="32">
        <v>1350</v>
      </c>
      <c r="T1421" s="32">
        <v>1050</v>
      </c>
    </row>
    <row r="1422" spans="2:20" ht="12.75" hidden="1" x14ac:dyDescent="0.25">
      <c r="B1422" s="32">
        <v>24</v>
      </c>
      <c r="F1422" s="32" t="s">
        <v>287</v>
      </c>
      <c r="J1422" s="32">
        <v>1</v>
      </c>
      <c r="P1422" s="32">
        <v>800</v>
      </c>
      <c r="R1422" s="32">
        <v>450</v>
      </c>
      <c r="T1422" s="32">
        <v>350</v>
      </c>
    </row>
    <row r="1423" spans="2:20" ht="12.75" hidden="1" x14ac:dyDescent="0.25">
      <c r="B1423" s="32">
        <v>25</v>
      </c>
      <c r="F1423" s="32" t="s">
        <v>193</v>
      </c>
      <c r="J1423" s="32">
        <v>1</v>
      </c>
      <c r="P1423" s="32">
        <v>890</v>
      </c>
      <c r="R1423" s="32">
        <v>130</v>
      </c>
      <c r="T1423" s="32">
        <v>760</v>
      </c>
    </row>
    <row r="1424" spans="2:20" ht="12.75" hidden="1" x14ac:dyDescent="0.25">
      <c r="B1424" s="32">
        <v>26</v>
      </c>
      <c r="F1424" s="32" t="s">
        <v>142</v>
      </c>
      <c r="J1424" s="32">
        <v>1</v>
      </c>
      <c r="P1424" s="32">
        <v>350</v>
      </c>
      <c r="R1424" s="32">
        <v>150</v>
      </c>
      <c r="T1424" s="32">
        <v>200</v>
      </c>
    </row>
    <row r="1425" spans="2:20" ht="12.75" hidden="1" x14ac:dyDescent="0.25">
      <c r="B1425" s="32">
        <v>27</v>
      </c>
      <c r="F1425" s="32" t="s">
        <v>75</v>
      </c>
      <c r="J1425" s="32">
        <v>1213</v>
      </c>
      <c r="P1425" s="32">
        <v>3032500</v>
      </c>
      <c r="R1425" s="32">
        <v>3032500</v>
      </c>
      <c r="T1425" s="32">
        <v>0</v>
      </c>
    </row>
    <row r="1426" spans="2:20" ht="12.75" hidden="1" x14ac:dyDescent="0.25">
      <c r="B1426" s="32">
        <v>28</v>
      </c>
      <c r="F1426" s="32" t="s">
        <v>136</v>
      </c>
      <c r="J1426" s="32">
        <v>30</v>
      </c>
      <c r="P1426" s="32">
        <v>25500</v>
      </c>
      <c r="R1426" s="32">
        <v>5980</v>
      </c>
      <c r="T1426" s="32">
        <v>19520</v>
      </c>
    </row>
    <row r="1427" spans="2:20" ht="12.75" hidden="1" x14ac:dyDescent="0.25">
      <c r="B1427" s="32">
        <v>29</v>
      </c>
      <c r="F1427" s="32" t="s">
        <v>74</v>
      </c>
      <c r="J1427" s="32">
        <v>195</v>
      </c>
      <c r="P1427" s="32">
        <v>165750</v>
      </c>
      <c r="R1427" s="32">
        <v>165750</v>
      </c>
      <c r="T1427" s="32">
        <v>0</v>
      </c>
    </row>
    <row r="1428" spans="2:20" ht="12.75" hidden="1" x14ac:dyDescent="0.25">
      <c r="B1428" s="32">
        <v>30</v>
      </c>
      <c r="F1428" s="32" t="s">
        <v>352</v>
      </c>
      <c r="J1428" s="32">
        <v>1</v>
      </c>
      <c r="P1428" s="32">
        <v>800</v>
      </c>
      <c r="R1428" s="32">
        <v>450</v>
      </c>
      <c r="T1428" s="32">
        <v>350</v>
      </c>
    </row>
    <row r="1429" spans="2:20" ht="12.75" hidden="1" x14ac:dyDescent="0.25">
      <c r="B1429" s="32">
        <v>31</v>
      </c>
      <c r="F1429" s="32" t="s">
        <v>351</v>
      </c>
      <c r="J1429" s="32">
        <v>1</v>
      </c>
      <c r="P1429" s="32">
        <v>800</v>
      </c>
      <c r="R1429" s="32">
        <v>450</v>
      </c>
      <c r="T1429" s="32">
        <v>350</v>
      </c>
    </row>
    <row r="1430" spans="2:20" ht="12.75" hidden="1" x14ac:dyDescent="0.25">
      <c r="B1430" s="32">
        <v>32</v>
      </c>
      <c r="F1430" s="32" t="s">
        <v>135</v>
      </c>
      <c r="J1430" s="32">
        <v>7</v>
      </c>
      <c r="P1430" s="32">
        <v>6650</v>
      </c>
      <c r="R1430" s="32">
        <v>1680</v>
      </c>
      <c r="T1430" s="32">
        <v>4970</v>
      </c>
    </row>
    <row r="1431" spans="2:20" ht="12.75" hidden="1" x14ac:dyDescent="0.25">
      <c r="B1431" s="32">
        <v>33</v>
      </c>
      <c r="F1431" s="32" t="s">
        <v>132</v>
      </c>
      <c r="J1431" s="32">
        <v>6</v>
      </c>
      <c r="P1431" s="32">
        <v>7440</v>
      </c>
      <c r="R1431" s="32">
        <v>2220</v>
      </c>
      <c r="T1431" s="32">
        <v>5220</v>
      </c>
    </row>
    <row r="1432" spans="2:20" ht="12.75" hidden="1" x14ac:dyDescent="0.25">
      <c r="B1432" s="32">
        <v>34</v>
      </c>
      <c r="F1432" s="32" t="s">
        <v>186</v>
      </c>
      <c r="J1432" s="32">
        <v>41</v>
      </c>
      <c r="P1432" s="32">
        <v>2460</v>
      </c>
      <c r="R1432" s="32">
        <v>0</v>
      </c>
      <c r="T1432" s="32">
        <v>2460</v>
      </c>
    </row>
    <row r="1433" spans="2:20" ht="12.75" hidden="1" x14ac:dyDescent="0.25">
      <c r="T1433" s="32"/>
    </row>
    <row r="1434" spans="2:20" ht="12.75" hidden="1" x14ac:dyDescent="0.25">
      <c r="B1434" s="32">
        <v>35</v>
      </c>
      <c r="F1434" s="32" t="s">
        <v>127</v>
      </c>
      <c r="J1434" s="32">
        <v>4</v>
      </c>
      <c r="P1434" s="32">
        <v>1200</v>
      </c>
      <c r="R1434" s="32">
        <v>524</v>
      </c>
      <c r="T1434" s="32">
        <v>676</v>
      </c>
    </row>
    <row r="1435" spans="2:20" ht="12.75" hidden="1" x14ac:dyDescent="0.25">
      <c r="B1435" s="32">
        <v>36</v>
      </c>
      <c r="F1435" s="32" t="s">
        <v>126</v>
      </c>
      <c r="J1435" s="32">
        <v>5</v>
      </c>
      <c r="P1435" s="32">
        <v>1000</v>
      </c>
      <c r="R1435" s="32">
        <v>408</v>
      </c>
      <c r="T1435" s="32">
        <v>592</v>
      </c>
    </row>
    <row r="1436" spans="2:20" ht="12.75" hidden="1" x14ac:dyDescent="0.25">
      <c r="B1436" s="32">
        <v>37</v>
      </c>
      <c r="F1436" s="32" t="s">
        <v>125</v>
      </c>
      <c r="J1436" s="32">
        <v>2</v>
      </c>
      <c r="P1436" s="32">
        <v>800</v>
      </c>
      <c r="R1436" s="32">
        <v>240</v>
      </c>
      <c r="T1436" s="32">
        <v>560</v>
      </c>
    </row>
    <row r="1437" spans="2:20" ht="12.75" hidden="1" x14ac:dyDescent="0.25">
      <c r="B1437" s="32">
        <v>38</v>
      </c>
      <c r="F1437" s="32" t="s">
        <v>124</v>
      </c>
      <c r="J1437" s="32">
        <v>1</v>
      </c>
      <c r="P1437" s="32">
        <v>400</v>
      </c>
      <c r="R1437" s="32">
        <v>120</v>
      </c>
      <c r="T1437" s="32">
        <v>280</v>
      </c>
    </row>
    <row r="1438" spans="2:20" ht="12.75" hidden="1" x14ac:dyDescent="0.25">
      <c r="B1438" s="32">
        <v>39</v>
      </c>
      <c r="F1438" s="32" t="s">
        <v>123</v>
      </c>
      <c r="J1438" s="32">
        <v>13</v>
      </c>
      <c r="P1438" s="32">
        <v>10140</v>
      </c>
      <c r="R1438" s="32">
        <v>2990</v>
      </c>
      <c r="T1438" s="32">
        <v>7150</v>
      </c>
    </row>
    <row r="1439" spans="2:20" ht="12.75" hidden="1" x14ac:dyDescent="0.25">
      <c r="B1439" s="32">
        <v>40</v>
      </c>
      <c r="F1439" s="32" t="s">
        <v>122</v>
      </c>
      <c r="J1439" s="32">
        <v>5</v>
      </c>
      <c r="P1439" s="32">
        <v>2500</v>
      </c>
      <c r="R1439" s="32">
        <v>750</v>
      </c>
      <c r="T1439" s="32">
        <v>1750</v>
      </c>
    </row>
    <row r="1440" spans="2:20" ht="12.75" hidden="1" x14ac:dyDescent="0.25">
      <c r="B1440" s="32">
        <v>41</v>
      </c>
      <c r="F1440" s="32" t="s">
        <v>182</v>
      </c>
      <c r="J1440" s="32">
        <v>1</v>
      </c>
      <c r="P1440" s="32">
        <v>790</v>
      </c>
      <c r="R1440" s="32">
        <v>120</v>
      </c>
      <c r="T1440" s="32">
        <v>670</v>
      </c>
    </row>
    <row r="1441" spans="2:20" ht="12.75" hidden="1" x14ac:dyDescent="0.25">
      <c r="B1441" s="32">
        <v>42</v>
      </c>
      <c r="F1441" s="32" t="s">
        <v>119</v>
      </c>
      <c r="J1441" s="32">
        <v>13</v>
      </c>
      <c r="P1441" s="32">
        <v>11570</v>
      </c>
      <c r="R1441" s="32">
        <v>3780</v>
      </c>
      <c r="T1441" s="32">
        <v>7790</v>
      </c>
    </row>
    <row r="1442" spans="2:20" ht="12.75" hidden="1" x14ac:dyDescent="0.25">
      <c r="B1442" s="32">
        <v>43</v>
      </c>
      <c r="F1442" s="32" t="s">
        <v>118</v>
      </c>
      <c r="J1442" s="32">
        <v>50</v>
      </c>
      <c r="P1442" s="32">
        <v>49500</v>
      </c>
      <c r="R1442" s="32">
        <v>16480</v>
      </c>
      <c r="T1442" s="32">
        <v>33020</v>
      </c>
    </row>
    <row r="1443" spans="2:20" ht="12.75" hidden="1" x14ac:dyDescent="0.25">
      <c r="B1443" s="32">
        <v>44</v>
      </c>
      <c r="F1443" s="32" t="s">
        <v>117</v>
      </c>
      <c r="J1443" s="32">
        <v>13</v>
      </c>
      <c r="P1443" s="32">
        <v>10400</v>
      </c>
      <c r="R1443" s="32">
        <v>2600</v>
      </c>
      <c r="T1443" s="32">
        <v>7800</v>
      </c>
    </row>
    <row r="1444" spans="2:20" ht="12.75" hidden="1" x14ac:dyDescent="0.25">
      <c r="B1444" s="32">
        <v>45</v>
      </c>
      <c r="F1444" s="32" t="s">
        <v>115</v>
      </c>
      <c r="J1444" s="32">
        <v>19</v>
      </c>
      <c r="P1444" s="32">
        <v>5510</v>
      </c>
      <c r="R1444" s="32">
        <v>1270</v>
      </c>
      <c r="T1444" s="32">
        <v>4240</v>
      </c>
    </row>
    <row r="1445" spans="2:20" ht="12.75" hidden="1" x14ac:dyDescent="0.25">
      <c r="B1445" s="32">
        <v>46</v>
      </c>
      <c r="F1445" s="32" t="s">
        <v>421</v>
      </c>
      <c r="J1445" s="32">
        <v>165</v>
      </c>
      <c r="P1445" s="32">
        <v>14850</v>
      </c>
      <c r="R1445" s="32">
        <v>0</v>
      </c>
      <c r="T1445" s="32">
        <v>14850</v>
      </c>
    </row>
    <row r="1446" spans="2:20" ht="12.75" hidden="1" x14ac:dyDescent="0.25">
      <c r="T1446" s="32"/>
    </row>
    <row r="1447" spans="2:20" ht="12.75" hidden="1" x14ac:dyDescent="0.25">
      <c r="B1447" s="32">
        <v>47</v>
      </c>
      <c r="F1447" s="32" t="s">
        <v>221</v>
      </c>
      <c r="J1447" s="32">
        <v>3</v>
      </c>
      <c r="P1447" s="32">
        <v>2970</v>
      </c>
      <c r="R1447" s="32">
        <v>900</v>
      </c>
      <c r="T1447" s="32">
        <v>2070</v>
      </c>
    </row>
    <row r="1448" spans="2:20" ht="12.75" hidden="1" x14ac:dyDescent="0.25">
      <c r="B1448" s="32">
        <v>48</v>
      </c>
      <c r="F1448" s="32" t="s">
        <v>109</v>
      </c>
      <c r="J1448" s="32">
        <v>1</v>
      </c>
      <c r="P1448" s="32">
        <v>780</v>
      </c>
      <c r="R1448" s="32">
        <v>230</v>
      </c>
      <c r="T1448" s="32">
        <v>550</v>
      </c>
    </row>
    <row r="1449" spans="2:20" ht="12.75" hidden="1" x14ac:dyDescent="0.25">
      <c r="B1449" s="32">
        <v>49</v>
      </c>
      <c r="F1449" s="32" t="s">
        <v>108</v>
      </c>
      <c r="J1449" s="32">
        <v>221</v>
      </c>
      <c r="P1449" s="32">
        <v>22100</v>
      </c>
      <c r="R1449" s="32">
        <v>0</v>
      </c>
      <c r="T1449" s="32">
        <v>22100</v>
      </c>
    </row>
    <row r="1450" spans="2:20" ht="12.75" hidden="1" x14ac:dyDescent="0.25">
      <c r="B1450" s="32">
        <v>50</v>
      </c>
      <c r="F1450" s="32" t="s">
        <v>107</v>
      </c>
      <c r="J1450" s="32">
        <v>38</v>
      </c>
      <c r="P1450" s="32">
        <v>6460</v>
      </c>
      <c r="R1450" s="32">
        <v>1816</v>
      </c>
      <c r="T1450" s="32">
        <v>4644</v>
      </c>
    </row>
    <row r="1451" spans="2:20" ht="12.75" hidden="1" x14ac:dyDescent="0.25">
      <c r="B1451" s="32">
        <v>51</v>
      </c>
      <c r="F1451" s="32" t="s">
        <v>369</v>
      </c>
      <c r="J1451" s="32">
        <v>1</v>
      </c>
      <c r="P1451" s="32">
        <v>1150</v>
      </c>
      <c r="R1451" s="32">
        <v>0</v>
      </c>
      <c r="T1451" s="32">
        <v>1150</v>
      </c>
    </row>
    <row r="1452" spans="2:20" ht="12.75" hidden="1" x14ac:dyDescent="0.25">
      <c r="B1452" s="32">
        <v>52</v>
      </c>
      <c r="F1452" s="32" t="s">
        <v>397</v>
      </c>
      <c r="J1452" s="32">
        <v>1</v>
      </c>
      <c r="P1452" s="32">
        <v>1150</v>
      </c>
      <c r="R1452" s="32">
        <v>0</v>
      </c>
      <c r="T1452" s="32">
        <v>1150</v>
      </c>
    </row>
    <row r="1453" spans="2:20" ht="12.75" hidden="1" x14ac:dyDescent="0.25">
      <c r="B1453" s="32">
        <v>53</v>
      </c>
      <c r="F1453" s="32" t="s">
        <v>103</v>
      </c>
      <c r="J1453" s="32">
        <v>24</v>
      </c>
      <c r="P1453" s="32">
        <v>7920</v>
      </c>
      <c r="R1453" s="32">
        <v>2920</v>
      </c>
      <c r="T1453" s="32">
        <v>5000</v>
      </c>
    </row>
    <row r="1454" spans="2:20" ht="12.75" hidden="1" x14ac:dyDescent="0.25">
      <c r="B1454" s="32">
        <v>54</v>
      </c>
      <c r="F1454" s="32" t="s">
        <v>213</v>
      </c>
      <c r="J1454" s="32">
        <v>1</v>
      </c>
      <c r="P1454" s="32">
        <v>700</v>
      </c>
      <c r="R1454" s="32">
        <v>350</v>
      </c>
      <c r="T1454" s="32">
        <v>350</v>
      </c>
    </row>
    <row r="1455" spans="2:20" ht="12.75" hidden="1" x14ac:dyDescent="0.25">
      <c r="B1455" s="32">
        <v>55</v>
      </c>
      <c r="F1455" s="32" t="s">
        <v>420</v>
      </c>
      <c r="J1455" s="32">
        <v>1</v>
      </c>
      <c r="P1455" s="32">
        <v>300</v>
      </c>
      <c r="R1455" s="32">
        <v>80</v>
      </c>
      <c r="T1455" s="32">
        <v>220</v>
      </c>
    </row>
    <row r="1456" spans="2:20" ht="12.75" hidden="1" x14ac:dyDescent="0.25">
      <c r="B1456" s="32">
        <v>56</v>
      </c>
      <c r="F1456" s="32" t="s">
        <v>211</v>
      </c>
      <c r="J1456" s="32">
        <v>3</v>
      </c>
      <c r="P1456" s="32">
        <v>1500</v>
      </c>
      <c r="R1456" s="32">
        <v>450</v>
      </c>
      <c r="T1456" s="32">
        <v>1050</v>
      </c>
    </row>
    <row r="1457" spans="2:20" ht="12.75" hidden="1" x14ac:dyDescent="0.25">
      <c r="B1457" s="32">
        <v>57</v>
      </c>
      <c r="F1457" s="32" t="s">
        <v>276</v>
      </c>
      <c r="J1457" s="32">
        <v>2</v>
      </c>
      <c r="P1457" s="32">
        <v>1000</v>
      </c>
      <c r="R1457" s="32">
        <v>300</v>
      </c>
      <c r="T1457" s="32">
        <v>700</v>
      </c>
    </row>
    <row r="1458" spans="2:20" ht="12.75" hidden="1" x14ac:dyDescent="0.25">
      <c r="B1458" s="32">
        <v>58</v>
      </c>
      <c r="F1458" s="32" t="s">
        <v>275</v>
      </c>
      <c r="J1458" s="32">
        <v>1</v>
      </c>
      <c r="P1458" s="32">
        <v>700</v>
      </c>
      <c r="R1458" s="32">
        <v>350</v>
      </c>
      <c r="T1458" s="32">
        <v>350</v>
      </c>
    </row>
    <row r="1459" spans="2:20" ht="12.75" hidden="1" x14ac:dyDescent="0.25">
      <c r="B1459" s="32">
        <v>59</v>
      </c>
      <c r="F1459" s="32" t="s">
        <v>307</v>
      </c>
      <c r="J1459" s="32">
        <v>1</v>
      </c>
      <c r="P1459" s="32">
        <v>700</v>
      </c>
      <c r="R1459" s="32">
        <v>350</v>
      </c>
      <c r="T1459" s="32">
        <v>350</v>
      </c>
    </row>
    <row r="1460" spans="2:20" ht="12.75" hidden="1" x14ac:dyDescent="0.25">
      <c r="B1460" s="32">
        <v>60</v>
      </c>
      <c r="F1460" s="32" t="s">
        <v>358</v>
      </c>
      <c r="J1460" s="32">
        <v>2</v>
      </c>
      <c r="P1460" s="32">
        <v>780</v>
      </c>
      <c r="R1460" s="32">
        <v>240</v>
      </c>
      <c r="T1460" s="32">
        <v>540</v>
      </c>
    </row>
    <row r="1461" spans="2:20" ht="12.75" hidden="1" x14ac:dyDescent="0.25">
      <c r="B1461" s="32">
        <v>61</v>
      </c>
      <c r="F1461" s="32" t="s">
        <v>102</v>
      </c>
      <c r="J1461" s="32">
        <v>8</v>
      </c>
      <c r="P1461" s="32">
        <v>7040</v>
      </c>
      <c r="R1461" s="32">
        <v>1040</v>
      </c>
      <c r="T1461" s="32">
        <v>6000</v>
      </c>
    </row>
    <row r="1462" spans="2:20" ht="12.75" hidden="1" x14ac:dyDescent="0.25">
      <c r="B1462" s="32">
        <v>62</v>
      </c>
      <c r="F1462" s="32" t="s">
        <v>101</v>
      </c>
      <c r="J1462" s="32">
        <v>6</v>
      </c>
      <c r="P1462" s="32">
        <v>2760</v>
      </c>
      <c r="R1462" s="32">
        <v>840</v>
      </c>
      <c r="T1462" s="32">
        <v>1920</v>
      </c>
    </row>
    <row r="1463" spans="2:20" ht="12.75" hidden="1" x14ac:dyDescent="0.25">
      <c r="B1463" s="32">
        <v>63</v>
      </c>
      <c r="F1463" s="32" t="s">
        <v>254</v>
      </c>
      <c r="J1463" s="32">
        <v>1</v>
      </c>
      <c r="P1463" s="32">
        <v>290</v>
      </c>
      <c r="R1463" s="32">
        <v>80</v>
      </c>
      <c r="T1463" s="32">
        <v>210</v>
      </c>
    </row>
    <row r="1464" spans="2:20" ht="12.75" hidden="1" x14ac:dyDescent="0.25">
      <c r="B1464" s="32">
        <v>64</v>
      </c>
      <c r="F1464" s="32" t="s">
        <v>100</v>
      </c>
      <c r="J1464" s="32">
        <v>1</v>
      </c>
      <c r="P1464" s="32">
        <v>180</v>
      </c>
      <c r="R1464" s="32">
        <v>50</v>
      </c>
      <c r="T1464" s="32">
        <v>130</v>
      </c>
    </row>
    <row r="1465" spans="2:20" ht="12.75" hidden="1" x14ac:dyDescent="0.25">
      <c r="B1465" s="32">
        <v>65</v>
      </c>
      <c r="F1465" s="32" t="s">
        <v>325</v>
      </c>
      <c r="J1465" s="32">
        <v>1</v>
      </c>
      <c r="P1465" s="32">
        <v>700</v>
      </c>
      <c r="R1465" s="32">
        <v>350</v>
      </c>
      <c r="T1465" s="32">
        <v>350</v>
      </c>
    </row>
    <row r="1466" spans="2:20" ht="12.75" hidden="1" x14ac:dyDescent="0.25">
      <c r="B1466" s="32">
        <v>66</v>
      </c>
      <c r="F1466" s="32" t="s">
        <v>253</v>
      </c>
      <c r="J1466" s="32">
        <v>1</v>
      </c>
      <c r="P1466" s="32">
        <v>290</v>
      </c>
      <c r="R1466" s="32">
        <v>80</v>
      </c>
      <c r="T1466" s="32">
        <v>210</v>
      </c>
    </row>
    <row r="1467" spans="2:20" ht="12.75" hidden="1" x14ac:dyDescent="0.25">
      <c r="B1467" s="32">
        <v>67</v>
      </c>
      <c r="F1467" s="32" t="s">
        <v>92</v>
      </c>
      <c r="J1467" s="32">
        <v>21</v>
      </c>
      <c r="P1467" s="32">
        <v>11800</v>
      </c>
      <c r="R1467" s="32">
        <v>3080</v>
      </c>
      <c r="T1467" s="32">
        <v>8720</v>
      </c>
    </row>
    <row r="1468" spans="2:20" ht="12.75" hidden="1" x14ac:dyDescent="0.25">
      <c r="B1468" s="32">
        <v>68</v>
      </c>
      <c r="F1468" s="32" t="s">
        <v>297</v>
      </c>
      <c r="J1468" s="32">
        <v>3</v>
      </c>
      <c r="P1468" s="32">
        <v>1200</v>
      </c>
      <c r="R1468" s="32">
        <v>0</v>
      </c>
      <c r="T1468" s="32">
        <v>1200</v>
      </c>
    </row>
    <row r="1469" spans="2:20" ht="12.75" hidden="1" x14ac:dyDescent="0.25">
      <c r="B1469" s="32">
        <v>69</v>
      </c>
      <c r="F1469" s="32" t="s">
        <v>175</v>
      </c>
      <c r="J1469" s="32">
        <v>3</v>
      </c>
      <c r="P1469" s="32">
        <v>1800</v>
      </c>
      <c r="R1469" s="32">
        <v>360</v>
      </c>
      <c r="T1469" s="32">
        <v>1440</v>
      </c>
    </row>
    <row r="1470" spans="2:20" ht="12.75" hidden="1" x14ac:dyDescent="0.25">
      <c r="B1470" s="32">
        <v>70</v>
      </c>
      <c r="F1470" s="32" t="s">
        <v>357</v>
      </c>
      <c r="J1470" s="32">
        <v>2</v>
      </c>
      <c r="P1470" s="32">
        <v>1000</v>
      </c>
      <c r="R1470" s="32">
        <v>0</v>
      </c>
      <c r="T1470" s="32">
        <v>1000</v>
      </c>
    </row>
    <row r="1471" spans="2:20" ht="12.75" hidden="1" x14ac:dyDescent="0.25">
      <c r="B1471" s="32">
        <v>71</v>
      </c>
      <c r="F1471" s="32" t="s">
        <v>174</v>
      </c>
      <c r="J1471" s="32">
        <v>2</v>
      </c>
      <c r="P1471" s="32">
        <v>800</v>
      </c>
      <c r="R1471" s="32">
        <v>240</v>
      </c>
      <c r="T1471" s="32">
        <v>560</v>
      </c>
    </row>
    <row r="1472" spans="2:20" ht="12.75" hidden="1" x14ac:dyDescent="0.25">
      <c r="B1472" s="32">
        <v>72</v>
      </c>
      <c r="F1472" s="32" t="s">
        <v>356</v>
      </c>
      <c r="J1472" s="32">
        <v>1</v>
      </c>
      <c r="P1472" s="32">
        <v>800</v>
      </c>
      <c r="R1472" s="32">
        <v>0</v>
      </c>
      <c r="T1472" s="32">
        <v>800</v>
      </c>
    </row>
    <row r="1473" spans="1:20" ht="12.75" hidden="1" x14ac:dyDescent="0.25">
      <c r="B1473" s="32">
        <v>73</v>
      </c>
      <c r="F1473" s="32" t="s">
        <v>355</v>
      </c>
      <c r="J1473" s="32">
        <v>1</v>
      </c>
      <c r="P1473" s="32">
        <v>600</v>
      </c>
      <c r="R1473" s="32">
        <v>0</v>
      </c>
      <c r="T1473" s="32">
        <v>600</v>
      </c>
    </row>
    <row r="1474" spans="1:20" ht="12.75" hidden="1" x14ac:dyDescent="0.25">
      <c r="B1474" s="32">
        <v>74</v>
      </c>
      <c r="F1474" s="32" t="s">
        <v>173</v>
      </c>
      <c r="J1474" s="32">
        <v>7</v>
      </c>
      <c r="P1474" s="32">
        <v>7000</v>
      </c>
      <c r="R1474" s="32">
        <v>600</v>
      </c>
      <c r="T1474" s="32">
        <v>6400</v>
      </c>
    </row>
    <row r="1475" spans="1:20" ht="12.75" hidden="1" x14ac:dyDescent="0.25">
      <c r="B1475" s="32">
        <v>75</v>
      </c>
      <c r="F1475" s="32" t="s">
        <v>91</v>
      </c>
      <c r="J1475" s="32">
        <v>32</v>
      </c>
      <c r="P1475" s="32">
        <v>8000</v>
      </c>
      <c r="R1475" s="32">
        <v>2115</v>
      </c>
      <c r="T1475" s="32">
        <v>5885</v>
      </c>
    </row>
    <row r="1476" spans="1:20" ht="12.75" hidden="1" x14ac:dyDescent="0.25">
      <c r="B1476" s="32">
        <v>76</v>
      </c>
      <c r="F1476" s="32" t="s">
        <v>90</v>
      </c>
      <c r="J1476" s="32">
        <v>21</v>
      </c>
      <c r="P1476" s="32">
        <v>6090</v>
      </c>
      <c r="R1476" s="32">
        <v>1680</v>
      </c>
      <c r="T1476" s="32">
        <v>4410</v>
      </c>
    </row>
    <row r="1477" spans="1:20" ht="12.75" hidden="1" x14ac:dyDescent="0.25">
      <c r="B1477" s="32">
        <v>77</v>
      </c>
      <c r="F1477" s="32" t="s">
        <v>89</v>
      </c>
      <c r="J1477" s="32">
        <v>1</v>
      </c>
      <c r="P1477" s="32">
        <v>880</v>
      </c>
      <c r="R1477" s="32">
        <v>130</v>
      </c>
      <c r="T1477" s="32">
        <v>750</v>
      </c>
    </row>
    <row r="1478" spans="1:20" ht="12.75" hidden="1" x14ac:dyDescent="0.25">
      <c r="B1478" s="32">
        <v>78</v>
      </c>
      <c r="F1478" s="32" t="s">
        <v>88</v>
      </c>
      <c r="J1478" s="32">
        <v>30</v>
      </c>
      <c r="P1478" s="32">
        <v>5400</v>
      </c>
      <c r="R1478" s="32">
        <v>1647</v>
      </c>
      <c r="T1478" s="32">
        <v>3753</v>
      </c>
    </row>
    <row r="1479" spans="1:20" ht="12.75" hidden="1" x14ac:dyDescent="0.25">
      <c r="B1479" s="32">
        <v>79</v>
      </c>
      <c r="F1479" s="32" t="s">
        <v>86</v>
      </c>
      <c r="J1479" s="32">
        <v>1</v>
      </c>
      <c r="P1479" s="32">
        <v>1140</v>
      </c>
      <c r="R1479" s="32">
        <v>170</v>
      </c>
      <c r="T1479" s="32">
        <v>970</v>
      </c>
    </row>
    <row r="1480" spans="1:20" ht="12.75" hidden="1" x14ac:dyDescent="0.25">
      <c r="B1480" s="32">
        <v>80</v>
      </c>
      <c r="F1480" s="32" t="s">
        <v>85</v>
      </c>
      <c r="J1480" s="32">
        <v>18</v>
      </c>
      <c r="P1480" s="32">
        <v>37440</v>
      </c>
      <c r="R1480" s="32">
        <v>5580</v>
      </c>
      <c r="T1480" s="32">
        <v>31860</v>
      </c>
    </row>
    <row r="1481" spans="1:20" ht="12.75" hidden="1" x14ac:dyDescent="0.25">
      <c r="B1481" s="32">
        <v>81</v>
      </c>
      <c r="F1481" s="32" t="s">
        <v>84</v>
      </c>
      <c r="J1481" s="32">
        <v>2</v>
      </c>
      <c r="P1481" s="32">
        <v>1180</v>
      </c>
      <c r="R1481" s="32">
        <v>180</v>
      </c>
      <c r="T1481" s="32">
        <v>1000</v>
      </c>
    </row>
    <row r="1482" spans="1:20" ht="12.75" hidden="1" x14ac:dyDescent="0.25">
      <c r="B1482" s="32">
        <v>82</v>
      </c>
      <c r="F1482" s="32" t="s">
        <v>208</v>
      </c>
      <c r="J1482" s="32">
        <v>2</v>
      </c>
      <c r="P1482" s="32">
        <v>1000</v>
      </c>
      <c r="R1482" s="32">
        <v>300</v>
      </c>
      <c r="T1482" s="32">
        <v>700</v>
      </c>
    </row>
    <row r="1483" spans="1:20" ht="12.75" hidden="1" x14ac:dyDescent="0.25">
      <c r="B1483" s="32">
        <v>83</v>
      </c>
      <c r="F1483" s="32" t="s">
        <v>273</v>
      </c>
      <c r="J1483" s="32">
        <v>1</v>
      </c>
      <c r="P1483" s="32">
        <v>500</v>
      </c>
      <c r="R1483" s="32">
        <v>150</v>
      </c>
      <c r="T1483" s="32">
        <v>350</v>
      </c>
    </row>
    <row r="1484" spans="1:20" ht="12.75" hidden="1" x14ac:dyDescent="0.25">
      <c r="B1484" s="32">
        <v>84</v>
      </c>
      <c r="F1484" s="32" t="s">
        <v>205</v>
      </c>
      <c r="J1484" s="32">
        <v>3</v>
      </c>
      <c r="P1484" s="32">
        <v>1500</v>
      </c>
      <c r="R1484" s="32">
        <v>300</v>
      </c>
      <c r="T1484" s="32">
        <v>1200</v>
      </c>
    </row>
    <row r="1485" spans="1:20" ht="12.75" hidden="1" x14ac:dyDescent="0.25">
      <c r="B1485" s="32">
        <v>85</v>
      </c>
      <c r="F1485" s="32" t="s">
        <v>271</v>
      </c>
      <c r="J1485" s="32">
        <v>4</v>
      </c>
      <c r="P1485" s="32">
        <v>2000</v>
      </c>
      <c r="R1485" s="32">
        <v>600</v>
      </c>
      <c r="T1485" s="32">
        <v>1400</v>
      </c>
    </row>
    <row r="1486" spans="1:20" ht="12.75" hidden="1" x14ac:dyDescent="0.25">
      <c r="B1486" s="32">
        <v>86</v>
      </c>
      <c r="F1486" s="32" t="s">
        <v>81</v>
      </c>
      <c r="J1486" s="32">
        <v>149</v>
      </c>
      <c r="P1486" s="32">
        <v>43210</v>
      </c>
      <c r="R1486" s="32">
        <v>7760</v>
      </c>
      <c r="T1486" s="32">
        <v>35450</v>
      </c>
    </row>
    <row r="1487" spans="1:20" ht="12.75" hidden="1" x14ac:dyDescent="0.25">
      <c r="A1487" s="32" t="s">
        <v>419</v>
      </c>
      <c r="K1487" s="32">
        <v>4290</v>
      </c>
      <c r="P1487" s="32">
        <v>3636170</v>
      </c>
      <c r="R1487" s="32">
        <v>3046912</v>
      </c>
      <c r="T1487" s="32">
        <v>589258</v>
      </c>
    </row>
    <row r="1488" spans="1:20" ht="12.75" hidden="1" x14ac:dyDescent="0.25">
      <c r="B1488" s="32">
        <v>1</v>
      </c>
      <c r="F1488" s="32" t="s">
        <v>78</v>
      </c>
      <c r="J1488" s="32">
        <v>247</v>
      </c>
      <c r="P1488" s="32">
        <v>71630</v>
      </c>
      <c r="R1488" s="32">
        <v>71630</v>
      </c>
      <c r="T1488" s="32">
        <v>0</v>
      </c>
    </row>
    <row r="1489" spans="2:20" ht="12.75" hidden="1" x14ac:dyDescent="0.25">
      <c r="B1489" s="32">
        <v>2</v>
      </c>
      <c r="F1489" s="32" t="s">
        <v>162</v>
      </c>
      <c r="J1489" s="32">
        <v>2</v>
      </c>
      <c r="P1489" s="32">
        <v>860</v>
      </c>
      <c r="R1489" s="32">
        <v>407</v>
      </c>
      <c r="T1489" s="32">
        <v>453</v>
      </c>
    </row>
    <row r="1490" spans="2:20" ht="12.75" hidden="1" x14ac:dyDescent="0.25">
      <c r="B1490" s="32">
        <v>3</v>
      </c>
      <c r="F1490" s="32" t="s">
        <v>160</v>
      </c>
      <c r="J1490" s="32">
        <v>2</v>
      </c>
      <c r="P1490" s="32">
        <v>580</v>
      </c>
      <c r="R1490" s="32">
        <v>160</v>
      </c>
      <c r="T1490" s="32">
        <v>420</v>
      </c>
    </row>
    <row r="1491" spans="2:20" ht="12.75" hidden="1" x14ac:dyDescent="0.25">
      <c r="B1491" s="32">
        <v>4</v>
      </c>
      <c r="F1491" s="32" t="s">
        <v>158</v>
      </c>
      <c r="J1491" s="32">
        <v>683</v>
      </c>
      <c r="P1491" s="32">
        <v>375650</v>
      </c>
      <c r="R1491" s="32">
        <v>148094</v>
      </c>
      <c r="T1491" s="32">
        <v>227556</v>
      </c>
    </row>
    <row r="1492" spans="2:20" ht="12.75" hidden="1" x14ac:dyDescent="0.25">
      <c r="B1492" s="32">
        <v>5</v>
      </c>
      <c r="F1492" s="32" t="s">
        <v>157</v>
      </c>
      <c r="J1492" s="32">
        <v>10</v>
      </c>
      <c r="P1492" s="32">
        <v>4900</v>
      </c>
      <c r="R1492" s="32">
        <v>2148</v>
      </c>
      <c r="T1492" s="32">
        <v>2752</v>
      </c>
    </row>
    <row r="1493" spans="2:20" ht="12.75" hidden="1" x14ac:dyDescent="0.25">
      <c r="B1493" s="32">
        <v>6</v>
      </c>
      <c r="F1493" s="32" t="s">
        <v>196</v>
      </c>
      <c r="J1493" s="32">
        <v>1</v>
      </c>
      <c r="P1493" s="32">
        <v>700</v>
      </c>
      <c r="R1493" s="32">
        <v>350</v>
      </c>
      <c r="T1493" s="32">
        <v>350</v>
      </c>
    </row>
    <row r="1494" spans="2:20" ht="12.75" hidden="1" x14ac:dyDescent="0.25">
      <c r="B1494" s="32">
        <v>7</v>
      </c>
      <c r="F1494" s="32" t="s">
        <v>309</v>
      </c>
      <c r="J1494" s="32">
        <v>1</v>
      </c>
      <c r="P1494" s="32">
        <v>500</v>
      </c>
      <c r="R1494" s="32">
        <v>150</v>
      </c>
      <c r="T1494" s="32">
        <v>350</v>
      </c>
    </row>
    <row r="1495" spans="2:20" ht="12.75" hidden="1" x14ac:dyDescent="0.25">
      <c r="B1495" s="32">
        <v>8</v>
      </c>
      <c r="F1495" s="32" t="s">
        <v>77</v>
      </c>
      <c r="J1495" s="32">
        <v>1132</v>
      </c>
      <c r="P1495" s="32">
        <v>455700</v>
      </c>
      <c r="R1495" s="32">
        <v>455700</v>
      </c>
      <c r="T1495" s="32">
        <v>0</v>
      </c>
    </row>
    <row r="1496" spans="2:20" ht="12.75" hidden="1" x14ac:dyDescent="0.25">
      <c r="B1496" s="32">
        <v>9</v>
      </c>
      <c r="F1496" s="32" t="s">
        <v>76</v>
      </c>
      <c r="J1496" s="32">
        <v>1</v>
      </c>
      <c r="P1496" s="32">
        <v>600</v>
      </c>
      <c r="R1496" s="32">
        <v>600</v>
      </c>
      <c r="T1496" s="32">
        <v>0</v>
      </c>
    </row>
    <row r="1497" spans="2:20" ht="12.75" hidden="1" x14ac:dyDescent="0.25">
      <c r="B1497" s="32">
        <v>10</v>
      </c>
      <c r="F1497" s="32" t="s">
        <v>156</v>
      </c>
      <c r="J1497" s="32">
        <v>10</v>
      </c>
      <c r="P1497" s="32">
        <v>1900</v>
      </c>
      <c r="R1497" s="32">
        <v>520</v>
      </c>
      <c r="T1497" s="32">
        <v>1380</v>
      </c>
    </row>
    <row r="1498" spans="2:20" ht="12.75" hidden="1" x14ac:dyDescent="0.25">
      <c r="B1498" s="32">
        <v>11</v>
      </c>
      <c r="F1498" s="32" t="s">
        <v>155</v>
      </c>
      <c r="J1498" s="32">
        <v>319</v>
      </c>
      <c r="P1498" s="32">
        <v>79750</v>
      </c>
      <c r="R1498" s="32">
        <v>39298</v>
      </c>
      <c r="T1498" s="32">
        <v>40452</v>
      </c>
    </row>
    <row r="1499" spans="2:20" ht="12.75" hidden="1" x14ac:dyDescent="0.25">
      <c r="B1499" s="32">
        <v>12</v>
      </c>
      <c r="F1499" s="32" t="s">
        <v>154</v>
      </c>
      <c r="J1499" s="32">
        <v>2</v>
      </c>
      <c r="P1499" s="32">
        <v>1780</v>
      </c>
      <c r="R1499" s="32">
        <v>260</v>
      </c>
      <c r="T1499" s="32">
        <v>1520</v>
      </c>
    </row>
    <row r="1500" spans="2:20" ht="12.75" hidden="1" x14ac:dyDescent="0.25">
      <c r="B1500" s="32">
        <v>13</v>
      </c>
      <c r="F1500" s="32" t="s">
        <v>151</v>
      </c>
      <c r="J1500" s="32">
        <v>28</v>
      </c>
      <c r="P1500" s="32">
        <v>6440</v>
      </c>
      <c r="R1500" s="32">
        <v>2030</v>
      </c>
      <c r="T1500" s="32">
        <v>4410</v>
      </c>
    </row>
    <row r="1501" spans="2:20" ht="12.75" hidden="1" x14ac:dyDescent="0.25">
      <c r="B1501" s="32">
        <v>14</v>
      </c>
      <c r="F1501" s="32" t="s">
        <v>150</v>
      </c>
      <c r="J1501" s="32">
        <v>4</v>
      </c>
      <c r="P1501" s="32">
        <v>680</v>
      </c>
      <c r="R1501" s="32">
        <v>200</v>
      </c>
      <c r="T1501" s="32">
        <v>480</v>
      </c>
    </row>
    <row r="1502" spans="2:20" ht="12.75" hidden="1" x14ac:dyDescent="0.25">
      <c r="B1502" s="32">
        <v>15</v>
      </c>
      <c r="F1502" s="32" t="s">
        <v>193</v>
      </c>
      <c r="J1502" s="32">
        <v>1</v>
      </c>
      <c r="P1502" s="32">
        <v>890</v>
      </c>
      <c r="R1502" s="32">
        <v>130</v>
      </c>
      <c r="T1502" s="32">
        <v>760</v>
      </c>
    </row>
    <row r="1503" spans="2:20" ht="12.75" hidden="1" x14ac:dyDescent="0.25">
      <c r="B1503" s="32">
        <v>16</v>
      </c>
      <c r="F1503" s="32" t="s">
        <v>75</v>
      </c>
      <c r="J1503" s="32">
        <v>806</v>
      </c>
      <c r="P1503" s="32">
        <v>2015000</v>
      </c>
      <c r="R1503" s="32">
        <v>2015000</v>
      </c>
      <c r="T1503" s="32">
        <v>0</v>
      </c>
    </row>
    <row r="1504" spans="2:20" ht="12.75" hidden="1" x14ac:dyDescent="0.25">
      <c r="B1504" s="32">
        <v>17</v>
      </c>
      <c r="F1504" s="32" t="s">
        <v>136</v>
      </c>
      <c r="J1504" s="32">
        <v>29</v>
      </c>
      <c r="P1504" s="32">
        <v>24650</v>
      </c>
      <c r="R1504" s="32">
        <v>5980</v>
      </c>
      <c r="T1504" s="32">
        <v>18670</v>
      </c>
    </row>
    <row r="1505" spans="2:20" ht="12.75" hidden="1" x14ac:dyDescent="0.25">
      <c r="B1505" s="32">
        <v>18</v>
      </c>
      <c r="F1505" s="32" t="s">
        <v>74</v>
      </c>
      <c r="J1505" s="32">
        <v>3</v>
      </c>
      <c r="P1505" s="32">
        <v>2550</v>
      </c>
      <c r="R1505" s="32">
        <v>2550</v>
      </c>
      <c r="T1505" s="32">
        <v>0</v>
      </c>
    </row>
    <row r="1506" spans="2:20" ht="12.75" hidden="1" x14ac:dyDescent="0.25">
      <c r="B1506" s="32">
        <v>19</v>
      </c>
      <c r="F1506" s="32" t="s">
        <v>190</v>
      </c>
      <c r="J1506" s="32">
        <v>1</v>
      </c>
      <c r="P1506" s="32">
        <v>1570</v>
      </c>
      <c r="R1506" s="32">
        <v>240</v>
      </c>
      <c r="T1506" s="32">
        <v>1330</v>
      </c>
    </row>
    <row r="1507" spans="2:20" ht="12.75" hidden="1" x14ac:dyDescent="0.25">
      <c r="B1507" s="32">
        <v>20</v>
      </c>
      <c r="F1507" s="32" t="s">
        <v>264</v>
      </c>
      <c r="J1507" s="32">
        <v>1</v>
      </c>
      <c r="P1507" s="32">
        <v>1290</v>
      </c>
      <c r="R1507" s="32">
        <v>0</v>
      </c>
      <c r="T1507" s="32">
        <v>1290</v>
      </c>
    </row>
    <row r="1508" spans="2:20" ht="12.75" hidden="1" x14ac:dyDescent="0.25">
      <c r="B1508" s="32">
        <v>21</v>
      </c>
      <c r="F1508" s="32" t="s">
        <v>230</v>
      </c>
      <c r="J1508" s="32">
        <v>1</v>
      </c>
      <c r="P1508" s="32">
        <v>950</v>
      </c>
      <c r="R1508" s="32">
        <v>140</v>
      </c>
      <c r="T1508" s="32">
        <v>810</v>
      </c>
    </row>
    <row r="1509" spans="2:20" ht="12.75" hidden="1" x14ac:dyDescent="0.25">
      <c r="B1509" s="32">
        <v>22</v>
      </c>
      <c r="F1509" s="32" t="s">
        <v>135</v>
      </c>
      <c r="J1509" s="32">
        <v>3</v>
      </c>
      <c r="P1509" s="32">
        <v>2850</v>
      </c>
      <c r="R1509" s="32">
        <v>840</v>
      </c>
      <c r="T1509" s="32">
        <v>2010</v>
      </c>
    </row>
    <row r="1510" spans="2:20" ht="12.75" hidden="1" x14ac:dyDescent="0.25">
      <c r="B1510" s="32">
        <v>23</v>
      </c>
      <c r="F1510" s="32" t="s">
        <v>132</v>
      </c>
      <c r="J1510" s="32">
        <v>11</v>
      </c>
      <c r="P1510" s="32">
        <v>13640</v>
      </c>
      <c r="R1510" s="32">
        <v>4070</v>
      </c>
      <c r="T1510" s="32">
        <v>9570</v>
      </c>
    </row>
    <row r="1511" spans="2:20" ht="12.75" hidden="1" x14ac:dyDescent="0.25">
      <c r="B1511" s="32">
        <v>24</v>
      </c>
      <c r="F1511" s="32" t="s">
        <v>418</v>
      </c>
      <c r="J1511" s="32">
        <v>1</v>
      </c>
      <c r="P1511" s="32">
        <v>2480</v>
      </c>
      <c r="R1511" s="32">
        <v>0</v>
      </c>
      <c r="T1511" s="32">
        <v>2480</v>
      </c>
    </row>
    <row r="1512" spans="2:20" ht="12.75" hidden="1" x14ac:dyDescent="0.25">
      <c r="B1512" s="32">
        <v>25</v>
      </c>
      <c r="F1512" s="32" t="s">
        <v>127</v>
      </c>
      <c r="J1512" s="32">
        <v>1</v>
      </c>
      <c r="P1512" s="32">
        <v>300</v>
      </c>
      <c r="R1512" s="32">
        <v>131</v>
      </c>
      <c r="T1512" s="32">
        <v>169</v>
      </c>
    </row>
    <row r="1513" spans="2:20" ht="12.75" hidden="1" x14ac:dyDescent="0.25">
      <c r="B1513" s="32">
        <v>26</v>
      </c>
      <c r="F1513" s="32" t="s">
        <v>126</v>
      </c>
      <c r="J1513" s="32">
        <v>31</v>
      </c>
      <c r="P1513" s="32">
        <v>6200</v>
      </c>
      <c r="R1513" s="32">
        <v>1707</v>
      </c>
      <c r="T1513" s="32">
        <v>4493</v>
      </c>
    </row>
    <row r="1514" spans="2:20" ht="12.75" hidden="1" x14ac:dyDescent="0.25">
      <c r="B1514" s="32">
        <v>27</v>
      </c>
      <c r="F1514" s="32" t="s">
        <v>125</v>
      </c>
      <c r="J1514" s="32">
        <v>1</v>
      </c>
      <c r="P1514" s="32">
        <v>400</v>
      </c>
      <c r="R1514" s="32">
        <v>120</v>
      </c>
      <c r="T1514" s="32">
        <v>280</v>
      </c>
    </row>
    <row r="1515" spans="2:20" ht="12.75" hidden="1" x14ac:dyDescent="0.25">
      <c r="B1515" s="32">
        <v>28</v>
      </c>
      <c r="F1515" s="32" t="s">
        <v>183</v>
      </c>
      <c r="J1515" s="32">
        <v>1</v>
      </c>
      <c r="P1515" s="32">
        <v>440</v>
      </c>
      <c r="R1515" s="32">
        <v>130</v>
      </c>
      <c r="T1515" s="32">
        <v>310</v>
      </c>
    </row>
    <row r="1516" spans="2:20" ht="12.75" hidden="1" x14ac:dyDescent="0.25">
      <c r="B1516" s="32">
        <v>29</v>
      </c>
      <c r="F1516" s="32" t="s">
        <v>182</v>
      </c>
      <c r="J1516" s="32">
        <v>1</v>
      </c>
      <c r="P1516" s="32">
        <v>790</v>
      </c>
      <c r="R1516" s="32">
        <v>120</v>
      </c>
      <c r="T1516" s="32">
        <v>670</v>
      </c>
    </row>
    <row r="1517" spans="2:20" ht="12.75" hidden="1" x14ac:dyDescent="0.25">
      <c r="B1517" s="32">
        <v>30</v>
      </c>
      <c r="F1517" s="32" t="s">
        <v>119</v>
      </c>
      <c r="J1517" s="32">
        <v>25</v>
      </c>
      <c r="P1517" s="32">
        <v>22250</v>
      </c>
      <c r="R1517" s="32">
        <v>7170</v>
      </c>
      <c r="T1517" s="32">
        <v>15080</v>
      </c>
    </row>
    <row r="1518" spans="2:20" ht="12.75" hidden="1" x14ac:dyDescent="0.25">
      <c r="B1518" s="32">
        <v>31</v>
      </c>
      <c r="F1518" s="32" t="s">
        <v>118</v>
      </c>
      <c r="J1518" s="32">
        <v>321</v>
      </c>
      <c r="P1518" s="32">
        <v>317790</v>
      </c>
      <c r="R1518" s="32">
        <v>157130</v>
      </c>
      <c r="T1518" s="32">
        <v>160660</v>
      </c>
    </row>
    <row r="1519" spans="2:20" ht="12.75" hidden="1" x14ac:dyDescent="0.25">
      <c r="B1519" s="32">
        <v>32</v>
      </c>
      <c r="F1519" s="32" t="s">
        <v>117</v>
      </c>
      <c r="J1519" s="32">
        <v>2</v>
      </c>
      <c r="P1519" s="32">
        <v>1600</v>
      </c>
      <c r="R1519" s="32">
        <v>400</v>
      </c>
      <c r="T1519" s="32">
        <v>1200</v>
      </c>
    </row>
    <row r="1520" spans="2:20" ht="12.75" hidden="1" x14ac:dyDescent="0.25">
      <c r="B1520" s="32">
        <v>33</v>
      </c>
      <c r="F1520" s="32" t="s">
        <v>115</v>
      </c>
      <c r="J1520" s="32">
        <v>2</v>
      </c>
      <c r="P1520" s="32">
        <v>580</v>
      </c>
      <c r="R1520" s="32">
        <v>220</v>
      </c>
      <c r="T1520" s="32">
        <v>360</v>
      </c>
    </row>
    <row r="1521" spans="1:20" ht="12.75" hidden="1" x14ac:dyDescent="0.25">
      <c r="B1521" s="32">
        <v>34</v>
      </c>
      <c r="F1521" s="32" t="s">
        <v>417</v>
      </c>
      <c r="J1521" s="32">
        <v>1</v>
      </c>
      <c r="P1521" s="32">
        <v>5000</v>
      </c>
      <c r="R1521" s="32">
        <v>4900</v>
      </c>
      <c r="T1521" s="32">
        <v>100</v>
      </c>
    </row>
    <row r="1522" spans="1:20" ht="12.75" hidden="1" x14ac:dyDescent="0.25">
      <c r="B1522" s="32">
        <v>35</v>
      </c>
      <c r="F1522" s="32" t="s">
        <v>225</v>
      </c>
      <c r="J1522" s="32">
        <v>14</v>
      </c>
      <c r="P1522" s="32">
        <v>70000</v>
      </c>
      <c r="R1522" s="32">
        <v>68600</v>
      </c>
      <c r="T1522" s="32">
        <v>1400</v>
      </c>
    </row>
    <row r="1523" spans="1:20" ht="12.75" hidden="1" x14ac:dyDescent="0.25">
      <c r="B1523" s="32">
        <v>36</v>
      </c>
      <c r="F1523" s="32" t="s">
        <v>108</v>
      </c>
      <c r="J1523" s="32">
        <v>176</v>
      </c>
      <c r="P1523" s="32">
        <v>17600</v>
      </c>
      <c r="R1523" s="32">
        <v>4080</v>
      </c>
      <c r="T1523" s="32">
        <v>13520</v>
      </c>
    </row>
    <row r="1524" spans="1:20" ht="12.75" hidden="1" x14ac:dyDescent="0.25">
      <c r="B1524" s="32">
        <v>37</v>
      </c>
      <c r="F1524" s="32" t="s">
        <v>107</v>
      </c>
      <c r="J1524" s="32">
        <v>15</v>
      </c>
      <c r="P1524" s="32">
        <v>2550</v>
      </c>
      <c r="R1524" s="32">
        <v>774</v>
      </c>
      <c r="T1524" s="32">
        <v>1776</v>
      </c>
    </row>
    <row r="1525" spans="1:20" ht="12.75" hidden="1" x14ac:dyDescent="0.25">
      <c r="B1525" s="32">
        <v>38</v>
      </c>
      <c r="F1525" s="32" t="s">
        <v>97</v>
      </c>
      <c r="J1525" s="32">
        <v>3</v>
      </c>
      <c r="P1525" s="32">
        <v>4770</v>
      </c>
      <c r="R1525" s="32">
        <v>720</v>
      </c>
      <c r="T1525" s="32">
        <v>4050</v>
      </c>
    </row>
    <row r="1526" spans="1:20" ht="12.75" hidden="1" x14ac:dyDescent="0.25">
      <c r="B1526" s="32">
        <v>39</v>
      </c>
      <c r="F1526" s="32" t="s">
        <v>93</v>
      </c>
      <c r="J1526" s="32">
        <v>1</v>
      </c>
      <c r="P1526" s="32">
        <v>590</v>
      </c>
      <c r="R1526" s="32">
        <v>90</v>
      </c>
      <c r="T1526" s="32">
        <v>500</v>
      </c>
    </row>
    <row r="1527" spans="1:20" ht="12.75" hidden="1" x14ac:dyDescent="0.25">
      <c r="B1527" s="32">
        <v>40</v>
      </c>
      <c r="F1527" s="32" t="s">
        <v>92</v>
      </c>
      <c r="J1527" s="32">
        <v>38</v>
      </c>
      <c r="P1527" s="32">
        <v>26080</v>
      </c>
      <c r="R1527" s="32">
        <v>7760</v>
      </c>
      <c r="T1527" s="32">
        <v>18320</v>
      </c>
    </row>
    <row r="1528" spans="1:20" ht="12.75" hidden="1" x14ac:dyDescent="0.25">
      <c r="B1528" s="32">
        <v>41</v>
      </c>
      <c r="F1528" s="32" t="s">
        <v>306</v>
      </c>
      <c r="J1528" s="32">
        <v>1</v>
      </c>
      <c r="P1528" s="32">
        <v>1080</v>
      </c>
      <c r="R1528" s="32">
        <v>320</v>
      </c>
      <c r="T1528" s="32">
        <v>760</v>
      </c>
    </row>
    <row r="1529" spans="1:20" ht="12.75" hidden="1" x14ac:dyDescent="0.25">
      <c r="B1529" s="32">
        <v>42</v>
      </c>
      <c r="F1529" s="32" t="s">
        <v>91</v>
      </c>
      <c r="J1529" s="32">
        <v>318</v>
      </c>
      <c r="P1529" s="32">
        <v>79500</v>
      </c>
      <c r="R1529" s="32">
        <v>39018</v>
      </c>
      <c r="T1529" s="32">
        <v>40482</v>
      </c>
    </row>
    <row r="1530" spans="1:20" ht="12.75" hidden="1" x14ac:dyDescent="0.25">
      <c r="B1530" s="32">
        <v>43</v>
      </c>
      <c r="F1530" s="32" t="s">
        <v>90</v>
      </c>
      <c r="J1530" s="32">
        <v>25</v>
      </c>
      <c r="P1530" s="32">
        <v>7250</v>
      </c>
      <c r="R1530" s="32">
        <v>2000</v>
      </c>
      <c r="T1530" s="32">
        <v>5250</v>
      </c>
    </row>
    <row r="1531" spans="1:20" ht="12.75" hidden="1" x14ac:dyDescent="0.25">
      <c r="B1531" s="32">
        <v>44</v>
      </c>
      <c r="F1531" s="32" t="s">
        <v>89</v>
      </c>
      <c r="J1531" s="32">
        <v>1</v>
      </c>
      <c r="P1531" s="32">
        <v>880</v>
      </c>
      <c r="R1531" s="32">
        <v>130</v>
      </c>
      <c r="T1531" s="32">
        <v>750</v>
      </c>
    </row>
    <row r="1532" spans="1:20" ht="12.75" hidden="1" x14ac:dyDescent="0.25">
      <c r="B1532" s="32">
        <v>45</v>
      </c>
      <c r="F1532" s="32" t="s">
        <v>88</v>
      </c>
      <c r="J1532" s="32">
        <v>11</v>
      </c>
      <c r="P1532" s="32">
        <v>1980</v>
      </c>
      <c r="R1532" s="32">
        <v>595</v>
      </c>
      <c r="T1532" s="32">
        <v>1385</v>
      </c>
    </row>
    <row r="1533" spans="1:20" ht="12.75" hidden="1" x14ac:dyDescent="0.25">
      <c r="B1533" s="32">
        <v>46</v>
      </c>
      <c r="F1533" s="32" t="s">
        <v>205</v>
      </c>
      <c r="J1533" s="32">
        <v>1</v>
      </c>
      <c r="P1533" s="32">
        <v>500</v>
      </c>
      <c r="R1533" s="32">
        <v>150</v>
      </c>
      <c r="T1533" s="32">
        <v>350</v>
      </c>
    </row>
    <row r="1534" spans="1:20" ht="12.75" hidden="1" x14ac:dyDescent="0.25">
      <c r="B1534" s="32">
        <v>47</v>
      </c>
      <c r="F1534" s="32" t="s">
        <v>271</v>
      </c>
      <c r="J1534" s="32">
        <v>1</v>
      </c>
      <c r="P1534" s="32">
        <v>500</v>
      </c>
      <c r="R1534" s="32">
        <v>150</v>
      </c>
      <c r="T1534" s="32">
        <v>350</v>
      </c>
    </row>
    <row r="1535" spans="1:20" ht="12.75" hidden="1" x14ac:dyDescent="0.25">
      <c r="A1535" s="32" t="s">
        <v>416</v>
      </c>
      <c r="K1535" s="32">
        <v>1815</v>
      </c>
      <c r="P1535" s="32">
        <v>1438695</v>
      </c>
      <c r="R1535" s="32">
        <v>1093884</v>
      </c>
      <c r="T1535" s="32">
        <v>344811</v>
      </c>
    </row>
    <row r="1536" spans="1:20" ht="12.75" hidden="1" x14ac:dyDescent="0.25">
      <c r="B1536" s="32">
        <v>1</v>
      </c>
      <c r="F1536" s="32" t="s">
        <v>78</v>
      </c>
      <c r="J1536" s="32">
        <v>15</v>
      </c>
      <c r="P1536" s="32">
        <v>4350</v>
      </c>
      <c r="R1536" s="32">
        <v>4350</v>
      </c>
      <c r="T1536" s="32">
        <v>0</v>
      </c>
    </row>
    <row r="1537" spans="2:20" ht="12.75" hidden="1" x14ac:dyDescent="0.25">
      <c r="B1537" s="32">
        <v>2</v>
      </c>
      <c r="F1537" s="32" t="s">
        <v>249</v>
      </c>
      <c r="J1537" s="32">
        <v>1</v>
      </c>
      <c r="P1537" s="32">
        <v>1300</v>
      </c>
      <c r="R1537" s="32">
        <v>200</v>
      </c>
      <c r="T1537" s="32">
        <v>1100</v>
      </c>
    </row>
    <row r="1538" spans="2:20" ht="12.75" hidden="1" x14ac:dyDescent="0.25">
      <c r="B1538" s="32">
        <v>3</v>
      </c>
      <c r="F1538" s="32" t="s">
        <v>162</v>
      </c>
      <c r="J1538" s="32">
        <v>1</v>
      </c>
      <c r="P1538" s="32">
        <v>430</v>
      </c>
      <c r="R1538" s="32">
        <v>220</v>
      </c>
      <c r="T1538" s="32">
        <v>210</v>
      </c>
    </row>
    <row r="1539" spans="2:20" ht="12.75" hidden="1" x14ac:dyDescent="0.25">
      <c r="B1539" s="32">
        <v>4</v>
      </c>
      <c r="F1539" s="32" t="s">
        <v>198</v>
      </c>
      <c r="J1539" s="32">
        <v>1</v>
      </c>
      <c r="P1539" s="32">
        <v>290</v>
      </c>
      <c r="R1539" s="32">
        <v>80</v>
      </c>
      <c r="T1539" s="32">
        <v>210</v>
      </c>
    </row>
    <row r="1540" spans="2:20" ht="12.75" hidden="1" x14ac:dyDescent="0.25">
      <c r="B1540" s="32">
        <v>5</v>
      </c>
      <c r="F1540" s="32" t="s">
        <v>160</v>
      </c>
      <c r="J1540" s="32">
        <v>1</v>
      </c>
      <c r="P1540" s="32">
        <v>290</v>
      </c>
      <c r="R1540" s="32">
        <v>80</v>
      </c>
      <c r="T1540" s="32">
        <v>210</v>
      </c>
    </row>
    <row r="1541" spans="2:20" ht="12.75" hidden="1" x14ac:dyDescent="0.25">
      <c r="B1541" s="32">
        <v>6</v>
      </c>
      <c r="F1541" s="32" t="s">
        <v>158</v>
      </c>
      <c r="J1541" s="32">
        <v>374</v>
      </c>
      <c r="P1541" s="32">
        <v>205700</v>
      </c>
      <c r="R1541" s="32">
        <v>77833</v>
      </c>
      <c r="T1541" s="32">
        <v>127867</v>
      </c>
    </row>
    <row r="1542" spans="2:20" ht="12.75" hidden="1" x14ac:dyDescent="0.25">
      <c r="B1542" s="32">
        <v>7</v>
      </c>
      <c r="F1542" s="32" t="s">
        <v>157</v>
      </c>
      <c r="J1542" s="32">
        <v>9</v>
      </c>
      <c r="P1542" s="32">
        <v>4410</v>
      </c>
      <c r="R1542" s="32">
        <v>1745</v>
      </c>
      <c r="T1542" s="32">
        <v>2665</v>
      </c>
    </row>
    <row r="1543" spans="2:20" ht="12.75" hidden="1" x14ac:dyDescent="0.25">
      <c r="B1543" s="32">
        <v>8</v>
      </c>
      <c r="F1543" s="32" t="s">
        <v>293</v>
      </c>
      <c r="J1543" s="32">
        <v>1</v>
      </c>
      <c r="P1543" s="32">
        <v>900</v>
      </c>
      <c r="R1543" s="32">
        <v>100</v>
      </c>
      <c r="T1543" s="32">
        <v>800</v>
      </c>
    </row>
    <row r="1544" spans="2:20" ht="12.75" hidden="1" x14ac:dyDescent="0.25">
      <c r="B1544" s="32">
        <v>9</v>
      </c>
      <c r="F1544" s="32" t="s">
        <v>196</v>
      </c>
      <c r="J1544" s="32">
        <v>9</v>
      </c>
      <c r="P1544" s="32">
        <v>6500</v>
      </c>
      <c r="R1544" s="32">
        <v>1485</v>
      </c>
      <c r="T1544" s="32">
        <v>5015</v>
      </c>
    </row>
    <row r="1545" spans="2:20" ht="12.75" hidden="1" x14ac:dyDescent="0.25">
      <c r="B1545" s="32">
        <v>10</v>
      </c>
      <c r="F1545" s="32" t="s">
        <v>77</v>
      </c>
      <c r="J1545" s="32">
        <v>362</v>
      </c>
      <c r="P1545" s="32">
        <v>150000</v>
      </c>
      <c r="R1545" s="32">
        <v>150000</v>
      </c>
      <c r="T1545" s="32">
        <v>0</v>
      </c>
    </row>
    <row r="1546" spans="2:20" ht="12.75" hidden="1" x14ac:dyDescent="0.25">
      <c r="B1546" s="32">
        <v>11</v>
      </c>
      <c r="F1546" s="32" t="s">
        <v>156</v>
      </c>
      <c r="J1546" s="32">
        <v>8</v>
      </c>
      <c r="P1546" s="32">
        <v>1520</v>
      </c>
      <c r="R1546" s="32">
        <v>280</v>
      </c>
      <c r="T1546" s="32">
        <v>1240</v>
      </c>
    </row>
    <row r="1547" spans="2:20" ht="12.75" hidden="1" x14ac:dyDescent="0.25">
      <c r="B1547" s="32">
        <v>12</v>
      </c>
      <c r="F1547" s="32" t="s">
        <v>155</v>
      </c>
      <c r="J1547" s="32">
        <v>156</v>
      </c>
      <c r="P1547" s="32">
        <v>39000</v>
      </c>
      <c r="R1547" s="32">
        <v>19461</v>
      </c>
      <c r="T1547" s="32">
        <v>19539</v>
      </c>
    </row>
    <row r="1548" spans="2:20" ht="12.75" hidden="1" x14ac:dyDescent="0.25">
      <c r="B1548" s="32">
        <v>13</v>
      </c>
      <c r="F1548" s="32" t="s">
        <v>154</v>
      </c>
      <c r="J1548" s="32">
        <v>1</v>
      </c>
      <c r="P1548" s="32">
        <v>890</v>
      </c>
      <c r="R1548" s="32">
        <v>130</v>
      </c>
      <c r="T1548" s="32">
        <v>760</v>
      </c>
    </row>
    <row r="1549" spans="2:20" ht="12.75" hidden="1" x14ac:dyDescent="0.25">
      <c r="B1549" s="32">
        <v>14</v>
      </c>
      <c r="F1549" s="32" t="s">
        <v>340</v>
      </c>
      <c r="J1549" s="32">
        <v>1</v>
      </c>
      <c r="P1549" s="32">
        <v>880</v>
      </c>
      <c r="R1549" s="32">
        <v>80</v>
      </c>
      <c r="T1549" s="32">
        <v>800</v>
      </c>
    </row>
    <row r="1550" spans="2:20" ht="12.75" hidden="1" x14ac:dyDescent="0.25">
      <c r="B1550" s="32">
        <v>15</v>
      </c>
      <c r="F1550" s="32" t="s">
        <v>152</v>
      </c>
      <c r="J1550" s="32">
        <v>1</v>
      </c>
      <c r="P1550" s="32">
        <v>590</v>
      </c>
      <c r="R1550" s="32">
        <v>180</v>
      </c>
      <c r="T1550" s="32">
        <v>410</v>
      </c>
    </row>
    <row r="1551" spans="2:20" ht="12.75" hidden="1" x14ac:dyDescent="0.25">
      <c r="B1551" s="32">
        <v>16</v>
      </c>
      <c r="F1551" s="32" t="s">
        <v>151</v>
      </c>
      <c r="J1551" s="32">
        <v>3</v>
      </c>
      <c r="P1551" s="32">
        <v>690</v>
      </c>
      <c r="R1551" s="32">
        <v>220</v>
      </c>
      <c r="T1551" s="32">
        <v>470</v>
      </c>
    </row>
    <row r="1552" spans="2:20" ht="12.75" hidden="1" x14ac:dyDescent="0.25">
      <c r="B1552" s="32">
        <v>17</v>
      </c>
      <c r="F1552" s="32" t="s">
        <v>150</v>
      </c>
      <c r="J1552" s="32">
        <v>4</v>
      </c>
      <c r="P1552" s="32">
        <v>680</v>
      </c>
      <c r="R1552" s="32">
        <v>210</v>
      </c>
      <c r="T1552" s="32">
        <v>470</v>
      </c>
    </row>
    <row r="1553" spans="2:20" ht="12.75" hidden="1" x14ac:dyDescent="0.25">
      <c r="B1553" s="32">
        <v>18</v>
      </c>
      <c r="F1553" s="32" t="s">
        <v>415</v>
      </c>
      <c r="J1553" s="32">
        <v>1</v>
      </c>
      <c r="P1553" s="32">
        <v>900</v>
      </c>
      <c r="R1553" s="32">
        <v>270</v>
      </c>
      <c r="T1553" s="32">
        <v>630</v>
      </c>
    </row>
    <row r="1554" spans="2:20" ht="12.75" hidden="1" x14ac:dyDescent="0.25">
      <c r="B1554" s="32">
        <v>19</v>
      </c>
      <c r="F1554" s="32" t="s">
        <v>193</v>
      </c>
      <c r="J1554" s="32">
        <v>1</v>
      </c>
      <c r="P1554" s="32">
        <v>890</v>
      </c>
      <c r="R1554" s="32">
        <v>130</v>
      </c>
      <c r="T1554" s="32">
        <v>760</v>
      </c>
    </row>
    <row r="1555" spans="2:20" ht="12.75" hidden="1" x14ac:dyDescent="0.25">
      <c r="B1555" s="32">
        <v>20</v>
      </c>
      <c r="F1555" s="32" t="s">
        <v>75</v>
      </c>
      <c r="J1555" s="32">
        <v>287</v>
      </c>
      <c r="P1555" s="32">
        <v>717500</v>
      </c>
      <c r="R1555" s="32">
        <v>717500</v>
      </c>
      <c r="T1555" s="32">
        <v>0</v>
      </c>
    </row>
    <row r="1556" spans="2:20" ht="12.75" hidden="1" x14ac:dyDescent="0.25">
      <c r="B1556" s="32">
        <v>21</v>
      </c>
      <c r="F1556" s="32" t="s">
        <v>141</v>
      </c>
      <c r="J1556" s="32">
        <v>3</v>
      </c>
      <c r="P1556" s="32">
        <v>225</v>
      </c>
      <c r="R1556" s="32">
        <v>66</v>
      </c>
      <c r="T1556" s="32">
        <v>159</v>
      </c>
    </row>
    <row r="1557" spans="2:20" ht="12.75" hidden="1" x14ac:dyDescent="0.25">
      <c r="B1557" s="32">
        <v>22</v>
      </c>
      <c r="F1557" s="32" t="s">
        <v>139</v>
      </c>
      <c r="J1557" s="32">
        <v>1</v>
      </c>
      <c r="P1557" s="32">
        <v>270</v>
      </c>
      <c r="R1557" s="32">
        <v>80</v>
      </c>
      <c r="T1557" s="32">
        <v>190</v>
      </c>
    </row>
    <row r="1558" spans="2:20" ht="12.75" hidden="1" x14ac:dyDescent="0.25">
      <c r="B1558" s="32">
        <v>23</v>
      </c>
      <c r="F1558" s="32" t="s">
        <v>137</v>
      </c>
      <c r="J1558" s="32">
        <v>1</v>
      </c>
      <c r="P1558" s="32">
        <v>800</v>
      </c>
      <c r="R1558" s="32">
        <v>200</v>
      </c>
      <c r="T1558" s="32">
        <v>600</v>
      </c>
    </row>
    <row r="1559" spans="2:20" ht="12.75" hidden="1" x14ac:dyDescent="0.25">
      <c r="B1559" s="32">
        <v>24</v>
      </c>
      <c r="F1559" s="32" t="s">
        <v>136</v>
      </c>
      <c r="J1559" s="32">
        <v>11</v>
      </c>
      <c r="P1559" s="32">
        <v>9350</v>
      </c>
      <c r="R1559" s="32">
        <v>1988</v>
      </c>
      <c r="T1559" s="32">
        <v>7362</v>
      </c>
    </row>
    <row r="1560" spans="2:20" ht="12.75" hidden="1" x14ac:dyDescent="0.25">
      <c r="B1560" s="32">
        <v>25</v>
      </c>
      <c r="F1560" s="32" t="s">
        <v>135</v>
      </c>
      <c r="J1560" s="32">
        <v>4</v>
      </c>
      <c r="P1560" s="32">
        <v>3800</v>
      </c>
      <c r="R1560" s="32">
        <v>990</v>
      </c>
      <c r="T1560" s="32">
        <v>2810</v>
      </c>
    </row>
    <row r="1561" spans="2:20" ht="12.75" hidden="1" x14ac:dyDescent="0.25">
      <c r="B1561" s="32">
        <v>26</v>
      </c>
      <c r="F1561" s="32" t="s">
        <v>132</v>
      </c>
      <c r="J1561" s="32">
        <v>2</v>
      </c>
      <c r="P1561" s="32">
        <v>2480</v>
      </c>
      <c r="R1561" s="32">
        <v>740</v>
      </c>
      <c r="T1561" s="32">
        <v>1740</v>
      </c>
    </row>
    <row r="1562" spans="2:20" ht="12.75" hidden="1" x14ac:dyDescent="0.25">
      <c r="B1562" s="32">
        <v>27</v>
      </c>
      <c r="F1562" s="32" t="s">
        <v>128</v>
      </c>
      <c r="J1562" s="32">
        <v>1</v>
      </c>
      <c r="P1562" s="32">
        <v>1150</v>
      </c>
      <c r="R1562" s="32">
        <v>170</v>
      </c>
      <c r="T1562" s="32">
        <v>980</v>
      </c>
    </row>
    <row r="1563" spans="2:20" ht="12.75" hidden="1" x14ac:dyDescent="0.25">
      <c r="B1563" s="32">
        <v>28</v>
      </c>
      <c r="F1563" s="32" t="s">
        <v>378</v>
      </c>
      <c r="J1563" s="32">
        <v>1</v>
      </c>
      <c r="P1563" s="32">
        <v>800</v>
      </c>
      <c r="R1563" s="32">
        <v>450</v>
      </c>
      <c r="T1563" s="32">
        <v>350</v>
      </c>
    </row>
    <row r="1564" spans="2:20" ht="12.75" hidden="1" x14ac:dyDescent="0.25">
      <c r="B1564" s="32">
        <v>29</v>
      </c>
      <c r="F1564" s="32" t="s">
        <v>126</v>
      </c>
      <c r="J1564" s="32">
        <v>6</v>
      </c>
      <c r="P1564" s="32">
        <v>1200</v>
      </c>
      <c r="R1564" s="32">
        <v>360</v>
      </c>
      <c r="T1564" s="32">
        <v>840</v>
      </c>
    </row>
    <row r="1565" spans="2:20" ht="12.75" hidden="1" x14ac:dyDescent="0.25">
      <c r="B1565" s="32">
        <v>30</v>
      </c>
      <c r="F1565" s="32" t="s">
        <v>124</v>
      </c>
      <c r="J1565" s="32">
        <v>1</v>
      </c>
      <c r="P1565" s="32">
        <v>400</v>
      </c>
      <c r="R1565" s="32">
        <v>120</v>
      </c>
      <c r="T1565" s="32">
        <v>280</v>
      </c>
    </row>
    <row r="1566" spans="2:20" ht="12.75" hidden="1" x14ac:dyDescent="0.25">
      <c r="B1566" s="32">
        <v>31</v>
      </c>
      <c r="F1566" s="32" t="s">
        <v>227</v>
      </c>
      <c r="J1566" s="32">
        <v>1</v>
      </c>
      <c r="P1566" s="32">
        <v>500</v>
      </c>
      <c r="R1566" s="32">
        <v>0</v>
      </c>
      <c r="T1566" s="32">
        <v>500</v>
      </c>
    </row>
    <row r="1567" spans="2:20" ht="12.75" hidden="1" x14ac:dyDescent="0.25">
      <c r="B1567" s="32">
        <v>32</v>
      </c>
      <c r="F1567" s="32" t="s">
        <v>122</v>
      </c>
      <c r="J1567" s="32">
        <v>2</v>
      </c>
      <c r="P1567" s="32">
        <v>1000</v>
      </c>
      <c r="R1567" s="32">
        <v>250</v>
      </c>
      <c r="T1567" s="32">
        <v>750</v>
      </c>
    </row>
    <row r="1568" spans="2:20" ht="12.75" hidden="1" x14ac:dyDescent="0.25">
      <c r="B1568" s="32">
        <v>33</v>
      </c>
      <c r="F1568" s="32" t="s">
        <v>121</v>
      </c>
      <c r="J1568" s="32">
        <v>2</v>
      </c>
      <c r="P1568" s="32">
        <v>1000</v>
      </c>
      <c r="R1568" s="32">
        <v>250</v>
      </c>
      <c r="T1568" s="32">
        <v>750</v>
      </c>
    </row>
    <row r="1569" spans="2:20" ht="12.75" hidden="1" x14ac:dyDescent="0.25">
      <c r="B1569" s="32">
        <v>34</v>
      </c>
      <c r="F1569" s="32" t="s">
        <v>282</v>
      </c>
      <c r="J1569" s="32">
        <v>1</v>
      </c>
      <c r="P1569" s="32">
        <v>500</v>
      </c>
      <c r="R1569" s="32">
        <v>150</v>
      </c>
      <c r="T1569" s="32">
        <v>350</v>
      </c>
    </row>
    <row r="1570" spans="2:20" ht="12.75" hidden="1" x14ac:dyDescent="0.25">
      <c r="B1570" s="32">
        <v>35</v>
      </c>
      <c r="F1570" s="32" t="s">
        <v>226</v>
      </c>
      <c r="J1570" s="32">
        <v>1</v>
      </c>
      <c r="P1570" s="32">
        <v>500</v>
      </c>
      <c r="R1570" s="32">
        <v>150</v>
      </c>
      <c r="T1570" s="32">
        <v>350</v>
      </c>
    </row>
    <row r="1571" spans="2:20" ht="12.75" hidden="1" x14ac:dyDescent="0.25">
      <c r="B1571" s="32">
        <v>36</v>
      </c>
      <c r="F1571" s="32" t="s">
        <v>182</v>
      </c>
      <c r="J1571" s="32">
        <v>1</v>
      </c>
      <c r="P1571" s="32">
        <v>790</v>
      </c>
      <c r="R1571" s="32">
        <v>120</v>
      </c>
      <c r="T1571" s="32">
        <v>670</v>
      </c>
    </row>
    <row r="1572" spans="2:20" ht="12.75" hidden="1" x14ac:dyDescent="0.25">
      <c r="B1572" s="32">
        <v>37</v>
      </c>
      <c r="F1572" s="32" t="s">
        <v>119</v>
      </c>
      <c r="J1572" s="32">
        <v>18</v>
      </c>
      <c r="P1572" s="32">
        <v>16020</v>
      </c>
      <c r="R1572" s="32">
        <v>4992</v>
      </c>
      <c r="T1572" s="32">
        <v>11028</v>
      </c>
    </row>
    <row r="1573" spans="2:20" ht="12.75" hidden="1" x14ac:dyDescent="0.25">
      <c r="B1573" s="32">
        <v>38</v>
      </c>
      <c r="F1573" s="32" t="s">
        <v>118</v>
      </c>
      <c r="J1573" s="32">
        <v>157</v>
      </c>
      <c r="P1573" s="32">
        <v>155430</v>
      </c>
      <c r="R1573" s="32">
        <v>77033</v>
      </c>
      <c r="T1573" s="32">
        <v>78397</v>
      </c>
    </row>
    <row r="1574" spans="2:20" ht="12.75" hidden="1" x14ac:dyDescent="0.25">
      <c r="B1574" s="32">
        <v>39</v>
      </c>
      <c r="F1574" s="32" t="s">
        <v>117</v>
      </c>
      <c r="J1574" s="32">
        <v>18</v>
      </c>
      <c r="P1574" s="32">
        <v>14400</v>
      </c>
      <c r="R1574" s="32">
        <v>3160</v>
      </c>
      <c r="T1574" s="32">
        <v>11240</v>
      </c>
    </row>
    <row r="1575" spans="2:20" ht="12.75" hidden="1" x14ac:dyDescent="0.25">
      <c r="B1575" s="32">
        <v>40</v>
      </c>
      <c r="F1575" s="32" t="s">
        <v>115</v>
      </c>
      <c r="J1575" s="32">
        <v>1</v>
      </c>
      <c r="P1575" s="32">
        <v>290</v>
      </c>
      <c r="R1575" s="32">
        <v>80</v>
      </c>
      <c r="T1575" s="32">
        <v>210</v>
      </c>
    </row>
    <row r="1576" spans="2:20" ht="12.75" hidden="1" x14ac:dyDescent="0.25">
      <c r="B1576" s="32">
        <v>41</v>
      </c>
      <c r="F1576" s="32" t="s">
        <v>335</v>
      </c>
      <c r="J1576" s="32">
        <v>1</v>
      </c>
      <c r="P1576" s="32">
        <v>500</v>
      </c>
      <c r="R1576" s="32">
        <v>150</v>
      </c>
      <c r="T1576" s="32">
        <v>350</v>
      </c>
    </row>
    <row r="1577" spans="2:20" ht="12.75" hidden="1" x14ac:dyDescent="0.25">
      <c r="B1577" s="32">
        <v>42</v>
      </c>
      <c r="F1577" s="32" t="s">
        <v>222</v>
      </c>
      <c r="J1577" s="32">
        <v>1</v>
      </c>
      <c r="P1577" s="32">
        <v>500</v>
      </c>
      <c r="R1577" s="32">
        <v>150</v>
      </c>
      <c r="T1577" s="32">
        <v>350</v>
      </c>
    </row>
    <row r="1578" spans="2:20" ht="12.75" hidden="1" x14ac:dyDescent="0.25">
      <c r="B1578" s="32">
        <v>43</v>
      </c>
      <c r="F1578" s="32" t="s">
        <v>109</v>
      </c>
      <c r="J1578" s="32">
        <v>3</v>
      </c>
      <c r="P1578" s="32">
        <v>2340</v>
      </c>
      <c r="R1578" s="32">
        <v>690</v>
      </c>
      <c r="T1578" s="32">
        <v>1650</v>
      </c>
    </row>
    <row r="1579" spans="2:20" ht="12.75" hidden="1" x14ac:dyDescent="0.25">
      <c r="B1579" s="32">
        <v>44</v>
      </c>
      <c r="F1579" s="32" t="s">
        <v>108</v>
      </c>
      <c r="J1579" s="32">
        <v>111</v>
      </c>
      <c r="P1579" s="32">
        <v>11100</v>
      </c>
      <c r="R1579" s="32">
        <v>330</v>
      </c>
      <c r="T1579" s="32">
        <v>10770</v>
      </c>
    </row>
    <row r="1580" spans="2:20" ht="12.75" hidden="1" x14ac:dyDescent="0.25">
      <c r="B1580" s="32">
        <v>45</v>
      </c>
      <c r="F1580" s="32" t="s">
        <v>107</v>
      </c>
      <c r="J1580" s="32">
        <v>7</v>
      </c>
      <c r="P1580" s="32">
        <v>1190</v>
      </c>
      <c r="R1580" s="32">
        <v>350</v>
      </c>
      <c r="T1580" s="32">
        <v>840</v>
      </c>
    </row>
    <row r="1581" spans="2:20" ht="12.75" hidden="1" x14ac:dyDescent="0.25">
      <c r="B1581" s="32">
        <v>46</v>
      </c>
      <c r="F1581" s="32" t="s">
        <v>275</v>
      </c>
      <c r="J1581" s="32">
        <v>1</v>
      </c>
      <c r="P1581" s="32">
        <v>500</v>
      </c>
      <c r="R1581" s="32">
        <v>100</v>
      </c>
      <c r="T1581" s="32">
        <v>400</v>
      </c>
    </row>
    <row r="1582" spans="2:20" ht="12.75" hidden="1" x14ac:dyDescent="0.25">
      <c r="B1582" s="32">
        <v>47</v>
      </c>
      <c r="F1582" s="32" t="s">
        <v>210</v>
      </c>
      <c r="J1582" s="32">
        <v>1</v>
      </c>
      <c r="P1582" s="32">
        <v>390</v>
      </c>
      <c r="R1582" s="32">
        <v>120</v>
      </c>
      <c r="T1582" s="32">
        <v>270</v>
      </c>
    </row>
    <row r="1583" spans="2:20" ht="12.75" hidden="1" x14ac:dyDescent="0.25">
      <c r="B1583" s="32">
        <v>48</v>
      </c>
      <c r="F1583" s="32" t="s">
        <v>176</v>
      </c>
      <c r="J1583" s="32">
        <v>1</v>
      </c>
      <c r="P1583" s="32">
        <v>1060</v>
      </c>
      <c r="R1583" s="32">
        <v>160</v>
      </c>
      <c r="T1583" s="32">
        <v>900</v>
      </c>
    </row>
    <row r="1584" spans="2:20" ht="12.75" hidden="1" x14ac:dyDescent="0.25">
      <c r="B1584" s="32">
        <v>49</v>
      </c>
      <c r="F1584" s="32" t="s">
        <v>97</v>
      </c>
      <c r="J1584" s="32">
        <v>10</v>
      </c>
      <c r="P1584" s="32">
        <v>15900</v>
      </c>
      <c r="R1584" s="32">
        <v>2160</v>
      </c>
      <c r="T1584" s="32">
        <v>13740</v>
      </c>
    </row>
    <row r="1585" spans="1:20" ht="12.75" hidden="1" x14ac:dyDescent="0.25">
      <c r="B1585" s="32">
        <v>50</v>
      </c>
      <c r="F1585" s="32" t="s">
        <v>93</v>
      </c>
      <c r="J1585" s="32">
        <v>1</v>
      </c>
      <c r="P1585" s="32">
        <v>590</v>
      </c>
      <c r="R1585" s="32">
        <v>90</v>
      </c>
      <c r="T1585" s="32">
        <v>500</v>
      </c>
    </row>
    <row r="1586" spans="1:20" ht="12.75" hidden="1" x14ac:dyDescent="0.25">
      <c r="B1586" s="32">
        <v>51</v>
      </c>
      <c r="F1586" s="32" t="s">
        <v>92</v>
      </c>
      <c r="J1586" s="32">
        <v>2</v>
      </c>
      <c r="P1586" s="32">
        <v>1480</v>
      </c>
      <c r="R1586" s="32">
        <v>400</v>
      </c>
      <c r="T1586" s="32">
        <v>1080</v>
      </c>
    </row>
    <row r="1587" spans="1:20" ht="12.75" hidden="1" x14ac:dyDescent="0.25">
      <c r="B1587" s="32">
        <v>52</v>
      </c>
      <c r="F1587" s="32" t="s">
        <v>306</v>
      </c>
      <c r="J1587" s="32">
        <v>1</v>
      </c>
      <c r="P1587" s="32">
        <v>1080</v>
      </c>
      <c r="R1587" s="32">
        <v>320</v>
      </c>
      <c r="T1587" s="32">
        <v>760</v>
      </c>
    </row>
    <row r="1588" spans="1:20" ht="12.75" hidden="1" x14ac:dyDescent="0.25">
      <c r="B1588" s="32">
        <v>53</v>
      </c>
      <c r="F1588" s="32" t="s">
        <v>91</v>
      </c>
      <c r="J1588" s="32">
        <v>156</v>
      </c>
      <c r="P1588" s="32">
        <v>39000</v>
      </c>
      <c r="R1588" s="32">
        <v>19402</v>
      </c>
      <c r="T1588" s="32">
        <v>19598</v>
      </c>
    </row>
    <row r="1589" spans="1:20" ht="12.75" hidden="1" x14ac:dyDescent="0.25">
      <c r="B1589" s="32">
        <v>54</v>
      </c>
      <c r="F1589" s="32" t="s">
        <v>90</v>
      </c>
      <c r="J1589" s="32">
        <v>21</v>
      </c>
      <c r="P1589" s="32">
        <v>6090</v>
      </c>
      <c r="R1589" s="32">
        <v>1410</v>
      </c>
      <c r="T1589" s="32">
        <v>4680</v>
      </c>
    </row>
    <row r="1590" spans="1:20" ht="12.75" hidden="1" x14ac:dyDescent="0.25">
      <c r="B1590" s="32">
        <v>55</v>
      </c>
      <c r="F1590" s="32" t="s">
        <v>89</v>
      </c>
      <c r="J1590" s="32">
        <v>2</v>
      </c>
      <c r="P1590" s="32">
        <v>1760</v>
      </c>
      <c r="R1590" s="32">
        <v>260</v>
      </c>
      <c r="T1590" s="32">
        <v>1500</v>
      </c>
    </row>
    <row r="1591" spans="1:20" ht="12.75" hidden="1" x14ac:dyDescent="0.25">
      <c r="B1591" s="32">
        <v>56</v>
      </c>
      <c r="F1591" s="32" t="s">
        <v>88</v>
      </c>
      <c r="J1591" s="32">
        <v>20</v>
      </c>
      <c r="P1591" s="32">
        <v>3600</v>
      </c>
      <c r="R1591" s="32">
        <v>1089</v>
      </c>
      <c r="T1591" s="32">
        <v>2511</v>
      </c>
    </row>
    <row r="1592" spans="1:20" ht="12.75" hidden="1" x14ac:dyDescent="0.25">
      <c r="B1592" s="32">
        <v>57</v>
      </c>
      <c r="F1592" s="32" t="s">
        <v>331</v>
      </c>
      <c r="J1592" s="32">
        <v>1</v>
      </c>
      <c r="P1592" s="32">
        <v>500</v>
      </c>
      <c r="R1592" s="32">
        <v>150</v>
      </c>
      <c r="T1592" s="32">
        <v>350</v>
      </c>
    </row>
    <row r="1593" spans="1:20" ht="12.75" hidden="1" x14ac:dyDescent="0.25">
      <c r="B1593" s="32">
        <v>58</v>
      </c>
      <c r="F1593" s="32" t="s">
        <v>205</v>
      </c>
      <c r="J1593" s="32">
        <v>1</v>
      </c>
      <c r="P1593" s="32">
        <v>500</v>
      </c>
      <c r="R1593" s="32">
        <v>50</v>
      </c>
      <c r="T1593" s="32">
        <v>450</v>
      </c>
    </row>
    <row r="1594" spans="1:20" ht="12.75" hidden="1" x14ac:dyDescent="0.25">
      <c r="B1594" s="32">
        <v>59</v>
      </c>
      <c r="F1594" s="32" t="s">
        <v>83</v>
      </c>
      <c r="J1594" s="32">
        <v>1</v>
      </c>
      <c r="P1594" s="32">
        <v>500</v>
      </c>
      <c r="R1594" s="32">
        <v>150</v>
      </c>
      <c r="T1594" s="32">
        <v>350</v>
      </c>
    </row>
    <row r="1595" spans="1:20" ht="12.75" hidden="1" x14ac:dyDescent="0.25">
      <c r="B1595" s="32">
        <v>60</v>
      </c>
      <c r="F1595" s="32" t="s">
        <v>271</v>
      </c>
      <c r="J1595" s="32">
        <v>2</v>
      </c>
      <c r="P1595" s="32">
        <v>1000</v>
      </c>
      <c r="R1595" s="32">
        <v>300</v>
      </c>
      <c r="T1595" s="32">
        <v>700</v>
      </c>
    </row>
    <row r="1596" spans="1:20" ht="12.75" hidden="1" x14ac:dyDescent="0.25">
      <c r="B1596" s="32">
        <v>61</v>
      </c>
      <c r="F1596" s="32" t="s">
        <v>363</v>
      </c>
      <c r="J1596" s="32">
        <v>1</v>
      </c>
      <c r="P1596" s="32">
        <v>500</v>
      </c>
      <c r="R1596" s="32">
        <v>150</v>
      </c>
      <c r="T1596" s="32">
        <v>350</v>
      </c>
    </row>
    <row r="1597" spans="1:20" ht="12.75" hidden="1" x14ac:dyDescent="0.25">
      <c r="A1597" s="32" t="s">
        <v>414</v>
      </c>
      <c r="K1597" s="32">
        <v>2621</v>
      </c>
      <c r="P1597" s="32">
        <v>2686350</v>
      </c>
      <c r="R1597" s="32">
        <v>2465870</v>
      </c>
      <c r="T1597" s="32">
        <v>220480</v>
      </c>
    </row>
    <row r="1598" spans="1:20" ht="12.75" hidden="1" x14ac:dyDescent="0.25">
      <c r="B1598" s="32">
        <v>1</v>
      </c>
      <c r="F1598" s="32" t="s">
        <v>250</v>
      </c>
      <c r="J1598" s="32">
        <v>1</v>
      </c>
      <c r="P1598" s="32">
        <v>500</v>
      </c>
      <c r="R1598" s="32">
        <v>150</v>
      </c>
      <c r="T1598" s="32">
        <v>350</v>
      </c>
    </row>
    <row r="1599" spans="1:20" ht="12.75" hidden="1" x14ac:dyDescent="0.25">
      <c r="B1599" s="32">
        <v>2</v>
      </c>
      <c r="F1599" s="32" t="s">
        <v>78</v>
      </c>
      <c r="J1599" s="32">
        <v>192</v>
      </c>
      <c r="P1599" s="32">
        <v>55680</v>
      </c>
      <c r="R1599" s="32">
        <v>55680</v>
      </c>
      <c r="T1599" s="32">
        <v>0</v>
      </c>
    </row>
    <row r="1600" spans="1:20" ht="12.75" hidden="1" x14ac:dyDescent="0.25">
      <c r="B1600" s="32">
        <v>3</v>
      </c>
      <c r="F1600" s="32" t="s">
        <v>162</v>
      </c>
      <c r="J1600" s="32">
        <v>1</v>
      </c>
      <c r="P1600" s="32">
        <v>430</v>
      </c>
      <c r="R1600" s="32">
        <v>220</v>
      </c>
      <c r="T1600" s="32">
        <v>210</v>
      </c>
    </row>
    <row r="1601" spans="2:20" ht="12.75" hidden="1" x14ac:dyDescent="0.25">
      <c r="B1601" s="32">
        <v>4</v>
      </c>
      <c r="F1601" s="32" t="s">
        <v>160</v>
      </c>
      <c r="J1601" s="32">
        <v>1</v>
      </c>
      <c r="P1601" s="32">
        <v>290</v>
      </c>
      <c r="R1601" s="32">
        <v>80</v>
      </c>
      <c r="T1601" s="32">
        <v>210</v>
      </c>
    </row>
    <row r="1602" spans="2:20" ht="12.75" hidden="1" x14ac:dyDescent="0.25">
      <c r="B1602" s="32">
        <v>5</v>
      </c>
      <c r="F1602" s="32" t="s">
        <v>158</v>
      </c>
      <c r="J1602" s="32">
        <v>272</v>
      </c>
      <c r="P1602" s="32">
        <v>149600</v>
      </c>
      <c r="R1602" s="32">
        <v>46785</v>
      </c>
      <c r="T1602" s="32">
        <v>102815</v>
      </c>
    </row>
    <row r="1603" spans="2:20" ht="12.75" hidden="1" x14ac:dyDescent="0.25">
      <c r="B1603" s="32">
        <v>6</v>
      </c>
      <c r="F1603" s="32" t="s">
        <v>157</v>
      </c>
      <c r="J1603" s="32">
        <v>22</v>
      </c>
      <c r="P1603" s="32">
        <v>10780</v>
      </c>
      <c r="R1603" s="32">
        <v>4730</v>
      </c>
      <c r="T1603" s="32">
        <v>6050</v>
      </c>
    </row>
    <row r="1604" spans="2:20" ht="12.75" hidden="1" x14ac:dyDescent="0.25">
      <c r="B1604" s="32">
        <v>7</v>
      </c>
      <c r="F1604" s="32" t="s">
        <v>293</v>
      </c>
      <c r="J1604" s="32">
        <v>2</v>
      </c>
      <c r="P1604" s="32">
        <v>1400</v>
      </c>
      <c r="R1604" s="32">
        <v>360</v>
      </c>
      <c r="T1604" s="32">
        <v>1040</v>
      </c>
    </row>
    <row r="1605" spans="2:20" ht="12.75" hidden="1" x14ac:dyDescent="0.25">
      <c r="B1605" s="32">
        <v>8</v>
      </c>
      <c r="F1605" s="32" t="s">
        <v>196</v>
      </c>
      <c r="J1605" s="32">
        <v>1</v>
      </c>
      <c r="P1605" s="32">
        <v>700</v>
      </c>
      <c r="R1605" s="32">
        <v>350</v>
      </c>
      <c r="T1605" s="32">
        <v>350</v>
      </c>
    </row>
    <row r="1606" spans="2:20" ht="12.75" hidden="1" x14ac:dyDescent="0.25">
      <c r="B1606" s="32">
        <v>9</v>
      </c>
      <c r="F1606" s="32" t="s">
        <v>292</v>
      </c>
      <c r="J1606" s="32">
        <v>1</v>
      </c>
      <c r="P1606" s="32">
        <v>700</v>
      </c>
      <c r="R1606" s="32">
        <v>700</v>
      </c>
      <c r="T1606" s="32">
        <v>0</v>
      </c>
    </row>
    <row r="1607" spans="2:20" ht="12.75" hidden="1" x14ac:dyDescent="0.25">
      <c r="B1607" s="32">
        <v>10</v>
      </c>
      <c r="F1607" s="32" t="s">
        <v>77</v>
      </c>
      <c r="J1607" s="32">
        <v>1076</v>
      </c>
      <c r="P1607" s="32">
        <v>439600</v>
      </c>
      <c r="R1607" s="32">
        <v>439600</v>
      </c>
      <c r="T1607" s="32">
        <v>0</v>
      </c>
    </row>
    <row r="1608" spans="2:20" ht="12.75" hidden="1" x14ac:dyDescent="0.25">
      <c r="B1608" s="32">
        <v>11</v>
      </c>
      <c r="F1608" s="32" t="s">
        <v>76</v>
      </c>
      <c r="J1608" s="32">
        <v>1</v>
      </c>
      <c r="P1608" s="32">
        <v>600</v>
      </c>
      <c r="R1608" s="32">
        <v>600</v>
      </c>
      <c r="T1608" s="32">
        <v>0</v>
      </c>
    </row>
    <row r="1609" spans="2:20" ht="12.75" hidden="1" x14ac:dyDescent="0.25">
      <c r="B1609" s="32">
        <v>12</v>
      </c>
      <c r="F1609" s="32" t="s">
        <v>156</v>
      </c>
      <c r="J1609" s="32">
        <v>1</v>
      </c>
      <c r="P1609" s="32">
        <v>190</v>
      </c>
      <c r="R1609" s="32">
        <v>70</v>
      </c>
      <c r="T1609" s="32">
        <v>120</v>
      </c>
    </row>
    <row r="1610" spans="2:20" ht="12.75" hidden="1" x14ac:dyDescent="0.25">
      <c r="B1610" s="32">
        <v>13</v>
      </c>
      <c r="F1610" s="32" t="s">
        <v>155</v>
      </c>
      <c r="J1610" s="32">
        <v>16</v>
      </c>
      <c r="P1610" s="32">
        <v>4000</v>
      </c>
      <c r="R1610" s="32">
        <v>1525</v>
      </c>
      <c r="T1610" s="32">
        <v>2475</v>
      </c>
    </row>
    <row r="1611" spans="2:20" ht="12.75" hidden="1" x14ac:dyDescent="0.25">
      <c r="B1611" s="32">
        <v>14</v>
      </c>
      <c r="F1611" s="32" t="s">
        <v>289</v>
      </c>
      <c r="J1611" s="32">
        <v>2</v>
      </c>
      <c r="P1611" s="32">
        <v>1000</v>
      </c>
      <c r="R1611" s="32">
        <v>300</v>
      </c>
      <c r="T1611" s="32">
        <v>700</v>
      </c>
    </row>
    <row r="1612" spans="2:20" ht="12.75" hidden="1" x14ac:dyDescent="0.25">
      <c r="B1612" s="32">
        <v>15</v>
      </c>
      <c r="F1612" s="32" t="s">
        <v>320</v>
      </c>
      <c r="J1612" s="32">
        <v>1</v>
      </c>
      <c r="P1612" s="32">
        <v>500</v>
      </c>
      <c r="R1612" s="32">
        <v>150</v>
      </c>
      <c r="T1612" s="32">
        <v>350</v>
      </c>
    </row>
    <row r="1613" spans="2:20" ht="12.75" hidden="1" x14ac:dyDescent="0.25">
      <c r="B1613" s="32">
        <v>16</v>
      </c>
      <c r="F1613" s="32" t="s">
        <v>151</v>
      </c>
      <c r="J1613" s="32">
        <v>3</v>
      </c>
      <c r="P1613" s="32">
        <v>690</v>
      </c>
      <c r="R1613" s="32">
        <v>220</v>
      </c>
      <c r="T1613" s="32">
        <v>470</v>
      </c>
    </row>
    <row r="1614" spans="2:20" ht="12.75" hidden="1" x14ac:dyDescent="0.25">
      <c r="B1614" s="32">
        <v>17</v>
      </c>
      <c r="F1614" s="32" t="s">
        <v>150</v>
      </c>
      <c r="J1614" s="32">
        <v>1</v>
      </c>
      <c r="P1614" s="32">
        <v>170</v>
      </c>
      <c r="R1614" s="32">
        <v>50</v>
      </c>
      <c r="T1614" s="32">
        <v>120</v>
      </c>
    </row>
    <row r="1615" spans="2:20" ht="12.75" hidden="1" x14ac:dyDescent="0.25">
      <c r="B1615" s="32">
        <v>18</v>
      </c>
      <c r="F1615" s="32" t="s">
        <v>237</v>
      </c>
      <c r="J1615" s="32">
        <v>1</v>
      </c>
      <c r="P1615" s="32">
        <v>900</v>
      </c>
      <c r="R1615" s="32">
        <v>270</v>
      </c>
      <c r="T1615" s="32">
        <v>630</v>
      </c>
    </row>
    <row r="1616" spans="2:20" ht="12.75" hidden="1" x14ac:dyDescent="0.25">
      <c r="B1616" s="32">
        <v>19</v>
      </c>
      <c r="F1616" s="32" t="s">
        <v>288</v>
      </c>
      <c r="J1616" s="32">
        <v>3</v>
      </c>
      <c r="P1616" s="32">
        <v>2400</v>
      </c>
      <c r="R1616" s="32">
        <v>1350</v>
      </c>
      <c r="T1616" s="32">
        <v>1050</v>
      </c>
    </row>
    <row r="1617" spans="2:20" ht="12.75" hidden="1" x14ac:dyDescent="0.25">
      <c r="B1617" s="32">
        <v>20</v>
      </c>
      <c r="F1617" s="32" t="s">
        <v>234</v>
      </c>
      <c r="J1617" s="32">
        <v>7</v>
      </c>
      <c r="P1617" s="32">
        <v>5600</v>
      </c>
      <c r="R1617" s="32">
        <v>3150</v>
      </c>
      <c r="T1617" s="32">
        <v>2450</v>
      </c>
    </row>
    <row r="1618" spans="2:20" ht="12.75" hidden="1" x14ac:dyDescent="0.25">
      <c r="B1618" s="32">
        <v>21</v>
      </c>
      <c r="F1618" s="32" t="s">
        <v>287</v>
      </c>
      <c r="J1618" s="32">
        <v>2</v>
      </c>
      <c r="P1618" s="32">
        <v>1600</v>
      </c>
      <c r="R1618" s="32">
        <v>900</v>
      </c>
      <c r="T1618" s="32">
        <v>700</v>
      </c>
    </row>
    <row r="1619" spans="2:20" ht="12.75" hidden="1" x14ac:dyDescent="0.25">
      <c r="B1619" s="32">
        <v>22</v>
      </c>
      <c r="F1619" s="32" t="s">
        <v>286</v>
      </c>
      <c r="J1619" s="32">
        <v>2</v>
      </c>
      <c r="P1619" s="32">
        <v>1600</v>
      </c>
      <c r="R1619" s="32">
        <v>900</v>
      </c>
      <c r="T1619" s="32">
        <v>700</v>
      </c>
    </row>
    <row r="1620" spans="2:20" ht="12.75" hidden="1" x14ac:dyDescent="0.25">
      <c r="B1620" s="32">
        <v>23</v>
      </c>
      <c r="F1620" s="32" t="s">
        <v>75</v>
      </c>
      <c r="J1620" s="32">
        <v>742</v>
      </c>
      <c r="P1620" s="32">
        <v>1855000</v>
      </c>
      <c r="R1620" s="32">
        <v>1855000</v>
      </c>
      <c r="T1620" s="32">
        <v>0</v>
      </c>
    </row>
    <row r="1621" spans="2:20" ht="12.75" hidden="1" x14ac:dyDescent="0.25">
      <c r="B1621" s="32">
        <v>24</v>
      </c>
      <c r="F1621" s="32" t="s">
        <v>302</v>
      </c>
      <c r="J1621" s="32">
        <v>2</v>
      </c>
      <c r="P1621" s="32">
        <v>1600</v>
      </c>
      <c r="R1621" s="32">
        <v>900</v>
      </c>
      <c r="T1621" s="32">
        <v>700</v>
      </c>
    </row>
    <row r="1622" spans="2:20" ht="12.75" hidden="1" x14ac:dyDescent="0.25">
      <c r="B1622" s="32">
        <v>25</v>
      </c>
      <c r="F1622" s="32" t="s">
        <v>137</v>
      </c>
      <c r="J1622" s="32">
        <v>1</v>
      </c>
      <c r="P1622" s="32">
        <v>800</v>
      </c>
      <c r="R1622" s="32">
        <v>450</v>
      </c>
      <c r="T1622" s="32">
        <v>350</v>
      </c>
    </row>
    <row r="1623" spans="2:20" ht="12.75" hidden="1" x14ac:dyDescent="0.25">
      <c r="B1623" s="32">
        <v>26</v>
      </c>
      <c r="F1623" s="32" t="s">
        <v>229</v>
      </c>
      <c r="J1623" s="32">
        <v>2</v>
      </c>
      <c r="P1623" s="32">
        <v>14000</v>
      </c>
      <c r="R1623" s="32">
        <v>6200</v>
      </c>
      <c r="T1623" s="32">
        <v>7800</v>
      </c>
    </row>
    <row r="1624" spans="2:20" ht="12.75" hidden="1" x14ac:dyDescent="0.25">
      <c r="B1624" s="32">
        <v>27</v>
      </c>
      <c r="F1624" s="32" t="s">
        <v>130</v>
      </c>
      <c r="J1624" s="32">
        <v>2</v>
      </c>
      <c r="P1624" s="32">
        <v>16000</v>
      </c>
      <c r="R1624" s="32">
        <v>8200</v>
      </c>
      <c r="T1624" s="32">
        <v>7800</v>
      </c>
    </row>
    <row r="1625" spans="2:20" ht="12.75" hidden="1" x14ac:dyDescent="0.25">
      <c r="B1625" s="32">
        <v>28</v>
      </c>
      <c r="F1625" s="32" t="s">
        <v>185</v>
      </c>
      <c r="J1625" s="32">
        <v>1</v>
      </c>
      <c r="P1625" s="32">
        <v>800</v>
      </c>
      <c r="R1625" s="32">
        <v>450</v>
      </c>
      <c r="T1625" s="32">
        <v>350</v>
      </c>
    </row>
    <row r="1626" spans="2:20" ht="12.75" hidden="1" x14ac:dyDescent="0.25">
      <c r="B1626" s="32">
        <v>29</v>
      </c>
      <c r="F1626" s="32" t="s">
        <v>128</v>
      </c>
      <c r="J1626" s="32">
        <v>1</v>
      </c>
      <c r="P1626" s="32">
        <v>1150</v>
      </c>
      <c r="R1626" s="32">
        <v>170</v>
      </c>
      <c r="T1626" s="32">
        <v>980</v>
      </c>
    </row>
    <row r="1627" spans="2:20" ht="12.75" hidden="1" x14ac:dyDescent="0.25">
      <c r="B1627" s="32">
        <v>30</v>
      </c>
      <c r="F1627" s="32" t="s">
        <v>127</v>
      </c>
      <c r="J1627" s="32">
        <v>24</v>
      </c>
      <c r="P1627" s="32">
        <v>7200</v>
      </c>
      <c r="R1627" s="32">
        <v>2160</v>
      </c>
      <c r="T1627" s="32">
        <v>5040</v>
      </c>
    </row>
    <row r="1628" spans="2:20" ht="12.75" hidden="1" x14ac:dyDescent="0.25">
      <c r="B1628" s="32">
        <v>31</v>
      </c>
      <c r="F1628" s="32" t="s">
        <v>126</v>
      </c>
      <c r="J1628" s="32">
        <v>25</v>
      </c>
      <c r="P1628" s="32">
        <v>5000</v>
      </c>
      <c r="R1628" s="32">
        <v>1500</v>
      </c>
      <c r="T1628" s="32">
        <v>3500</v>
      </c>
    </row>
    <row r="1629" spans="2:20" ht="12.75" hidden="1" x14ac:dyDescent="0.25">
      <c r="B1629" s="32">
        <v>32</v>
      </c>
      <c r="F1629" s="32" t="s">
        <v>227</v>
      </c>
      <c r="J1629" s="32">
        <v>1</v>
      </c>
      <c r="P1629" s="32">
        <v>500</v>
      </c>
      <c r="R1629" s="32">
        <v>150</v>
      </c>
      <c r="T1629" s="32">
        <v>350</v>
      </c>
    </row>
    <row r="1630" spans="2:20" ht="12.75" hidden="1" x14ac:dyDescent="0.25">
      <c r="B1630" s="32">
        <v>33</v>
      </c>
      <c r="F1630" s="32" t="s">
        <v>122</v>
      </c>
      <c r="J1630" s="32">
        <v>7</v>
      </c>
      <c r="P1630" s="32">
        <v>3500</v>
      </c>
      <c r="R1630" s="32">
        <v>1050</v>
      </c>
      <c r="T1630" s="32">
        <v>2450</v>
      </c>
    </row>
    <row r="1631" spans="2:20" ht="12.75" hidden="1" x14ac:dyDescent="0.25">
      <c r="B1631" s="32">
        <v>34</v>
      </c>
      <c r="F1631" s="32" t="s">
        <v>121</v>
      </c>
      <c r="J1631" s="32">
        <v>2</v>
      </c>
      <c r="P1631" s="32">
        <v>1000</v>
      </c>
      <c r="R1631" s="32">
        <v>300</v>
      </c>
      <c r="T1631" s="32">
        <v>700</v>
      </c>
    </row>
    <row r="1632" spans="2:20" ht="12.75" hidden="1" x14ac:dyDescent="0.25">
      <c r="B1632" s="32">
        <v>35</v>
      </c>
      <c r="F1632" s="32" t="s">
        <v>120</v>
      </c>
      <c r="J1632" s="32">
        <v>1</v>
      </c>
      <c r="P1632" s="32">
        <v>350</v>
      </c>
      <c r="R1632" s="32">
        <v>60</v>
      </c>
      <c r="T1632" s="32">
        <v>290</v>
      </c>
    </row>
    <row r="1633" spans="2:20" ht="12.75" hidden="1" x14ac:dyDescent="0.25">
      <c r="B1633" s="32">
        <v>36</v>
      </c>
      <c r="F1633" s="32" t="s">
        <v>282</v>
      </c>
      <c r="J1633" s="32">
        <v>1</v>
      </c>
      <c r="P1633" s="32">
        <v>500</v>
      </c>
      <c r="R1633" s="32">
        <v>150</v>
      </c>
      <c r="T1633" s="32">
        <v>350</v>
      </c>
    </row>
    <row r="1634" spans="2:20" ht="12.75" hidden="1" x14ac:dyDescent="0.25">
      <c r="B1634" s="32">
        <v>37</v>
      </c>
      <c r="F1634" s="32" t="s">
        <v>119</v>
      </c>
      <c r="J1634" s="32">
        <v>5</v>
      </c>
      <c r="P1634" s="32">
        <v>4450</v>
      </c>
      <c r="R1634" s="32">
        <v>1410</v>
      </c>
      <c r="T1634" s="32">
        <v>3040</v>
      </c>
    </row>
    <row r="1635" spans="2:20" ht="12.75" hidden="1" x14ac:dyDescent="0.25">
      <c r="B1635" s="32">
        <v>38</v>
      </c>
      <c r="F1635" s="32" t="s">
        <v>118</v>
      </c>
      <c r="J1635" s="32">
        <v>21</v>
      </c>
      <c r="P1635" s="32">
        <v>20790</v>
      </c>
      <c r="R1635" s="32">
        <v>7885</v>
      </c>
      <c r="T1635" s="32">
        <v>12905</v>
      </c>
    </row>
    <row r="1636" spans="2:20" ht="12.75" hidden="1" x14ac:dyDescent="0.25">
      <c r="B1636" s="32">
        <v>39</v>
      </c>
      <c r="F1636" s="32" t="s">
        <v>117</v>
      </c>
      <c r="J1636" s="32">
        <v>4</v>
      </c>
      <c r="P1636" s="32">
        <v>3200</v>
      </c>
      <c r="R1636" s="32">
        <v>800</v>
      </c>
      <c r="T1636" s="32">
        <v>2400</v>
      </c>
    </row>
    <row r="1637" spans="2:20" ht="12.75" hidden="1" x14ac:dyDescent="0.25">
      <c r="B1637" s="32">
        <v>40</v>
      </c>
      <c r="F1637" s="32" t="s">
        <v>115</v>
      </c>
      <c r="J1637" s="32">
        <v>9</v>
      </c>
      <c r="P1637" s="32">
        <v>2610</v>
      </c>
      <c r="R1637" s="32">
        <v>960</v>
      </c>
      <c r="T1637" s="32">
        <v>1650</v>
      </c>
    </row>
    <row r="1638" spans="2:20" ht="12.75" hidden="1" x14ac:dyDescent="0.25">
      <c r="B1638" s="32">
        <v>41</v>
      </c>
      <c r="F1638" s="32" t="s">
        <v>280</v>
      </c>
      <c r="J1638" s="32">
        <v>2</v>
      </c>
      <c r="P1638" s="32">
        <v>1400</v>
      </c>
      <c r="R1638" s="32">
        <v>700</v>
      </c>
      <c r="T1638" s="32">
        <v>700</v>
      </c>
    </row>
    <row r="1639" spans="2:20" ht="12.75" hidden="1" x14ac:dyDescent="0.25">
      <c r="B1639" s="32">
        <v>42</v>
      </c>
      <c r="F1639" s="32" t="s">
        <v>222</v>
      </c>
      <c r="J1639" s="32">
        <v>2</v>
      </c>
      <c r="P1639" s="32">
        <v>1000</v>
      </c>
      <c r="R1639" s="32">
        <v>300</v>
      </c>
      <c r="T1639" s="32">
        <v>700</v>
      </c>
    </row>
    <row r="1640" spans="2:20" ht="12.75" hidden="1" x14ac:dyDescent="0.25">
      <c r="B1640" s="32">
        <v>43</v>
      </c>
      <c r="F1640" s="32" t="s">
        <v>301</v>
      </c>
      <c r="J1640" s="32">
        <v>1</v>
      </c>
      <c r="P1640" s="32">
        <v>800</v>
      </c>
      <c r="R1640" s="32">
        <v>200</v>
      </c>
      <c r="T1640" s="32">
        <v>600</v>
      </c>
    </row>
    <row r="1641" spans="2:20" ht="12.75" hidden="1" x14ac:dyDescent="0.25">
      <c r="B1641" s="32">
        <v>44</v>
      </c>
      <c r="F1641" s="32" t="s">
        <v>219</v>
      </c>
      <c r="J1641" s="32">
        <v>3</v>
      </c>
      <c r="P1641" s="32">
        <v>1500</v>
      </c>
      <c r="R1641" s="32">
        <v>450</v>
      </c>
      <c r="T1641" s="32">
        <v>1050</v>
      </c>
    </row>
    <row r="1642" spans="2:20" ht="12.75" hidden="1" x14ac:dyDescent="0.25">
      <c r="B1642" s="32">
        <v>45</v>
      </c>
      <c r="F1642" s="32" t="s">
        <v>109</v>
      </c>
      <c r="J1642" s="32">
        <v>4</v>
      </c>
      <c r="P1642" s="32">
        <v>3120</v>
      </c>
      <c r="R1642" s="32">
        <v>920</v>
      </c>
      <c r="T1642" s="32">
        <v>2200</v>
      </c>
    </row>
    <row r="1643" spans="2:20" ht="12.75" hidden="1" x14ac:dyDescent="0.25">
      <c r="B1643" s="32">
        <v>46</v>
      </c>
      <c r="F1643" s="32" t="s">
        <v>108</v>
      </c>
      <c r="J1643" s="32">
        <v>2</v>
      </c>
      <c r="P1643" s="32">
        <v>200</v>
      </c>
      <c r="R1643" s="32">
        <v>60</v>
      </c>
      <c r="T1643" s="32">
        <v>140</v>
      </c>
    </row>
    <row r="1644" spans="2:20" ht="12.75" hidden="1" x14ac:dyDescent="0.25">
      <c r="B1644" s="32">
        <v>47</v>
      </c>
      <c r="F1644" s="32" t="s">
        <v>107</v>
      </c>
      <c r="J1644" s="32">
        <v>3</v>
      </c>
      <c r="P1644" s="32">
        <v>510</v>
      </c>
      <c r="R1644" s="32">
        <v>150</v>
      </c>
      <c r="T1644" s="32">
        <v>360</v>
      </c>
    </row>
    <row r="1645" spans="2:20" ht="12.75" hidden="1" x14ac:dyDescent="0.25">
      <c r="B1645" s="32">
        <v>48</v>
      </c>
      <c r="F1645" s="32" t="s">
        <v>218</v>
      </c>
      <c r="J1645" s="32">
        <v>1</v>
      </c>
      <c r="P1645" s="32">
        <v>290</v>
      </c>
      <c r="R1645" s="32">
        <v>100</v>
      </c>
      <c r="T1645" s="32">
        <v>190</v>
      </c>
    </row>
    <row r="1646" spans="2:20" ht="12.75" hidden="1" x14ac:dyDescent="0.25">
      <c r="B1646" s="32">
        <v>49</v>
      </c>
      <c r="F1646" s="32" t="s">
        <v>364</v>
      </c>
      <c r="J1646" s="32">
        <v>2</v>
      </c>
      <c r="P1646" s="32">
        <v>1000</v>
      </c>
      <c r="R1646" s="32">
        <v>300</v>
      </c>
      <c r="T1646" s="32">
        <v>700</v>
      </c>
    </row>
    <row r="1647" spans="2:20" ht="12.75" hidden="1" x14ac:dyDescent="0.25">
      <c r="B1647" s="32">
        <v>50</v>
      </c>
      <c r="F1647" s="32" t="s">
        <v>377</v>
      </c>
      <c r="J1647" s="32">
        <v>1</v>
      </c>
      <c r="P1647" s="32">
        <v>2020</v>
      </c>
      <c r="R1647" s="32">
        <v>0</v>
      </c>
      <c r="T1647" s="32">
        <v>2020</v>
      </c>
    </row>
    <row r="1648" spans="2:20" ht="12.75" hidden="1" x14ac:dyDescent="0.25">
      <c r="B1648" s="32">
        <v>51</v>
      </c>
      <c r="F1648" s="32" t="s">
        <v>103</v>
      </c>
      <c r="J1648" s="32">
        <v>1</v>
      </c>
      <c r="P1648" s="32">
        <v>330</v>
      </c>
      <c r="R1648" s="32">
        <v>140</v>
      </c>
      <c r="T1648" s="32">
        <v>190</v>
      </c>
    </row>
    <row r="1649" spans="2:20" ht="12.75" hidden="1" x14ac:dyDescent="0.25">
      <c r="B1649" s="32">
        <v>52</v>
      </c>
      <c r="F1649" s="32" t="s">
        <v>213</v>
      </c>
      <c r="J1649" s="32">
        <v>1</v>
      </c>
      <c r="P1649" s="32">
        <v>700</v>
      </c>
      <c r="R1649" s="32">
        <v>350</v>
      </c>
      <c r="T1649" s="32">
        <v>350</v>
      </c>
    </row>
    <row r="1650" spans="2:20" ht="12.75" hidden="1" x14ac:dyDescent="0.25">
      <c r="B1650" s="32">
        <v>53</v>
      </c>
      <c r="F1650" s="32" t="s">
        <v>212</v>
      </c>
      <c r="J1650" s="32">
        <v>1</v>
      </c>
      <c r="P1650" s="32">
        <v>500</v>
      </c>
      <c r="R1650" s="32">
        <v>150</v>
      </c>
      <c r="T1650" s="32">
        <v>350</v>
      </c>
    </row>
    <row r="1651" spans="2:20" ht="12.75" hidden="1" x14ac:dyDescent="0.25">
      <c r="B1651" s="32">
        <v>54</v>
      </c>
      <c r="F1651" s="32" t="s">
        <v>211</v>
      </c>
      <c r="J1651" s="32">
        <v>3</v>
      </c>
      <c r="P1651" s="32">
        <v>1500</v>
      </c>
      <c r="R1651" s="32">
        <v>450</v>
      </c>
      <c r="T1651" s="32">
        <v>1050</v>
      </c>
    </row>
    <row r="1652" spans="2:20" ht="12.75" hidden="1" x14ac:dyDescent="0.25">
      <c r="B1652" s="32">
        <v>55</v>
      </c>
      <c r="F1652" s="32" t="s">
        <v>276</v>
      </c>
      <c r="J1652" s="32">
        <v>1</v>
      </c>
      <c r="P1652" s="32">
        <v>500</v>
      </c>
      <c r="R1652" s="32">
        <v>150</v>
      </c>
      <c r="T1652" s="32">
        <v>350</v>
      </c>
    </row>
    <row r="1653" spans="2:20" ht="12.75" hidden="1" x14ac:dyDescent="0.25">
      <c r="B1653" s="32">
        <v>56</v>
      </c>
      <c r="F1653" s="32" t="s">
        <v>275</v>
      </c>
      <c r="J1653" s="32">
        <v>3</v>
      </c>
      <c r="P1653" s="32">
        <v>2100</v>
      </c>
      <c r="R1653" s="32">
        <v>1050</v>
      </c>
      <c r="T1653" s="32">
        <v>1050</v>
      </c>
    </row>
    <row r="1654" spans="2:20" ht="12.75" hidden="1" x14ac:dyDescent="0.25">
      <c r="B1654" s="32">
        <v>57</v>
      </c>
      <c r="F1654" s="32" t="s">
        <v>99</v>
      </c>
      <c r="J1654" s="32">
        <v>3</v>
      </c>
      <c r="P1654" s="32">
        <v>1770</v>
      </c>
      <c r="R1654" s="32">
        <v>270</v>
      </c>
      <c r="T1654" s="32">
        <v>1500</v>
      </c>
    </row>
    <row r="1655" spans="2:20" ht="12.75" hidden="1" x14ac:dyDescent="0.25">
      <c r="B1655" s="32">
        <v>58</v>
      </c>
      <c r="F1655" s="32" t="s">
        <v>98</v>
      </c>
      <c r="J1655" s="32">
        <v>3</v>
      </c>
      <c r="P1655" s="32">
        <v>1710</v>
      </c>
      <c r="R1655" s="32">
        <v>240</v>
      </c>
      <c r="T1655" s="32">
        <v>1470</v>
      </c>
    </row>
    <row r="1656" spans="2:20" ht="12.75" hidden="1" x14ac:dyDescent="0.25">
      <c r="B1656" s="32">
        <v>59</v>
      </c>
      <c r="F1656" s="32" t="s">
        <v>93</v>
      </c>
      <c r="J1656" s="32">
        <v>3</v>
      </c>
      <c r="P1656" s="32">
        <v>1770</v>
      </c>
      <c r="R1656" s="32">
        <v>270</v>
      </c>
      <c r="T1656" s="32">
        <v>1500</v>
      </c>
    </row>
    <row r="1657" spans="2:20" ht="12.75" hidden="1" x14ac:dyDescent="0.25">
      <c r="B1657" s="32">
        <v>60</v>
      </c>
      <c r="F1657" s="32" t="s">
        <v>92</v>
      </c>
      <c r="J1657" s="32">
        <v>9</v>
      </c>
      <c r="P1657" s="32">
        <v>9040</v>
      </c>
      <c r="R1657" s="32">
        <v>2680</v>
      </c>
      <c r="T1657" s="32">
        <v>6360</v>
      </c>
    </row>
    <row r="1658" spans="2:20" ht="12.75" hidden="1" x14ac:dyDescent="0.25">
      <c r="B1658" s="32">
        <v>61</v>
      </c>
      <c r="F1658" s="32" t="s">
        <v>91</v>
      </c>
      <c r="J1658" s="32">
        <v>12</v>
      </c>
      <c r="P1658" s="32">
        <v>3000</v>
      </c>
      <c r="R1658" s="32">
        <v>1125</v>
      </c>
      <c r="T1658" s="32">
        <v>1875</v>
      </c>
    </row>
    <row r="1659" spans="2:20" ht="12.75" hidden="1" x14ac:dyDescent="0.25">
      <c r="B1659" s="32">
        <v>62</v>
      </c>
      <c r="F1659" s="32" t="s">
        <v>90</v>
      </c>
      <c r="J1659" s="32">
        <v>61</v>
      </c>
      <c r="P1659" s="32">
        <v>17690</v>
      </c>
      <c r="R1659" s="32">
        <v>4880</v>
      </c>
      <c r="T1659" s="32">
        <v>12810</v>
      </c>
    </row>
    <row r="1660" spans="2:20" ht="12.75" hidden="1" x14ac:dyDescent="0.25">
      <c r="B1660" s="32">
        <v>63</v>
      </c>
      <c r="F1660" s="32" t="s">
        <v>88</v>
      </c>
      <c r="J1660" s="32">
        <v>11</v>
      </c>
      <c r="P1660" s="32">
        <v>1980</v>
      </c>
      <c r="R1660" s="32">
        <v>640</v>
      </c>
      <c r="T1660" s="32">
        <v>1340</v>
      </c>
    </row>
    <row r="1661" spans="2:20" ht="12.75" hidden="1" x14ac:dyDescent="0.25">
      <c r="B1661" s="32">
        <v>64</v>
      </c>
      <c r="F1661" s="32" t="s">
        <v>84</v>
      </c>
      <c r="J1661" s="32">
        <v>6</v>
      </c>
      <c r="P1661" s="32">
        <v>3540</v>
      </c>
      <c r="R1661" s="32">
        <v>1080</v>
      </c>
      <c r="T1661" s="32">
        <v>2460</v>
      </c>
    </row>
    <row r="1662" spans="2:20" ht="12.75" hidden="1" x14ac:dyDescent="0.25">
      <c r="B1662" s="32">
        <v>65</v>
      </c>
      <c r="F1662" s="32" t="s">
        <v>331</v>
      </c>
      <c r="J1662" s="32">
        <v>3</v>
      </c>
      <c r="P1662" s="32">
        <v>1500</v>
      </c>
      <c r="R1662" s="32">
        <v>450</v>
      </c>
      <c r="T1662" s="32">
        <v>1050</v>
      </c>
    </row>
    <row r="1663" spans="2:20" ht="12.75" hidden="1" x14ac:dyDescent="0.25">
      <c r="B1663" s="32">
        <v>66</v>
      </c>
      <c r="F1663" s="32" t="s">
        <v>208</v>
      </c>
      <c r="J1663" s="32">
        <v>3</v>
      </c>
      <c r="P1663" s="32">
        <v>1500</v>
      </c>
      <c r="R1663" s="32">
        <v>450</v>
      </c>
      <c r="T1663" s="32">
        <v>1050</v>
      </c>
    </row>
    <row r="1664" spans="2:20" ht="12.75" hidden="1" x14ac:dyDescent="0.25">
      <c r="B1664" s="32">
        <v>67</v>
      </c>
      <c r="F1664" s="32" t="s">
        <v>273</v>
      </c>
      <c r="J1664" s="32">
        <v>1</v>
      </c>
      <c r="P1664" s="32">
        <v>500</v>
      </c>
      <c r="R1664" s="32">
        <v>150</v>
      </c>
      <c r="T1664" s="32">
        <v>350</v>
      </c>
    </row>
    <row r="1665" spans="1:20" ht="12.75" hidden="1" x14ac:dyDescent="0.25">
      <c r="B1665" s="32">
        <v>68</v>
      </c>
      <c r="F1665" s="32" t="s">
        <v>207</v>
      </c>
      <c r="J1665" s="32">
        <v>3</v>
      </c>
      <c r="P1665" s="32">
        <v>1500</v>
      </c>
      <c r="R1665" s="32">
        <v>450</v>
      </c>
      <c r="T1665" s="32">
        <v>1050</v>
      </c>
    </row>
    <row r="1666" spans="1:20" ht="12.75" hidden="1" x14ac:dyDescent="0.25">
      <c r="B1666" s="32">
        <v>69</v>
      </c>
      <c r="F1666" s="32" t="s">
        <v>272</v>
      </c>
      <c r="J1666" s="32">
        <v>1</v>
      </c>
      <c r="P1666" s="32">
        <v>500</v>
      </c>
      <c r="R1666" s="32">
        <v>150</v>
      </c>
      <c r="T1666" s="32">
        <v>350</v>
      </c>
    </row>
    <row r="1667" spans="1:20" ht="12.75" hidden="1" x14ac:dyDescent="0.25">
      <c r="B1667" s="32">
        <v>70</v>
      </c>
      <c r="F1667" s="32" t="s">
        <v>83</v>
      </c>
      <c r="J1667" s="32">
        <v>8</v>
      </c>
      <c r="P1667" s="32">
        <v>4000</v>
      </c>
      <c r="R1667" s="32">
        <v>1200</v>
      </c>
      <c r="T1667" s="32">
        <v>2800</v>
      </c>
    </row>
    <row r="1668" spans="1:20" ht="12.75" hidden="1" x14ac:dyDescent="0.25">
      <c r="B1668" s="32">
        <v>71</v>
      </c>
      <c r="F1668" s="32" t="s">
        <v>271</v>
      </c>
      <c r="J1668" s="32">
        <v>1</v>
      </c>
      <c r="P1668" s="32">
        <v>500</v>
      </c>
      <c r="R1668" s="32">
        <v>150</v>
      </c>
      <c r="T1668" s="32">
        <v>350</v>
      </c>
    </row>
    <row r="1669" spans="1:20" ht="12.75" hidden="1" x14ac:dyDescent="0.25">
      <c r="B1669" s="32">
        <v>72</v>
      </c>
      <c r="F1669" s="32" t="s">
        <v>203</v>
      </c>
      <c r="J1669" s="32">
        <v>1</v>
      </c>
      <c r="P1669" s="32">
        <v>500</v>
      </c>
      <c r="R1669" s="32">
        <v>150</v>
      </c>
      <c r="T1669" s="32">
        <v>350</v>
      </c>
    </row>
    <row r="1670" spans="1:20" ht="12.75" hidden="1" x14ac:dyDescent="0.25">
      <c r="B1670" s="32">
        <v>73</v>
      </c>
      <c r="F1670" s="32" t="s">
        <v>202</v>
      </c>
      <c r="J1670" s="32">
        <v>1</v>
      </c>
      <c r="P1670" s="32">
        <v>500</v>
      </c>
      <c r="R1670" s="32">
        <v>130</v>
      </c>
      <c r="T1670" s="32">
        <v>370</v>
      </c>
    </row>
    <row r="1671" spans="1:20" ht="12.75" hidden="1" x14ac:dyDescent="0.25">
      <c r="A1671" s="32" t="s">
        <v>413</v>
      </c>
      <c r="K1671" s="32">
        <v>24</v>
      </c>
      <c r="P1671" s="32">
        <v>48900</v>
      </c>
      <c r="R1671" s="32">
        <v>46380</v>
      </c>
      <c r="T1671" s="32">
        <v>2520</v>
      </c>
    </row>
    <row r="1672" spans="1:20" ht="12.75" hidden="1" x14ac:dyDescent="0.25">
      <c r="B1672" s="32">
        <v>1</v>
      </c>
      <c r="F1672" s="32" t="s">
        <v>248</v>
      </c>
      <c r="J1672" s="32">
        <v>1</v>
      </c>
      <c r="P1672" s="32">
        <v>1200</v>
      </c>
      <c r="R1672" s="32">
        <v>180</v>
      </c>
      <c r="T1672" s="32">
        <v>1020</v>
      </c>
    </row>
    <row r="1673" spans="1:20" ht="12.75" hidden="1" x14ac:dyDescent="0.25">
      <c r="B1673" s="32">
        <v>2</v>
      </c>
      <c r="F1673" s="32" t="s">
        <v>158</v>
      </c>
      <c r="J1673" s="32">
        <v>1</v>
      </c>
      <c r="P1673" s="32">
        <v>550</v>
      </c>
      <c r="R1673" s="32">
        <v>0</v>
      </c>
      <c r="T1673" s="32">
        <v>550</v>
      </c>
    </row>
    <row r="1674" spans="1:20" ht="12.75" hidden="1" x14ac:dyDescent="0.25">
      <c r="B1674" s="32">
        <v>3</v>
      </c>
      <c r="F1674" s="32" t="s">
        <v>77</v>
      </c>
      <c r="J1674" s="32">
        <v>3</v>
      </c>
      <c r="P1674" s="32">
        <v>1200</v>
      </c>
      <c r="R1674" s="32">
        <v>1200</v>
      </c>
      <c r="T1674" s="32">
        <v>0</v>
      </c>
    </row>
    <row r="1675" spans="1:20" ht="12.75" hidden="1" x14ac:dyDescent="0.25">
      <c r="B1675" s="32">
        <v>4</v>
      </c>
      <c r="F1675" s="32" t="s">
        <v>75</v>
      </c>
      <c r="J1675" s="32">
        <v>18</v>
      </c>
      <c r="P1675" s="32">
        <v>45000</v>
      </c>
      <c r="R1675" s="32">
        <v>45000</v>
      </c>
      <c r="T1675" s="32">
        <v>0</v>
      </c>
    </row>
    <row r="1676" spans="1:20" ht="12.75" hidden="1" x14ac:dyDescent="0.25">
      <c r="B1676" s="32">
        <v>5</v>
      </c>
      <c r="F1676" s="32" t="s">
        <v>135</v>
      </c>
      <c r="J1676" s="32">
        <v>1</v>
      </c>
      <c r="P1676" s="32">
        <v>950</v>
      </c>
      <c r="R1676" s="32">
        <v>0</v>
      </c>
      <c r="T1676" s="32">
        <v>950</v>
      </c>
    </row>
    <row r="1677" spans="1:20" ht="12.75" hidden="1" x14ac:dyDescent="0.25">
      <c r="A1677" s="32" t="s">
        <v>412</v>
      </c>
      <c r="K1677" s="32">
        <v>3560</v>
      </c>
      <c r="P1677" s="32">
        <v>4117650</v>
      </c>
      <c r="R1677" s="32">
        <v>3675757</v>
      </c>
      <c r="T1677" s="32">
        <v>441893</v>
      </c>
    </row>
    <row r="1678" spans="1:20" ht="12.75" hidden="1" x14ac:dyDescent="0.25">
      <c r="B1678" s="32">
        <v>1</v>
      </c>
      <c r="F1678" s="32" t="s">
        <v>78</v>
      </c>
      <c r="J1678" s="32">
        <v>182</v>
      </c>
      <c r="P1678" s="32">
        <v>52780</v>
      </c>
      <c r="R1678" s="32">
        <v>52780</v>
      </c>
      <c r="T1678" s="32">
        <v>0</v>
      </c>
    </row>
    <row r="1679" spans="1:20" ht="12.75" hidden="1" x14ac:dyDescent="0.25">
      <c r="B1679" s="32">
        <v>2</v>
      </c>
      <c r="F1679" s="32" t="s">
        <v>268</v>
      </c>
      <c r="J1679" s="32">
        <v>1</v>
      </c>
      <c r="P1679" s="32">
        <v>250</v>
      </c>
      <c r="R1679" s="32">
        <v>70</v>
      </c>
      <c r="T1679" s="32">
        <v>180</v>
      </c>
    </row>
    <row r="1680" spans="1:20" ht="12.75" hidden="1" x14ac:dyDescent="0.25">
      <c r="B1680" s="32">
        <v>3</v>
      </c>
      <c r="F1680" s="32" t="s">
        <v>163</v>
      </c>
      <c r="J1680" s="32">
        <v>3</v>
      </c>
      <c r="P1680" s="32">
        <v>3570</v>
      </c>
      <c r="R1680" s="32">
        <v>540</v>
      </c>
      <c r="T1680" s="32">
        <v>3030</v>
      </c>
    </row>
    <row r="1681" spans="2:20" ht="12.75" hidden="1" x14ac:dyDescent="0.25">
      <c r="B1681" s="32">
        <v>4</v>
      </c>
      <c r="F1681" s="32" t="s">
        <v>162</v>
      </c>
      <c r="J1681" s="32">
        <v>19</v>
      </c>
      <c r="P1681" s="32">
        <v>8170</v>
      </c>
      <c r="R1681" s="32">
        <v>2470</v>
      </c>
      <c r="T1681" s="32">
        <v>5700</v>
      </c>
    </row>
    <row r="1682" spans="2:20" ht="12.75" hidden="1" x14ac:dyDescent="0.25">
      <c r="B1682" s="32">
        <v>5</v>
      </c>
      <c r="F1682" s="32" t="s">
        <v>198</v>
      </c>
      <c r="J1682" s="32">
        <v>1</v>
      </c>
      <c r="P1682" s="32">
        <v>290</v>
      </c>
      <c r="R1682" s="32">
        <v>0</v>
      </c>
      <c r="T1682" s="32">
        <v>290</v>
      </c>
    </row>
    <row r="1683" spans="2:20" ht="12.75" hidden="1" x14ac:dyDescent="0.25">
      <c r="B1683" s="32">
        <v>6</v>
      </c>
      <c r="F1683" s="32" t="s">
        <v>160</v>
      </c>
      <c r="J1683" s="32">
        <v>9</v>
      </c>
      <c r="P1683" s="32">
        <v>2610</v>
      </c>
      <c r="R1683" s="32">
        <v>720</v>
      </c>
      <c r="T1683" s="32">
        <v>1890</v>
      </c>
    </row>
    <row r="1684" spans="2:20" ht="12.75" hidden="1" x14ac:dyDescent="0.25">
      <c r="B1684" s="32">
        <v>7</v>
      </c>
      <c r="F1684" s="32" t="s">
        <v>159</v>
      </c>
      <c r="J1684" s="32">
        <v>321</v>
      </c>
      <c r="P1684" s="32">
        <v>0</v>
      </c>
      <c r="R1684" s="32">
        <v>0</v>
      </c>
      <c r="T1684" s="32">
        <v>0</v>
      </c>
    </row>
    <row r="1685" spans="2:20" ht="12.75" hidden="1" x14ac:dyDescent="0.25">
      <c r="B1685" s="32">
        <v>8</v>
      </c>
      <c r="F1685" s="32" t="s">
        <v>158</v>
      </c>
      <c r="J1685" s="32">
        <v>427</v>
      </c>
      <c r="P1685" s="32">
        <v>234850</v>
      </c>
      <c r="R1685" s="32">
        <v>71590</v>
      </c>
      <c r="T1685" s="32">
        <v>163260</v>
      </c>
    </row>
    <row r="1686" spans="2:20" ht="12.75" hidden="1" x14ac:dyDescent="0.25">
      <c r="B1686" s="32">
        <v>9</v>
      </c>
      <c r="F1686" s="32" t="s">
        <v>157</v>
      </c>
      <c r="J1686" s="32">
        <v>86</v>
      </c>
      <c r="P1686" s="32">
        <v>42140</v>
      </c>
      <c r="R1686" s="32">
        <v>18360</v>
      </c>
      <c r="T1686" s="32">
        <v>23780</v>
      </c>
    </row>
    <row r="1687" spans="2:20" ht="12.75" hidden="1" x14ac:dyDescent="0.25">
      <c r="B1687" s="32">
        <v>10</v>
      </c>
      <c r="F1687" s="32" t="s">
        <v>77</v>
      </c>
      <c r="J1687" s="32">
        <v>232</v>
      </c>
      <c r="P1687" s="32">
        <v>92800</v>
      </c>
      <c r="R1687" s="32">
        <v>92800</v>
      </c>
      <c r="T1687" s="32">
        <v>0</v>
      </c>
    </row>
    <row r="1688" spans="2:20" ht="12.75" hidden="1" x14ac:dyDescent="0.25">
      <c r="B1688" s="32">
        <v>11</v>
      </c>
      <c r="F1688" s="32" t="s">
        <v>76</v>
      </c>
      <c r="J1688" s="32">
        <v>4</v>
      </c>
      <c r="P1688" s="32">
        <v>2400</v>
      </c>
      <c r="R1688" s="32">
        <v>2400</v>
      </c>
      <c r="T1688" s="32">
        <v>0</v>
      </c>
    </row>
    <row r="1689" spans="2:20" ht="12.75" hidden="1" x14ac:dyDescent="0.25">
      <c r="B1689" s="32">
        <v>12</v>
      </c>
      <c r="F1689" s="32" t="s">
        <v>156</v>
      </c>
      <c r="J1689" s="32">
        <v>2</v>
      </c>
      <c r="P1689" s="32">
        <v>380</v>
      </c>
      <c r="R1689" s="32">
        <v>120</v>
      </c>
      <c r="T1689" s="32">
        <v>260</v>
      </c>
    </row>
    <row r="1690" spans="2:20" ht="12.75" hidden="1" x14ac:dyDescent="0.25">
      <c r="B1690" s="32">
        <v>13</v>
      </c>
      <c r="F1690" s="32" t="s">
        <v>155</v>
      </c>
      <c r="J1690" s="32">
        <v>50</v>
      </c>
      <c r="P1690" s="32">
        <v>12500</v>
      </c>
      <c r="R1690" s="32">
        <v>3890</v>
      </c>
      <c r="T1690" s="32">
        <v>8610</v>
      </c>
    </row>
    <row r="1691" spans="2:20" ht="12.75" hidden="1" x14ac:dyDescent="0.25">
      <c r="B1691" s="32">
        <v>14</v>
      </c>
      <c r="F1691" s="32" t="s">
        <v>154</v>
      </c>
      <c r="J1691" s="32">
        <v>8</v>
      </c>
      <c r="P1691" s="32">
        <v>7120</v>
      </c>
      <c r="R1691" s="32">
        <v>1040</v>
      </c>
      <c r="T1691" s="32">
        <v>6080</v>
      </c>
    </row>
    <row r="1692" spans="2:20" ht="12.75" hidden="1" x14ac:dyDescent="0.25">
      <c r="B1692" s="32">
        <v>15</v>
      </c>
      <c r="F1692" s="32" t="s">
        <v>152</v>
      </c>
      <c r="J1692" s="32">
        <v>3</v>
      </c>
      <c r="P1692" s="32">
        <v>1770</v>
      </c>
      <c r="R1692" s="32">
        <v>540</v>
      </c>
      <c r="T1692" s="32">
        <v>1230</v>
      </c>
    </row>
    <row r="1693" spans="2:20" ht="12.75" hidden="1" x14ac:dyDescent="0.25">
      <c r="B1693" s="32">
        <v>16</v>
      </c>
      <c r="F1693" s="32" t="s">
        <v>151</v>
      </c>
      <c r="J1693" s="32">
        <v>20</v>
      </c>
      <c r="P1693" s="32">
        <v>4600</v>
      </c>
      <c r="R1693" s="32">
        <v>1510</v>
      </c>
      <c r="T1693" s="32">
        <v>3090</v>
      </c>
    </row>
    <row r="1694" spans="2:20" ht="12.75" hidden="1" x14ac:dyDescent="0.25">
      <c r="B1694" s="32">
        <v>17</v>
      </c>
      <c r="F1694" s="32" t="s">
        <v>150</v>
      </c>
      <c r="J1694" s="32">
        <v>5</v>
      </c>
      <c r="P1694" s="32">
        <v>850</v>
      </c>
      <c r="R1694" s="32">
        <v>200</v>
      </c>
      <c r="T1694" s="32">
        <v>650</v>
      </c>
    </row>
    <row r="1695" spans="2:20" ht="12.75" hidden="1" x14ac:dyDescent="0.25">
      <c r="B1695" s="32">
        <v>18</v>
      </c>
      <c r="F1695" s="32" t="s">
        <v>149</v>
      </c>
      <c r="J1695" s="32">
        <v>1</v>
      </c>
      <c r="P1695" s="32">
        <v>50</v>
      </c>
      <c r="R1695" s="32">
        <v>10</v>
      </c>
      <c r="T1695" s="32">
        <v>40</v>
      </c>
    </row>
    <row r="1696" spans="2:20" ht="12.75" hidden="1" x14ac:dyDescent="0.25">
      <c r="B1696" s="32">
        <v>19</v>
      </c>
      <c r="F1696" s="32" t="s">
        <v>147</v>
      </c>
      <c r="J1696" s="32">
        <v>1</v>
      </c>
      <c r="P1696" s="32">
        <v>30</v>
      </c>
      <c r="R1696" s="32">
        <v>0</v>
      </c>
      <c r="T1696" s="32">
        <v>30</v>
      </c>
    </row>
    <row r="1697" spans="2:20" ht="12.75" hidden="1" x14ac:dyDescent="0.25">
      <c r="B1697" s="32">
        <v>20</v>
      </c>
      <c r="F1697" s="32" t="s">
        <v>145</v>
      </c>
      <c r="J1697" s="32">
        <v>2</v>
      </c>
      <c r="P1697" s="32">
        <v>300</v>
      </c>
      <c r="R1697" s="32">
        <v>0</v>
      </c>
      <c r="T1697" s="32">
        <v>300</v>
      </c>
    </row>
    <row r="1698" spans="2:20" ht="12.75" hidden="1" x14ac:dyDescent="0.25">
      <c r="B1698" s="32">
        <v>21</v>
      </c>
      <c r="F1698" s="32" t="s">
        <v>232</v>
      </c>
      <c r="J1698" s="32">
        <v>1</v>
      </c>
      <c r="P1698" s="32">
        <v>980</v>
      </c>
      <c r="R1698" s="32">
        <v>150</v>
      </c>
      <c r="T1698" s="32">
        <v>830</v>
      </c>
    </row>
    <row r="1699" spans="2:20" ht="12.75" hidden="1" x14ac:dyDescent="0.25">
      <c r="B1699" s="32">
        <v>22</v>
      </c>
      <c r="F1699" s="32" t="s">
        <v>75</v>
      </c>
      <c r="J1699" s="32">
        <v>1317</v>
      </c>
      <c r="P1699" s="32">
        <v>3292500</v>
      </c>
      <c r="R1699" s="32">
        <v>3292500</v>
      </c>
      <c r="T1699" s="32">
        <v>0</v>
      </c>
    </row>
    <row r="1700" spans="2:20" ht="12.75" hidden="1" x14ac:dyDescent="0.25">
      <c r="B1700" s="32">
        <v>23</v>
      </c>
      <c r="F1700" s="32" t="s">
        <v>141</v>
      </c>
      <c r="J1700" s="32">
        <v>2</v>
      </c>
      <c r="P1700" s="32">
        <v>150</v>
      </c>
      <c r="R1700" s="32">
        <v>44</v>
      </c>
      <c r="T1700" s="32">
        <v>106</v>
      </c>
    </row>
    <row r="1701" spans="2:20" ht="12.75" hidden="1" x14ac:dyDescent="0.25">
      <c r="B1701" s="32">
        <v>24</v>
      </c>
      <c r="F1701" s="32" t="s">
        <v>139</v>
      </c>
      <c r="J1701" s="32">
        <v>21</v>
      </c>
      <c r="P1701" s="32">
        <v>5670</v>
      </c>
      <c r="R1701" s="32">
        <v>1680</v>
      </c>
      <c r="T1701" s="32">
        <v>3990</v>
      </c>
    </row>
    <row r="1702" spans="2:20" ht="12.75" hidden="1" x14ac:dyDescent="0.25">
      <c r="B1702" s="32">
        <v>25</v>
      </c>
      <c r="F1702" s="32" t="s">
        <v>136</v>
      </c>
      <c r="J1702" s="32">
        <v>8</v>
      </c>
      <c r="P1702" s="32">
        <v>6800</v>
      </c>
      <c r="R1702" s="32">
        <v>1690</v>
      </c>
      <c r="T1702" s="32">
        <v>5110</v>
      </c>
    </row>
    <row r="1703" spans="2:20" ht="12.75" hidden="1" x14ac:dyDescent="0.25">
      <c r="B1703" s="32">
        <v>26</v>
      </c>
      <c r="F1703" s="32" t="s">
        <v>74</v>
      </c>
      <c r="J1703" s="32">
        <v>42</v>
      </c>
      <c r="P1703" s="32">
        <v>35700</v>
      </c>
      <c r="R1703" s="32">
        <v>35700</v>
      </c>
      <c r="T1703" s="32">
        <v>0</v>
      </c>
    </row>
    <row r="1704" spans="2:20" ht="12.75" hidden="1" x14ac:dyDescent="0.25">
      <c r="B1704" s="32">
        <v>27</v>
      </c>
      <c r="F1704" s="32" t="s">
        <v>230</v>
      </c>
      <c r="J1704" s="32">
        <v>1</v>
      </c>
      <c r="P1704" s="32">
        <v>950</v>
      </c>
      <c r="R1704" s="32">
        <v>140</v>
      </c>
      <c r="T1704" s="32">
        <v>810</v>
      </c>
    </row>
    <row r="1705" spans="2:20" ht="12.75" hidden="1" x14ac:dyDescent="0.25">
      <c r="B1705" s="32">
        <v>28</v>
      </c>
      <c r="F1705" s="32" t="s">
        <v>135</v>
      </c>
      <c r="J1705" s="32">
        <v>2</v>
      </c>
      <c r="P1705" s="32">
        <v>1900</v>
      </c>
      <c r="R1705" s="32">
        <v>560</v>
      </c>
      <c r="T1705" s="32">
        <v>1340</v>
      </c>
    </row>
    <row r="1706" spans="2:20" ht="12.75" hidden="1" x14ac:dyDescent="0.25">
      <c r="B1706" s="32">
        <v>29</v>
      </c>
      <c r="F1706" s="32" t="s">
        <v>132</v>
      </c>
      <c r="J1706" s="32">
        <v>4</v>
      </c>
      <c r="P1706" s="32">
        <v>4960</v>
      </c>
      <c r="R1706" s="32">
        <v>1480</v>
      </c>
      <c r="T1706" s="32">
        <v>3480</v>
      </c>
    </row>
    <row r="1707" spans="2:20" ht="12.75" hidden="1" x14ac:dyDescent="0.25">
      <c r="B1707" s="32">
        <v>30</v>
      </c>
      <c r="F1707" s="32" t="s">
        <v>127</v>
      </c>
      <c r="J1707" s="32">
        <v>42</v>
      </c>
      <c r="P1707" s="32">
        <v>12600</v>
      </c>
      <c r="R1707" s="32">
        <v>3240</v>
      </c>
      <c r="T1707" s="32">
        <v>9360</v>
      </c>
    </row>
    <row r="1708" spans="2:20" ht="12.75" hidden="1" x14ac:dyDescent="0.25">
      <c r="B1708" s="32">
        <v>31</v>
      </c>
      <c r="F1708" s="32" t="s">
        <v>126</v>
      </c>
      <c r="J1708" s="32">
        <v>40</v>
      </c>
      <c r="P1708" s="32">
        <v>8000</v>
      </c>
      <c r="R1708" s="32">
        <v>2100</v>
      </c>
      <c r="T1708" s="32">
        <v>5900</v>
      </c>
    </row>
    <row r="1709" spans="2:20" ht="12.75" hidden="1" x14ac:dyDescent="0.25">
      <c r="B1709" s="32">
        <v>32</v>
      </c>
      <c r="F1709" s="32" t="s">
        <v>125</v>
      </c>
      <c r="J1709" s="32">
        <v>6</v>
      </c>
      <c r="P1709" s="32">
        <v>2400</v>
      </c>
      <c r="R1709" s="32">
        <v>720</v>
      </c>
      <c r="T1709" s="32">
        <v>1680</v>
      </c>
    </row>
    <row r="1710" spans="2:20" ht="12.75" hidden="1" x14ac:dyDescent="0.25">
      <c r="B1710" s="32">
        <v>33</v>
      </c>
      <c r="F1710" s="32" t="s">
        <v>124</v>
      </c>
      <c r="J1710" s="32">
        <v>2</v>
      </c>
      <c r="P1710" s="32">
        <v>1180</v>
      </c>
      <c r="R1710" s="32">
        <v>350</v>
      </c>
      <c r="T1710" s="32">
        <v>830</v>
      </c>
    </row>
    <row r="1711" spans="2:20" ht="12.75" hidden="1" x14ac:dyDescent="0.25">
      <c r="B1711" s="32">
        <v>34</v>
      </c>
      <c r="F1711" s="32" t="s">
        <v>123</v>
      </c>
      <c r="J1711" s="32">
        <v>10</v>
      </c>
      <c r="P1711" s="32">
        <v>7800</v>
      </c>
      <c r="R1711" s="32">
        <v>2300</v>
      </c>
      <c r="T1711" s="32">
        <v>5500</v>
      </c>
    </row>
    <row r="1712" spans="2:20" ht="12.75" hidden="1" x14ac:dyDescent="0.25">
      <c r="B1712" s="32">
        <v>35</v>
      </c>
      <c r="F1712" s="32" t="s">
        <v>183</v>
      </c>
      <c r="J1712" s="32">
        <v>1</v>
      </c>
      <c r="P1712" s="32">
        <v>440</v>
      </c>
      <c r="R1712" s="32">
        <v>130</v>
      </c>
      <c r="T1712" s="32">
        <v>310</v>
      </c>
    </row>
    <row r="1713" spans="2:20" ht="12.75" hidden="1" x14ac:dyDescent="0.25">
      <c r="B1713" s="32">
        <v>36</v>
      </c>
      <c r="F1713" s="32" t="s">
        <v>227</v>
      </c>
      <c r="J1713" s="32">
        <v>2</v>
      </c>
      <c r="P1713" s="32">
        <v>1000</v>
      </c>
      <c r="R1713" s="32">
        <v>300</v>
      </c>
      <c r="T1713" s="32">
        <v>700</v>
      </c>
    </row>
    <row r="1714" spans="2:20" ht="12.75" hidden="1" x14ac:dyDescent="0.25">
      <c r="B1714" s="32">
        <v>37</v>
      </c>
      <c r="F1714" s="32" t="s">
        <v>120</v>
      </c>
      <c r="J1714" s="32">
        <v>1</v>
      </c>
      <c r="P1714" s="32">
        <v>350</v>
      </c>
      <c r="R1714" s="32">
        <v>60</v>
      </c>
      <c r="T1714" s="32">
        <v>290</v>
      </c>
    </row>
    <row r="1715" spans="2:20" ht="12.75" hidden="1" x14ac:dyDescent="0.25">
      <c r="B1715" s="32">
        <v>38</v>
      </c>
      <c r="F1715" s="32" t="s">
        <v>119</v>
      </c>
      <c r="J1715" s="32">
        <v>6</v>
      </c>
      <c r="P1715" s="32">
        <v>5340</v>
      </c>
      <c r="R1715" s="32">
        <v>1710</v>
      </c>
      <c r="T1715" s="32">
        <v>3630</v>
      </c>
    </row>
    <row r="1716" spans="2:20" ht="12.75" hidden="1" x14ac:dyDescent="0.25">
      <c r="B1716" s="32">
        <v>39</v>
      </c>
      <c r="F1716" s="32" t="s">
        <v>118</v>
      </c>
      <c r="J1716" s="32">
        <v>114</v>
      </c>
      <c r="P1716" s="32">
        <v>112860</v>
      </c>
      <c r="R1716" s="32">
        <v>39590</v>
      </c>
      <c r="T1716" s="32">
        <v>73270</v>
      </c>
    </row>
    <row r="1717" spans="2:20" ht="12.75" hidden="1" x14ac:dyDescent="0.25">
      <c r="B1717" s="32">
        <v>40</v>
      </c>
      <c r="F1717" s="32" t="s">
        <v>115</v>
      </c>
      <c r="J1717" s="32">
        <v>11</v>
      </c>
      <c r="P1717" s="32">
        <v>3190</v>
      </c>
      <c r="R1717" s="32">
        <v>880</v>
      </c>
      <c r="T1717" s="32">
        <v>2310</v>
      </c>
    </row>
    <row r="1718" spans="2:20" ht="12.75" hidden="1" x14ac:dyDescent="0.25">
      <c r="B1718" s="32">
        <v>41</v>
      </c>
      <c r="F1718" s="32" t="s">
        <v>109</v>
      </c>
      <c r="J1718" s="32">
        <v>4</v>
      </c>
      <c r="P1718" s="32">
        <v>3120</v>
      </c>
      <c r="R1718" s="32">
        <v>920</v>
      </c>
      <c r="T1718" s="32">
        <v>2200</v>
      </c>
    </row>
    <row r="1719" spans="2:20" ht="12.75" hidden="1" x14ac:dyDescent="0.25">
      <c r="B1719" s="32">
        <v>42</v>
      </c>
      <c r="F1719" s="32" t="s">
        <v>108</v>
      </c>
      <c r="J1719" s="32">
        <v>147</v>
      </c>
      <c r="P1719" s="32">
        <v>14700</v>
      </c>
      <c r="R1719" s="32">
        <v>4380</v>
      </c>
      <c r="T1719" s="32">
        <v>10320</v>
      </c>
    </row>
    <row r="1720" spans="2:20" ht="12.75" hidden="1" x14ac:dyDescent="0.25">
      <c r="B1720" s="32">
        <v>43</v>
      </c>
      <c r="F1720" s="32" t="s">
        <v>107</v>
      </c>
      <c r="J1720" s="32">
        <v>39</v>
      </c>
      <c r="P1720" s="32">
        <v>6630</v>
      </c>
      <c r="R1720" s="32">
        <v>1950</v>
      </c>
      <c r="T1720" s="32">
        <v>4680</v>
      </c>
    </row>
    <row r="1721" spans="2:20" ht="12.75" hidden="1" x14ac:dyDescent="0.25">
      <c r="B1721" s="32">
        <v>44</v>
      </c>
      <c r="F1721" s="32" t="s">
        <v>216</v>
      </c>
      <c r="J1721" s="32">
        <v>1</v>
      </c>
      <c r="P1721" s="32">
        <v>1080</v>
      </c>
      <c r="R1721" s="32">
        <v>165</v>
      </c>
      <c r="T1721" s="32">
        <v>915</v>
      </c>
    </row>
    <row r="1722" spans="2:20" ht="12.75" hidden="1" x14ac:dyDescent="0.25">
      <c r="B1722" s="32">
        <v>45</v>
      </c>
      <c r="F1722" s="32" t="s">
        <v>105</v>
      </c>
      <c r="J1722" s="32">
        <v>4</v>
      </c>
      <c r="P1722" s="32">
        <v>4600</v>
      </c>
      <c r="R1722" s="32">
        <v>0</v>
      </c>
      <c r="T1722" s="32">
        <v>4600</v>
      </c>
    </row>
    <row r="1723" spans="2:20" ht="12.75" hidden="1" x14ac:dyDescent="0.25">
      <c r="B1723" s="32">
        <v>46</v>
      </c>
      <c r="F1723" s="32" t="s">
        <v>103</v>
      </c>
      <c r="J1723" s="32">
        <v>8</v>
      </c>
      <c r="P1723" s="32">
        <v>2640</v>
      </c>
      <c r="R1723" s="32">
        <v>920</v>
      </c>
      <c r="T1723" s="32">
        <v>1720</v>
      </c>
    </row>
    <row r="1724" spans="2:20" ht="12.75" hidden="1" x14ac:dyDescent="0.25">
      <c r="B1724" s="32">
        <v>47</v>
      </c>
      <c r="F1724" s="32" t="s">
        <v>102</v>
      </c>
      <c r="J1724" s="32">
        <v>2</v>
      </c>
      <c r="P1724" s="32">
        <v>1760</v>
      </c>
      <c r="R1724" s="32">
        <v>260</v>
      </c>
      <c r="T1724" s="32">
        <v>1500</v>
      </c>
    </row>
    <row r="1725" spans="2:20" ht="12.75" hidden="1" x14ac:dyDescent="0.25">
      <c r="B1725" s="32">
        <v>48</v>
      </c>
      <c r="F1725" s="32" t="s">
        <v>101</v>
      </c>
      <c r="J1725" s="32">
        <v>1</v>
      </c>
      <c r="P1725" s="32">
        <v>460</v>
      </c>
      <c r="R1725" s="32">
        <v>140</v>
      </c>
      <c r="T1725" s="32">
        <v>320</v>
      </c>
    </row>
    <row r="1726" spans="2:20" ht="12.75" hidden="1" x14ac:dyDescent="0.25">
      <c r="B1726" s="32">
        <v>49</v>
      </c>
      <c r="F1726" s="32" t="s">
        <v>254</v>
      </c>
      <c r="J1726" s="32">
        <v>1</v>
      </c>
      <c r="P1726" s="32">
        <v>290</v>
      </c>
      <c r="R1726" s="32">
        <v>80</v>
      </c>
      <c r="T1726" s="32">
        <v>210</v>
      </c>
    </row>
    <row r="1727" spans="2:20" ht="12.75" hidden="1" x14ac:dyDescent="0.25">
      <c r="B1727" s="32">
        <v>50</v>
      </c>
      <c r="F1727" s="32" t="s">
        <v>100</v>
      </c>
      <c r="J1727" s="32">
        <v>1</v>
      </c>
      <c r="P1727" s="32">
        <v>180</v>
      </c>
      <c r="R1727" s="32">
        <v>50</v>
      </c>
      <c r="T1727" s="32">
        <v>130</v>
      </c>
    </row>
    <row r="1728" spans="2:20" ht="12.75" hidden="1" x14ac:dyDescent="0.25">
      <c r="B1728" s="32">
        <v>51</v>
      </c>
      <c r="F1728" s="32" t="s">
        <v>96</v>
      </c>
      <c r="J1728" s="32">
        <v>1</v>
      </c>
      <c r="P1728" s="32">
        <v>440</v>
      </c>
      <c r="R1728" s="32">
        <v>130</v>
      </c>
      <c r="T1728" s="32">
        <v>310</v>
      </c>
    </row>
    <row r="1729" spans="1:36" ht="12.75" hidden="1" x14ac:dyDescent="0.25">
      <c r="B1729" s="32">
        <v>52</v>
      </c>
      <c r="F1729" s="32" t="s">
        <v>93</v>
      </c>
      <c r="J1729" s="32">
        <v>4</v>
      </c>
      <c r="P1729" s="32">
        <v>2360</v>
      </c>
      <c r="R1729" s="32">
        <v>360</v>
      </c>
      <c r="T1729" s="32">
        <v>2000</v>
      </c>
    </row>
    <row r="1730" spans="1:36" ht="12.75" hidden="1" x14ac:dyDescent="0.25">
      <c r="B1730" s="32">
        <v>53</v>
      </c>
      <c r="F1730" s="32" t="s">
        <v>92</v>
      </c>
      <c r="J1730" s="32">
        <v>22</v>
      </c>
      <c r="P1730" s="32">
        <v>8800</v>
      </c>
      <c r="R1730" s="32">
        <v>2640</v>
      </c>
      <c r="T1730" s="32">
        <v>6160</v>
      </c>
    </row>
    <row r="1731" spans="1:36" ht="12.75" hidden="1" x14ac:dyDescent="0.25">
      <c r="B1731" s="32">
        <v>54</v>
      </c>
      <c r="F1731" s="32" t="s">
        <v>91</v>
      </c>
      <c r="J1731" s="32">
        <v>46</v>
      </c>
      <c r="P1731" s="32">
        <v>11500</v>
      </c>
      <c r="R1731" s="32">
        <v>2870</v>
      </c>
      <c r="T1731" s="32">
        <v>8630</v>
      </c>
    </row>
    <row r="1732" spans="1:36" ht="12.75" hidden="1" x14ac:dyDescent="0.25">
      <c r="B1732" s="32">
        <v>55</v>
      </c>
      <c r="F1732" s="32" t="s">
        <v>90</v>
      </c>
      <c r="J1732" s="32">
        <v>19</v>
      </c>
      <c r="P1732" s="32">
        <v>5510</v>
      </c>
      <c r="R1732" s="32">
        <v>1498</v>
      </c>
      <c r="T1732" s="32">
        <v>4012</v>
      </c>
    </row>
    <row r="1733" spans="1:36" ht="12.75" hidden="1" x14ac:dyDescent="0.25">
      <c r="B1733" s="32">
        <v>56</v>
      </c>
      <c r="F1733" s="32" t="s">
        <v>89</v>
      </c>
      <c r="J1733" s="32">
        <v>2</v>
      </c>
      <c r="P1733" s="32">
        <v>1760</v>
      </c>
      <c r="R1733" s="32">
        <v>260</v>
      </c>
      <c r="T1733" s="32">
        <v>1500</v>
      </c>
    </row>
    <row r="1734" spans="1:36" ht="12.75" hidden="1" x14ac:dyDescent="0.25">
      <c r="B1734" s="32">
        <v>57</v>
      </c>
      <c r="F1734" s="32" t="s">
        <v>88</v>
      </c>
      <c r="J1734" s="32">
        <v>29</v>
      </c>
      <c r="P1734" s="32">
        <v>5220</v>
      </c>
      <c r="R1734" s="32">
        <v>1540</v>
      </c>
      <c r="T1734" s="32">
        <v>3680</v>
      </c>
    </row>
    <row r="1735" spans="1:36" ht="12.75" hidden="1" x14ac:dyDescent="0.25">
      <c r="B1735" s="32">
        <v>58</v>
      </c>
      <c r="F1735" s="32" t="s">
        <v>87</v>
      </c>
      <c r="J1735" s="32">
        <v>2</v>
      </c>
      <c r="P1735" s="32">
        <v>580</v>
      </c>
      <c r="R1735" s="32">
        <v>160</v>
      </c>
      <c r="T1735" s="32">
        <v>420</v>
      </c>
    </row>
    <row r="1736" spans="1:36" ht="12.75" hidden="1" x14ac:dyDescent="0.25">
      <c r="B1736" s="32">
        <v>59</v>
      </c>
      <c r="F1736" s="32" t="s">
        <v>86</v>
      </c>
      <c r="J1736" s="32">
        <v>2</v>
      </c>
      <c r="P1736" s="32">
        <v>2280</v>
      </c>
      <c r="R1736" s="32">
        <v>340</v>
      </c>
      <c r="T1736" s="32">
        <v>1940</v>
      </c>
    </row>
    <row r="1737" spans="1:36" ht="12.75" hidden="1" x14ac:dyDescent="0.25">
      <c r="B1737" s="32">
        <v>60</v>
      </c>
      <c r="F1737" s="32" t="s">
        <v>85</v>
      </c>
      <c r="J1737" s="32">
        <v>5</v>
      </c>
      <c r="P1737" s="32">
        <v>10400</v>
      </c>
      <c r="R1737" s="32">
        <v>1550</v>
      </c>
      <c r="T1737" s="32">
        <v>8850</v>
      </c>
    </row>
    <row r="1738" spans="1:36" ht="12.75" hidden="1" x14ac:dyDescent="0.25">
      <c r="B1738" s="32">
        <v>61</v>
      </c>
      <c r="F1738" s="32" t="s">
        <v>271</v>
      </c>
      <c r="J1738" s="32">
        <v>1</v>
      </c>
      <c r="P1738" s="32">
        <v>500</v>
      </c>
      <c r="R1738" s="32">
        <v>130</v>
      </c>
      <c r="T1738" s="32">
        <v>370</v>
      </c>
    </row>
    <row r="1739" spans="1:36" ht="12.75" hidden="1" x14ac:dyDescent="0.25">
      <c r="B1739" s="32">
        <v>62</v>
      </c>
      <c r="F1739" s="32" t="s">
        <v>82</v>
      </c>
      <c r="J1739" s="32">
        <v>4</v>
      </c>
      <c r="P1739" s="32">
        <v>1160</v>
      </c>
      <c r="R1739" s="32">
        <v>1160</v>
      </c>
      <c r="T1739" s="32">
        <v>0</v>
      </c>
    </row>
    <row r="1740" spans="1:36" ht="12.75" hidden="1" x14ac:dyDescent="0.25">
      <c r="B1740" s="32">
        <v>63</v>
      </c>
      <c r="F1740" s="32" t="s">
        <v>81</v>
      </c>
      <c r="J1740" s="32">
        <v>205</v>
      </c>
      <c r="P1740" s="32">
        <v>59450</v>
      </c>
      <c r="R1740" s="32">
        <v>19890</v>
      </c>
      <c r="T1740" s="32">
        <v>39560</v>
      </c>
    </row>
    <row r="1741" spans="1:36" s="48" customFormat="1" ht="12.75" x14ac:dyDescent="0.25">
      <c r="A1741" s="48" t="s">
        <v>68</v>
      </c>
      <c r="J1741" s="48">
        <v>17816</v>
      </c>
      <c r="P1741" s="48">
        <v>18668310</v>
      </c>
      <c r="R1741" s="48">
        <v>16093425</v>
      </c>
      <c r="T1741" s="51">
        <v>2573895</v>
      </c>
      <c r="V1741" s="50">
        <f>T1741/Y1741</f>
        <v>372.32677564009839</v>
      </c>
      <c r="Y1741" s="48">
        <f>J1741-J1747-J1768-J1795-J1804-J1909</f>
        <v>6913</v>
      </c>
      <c r="Z1741" s="48">
        <f t="shared" ref="Z1741:AJ1741" si="0">K1741-K1747-K1768-K1771-K1795-K1909</f>
        <v>0</v>
      </c>
      <c r="AA1741" s="48">
        <f t="shared" si="0"/>
        <v>0</v>
      </c>
      <c r="AB1741" s="48">
        <f t="shared" si="0"/>
        <v>0</v>
      </c>
      <c r="AC1741" s="48">
        <f t="shared" si="0"/>
        <v>0</v>
      </c>
      <c r="AD1741" s="48">
        <f t="shared" si="0"/>
        <v>0</v>
      </c>
      <c r="AE1741" s="48">
        <f t="shared" si="0"/>
        <v>3857050</v>
      </c>
      <c r="AF1741" s="48">
        <f t="shared" si="0"/>
        <v>0</v>
      </c>
      <c r="AG1741" s="48">
        <f t="shared" si="0"/>
        <v>1328285</v>
      </c>
      <c r="AH1741" s="48">
        <f t="shared" si="0"/>
        <v>0</v>
      </c>
      <c r="AI1741" s="49">
        <f t="shared" si="0"/>
        <v>2527775</v>
      </c>
      <c r="AJ1741" s="48">
        <f t="shared" si="0"/>
        <v>0</v>
      </c>
    </row>
    <row r="1742" spans="1:36" ht="12.75" hidden="1" x14ac:dyDescent="0.25">
      <c r="B1742" s="32">
        <v>1</v>
      </c>
      <c r="F1742" s="32" t="s">
        <v>200</v>
      </c>
      <c r="J1742" s="32">
        <v>4</v>
      </c>
      <c r="P1742" s="32">
        <v>2000</v>
      </c>
      <c r="R1742" s="32">
        <v>580</v>
      </c>
      <c r="T1742" s="32">
        <v>1420</v>
      </c>
    </row>
    <row r="1743" spans="1:36" ht="12.75" hidden="1" x14ac:dyDescent="0.25">
      <c r="B1743" s="32">
        <v>2</v>
      </c>
      <c r="F1743" s="32" t="s">
        <v>311</v>
      </c>
      <c r="J1743" s="32">
        <v>1</v>
      </c>
      <c r="P1743" s="32">
        <v>690</v>
      </c>
      <c r="R1743" s="32">
        <v>210</v>
      </c>
      <c r="T1743" s="32">
        <v>480</v>
      </c>
    </row>
    <row r="1744" spans="1:36" ht="12.75" hidden="1" x14ac:dyDescent="0.25">
      <c r="B1744" s="32">
        <v>3</v>
      </c>
      <c r="F1744" s="32" t="s">
        <v>251</v>
      </c>
      <c r="J1744" s="32">
        <v>1</v>
      </c>
      <c r="P1744" s="32">
        <v>800</v>
      </c>
      <c r="R1744" s="32">
        <v>200</v>
      </c>
      <c r="T1744" s="32">
        <v>600</v>
      </c>
    </row>
    <row r="1745" spans="2:20" ht="12.75" hidden="1" x14ac:dyDescent="0.25">
      <c r="B1745" s="32">
        <v>4</v>
      </c>
      <c r="F1745" s="32" t="s">
        <v>250</v>
      </c>
      <c r="J1745" s="32">
        <v>3</v>
      </c>
      <c r="P1745" s="32">
        <v>1500</v>
      </c>
      <c r="R1745" s="32">
        <v>283</v>
      </c>
      <c r="T1745" s="32">
        <v>1217</v>
      </c>
    </row>
    <row r="1746" spans="2:20" ht="12.75" hidden="1" x14ac:dyDescent="0.25">
      <c r="B1746" s="32">
        <v>5</v>
      </c>
      <c r="F1746" s="32" t="s">
        <v>79</v>
      </c>
      <c r="J1746" s="32">
        <v>1</v>
      </c>
      <c r="P1746" s="32">
        <v>500</v>
      </c>
      <c r="R1746" s="32">
        <v>150</v>
      </c>
      <c r="T1746" s="32">
        <v>350</v>
      </c>
    </row>
    <row r="1747" spans="2:20" ht="12.75" hidden="1" x14ac:dyDescent="0.25">
      <c r="B1747" s="32">
        <v>6</v>
      </c>
      <c r="F1747" s="32" t="s">
        <v>78</v>
      </c>
      <c r="J1747" s="32">
        <v>957</v>
      </c>
      <c r="P1747" s="32">
        <v>277530</v>
      </c>
      <c r="R1747" s="32">
        <v>277530</v>
      </c>
      <c r="T1747" s="32">
        <v>0</v>
      </c>
    </row>
    <row r="1748" spans="2:20" ht="12.75" hidden="1" x14ac:dyDescent="0.25">
      <c r="B1748" s="32">
        <v>7</v>
      </c>
      <c r="F1748" s="32" t="s">
        <v>268</v>
      </c>
      <c r="J1748" s="32">
        <v>2</v>
      </c>
      <c r="P1748" s="32">
        <v>500</v>
      </c>
      <c r="R1748" s="32">
        <v>140</v>
      </c>
      <c r="T1748" s="32">
        <v>360</v>
      </c>
    </row>
    <row r="1749" spans="2:20" ht="12.75" hidden="1" x14ac:dyDescent="0.25">
      <c r="B1749" s="32">
        <v>8</v>
      </c>
      <c r="F1749" s="32" t="s">
        <v>199</v>
      </c>
      <c r="J1749" s="32">
        <v>2</v>
      </c>
      <c r="P1749" s="32">
        <v>580</v>
      </c>
      <c r="R1749" s="32">
        <v>180</v>
      </c>
      <c r="T1749" s="32">
        <v>400</v>
      </c>
    </row>
    <row r="1750" spans="2:20" ht="12.75" hidden="1" x14ac:dyDescent="0.25">
      <c r="B1750" s="32">
        <v>9</v>
      </c>
      <c r="F1750" s="32" t="s">
        <v>249</v>
      </c>
      <c r="J1750" s="32">
        <v>2</v>
      </c>
      <c r="P1750" s="32">
        <v>2600</v>
      </c>
      <c r="R1750" s="32">
        <v>400</v>
      </c>
      <c r="T1750" s="32">
        <v>2200</v>
      </c>
    </row>
    <row r="1751" spans="2:20" ht="12.75" hidden="1" x14ac:dyDescent="0.25">
      <c r="B1751" s="32">
        <v>10</v>
      </c>
      <c r="F1751" s="32" t="s">
        <v>294</v>
      </c>
      <c r="J1751" s="32">
        <v>5</v>
      </c>
      <c r="P1751" s="32">
        <v>2500</v>
      </c>
      <c r="R1751" s="32">
        <v>730</v>
      </c>
      <c r="T1751" s="32">
        <v>1770</v>
      </c>
    </row>
    <row r="1752" spans="2:20" ht="12.75" hidden="1" x14ac:dyDescent="0.25">
      <c r="B1752" s="32">
        <v>11</v>
      </c>
      <c r="F1752" s="32" t="s">
        <v>329</v>
      </c>
      <c r="J1752" s="32">
        <v>5</v>
      </c>
      <c r="P1752" s="32">
        <v>6000</v>
      </c>
      <c r="R1752" s="32">
        <v>900</v>
      </c>
      <c r="T1752" s="32">
        <v>5100</v>
      </c>
    </row>
    <row r="1753" spans="2:20" ht="12.75" hidden="1" x14ac:dyDescent="0.25">
      <c r="B1753" s="32">
        <v>12</v>
      </c>
      <c r="F1753" s="32" t="s">
        <v>248</v>
      </c>
      <c r="J1753" s="32">
        <v>4</v>
      </c>
      <c r="P1753" s="32">
        <v>4800</v>
      </c>
      <c r="R1753" s="32">
        <v>720</v>
      </c>
      <c r="T1753" s="32">
        <v>4080</v>
      </c>
    </row>
    <row r="1754" spans="2:20" ht="12.75" hidden="1" x14ac:dyDescent="0.25">
      <c r="B1754" s="32">
        <v>13</v>
      </c>
      <c r="F1754" s="32" t="s">
        <v>165</v>
      </c>
      <c r="J1754" s="32">
        <v>5</v>
      </c>
      <c r="P1754" s="32">
        <v>2950</v>
      </c>
      <c r="R1754" s="32">
        <v>900</v>
      </c>
      <c r="T1754" s="32">
        <v>2050</v>
      </c>
    </row>
    <row r="1755" spans="2:20" ht="12.75" hidden="1" x14ac:dyDescent="0.25">
      <c r="B1755" s="32">
        <v>14</v>
      </c>
      <c r="F1755" s="32" t="s">
        <v>164</v>
      </c>
      <c r="J1755" s="32">
        <v>1</v>
      </c>
      <c r="P1755" s="32">
        <v>590</v>
      </c>
      <c r="R1755" s="32">
        <v>180</v>
      </c>
      <c r="T1755" s="32">
        <v>410</v>
      </c>
    </row>
    <row r="1756" spans="2:20" ht="12.75" hidden="1" x14ac:dyDescent="0.25">
      <c r="B1756" s="32">
        <v>15</v>
      </c>
      <c r="F1756" s="32" t="s">
        <v>163</v>
      </c>
      <c r="J1756" s="32">
        <v>13</v>
      </c>
      <c r="P1756" s="32">
        <v>15470</v>
      </c>
      <c r="R1756" s="32">
        <v>2340</v>
      </c>
      <c r="T1756" s="32">
        <v>13130</v>
      </c>
    </row>
    <row r="1757" spans="2:20" ht="12.75" hidden="1" x14ac:dyDescent="0.25">
      <c r="B1757" s="32">
        <v>16</v>
      </c>
      <c r="F1757" s="32" t="s">
        <v>162</v>
      </c>
      <c r="J1757" s="32">
        <v>54</v>
      </c>
      <c r="P1757" s="32">
        <v>23220</v>
      </c>
      <c r="R1757" s="32">
        <v>9847</v>
      </c>
      <c r="T1757" s="32">
        <v>13373</v>
      </c>
    </row>
    <row r="1758" spans="2:20" ht="12.75" hidden="1" x14ac:dyDescent="0.25">
      <c r="B1758" s="32">
        <v>17</v>
      </c>
      <c r="F1758" s="32" t="s">
        <v>198</v>
      </c>
      <c r="J1758" s="32">
        <v>2</v>
      </c>
      <c r="P1758" s="32">
        <v>580</v>
      </c>
      <c r="R1758" s="32">
        <v>182</v>
      </c>
      <c r="T1758" s="32">
        <v>398</v>
      </c>
    </row>
    <row r="1759" spans="2:20" ht="12.75" hidden="1" x14ac:dyDescent="0.25">
      <c r="B1759" s="32">
        <v>18</v>
      </c>
      <c r="F1759" s="32" t="s">
        <v>160</v>
      </c>
      <c r="J1759" s="32">
        <v>33</v>
      </c>
      <c r="P1759" s="32">
        <v>9570</v>
      </c>
      <c r="R1759" s="32">
        <v>2378</v>
      </c>
      <c r="T1759" s="32">
        <v>7192</v>
      </c>
    </row>
    <row r="1760" spans="2:20" ht="12.75" hidden="1" x14ac:dyDescent="0.25">
      <c r="B1760" s="32">
        <v>19</v>
      </c>
      <c r="F1760" s="32" t="s">
        <v>158</v>
      </c>
      <c r="J1760" s="32">
        <v>1553</v>
      </c>
      <c r="P1760" s="32">
        <v>854150</v>
      </c>
      <c r="R1760" s="32">
        <v>250322</v>
      </c>
      <c r="T1760" s="32">
        <v>603828</v>
      </c>
    </row>
    <row r="1761" spans="2:20" ht="12.75" hidden="1" x14ac:dyDescent="0.25">
      <c r="B1761" s="32">
        <v>20</v>
      </c>
      <c r="F1761" s="32" t="s">
        <v>157</v>
      </c>
      <c r="J1761" s="32">
        <v>561</v>
      </c>
      <c r="P1761" s="32">
        <v>274890</v>
      </c>
      <c r="R1761" s="32">
        <v>112940</v>
      </c>
      <c r="T1761" s="32">
        <v>161950</v>
      </c>
    </row>
    <row r="1762" spans="2:20" ht="12.75" hidden="1" x14ac:dyDescent="0.25">
      <c r="B1762" s="32">
        <v>21</v>
      </c>
      <c r="F1762" s="32" t="s">
        <v>197</v>
      </c>
      <c r="J1762" s="32">
        <v>2</v>
      </c>
      <c r="P1762" s="32">
        <v>1000</v>
      </c>
      <c r="R1762" s="32">
        <v>280</v>
      </c>
      <c r="T1762" s="32">
        <v>720</v>
      </c>
    </row>
    <row r="1763" spans="2:20" ht="12.75" hidden="1" x14ac:dyDescent="0.25">
      <c r="B1763" s="32">
        <v>22</v>
      </c>
      <c r="F1763" s="32" t="s">
        <v>293</v>
      </c>
      <c r="J1763" s="32">
        <v>1</v>
      </c>
      <c r="P1763" s="32">
        <v>700</v>
      </c>
      <c r="R1763" s="32">
        <v>0</v>
      </c>
      <c r="T1763" s="32">
        <v>700</v>
      </c>
    </row>
    <row r="1764" spans="2:20" ht="12.75" hidden="1" x14ac:dyDescent="0.25">
      <c r="B1764" s="32">
        <v>23</v>
      </c>
      <c r="F1764" s="32" t="s">
        <v>196</v>
      </c>
      <c r="J1764" s="32">
        <v>15</v>
      </c>
      <c r="P1764" s="32">
        <v>10500</v>
      </c>
      <c r="R1764" s="32">
        <v>5080</v>
      </c>
      <c r="T1764" s="32">
        <v>5420</v>
      </c>
    </row>
    <row r="1765" spans="2:20" ht="12.75" hidden="1" x14ac:dyDescent="0.25">
      <c r="B1765" s="32">
        <v>24</v>
      </c>
      <c r="F1765" s="32" t="s">
        <v>309</v>
      </c>
      <c r="J1765" s="32">
        <v>27</v>
      </c>
      <c r="P1765" s="32">
        <v>13500</v>
      </c>
      <c r="R1765" s="32">
        <v>4050</v>
      </c>
      <c r="T1765" s="32">
        <v>9450</v>
      </c>
    </row>
    <row r="1766" spans="2:20" ht="12.75" hidden="1" x14ac:dyDescent="0.25">
      <c r="B1766" s="32">
        <v>25</v>
      </c>
      <c r="F1766" s="32" t="s">
        <v>328</v>
      </c>
      <c r="J1766" s="32">
        <v>3</v>
      </c>
      <c r="P1766" s="32">
        <v>2100</v>
      </c>
      <c r="R1766" s="32">
        <v>1050</v>
      </c>
      <c r="T1766" s="32">
        <v>1050</v>
      </c>
    </row>
    <row r="1767" spans="2:20" ht="12.75" hidden="1" x14ac:dyDescent="0.25">
      <c r="B1767" s="32">
        <v>26</v>
      </c>
      <c r="F1767" s="32" t="s">
        <v>292</v>
      </c>
      <c r="J1767" s="32">
        <v>13</v>
      </c>
      <c r="P1767" s="32">
        <v>9100</v>
      </c>
      <c r="R1767" s="32">
        <v>9100</v>
      </c>
      <c r="T1767" s="32">
        <v>0</v>
      </c>
    </row>
    <row r="1768" spans="2:20" ht="12.75" hidden="1" x14ac:dyDescent="0.25">
      <c r="B1768" s="32">
        <v>27</v>
      </c>
      <c r="F1768" s="32" t="s">
        <v>77</v>
      </c>
      <c r="J1768" s="32">
        <v>4386</v>
      </c>
      <c r="P1768" s="32">
        <v>1769600</v>
      </c>
      <c r="R1768" s="32">
        <v>1766000</v>
      </c>
      <c r="T1768" s="32">
        <v>3600</v>
      </c>
    </row>
    <row r="1769" spans="2:20" ht="12.75" hidden="1" x14ac:dyDescent="0.25">
      <c r="B1769" s="32">
        <v>28</v>
      </c>
      <c r="F1769" s="32" t="s">
        <v>242</v>
      </c>
      <c r="J1769" s="32">
        <v>1</v>
      </c>
      <c r="P1769" s="32">
        <v>500</v>
      </c>
      <c r="R1769" s="32">
        <v>500</v>
      </c>
      <c r="T1769" s="32">
        <v>0</v>
      </c>
    </row>
    <row r="1770" spans="2:20" ht="12.75" hidden="1" x14ac:dyDescent="0.25">
      <c r="B1770" s="32">
        <v>29</v>
      </c>
      <c r="F1770" s="32" t="s">
        <v>76</v>
      </c>
      <c r="J1770" s="32">
        <v>6</v>
      </c>
      <c r="P1770" s="32">
        <v>3600</v>
      </c>
      <c r="R1770" s="32">
        <v>3600</v>
      </c>
      <c r="T1770" s="32">
        <v>0</v>
      </c>
    </row>
    <row r="1771" spans="2:20" ht="12.75" hidden="1" x14ac:dyDescent="0.25">
      <c r="B1771" s="32">
        <v>30</v>
      </c>
      <c r="F1771" s="32" t="s">
        <v>156</v>
      </c>
      <c r="J1771" s="32">
        <v>21</v>
      </c>
      <c r="P1771" s="32">
        <v>3990</v>
      </c>
      <c r="R1771" s="32">
        <v>1099</v>
      </c>
      <c r="T1771" s="32">
        <v>2891</v>
      </c>
    </row>
    <row r="1772" spans="2:20" ht="12.75" hidden="1" x14ac:dyDescent="0.25">
      <c r="B1772" s="32">
        <v>31</v>
      </c>
      <c r="F1772" s="32" t="s">
        <v>342</v>
      </c>
      <c r="J1772" s="32">
        <v>2</v>
      </c>
      <c r="P1772" s="32">
        <v>1000</v>
      </c>
      <c r="R1772" s="32">
        <v>300</v>
      </c>
      <c r="T1772" s="32">
        <v>700</v>
      </c>
    </row>
    <row r="1773" spans="2:20" ht="12.75" hidden="1" x14ac:dyDescent="0.25">
      <c r="B1773" s="32">
        <v>32</v>
      </c>
      <c r="F1773" s="32" t="s">
        <v>341</v>
      </c>
      <c r="J1773" s="32">
        <v>2</v>
      </c>
      <c r="P1773" s="32">
        <v>900</v>
      </c>
      <c r="R1773" s="32">
        <v>260</v>
      </c>
      <c r="T1773" s="32">
        <v>640</v>
      </c>
    </row>
    <row r="1774" spans="2:20" ht="12.75" hidden="1" x14ac:dyDescent="0.25">
      <c r="B1774" s="32">
        <v>33</v>
      </c>
      <c r="F1774" s="32" t="s">
        <v>155</v>
      </c>
      <c r="J1774" s="32">
        <v>177</v>
      </c>
      <c r="P1774" s="32">
        <v>44250</v>
      </c>
      <c r="R1774" s="32">
        <v>14218</v>
      </c>
      <c r="T1774" s="32">
        <v>30032</v>
      </c>
    </row>
    <row r="1775" spans="2:20" ht="12.75" hidden="1" x14ac:dyDescent="0.25">
      <c r="B1775" s="32">
        <v>34</v>
      </c>
      <c r="F1775" s="32" t="s">
        <v>154</v>
      </c>
      <c r="J1775" s="32">
        <v>12</v>
      </c>
      <c r="P1775" s="32">
        <v>10680</v>
      </c>
      <c r="R1775" s="32">
        <v>1430</v>
      </c>
      <c r="T1775" s="32">
        <v>9250</v>
      </c>
    </row>
    <row r="1776" spans="2:20" ht="12.75" hidden="1" x14ac:dyDescent="0.25">
      <c r="B1776" s="32">
        <v>35</v>
      </c>
      <c r="F1776" s="32" t="s">
        <v>153</v>
      </c>
      <c r="J1776" s="32">
        <v>1</v>
      </c>
      <c r="P1776" s="32">
        <v>1180</v>
      </c>
      <c r="R1776" s="32">
        <v>180</v>
      </c>
      <c r="T1776" s="32">
        <v>1000</v>
      </c>
    </row>
    <row r="1777" spans="2:20" ht="12.75" hidden="1" x14ac:dyDescent="0.25">
      <c r="B1777" s="32">
        <v>36</v>
      </c>
      <c r="F1777" s="32" t="s">
        <v>339</v>
      </c>
      <c r="J1777" s="32">
        <v>1</v>
      </c>
      <c r="P1777" s="32">
        <v>350</v>
      </c>
      <c r="R1777" s="32">
        <v>150</v>
      </c>
      <c r="T1777" s="32">
        <v>200</v>
      </c>
    </row>
    <row r="1778" spans="2:20" ht="12.75" hidden="1" x14ac:dyDescent="0.25">
      <c r="B1778" s="32">
        <v>37</v>
      </c>
      <c r="F1778" s="32" t="s">
        <v>194</v>
      </c>
      <c r="J1778" s="32">
        <v>2</v>
      </c>
      <c r="P1778" s="32">
        <v>1400</v>
      </c>
      <c r="R1778" s="32">
        <v>360</v>
      </c>
      <c r="T1778" s="32">
        <v>1040</v>
      </c>
    </row>
    <row r="1779" spans="2:20" ht="12.75" hidden="1" x14ac:dyDescent="0.25">
      <c r="B1779" s="32">
        <v>38</v>
      </c>
      <c r="F1779" s="32" t="s">
        <v>265</v>
      </c>
      <c r="J1779" s="32">
        <v>9</v>
      </c>
      <c r="P1779" s="32">
        <v>2700</v>
      </c>
      <c r="R1779" s="32">
        <v>0</v>
      </c>
      <c r="T1779" s="32">
        <v>2700</v>
      </c>
    </row>
    <row r="1780" spans="2:20" ht="12.75" hidden="1" x14ac:dyDescent="0.25">
      <c r="B1780" s="32">
        <v>39</v>
      </c>
      <c r="F1780" s="32" t="s">
        <v>289</v>
      </c>
      <c r="J1780" s="32">
        <v>7</v>
      </c>
      <c r="P1780" s="32">
        <v>3500</v>
      </c>
      <c r="R1780" s="32">
        <v>1050</v>
      </c>
      <c r="T1780" s="32">
        <v>2450</v>
      </c>
    </row>
    <row r="1781" spans="2:20" ht="12.75" hidden="1" x14ac:dyDescent="0.25">
      <c r="B1781" s="32">
        <v>40</v>
      </c>
      <c r="F1781" s="32" t="s">
        <v>320</v>
      </c>
      <c r="J1781" s="32">
        <v>6</v>
      </c>
      <c r="P1781" s="32">
        <v>3400</v>
      </c>
      <c r="R1781" s="32">
        <v>970</v>
      </c>
      <c r="T1781" s="32">
        <v>2430</v>
      </c>
    </row>
    <row r="1782" spans="2:20" ht="12.75" hidden="1" x14ac:dyDescent="0.25">
      <c r="B1782" s="32">
        <v>41</v>
      </c>
      <c r="F1782" s="32" t="s">
        <v>152</v>
      </c>
      <c r="J1782" s="32">
        <v>46</v>
      </c>
      <c r="P1782" s="32">
        <v>27140</v>
      </c>
      <c r="R1782" s="32">
        <v>8072</v>
      </c>
      <c r="T1782" s="32">
        <v>19068</v>
      </c>
    </row>
    <row r="1783" spans="2:20" ht="12.75" hidden="1" x14ac:dyDescent="0.25">
      <c r="B1783" s="32">
        <v>42</v>
      </c>
      <c r="F1783" s="32" t="s">
        <v>151</v>
      </c>
      <c r="J1783" s="32">
        <v>89</v>
      </c>
      <c r="P1783" s="32">
        <v>20470</v>
      </c>
      <c r="R1783" s="32">
        <v>6440</v>
      </c>
      <c r="T1783" s="32">
        <v>14030</v>
      </c>
    </row>
    <row r="1784" spans="2:20" ht="12.75" hidden="1" x14ac:dyDescent="0.25">
      <c r="B1784" s="32">
        <v>43</v>
      </c>
      <c r="F1784" s="32" t="s">
        <v>150</v>
      </c>
      <c r="J1784" s="32">
        <v>116</v>
      </c>
      <c r="P1784" s="32">
        <v>19720</v>
      </c>
      <c r="R1784" s="32">
        <v>5587</v>
      </c>
      <c r="T1784" s="32">
        <v>14133</v>
      </c>
    </row>
    <row r="1785" spans="2:20" ht="12.75" hidden="1" x14ac:dyDescent="0.25">
      <c r="B1785" s="32">
        <v>44</v>
      </c>
      <c r="F1785" s="32" t="s">
        <v>148</v>
      </c>
      <c r="J1785" s="32">
        <v>3</v>
      </c>
      <c r="P1785" s="32">
        <v>2940</v>
      </c>
      <c r="R1785" s="32">
        <v>450</v>
      </c>
      <c r="T1785" s="32">
        <v>2490</v>
      </c>
    </row>
    <row r="1786" spans="2:20" ht="12.75" hidden="1" x14ac:dyDescent="0.25">
      <c r="B1786" s="32">
        <v>45</v>
      </c>
      <c r="F1786" s="32" t="s">
        <v>288</v>
      </c>
      <c r="J1786" s="32">
        <v>25</v>
      </c>
      <c r="P1786" s="32">
        <v>20000</v>
      </c>
      <c r="R1786" s="32">
        <v>10850</v>
      </c>
      <c r="T1786" s="32">
        <v>9150</v>
      </c>
    </row>
    <row r="1787" spans="2:20" ht="12.75" hidden="1" x14ac:dyDescent="0.25">
      <c r="B1787" s="32">
        <v>46</v>
      </c>
      <c r="F1787" s="32" t="s">
        <v>234</v>
      </c>
      <c r="J1787" s="32">
        <v>26</v>
      </c>
      <c r="P1787" s="32">
        <v>20800</v>
      </c>
      <c r="R1787" s="32">
        <v>11778</v>
      </c>
      <c r="T1787" s="32">
        <v>9022</v>
      </c>
    </row>
    <row r="1788" spans="2:20" ht="12.75" hidden="1" x14ac:dyDescent="0.25">
      <c r="B1788" s="32">
        <v>47</v>
      </c>
      <c r="F1788" s="32" t="s">
        <v>287</v>
      </c>
      <c r="J1788" s="32">
        <v>5</v>
      </c>
      <c r="P1788" s="32">
        <v>4000</v>
      </c>
      <c r="R1788" s="32">
        <v>2250</v>
      </c>
      <c r="T1788" s="32">
        <v>1750</v>
      </c>
    </row>
    <row r="1789" spans="2:20" ht="12.75" hidden="1" x14ac:dyDescent="0.25">
      <c r="B1789" s="32">
        <v>48</v>
      </c>
      <c r="F1789" s="32" t="s">
        <v>286</v>
      </c>
      <c r="J1789" s="32">
        <v>2</v>
      </c>
      <c r="P1789" s="32">
        <v>1600</v>
      </c>
      <c r="R1789" s="32">
        <v>900</v>
      </c>
      <c r="T1789" s="32">
        <v>700</v>
      </c>
    </row>
    <row r="1790" spans="2:20" ht="12.75" hidden="1" x14ac:dyDescent="0.25">
      <c r="B1790" s="32">
        <v>49</v>
      </c>
      <c r="F1790" s="32" t="s">
        <v>233</v>
      </c>
      <c r="J1790" s="32">
        <v>6</v>
      </c>
      <c r="P1790" s="32">
        <v>5880</v>
      </c>
      <c r="R1790" s="32">
        <v>900</v>
      </c>
      <c r="T1790" s="32">
        <v>4980</v>
      </c>
    </row>
    <row r="1791" spans="2:20" ht="12.75" hidden="1" x14ac:dyDescent="0.25">
      <c r="B1791" s="32">
        <v>50</v>
      </c>
      <c r="F1791" s="32" t="s">
        <v>232</v>
      </c>
      <c r="J1791" s="32">
        <v>6</v>
      </c>
      <c r="P1791" s="32">
        <v>5880</v>
      </c>
      <c r="R1791" s="32">
        <v>900</v>
      </c>
      <c r="T1791" s="32">
        <v>4980</v>
      </c>
    </row>
    <row r="1792" spans="2:20" ht="12.75" hidden="1" x14ac:dyDescent="0.25">
      <c r="B1792" s="32">
        <v>51</v>
      </c>
      <c r="F1792" s="32" t="s">
        <v>193</v>
      </c>
      <c r="J1792" s="32">
        <v>5</v>
      </c>
      <c r="P1792" s="32">
        <v>4450</v>
      </c>
      <c r="R1792" s="32">
        <v>650</v>
      </c>
      <c r="T1792" s="32">
        <v>3800</v>
      </c>
    </row>
    <row r="1793" spans="2:20" ht="12.75" hidden="1" x14ac:dyDescent="0.25">
      <c r="B1793" s="32">
        <v>52</v>
      </c>
      <c r="F1793" s="32" t="s">
        <v>142</v>
      </c>
      <c r="J1793" s="32">
        <v>2</v>
      </c>
      <c r="P1793" s="32">
        <v>700</v>
      </c>
      <c r="R1793" s="32">
        <v>300</v>
      </c>
      <c r="T1793" s="32">
        <v>400</v>
      </c>
    </row>
    <row r="1794" spans="2:20" ht="12.75" hidden="1" x14ac:dyDescent="0.25">
      <c r="B1794" s="32">
        <v>53</v>
      </c>
      <c r="F1794" s="32" t="s">
        <v>411</v>
      </c>
      <c r="J1794" s="32">
        <v>1</v>
      </c>
      <c r="P1794" s="32">
        <v>300</v>
      </c>
      <c r="R1794" s="32">
        <v>90</v>
      </c>
      <c r="T1794" s="32">
        <v>210</v>
      </c>
    </row>
    <row r="1795" spans="2:20" ht="12.75" hidden="1" x14ac:dyDescent="0.25">
      <c r="B1795" s="32">
        <v>54</v>
      </c>
      <c r="F1795" s="32" t="s">
        <v>75</v>
      </c>
      <c r="J1795" s="32">
        <v>5079</v>
      </c>
      <c r="P1795" s="32">
        <v>12697500</v>
      </c>
      <c r="R1795" s="32">
        <v>12697500</v>
      </c>
      <c r="T1795" s="32">
        <v>0</v>
      </c>
    </row>
    <row r="1796" spans="2:20" ht="12.75" hidden="1" x14ac:dyDescent="0.25">
      <c r="B1796" s="32">
        <v>55</v>
      </c>
      <c r="F1796" s="32" t="s">
        <v>139</v>
      </c>
      <c r="J1796" s="32">
        <v>11</v>
      </c>
      <c r="P1796" s="32">
        <v>2970</v>
      </c>
      <c r="R1796" s="32">
        <v>880</v>
      </c>
      <c r="T1796" s="32">
        <v>2090</v>
      </c>
    </row>
    <row r="1797" spans="2:20" ht="12.75" hidden="1" x14ac:dyDescent="0.25">
      <c r="B1797" s="32">
        <v>56</v>
      </c>
      <c r="F1797" s="32" t="s">
        <v>231</v>
      </c>
      <c r="J1797" s="32">
        <v>1</v>
      </c>
      <c r="P1797" s="32">
        <v>500</v>
      </c>
      <c r="R1797" s="32">
        <v>130</v>
      </c>
      <c r="T1797" s="32">
        <v>370</v>
      </c>
    </row>
    <row r="1798" spans="2:20" ht="12.75" hidden="1" x14ac:dyDescent="0.25">
      <c r="B1798" s="32">
        <v>57</v>
      </c>
      <c r="F1798" s="32" t="s">
        <v>302</v>
      </c>
      <c r="J1798" s="32">
        <v>7</v>
      </c>
      <c r="P1798" s="32">
        <v>5600</v>
      </c>
      <c r="R1798" s="32">
        <v>3150</v>
      </c>
      <c r="T1798" s="32">
        <v>2450</v>
      </c>
    </row>
    <row r="1799" spans="2:20" ht="12.75" hidden="1" x14ac:dyDescent="0.25">
      <c r="B1799" s="32">
        <v>58</v>
      </c>
      <c r="F1799" s="32" t="s">
        <v>138</v>
      </c>
      <c r="J1799" s="32">
        <v>3</v>
      </c>
      <c r="P1799" s="32">
        <v>2400</v>
      </c>
      <c r="R1799" s="32">
        <v>1350</v>
      </c>
      <c r="T1799" s="32">
        <v>1050</v>
      </c>
    </row>
    <row r="1800" spans="2:20" ht="12.75" hidden="1" x14ac:dyDescent="0.25">
      <c r="B1800" s="32">
        <v>59</v>
      </c>
      <c r="F1800" s="32" t="s">
        <v>137</v>
      </c>
      <c r="J1800" s="32">
        <v>8</v>
      </c>
      <c r="P1800" s="32">
        <v>6400</v>
      </c>
      <c r="R1800" s="32">
        <v>3350</v>
      </c>
      <c r="T1800" s="32">
        <v>3050</v>
      </c>
    </row>
    <row r="1801" spans="2:20" ht="12.75" hidden="1" x14ac:dyDescent="0.25">
      <c r="B1801" s="32">
        <v>60</v>
      </c>
      <c r="F1801" s="32" t="s">
        <v>313</v>
      </c>
      <c r="J1801" s="32">
        <v>1</v>
      </c>
      <c r="P1801" s="32">
        <v>800</v>
      </c>
      <c r="R1801" s="32">
        <v>450</v>
      </c>
      <c r="T1801" s="32">
        <v>350</v>
      </c>
    </row>
    <row r="1802" spans="2:20" ht="12.75" hidden="1" x14ac:dyDescent="0.25">
      <c r="B1802" s="32">
        <v>61</v>
      </c>
      <c r="F1802" s="32" t="s">
        <v>192</v>
      </c>
      <c r="J1802" s="32">
        <v>2</v>
      </c>
      <c r="P1802" s="32">
        <v>3100</v>
      </c>
      <c r="R1802" s="32">
        <v>0</v>
      </c>
      <c r="T1802" s="32">
        <v>3100</v>
      </c>
    </row>
    <row r="1803" spans="2:20" ht="12.75" hidden="1" x14ac:dyDescent="0.25">
      <c r="B1803" s="32">
        <v>62</v>
      </c>
      <c r="F1803" s="32" t="s">
        <v>136</v>
      </c>
      <c r="J1803" s="32">
        <v>96</v>
      </c>
      <c r="P1803" s="32">
        <v>81600</v>
      </c>
      <c r="R1803" s="32">
        <v>19484</v>
      </c>
      <c r="T1803" s="32">
        <v>62116</v>
      </c>
    </row>
    <row r="1804" spans="2:20" ht="12.75" hidden="1" x14ac:dyDescent="0.25">
      <c r="B1804" s="32">
        <v>63</v>
      </c>
      <c r="F1804" s="32" t="s">
        <v>74</v>
      </c>
      <c r="J1804" s="32">
        <v>265</v>
      </c>
      <c r="P1804" s="32">
        <v>225250</v>
      </c>
      <c r="R1804" s="32">
        <v>225250</v>
      </c>
      <c r="T1804" s="32">
        <v>0</v>
      </c>
    </row>
    <row r="1805" spans="2:20" ht="12.75" hidden="1" x14ac:dyDescent="0.25">
      <c r="B1805" s="32">
        <v>64</v>
      </c>
      <c r="F1805" s="32" t="s">
        <v>410</v>
      </c>
      <c r="J1805" s="32">
        <v>24</v>
      </c>
      <c r="P1805" s="32">
        <v>19200</v>
      </c>
      <c r="R1805" s="32">
        <v>7200</v>
      </c>
      <c r="T1805" s="32">
        <v>12000</v>
      </c>
    </row>
    <row r="1806" spans="2:20" ht="12.75" hidden="1" x14ac:dyDescent="0.25">
      <c r="B1806" s="32">
        <v>65</v>
      </c>
      <c r="F1806" s="32" t="s">
        <v>190</v>
      </c>
      <c r="J1806" s="32">
        <v>22</v>
      </c>
      <c r="P1806" s="32">
        <v>34540</v>
      </c>
      <c r="R1806" s="32">
        <v>5114</v>
      </c>
      <c r="T1806" s="32">
        <v>29426</v>
      </c>
    </row>
    <row r="1807" spans="2:20" ht="12.75" hidden="1" x14ac:dyDescent="0.25">
      <c r="B1807" s="32">
        <v>66</v>
      </c>
      <c r="F1807" s="32" t="s">
        <v>135</v>
      </c>
      <c r="J1807" s="32">
        <v>59</v>
      </c>
      <c r="P1807" s="32">
        <v>56050</v>
      </c>
      <c r="R1807" s="32">
        <v>16389</v>
      </c>
      <c r="T1807" s="32">
        <v>39661</v>
      </c>
    </row>
    <row r="1808" spans="2:20" ht="12.75" hidden="1" x14ac:dyDescent="0.25">
      <c r="B1808" s="32">
        <v>67</v>
      </c>
      <c r="F1808" s="32" t="s">
        <v>134</v>
      </c>
      <c r="J1808" s="32">
        <v>4</v>
      </c>
      <c r="P1808" s="32">
        <v>14800</v>
      </c>
      <c r="R1808" s="32">
        <v>3200</v>
      </c>
      <c r="T1808" s="32">
        <v>11600</v>
      </c>
    </row>
    <row r="1809" spans="2:20" ht="12.75" hidden="1" x14ac:dyDescent="0.25">
      <c r="B1809" s="32">
        <v>68</v>
      </c>
      <c r="F1809" s="32" t="s">
        <v>229</v>
      </c>
      <c r="J1809" s="32">
        <v>1</v>
      </c>
      <c r="P1809" s="32">
        <v>7000</v>
      </c>
      <c r="R1809" s="32">
        <v>3100</v>
      </c>
      <c r="T1809" s="32">
        <v>3900</v>
      </c>
    </row>
    <row r="1810" spans="2:20" ht="12.75" hidden="1" x14ac:dyDescent="0.25">
      <c r="B1810" s="32">
        <v>69</v>
      </c>
      <c r="F1810" s="32" t="s">
        <v>132</v>
      </c>
      <c r="J1810" s="32">
        <v>71</v>
      </c>
      <c r="P1810" s="32">
        <v>88040</v>
      </c>
      <c r="R1810" s="32">
        <v>26113</v>
      </c>
      <c r="T1810" s="32">
        <v>61927</v>
      </c>
    </row>
    <row r="1811" spans="2:20" ht="12.75" hidden="1" x14ac:dyDescent="0.25">
      <c r="B1811" s="32">
        <v>70</v>
      </c>
      <c r="F1811" s="32" t="s">
        <v>131</v>
      </c>
      <c r="J1811" s="32">
        <v>21</v>
      </c>
      <c r="P1811" s="32">
        <v>77700</v>
      </c>
      <c r="R1811" s="32">
        <v>13540</v>
      </c>
      <c r="T1811" s="32">
        <v>64160</v>
      </c>
    </row>
    <row r="1812" spans="2:20" ht="12.75" hidden="1" x14ac:dyDescent="0.25">
      <c r="B1812" s="32">
        <v>71</v>
      </c>
      <c r="F1812" s="32" t="s">
        <v>130</v>
      </c>
      <c r="J1812" s="32">
        <v>12</v>
      </c>
      <c r="P1812" s="32">
        <v>96000</v>
      </c>
      <c r="R1812" s="32">
        <v>49200</v>
      </c>
      <c r="T1812" s="32">
        <v>46800</v>
      </c>
    </row>
    <row r="1813" spans="2:20" ht="12.75" hidden="1" x14ac:dyDescent="0.25">
      <c r="B1813" s="32">
        <v>72</v>
      </c>
      <c r="F1813" s="32" t="s">
        <v>186</v>
      </c>
      <c r="J1813" s="32">
        <v>147</v>
      </c>
      <c r="P1813" s="32">
        <v>8820</v>
      </c>
      <c r="R1813" s="32">
        <v>0</v>
      </c>
      <c r="T1813" s="32">
        <v>8820</v>
      </c>
    </row>
    <row r="1814" spans="2:20" ht="12.75" hidden="1" x14ac:dyDescent="0.25">
      <c r="T1814" s="32"/>
    </row>
    <row r="1815" spans="2:20" ht="12.75" hidden="1" x14ac:dyDescent="0.25">
      <c r="B1815" s="32">
        <v>73</v>
      </c>
      <c r="F1815" s="32" t="s">
        <v>185</v>
      </c>
      <c r="J1815" s="32">
        <v>5</v>
      </c>
      <c r="P1815" s="32">
        <v>4100</v>
      </c>
      <c r="R1815" s="32">
        <v>1918</v>
      </c>
      <c r="T1815" s="32">
        <v>2182</v>
      </c>
    </row>
    <row r="1816" spans="2:20" ht="12.75" hidden="1" x14ac:dyDescent="0.25">
      <c r="B1816" s="32">
        <v>74</v>
      </c>
      <c r="F1816" s="32" t="s">
        <v>283</v>
      </c>
      <c r="J1816" s="32">
        <v>6</v>
      </c>
      <c r="P1816" s="32">
        <v>5000</v>
      </c>
      <c r="R1816" s="32">
        <v>2340</v>
      </c>
      <c r="T1816" s="32">
        <v>2660</v>
      </c>
    </row>
    <row r="1817" spans="2:20" ht="12.75" hidden="1" x14ac:dyDescent="0.25">
      <c r="B1817" s="32">
        <v>75</v>
      </c>
      <c r="F1817" s="32" t="s">
        <v>128</v>
      </c>
      <c r="J1817" s="32">
        <v>4</v>
      </c>
      <c r="P1817" s="32">
        <v>4600</v>
      </c>
      <c r="R1817" s="32">
        <v>680</v>
      </c>
      <c r="T1817" s="32">
        <v>3920</v>
      </c>
    </row>
    <row r="1818" spans="2:20" ht="12.75" hidden="1" x14ac:dyDescent="0.25">
      <c r="B1818" s="32">
        <v>76</v>
      </c>
      <c r="F1818" s="32" t="s">
        <v>127</v>
      </c>
      <c r="J1818" s="32">
        <v>77</v>
      </c>
      <c r="P1818" s="32">
        <v>23100</v>
      </c>
      <c r="R1818" s="32">
        <v>7924</v>
      </c>
      <c r="T1818" s="32">
        <v>15176</v>
      </c>
    </row>
    <row r="1819" spans="2:20" ht="12.75" hidden="1" x14ac:dyDescent="0.25">
      <c r="B1819" s="32">
        <v>77</v>
      </c>
      <c r="F1819" s="32" t="s">
        <v>126</v>
      </c>
      <c r="J1819" s="32">
        <v>76</v>
      </c>
      <c r="P1819" s="32">
        <v>15200</v>
      </c>
      <c r="R1819" s="32">
        <v>5223</v>
      </c>
      <c r="T1819" s="32">
        <v>9977</v>
      </c>
    </row>
    <row r="1820" spans="2:20" ht="12.75" hidden="1" x14ac:dyDescent="0.25">
      <c r="B1820" s="32">
        <v>78</v>
      </c>
      <c r="F1820" s="32" t="s">
        <v>125</v>
      </c>
      <c r="J1820" s="32">
        <v>12</v>
      </c>
      <c r="P1820" s="32">
        <v>4800</v>
      </c>
      <c r="R1820" s="32">
        <v>1440</v>
      </c>
      <c r="T1820" s="32">
        <v>3360</v>
      </c>
    </row>
    <row r="1821" spans="2:20" ht="12.75" hidden="1" x14ac:dyDescent="0.25">
      <c r="B1821" s="32">
        <v>79</v>
      </c>
      <c r="F1821" s="32" t="s">
        <v>124</v>
      </c>
      <c r="J1821" s="32">
        <v>15</v>
      </c>
      <c r="P1821" s="32">
        <v>8660</v>
      </c>
      <c r="R1821" s="32">
        <v>2340</v>
      </c>
      <c r="T1821" s="32">
        <v>6320</v>
      </c>
    </row>
    <row r="1822" spans="2:20" ht="12.75" hidden="1" x14ac:dyDescent="0.25">
      <c r="B1822" s="32">
        <v>80</v>
      </c>
      <c r="F1822" s="32" t="s">
        <v>123</v>
      </c>
      <c r="J1822" s="32">
        <v>15</v>
      </c>
      <c r="P1822" s="32">
        <v>11700</v>
      </c>
      <c r="R1822" s="32">
        <v>3107</v>
      </c>
      <c r="T1822" s="32">
        <v>8593</v>
      </c>
    </row>
    <row r="1823" spans="2:20" ht="12.75" hidden="1" x14ac:dyDescent="0.25">
      <c r="B1823" s="32">
        <v>81</v>
      </c>
      <c r="F1823" s="32" t="s">
        <v>183</v>
      </c>
      <c r="J1823" s="32">
        <v>4</v>
      </c>
      <c r="P1823" s="32">
        <v>1760</v>
      </c>
      <c r="R1823" s="32">
        <v>520</v>
      </c>
      <c r="T1823" s="32">
        <v>1240</v>
      </c>
    </row>
    <row r="1824" spans="2:20" ht="12.75" hidden="1" x14ac:dyDescent="0.25">
      <c r="B1824" s="32">
        <v>82</v>
      </c>
      <c r="F1824" s="32" t="s">
        <v>227</v>
      </c>
      <c r="J1824" s="32">
        <v>7</v>
      </c>
      <c r="P1824" s="32">
        <v>3500</v>
      </c>
      <c r="R1824" s="32">
        <v>1050</v>
      </c>
      <c r="T1824" s="32">
        <v>2450</v>
      </c>
    </row>
    <row r="1825" spans="2:20" ht="12.75" hidden="1" x14ac:dyDescent="0.25">
      <c r="B1825" s="32">
        <v>83</v>
      </c>
      <c r="F1825" s="32" t="s">
        <v>336</v>
      </c>
      <c r="J1825" s="32">
        <v>1</v>
      </c>
      <c r="P1825" s="32">
        <v>600</v>
      </c>
      <c r="R1825" s="32">
        <v>250</v>
      </c>
      <c r="T1825" s="32">
        <v>350</v>
      </c>
    </row>
    <row r="1826" spans="2:20" ht="12.75" hidden="1" x14ac:dyDescent="0.25">
      <c r="B1826" s="32">
        <v>84</v>
      </c>
      <c r="F1826" s="32" t="s">
        <v>122</v>
      </c>
      <c r="J1826" s="32">
        <v>26</v>
      </c>
      <c r="P1826" s="32">
        <v>13400</v>
      </c>
      <c r="R1826" s="32">
        <v>3980</v>
      </c>
      <c r="T1826" s="32">
        <v>9420</v>
      </c>
    </row>
    <row r="1827" spans="2:20" ht="12.75" hidden="1" x14ac:dyDescent="0.25">
      <c r="B1827" s="32">
        <v>85</v>
      </c>
      <c r="F1827" s="32" t="s">
        <v>121</v>
      </c>
      <c r="J1827" s="32">
        <v>25</v>
      </c>
      <c r="P1827" s="32">
        <v>12900</v>
      </c>
      <c r="R1827" s="32">
        <v>3870</v>
      </c>
      <c r="T1827" s="32">
        <v>9030</v>
      </c>
    </row>
    <row r="1828" spans="2:20" ht="12.75" hidden="1" x14ac:dyDescent="0.25">
      <c r="B1828" s="32">
        <v>86</v>
      </c>
      <c r="F1828" s="32" t="s">
        <v>282</v>
      </c>
      <c r="J1828" s="32">
        <v>5</v>
      </c>
      <c r="P1828" s="32">
        <v>2500</v>
      </c>
      <c r="R1828" s="32">
        <v>730</v>
      </c>
      <c r="T1828" s="32">
        <v>1770</v>
      </c>
    </row>
    <row r="1829" spans="2:20" ht="12.75" hidden="1" x14ac:dyDescent="0.25">
      <c r="B1829" s="32">
        <v>87</v>
      </c>
      <c r="F1829" s="32" t="s">
        <v>226</v>
      </c>
      <c r="J1829" s="32">
        <v>8</v>
      </c>
      <c r="P1829" s="32">
        <v>4400</v>
      </c>
      <c r="R1829" s="32">
        <v>1150</v>
      </c>
      <c r="T1829" s="32">
        <v>3250</v>
      </c>
    </row>
    <row r="1830" spans="2:20" ht="12.75" hidden="1" x14ac:dyDescent="0.25">
      <c r="B1830" s="32">
        <v>88</v>
      </c>
      <c r="F1830" s="32" t="s">
        <v>182</v>
      </c>
      <c r="J1830" s="32">
        <v>1</v>
      </c>
      <c r="P1830" s="32">
        <v>790</v>
      </c>
      <c r="R1830" s="32">
        <v>120</v>
      </c>
      <c r="T1830" s="32">
        <v>670</v>
      </c>
    </row>
    <row r="1831" spans="2:20" ht="12.75" hidden="1" x14ac:dyDescent="0.25">
      <c r="B1831" s="32">
        <v>89</v>
      </c>
      <c r="F1831" s="32" t="s">
        <v>119</v>
      </c>
      <c r="J1831" s="32">
        <v>101</v>
      </c>
      <c r="P1831" s="32">
        <v>89890</v>
      </c>
      <c r="R1831" s="32">
        <v>28719</v>
      </c>
      <c r="T1831" s="32">
        <v>61171</v>
      </c>
    </row>
    <row r="1832" spans="2:20" ht="12.75" hidden="1" x14ac:dyDescent="0.25">
      <c r="B1832" s="32">
        <v>90</v>
      </c>
      <c r="F1832" s="32" t="s">
        <v>118</v>
      </c>
      <c r="J1832" s="32">
        <v>452</v>
      </c>
      <c r="P1832" s="32">
        <v>447480</v>
      </c>
      <c r="R1832" s="32">
        <v>149529</v>
      </c>
      <c r="T1832" s="32">
        <v>297951</v>
      </c>
    </row>
    <row r="1833" spans="2:20" ht="12.75" hidden="1" x14ac:dyDescent="0.25">
      <c r="B1833" s="32">
        <v>91</v>
      </c>
      <c r="F1833" s="32" t="s">
        <v>117</v>
      </c>
      <c r="J1833" s="32">
        <v>66</v>
      </c>
      <c r="P1833" s="32">
        <v>52900</v>
      </c>
      <c r="R1833" s="32">
        <v>13270</v>
      </c>
      <c r="T1833" s="32">
        <v>39630</v>
      </c>
    </row>
    <row r="1834" spans="2:20" ht="12.75" hidden="1" x14ac:dyDescent="0.25">
      <c r="B1834" s="32">
        <v>92</v>
      </c>
      <c r="F1834" s="32" t="s">
        <v>116</v>
      </c>
      <c r="J1834" s="32">
        <v>1</v>
      </c>
      <c r="P1834" s="32">
        <v>800</v>
      </c>
      <c r="R1834" s="32">
        <v>200</v>
      </c>
      <c r="T1834" s="32">
        <v>600</v>
      </c>
    </row>
    <row r="1835" spans="2:20" ht="12.75" hidden="1" x14ac:dyDescent="0.25">
      <c r="T1835" s="32"/>
    </row>
    <row r="1836" spans="2:20" ht="12.75" hidden="1" x14ac:dyDescent="0.25">
      <c r="B1836" s="32">
        <v>93</v>
      </c>
      <c r="F1836" s="32" t="s">
        <v>115</v>
      </c>
      <c r="J1836" s="32">
        <v>89</v>
      </c>
      <c r="P1836" s="32">
        <v>25810</v>
      </c>
      <c r="R1836" s="32">
        <v>7936</v>
      </c>
      <c r="T1836" s="32">
        <v>17874</v>
      </c>
    </row>
    <row r="1837" spans="2:20" ht="12.75" hidden="1" x14ac:dyDescent="0.25">
      <c r="B1837" s="32">
        <v>94</v>
      </c>
      <c r="F1837" s="32" t="s">
        <v>360</v>
      </c>
      <c r="J1837" s="32">
        <v>2</v>
      </c>
      <c r="P1837" s="32">
        <v>1000</v>
      </c>
      <c r="R1837" s="32">
        <v>300</v>
      </c>
      <c r="T1837" s="32">
        <v>700</v>
      </c>
    </row>
    <row r="1838" spans="2:20" ht="12.75" hidden="1" x14ac:dyDescent="0.25">
      <c r="B1838" s="32">
        <v>95</v>
      </c>
      <c r="F1838" s="32" t="s">
        <v>279</v>
      </c>
      <c r="J1838" s="32">
        <v>3</v>
      </c>
      <c r="P1838" s="32">
        <v>1500</v>
      </c>
      <c r="R1838" s="32">
        <v>430</v>
      </c>
      <c r="T1838" s="32">
        <v>1070</v>
      </c>
    </row>
    <row r="1839" spans="2:20" ht="12.75" hidden="1" x14ac:dyDescent="0.25">
      <c r="B1839" s="32">
        <v>96</v>
      </c>
      <c r="F1839" s="32" t="s">
        <v>409</v>
      </c>
      <c r="J1839" s="32">
        <v>11</v>
      </c>
      <c r="P1839" s="32">
        <v>990</v>
      </c>
      <c r="R1839" s="32">
        <v>0</v>
      </c>
      <c r="T1839" s="32">
        <v>0</v>
      </c>
    </row>
    <row r="1840" spans="2:20" ht="12.75" hidden="1" x14ac:dyDescent="0.25">
      <c r="T1840" s="32"/>
    </row>
    <row r="1841" spans="2:20" ht="12.75" hidden="1" x14ac:dyDescent="0.25">
      <c r="B1841" s="32">
        <v>97</v>
      </c>
      <c r="F1841" s="32" t="s">
        <v>300</v>
      </c>
      <c r="J1841" s="32">
        <v>3</v>
      </c>
      <c r="P1841" s="32">
        <v>990</v>
      </c>
      <c r="R1841" s="32">
        <v>200</v>
      </c>
      <c r="T1841" s="32">
        <v>790</v>
      </c>
    </row>
    <row r="1842" spans="2:20" ht="12.75" hidden="1" x14ac:dyDescent="0.25">
      <c r="B1842" s="32">
        <v>98</v>
      </c>
      <c r="F1842" s="32" t="s">
        <v>221</v>
      </c>
      <c r="J1842" s="32">
        <v>2</v>
      </c>
      <c r="P1842" s="32">
        <v>1980</v>
      </c>
      <c r="R1842" s="32">
        <v>600</v>
      </c>
      <c r="T1842" s="32">
        <v>1380</v>
      </c>
    </row>
    <row r="1843" spans="2:20" ht="12.75" hidden="1" x14ac:dyDescent="0.25">
      <c r="B1843" s="32">
        <v>99</v>
      </c>
      <c r="F1843" s="32" t="s">
        <v>327</v>
      </c>
      <c r="J1843" s="32">
        <v>2</v>
      </c>
      <c r="P1843" s="32">
        <v>1760</v>
      </c>
      <c r="R1843" s="32">
        <v>260</v>
      </c>
      <c r="T1843" s="32">
        <v>1500</v>
      </c>
    </row>
    <row r="1844" spans="2:20" ht="12.75" hidden="1" x14ac:dyDescent="0.25">
      <c r="B1844" s="32">
        <v>100</v>
      </c>
      <c r="F1844" s="32" t="s">
        <v>220</v>
      </c>
      <c r="J1844" s="32">
        <v>1</v>
      </c>
      <c r="P1844" s="32">
        <v>350</v>
      </c>
      <c r="R1844" s="32">
        <v>100</v>
      </c>
      <c r="T1844" s="32">
        <v>250</v>
      </c>
    </row>
    <row r="1845" spans="2:20" ht="12.75" hidden="1" x14ac:dyDescent="0.25">
      <c r="B1845" s="32">
        <v>101</v>
      </c>
      <c r="F1845" s="32" t="s">
        <v>219</v>
      </c>
      <c r="J1845" s="32">
        <v>12</v>
      </c>
      <c r="P1845" s="32">
        <v>6000</v>
      </c>
      <c r="R1845" s="32">
        <v>1760</v>
      </c>
      <c r="T1845" s="32">
        <v>4240</v>
      </c>
    </row>
    <row r="1846" spans="2:20" ht="12.75" hidden="1" x14ac:dyDescent="0.25">
      <c r="B1846" s="32">
        <v>102</v>
      </c>
      <c r="F1846" s="32" t="s">
        <v>258</v>
      </c>
      <c r="J1846" s="32">
        <v>1</v>
      </c>
      <c r="P1846" s="32">
        <v>330</v>
      </c>
      <c r="R1846" s="32">
        <v>0</v>
      </c>
      <c r="T1846" s="32">
        <v>330</v>
      </c>
    </row>
    <row r="1847" spans="2:20" ht="12.75" hidden="1" x14ac:dyDescent="0.25">
      <c r="B1847" s="32">
        <v>103</v>
      </c>
      <c r="F1847" s="32" t="s">
        <v>181</v>
      </c>
      <c r="J1847" s="32">
        <v>4</v>
      </c>
      <c r="P1847" s="32">
        <v>3160</v>
      </c>
      <c r="R1847" s="32">
        <v>480</v>
      </c>
      <c r="T1847" s="32">
        <v>2680</v>
      </c>
    </row>
    <row r="1848" spans="2:20" ht="12.75" hidden="1" x14ac:dyDescent="0.25">
      <c r="B1848" s="32">
        <v>104</v>
      </c>
      <c r="F1848" s="32" t="s">
        <v>171</v>
      </c>
      <c r="J1848" s="32">
        <v>3</v>
      </c>
      <c r="P1848" s="32">
        <v>1590</v>
      </c>
      <c r="R1848" s="32">
        <v>480</v>
      </c>
      <c r="T1848" s="32">
        <v>1110</v>
      </c>
    </row>
    <row r="1849" spans="2:20" ht="12.75" hidden="1" x14ac:dyDescent="0.25">
      <c r="B1849" s="32">
        <v>105</v>
      </c>
      <c r="F1849" s="32" t="s">
        <v>111</v>
      </c>
      <c r="J1849" s="32">
        <v>8</v>
      </c>
      <c r="P1849" s="32">
        <v>3440</v>
      </c>
      <c r="R1849" s="32">
        <v>1040</v>
      </c>
      <c r="T1849" s="32">
        <v>2400</v>
      </c>
    </row>
    <row r="1850" spans="2:20" ht="12.75" hidden="1" x14ac:dyDescent="0.25">
      <c r="B1850" s="32">
        <v>106</v>
      </c>
      <c r="F1850" s="32" t="s">
        <v>257</v>
      </c>
      <c r="J1850" s="32">
        <v>8</v>
      </c>
      <c r="P1850" s="32">
        <v>7920</v>
      </c>
      <c r="R1850" s="32">
        <v>1050</v>
      </c>
      <c r="T1850" s="32">
        <v>6870</v>
      </c>
    </row>
    <row r="1851" spans="2:20" ht="12.75" hidden="1" x14ac:dyDescent="0.25">
      <c r="B1851" s="32">
        <v>107</v>
      </c>
      <c r="F1851" s="32" t="s">
        <v>109</v>
      </c>
      <c r="J1851" s="32">
        <v>13</v>
      </c>
      <c r="P1851" s="32">
        <v>10140</v>
      </c>
      <c r="R1851" s="32">
        <v>2760</v>
      </c>
      <c r="T1851" s="32">
        <v>7380</v>
      </c>
    </row>
    <row r="1852" spans="2:20" ht="12.75" hidden="1" x14ac:dyDescent="0.25">
      <c r="B1852" s="32">
        <v>108</v>
      </c>
      <c r="F1852" s="32" t="s">
        <v>108</v>
      </c>
      <c r="J1852" s="32">
        <v>730</v>
      </c>
      <c r="P1852" s="32">
        <v>73000</v>
      </c>
      <c r="R1852" s="32">
        <v>12030</v>
      </c>
      <c r="T1852" s="32">
        <v>60970</v>
      </c>
    </row>
    <row r="1853" spans="2:20" ht="12.75" hidden="1" x14ac:dyDescent="0.25">
      <c r="B1853" s="32">
        <v>109</v>
      </c>
      <c r="F1853" s="32" t="s">
        <v>107</v>
      </c>
      <c r="J1853" s="32">
        <v>177</v>
      </c>
      <c r="P1853" s="32">
        <v>30090</v>
      </c>
      <c r="R1853" s="32">
        <v>9295</v>
      </c>
      <c r="T1853" s="32">
        <v>20795</v>
      </c>
    </row>
    <row r="1854" spans="2:20" ht="12.75" hidden="1" x14ac:dyDescent="0.25">
      <c r="B1854" s="32">
        <v>110</v>
      </c>
      <c r="F1854" s="32" t="s">
        <v>106</v>
      </c>
      <c r="J1854" s="32">
        <v>146</v>
      </c>
      <c r="P1854" s="32">
        <v>14600</v>
      </c>
      <c r="R1854" s="32">
        <v>2490</v>
      </c>
      <c r="T1854" s="32">
        <v>12110</v>
      </c>
    </row>
    <row r="1855" spans="2:20" ht="12.75" hidden="1" x14ac:dyDescent="0.25">
      <c r="B1855" s="32">
        <v>111</v>
      </c>
      <c r="F1855" s="32" t="s">
        <v>333</v>
      </c>
      <c r="J1855" s="32">
        <v>2</v>
      </c>
      <c r="P1855" s="32">
        <v>1580</v>
      </c>
      <c r="R1855" s="32">
        <v>480</v>
      </c>
      <c r="T1855" s="32">
        <v>1100</v>
      </c>
    </row>
    <row r="1856" spans="2:20" ht="12.75" hidden="1" x14ac:dyDescent="0.25">
      <c r="B1856" s="32">
        <v>112</v>
      </c>
      <c r="F1856" s="32" t="s">
        <v>255</v>
      </c>
      <c r="J1856" s="32">
        <v>1</v>
      </c>
      <c r="P1856" s="32">
        <v>950</v>
      </c>
      <c r="R1856" s="32">
        <v>140</v>
      </c>
      <c r="T1856" s="32">
        <v>810</v>
      </c>
    </row>
    <row r="1857" spans="2:20" ht="12.75" hidden="1" x14ac:dyDescent="0.25">
      <c r="B1857" s="32">
        <v>113</v>
      </c>
      <c r="F1857" s="32" t="s">
        <v>216</v>
      </c>
      <c r="J1857" s="32">
        <v>4</v>
      </c>
      <c r="P1857" s="32">
        <v>4320</v>
      </c>
      <c r="R1857" s="32">
        <v>660</v>
      </c>
      <c r="T1857" s="32">
        <v>3660</v>
      </c>
    </row>
    <row r="1858" spans="2:20" ht="12.75" hidden="1" x14ac:dyDescent="0.25">
      <c r="B1858" s="32">
        <v>114</v>
      </c>
      <c r="F1858" s="32" t="s">
        <v>105</v>
      </c>
      <c r="J1858" s="32">
        <v>10</v>
      </c>
      <c r="P1858" s="32">
        <v>11500</v>
      </c>
      <c r="R1858" s="32">
        <v>0</v>
      </c>
      <c r="T1858" s="32">
        <v>11500</v>
      </c>
    </row>
    <row r="1859" spans="2:20" ht="12.75" hidden="1" x14ac:dyDescent="0.25">
      <c r="B1859" s="32">
        <v>115</v>
      </c>
      <c r="F1859" s="32" t="s">
        <v>214</v>
      </c>
      <c r="J1859" s="32">
        <v>1</v>
      </c>
      <c r="P1859" s="32">
        <v>990</v>
      </c>
      <c r="R1859" s="32">
        <v>150</v>
      </c>
      <c r="T1859" s="32">
        <v>840</v>
      </c>
    </row>
    <row r="1860" spans="2:20" ht="12.75" hidden="1" x14ac:dyDescent="0.25">
      <c r="B1860" s="32">
        <v>116</v>
      </c>
      <c r="F1860" s="32" t="s">
        <v>103</v>
      </c>
      <c r="J1860" s="32">
        <v>51</v>
      </c>
      <c r="P1860" s="32">
        <v>16830</v>
      </c>
      <c r="R1860" s="32">
        <v>6440</v>
      </c>
      <c r="T1860" s="32">
        <v>10390</v>
      </c>
    </row>
    <row r="1861" spans="2:20" ht="12.75" hidden="1" x14ac:dyDescent="0.25">
      <c r="B1861" s="32">
        <v>117</v>
      </c>
      <c r="F1861" s="32" t="s">
        <v>213</v>
      </c>
      <c r="J1861" s="32">
        <v>3</v>
      </c>
      <c r="P1861" s="32">
        <v>2100</v>
      </c>
      <c r="R1861" s="32">
        <v>1050</v>
      </c>
      <c r="T1861" s="32">
        <v>1050</v>
      </c>
    </row>
    <row r="1862" spans="2:20" ht="12.75" hidden="1" x14ac:dyDescent="0.25">
      <c r="B1862" s="32">
        <v>118</v>
      </c>
      <c r="F1862" s="32" t="s">
        <v>211</v>
      </c>
      <c r="J1862" s="32">
        <v>10</v>
      </c>
      <c r="P1862" s="32">
        <v>5000</v>
      </c>
      <c r="R1862" s="32">
        <v>1330</v>
      </c>
      <c r="T1862" s="32">
        <v>3670</v>
      </c>
    </row>
    <row r="1863" spans="2:20" ht="12.75" hidden="1" x14ac:dyDescent="0.25">
      <c r="B1863" s="32">
        <v>119</v>
      </c>
      <c r="F1863" s="32" t="s">
        <v>276</v>
      </c>
      <c r="J1863" s="32">
        <v>10</v>
      </c>
      <c r="P1863" s="32">
        <v>5400</v>
      </c>
      <c r="R1863" s="32">
        <v>1450</v>
      </c>
      <c r="T1863" s="32">
        <v>3950</v>
      </c>
    </row>
    <row r="1864" spans="2:20" ht="12.75" hidden="1" x14ac:dyDescent="0.25">
      <c r="B1864" s="32">
        <v>120</v>
      </c>
      <c r="F1864" s="32" t="s">
        <v>275</v>
      </c>
      <c r="J1864" s="32">
        <v>3</v>
      </c>
      <c r="P1864" s="32">
        <v>2100</v>
      </c>
      <c r="R1864" s="32">
        <v>1050</v>
      </c>
      <c r="T1864" s="32">
        <v>1050</v>
      </c>
    </row>
    <row r="1865" spans="2:20" ht="12.75" hidden="1" x14ac:dyDescent="0.25">
      <c r="B1865" s="32">
        <v>121</v>
      </c>
      <c r="F1865" s="32" t="s">
        <v>307</v>
      </c>
      <c r="J1865" s="32">
        <v>7</v>
      </c>
      <c r="P1865" s="32">
        <v>5100</v>
      </c>
      <c r="R1865" s="32">
        <v>2200</v>
      </c>
      <c r="T1865" s="32">
        <v>2900</v>
      </c>
    </row>
    <row r="1866" spans="2:20" ht="12.75" hidden="1" x14ac:dyDescent="0.25">
      <c r="B1866" s="32">
        <v>122</v>
      </c>
      <c r="F1866" s="32" t="s">
        <v>408</v>
      </c>
      <c r="J1866" s="32">
        <v>33</v>
      </c>
      <c r="P1866" s="32">
        <v>16500</v>
      </c>
      <c r="R1866" s="32">
        <v>4800</v>
      </c>
      <c r="T1866" s="32">
        <v>11700</v>
      </c>
    </row>
    <row r="1867" spans="2:20" ht="12.75" hidden="1" x14ac:dyDescent="0.25">
      <c r="B1867" s="32">
        <v>123</v>
      </c>
      <c r="F1867" s="32" t="s">
        <v>102</v>
      </c>
      <c r="J1867" s="32">
        <v>28</v>
      </c>
      <c r="P1867" s="32">
        <v>24640</v>
      </c>
      <c r="R1867" s="32">
        <v>3250</v>
      </c>
      <c r="T1867" s="32">
        <v>21390</v>
      </c>
    </row>
    <row r="1868" spans="2:20" ht="12.75" hidden="1" x14ac:dyDescent="0.25">
      <c r="B1868" s="32">
        <v>124</v>
      </c>
      <c r="F1868" s="32" t="s">
        <v>101</v>
      </c>
      <c r="J1868" s="32">
        <v>2</v>
      </c>
      <c r="P1868" s="32">
        <v>920</v>
      </c>
      <c r="R1868" s="32">
        <v>280</v>
      </c>
      <c r="T1868" s="32">
        <v>640</v>
      </c>
    </row>
    <row r="1869" spans="2:20" ht="12.75" hidden="1" x14ac:dyDescent="0.25">
      <c r="B1869" s="32">
        <v>125</v>
      </c>
      <c r="F1869" s="32" t="s">
        <v>179</v>
      </c>
      <c r="J1869" s="32">
        <v>1</v>
      </c>
      <c r="P1869" s="32">
        <v>880</v>
      </c>
      <c r="R1869" s="32">
        <v>130</v>
      </c>
      <c r="T1869" s="32">
        <v>750</v>
      </c>
    </row>
    <row r="1870" spans="2:20" ht="12.75" hidden="1" x14ac:dyDescent="0.25">
      <c r="B1870" s="32">
        <v>126</v>
      </c>
      <c r="F1870" s="32" t="s">
        <v>100</v>
      </c>
      <c r="J1870" s="32">
        <v>19</v>
      </c>
      <c r="P1870" s="32">
        <v>3420</v>
      </c>
      <c r="R1870" s="32">
        <v>852</v>
      </c>
      <c r="T1870" s="32">
        <v>2568</v>
      </c>
    </row>
    <row r="1871" spans="2:20" ht="12.75" hidden="1" x14ac:dyDescent="0.25">
      <c r="B1871" s="32">
        <v>127</v>
      </c>
      <c r="F1871" s="32" t="s">
        <v>178</v>
      </c>
      <c r="J1871" s="32">
        <v>5</v>
      </c>
      <c r="P1871" s="32">
        <v>8250</v>
      </c>
      <c r="R1871" s="32">
        <v>0</v>
      </c>
      <c r="T1871" s="32">
        <v>8250</v>
      </c>
    </row>
    <row r="1872" spans="2:20" ht="12.75" hidden="1" x14ac:dyDescent="0.25">
      <c r="B1872" s="32">
        <v>128</v>
      </c>
      <c r="F1872" s="32" t="s">
        <v>99</v>
      </c>
      <c r="J1872" s="32">
        <v>4</v>
      </c>
      <c r="P1872" s="32">
        <v>2360</v>
      </c>
      <c r="R1872" s="32">
        <v>329</v>
      </c>
      <c r="T1872" s="32">
        <v>2031</v>
      </c>
    </row>
    <row r="1873" spans="2:20" ht="12.75" hidden="1" x14ac:dyDescent="0.25">
      <c r="B1873" s="32">
        <v>129</v>
      </c>
      <c r="F1873" s="32" t="s">
        <v>98</v>
      </c>
      <c r="J1873" s="32">
        <v>5</v>
      </c>
      <c r="P1873" s="32">
        <v>2850</v>
      </c>
      <c r="R1873" s="32">
        <v>377</v>
      </c>
      <c r="T1873" s="32">
        <v>2473</v>
      </c>
    </row>
    <row r="1874" spans="2:20" ht="12.75" hidden="1" x14ac:dyDescent="0.25">
      <c r="B1874" s="32">
        <v>130</v>
      </c>
      <c r="F1874" s="32" t="s">
        <v>176</v>
      </c>
      <c r="J1874" s="32">
        <v>1</v>
      </c>
      <c r="P1874" s="32">
        <v>1060</v>
      </c>
      <c r="R1874" s="32">
        <v>160</v>
      </c>
      <c r="T1874" s="32">
        <v>900</v>
      </c>
    </row>
    <row r="1875" spans="2:20" ht="12.75" hidden="1" x14ac:dyDescent="0.25">
      <c r="B1875" s="32">
        <v>131</v>
      </c>
      <c r="F1875" s="32" t="s">
        <v>97</v>
      </c>
      <c r="J1875" s="32">
        <v>9</v>
      </c>
      <c r="P1875" s="32">
        <v>14310</v>
      </c>
      <c r="R1875" s="32">
        <v>2160</v>
      </c>
      <c r="T1875" s="32">
        <v>12150</v>
      </c>
    </row>
    <row r="1876" spans="2:20" ht="12.75" hidden="1" x14ac:dyDescent="0.25">
      <c r="B1876" s="32">
        <v>132</v>
      </c>
      <c r="F1876" s="32" t="s">
        <v>96</v>
      </c>
      <c r="J1876" s="32">
        <v>3</v>
      </c>
      <c r="P1876" s="32">
        <v>1320</v>
      </c>
      <c r="R1876" s="32">
        <v>390</v>
      </c>
      <c r="T1876" s="32">
        <v>930</v>
      </c>
    </row>
    <row r="1877" spans="2:20" ht="12.75" hidden="1" x14ac:dyDescent="0.25">
      <c r="B1877" s="32">
        <v>133</v>
      </c>
      <c r="F1877" s="32" t="s">
        <v>332</v>
      </c>
      <c r="J1877" s="32">
        <v>1</v>
      </c>
      <c r="P1877" s="32">
        <v>290</v>
      </c>
      <c r="R1877" s="32">
        <v>100</v>
      </c>
      <c r="T1877" s="32">
        <v>190</v>
      </c>
    </row>
    <row r="1878" spans="2:20" ht="12.75" hidden="1" x14ac:dyDescent="0.25">
      <c r="B1878" s="32">
        <v>134</v>
      </c>
      <c r="F1878" s="32" t="s">
        <v>324</v>
      </c>
      <c r="J1878" s="32">
        <v>1</v>
      </c>
      <c r="P1878" s="32">
        <v>350</v>
      </c>
      <c r="R1878" s="32">
        <v>160</v>
      </c>
      <c r="T1878" s="32">
        <v>190</v>
      </c>
    </row>
    <row r="1879" spans="2:20" ht="12.75" hidden="1" x14ac:dyDescent="0.25">
      <c r="B1879" s="32">
        <v>135</v>
      </c>
      <c r="F1879" s="32" t="s">
        <v>95</v>
      </c>
      <c r="J1879" s="32">
        <v>13</v>
      </c>
      <c r="P1879" s="32">
        <v>3770</v>
      </c>
      <c r="R1879" s="32">
        <v>1040</v>
      </c>
      <c r="T1879" s="32">
        <v>2730</v>
      </c>
    </row>
    <row r="1880" spans="2:20" ht="12.75" hidden="1" x14ac:dyDescent="0.25">
      <c r="B1880" s="32">
        <v>136</v>
      </c>
      <c r="F1880" s="32" t="s">
        <v>253</v>
      </c>
      <c r="J1880" s="32">
        <v>3</v>
      </c>
      <c r="P1880" s="32">
        <v>870</v>
      </c>
      <c r="R1880" s="32">
        <v>290</v>
      </c>
      <c r="T1880" s="32">
        <v>580</v>
      </c>
    </row>
    <row r="1881" spans="2:20" ht="12.75" hidden="1" x14ac:dyDescent="0.25">
      <c r="B1881" s="32">
        <v>137</v>
      </c>
      <c r="F1881" s="32" t="s">
        <v>93</v>
      </c>
      <c r="J1881" s="32">
        <v>29</v>
      </c>
      <c r="P1881" s="32">
        <v>17110</v>
      </c>
      <c r="R1881" s="32">
        <v>2579</v>
      </c>
      <c r="T1881" s="32">
        <v>14531</v>
      </c>
    </row>
    <row r="1882" spans="2:20" ht="12.75" hidden="1" x14ac:dyDescent="0.25">
      <c r="B1882" s="32">
        <v>138</v>
      </c>
      <c r="F1882" s="32" t="s">
        <v>92</v>
      </c>
      <c r="J1882" s="32">
        <v>88</v>
      </c>
      <c r="P1882" s="32">
        <v>65120</v>
      </c>
      <c r="R1882" s="32">
        <v>16413</v>
      </c>
      <c r="T1882" s="32">
        <v>48707</v>
      </c>
    </row>
    <row r="1883" spans="2:20" ht="12.75" hidden="1" x14ac:dyDescent="0.25">
      <c r="B1883" s="32">
        <v>139</v>
      </c>
      <c r="F1883" s="32" t="s">
        <v>305</v>
      </c>
      <c r="J1883" s="32">
        <v>4</v>
      </c>
      <c r="P1883" s="32">
        <v>2400</v>
      </c>
      <c r="R1883" s="32">
        <v>720</v>
      </c>
      <c r="T1883" s="32">
        <v>1680</v>
      </c>
    </row>
    <row r="1884" spans="2:20" ht="12.75" hidden="1" x14ac:dyDescent="0.25">
      <c r="B1884" s="32">
        <v>140</v>
      </c>
      <c r="F1884" s="32" t="s">
        <v>297</v>
      </c>
      <c r="J1884" s="32">
        <v>30</v>
      </c>
      <c r="P1884" s="32">
        <v>12000</v>
      </c>
      <c r="R1884" s="32">
        <v>3460</v>
      </c>
      <c r="T1884" s="32">
        <v>8540</v>
      </c>
    </row>
    <row r="1885" spans="2:20" ht="12.75" hidden="1" x14ac:dyDescent="0.25">
      <c r="B1885" s="32">
        <v>141</v>
      </c>
      <c r="F1885" s="32" t="s">
        <v>175</v>
      </c>
      <c r="J1885" s="32">
        <v>85</v>
      </c>
      <c r="P1885" s="32">
        <v>51000</v>
      </c>
      <c r="R1885" s="32">
        <v>14590</v>
      </c>
      <c r="T1885" s="32">
        <v>36410</v>
      </c>
    </row>
    <row r="1886" spans="2:20" ht="12.75" hidden="1" x14ac:dyDescent="0.25">
      <c r="B1886" s="32">
        <v>142</v>
      </c>
      <c r="F1886" s="32" t="s">
        <v>357</v>
      </c>
      <c r="J1886" s="32">
        <v>1</v>
      </c>
      <c r="P1886" s="32">
        <v>500</v>
      </c>
      <c r="R1886" s="32">
        <v>150</v>
      </c>
      <c r="T1886" s="32">
        <v>350</v>
      </c>
    </row>
    <row r="1887" spans="2:20" ht="12.75" hidden="1" x14ac:dyDescent="0.25">
      <c r="B1887" s="32">
        <v>143</v>
      </c>
      <c r="F1887" s="32" t="s">
        <v>174</v>
      </c>
      <c r="J1887" s="32">
        <v>145</v>
      </c>
      <c r="P1887" s="32">
        <v>58000</v>
      </c>
      <c r="R1887" s="32">
        <v>16271</v>
      </c>
      <c r="T1887" s="32">
        <v>41729</v>
      </c>
    </row>
    <row r="1888" spans="2:20" ht="12.75" hidden="1" x14ac:dyDescent="0.25">
      <c r="B1888" s="32">
        <v>144</v>
      </c>
      <c r="F1888" s="32" t="s">
        <v>355</v>
      </c>
      <c r="J1888" s="32">
        <v>19</v>
      </c>
      <c r="P1888" s="32">
        <v>11400</v>
      </c>
      <c r="R1888" s="32">
        <v>3060</v>
      </c>
      <c r="T1888" s="32">
        <v>8340</v>
      </c>
    </row>
    <row r="1889" spans="2:20" ht="12.75" hidden="1" x14ac:dyDescent="0.25">
      <c r="B1889" s="32">
        <v>145</v>
      </c>
      <c r="F1889" s="32" t="s">
        <v>173</v>
      </c>
      <c r="J1889" s="32">
        <v>231</v>
      </c>
      <c r="P1889" s="32">
        <v>231000</v>
      </c>
      <c r="R1889" s="32">
        <v>66947</v>
      </c>
      <c r="T1889" s="32">
        <v>164053</v>
      </c>
    </row>
    <row r="1890" spans="2:20" ht="12.75" hidden="1" x14ac:dyDescent="0.25">
      <c r="B1890" s="32">
        <v>146</v>
      </c>
      <c r="F1890" s="32" t="s">
        <v>296</v>
      </c>
      <c r="J1890" s="32">
        <v>15</v>
      </c>
      <c r="P1890" s="32">
        <v>18000</v>
      </c>
      <c r="R1890" s="32">
        <v>5040</v>
      </c>
      <c r="T1890" s="32">
        <v>12960</v>
      </c>
    </row>
    <row r="1891" spans="2:20" ht="12.75" hidden="1" x14ac:dyDescent="0.25">
      <c r="B1891" s="32">
        <v>147</v>
      </c>
      <c r="F1891" s="32" t="s">
        <v>91</v>
      </c>
      <c r="J1891" s="32">
        <v>94</v>
      </c>
      <c r="P1891" s="32">
        <v>23500</v>
      </c>
      <c r="R1891" s="32">
        <v>6508</v>
      </c>
      <c r="T1891" s="32">
        <v>16992</v>
      </c>
    </row>
    <row r="1892" spans="2:20" ht="12.75" hidden="1" x14ac:dyDescent="0.25">
      <c r="B1892" s="32">
        <v>148</v>
      </c>
      <c r="F1892" s="32" t="s">
        <v>90</v>
      </c>
      <c r="J1892" s="32">
        <v>47</v>
      </c>
      <c r="P1892" s="32">
        <v>13630</v>
      </c>
      <c r="R1892" s="32">
        <v>3600</v>
      </c>
      <c r="T1892" s="32">
        <v>10030</v>
      </c>
    </row>
    <row r="1893" spans="2:20" ht="12.75" hidden="1" x14ac:dyDescent="0.25">
      <c r="B1893" s="32">
        <v>149</v>
      </c>
      <c r="F1893" s="32" t="s">
        <v>89</v>
      </c>
      <c r="J1893" s="32">
        <v>13</v>
      </c>
      <c r="P1893" s="32">
        <v>11440</v>
      </c>
      <c r="R1893" s="32">
        <v>1639</v>
      </c>
      <c r="T1893" s="32">
        <v>9801</v>
      </c>
    </row>
    <row r="1894" spans="2:20" ht="12.75" hidden="1" x14ac:dyDescent="0.25">
      <c r="B1894" s="32">
        <v>150</v>
      </c>
      <c r="F1894" s="32" t="s">
        <v>88</v>
      </c>
      <c r="J1894" s="32">
        <v>250</v>
      </c>
      <c r="P1894" s="32">
        <v>45000</v>
      </c>
      <c r="R1894" s="32">
        <v>14208</v>
      </c>
      <c r="T1894" s="32">
        <v>30792</v>
      </c>
    </row>
    <row r="1895" spans="2:20" ht="12.75" hidden="1" x14ac:dyDescent="0.25">
      <c r="B1895" s="32">
        <v>151</v>
      </c>
      <c r="F1895" s="32" t="s">
        <v>87</v>
      </c>
      <c r="J1895" s="32">
        <v>10</v>
      </c>
      <c r="P1895" s="32">
        <v>2900</v>
      </c>
      <c r="R1895" s="32">
        <v>720</v>
      </c>
      <c r="T1895" s="32">
        <v>2180</v>
      </c>
    </row>
    <row r="1896" spans="2:20" ht="12.75" hidden="1" x14ac:dyDescent="0.25">
      <c r="B1896" s="32">
        <v>152</v>
      </c>
      <c r="F1896" s="32" t="s">
        <v>86</v>
      </c>
      <c r="J1896" s="32">
        <v>4</v>
      </c>
      <c r="P1896" s="32">
        <v>4560</v>
      </c>
      <c r="R1896" s="32">
        <v>510</v>
      </c>
      <c r="T1896" s="32">
        <v>4050</v>
      </c>
    </row>
    <row r="1897" spans="2:20" ht="12.75" hidden="1" x14ac:dyDescent="0.25">
      <c r="B1897" s="32">
        <v>153</v>
      </c>
      <c r="F1897" s="32" t="s">
        <v>85</v>
      </c>
      <c r="J1897" s="32">
        <v>11</v>
      </c>
      <c r="P1897" s="32">
        <v>22880</v>
      </c>
      <c r="R1897" s="32">
        <v>3410</v>
      </c>
      <c r="T1897" s="32">
        <v>19470</v>
      </c>
    </row>
    <row r="1898" spans="2:20" ht="12.75" hidden="1" x14ac:dyDescent="0.25">
      <c r="B1898" s="32">
        <v>154</v>
      </c>
      <c r="F1898" s="32" t="s">
        <v>84</v>
      </c>
      <c r="J1898" s="32">
        <v>67</v>
      </c>
      <c r="P1898" s="32">
        <v>39530</v>
      </c>
      <c r="R1898" s="32">
        <v>11119</v>
      </c>
      <c r="T1898" s="32">
        <v>28411</v>
      </c>
    </row>
    <row r="1899" spans="2:20" ht="12.75" hidden="1" x14ac:dyDescent="0.25">
      <c r="B1899" s="32">
        <v>155</v>
      </c>
      <c r="F1899" s="32" t="s">
        <v>331</v>
      </c>
      <c r="J1899" s="32">
        <v>2</v>
      </c>
      <c r="P1899" s="32">
        <v>1000</v>
      </c>
      <c r="R1899" s="32">
        <v>300</v>
      </c>
      <c r="T1899" s="32">
        <v>700</v>
      </c>
    </row>
    <row r="1900" spans="2:20" ht="12.75" hidden="1" x14ac:dyDescent="0.25">
      <c r="B1900" s="32">
        <v>156</v>
      </c>
      <c r="F1900" s="32" t="s">
        <v>208</v>
      </c>
      <c r="J1900" s="32">
        <v>9</v>
      </c>
      <c r="P1900" s="32">
        <v>4500</v>
      </c>
      <c r="R1900" s="32">
        <v>1350</v>
      </c>
      <c r="T1900" s="32">
        <v>3150</v>
      </c>
    </row>
    <row r="1901" spans="2:20" ht="12.75" hidden="1" x14ac:dyDescent="0.25">
      <c r="B1901" s="32">
        <v>157</v>
      </c>
      <c r="F1901" s="32" t="s">
        <v>273</v>
      </c>
      <c r="J1901" s="32">
        <v>3</v>
      </c>
      <c r="P1901" s="32">
        <v>1500</v>
      </c>
      <c r="R1901" s="32">
        <v>430</v>
      </c>
      <c r="T1901" s="32">
        <v>1070</v>
      </c>
    </row>
    <row r="1902" spans="2:20" ht="12.75" hidden="1" x14ac:dyDescent="0.25">
      <c r="B1902" s="32">
        <v>158</v>
      </c>
      <c r="F1902" s="32" t="s">
        <v>206</v>
      </c>
      <c r="J1902" s="32">
        <v>1</v>
      </c>
      <c r="P1902" s="32">
        <v>500</v>
      </c>
      <c r="R1902" s="32">
        <v>0</v>
      </c>
      <c r="T1902" s="32">
        <v>500</v>
      </c>
    </row>
    <row r="1903" spans="2:20" ht="12.75" hidden="1" x14ac:dyDescent="0.25">
      <c r="B1903" s="32">
        <v>159</v>
      </c>
      <c r="F1903" s="32" t="s">
        <v>272</v>
      </c>
      <c r="J1903" s="32">
        <v>2</v>
      </c>
      <c r="P1903" s="32">
        <v>1000</v>
      </c>
      <c r="R1903" s="32">
        <v>300</v>
      </c>
      <c r="T1903" s="32">
        <v>700</v>
      </c>
    </row>
    <row r="1904" spans="2:20" ht="12.75" hidden="1" x14ac:dyDescent="0.25">
      <c r="B1904" s="32">
        <v>160</v>
      </c>
      <c r="F1904" s="32" t="s">
        <v>205</v>
      </c>
      <c r="J1904" s="32">
        <v>10</v>
      </c>
      <c r="P1904" s="32">
        <v>5000</v>
      </c>
      <c r="R1904" s="32">
        <v>1480</v>
      </c>
      <c r="T1904" s="32">
        <v>3520</v>
      </c>
    </row>
    <row r="1905" spans="1:20" ht="12.75" hidden="1" x14ac:dyDescent="0.25">
      <c r="B1905" s="32">
        <v>161</v>
      </c>
      <c r="F1905" s="32" t="s">
        <v>83</v>
      </c>
      <c r="J1905" s="32">
        <v>1</v>
      </c>
      <c r="P1905" s="32">
        <v>500</v>
      </c>
      <c r="R1905" s="32">
        <v>150</v>
      </c>
      <c r="T1905" s="32">
        <v>350</v>
      </c>
    </row>
    <row r="1906" spans="1:20" ht="12.75" hidden="1" x14ac:dyDescent="0.25">
      <c r="B1906" s="32">
        <v>162</v>
      </c>
      <c r="F1906" s="32" t="s">
        <v>271</v>
      </c>
      <c r="J1906" s="32">
        <v>5</v>
      </c>
      <c r="P1906" s="32">
        <v>2500</v>
      </c>
      <c r="R1906" s="32">
        <v>675</v>
      </c>
      <c r="T1906" s="32">
        <v>1825</v>
      </c>
    </row>
    <row r="1907" spans="1:20" ht="12.75" hidden="1" x14ac:dyDescent="0.25">
      <c r="B1907" s="32">
        <v>163</v>
      </c>
      <c r="F1907" s="32" t="s">
        <v>363</v>
      </c>
      <c r="J1907" s="32">
        <v>2</v>
      </c>
      <c r="P1907" s="32">
        <v>1000</v>
      </c>
      <c r="R1907" s="32">
        <v>300</v>
      </c>
      <c r="T1907" s="32">
        <v>700</v>
      </c>
    </row>
    <row r="1908" spans="1:20" ht="12.75" hidden="1" x14ac:dyDescent="0.25">
      <c r="B1908" s="32">
        <v>164</v>
      </c>
      <c r="F1908" s="32" t="s">
        <v>82</v>
      </c>
      <c r="J1908" s="32">
        <v>1</v>
      </c>
      <c r="P1908" s="32">
        <v>290</v>
      </c>
      <c r="R1908" s="32">
        <v>290</v>
      </c>
      <c r="T1908" s="32">
        <v>0</v>
      </c>
    </row>
    <row r="1909" spans="1:20" ht="12.75" hidden="1" x14ac:dyDescent="0.25">
      <c r="B1909" s="32">
        <v>165</v>
      </c>
      <c r="F1909" s="32" t="s">
        <v>81</v>
      </c>
      <c r="J1909" s="32">
        <v>216</v>
      </c>
      <c r="P1909" s="32">
        <v>62640</v>
      </c>
      <c r="R1909" s="32">
        <v>23011</v>
      </c>
      <c r="T1909" s="32">
        <v>39629</v>
      </c>
    </row>
    <row r="1910" spans="1:20" ht="12.75" hidden="1" x14ac:dyDescent="0.25">
      <c r="A1910" s="32" t="s">
        <v>407</v>
      </c>
      <c r="K1910" s="32">
        <v>3890</v>
      </c>
      <c r="P1910" s="32">
        <v>3506220</v>
      </c>
      <c r="R1910" s="32">
        <v>2995685</v>
      </c>
      <c r="T1910" s="32">
        <v>510535</v>
      </c>
    </row>
    <row r="1911" spans="1:20" ht="12.75" hidden="1" x14ac:dyDescent="0.25">
      <c r="B1911" s="32">
        <v>1</v>
      </c>
      <c r="F1911" s="32" t="s">
        <v>78</v>
      </c>
      <c r="J1911" s="32">
        <v>76</v>
      </c>
      <c r="P1911" s="32">
        <v>22040</v>
      </c>
      <c r="R1911" s="32">
        <v>22040</v>
      </c>
      <c r="T1911" s="32">
        <v>0</v>
      </c>
    </row>
    <row r="1912" spans="1:20" ht="12.75" hidden="1" x14ac:dyDescent="0.25">
      <c r="B1912" s="32">
        <v>2</v>
      </c>
      <c r="F1912" s="32" t="s">
        <v>167</v>
      </c>
      <c r="J1912" s="32">
        <v>1</v>
      </c>
      <c r="P1912" s="32">
        <v>570</v>
      </c>
      <c r="R1912" s="32">
        <v>170</v>
      </c>
      <c r="T1912" s="32">
        <v>400</v>
      </c>
    </row>
    <row r="1913" spans="1:20" ht="12.75" hidden="1" x14ac:dyDescent="0.25">
      <c r="B1913" s="32">
        <v>3</v>
      </c>
      <c r="F1913" s="32" t="s">
        <v>165</v>
      </c>
      <c r="J1913" s="32">
        <v>1</v>
      </c>
      <c r="P1913" s="32">
        <v>590</v>
      </c>
      <c r="R1913" s="32">
        <v>180</v>
      </c>
      <c r="T1913" s="32">
        <v>410</v>
      </c>
    </row>
    <row r="1914" spans="1:20" ht="12.75" hidden="1" x14ac:dyDescent="0.25">
      <c r="B1914" s="32">
        <v>4</v>
      </c>
      <c r="F1914" s="32" t="s">
        <v>163</v>
      </c>
      <c r="J1914" s="32">
        <v>3</v>
      </c>
      <c r="P1914" s="32">
        <v>3570</v>
      </c>
      <c r="R1914" s="32">
        <v>540</v>
      </c>
      <c r="T1914" s="32">
        <v>3030</v>
      </c>
    </row>
    <row r="1915" spans="1:20" ht="12.75" hidden="1" x14ac:dyDescent="0.25">
      <c r="B1915" s="32">
        <v>5</v>
      </c>
      <c r="F1915" s="32" t="s">
        <v>162</v>
      </c>
      <c r="J1915" s="32">
        <v>12</v>
      </c>
      <c r="P1915" s="32">
        <v>5160</v>
      </c>
      <c r="R1915" s="32">
        <v>2319</v>
      </c>
      <c r="T1915" s="32">
        <v>2841</v>
      </c>
    </row>
    <row r="1916" spans="1:20" ht="12.75" hidden="1" x14ac:dyDescent="0.25">
      <c r="B1916" s="32">
        <v>6</v>
      </c>
      <c r="F1916" s="32" t="s">
        <v>384</v>
      </c>
      <c r="J1916" s="32">
        <v>1</v>
      </c>
      <c r="P1916" s="32">
        <v>4350</v>
      </c>
      <c r="R1916" s="32">
        <v>650</v>
      </c>
      <c r="T1916" s="32">
        <v>3700</v>
      </c>
    </row>
    <row r="1917" spans="1:20" ht="12.75" hidden="1" x14ac:dyDescent="0.25">
      <c r="B1917" s="32">
        <v>7</v>
      </c>
      <c r="F1917" s="32" t="s">
        <v>160</v>
      </c>
      <c r="J1917" s="32">
        <v>10</v>
      </c>
      <c r="P1917" s="32">
        <v>2900</v>
      </c>
      <c r="R1917" s="32">
        <v>800</v>
      </c>
      <c r="T1917" s="32">
        <v>2100</v>
      </c>
    </row>
    <row r="1918" spans="1:20" ht="12.75" hidden="1" x14ac:dyDescent="0.25">
      <c r="B1918" s="32">
        <v>8</v>
      </c>
      <c r="F1918" s="32" t="s">
        <v>266</v>
      </c>
      <c r="J1918" s="32">
        <v>1</v>
      </c>
      <c r="P1918" s="32">
        <v>1350</v>
      </c>
      <c r="R1918" s="32">
        <v>400</v>
      </c>
      <c r="T1918" s="32">
        <v>950</v>
      </c>
    </row>
    <row r="1919" spans="1:20" ht="12.75" hidden="1" x14ac:dyDescent="0.25">
      <c r="B1919" s="32">
        <v>9</v>
      </c>
      <c r="F1919" s="32" t="s">
        <v>158</v>
      </c>
      <c r="J1919" s="32">
        <v>261</v>
      </c>
      <c r="P1919" s="32">
        <v>143550</v>
      </c>
      <c r="R1919" s="32">
        <v>42381</v>
      </c>
      <c r="T1919" s="32">
        <v>101169</v>
      </c>
    </row>
    <row r="1920" spans="1:20" ht="12.75" hidden="1" x14ac:dyDescent="0.25">
      <c r="B1920" s="32">
        <v>10</v>
      </c>
      <c r="F1920" s="32" t="s">
        <v>157</v>
      </c>
      <c r="J1920" s="32">
        <v>131</v>
      </c>
      <c r="P1920" s="32">
        <v>64190</v>
      </c>
      <c r="R1920" s="32">
        <v>27282</v>
      </c>
      <c r="T1920" s="32">
        <v>36908</v>
      </c>
    </row>
    <row r="1921" spans="2:20" ht="12.75" hidden="1" x14ac:dyDescent="0.25">
      <c r="B1921" s="32">
        <v>11</v>
      </c>
      <c r="F1921" s="32" t="s">
        <v>197</v>
      </c>
      <c r="J1921" s="32">
        <v>1</v>
      </c>
      <c r="P1921" s="32">
        <v>500</v>
      </c>
      <c r="R1921" s="32">
        <v>150</v>
      </c>
      <c r="T1921" s="32">
        <v>350</v>
      </c>
    </row>
    <row r="1922" spans="2:20" ht="12.75" hidden="1" x14ac:dyDescent="0.25">
      <c r="B1922" s="32">
        <v>12</v>
      </c>
      <c r="F1922" s="32" t="s">
        <v>196</v>
      </c>
      <c r="J1922" s="32">
        <v>1</v>
      </c>
      <c r="P1922" s="32">
        <v>700</v>
      </c>
      <c r="R1922" s="32">
        <v>350</v>
      </c>
      <c r="T1922" s="32">
        <v>350</v>
      </c>
    </row>
    <row r="1923" spans="2:20" ht="12.75" hidden="1" x14ac:dyDescent="0.25">
      <c r="B1923" s="32">
        <v>13</v>
      </c>
      <c r="F1923" s="32" t="s">
        <v>309</v>
      </c>
      <c r="J1923" s="32">
        <v>1</v>
      </c>
      <c r="P1923" s="32">
        <v>500</v>
      </c>
      <c r="R1923" s="32">
        <v>130</v>
      </c>
      <c r="T1923" s="32">
        <v>370</v>
      </c>
    </row>
    <row r="1924" spans="2:20" ht="12.75" hidden="1" x14ac:dyDescent="0.25">
      <c r="B1924" s="32">
        <v>14</v>
      </c>
      <c r="F1924" s="32" t="s">
        <v>77</v>
      </c>
      <c r="J1924" s="32">
        <v>500</v>
      </c>
      <c r="P1924" s="32">
        <v>200500</v>
      </c>
      <c r="R1924" s="32">
        <v>196500</v>
      </c>
      <c r="T1924" s="32">
        <v>4000</v>
      </c>
    </row>
    <row r="1925" spans="2:20" ht="12.75" hidden="1" x14ac:dyDescent="0.25">
      <c r="B1925" s="32">
        <v>15</v>
      </c>
      <c r="F1925" s="32" t="s">
        <v>241</v>
      </c>
      <c r="J1925" s="32">
        <v>2</v>
      </c>
      <c r="P1925" s="32">
        <v>700</v>
      </c>
      <c r="R1925" s="32">
        <v>700</v>
      </c>
      <c r="T1925" s="32">
        <v>0</v>
      </c>
    </row>
    <row r="1926" spans="2:20" ht="12.75" hidden="1" x14ac:dyDescent="0.25">
      <c r="B1926" s="32">
        <v>16</v>
      </c>
      <c r="F1926" s="32" t="s">
        <v>156</v>
      </c>
      <c r="J1926" s="32">
        <v>14</v>
      </c>
      <c r="P1926" s="32">
        <v>2660</v>
      </c>
      <c r="R1926" s="32">
        <v>610</v>
      </c>
      <c r="T1926" s="32">
        <v>2050</v>
      </c>
    </row>
    <row r="1927" spans="2:20" ht="12.75" hidden="1" x14ac:dyDescent="0.25">
      <c r="B1927" s="32">
        <v>17</v>
      </c>
      <c r="F1927" s="32" t="s">
        <v>155</v>
      </c>
      <c r="J1927" s="32">
        <v>24</v>
      </c>
      <c r="P1927" s="32">
        <v>6000</v>
      </c>
      <c r="R1927" s="32">
        <v>1960</v>
      </c>
      <c r="T1927" s="32">
        <v>4040</v>
      </c>
    </row>
    <row r="1928" spans="2:20" ht="12.75" hidden="1" x14ac:dyDescent="0.25">
      <c r="B1928" s="32">
        <v>18</v>
      </c>
      <c r="F1928" s="32" t="s">
        <v>152</v>
      </c>
      <c r="J1928" s="32">
        <v>6</v>
      </c>
      <c r="P1928" s="32">
        <v>3540</v>
      </c>
      <c r="R1928" s="32">
        <v>1080</v>
      </c>
      <c r="T1928" s="32">
        <v>2460</v>
      </c>
    </row>
    <row r="1929" spans="2:20" ht="12.75" hidden="1" x14ac:dyDescent="0.25">
      <c r="B1929" s="32">
        <v>19</v>
      </c>
      <c r="F1929" s="32" t="s">
        <v>151</v>
      </c>
      <c r="J1929" s="32">
        <v>56</v>
      </c>
      <c r="P1929" s="32">
        <v>12880</v>
      </c>
      <c r="R1929" s="32">
        <v>4274</v>
      </c>
      <c r="T1929" s="32">
        <v>8606</v>
      </c>
    </row>
    <row r="1930" spans="2:20" ht="12.75" hidden="1" x14ac:dyDescent="0.25">
      <c r="B1930" s="32">
        <v>20</v>
      </c>
      <c r="F1930" s="32" t="s">
        <v>337</v>
      </c>
      <c r="J1930" s="32">
        <v>1</v>
      </c>
      <c r="P1930" s="32">
        <v>1380</v>
      </c>
      <c r="R1930" s="32">
        <v>210</v>
      </c>
      <c r="T1930" s="32">
        <v>1170</v>
      </c>
    </row>
    <row r="1931" spans="2:20" ht="12.75" hidden="1" x14ac:dyDescent="0.25">
      <c r="B1931" s="32">
        <v>21</v>
      </c>
      <c r="F1931" s="32" t="s">
        <v>150</v>
      </c>
      <c r="J1931" s="32">
        <v>14</v>
      </c>
      <c r="P1931" s="32">
        <v>2380</v>
      </c>
      <c r="R1931" s="32">
        <v>650</v>
      </c>
      <c r="T1931" s="32">
        <v>1730</v>
      </c>
    </row>
    <row r="1932" spans="2:20" ht="12.75" hidden="1" x14ac:dyDescent="0.25">
      <c r="B1932" s="32">
        <v>22</v>
      </c>
      <c r="F1932" s="32" t="s">
        <v>233</v>
      </c>
      <c r="J1932" s="32">
        <v>1</v>
      </c>
      <c r="P1932" s="32">
        <v>980</v>
      </c>
      <c r="R1932" s="32">
        <v>150</v>
      </c>
      <c r="T1932" s="32">
        <v>830</v>
      </c>
    </row>
    <row r="1933" spans="2:20" ht="12.75" hidden="1" x14ac:dyDescent="0.25">
      <c r="B1933" s="32">
        <v>23</v>
      </c>
      <c r="F1933" s="32" t="s">
        <v>232</v>
      </c>
      <c r="J1933" s="32">
        <v>1</v>
      </c>
      <c r="P1933" s="32">
        <v>980</v>
      </c>
      <c r="R1933" s="32">
        <v>150</v>
      </c>
      <c r="T1933" s="32">
        <v>830</v>
      </c>
    </row>
    <row r="1934" spans="2:20" ht="12.75" hidden="1" x14ac:dyDescent="0.25">
      <c r="B1934" s="32">
        <v>24</v>
      </c>
      <c r="F1934" s="32" t="s">
        <v>75</v>
      </c>
      <c r="J1934" s="32">
        <v>989</v>
      </c>
      <c r="P1934" s="32">
        <v>2472500</v>
      </c>
      <c r="R1934" s="32">
        <v>2472500</v>
      </c>
      <c r="T1934" s="32">
        <v>0</v>
      </c>
    </row>
    <row r="1935" spans="2:20" ht="12.75" hidden="1" x14ac:dyDescent="0.25">
      <c r="B1935" s="32">
        <v>25</v>
      </c>
      <c r="F1935" s="32" t="s">
        <v>139</v>
      </c>
      <c r="J1935" s="32">
        <v>3</v>
      </c>
      <c r="P1935" s="32">
        <v>810</v>
      </c>
      <c r="R1935" s="32">
        <v>200</v>
      </c>
      <c r="T1935" s="32">
        <v>610</v>
      </c>
    </row>
    <row r="1936" spans="2:20" ht="12.75" hidden="1" x14ac:dyDescent="0.25">
      <c r="B1936" s="32">
        <v>26</v>
      </c>
      <c r="F1936" s="32" t="s">
        <v>136</v>
      </c>
      <c r="J1936" s="32">
        <v>18</v>
      </c>
      <c r="P1936" s="32">
        <v>15300</v>
      </c>
      <c r="R1936" s="32">
        <v>2990</v>
      </c>
      <c r="T1936" s="32">
        <v>12310</v>
      </c>
    </row>
    <row r="1937" spans="2:20" ht="12.75" hidden="1" x14ac:dyDescent="0.25">
      <c r="B1937" s="32">
        <v>27</v>
      </c>
      <c r="F1937" s="32" t="s">
        <v>74</v>
      </c>
      <c r="J1937" s="32">
        <v>70</v>
      </c>
      <c r="P1937" s="32">
        <v>59500</v>
      </c>
      <c r="R1937" s="32">
        <v>59500</v>
      </c>
      <c r="T1937" s="32">
        <v>0</v>
      </c>
    </row>
    <row r="1938" spans="2:20" ht="12.75" hidden="1" x14ac:dyDescent="0.25">
      <c r="B1938" s="32">
        <v>28</v>
      </c>
      <c r="F1938" s="32" t="s">
        <v>190</v>
      </c>
      <c r="J1938" s="32">
        <v>4</v>
      </c>
      <c r="P1938" s="32">
        <v>6280</v>
      </c>
      <c r="R1938" s="32">
        <v>960</v>
      </c>
      <c r="T1938" s="32">
        <v>5320</v>
      </c>
    </row>
    <row r="1939" spans="2:20" ht="12.75" hidden="1" x14ac:dyDescent="0.25">
      <c r="B1939" s="32">
        <v>29</v>
      </c>
      <c r="F1939" s="32" t="s">
        <v>135</v>
      </c>
      <c r="J1939" s="32">
        <v>4</v>
      </c>
      <c r="P1939" s="32">
        <v>3800</v>
      </c>
      <c r="R1939" s="32">
        <v>1120</v>
      </c>
      <c r="T1939" s="32">
        <v>2680</v>
      </c>
    </row>
    <row r="1940" spans="2:20" ht="12.75" hidden="1" x14ac:dyDescent="0.25">
      <c r="B1940" s="32">
        <v>30</v>
      </c>
      <c r="F1940" s="32" t="s">
        <v>134</v>
      </c>
      <c r="J1940" s="32">
        <v>2</v>
      </c>
      <c r="P1940" s="32">
        <v>7400</v>
      </c>
      <c r="R1940" s="32">
        <v>1600</v>
      </c>
      <c r="T1940" s="32">
        <v>5800</v>
      </c>
    </row>
    <row r="1941" spans="2:20" ht="12.75" hidden="1" x14ac:dyDescent="0.25">
      <c r="B1941" s="32">
        <v>31</v>
      </c>
      <c r="F1941" s="32" t="s">
        <v>229</v>
      </c>
      <c r="J1941" s="32">
        <v>3</v>
      </c>
      <c r="P1941" s="32">
        <v>21000</v>
      </c>
      <c r="R1941" s="32">
        <v>9300</v>
      </c>
      <c r="T1941" s="32">
        <v>11700</v>
      </c>
    </row>
    <row r="1942" spans="2:20" ht="12.75" hidden="1" x14ac:dyDescent="0.25">
      <c r="B1942" s="32">
        <v>32</v>
      </c>
      <c r="F1942" s="32" t="s">
        <v>132</v>
      </c>
      <c r="J1942" s="32">
        <v>4</v>
      </c>
      <c r="P1942" s="32">
        <v>4960</v>
      </c>
      <c r="R1942" s="32">
        <v>1480</v>
      </c>
      <c r="T1942" s="32">
        <v>3480</v>
      </c>
    </row>
    <row r="1943" spans="2:20" ht="12.75" hidden="1" x14ac:dyDescent="0.25">
      <c r="B1943" s="32">
        <v>33</v>
      </c>
      <c r="F1943" s="32" t="s">
        <v>131</v>
      </c>
      <c r="J1943" s="32">
        <v>3</v>
      </c>
      <c r="P1943" s="32">
        <v>11100</v>
      </c>
      <c r="R1943" s="32">
        <v>2400</v>
      </c>
      <c r="T1943" s="32">
        <v>8700</v>
      </c>
    </row>
    <row r="1944" spans="2:20" ht="12.75" hidden="1" x14ac:dyDescent="0.25">
      <c r="B1944" s="32">
        <v>34</v>
      </c>
      <c r="F1944" s="32" t="s">
        <v>130</v>
      </c>
      <c r="J1944" s="32">
        <v>20</v>
      </c>
      <c r="P1944" s="32">
        <v>160000</v>
      </c>
      <c r="R1944" s="32">
        <v>82000</v>
      </c>
      <c r="T1944" s="32">
        <v>78000</v>
      </c>
    </row>
    <row r="1945" spans="2:20" ht="12.75" hidden="1" x14ac:dyDescent="0.25">
      <c r="B1945" s="32">
        <v>35</v>
      </c>
      <c r="F1945" s="32" t="s">
        <v>186</v>
      </c>
      <c r="J1945" s="32">
        <v>923</v>
      </c>
      <c r="P1945" s="32">
        <v>55380</v>
      </c>
      <c r="R1945" s="32">
        <v>0</v>
      </c>
      <c r="T1945" s="32">
        <v>55380</v>
      </c>
    </row>
    <row r="1946" spans="2:20" ht="12.75" hidden="1" x14ac:dyDescent="0.25">
      <c r="T1946" s="32"/>
    </row>
    <row r="1947" spans="2:20" ht="12.75" hidden="1" x14ac:dyDescent="0.25">
      <c r="B1947" s="32">
        <v>36</v>
      </c>
      <c r="F1947" s="32" t="s">
        <v>127</v>
      </c>
      <c r="J1947" s="32">
        <v>33</v>
      </c>
      <c r="P1947" s="32">
        <v>9900</v>
      </c>
      <c r="R1947" s="32">
        <v>3257</v>
      </c>
      <c r="T1947" s="32">
        <v>6643</v>
      </c>
    </row>
    <row r="1948" spans="2:20" ht="12.75" hidden="1" x14ac:dyDescent="0.25">
      <c r="B1948" s="32">
        <v>37</v>
      </c>
      <c r="F1948" s="32" t="s">
        <v>126</v>
      </c>
      <c r="J1948" s="32">
        <v>33</v>
      </c>
      <c r="P1948" s="32">
        <v>6600</v>
      </c>
      <c r="R1948" s="32">
        <v>2169</v>
      </c>
      <c r="T1948" s="32">
        <v>4431</v>
      </c>
    </row>
    <row r="1949" spans="2:20" ht="12.75" hidden="1" x14ac:dyDescent="0.25">
      <c r="B1949" s="32">
        <v>38</v>
      </c>
      <c r="F1949" s="32" t="s">
        <v>125</v>
      </c>
      <c r="J1949" s="32">
        <v>2</v>
      </c>
      <c r="P1949" s="32">
        <v>800</v>
      </c>
      <c r="R1949" s="32">
        <v>240</v>
      </c>
      <c r="T1949" s="32">
        <v>560</v>
      </c>
    </row>
    <row r="1950" spans="2:20" ht="12.75" hidden="1" x14ac:dyDescent="0.25">
      <c r="B1950" s="32">
        <v>39</v>
      </c>
      <c r="F1950" s="32" t="s">
        <v>124</v>
      </c>
      <c r="J1950" s="32">
        <v>4</v>
      </c>
      <c r="P1950" s="32">
        <v>2360</v>
      </c>
      <c r="R1950" s="32">
        <v>700</v>
      </c>
      <c r="T1950" s="32">
        <v>1660</v>
      </c>
    </row>
    <row r="1951" spans="2:20" ht="12.75" hidden="1" x14ac:dyDescent="0.25">
      <c r="B1951" s="32">
        <v>40</v>
      </c>
      <c r="F1951" s="32" t="s">
        <v>119</v>
      </c>
      <c r="J1951" s="32">
        <v>11</v>
      </c>
      <c r="P1951" s="32">
        <v>9790</v>
      </c>
      <c r="R1951" s="32">
        <v>3102</v>
      </c>
      <c r="T1951" s="32">
        <v>6688</v>
      </c>
    </row>
    <row r="1952" spans="2:20" ht="12.75" hidden="1" x14ac:dyDescent="0.25">
      <c r="B1952" s="32">
        <v>41</v>
      </c>
      <c r="F1952" s="32" t="s">
        <v>118</v>
      </c>
      <c r="J1952" s="32">
        <v>43</v>
      </c>
      <c r="P1952" s="32">
        <v>42570</v>
      </c>
      <c r="R1952" s="32">
        <v>14397</v>
      </c>
      <c r="T1952" s="32">
        <v>28173</v>
      </c>
    </row>
    <row r="1953" spans="2:20" ht="12.75" hidden="1" x14ac:dyDescent="0.25">
      <c r="B1953" s="32">
        <v>42</v>
      </c>
      <c r="F1953" s="32" t="s">
        <v>117</v>
      </c>
      <c r="J1953" s="32">
        <v>1</v>
      </c>
      <c r="P1953" s="32">
        <v>800</v>
      </c>
      <c r="R1953" s="32">
        <v>200</v>
      </c>
      <c r="T1953" s="32">
        <v>600</v>
      </c>
    </row>
    <row r="1954" spans="2:20" ht="12.75" hidden="1" x14ac:dyDescent="0.25">
      <c r="B1954" s="32">
        <v>43</v>
      </c>
      <c r="F1954" s="32" t="s">
        <v>115</v>
      </c>
      <c r="J1954" s="32">
        <v>11</v>
      </c>
      <c r="P1954" s="32">
        <v>3190</v>
      </c>
      <c r="R1954" s="32">
        <v>1105</v>
      </c>
      <c r="T1954" s="32">
        <v>2085</v>
      </c>
    </row>
    <row r="1955" spans="2:20" ht="12.75" hidden="1" x14ac:dyDescent="0.25">
      <c r="B1955" s="32">
        <v>44</v>
      </c>
      <c r="F1955" s="32" t="s">
        <v>301</v>
      </c>
      <c r="J1955" s="32">
        <v>1</v>
      </c>
      <c r="P1955" s="32">
        <v>800</v>
      </c>
      <c r="R1955" s="32">
        <v>200</v>
      </c>
      <c r="T1955" s="32">
        <v>600</v>
      </c>
    </row>
    <row r="1956" spans="2:20" ht="12.75" hidden="1" x14ac:dyDescent="0.25">
      <c r="B1956" s="32">
        <v>45</v>
      </c>
      <c r="F1956" s="32" t="s">
        <v>219</v>
      </c>
      <c r="J1956" s="32">
        <v>3</v>
      </c>
      <c r="P1956" s="32">
        <v>1500</v>
      </c>
      <c r="R1956" s="32">
        <v>430</v>
      </c>
      <c r="T1956" s="32">
        <v>1070</v>
      </c>
    </row>
    <row r="1957" spans="2:20" ht="12.75" hidden="1" x14ac:dyDescent="0.25">
      <c r="B1957" s="32">
        <v>46</v>
      </c>
      <c r="F1957" s="32" t="s">
        <v>334</v>
      </c>
      <c r="J1957" s="32">
        <v>1</v>
      </c>
      <c r="P1957" s="32">
        <v>790</v>
      </c>
      <c r="R1957" s="32">
        <v>120</v>
      </c>
      <c r="T1957" s="32">
        <v>670</v>
      </c>
    </row>
    <row r="1958" spans="2:20" ht="12.75" hidden="1" x14ac:dyDescent="0.25">
      <c r="B1958" s="32">
        <v>47</v>
      </c>
      <c r="F1958" s="32" t="s">
        <v>109</v>
      </c>
      <c r="J1958" s="32">
        <v>1</v>
      </c>
      <c r="P1958" s="32">
        <v>780</v>
      </c>
      <c r="R1958" s="32">
        <v>230</v>
      </c>
      <c r="T1958" s="32">
        <v>550</v>
      </c>
    </row>
    <row r="1959" spans="2:20" ht="12.75" hidden="1" x14ac:dyDescent="0.25">
      <c r="B1959" s="32">
        <v>48</v>
      </c>
      <c r="F1959" s="32" t="s">
        <v>108</v>
      </c>
      <c r="J1959" s="32">
        <v>33</v>
      </c>
      <c r="P1959" s="32">
        <v>3300</v>
      </c>
      <c r="R1959" s="32">
        <v>30</v>
      </c>
      <c r="T1959" s="32">
        <v>3270</v>
      </c>
    </row>
    <row r="1960" spans="2:20" ht="12.75" hidden="1" x14ac:dyDescent="0.25">
      <c r="B1960" s="32">
        <v>49</v>
      </c>
      <c r="F1960" s="32" t="s">
        <v>107</v>
      </c>
      <c r="J1960" s="32">
        <v>30</v>
      </c>
      <c r="P1960" s="32">
        <v>5100</v>
      </c>
      <c r="R1960" s="32">
        <v>1660</v>
      </c>
      <c r="T1960" s="32">
        <v>3440</v>
      </c>
    </row>
    <row r="1961" spans="2:20" ht="12.75" hidden="1" x14ac:dyDescent="0.25">
      <c r="B1961" s="32">
        <v>50</v>
      </c>
      <c r="F1961" s="32" t="s">
        <v>106</v>
      </c>
      <c r="J1961" s="32">
        <v>332</v>
      </c>
      <c r="P1961" s="32">
        <v>33200</v>
      </c>
      <c r="R1961" s="32">
        <v>7710</v>
      </c>
      <c r="T1961" s="32">
        <v>25490</v>
      </c>
    </row>
    <row r="1962" spans="2:20" ht="12.75" hidden="1" x14ac:dyDescent="0.25">
      <c r="B1962" s="32">
        <v>51</v>
      </c>
      <c r="F1962" s="32" t="s">
        <v>216</v>
      </c>
      <c r="J1962" s="32">
        <v>1</v>
      </c>
      <c r="P1962" s="32">
        <v>1080</v>
      </c>
      <c r="R1962" s="32">
        <v>165</v>
      </c>
      <c r="T1962" s="32">
        <v>915</v>
      </c>
    </row>
    <row r="1963" spans="2:20" ht="12.75" hidden="1" x14ac:dyDescent="0.25">
      <c r="B1963" s="32">
        <v>52</v>
      </c>
      <c r="F1963" s="32" t="s">
        <v>214</v>
      </c>
      <c r="J1963" s="32">
        <v>1</v>
      </c>
      <c r="P1963" s="32">
        <v>990</v>
      </c>
      <c r="R1963" s="32">
        <v>150</v>
      </c>
      <c r="T1963" s="32">
        <v>840</v>
      </c>
    </row>
    <row r="1964" spans="2:20" ht="12.75" hidden="1" x14ac:dyDescent="0.25">
      <c r="B1964" s="32">
        <v>53</v>
      </c>
      <c r="F1964" s="32" t="s">
        <v>103</v>
      </c>
      <c r="J1964" s="32">
        <v>18</v>
      </c>
      <c r="P1964" s="32">
        <v>5940</v>
      </c>
      <c r="R1964" s="32">
        <v>2048</v>
      </c>
      <c r="T1964" s="32">
        <v>3892</v>
      </c>
    </row>
    <row r="1965" spans="2:20" ht="12.75" hidden="1" x14ac:dyDescent="0.25">
      <c r="B1965" s="32">
        <v>54</v>
      </c>
      <c r="F1965" s="32" t="s">
        <v>102</v>
      </c>
      <c r="J1965" s="32">
        <v>4</v>
      </c>
      <c r="P1965" s="32">
        <v>3520</v>
      </c>
      <c r="R1965" s="32">
        <v>520</v>
      </c>
      <c r="T1965" s="32">
        <v>3000</v>
      </c>
    </row>
    <row r="1966" spans="2:20" ht="12.75" hidden="1" x14ac:dyDescent="0.25">
      <c r="B1966" s="32">
        <v>55</v>
      </c>
      <c r="F1966" s="32" t="s">
        <v>100</v>
      </c>
      <c r="J1966" s="32">
        <v>1</v>
      </c>
      <c r="P1966" s="32">
        <v>180</v>
      </c>
      <c r="R1966" s="32">
        <v>50</v>
      </c>
      <c r="T1966" s="32">
        <v>130</v>
      </c>
    </row>
    <row r="1967" spans="2:20" ht="12.75" hidden="1" x14ac:dyDescent="0.25">
      <c r="B1967" s="32">
        <v>56</v>
      </c>
      <c r="F1967" s="32" t="s">
        <v>178</v>
      </c>
      <c r="J1967" s="32">
        <v>1</v>
      </c>
      <c r="P1967" s="32">
        <v>1650</v>
      </c>
      <c r="R1967" s="32">
        <v>0</v>
      </c>
      <c r="T1967" s="32">
        <v>1650</v>
      </c>
    </row>
    <row r="1968" spans="2:20" ht="12.75" hidden="1" x14ac:dyDescent="0.25">
      <c r="B1968" s="32">
        <v>57</v>
      </c>
      <c r="F1968" s="32" t="s">
        <v>97</v>
      </c>
      <c r="J1968" s="32">
        <v>1</v>
      </c>
      <c r="P1968" s="32">
        <v>1590</v>
      </c>
      <c r="R1968" s="32">
        <v>240</v>
      </c>
      <c r="T1968" s="32">
        <v>1350</v>
      </c>
    </row>
    <row r="1969" spans="2:20" ht="12.75" hidden="1" x14ac:dyDescent="0.25">
      <c r="B1969" s="32">
        <v>58</v>
      </c>
      <c r="F1969" s="32" t="s">
        <v>93</v>
      </c>
      <c r="J1969" s="32">
        <v>8</v>
      </c>
      <c r="P1969" s="32">
        <v>4720</v>
      </c>
      <c r="R1969" s="32">
        <v>720</v>
      </c>
      <c r="T1969" s="32">
        <v>4000</v>
      </c>
    </row>
    <row r="1970" spans="2:20" ht="12.75" hidden="1" x14ac:dyDescent="0.25">
      <c r="B1970" s="32">
        <v>59</v>
      </c>
      <c r="F1970" s="32" t="s">
        <v>92</v>
      </c>
      <c r="J1970" s="32">
        <v>12</v>
      </c>
      <c r="P1970" s="32">
        <v>8880</v>
      </c>
      <c r="R1970" s="32">
        <v>2640</v>
      </c>
      <c r="T1970" s="32">
        <v>6240</v>
      </c>
    </row>
    <row r="1971" spans="2:20" ht="12.75" hidden="1" x14ac:dyDescent="0.25">
      <c r="B1971" s="32">
        <v>60</v>
      </c>
      <c r="F1971" s="32" t="s">
        <v>297</v>
      </c>
      <c r="J1971" s="32">
        <v>1</v>
      </c>
      <c r="P1971" s="32">
        <v>400</v>
      </c>
      <c r="R1971" s="32">
        <v>0</v>
      </c>
      <c r="T1971" s="32">
        <v>400</v>
      </c>
    </row>
    <row r="1972" spans="2:20" ht="12.75" hidden="1" x14ac:dyDescent="0.25">
      <c r="B1972" s="32">
        <v>61</v>
      </c>
      <c r="F1972" s="32" t="s">
        <v>175</v>
      </c>
      <c r="J1972" s="32">
        <v>2</v>
      </c>
      <c r="P1972" s="32">
        <v>1200</v>
      </c>
      <c r="R1972" s="32">
        <v>360</v>
      </c>
      <c r="T1972" s="32">
        <v>840</v>
      </c>
    </row>
    <row r="1973" spans="2:20" ht="12.75" hidden="1" x14ac:dyDescent="0.25">
      <c r="B1973" s="32">
        <v>62</v>
      </c>
      <c r="F1973" s="32" t="s">
        <v>174</v>
      </c>
      <c r="J1973" s="32">
        <v>3</v>
      </c>
      <c r="P1973" s="32">
        <v>1200</v>
      </c>
      <c r="R1973" s="32">
        <v>360</v>
      </c>
      <c r="T1973" s="32">
        <v>840</v>
      </c>
    </row>
    <row r="1974" spans="2:20" ht="12.75" hidden="1" x14ac:dyDescent="0.25">
      <c r="B1974" s="32">
        <v>63</v>
      </c>
      <c r="F1974" s="32" t="s">
        <v>173</v>
      </c>
      <c r="J1974" s="32">
        <v>5</v>
      </c>
      <c r="P1974" s="32">
        <v>5000</v>
      </c>
      <c r="R1974" s="32">
        <v>1500</v>
      </c>
      <c r="T1974" s="32">
        <v>3500</v>
      </c>
    </row>
    <row r="1975" spans="2:20" ht="12.75" hidden="1" x14ac:dyDescent="0.25">
      <c r="B1975" s="32">
        <v>64</v>
      </c>
      <c r="F1975" s="32" t="s">
        <v>296</v>
      </c>
      <c r="J1975" s="32">
        <v>1</v>
      </c>
      <c r="P1975" s="32">
        <v>1200</v>
      </c>
      <c r="R1975" s="32">
        <v>360</v>
      </c>
      <c r="T1975" s="32">
        <v>840</v>
      </c>
    </row>
    <row r="1976" spans="2:20" ht="12.75" hidden="1" x14ac:dyDescent="0.25">
      <c r="B1976" s="32">
        <v>65</v>
      </c>
      <c r="F1976" s="32" t="s">
        <v>91</v>
      </c>
      <c r="J1976" s="32">
        <v>22</v>
      </c>
      <c r="P1976" s="32">
        <v>5500</v>
      </c>
      <c r="R1976" s="32">
        <v>1400</v>
      </c>
      <c r="T1976" s="32">
        <v>4100</v>
      </c>
    </row>
    <row r="1977" spans="2:20" ht="12.75" hidden="1" x14ac:dyDescent="0.25">
      <c r="B1977" s="32">
        <v>66</v>
      </c>
      <c r="F1977" s="32" t="s">
        <v>90</v>
      </c>
      <c r="J1977" s="32">
        <v>6</v>
      </c>
      <c r="P1977" s="32">
        <v>1740</v>
      </c>
      <c r="R1977" s="32">
        <v>480</v>
      </c>
      <c r="T1977" s="32">
        <v>1260</v>
      </c>
    </row>
    <row r="1978" spans="2:20" ht="12.75" hidden="1" x14ac:dyDescent="0.25">
      <c r="B1978" s="32">
        <v>67</v>
      </c>
      <c r="F1978" s="32" t="s">
        <v>89</v>
      </c>
      <c r="J1978" s="32">
        <v>4</v>
      </c>
      <c r="P1978" s="32">
        <v>3520</v>
      </c>
      <c r="R1978" s="32">
        <v>520</v>
      </c>
      <c r="T1978" s="32">
        <v>3000</v>
      </c>
    </row>
    <row r="1979" spans="2:20" ht="12.75" hidden="1" x14ac:dyDescent="0.25">
      <c r="B1979" s="32">
        <v>68</v>
      </c>
      <c r="F1979" s="32" t="s">
        <v>88</v>
      </c>
      <c r="J1979" s="32">
        <v>40</v>
      </c>
      <c r="P1979" s="32">
        <v>7200</v>
      </c>
      <c r="R1979" s="32">
        <v>2326</v>
      </c>
      <c r="T1979" s="32">
        <v>4874</v>
      </c>
    </row>
    <row r="1980" spans="2:20" ht="12.75" hidden="1" x14ac:dyDescent="0.25">
      <c r="B1980" s="32">
        <v>69</v>
      </c>
      <c r="F1980" s="32" t="s">
        <v>87</v>
      </c>
      <c r="J1980" s="32">
        <v>5</v>
      </c>
      <c r="P1980" s="32">
        <v>1450</v>
      </c>
      <c r="R1980" s="32">
        <v>400</v>
      </c>
      <c r="T1980" s="32">
        <v>1050</v>
      </c>
    </row>
    <row r="1981" spans="2:20" ht="12.75" hidden="1" x14ac:dyDescent="0.25">
      <c r="B1981" s="32">
        <v>70</v>
      </c>
      <c r="F1981" s="32" t="s">
        <v>85</v>
      </c>
      <c r="J1981" s="32">
        <v>4</v>
      </c>
      <c r="P1981" s="32">
        <v>8320</v>
      </c>
      <c r="R1981" s="32">
        <v>1240</v>
      </c>
      <c r="T1981" s="32">
        <v>7080</v>
      </c>
    </row>
    <row r="1982" spans="2:20" ht="12.75" hidden="1" x14ac:dyDescent="0.25">
      <c r="B1982" s="32">
        <v>71</v>
      </c>
      <c r="F1982" s="32" t="s">
        <v>84</v>
      </c>
      <c r="J1982" s="32">
        <v>14</v>
      </c>
      <c r="P1982" s="32">
        <v>8260</v>
      </c>
      <c r="R1982" s="32">
        <v>2520</v>
      </c>
      <c r="T1982" s="32">
        <v>5740</v>
      </c>
    </row>
    <row r="1983" spans="2:20" ht="12.75" hidden="1" x14ac:dyDescent="0.25">
      <c r="B1983" s="32">
        <v>72</v>
      </c>
      <c r="F1983" s="32" t="s">
        <v>83</v>
      </c>
      <c r="J1983" s="32">
        <v>5</v>
      </c>
      <c r="P1983" s="32">
        <v>2500</v>
      </c>
      <c r="R1983" s="32">
        <v>750</v>
      </c>
      <c r="T1983" s="32">
        <v>1750</v>
      </c>
    </row>
    <row r="1984" spans="2:20" ht="12.75" hidden="1" x14ac:dyDescent="0.25">
      <c r="B1984" s="32">
        <v>73</v>
      </c>
      <c r="F1984" s="32" t="s">
        <v>82</v>
      </c>
      <c r="J1984" s="32">
        <v>6</v>
      </c>
      <c r="P1984" s="32">
        <v>1740</v>
      </c>
      <c r="R1984" s="32">
        <v>1740</v>
      </c>
      <c r="T1984" s="32">
        <v>0</v>
      </c>
    </row>
    <row r="1985" spans="1:20" ht="12.75" hidden="1" x14ac:dyDescent="0.25">
      <c r="B1985" s="32">
        <v>74</v>
      </c>
      <c r="F1985" s="32" t="s">
        <v>81</v>
      </c>
      <c r="J1985" s="32">
        <v>24</v>
      </c>
      <c r="P1985" s="32">
        <v>6960</v>
      </c>
      <c r="R1985" s="32">
        <v>1920</v>
      </c>
      <c r="T1985" s="32">
        <v>5040</v>
      </c>
    </row>
    <row r="1986" spans="1:20" ht="12.75" hidden="1" x14ac:dyDescent="0.25">
      <c r="A1986" s="32" t="s">
        <v>406</v>
      </c>
      <c r="K1986" s="32">
        <v>4076</v>
      </c>
      <c r="P1986" s="32">
        <v>6010590</v>
      </c>
      <c r="R1986" s="32">
        <v>5600235</v>
      </c>
      <c r="T1986" s="32">
        <v>410355</v>
      </c>
    </row>
    <row r="1987" spans="1:20" ht="12.75" hidden="1" x14ac:dyDescent="0.25">
      <c r="B1987" s="32">
        <v>1</v>
      </c>
      <c r="F1987" s="32" t="s">
        <v>250</v>
      </c>
      <c r="J1987" s="32">
        <v>1</v>
      </c>
      <c r="P1987" s="32">
        <v>500</v>
      </c>
      <c r="R1987" s="32">
        <v>150</v>
      </c>
      <c r="T1987" s="32">
        <v>350</v>
      </c>
    </row>
    <row r="1988" spans="1:20" ht="12.75" hidden="1" x14ac:dyDescent="0.25">
      <c r="B1988" s="32">
        <v>2</v>
      </c>
      <c r="F1988" s="32" t="s">
        <v>79</v>
      </c>
      <c r="J1988" s="32">
        <v>1</v>
      </c>
      <c r="P1988" s="32">
        <v>500</v>
      </c>
      <c r="R1988" s="32">
        <v>150</v>
      </c>
      <c r="T1988" s="32">
        <v>350</v>
      </c>
    </row>
    <row r="1989" spans="1:20" ht="12.75" hidden="1" x14ac:dyDescent="0.25">
      <c r="B1989" s="32">
        <v>3</v>
      </c>
      <c r="F1989" s="32" t="s">
        <v>78</v>
      </c>
      <c r="J1989" s="32">
        <v>254</v>
      </c>
      <c r="P1989" s="32">
        <v>73660</v>
      </c>
      <c r="R1989" s="32">
        <v>73660</v>
      </c>
      <c r="T1989" s="32">
        <v>0</v>
      </c>
    </row>
    <row r="1990" spans="1:20" ht="12.75" hidden="1" x14ac:dyDescent="0.25">
      <c r="B1990" s="32">
        <v>4</v>
      </c>
      <c r="F1990" s="32" t="s">
        <v>268</v>
      </c>
      <c r="J1990" s="32">
        <v>1</v>
      </c>
      <c r="P1990" s="32">
        <v>250</v>
      </c>
      <c r="R1990" s="32">
        <v>70</v>
      </c>
      <c r="T1990" s="32">
        <v>180</v>
      </c>
    </row>
    <row r="1991" spans="1:20" ht="12.75" hidden="1" x14ac:dyDescent="0.25">
      <c r="B1991" s="32">
        <v>5</v>
      </c>
      <c r="F1991" s="32" t="s">
        <v>393</v>
      </c>
      <c r="J1991" s="32">
        <v>1</v>
      </c>
      <c r="P1991" s="32">
        <v>1400</v>
      </c>
      <c r="R1991" s="32">
        <v>210</v>
      </c>
      <c r="T1991" s="32">
        <v>1190</v>
      </c>
    </row>
    <row r="1992" spans="1:20" ht="12.75" hidden="1" x14ac:dyDescent="0.25">
      <c r="B1992" s="32">
        <v>6</v>
      </c>
      <c r="F1992" s="32" t="s">
        <v>249</v>
      </c>
      <c r="J1992" s="32">
        <v>2</v>
      </c>
      <c r="P1992" s="32">
        <v>2600</v>
      </c>
      <c r="R1992" s="32">
        <v>200</v>
      </c>
      <c r="T1992" s="32">
        <v>2400</v>
      </c>
    </row>
    <row r="1993" spans="1:20" ht="12.75" hidden="1" x14ac:dyDescent="0.25">
      <c r="B1993" s="32">
        <v>7</v>
      </c>
      <c r="F1993" s="32" t="s">
        <v>164</v>
      </c>
      <c r="J1993" s="32">
        <v>4</v>
      </c>
      <c r="P1993" s="32">
        <v>2360</v>
      </c>
      <c r="R1993" s="32">
        <v>180</v>
      </c>
      <c r="T1993" s="32">
        <v>2180</v>
      </c>
    </row>
    <row r="1994" spans="1:20" ht="12.75" hidden="1" x14ac:dyDescent="0.25">
      <c r="B1994" s="32">
        <v>8</v>
      </c>
      <c r="F1994" s="32" t="s">
        <v>163</v>
      </c>
      <c r="J1994" s="32">
        <v>1</v>
      </c>
      <c r="P1994" s="32">
        <v>1190</v>
      </c>
      <c r="R1994" s="32">
        <v>0</v>
      </c>
      <c r="T1994" s="32">
        <v>1190</v>
      </c>
    </row>
    <row r="1995" spans="1:20" ht="12.75" hidden="1" x14ac:dyDescent="0.25">
      <c r="B1995" s="32">
        <v>9</v>
      </c>
      <c r="F1995" s="32" t="s">
        <v>162</v>
      </c>
      <c r="J1995" s="32">
        <v>8</v>
      </c>
      <c r="P1995" s="32">
        <v>3440</v>
      </c>
      <c r="R1995" s="32">
        <v>220</v>
      </c>
      <c r="T1995" s="32">
        <v>3220</v>
      </c>
    </row>
    <row r="1996" spans="1:20" ht="12.75" hidden="1" x14ac:dyDescent="0.25">
      <c r="B1996" s="32">
        <v>10</v>
      </c>
      <c r="F1996" s="32" t="s">
        <v>198</v>
      </c>
      <c r="J1996" s="32">
        <v>1</v>
      </c>
      <c r="P1996" s="32">
        <v>290</v>
      </c>
      <c r="R1996" s="32">
        <v>0</v>
      </c>
      <c r="T1996" s="32">
        <v>290</v>
      </c>
    </row>
    <row r="1997" spans="1:20" ht="12.75" hidden="1" x14ac:dyDescent="0.25">
      <c r="B1997" s="32">
        <v>11</v>
      </c>
      <c r="F1997" s="32" t="s">
        <v>160</v>
      </c>
      <c r="J1997" s="32">
        <v>23</v>
      </c>
      <c r="P1997" s="32">
        <v>6670</v>
      </c>
      <c r="R1997" s="32">
        <v>160</v>
      </c>
      <c r="T1997" s="32">
        <v>6510</v>
      </c>
    </row>
    <row r="1998" spans="1:20" ht="12.75" hidden="1" x14ac:dyDescent="0.25">
      <c r="B1998" s="32">
        <v>12</v>
      </c>
      <c r="F1998" s="32" t="s">
        <v>266</v>
      </c>
      <c r="J1998" s="32">
        <v>2</v>
      </c>
      <c r="P1998" s="32">
        <v>2700</v>
      </c>
      <c r="R1998" s="32">
        <v>0</v>
      </c>
      <c r="T1998" s="32">
        <v>2700</v>
      </c>
    </row>
    <row r="1999" spans="1:20" ht="12.75" hidden="1" x14ac:dyDescent="0.25">
      <c r="B1999" s="32">
        <v>13</v>
      </c>
      <c r="F1999" s="32" t="s">
        <v>158</v>
      </c>
      <c r="J1999" s="32">
        <v>85</v>
      </c>
      <c r="P1999" s="32">
        <v>46750</v>
      </c>
      <c r="R1999" s="32">
        <v>4240</v>
      </c>
      <c r="T1999" s="32">
        <v>42510</v>
      </c>
    </row>
    <row r="2000" spans="1:20" ht="12.75" hidden="1" x14ac:dyDescent="0.25">
      <c r="B2000" s="32">
        <v>14</v>
      </c>
      <c r="F2000" s="32" t="s">
        <v>157</v>
      </c>
      <c r="J2000" s="32">
        <v>67</v>
      </c>
      <c r="P2000" s="32">
        <v>32830</v>
      </c>
      <c r="R2000" s="32">
        <v>6415</v>
      </c>
      <c r="T2000" s="32">
        <v>26415</v>
      </c>
    </row>
    <row r="2001" spans="2:20" ht="12.75" hidden="1" x14ac:dyDescent="0.25">
      <c r="B2001" s="32">
        <v>15</v>
      </c>
      <c r="F2001" s="32" t="s">
        <v>197</v>
      </c>
      <c r="J2001" s="32">
        <v>1</v>
      </c>
      <c r="P2001" s="32">
        <v>500</v>
      </c>
      <c r="R2001" s="32">
        <v>150</v>
      </c>
      <c r="T2001" s="32">
        <v>350</v>
      </c>
    </row>
    <row r="2002" spans="2:20" ht="12.75" hidden="1" x14ac:dyDescent="0.25">
      <c r="B2002" s="32">
        <v>16</v>
      </c>
      <c r="F2002" s="32" t="s">
        <v>293</v>
      </c>
      <c r="J2002" s="32">
        <v>1</v>
      </c>
      <c r="P2002" s="32">
        <v>700</v>
      </c>
      <c r="R2002" s="32">
        <v>180</v>
      </c>
      <c r="T2002" s="32">
        <v>520</v>
      </c>
    </row>
    <row r="2003" spans="2:20" ht="12.75" hidden="1" x14ac:dyDescent="0.25">
      <c r="B2003" s="32">
        <v>17</v>
      </c>
      <c r="F2003" s="32" t="s">
        <v>196</v>
      </c>
      <c r="J2003" s="32">
        <v>1</v>
      </c>
      <c r="P2003" s="32">
        <v>700</v>
      </c>
      <c r="R2003" s="32">
        <v>350</v>
      </c>
      <c r="T2003" s="32">
        <v>350</v>
      </c>
    </row>
    <row r="2004" spans="2:20" ht="12.75" hidden="1" x14ac:dyDescent="0.25">
      <c r="B2004" s="32">
        <v>18</v>
      </c>
      <c r="F2004" s="32" t="s">
        <v>244</v>
      </c>
      <c r="J2004" s="32">
        <v>7</v>
      </c>
      <c r="P2004" s="32">
        <v>2300</v>
      </c>
      <c r="R2004" s="32">
        <v>980</v>
      </c>
      <c r="T2004" s="32">
        <v>1320</v>
      </c>
    </row>
    <row r="2005" spans="2:20" ht="12.75" hidden="1" x14ac:dyDescent="0.25">
      <c r="B2005" s="32">
        <v>19</v>
      </c>
      <c r="F2005" s="32" t="s">
        <v>77</v>
      </c>
      <c r="J2005" s="32">
        <v>696</v>
      </c>
      <c r="P2005" s="32">
        <v>288500</v>
      </c>
      <c r="R2005" s="32">
        <v>288500</v>
      </c>
      <c r="T2005" s="32">
        <v>0</v>
      </c>
    </row>
    <row r="2006" spans="2:20" ht="12.75" hidden="1" x14ac:dyDescent="0.25">
      <c r="B2006" s="32">
        <v>20</v>
      </c>
      <c r="F2006" s="32" t="s">
        <v>76</v>
      </c>
      <c r="J2006" s="32">
        <v>2</v>
      </c>
      <c r="P2006" s="32">
        <v>1000</v>
      </c>
      <c r="R2006" s="32">
        <v>1000</v>
      </c>
      <c r="T2006" s="32">
        <v>0</v>
      </c>
    </row>
    <row r="2007" spans="2:20" ht="12.75" hidden="1" x14ac:dyDescent="0.25">
      <c r="B2007" s="32">
        <v>21</v>
      </c>
      <c r="F2007" s="32" t="s">
        <v>156</v>
      </c>
      <c r="J2007" s="32">
        <v>3</v>
      </c>
      <c r="P2007" s="32">
        <v>570</v>
      </c>
      <c r="R2007" s="32">
        <v>140</v>
      </c>
      <c r="T2007" s="32">
        <v>430</v>
      </c>
    </row>
    <row r="2008" spans="2:20" ht="12.75" hidden="1" x14ac:dyDescent="0.25">
      <c r="B2008" s="32">
        <v>22</v>
      </c>
      <c r="F2008" s="32" t="s">
        <v>341</v>
      </c>
      <c r="J2008" s="32">
        <v>1</v>
      </c>
      <c r="P2008" s="32">
        <v>450</v>
      </c>
      <c r="R2008" s="32">
        <v>130</v>
      </c>
      <c r="T2008" s="32">
        <v>320</v>
      </c>
    </row>
    <row r="2009" spans="2:20" ht="12.75" hidden="1" x14ac:dyDescent="0.25">
      <c r="B2009" s="32">
        <v>23</v>
      </c>
      <c r="F2009" s="32" t="s">
        <v>155</v>
      </c>
      <c r="J2009" s="32">
        <v>27</v>
      </c>
      <c r="P2009" s="32">
        <v>6750</v>
      </c>
      <c r="R2009" s="32">
        <v>610</v>
      </c>
      <c r="T2009" s="32">
        <v>6140</v>
      </c>
    </row>
    <row r="2010" spans="2:20" ht="12.75" hidden="1" x14ac:dyDescent="0.25">
      <c r="B2010" s="32">
        <v>24</v>
      </c>
      <c r="F2010" s="32" t="s">
        <v>154</v>
      </c>
      <c r="J2010" s="32">
        <v>1</v>
      </c>
      <c r="P2010" s="32">
        <v>890</v>
      </c>
      <c r="R2010" s="32">
        <v>130</v>
      </c>
      <c r="T2010" s="32">
        <v>760</v>
      </c>
    </row>
    <row r="2011" spans="2:20" ht="12.75" hidden="1" x14ac:dyDescent="0.25">
      <c r="B2011" s="32">
        <v>25</v>
      </c>
      <c r="F2011" s="32" t="s">
        <v>152</v>
      </c>
      <c r="J2011" s="32">
        <v>10</v>
      </c>
      <c r="P2011" s="32">
        <v>5900</v>
      </c>
      <c r="R2011" s="32">
        <v>360</v>
      </c>
      <c r="T2011" s="32">
        <v>5540</v>
      </c>
    </row>
    <row r="2012" spans="2:20" ht="12.75" hidden="1" x14ac:dyDescent="0.25">
      <c r="B2012" s="32">
        <v>26</v>
      </c>
      <c r="F2012" s="32" t="s">
        <v>151</v>
      </c>
      <c r="J2012" s="32">
        <v>2</v>
      </c>
      <c r="P2012" s="32">
        <v>460</v>
      </c>
      <c r="R2012" s="32">
        <v>0</v>
      </c>
      <c r="T2012" s="32">
        <v>460</v>
      </c>
    </row>
    <row r="2013" spans="2:20" ht="12.75" hidden="1" x14ac:dyDescent="0.25">
      <c r="B2013" s="32">
        <v>27</v>
      </c>
      <c r="F2013" s="32" t="s">
        <v>150</v>
      </c>
      <c r="J2013" s="32">
        <v>8</v>
      </c>
      <c r="P2013" s="32">
        <v>1360</v>
      </c>
      <c r="R2013" s="32">
        <v>100</v>
      </c>
      <c r="T2013" s="32">
        <v>1260</v>
      </c>
    </row>
    <row r="2014" spans="2:20" ht="12.75" hidden="1" x14ac:dyDescent="0.25">
      <c r="B2014" s="32">
        <v>28</v>
      </c>
      <c r="F2014" s="32" t="s">
        <v>149</v>
      </c>
      <c r="J2014" s="32">
        <v>3</v>
      </c>
      <c r="P2014" s="32">
        <v>150</v>
      </c>
      <c r="R2014" s="32">
        <v>10</v>
      </c>
      <c r="T2014" s="32">
        <v>140</v>
      </c>
    </row>
    <row r="2015" spans="2:20" ht="12.75" hidden="1" x14ac:dyDescent="0.25">
      <c r="B2015" s="32">
        <v>29</v>
      </c>
      <c r="F2015" s="32" t="s">
        <v>288</v>
      </c>
      <c r="J2015" s="32">
        <v>1</v>
      </c>
      <c r="P2015" s="32">
        <v>800</v>
      </c>
      <c r="R2015" s="32">
        <v>450</v>
      </c>
      <c r="T2015" s="32">
        <v>350</v>
      </c>
    </row>
    <row r="2016" spans="2:20" ht="12.75" hidden="1" x14ac:dyDescent="0.25">
      <c r="B2016" s="32">
        <v>30</v>
      </c>
      <c r="F2016" s="32" t="s">
        <v>75</v>
      </c>
      <c r="J2016" s="32">
        <v>2071</v>
      </c>
      <c r="P2016" s="32">
        <v>5177500</v>
      </c>
      <c r="R2016" s="32">
        <v>5177500</v>
      </c>
      <c r="T2016" s="32">
        <v>0</v>
      </c>
    </row>
    <row r="2017" spans="2:20" ht="12.75" hidden="1" x14ac:dyDescent="0.25">
      <c r="B2017" s="32">
        <v>31</v>
      </c>
      <c r="F2017" s="32" t="s">
        <v>136</v>
      </c>
      <c r="J2017" s="32">
        <v>18</v>
      </c>
      <c r="P2017" s="32">
        <v>15300</v>
      </c>
      <c r="R2017" s="32">
        <v>650</v>
      </c>
      <c r="T2017" s="32">
        <v>14650</v>
      </c>
    </row>
    <row r="2018" spans="2:20" ht="12.75" hidden="1" x14ac:dyDescent="0.25">
      <c r="B2018" s="32">
        <v>32</v>
      </c>
      <c r="F2018" s="32" t="s">
        <v>74</v>
      </c>
      <c r="J2018" s="32">
        <v>9</v>
      </c>
      <c r="P2018" s="32">
        <v>7650</v>
      </c>
      <c r="R2018" s="32">
        <v>7650</v>
      </c>
      <c r="T2018" s="32">
        <v>0</v>
      </c>
    </row>
    <row r="2019" spans="2:20" ht="12.75" hidden="1" x14ac:dyDescent="0.25">
      <c r="B2019" s="32">
        <v>33</v>
      </c>
      <c r="F2019" s="32" t="s">
        <v>190</v>
      </c>
      <c r="J2019" s="32">
        <v>15</v>
      </c>
      <c r="P2019" s="32">
        <v>23550</v>
      </c>
      <c r="R2019" s="32">
        <v>0</v>
      </c>
      <c r="T2019" s="32">
        <v>23550</v>
      </c>
    </row>
    <row r="2020" spans="2:20" ht="12.75" hidden="1" x14ac:dyDescent="0.25">
      <c r="B2020" s="32">
        <v>34</v>
      </c>
      <c r="F2020" s="32" t="s">
        <v>264</v>
      </c>
      <c r="J2020" s="32">
        <v>1</v>
      </c>
      <c r="P2020" s="32">
        <v>1290</v>
      </c>
      <c r="R2020" s="32">
        <v>0</v>
      </c>
      <c r="T2020" s="32">
        <v>1290</v>
      </c>
    </row>
    <row r="2021" spans="2:20" ht="12.75" hidden="1" x14ac:dyDescent="0.25">
      <c r="B2021" s="32">
        <v>35</v>
      </c>
      <c r="F2021" s="32" t="s">
        <v>230</v>
      </c>
      <c r="J2021" s="32">
        <v>2</v>
      </c>
      <c r="P2021" s="32">
        <v>1900</v>
      </c>
      <c r="R2021" s="32">
        <v>0</v>
      </c>
      <c r="T2021" s="32">
        <v>1900</v>
      </c>
    </row>
    <row r="2022" spans="2:20" ht="12.75" hidden="1" x14ac:dyDescent="0.25">
      <c r="B2022" s="32">
        <v>36</v>
      </c>
      <c r="F2022" s="32" t="s">
        <v>135</v>
      </c>
      <c r="J2022" s="32">
        <v>7</v>
      </c>
      <c r="P2022" s="32">
        <v>6650</v>
      </c>
      <c r="R2022" s="32">
        <v>1900</v>
      </c>
      <c r="T2022" s="32">
        <v>4750</v>
      </c>
    </row>
    <row r="2023" spans="2:20" ht="12.75" hidden="1" x14ac:dyDescent="0.25">
      <c r="B2023" s="32">
        <v>37</v>
      </c>
      <c r="F2023" s="32" t="s">
        <v>134</v>
      </c>
      <c r="J2023" s="32">
        <v>1</v>
      </c>
      <c r="P2023" s="32">
        <v>3700</v>
      </c>
      <c r="R2023" s="32">
        <v>0</v>
      </c>
      <c r="T2023" s="32">
        <v>3700</v>
      </c>
    </row>
    <row r="2024" spans="2:20" ht="12.75" hidden="1" x14ac:dyDescent="0.25">
      <c r="B2024" s="32">
        <v>38</v>
      </c>
      <c r="F2024" s="32" t="s">
        <v>229</v>
      </c>
      <c r="J2024" s="32">
        <v>1</v>
      </c>
      <c r="P2024" s="32">
        <v>7000</v>
      </c>
      <c r="R2024" s="32">
        <v>7000</v>
      </c>
      <c r="T2024" s="32">
        <v>0</v>
      </c>
    </row>
    <row r="2025" spans="2:20" ht="12.75" hidden="1" x14ac:dyDescent="0.25">
      <c r="B2025" s="32">
        <v>39</v>
      </c>
      <c r="F2025" s="32" t="s">
        <v>132</v>
      </c>
      <c r="J2025" s="32">
        <v>11</v>
      </c>
      <c r="P2025" s="32">
        <v>13640</v>
      </c>
      <c r="R2025" s="32">
        <v>3220</v>
      </c>
      <c r="T2025" s="32">
        <v>10420</v>
      </c>
    </row>
    <row r="2026" spans="2:20" ht="12.75" hidden="1" x14ac:dyDescent="0.25">
      <c r="B2026" s="32">
        <v>40</v>
      </c>
      <c r="F2026" s="32" t="s">
        <v>131</v>
      </c>
      <c r="J2026" s="32">
        <v>1</v>
      </c>
      <c r="P2026" s="32">
        <v>3700</v>
      </c>
      <c r="R2026" s="32">
        <v>0</v>
      </c>
      <c r="T2026" s="32">
        <v>3700</v>
      </c>
    </row>
    <row r="2027" spans="2:20" ht="12.75" hidden="1" x14ac:dyDescent="0.25">
      <c r="B2027" s="32">
        <v>41</v>
      </c>
      <c r="F2027" s="32" t="s">
        <v>130</v>
      </c>
      <c r="J2027" s="32">
        <v>1</v>
      </c>
      <c r="P2027" s="32">
        <v>8000</v>
      </c>
      <c r="R2027" s="32">
        <v>0</v>
      </c>
      <c r="T2027" s="32">
        <v>8000</v>
      </c>
    </row>
    <row r="2028" spans="2:20" ht="12.75" hidden="1" x14ac:dyDescent="0.25">
      <c r="B2028" s="32">
        <v>42</v>
      </c>
      <c r="F2028" s="32" t="s">
        <v>128</v>
      </c>
      <c r="J2028" s="32">
        <v>1</v>
      </c>
      <c r="P2028" s="32">
        <v>1150</v>
      </c>
      <c r="R2028" s="32">
        <v>0</v>
      </c>
      <c r="T2028" s="32">
        <v>1150</v>
      </c>
    </row>
    <row r="2029" spans="2:20" ht="12.75" hidden="1" x14ac:dyDescent="0.25">
      <c r="B2029" s="32">
        <v>43</v>
      </c>
      <c r="F2029" s="32" t="s">
        <v>127</v>
      </c>
      <c r="J2029" s="32">
        <v>22</v>
      </c>
      <c r="P2029" s="32">
        <v>6600</v>
      </c>
      <c r="R2029" s="32">
        <v>90</v>
      </c>
      <c r="T2029" s="32">
        <v>6510</v>
      </c>
    </row>
    <row r="2030" spans="2:20" ht="12.75" hidden="1" x14ac:dyDescent="0.25">
      <c r="B2030" s="32">
        <v>44</v>
      </c>
      <c r="F2030" s="32" t="s">
        <v>126</v>
      </c>
      <c r="J2030" s="32">
        <v>23</v>
      </c>
      <c r="P2030" s="32">
        <v>4600</v>
      </c>
      <c r="R2030" s="32">
        <v>60</v>
      </c>
      <c r="T2030" s="32">
        <v>4540</v>
      </c>
    </row>
    <row r="2031" spans="2:20" ht="12.75" hidden="1" x14ac:dyDescent="0.25">
      <c r="B2031" s="32">
        <v>45</v>
      </c>
      <c r="F2031" s="32" t="s">
        <v>119</v>
      </c>
      <c r="J2031" s="32">
        <v>18</v>
      </c>
      <c r="P2031" s="32">
        <v>16020</v>
      </c>
      <c r="R2031" s="32">
        <v>1470</v>
      </c>
      <c r="T2031" s="32">
        <v>14550</v>
      </c>
    </row>
    <row r="2032" spans="2:20" ht="12.75" hidden="1" x14ac:dyDescent="0.25">
      <c r="B2032" s="32">
        <v>46</v>
      </c>
      <c r="F2032" s="32" t="s">
        <v>118</v>
      </c>
      <c r="J2032" s="32">
        <v>47</v>
      </c>
      <c r="P2032" s="32">
        <v>46530</v>
      </c>
      <c r="R2032" s="32">
        <v>5860</v>
      </c>
      <c r="T2032" s="32">
        <v>40670</v>
      </c>
    </row>
    <row r="2033" spans="2:20" ht="12.75" hidden="1" x14ac:dyDescent="0.25">
      <c r="B2033" s="32">
        <v>47</v>
      </c>
      <c r="F2033" s="32" t="s">
        <v>115</v>
      </c>
      <c r="J2033" s="32">
        <v>32</v>
      </c>
      <c r="P2033" s="32">
        <v>9280</v>
      </c>
      <c r="R2033" s="32">
        <v>350</v>
      </c>
      <c r="T2033" s="32">
        <v>8930</v>
      </c>
    </row>
    <row r="2034" spans="2:20" ht="12.75" hidden="1" x14ac:dyDescent="0.25">
      <c r="B2034" s="32">
        <v>48</v>
      </c>
      <c r="F2034" s="32" t="s">
        <v>171</v>
      </c>
      <c r="J2034" s="32">
        <v>1</v>
      </c>
      <c r="P2034" s="32">
        <v>530</v>
      </c>
      <c r="R2034" s="32">
        <v>160</v>
      </c>
      <c r="T2034" s="32">
        <v>370</v>
      </c>
    </row>
    <row r="2035" spans="2:20" ht="12.75" hidden="1" x14ac:dyDescent="0.25">
      <c r="B2035" s="32">
        <v>49</v>
      </c>
      <c r="F2035" s="32" t="s">
        <v>109</v>
      </c>
      <c r="J2035" s="32">
        <v>7</v>
      </c>
      <c r="P2035" s="32">
        <v>5460</v>
      </c>
      <c r="R2035" s="32">
        <v>460</v>
      </c>
      <c r="T2035" s="32">
        <v>5000</v>
      </c>
    </row>
    <row r="2036" spans="2:20" ht="12.75" hidden="1" x14ac:dyDescent="0.25">
      <c r="B2036" s="32">
        <v>50</v>
      </c>
      <c r="F2036" s="32" t="s">
        <v>108</v>
      </c>
      <c r="J2036" s="32">
        <v>348</v>
      </c>
      <c r="P2036" s="32">
        <v>34800</v>
      </c>
      <c r="R2036" s="32">
        <v>10440</v>
      </c>
      <c r="T2036" s="32">
        <v>24360</v>
      </c>
    </row>
    <row r="2037" spans="2:20" ht="12.75" hidden="1" x14ac:dyDescent="0.25">
      <c r="B2037" s="32">
        <v>51</v>
      </c>
      <c r="F2037" s="32" t="s">
        <v>107</v>
      </c>
      <c r="J2037" s="32">
        <v>20</v>
      </c>
      <c r="P2037" s="32">
        <v>3400</v>
      </c>
      <c r="R2037" s="32">
        <v>450</v>
      </c>
      <c r="T2037" s="32">
        <v>2950</v>
      </c>
    </row>
    <row r="2038" spans="2:20" ht="12.75" hidden="1" x14ac:dyDescent="0.25">
      <c r="B2038" s="32">
        <v>52</v>
      </c>
      <c r="F2038" s="32" t="s">
        <v>217</v>
      </c>
      <c r="J2038" s="32">
        <v>1</v>
      </c>
      <c r="P2038" s="32">
        <v>350</v>
      </c>
      <c r="R2038" s="32">
        <v>0</v>
      </c>
      <c r="T2038" s="32">
        <v>350</v>
      </c>
    </row>
    <row r="2039" spans="2:20" ht="12.75" hidden="1" x14ac:dyDescent="0.25">
      <c r="B2039" s="32">
        <v>53</v>
      </c>
      <c r="F2039" s="32" t="s">
        <v>103</v>
      </c>
      <c r="J2039" s="32">
        <v>21</v>
      </c>
      <c r="P2039" s="32">
        <v>6930</v>
      </c>
      <c r="R2039" s="32">
        <v>480</v>
      </c>
      <c r="T2039" s="32">
        <v>6450</v>
      </c>
    </row>
    <row r="2040" spans="2:20" ht="12.75" hidden="1" x14ac:dyDescent="0.25">
      <c r="B2040" s="32">
        <v>54</v>
      </c>
      <c r="F2040" s="32" t="s">
        <v>307</v>
      </c>
      <c r="J2040" s="32">
        <v>1</v>
      </c>
      <c r="P2040" s="32">
        <v>700</v>
      </c>
      <c r="R2040" s="32">
        <v>350</v>
      </c>
      <c r="T2040" s="32">
        <v>350</v>
      </c>
    </row>
    <row r="2041" spans="2:20" ht="12.75" hidden="1" x14ac:dyDescent="0.25">
      <c r="B2041" s="32">
        <v>55</v>
      </c>
      <c r="F2041" s="32" t="s">
        <v>100</v>
      </c>
      <c r="J2041" s="32">
        <v>1</v>
      </c>
      <c r="P2041" s="32">
        <v>180</v>
      </c>
      <c r="R2041" s="32">
        <v>0</v>
      </c>
      <c r="T2041" s="32">
        <v>180</v>
      </c>
    </row>
    <row r="2042" spans="2:20" ht="12.75" hidden="1" x14ac:dyDescent="0.25">
      <c r="B2042" s="32">
        <v>56</v>
      </c>
      <c r="F2042" s="32" t="s">
        <v>99</v>
      </c>
      <c r="J2042" s="32">
        <v>2</v>
      </c>
      <c r="P2042" s="32">
        <v>1180</v>
      </c>
      <c r="R2042" s="32">
        <v>0</v>
      </c>
      <c r="T2042" s="32">
        <v>1180</v>
      </c>
    </row>
    <row r="2043" spans="2:20" ht="12.75" hidden="1" x14ac:dyDescent="0.25">
      <c r="B2043" s="32">
        <v>57</v>
      </c>
      <c r="F2043" s="32" t="s">
        <v>98</v>
      </c>
      <c r="J2043" s="32">
        <v>2</v>
      </c>
      <c r="P2043" s="32">
        <v>1140</v>
      </c>
      <c r="R2043" s="32">
        <v>0</v>
      </c>
      <c r="T2043" s="32">
        <v>1140</v>
      </c>
    </row>
    <row r="2044" spans="2:20" ht="12.75" hidden="1" x14ac:dyDescent="0.25">
      <c r="B2044" s="32">
        <v>58</v>
      </c>
      <c r="F2044" s="32" t="s">
        <v>97</v>
      </c>
      <c r="J2044" s="32">
        <v>38</v>
      </c>
      <c r="P2044" s="32">
        <v>60420</v>
      </c>
      <c r="R2044" s="32">
        <v>240</v>
      </c>
      <c r="T2044" s="32">
        <v>60180</v>
      </c>
    </row>
    <row r="2045" spans="2:20" ht="12.75" hidden="1" x14ac:dyDescent="0.25">
      <c r="B2045" s="32">
        <v>59</v>
      </c>
      <c r="F2045" s="32" t="s">
        <v>93</v>
      </c>
      <c r="J2045" s="32">
        <v>3</v>
      </c>
      <c r="P2045" s="32">
        <v>1770</v>
      </c>
      <c r="R2045" s="32">
        <v>0</v>
      </c>
      <c r="T2045" s="32">
        <v>1770</v>
      </c>
    </row>
    <row r="2046" spans="2:20" ht="12.75" hidden="1" x14ac:dyDescent="0.25">
      <c r="B2046" s="32">
        <v>60</v>
      </c>
      <c r="F2046" s="32" t="s">
        <v>92</v>
      </c>
      <c r="J2046" s="32">
        <v>36</v>
      </c>
      <c r="P2046" s="32">
        <v>25960</v>
      </c>
      <c r="R2046" s="32">
        <v>1120</v>
      </c>
      <c r="T2046" s="32">
        <v>24840</v>
      </c>
    </row>
    <row r="2047" spans="2:20" ht="12.75" hidden="1" x14ac:dyDescent="0.25">
      <c r="B2047" s="32">
        <v>61</v>
      </c>
      <c r="F2047" s="32" t="s">
        <v>91</v>
      </c>
      <c r="J2047" s="32">
        <v>24</v>
      </c>
      <c r="P2047" s="32">
        <v>6000</v>
      </c>
      <c r="R2047" s="32">
        <v>490</v>
      </c>
      <c r="T2047" s="32">
        <v>5510</v>
      </c>
    </row>
    <row r="2048" spans="2:20" ht="12.75" hidden="1" x14ac:dyDescent="0.25">
      <c r="B2048" s="32">
        <v>62</v>
      </c>
      <c r="F2048" s="32" t="s">
        <v>90</v>
      </c>
      <c r="J2048" s="32">
        <v>32</v>
      </c>
      <c r="P2048" s="32">
        <v>9280</v>
      </c>
      <c r="R2048" s="32">
        <v>640</v>
      </c>
      <c r="T2048" s="32">
        <v>8640</v>
      </c>
    </row>
    <row r="2049" spans="1:20" ht="12.75" hidden="1" x14ac:dyDescent="0.25">
      <c r="B2049" s="32">
        <v>63</v>
      </c>
      <c r="F2049" s="32" t="s">
        <v>88</v>
      </c>
      <c r="J2049" s="32">
        <v>34</v>
      </c>
      <c r="P2049" s="32">
        <v>6120</v>
      </c>
      <c r="R2049" s="32">
        <v>230</v>
      </c>
      <c r="T2049" s="32">
        <v>5890</v>
      </c>
    </row>
    <row r="2050" spans="1:20" ht="12.75" hidden="1" x14ac:dyDescent="0.25">
      <c r="B2050" s="32">
        <v>64</v>
      </c>
      <c r="F2050" s="32" t="s">
        <v>87</v>
      </c>
      <c r="J2050" s="32">
        <v>1</v>
      </c>
      <c r="P2050" s="32">
        <v>290</v>
      </c>
      <c r="R2050" s="32">
        <v>80</v>
      </c>
      <c r="T2050" s="32">
        <v>210</v>
      </c>
    </row>
    <row r="2051" spans="1:20" ht="12.75" hidden="1" x14ac:dyDescent="0.25">
      <c r="B2051" s="32">
        <v>65</v>
      </c>
      <c r="F2051" s="32" t="s">
        <v>85</v>
      </c>
      <c r="J2051" s="32">
        <v>1</v>
      </c>
      <c r="P2051" s="32">
        <v>2080</v>
      </c>
      <c r="R2051" s="32">
        <v>0</v>
      </c>
      <c r="T2051" s="32">
        <v>2080</v>
      </c>
    </row>
    <row r="2052" spans="1:20" ht="12.75" hidden="1" x14ac:dyDescent="0.25">
      <c r="B2052" s="32">
        <v>66</v>
      </c>
      <c r="F2052" s="32" t="s">
        <v>84</v>
      </c>
      <c r="J2052" s="32">
        <v>3</v>
      </c>
      <c r="P2052" s="32">
        <v>1770</v>
      </c>
      <c r="R2052" s="32">
        <v>0</v>
      </c>
      <c r="T2052" s="32">
        <v>1770</v>
      </c>
    </row>
    <row r="2053" spans="1:20" ht="12.75" hidden="1" x14ac:dyDescent="0.25">
      <c r="B2053" s="32">
        <v>67</v>
      </c>
      <c r="F2053" s="32" t="s">
        <v>205</v>
      </c>
      <c r="J2053" s="32">
        <v>3</v>
      </c>
      <c r="P2053" s="32">
        <v>1500</v>
      </c>
      <c r="R2053" s="32">
        <v>450</v>
      </c>
      <c r="T2053" s="32">
        <v>1050</v>
      </c>
    </row>
    <row r="2054" spans="1:20" ht="12.75" hidden="1" x14ac:dyDescent="0.25">
      <c r="B2054" s="32">
        <v>68</v>
      </c>
      <c r="F2054" s="32" t="s">
        <v>83</v>
      </c>
      <c r="J2054" s="32">
        <v>1</v>
      </c>
      <c r="P2054" s="32">
        <v>500</v>
      </c>
      <c r="R2054" s="32">
        <v>150</v>
      </c>
      <c r="T2054" s="32">
        <v>350</v>
      </c>
    </row>
    <row r="2055" spans="1:20" ht="12.75" hidden="1" x14ac:dyDescent="0.25">
      <c r="A2055" s="32" t="s">
        <v>405</v>
      </c>
      <c r="K2055" s="32">
        <v>6934</v>
      </c>
      <c r="P2055" s="32">
        <v>7361430</v>
      </c>
      <c r="R2055" s="32">
        <v>6672164</v>
      </c>
      <c r="T2055" s="32">
        <v>689266</v>
      </c>
    </row>
    <row r="2056" spans="1:20" ht="12.75" hidden="1" x14ac:dyDescent="0.25">
      <c r="B2056" s="32">
        <v>1</v>
      </c>
      <c r="F2056" s="32" t="s">
        <v>200</v>
      </c>
      <c r="J2056" s="32">
        <v>1</v>
      </c>
      <c r="P2056" s="32">
        <v>500</v>
      </c>
      <c r="R2056" s="32">
        <v>150</v>
      </c>
      <c r="T2056" s="32">
        <v>350</v>
      </c>
    </row>
    <row r="2057" spans="1:20" ht="12.75" hidden="1" x14ac:dyDescent="0.25">
      <c r="B2057" s="32">
        <v>2</v>
      </c>
      <c r="F2057" s="32" t="s">
        <v>78</v>
      </c>
      <c r="J2057" s="32">
        <v>587</v>
      </c>
      <c r="P2057" s="32">
        <v>170230</v>
      </c>
      <c r="R2057" s="32">
        <v>170230</v>
      </c>
      <c r="T2057" s="32">
        <v>0</v>
      </c>
    </row>
    <row r="2058" spans="1:20" ht="12.75" hidden="1" x14ac:dyDescent="0.25">
      <c r="B2058" s="32">
        <v>3</v>
      </c>
      <c r="F2058" s="32" t="s">
        <v>199</v>
      </c>
      <c r="J2058" s="32">
        <v>1</v>
      </c>
      <c r="P2058" s="32">
        <v>290</v>
      </c>
      <c r="R2058" s="32">
        <v>80</v>
      </c>
      <c r="T2058" s="32">
        <v>210</v>
      </c>
    </row>
    <row r="2059" spans="1:20" ht="12.75" hidden="1" x14ac:dyDescent="0.25">
      <c r="B2059" s="32">
        <v>4</v>
      </c>
      <c r="F2059" s="32" t="s">
        <v>294</v>
      </c>
      <c r="J2059" s="32">
        <v>1</v>
      </c>
      <c r="P2059" s="32">
        <v>500</v>
      </c>
      <c r="R2059" s="32">
        <v>0</v>
      </c>
      <c r="T2059" s="32">
        <v>500</v>
      </c>
    </row>
    <row r="2060" spans="1:20" ht="12.75" hidden="1" x14ac:dyDescent="0.25">
      <c r="B2060" s="32">
        <v>5</v>
      </c>
      <c r="F2060" s="32" t="s">
        <v>329</v>
      </c>
      <c r="J2060" s="32">
        <v>1</v>
      </c>
      <c r="P2060" s="32">
        <v>1200</v>
      </c>
      <c r="R2060" s="32">
        <v>180</v>
      </c>
      <c r="T2060" s="32">
        <v>1020</v>
      </c>
    </row>
    <row r="2061" spans="1:20" ht="12.75" hidden="1" x14ac:dyDescent="0.25">
      <c r="B2061" s="32">
        <v>6</v>
      </c>
      <c r="F2061" s="32" t="s">
        <v>248</v>
      </c>
      <c r="J2061" s="32">
        <v>1</v>
      </c>
      <c r="P2061" s="32">
        <v>1200</v>
      </c>
      <c r="R2061" s="32">
        <v>180</v>
      </c>
      <c r="T2061" s="32">
        <v>1020</v>
      </c>
    </row>
    <row r="2062" spans="1:20" ht="12.75" hidden="1" x14ac:dyDescent="0.25">
      <c r="B2062" s="32">
        <v>7</v>
      </c>
      <c r="F2062" s="32" t="s">
        <v>165</v>
      </c>
      <c r="J2062" s="32">
        <v>1</v>
      </c>
      <c r="P2062" s="32">
        <v>590</v>
      </c>
      <c r="R2062" s="32">
        <v>180</v>
      </c>
      <c r="T2062" s="32">
        <v>410</v>
      </c>
    </row>
    <row r="2063" spans="1:20" ht="12.75" hidden="1" x14ac:dyDescent="0.25">
      <c r="B2063" s="32">
        <v>8</v>
      </c>
      <c r="F2063" s="32" t="s">
        <v>163</v>
      </c>
      <c r="J2063" s="32">
        <v>1</v>
      </c>
      <c r="P2063" s="32">
        <v>1190</v>
      </c>
      <c r="R2063" s="32">
        <v>180</v>
      </c>
      <c r="T2063" s="32">
        <v>1010</v>
      </c>
    </row>
    <row r="2064" spans="1:20" ht="12.75" hidden="1" x14ac:dyDescent="0.25">
      <c r="B2064" s="32">
        <v>9</v>
      </c>
      <c r="F2064" s="32" t="s">
        <v>162</v>
      </c>
      <c r="J2064" s="32">
        <v>23</v>
      </c>
      <c r="P2064" s="32">
        <v>9890</v>
      </c>
      <c r="R2064" s="32">
        <v>4688</v>
      </c>
      <c r="T2064" s="32">
        <v>5202</v>
      </c>
    </row>
    <row r="2065" spans="2:20" ht="12.75" hidden="1" x14ac:dyDescent="0.25">
      <c r="B2065" s="32">
        <v>10</v>
      </c>
      <c r="F2065" s="32" t="s">
        <v>198</v>
      </c>
      <c r="J2065" s="32">
        <v>1</v>
      </c>
      <c r="P2065" s="32">
        <v>290</v>
      </c>
      <c r="R2065" s="32">
        <v>80</v>
      </c>
      <c r="T2065" s="32">
        <v>210</v>
      </c>
    </row>
    <row r="2066" spans="2:20" ht="12.75" hidden="1" x14ac:dyDescent="0.25">
      <c r="B2066" s="32">
        <v>11</v>
      </c>
      <c r="F2066" s="32" t="s">
        <v>160</v>
      </c>
      <c r="J2066" s="32">
        <v>26</v>
      </c>
      <c r="P2066" s="32">
        <v>7540</v>
      </c>
      <c r="R2066" s="32">
        <v>2080</v>
      </c>
      <c r="T2066" s="32">
        <v>5460</v>
      </c>
    </row>
    <row r="2067" spans="2:20" ht="12.75" hidden="1" x14ac:dyDescent="0.25">
      <c r="B2067" s="32">
        <v>12</v>
      </c>
      <c r="F2067" s="32" t="s">
        <v>158</v>
      </c>
      <c r="J2067" s="32">
        <v>663</v>
      </c>
      <c r="P2067" s="32">
        <v>364650</v>
      </c>
      <c r="R2067" s="32">
        <v>107650</v>
      </c>
      <c r="T2067" s="32">
        <v>257000</v>
      </c>
    </row>
    <row r="2068" spans="2:20" ht="12.75" hidden="1" x14ac:dyDescent="0.25">
      <c r="B2068" s="32">
        <v>13</v>
      </c>
      <c r="F2068" s="32" t="s">
        <v>157</v>
      </c>
      <c r="J2068" s="32">
        <v>242</v>
      </c>
      <c r="P2068" s="32">
        <v>118580</v>
      </c>
      <c r="R2068" s="32">
        <v>52631</v>
      </c>
      <c r="T2068" s="32">
        <v>65949</v>
      </c>
    </row>
    <row r="2069" spans="2:20" ht="12.75" hidden="1" x14ac:dyDescent="0.25">
      <c r="B2069" s="32">
        <v>14</v>
      </c>
      <c r="F2069" s="32" t="s">
        <v>293</v>
      </c>
      <c r="J2069" s="32">
        <v>3</v>
      </c>
      <c r="P2069" s="32">
        <v>2100</v>
      </c>
      <c r="R2069" s="32">
        <v>540</v>
      </c>
      <c r="T2069" s="32">
        <v>1560</v>
      </c>
    </row>
    <row r="2070" spans="2:20" ht="12.75" hidden="1" x14ac:dyDescent="0.25">
      <c r="B2070" s="32">
        <v>15</v>
      </c>
      <c r="F2070" s="32" t="s">
        <v>196</v>
      </c>
      <c r="J2070" s="32">
        <v>4</v>
      </c>
      <c r="P2070" s="32">
        <v>2800</v>
      </c>
      <c r="R2070" s="32">
        <v>1400</v>
      </c>
      <c r="T2070" s="32">
        <v>1400</v>
      </c>
    </row>
    <row r="2071" spans="2:20" ht="12.75" hidden="1" x14ac:dyDescent="0.25">
      <c r="B2071" s="32">
        <v>16</v>
      </c>
      <c r="F2071" s="32" t="s">
        <v>309</v>
      </c>
      <c r="J2071" s="32">
        <v>51</v>
      </c>
      <c r="P2071" s="32">
        <v>25500</v>
      </c>
      <c r="R2071" s="32">
        <v>7200</v>
      </c>
      <c r="T2071" s="32">
        <v>18300</v>
      </c>
    </row>
    <row r="2072" spans="2:20" ht="12.75" hidden="1" x14ac:dyDescent="0.25">
      <c r="B2072" s="32">
        <v>17</v>
      </c>
      <c r="F2072" s="32" t="s">
        <v>328</v>
      </c>
      <c r="J2072" s="32">
        <v>2</v>
      </c>
      <c r="P2072" s="32">
        <v>1200</v>
      </c>
      <c r="R2072" s="32">
        <v>500</v>
      </c>
      <c r="T2072" s="32">
        <v>700</v>
      </c>
    </row>
    <row r="2073" spans="2:20" ht="12.75" hidden="1" x14ac:dyDescent="0.25">
      <c r="B2073" s="32">
        <v>18</v>
      </c>
      <c r="F2073" s="32" t="s">
        <v>77</v>
      </c>
      <c r="J2073" s="32">
        <v>2375</v>
      </c>
      <c r="P2073" s="32">
        <v>959600</v>
      </c>
      <c r="R2073" s="32">
        <v>959600</v>
      </c>
      <c r="T2073" s="32">
        <v>0</v>
      </c>
    </row>
    <row r="2074" spans="2:20" ht="12.75" hidden="1" x14ac:dyDescent="0.25">
      <c r="B2074" s="32">
        <v>19</v>
      </c>
      <c r="F2074" s="32" t="s">
        <v>76</v>
      </c>
      <c r="J2074" s="32">
        <v>2</v>
      </c>
      <c r="P2074" s="32">
        <v>1100</v>
      </c>
      <c r="R2074" s="32">
        <v>1100</v>
      </c>
      <c r="T2074" s="32">
        <v>0</v>
      </c>
    </row>
    <row r="2075" spans="2:20" ht="12.75" hidden="1" x14ac:dyDescent="0.25">
      <c r="B2075" s="32">
        <v>20</v>
      </c>
      <c r="F2075" s="32" t="s">
        <v>156</v>
      </c>
      <c r="J2075" s="32">
        <v>13</v>
      </c>
      <c r="P2075" s="32">
        <v>2470</v>
      </c>
      <c r="R2075" s="32">
        <v>840</v>
      </c>
      <c r="T2075" s="32">
        <v>1630</v>
      </c>
    </row>
    <row r="2076" spans="2:20" ht="12.75" hidden="1" x14ac:dyDescent="0.25">
      <c r="B2076" s="32">
        <v>21</v>
      </c>
      <c r="F2076" s="32" t="s">
        <v>155</v>
      </c>
      <c r="J2076" s="32">
        <v>43</v>
      </c>
      <c r="P2076" s="32">
        <v>10750</v>
      </c>
      <c r="R2076" s="32">
        <v>3560</v>
      </c>
      <c r="T2076" s="32">
        <v>7190</v>
      </c>
    </row>
    <row r="2077" spans="2:20" ht="12.75" hidden="1" x14ac:dyDescent="0.25">
      <c r="B2077" s="32">
        <v>22</v>
      </c>
      <c r="F2077" s="32" t="s">
        <v>154</v>
      </c>
      <c r="J2077" s="32">
        <v>1</v>
      </c>
      <c r="P2077" s="32">
        <v>890</v>
      </c>
      <c r="R2077" s="32">
        <v>130</v>
      </c>
      <c r="T2077" s="32">
        <v>760</v>
      </c>
    </row>
    <row r="2078" spans="2:20" ht="12.75" hidden="1" x14ac:dyDescent="0.25">
      <c r="B2078" s="32">
        <v>23</v>
      </c>
      <c r="F2078" s="32" t="s">
        <v>339</v>
      </c>
      <c r="J2078" s="32">
        <v>1</v>
      </c>
      <c r="P2078" s="32">
        <v>350</v>
      </c>
      <c r="R2078" s="32">
        <v>150</v>
      </c>
      <c r="T2078" s="32">
        <v>200</v>
      </c>
    </row>
    <row r="2079" spans="2:20" ht="12.75" hidden="1" x14ac:dyDescent="0.25">
      <c r="B2079" s="32">
        <v>24</v>
      </c>
      <c r="F2079" s="32" t="s">
        <v>195</v>
      </c>
      <c r="J2079" s="32">
        <v>2</v>
      </c>
      <c r="P2079" s="32">
        <v>2000</v>
      </c>
      <c r="R2079" s="32">
        <v>500</v>
      </c>
      <c r="T2079" s="32">
        <v>1500</v>
      </c>
    </row>
    <row r="2080" spans="2:20" ht="12.75" hidden="1" x14ac:dyDescent="0.25">
      <c r="B2080" s="32">
        <v>25</v>
      </c>
      <c r="F2080" s="32" t="s">
        <v>152</v>
      </c>
      <c r="J2080" s="32">
        <v>5</v>
      </c>
      <c r="P2080" s="32">
        <v>2950</v>
      </c>
      <c r="R2080" s="32">
        <v>1020</v>
      </c>
      <c r="T2080" s="32">
        <v>1930</v>
      </c>
    </row>
    <row r="2081" spans="2:20" ht="12.75" hidden="1" x14ac:dyDescent="0.25">
      <c r="B2081" s="32">
        <v>26</v>
      </c>
      <c r="F2081" s="32" t="s">
        <v>151</v>
      </c>
      <c r="J2081" s="32">
        <v>31</v>
      </c>
      <c r="P2081" s="32">
        <v>7130</v>
      </c>
      <c r="R2081" s="32">
        <v>2260</v>
      </c>
      <c r="T2081" s="32">
        <v>4870</v>
      </c>
    </row>
    <row r="2082" spans="2:20" ht="12.75" hidden="1" x14ac:dyDescent="0.25">
      <c r="B2082" s="32">
        <v>27</v>
      </c>
      <c r="F2082" s="32" t="s">
        <v>150</v>
      </c>
      <c r="J2082" s="32">
        <v>45</v>
      </c>
      <c r="P2082" s="32">
        <v>7650</v>
      </c>
      <c r="R2082" s="32">
        <v>2100</v>
      </c>
      <c r="T2082" s="32">
        <v>5550</v>
      </c>
    </row>
    <row r="2083" spans="2:20" ht="12.75" hidden="1" x14ac:dyDescent="0.25">
      <c r="B2083" s="32">
        <v>28</v>
      </c>
      <c r="F2083" s="32" t="s">
        <v>149</v>
      </c>
      <c r="J2083" s="32">
        <v>6</v>
      </c>
      <c r="P2083" s="32">
        <v>300</v>
      </c>
      <c r="R2083" s="32">
        <v>60</v>
      </c>
      <c r="T2083" s="32">
        <v>240</v>
      </c>
    </row>
    <row r="2084" spans="2:20" ht="12.75" hidden="1" x14ac:dyDescent="0.25">
      <c r="B2084" s="32">
        <v>29</v>
      </c>
      <c r="F2084" s="32" t="s">
        <v>148</v>
      </c>
      <c r="J2084" s="32">
        <v>2</v>
      </c>
      <c r="P2084" s="32">
        <v>1960</v>
      </c>
      <c r="R2084" s="32">
        <v>300</v>
      </c>
      <c r="T2084" s="32">
        <v>1660</v>
      </c>
    </row>
    <row r="2085" spans="2:20" ht="12.75" hidden="1" x14ac:dyDescent="0.25">
      <c r="B2085" s="32">
        <v>30</v>
      </c>
      <c r="F2085" s="32" t="s">
        <v>235</v>
      </c>
      <c r="J2085" s="32">
        <v>1</v>
      </c>
      <c r="P2085" s="32">
        <v>950</v>
      </c>
      <c r="R2085" s="32">
        <v>140</v>
      </c>
      <c r="T2085" s="32">
        <v>810</v>
      </c>
    </row>
    <row r="2086" spans="2:20" ht="12.75" hidden="1" x14ac:dyDescent="0.25">
      <c r="B2086" s="32">
        <v>31</v>
      </c>
      <c r="F2086" s="32" t="s">
        <v>287</v>
      </c>
      <c r="J2086" s="32">
        <v>1</v>
      </c>
      <c r="P2086" s="32">
        <v>800</v>
      </c>
      <c r="R2086" s="32">
        <v>450</v>
      </c>
      <c r="T2086" s="32">
        <v>350</v>
      </c>
    </row>
    <row r="2087" spans="2:20" ht="12.75" hidden="1" x14ac:dyDescent="0.25">
      <c r="B2087" s="32">
        <v>32</v>
      </c>
      <c r="F2087" s="32" t="s">
        <v>286</v>
      </c>
      <c r="J2087" s="32">
        <v>1</v>
      </c>
      <c r="P2087" s="32">
        <v>800</v>
      </c>
      <c r="R2087" s="32">
        <v>450</v>
      </c>
      <c r="T2087" s="32">
        <v>350</v>
      </c>
    </row>
    <row r="2088" spans="2:20" ht="12.75" hidden="1" x14ac:dyDescent="0.25">
      <c r="B2088" s="32">
        <v>33</v>
      </c>
      <c r="F2088" s="32" t="s">
        <v>142</v>
      </c>
      <c r="J2088" s="32">
        <v>4</v>
      </c>
      <c r="P2088" s="32">
        <v>1400</v>
      </c>
      <c r="R2088" s="32">
        <v>600</v>
      </c>
      <c r="T2088" s="32">
        <v>800</v>
      </c>
    </row>
    <row r="2089" spans="2:20" ht="12.75" hidden="1" x14ac:dyDescent="0.25">
      <c r="B2089" s="32">
        <v>34</v>
      </c>
      <c r="F2089" s="32" t="s">
        <v>75</v>
      </c>
      <c r="J2089" s="32">
        <v>2064</v>
      </c>
      <c r="P2089" s="32">
        <v>5160000</v>
      </c>
      <c r="R2089" s="32">
        <v>5160000</v>
      </c>
      <c r="T2089" s="32">
        <v>0</v>
      </c>
    </row>
    <row r="2090" spans="2:20" ht="12.75" hidden="1" x14ac:dyDescent="0.25">
      <c r="B2090" s="32">
        <v>35</v>
      </c>
      <c r="F2090" s="32" t="s">
        <v>141</v>
      </c>
      <c r="J2090" s="32">
        <v>6</v>
      </c>
      <c r="P2090" s="32">
        <v>450</v>
      </c>
      <c r="R2090" s="32">
        <v>88</v>
      </c>
      <c r="T2090" s="32">
        <v>362</v>
      </c>
    </row>
    <row r="2091" spans="2:20" ht="12.75" hidden="1" x14ac:dyDescent="0.25">
      <c r="B2091" s="32">
        <v>36</v>
      </c>
      <c r="F2091" s="32" t="s">
        <v>139</v>
      </c>
      <c r="J2091" s="32">
        <v>2</v>
      </c>
      <c r="P2091" s="32">
        <v>540</v>
      </c>
      <c r="R2091" s="32">
        <v>160</v>
      </c>
      <c r="T2091" s="32">
        <v>380</v>
      </c>
    </row>
    <row r="2092" spans="2:20" ht="12.75" hidden="1" x14ac:dyDescent="0.25">
      <c r="B2092" s="32">
        <v>37</v>
      </c>
      <c r="F2092" s="32" t="s">
        <v>231</v>
      </c>
      <c r="J2092" s="32">
        <v>1</v>
      </c>
      <c r="P2092" s="32">
        <v>500</v>
      </c>
      <c r="R2092" s="32">
        <v>0</v>
      </c>
      <c r="T2092" s="32">
        <v>500</v>
      </c>
    </row>
    <row r="2093" spans="2:20" ht="12.75" hidden="1" x14ac:dyDescent="0.25">
      <c r="B2093" s="32">
        <v>38</v>
      </c>
      <c r="F2093" s="32" t="s">
        <v>302</v>
      </c>
      <c r="J2093" s="32">
        <v>1</v>
      </c>
      <c r="P2093" s="32">
        <v>800</v>
      </c>
      <c r="R2093" s="32">
        <v>450</v>
      </c>
      <c r="T2093" s="32">
        <v>350</v>
      </c>
    </row>
    <row r="2094" spans="2:20" ht="12.75" hidden="1" x14ac:dyDescent="0.25">
      <c r="B2094" s="32">
        <v>39</v>
      </c>
      <c r="F2094" s="32" t="s">
        <v>138</v>
      </c>
      <c r="J2094" s="32">
        <v>1</v>
      </c>
      <c r="P2094" s="32">
        <v>800</v>
      </c>
      <c r="R2094" s="32">
        <v>450</v>
      </c>
      <c r="T2094" s="32">
        <v>350</v>
      </c>
    </row>
    <row r="2095" spans="2:20" ht="12.75" hidden="1" x14ac:dyDescent="0.25">
      <c r="B2095" s="32">
        <v>40</v>
      </c>
      <c r="F2095" s="32" t="s">
        <v>137</v>
      </c>
      <c r="J2095" s="32">
        <v>3</v>
      </c>
      <c r="P2095" s="32">
        <v>2400</v>
      </c>
      <c r="R2095" s="32">
        <v>1350</v>
      </c>
      <c r="T2095" s="32">
        <v>1050</v>
      </c>
    </row>
    <row r="2096" spans="2:20" ht="12.75" hidden="1" x14ac:dyDescent="0.25">
      <c r="B2096" s="32">
        <v>41</v>
      </c>
      <c r="F2096" s="32" t="s">
        <v>136</v>
      </c>
      <c r="J2096" s="32">
        <v>20</v>
      </c>
      <c r="P2096" s="32">
        <v>17000</v>
      </c>
      <c r="R2096" s="32">
        <v>4680</v>
      </c>
      <c r="T2096" s="32">
        <v>12320</v>
      </c>
    </row>
    <row r="2097" spans="2:20" ht="12.75" hidden="1" x14ac:dyDescent="0.25">
      <c r="B2097" s="32">
        <v>42</v>
      </c>
      <c r="F2097" s="32" t="s">
        <v>74</v>
      </c>
      <c r="J2097" s="32">
        <v>6</v>
      </c>
      <c r="P2097" s="32">
        <v>5100</v>
      </c>
      <c r="R2097" s="32">
        <v>5100</v>
      </c>
      <c r="T2097" s="32">
        <v>0</v>
      </c>
    </row>
    <row r="2098" spans="2:20" ht="12.75" hidden="1" x14ac:dyDescent="0.25">
      <c r="B2098" s="32">
        <v>43</v>
      </c>
      <c r="F2098" s="32" t="s">
        <v>190</v>
      </c>
      <c r="J2098" s="32">
        <v>3</v>
      </c>
      <c r="P2098" s="32">
        <v>4710</v>
      </c>
      <c r="R2098" s="32">
        <v>720</v>
      </c>
      <c r="T2098" s="32">
        <v>3990</v>
      </c>
    </row>
    <row r="2099" spans="2:20" ht="12.75" hidden="1" x14ac:dyDescent="0.25">
      <c r="B2099" s="32">
        <v>44</v>
      </c>
      <c r="F2099" s="32" t="s">
        <v>135</v>
      </c>
      <c r="J2099" s="32">
        <v>14</v>
      </c>
      <c r="P2099" s="32">
        <v>13300</v>
      </c>
      <c r="R2099" s="32">
        <v>6600</v>
      </c>
      <c r="T2099" s="32">
        <v>6700</v>
      </c>
    </row>
    <row r="2100" spans="2:20" ht="12.75" hidden="1" x14ac:dyDescent="0.25">
      <c r="B2100" s="32">
        <v>45</v>
      </c>
      <c r="F2100" s="32" t="s">
        <v>229</v>
      </c>
      <c r="J2100" s="32">
        <v>3</v>
      </c>
      <c r="P2100" s="32">
        <v>21000</v>
      </c>
      <c r="R2100" s="32">
        <v>17100</v>
      </c>
      <c r="T2100" s="32">
        <v>3900</v>
      </c>
    </row>
    <row r="2101" spans="2:20" ht="12.75" hidden="1" x14ac:dyDescent="0.25">
      <c r="B2101" s="32">
        <v>46</v>
      </c>
      <c r="F2101" s="32" t="s">
        <v>132</v>
      </c>
      <c r="J2101" s="32">
        <v>16</v>
      </c>
      <c r="P2101" s="32">
        <v>19840</v>
      </c>
      <c r="R2101" s="32">
        <v>9400</v>
      </c>
      <c r="T2101" s="32">
        <v>10440</v>
      </c>
    </row>
    <row r="2102" spans="2:20" ht="12.75" hidden="1" x14ac:dyDescent="0.25">
      <c r="B2102" s="32">
        <v>47</v>
      </c>
      <c r="F2102" s="32" t="s">
        <v>130</v>
      </c>
      <c r="J2102" s="32">
        <v>10</v>
      </c>
      <c r="P2102" s="32">
        <v>80000</v>
      </c>
      <c r="R2102" s="32">
        <v>60500</v>
      </c>
      <c r="T2102" s="32">
        <v>19500</v>
      </c>
    </row>
    <row r="2103" spans="2:20" ht="12.75" hidden="1" x14ac:dyDescent="0.25">
      <c r="B2103" s="32">
        <v>48</v>
      </c>
      <c r="F2103" s="32" t="s">
        <v>127</v>
      </c>
      <c r="J2103" s="32">
        <v>28</v>
      </c>
      <c r="P2103" s="32">
        <v>8400</v>
      </c>
      <c r="R2103" s="32">
        <v>2422</v>
      </c>
      <c r="T2103" s="32">
        <v>5978</v>
      </c>
    </row>
    <row r="2104" spans="2:20" ht="12.75" hidden="1" x14ac:dyDescent="0.25">
      <c r="B2104" s="32">
        <v>49</v>
      </c>
      <c r="F2104" s="32" t="s">
        <v>126</v>
      </c>
      <c r="J2104" s="32">
        <v>27</v>
      </c>
      <c r="P2104" s="32">
        <v>5400</v>
      </c>
      <c r="R2104" s="32">
        <v>1554</v>
      </c>
      <c r="T2104" s="32">
        <v>3846</v>
      </c>
    </row>
    <row r="2105" spans="2:20" ht="12.75" hidden="1" x14ac:dyDescent="0.25">
      <c r="B2105" s="32">
        <v>50</v>
      </c>
      <c r="F2105" s="32" t="s">
        <v>125</v>
      </c>
      <c r="J2105" s="32">
        <v>2</v>
      </c>
      <c r="P2105" s="32">
        <v>800</v>
      </c>
      <c r="R2105" s="32">
        <v>240</v>
      </c>
      <c r="T2105" s="32">
        <v>560</v>
      </c>
    </row>
    <row r="2106" spans="2:20" ht="12.75" hidden="1" x14ac:dyDescent="0.25">
      <c r="B2106" s="32">
        <v>51</v>
      </c>
      <c r="F2106" s="32" t="s">
        <v>124</v>
      </c>
      <c r="J2106" s="32">
        <v>17</v>
      </c>
      <c r="P2106" s="32">
        <v>9460</v>
      </c>
      <c r="R2106" s="32">
        <v>2690</v>
      </c>
      <c r="T2106" s="32">
        <v>6770</v>
      </c>
    </row>
    <row r="2107" spans="2:20" ht="12.75" hidden="1" x14ac:dyDescent="0.25">
      <c r="B2107" s="32">
        <v>52</v>
      </c>
      <c r="F2107" s="32" t="s">
        <v>227</v>
      </c>
      <c r="J2107" s="32">
        <v>1</v>
      </c>
      <c r="P2107" s="32">
        <v>500</v>
      </c>
      <c r="R2107" s="32">
        <v>150</v>
      </c>
      <c r="T2107" s="32">
        <v>350</v>
      </c>
    </row>
    <row r="2108" spans="2:20" ht="12.75" hidden="1" x14ac:dyDescent="0.25">
      <c r="B2108" s="32">
        <v>53</v>
      </c>
      <c r="F2108" s="32" t="s">
        <v>336</v>
      </c>
      <c r="J2108" s="32">
        <v>1</v>
      </c>
      <c r="P2108" s="32">
        <v>600</v>
      </c>
      <c r="R2108" s="32">
        <v>0</v>
      </c>
      <c r="T2108" s="32">
        <v>600</v>
      </c>
    </row>
    <row r="2109" spans="2:20" ht="12.75" hidden="1" x14ac:dyDescent="0.25">
      <c r="B2109" s="32">
        <v>54</v>
      </c>
      <c r="F2109" s="32" t="s">
        <v>122</v>
      </c>
      <c r="J2109" s="32">
        <v>4</v>
      </c>
      <c r="P2109" s="32">
        <v>2000</v>
      </c>
      <c r="R2109" s="32">
        <v>450</v>
      </c>
      <c r="T2109" s="32">
        <v>1550</v>
      </c>
    </row>
    <row r="2110" spans="2:20" ht="12.75" hidden="1" x14ac:dyDescent="0.25">
      <c r="B2110" s="32">
        <v>55</v>
      </c>
      <c r="F2110" s="32" t="s">
        <v>121</v>
      </c>
      <c r="J2110" s="32">
        <v>6</v>
      </c>
      <c r="P2110" s="32">
        <v>3000</v>
      </c>
      <c r="R2110" s="32">
        <v>750</v>
      </c>
      <c r="T2110" s="32">
        <v>2250</v>
      </c>
    </row>
    <row r="2111" spans="2:20" ht="12.75" hidden="1" x14ac:dyDescent="0.25">
      <c r="B2111" s="32">
        <v>56</v>
      </c>
      <c r="F2111" s="32" t="s">
        <v>226</v>
      </c>
      <c r="J2111" s="32">
        <v>3</v>
      </c>
      <c r="P2111" s="32">
        <v>1500</v>
      </c>
      <c r="R2111" s="32">
        <v>450</v>
      </c>
      <c r="T2111" s="32">
        <v>1050</v>
      </c>
    </row>
    <row r="2112" spans="2:20" ht="12.75" hidden="1" x14ac:dyDescent="0.25">
      <c r="B2112" s="32">
        <v>57</v>
      </c>
      <c r="F2112" s="32" t="s">
        <v>119</v>
      </c>
      <c r="J2112" s="32">
        <v>25</v>
      </c>
      <c r="P2112" s="32">
        <v>22250</v>
      </c>
      <c r="R2112" s="32">
        <v>7110</v>
      </c>
      <c r="T2112" s="32">
        <v>15140</v>
      </c>
    </row>
    <row r="2113" spans="2:20" ht="12.75" hidden="1" x14ac:dyDescent="0.25">
      <c r="B2113" s="32">
        <v>58</v>
      </c>
      <c r="F2113" s="32" t="s">
        <v>118</v>
      </c>
      <c r="J2113" s="32">
        <v>64</v>
      </c>
      <c r="P2113" s="32">
        <v>63360</v>
      </c>
      <c r="R2113" s="32">
        <v>24998</v>
      </c>
      <c r="T2113" s="32">
        <v>38362</v>
      </c>
    </row>
    <row r="2114" spans="2:20" ht="12.75" hidden="1" x14ac:dyDescent="0.25">
      <c r="B2114" s="32">
        <v>59</v>
      </c>
      <c r="F2114" s="32" t="s">
        <v>117</v>
      </c>
      <c r="J2114" s="32">
        <v>3</v>
      </c>
      <c r="P2114" s="32">
        <v>2400</v>
      </c>
      <c r="R2114" s="32">
        <v>600</v>
      </c>
      <c r="T2114" s="32">
        <v>1800</v>
      </c>
    </row>
    <row r="2115" spans="2:20" ht="12.75" hidden="1" x14ac:dyDescent="0.25">
      <c r="B2115" s="32">
        <v>60</v>
      </c>
      <c r="F2115" s="32" t="s">
        <v>116</v>
      </c>
      <c r="J2115" s="32">
        <v>1</v>
      </c>
      <c r="P2115" s="32">
        <v>800</v>
      </c>
      <c r="R2115" s="32">
        <v>200</v>
      </c>
      <c r="T2115" s="32">
        <v>600</v>
      </c>
    </row>
    <row r="2116" spans="2:20" ht="12.75" hidden="1" x14ac:dyDescent="0.25">
      <c r="T2116" s="32"/>
    </row>
    <row r="2117" spans="2:20" ht="12.75" hidden="1" x14ac:dyDescent="0.25">
      <c r="B2117" s="32">
        <v>61</v>
      </c>
      <c r="F2117" s="32" t="s">
        <v>115</v>
      </c>
      <c r="J2117" s="32">
        <v>15</v>
      </c>
      <c r="P2117" s="32">
        <v>4350</v>
      </c>
      <c r="R2117" s="32">
        <v>1220</v>
      </c>
      <c r="T2117" s="32">
        <v>3130</v>
      </c>
    </row>
    <row r="2118" spans="2:20" ht="12.75" hidden="1" x14ac:dyDescent="0.25">
      <c r="B2118" s="32">
        <v>62</v>
      </c>
      <c r="F2118" s="32" t="s">
        <v>280</v>
      </c>
      <c r="J2118" s="32">
        <v>1</v>
      </c>
      <c r="P2118" s="32">
        <v>700</v>
      </c>
      <c r="R2118" s="32">
        <v>350</v>
      </c>
      <c r="T2118" s="32">
        <v>350</v>
      </c>
    </row>
    <row r="2119" spans="2:20" ht="12.75" hidden="1" x14ac:dyDescent="0.25">
      <c r="B2119" s="32">
        <v>63</v>
      </c>
      <c r="F2119" s="32" t="s">
        <v>222</v>
      </c>
      <c r="J2119" s="32">
        <v>2</v>
      </c>
      <c r="P2119" s="32">
        <v>1000</v>
      </c>
      <c r="R2119" s="32">
        <v>300</v>
      </c>
      <c r="T2119" s="32">
        <v>700</v>
      </c>
    </row>
    <row r="2120" spans="2:20" ht="12.75" hidden="1" x14ac:dyDescent="0.25">
      <c r="B2120" s="32">
        <v>64</v>
      </c>
      <c r="F2120" s="32" t="s">
        <v>300</v>
      </c>
      <c r="J2120" s="32">
        <v>1</v>
      </c>
      <c r="P2120" s="32">
        <v>330</v>
      </c>
      <c r="R2120" s="32">
        <v>100</v>
      </c>
      <c r="T2120" s="32">
        <v>230</v>
      </c>
    </row>
    <row r="2121" spans="2:20" ht="12.75" hidden="1" x14ac:dyDescent="0.25">
      <c r="B2121" s="32">
        <v>65</v>
      </c>
      <c r="F2121" s="32" t="s">
        <v>181</v>
      </c>
      <c r="J2121" s="32">
        <v>2</v>
      </c>
      <c r="P2121" s="32">
        <v>1580</v>
      </c>
      <c r="R2121" s="32">
        <v>240</v>
      </c>
      <c r="T2121" s="32">
        <v>1340</v>
      </c>
    </row>
    <row r="2122" spans="2:20" ht="12.75" hidden="1" x14ac:dyDescent="0.25">
      <c r="B2122" s="32">
        <v>66</v>
      </c>
      <c r="F2122" s="32" t="s">
        <v>171</v>
      </c>
      <c r="J2122" s="32">
        <v>1</v>
      </c>
      <c r="P2122" s="32">
        <v>530</v>
      </c>
      <c r="R2122" s="32">
        <v>160</v>
      </c>
      <c r="T2122" s="32">
        <v>370</v>
      </c>
    </row>
    <row r="2123" spans="2:20" ht="12.75" hidden="1" x14ac:dyDescent="0.25">
      <c r="B2123" s="32">
        <v>67</v>
      </c>
      <c r="F2123" s="32" t="s">
        <v>109</v>
      </c>
      <c r="J2123" s="32">
        <v>4</v>
      </c>
      <c r="P2123" s="32">
        <v>3120</v>
      </c>
      <c r="R2123" s="32">
        <v>690</v>
      </c>
      <c r="T2123" s="32">
        <v>2430</v>
      </c>
    </row>
    <row r="2124" spans="2:20" ht="12.75" hidden="1" x14ac:dyDescent="0.25">
      <c r="B2124" s="32">
        <v>68</v>
      </c>
      <c r="F2124" s="32" t="s">
        <v>108</v>
      </c>
      <c r="J2124" s="32">
        <v>35</v>
      </c>
      <c r="P2124" s="32">
        <v>3500</v>
      </c>
      <c r="R2124" s="32">
        <v>810</v>
      </c>
      <c r="T2124" s="32">
        <v>2690</v>
      </c>
    </row>
    <row r="2125" spans="2:20" ht="12.75" hidden="1" x14ac:dyDescent="0.25">
      <c r="B2125" s="32">
        <v>69</v>
      </c>
      <c r="F2125" s="32" t="s">
        <v>107</v>
      </c>
      <c r="J2125" s="32">
        <v>103</v>
      </c>
      <c r="P2125" s="32">
        <v>17510</v>
      </c>
      <c r="R2125" s="32">
        <v>4978</v>
      </c>
      <c r="T2125" s="32">
        <v>12532</v>
      </c>
    </row>
    <row r="2126" spans="2:20" ht="12.75" hidden="1" x14ac:dyDescent="0.25">
      <c r="B2126" s="32">
        <v>70</v>
      </c>
      <c r="F2126" s="32" t="s">
        <v>180</v>
      </c>
      <c r="J2126" s="32">
        <v>1</v>
      </c>
      <c r="P2126" s="32">
        <v>590</v>
      </c>
      <c r="R2126" s="32">
        <v>180</v>
      </c>
      <c r="T2126" s="32">
        <v>410</v>
      </c>
    </row>
    <row r="2127" spans="2:20" ht="12.75" hidden="1" x14ac:dyDescent="0.25">
      <c r="B2127" s="32">
        <v>71</v>
      </c>
      <c r="F2127" s="32" t="s">
        <v>216</v>
      </c>
      <c r="J2127" s="32">
        <v>2</v>
      </c>
      <c r="P2127" s="32">
        <v>2160</v>
      </c>
      <c r="R2127" s="32">
        <v>165</v>
      </c>
      <c r="T2127" s="32">
        <v>1995</v>
      </c>
    </row>
    <row r="2128" spans="2:20" ht="12.75" hidden="1" x14ac:dyDescent="0.25">
      <c r="B2128" s="32">
        <v>72</v>
      </c>
      <c r="F2128" s="32" t="s">
        <v>105</v>
      </c>
      <c r="J2128" s="32">
        <v>28</v>
      </c>
      <c r="P2128" s="32">
        <v>32200</v>
      </c>
      <c r="R2128" s="32">
        <v>0</v>
      </c>
      <c r="T2128" s="32">
        <v>32200</v>
      </c>
    </row>
    <row r="2129" spans="2:20" ht="12.75" hidden="1" x14ac:dyDescent="0.25">
      <c r="B2129" s="32">
        <v>73</v>
      </c>
      <c r="F2129" s="32" t="s">
        <v>377</v>
      </c>
      <c r="J2129" s="32">
        <v>1</v>
      </c>
      <c r="P2129" s="32">
        <v>2020</v>
      </c>
      <c r="R2129" s="32">
        <v>0</v>
      </c>
      <c r="T2129" s="32">
        <v>2020</v>
      </c>
    </row>
    <row r="2130" spans="2:20" ht="12.75" hidden="1" x14ac:dyDescent="0.25">
      <c r="B2130" s="32">
        <v>74</v>
      </c>
      <c r="F2130" s="32" t="s">
        <v>104</v>
      </c>
      <c r="J2130" s="32">
        <v>1</v>
      </c>
      <c r="P2130" s="32">
        <v>330</v>
      </c>
      <c r="R2130" s="32">
        <v>135</v>
      </c>
      <c r="T2130" s="32">
        <v>195</v>
      </c>
    </row>
    <row r="2131" spans="2:20" ht="12.75" hidden="1" x14ac:dyDescent="0.25">
      <c r="B2131" s="32">
        <v>75</v>
      </c>
      <c r="F2131" s="32" t="s">
        <v>103</v>
      </c>
      <c r="J2131" s="32">
        <v>7</v>
      </c>
      <c r="P2131" s="32">
        <v>2310</v>
      </c>
      <c r="R2131" s="32">
        <v>920</v>
      </c>
      <c r="T2131" s="32">
        <v>1390</v>
      </c>
    </row>
    <row r="2132" spans="2:20" ht="12.75" hidden="1" x14ac:dyDescent="0.25">
      <c r="B2132" s="32">
        <v>76</v>
      </c>
      <c r="F2132" s="32" t="s">
        <v>276</v>
      </c>
      <c r="J2132" s="32">
        <v>1</v>
      </c>
      <c r="P2132" s="32">
        <v>500</v>
      </c>
      <c r="R2132" s="32">
        <v>150</v>
      </c>
      <c r="T2132" s="32">
        <v>350</v>
      </c>
    </row>
    <row r="2133" spans="2:20" ht="12.75" hidden="1" x14ac:dyDescent="0.25">
      <c r="B2133" s="32">
        <v>77</v>
      </c>
      <c r="F2133" s="32" t="s">
        <v>102</v>
      </c>
      <c r="J2133" s="32">
        <v>1</v>
      </c>
      <c r="P2133" s="32">
        <v>880</v>
      </c>
      <c r="R2133" s="32">
        <v>130</v>
      </c>
      <c r="T2133" s="32">
        <v>750</v>
      </c>
    </row>
    <row r="2134" spans="2:20" ht="12.75" hidden="1" x14ac:dyDescent="0.25">
      <c r="B2134" s="32">
        <v>78</v>
      </c>
      <c r="F2134" s="32" t="s">
        <v>101</v>
      </c>
      <c r="J2134" s="32">
        <v>5</v>
      </c>
      <c r="P2134" s="32">
        <v>2300</v>
      </c>
      <c r="R2134" s="32">
        <v>700</v>
      </c>
      <c r="T2134" s="32">
        <v>1600</v>
      </c>
    </row>
    <row r="2135" spans="2:20" ht="12.75" hidden="1" x14ac:dyDescent="0.25">
      <c r="B2135" s="32">
        <v>79</v>
      </c>
      <c r="F2135" s="32" t="s">
        <v>100</v>
      </c>
      <c r="J2135" s="32">
        <v>3</v>
      </c>
      <c r="P2135" s="32">
        <v>540</v>
      </c>
      <c r="R2135" s="32">
        <v>50</v>
      </c>
      <c r="T2135" s="32">
        <v>490</v>
      </c>
    </row>
    <row r="2136" spans="2:20" ht="12.75" hidden="1" x14ac:dyDescent="0.25">
      <c r="B2136" s="32">
        <v>80</v>
      </c>
      <c r="F2136" s="32" t="s">
        <v>99</v>
      </c>
      <c r="J2136" s="32">
        <v>1</v>
      </c>
      <c r="P2136" s="32">
        <v>590</v>
      </c>
      <c r="R2136" s="32">
        <v>90</v>
      </c>
      <c r="T2136" s="32">
        <v>500</v>
      </c>
    </row>
    <row r="2137" spans="2:20" ht="12.75" hidden="1" x14ac:dyDescent="0.25">
      <c r="B2137" s="32">
        <v>81</v>
      </c>
      <c r="F2137" s="32" t="s">
        <v>98</v>
      </c>
      <c r="J2137" s="32">
        <v>1</v>
      </c>
      <c r="P2137" s="32">
        <v>570</v>
      </c>
      <c r="R2137" s="32">
        <v>80</v>
      </c>
      <c r="T2137" s="32">
        <v>490</v>
      </c>
    </row>
    <row r="2138" spans="2:20" ht="12.75" hidden="1" x14ac:dyDescent="0.25">
      <c r="B2138" s="32">
        <v>82</v>
      </c>
      <c r="F2138" s="32" t="s">
        <v>97</v>
      </c>
      <c r="J2138" s="32">
        <v>7</v>
      </c>
      <c r="P2138" s="32">
        <v>11130</v>
      </c>
      <c r="R2138" s="32">
        <v>1440</v>
      </c>
      <c r="T2138" s="32">
        <v>9690</v>
      </c>
    </row>
    <row r="2139" spans="2:20" ht="12.75" hidden="1" x14ac:dyDescent="0.25">
      <c r="B2139" s="32">
        <v>83</v>
      </c>
      <c r="F2139" s="32" t="s">
        <v>324</v>
      </c>
      <c r="J2139" s="32">
        <v>1</v>
      </c>
      <c r="P2139" s="32">
        <v>350</v>
      </c>
      <c r="R2139" s="32">
        <v>160</v>
      </c>
      <c r="T2139" s="32">
        <v>190</v>
      </c>
    </row>
    <row r="2140" spans="2:20" ht="12.75" hidden="1" x14ac:dyDescent="0.25">
      <c r="B2140" s="32">
        <v>84</v>
      </c>
      <c r="F2140" s="32" t="s">
        <v>93</v>
      </c>
      <c r="J2140" s="32">
        <v>9</v>
      </c>
      <c r="P2140" s="32">
        <v>5310</v>
      </c>
      <c r="R2140" s="32">
        <v>810</v>
      </c>
      <c r="T2140" s="32">
        <v>4500</v>
      </c>
    </row>
    <row r="2141" spans="2:20" ht="12.75" hidden="1" x14ac:dyDescent="0.25">
      <c r="B2141" s="32">
        <v>85</v>
      </c>
      <c r="F2141" s="32" t="s">
        <v>92</v>
      </c>
      <c r="J2141" s="32">
        <v>77</v>
      </c>
      <c r="P2141" s="32">
        <v>58680</v>
      </c>
      <c r="R2141" s="32">
        <v>16640</v>
      </c>
      <c r="T2141" s="32">
        <v>42040</v>
      </c>
    </row>
    <row r="2142" spans="2:20" ht="12.75" hidden="1" x14ac:dyDescent="0.25">
      <c r="B2142" s="32">
        <v>86</v>
      </c>
      <c r="F2142" s="32" t="s">
        <v>174</v>
      </c>
      <c r="J2142" s="32">
        <v>1</v>
      </c>
      <c r="P2142" s="32">
        <v>400</v>
      </c>
      <c r="R2142" s="32">
        <v>0</v>
      </c>
      <c r="T2142" s="32">
        <v>400</v>
      </c>
    </row>
    <row r="2143" spans="2:20" ht="12.75" hidden="1" x14ac:dyDescent="0.25">
      <c r="B2143" s="32">
        <v>87</v>
      </c>
      <c r="F2143" s="32" t="s">
        <v>355</v>
      </c>
      <c r="J2143" s="32">
        <v>1</v>
      </c>
      <c r="P2143" s="32">
        <v>600</v>
      </c>
      <c r="R2143" s="32">
        <v>0</v>
      </c>
      <c r="T2143" s="32">
        <v>600</v>
      </c>
    </row>
    <row r="2144" spans="2:20" ht="12.75" hidden="1" x14ac:dyDescent="0.25">
      <c r="B2144" s="32">
        <v>88</v>
      </c>
      <c r="F2144" s="32" t="s">
        <v>91</v>
      </c>
      <c r="J2144" s="32">
        <v>32</v>
      </c>
      <c r="P2144" s="32">
        <v>8000</v>
      </c>
      <c r="R2144" s="32">
        <v>2090</v>
      </c>
      <c r="T2144" s="32">
        <v>5910</v>
      </c>
    </row>
    <row r="2145" spans="1:20" ht="12.75" hidden="1" x14ac:dyDescent="0.25">
      <c r="B2145" s="32">
        <v>89</v>
      </c>
      <c r="F2145" s="32" t="s">
        <v>90</v>
      </c>
      <c r="J2145" s="32">
        <v>23</v>
      </c>
      <c r="P2145" s="32">
        <v>6670</v>
      </c>
      <c r="R2145" s="32">
        <v>1600</v>
      </c>
      <c r="T2145" s="32">
        <v>5070</v>
      </c>
    </row>
    <row r="2146" spans="1:20" ht="12.75" hidden="1" x14ac:dyDescent="0.25">
      <c r="B2146" s="32">
        <v>90</v>
      </c>
      <c r="F2146" s="32" t="s">
        <v>88</v>
      </c>
      <c r="J2146" s="32">
        <v>65</v>
      </c>
      <c r="P2146" s="32">
        <v>11700</v>
      </c>
      <c r="R2146" s="32">
        <v>3325</v>
      </c>
      <c r="T2146" s="32">
        <v>8375</v>
      </c>
    </row>
    <row r="2147" spans="1:20" ht="12.75" hidden="1" x14ac:dyDescent="0.25">
      <c r="B2147" s="32">
        <v>91</v>
      </c>
      <c r="F2147" s="32" t="s">
        <v>87</v>
      </c>
      <c r="J2147" s="32">
        <v>1</v>
      </c>
      <c r="P2147" s="32">
        <v>290</v>
      </c>
      <c r="R2147" s="32">
        <v>80</v>
      </c>
      <c r="T2147" s="32">
        <v>210</v>
      </c>
    </row>
    <row r="2148" spans="1:20" ht="12.75" hidden="1" x14ac:dyDescent="0.25">
      <c r="B2148" s="32">
        <v>92</v>
      </c>
      <c r="F2148" s="32" t="s">
        <v>86</v>
      </c>
      <c r="J2148" s="32">
        <v>1</v>
      </c>
      <c r="P2148" s="32">
        <v>1140</v>
      </c>
      <c r="R2148" s="32">
        <v>170</v>
      </c>
      <c r="T2148" s="32">
        <v>970</v>
      </c>
    </row>
    <row r="2149" spans="1:20" ht="12.75" hidden="1" x14ac:dyDescent="0.25">
      <c r="B2149" s="32">
        <v>93</v>
      </c>
      <c r="F2149" s="32" t="s">
        <v>85</v>
      </c>
      <c r="J2149" s="32">
        <v>6</v>
      </c>
      <c r="P2149" s="32">
        <v>12480</v>
      </c>
      <c r="R2149" s="32">
        <v>1860</v>
      </c>
      <c r="T2149" s="32">
        <v>10620</v>
      </c>
    </row>
    <row r="2150" spans="1:20" ht="12.75" hidden="1" x14ac:dyDescent="0.25">
      <c r="B2150" s="32">
        <v>94</v>
      </c>
      <c r="F2150" s="32" t="s">
        <v>84</v>
      </c>
      <c r="J2150" s="32">
        <v>9</v>
      </c>
      <c r="P2150" s="32">
        <v>5310</v>
      </c>
      <c r="R2150" s="32">
        <v>1620</v>
      </c>
      <c r="T2150" s="32">
        <v>3690</v>
      </c>
    </row>
    <row r="2151" spans="1:20" ht="12.75" hidden="1" x14ac:dyDescent="0.25">
      <c r="B2151" s="32">
        <v>95</v>
      </c>
      <c r="F2151" s="32" t="s">
        <v>273</v>
      </c>
      <c r="J2151" s="32">
        <v>1</v>
      </c>
      <c r="P2151" s="32">
        <v>500</v>
      </c>
      <c r="R2151" s="32">
        <v>150</v>
      </c>
      <c r="T2151" s="32">
        <v>350</v>
      </c>
    </row>
    <row r="2152" spans="1:20" ht="12.75" hidden="1" x14ac:dyDescent="0.25">
      <c r="B2152" s="32">
        <v>96</v>
      </c>
      <c r="F2152" s="32" t="s">
        <v>207</v>
      </c>
      <c r="J2152" s="32">
        <v>1</v>
      </c>
      <c r="P2152" s="32">
        <v>500</v>
      </c>
      <c r="R2152" s="32">
        <v>150</v>
      </c>
      <c r="T2152" s="32">
        <v>350</v>
      </c>
    </row>
    <row r="2153" spans="1:20" ht="12.75" hidden="1" x14ac:dyDescent="0.25">
      <c r="B2153" s="32">
        <v>97</v>
      </c>
      <c r="F2153" s="32" t="s">
        <v>272</v>
      </c>
      <c r="J2153" s="32">
        <v>1</v>
      </c>
      <c r="P2153" s="32">
        <v>500</v>
      </c>
      <c r="R2153" s="32">
        <v>150</v>
      </c>
      <c r="T2153" s="32">
        <v>350</v>
      </c>
    </row>
    <row r="2154" spans="1:20" ht="12.75" hidden="1" x14ac:dyDescent="0.25">
      <c r="B2154" s="32">
        <v>98</v>
      </c>
      <c r="F2154" s="32" t="s">
        <v>205</v>
      </c>
      <c r="J2154" s="32">
        <v>3</v>
      </c>
      <c r="P2154" s="32">
        <v>1500</v>
      </c>
      <c r="R2154" s="32">
        <v>300</v>
      </c>
      <c r="T2154" s="32">
        <v>1200</v>
      </c>
    </row>
    <row r="2155" spans="1:20" ht="12.75" hidden="1" x14ac:dyDescent="0.25">
      <c r="B2155" s="32">
        <v>99</v>
      </c>
      <c r="F2155" s="32" t="s">
        <v>204</v>
      </c>
      <c r="J2155" s="32">
        <v>1</v>
      </c>
      <c r="P2155" s="32">
        <v>500</v>
      </c>
      <c r="R2155" s="32">
        <v>150</v>
      </c>
      <c r="T2155" s="32">
        <v>350</v>
      </c>
    </row>
    <row r="2156" spans="1:20" ht="12.75" hidden="1" x14ac:dyDescent="0.25">
      <c r="B2156" s="32">
        <v>100</v>
      </c>
      <c r="F2156" s="32" t="s">
        <v>83</v>
      </c>
      <c r="J2156" s="32">
        <v>3</v>
      </c>
      <c r="P2156" s="32">
        <v>1500</v>
      </c>
      <c r="R2156" s="32">
        <v>450</v>
      </c>
      <c r="T2156" s="32">
        <v>1050</v>
      </c>
    </row>
    <row r="2157" spans="1:20" ht="12.75" hidden="1" x14ac:dyDescent="0.25">
      <c r="B2157" s="32">
        <v>101</v>
      </c>
      <c r="F2157" s="32" t="s">
        <v>271</v>
      </c>
      <c r="J2157" s="32">
        <v>1</v>
      </c>
      <c r="P2157" s="32">
        <v>500</v>
      </c>
      <c r="R2157" s="32">
        <v>150</v>
      </c>
      <c r="T2157" s="32">
        <v>350</v>
      </c>
    </row>
    <row r="2158" spans="1:20" ht="12.75" hidden="1" x14ac:dyDescent="0.25">
      <c r="A2158" s="32" t="s">
        <v>404</v>
      </c>
      <c r="K2158" s="32">
        <v>4327</v>
      </c>
      <c r="P2158" s="32">
        <v>4723700</v>
      </c>
      <c r="R2158" s="32">
        <v>4222052</v>
      </c>
      <c r="T2158" s="32">
        <v>501648</v>
      </c>
    </row>
    <row r="2159" spans="1:20" ht="12.75" hidden="1" x14ac:dyDescent="0.25">
      <c r="B2159" s="32">
        <v>1</v>
      </c>
      <c r="F2159" s="32" t="s">
        <v>168</v>
      </c>
      <c r="J2159" s="32">
        <v>2</v>
      </c>
      <c r="P2159" s="32">
        <v>4400</v>
      </c>
      <c r="R2159" s="32">
        <v>660</v>
      </c>
      <c r="T2159" s="32">
        <v>3740</v>
      </c>
    </row>
    <row r="2160" spans="1:20" ht="12.75" hidden="1" x14ac:dyDescent="0.25">
      <c r="B2160" s="32">
        <v>2</v>
      </c>
      <c r="F2160" s="32" t="s">
        <v>78</v>
      </c>
      <c r="J2160" s="32">
        <v>147</v>
      </c>
      <c r="P2160" s="32">
        <v>42630</v>
      </c>
      <c r="R2160" s="32">
        <v>42630</v>
      </c>
      <c r="T2160" s="32">
        <v>0</v>
      </c>
    </row>
    <row r="2161" spans="2:20" ht="12.75" hidden="1" x14ac:dyDescent="0.25">
      <c r="B2161" s="32">
        <v>3</v>
      </c>
      <c r="F2161" s="32" t="s">
        <v>268</v>
      </c>
      <c r="J2161" s="32">
        <v>2</v>
      </c>
      <c r="P2161" s="32">
        <v>500</v>
      </c>
      <c r="R2161" s="32">
        <v>140</v>
      </c>
      <c r="T2161" s="32">
        <v>360</v>
      </c>
    </row>
    <row r="2162" spans="2:20" ht="12.75" hidden="1" x14ac:dyDescent="0.25">
      <c r="B2162" s="32">
        <v>4</v>
      </c>
      <c r="F2162" s="32" t="s">
        <v>167</v>
      </c>
      <c r="J2162" s="32">
        <v>1</v>
      </c>
      <c r="P2162" s="32">
        <v>570</v>
      </c>
      <c r="R2162" s="32">
        <v>170</v>
      </c>
      <c r="T2162" s="32">
        <v>400</v>
      </c>
    </row>
    <row r="2163" spans="2:20" ht="12.75" hidden="1" x14ac:dyDescent="0.25">
      <c r="B2163" s="32">
        <v>5</v>
      </c>
      <c r="F2163" s="32" t="s">
        <v>163</v>
      </c>
      <c r="J2163" s="32">
        <v>5</v>
      </c>
      <c r="P2163" s="32">
        <v>5950</v>
      </c>
      <c r="R2163" s="32">
        <v>900</v>
      </c>
      <c r="T2163" s="32">
        <v>5050</v>
      </c>
    </row>
    <row r="2164" spans="2:20" ht="12.75" hidden="1" x14ac:dyDescent="0.25">
      <c r="B2164" s="32">
        <v>6</v>
      </c>
      <c r="F2164" s="32" t="s">
        <v>162</v>
      </c>
      <c r="J2164" s="32">
        <v>7</v>
      </c>
      <c r="P2164" s="32">
        <v>3010</v>
      </c>
      <c r="R2164" s="32">
        <v>1237</v>
      </c>
      <c r="T2164" s="32">
        <v>1773</v>
      </c>
    </row>
    <row r="2165" spans="2:20" ht="12.75" hidden="1" x14ac:dyDescent="0.25">
      <c r="B2165" s="32">
        <v>7</v>
      </c>
      <c r="F2165" s="32" t="s">
        <v>160</v>
      </c>
      <c r="J2165" s="32">
        <v>17</v>
      </c>
      <c r="P2165" s="32">
        <v>4930</v>
      </c>
      <c r="R2165" s="32">
        <v>1360</v>
      </c>
      <c r="T2165" s="32">
        <v>3570</v>
      </c>
    </row>
    <row r="2166" spans="2:20" ht="12.75" hidden="1" x14ac:dyDescent="0.25">
      <c r="B2166" s="32">
        <v>8</v>
      </c>
      <c r="F2166" s="32" t="s">
        <v>159</v>
      </c>
      <c r="J2166" s="32">
        <v>62</v>
      </c>
      <c r="P2166" s="32">
        <v>0</v>
      </c>
      <c r="R2166" s="32">
        <v>0</v>
      </c>
      <c r="T2166" s="32">
        <v>0</v>
      </c>
    </row>
    <row r="2167" spans="2:20" ht="12.75" hidden="1" x14ac:dyDescent="0.25">
      <c r="B2167" s="32">
        <v>9</v>
      </c>
      <c r="F2167" s="32" t="s">
        <v>158</v>
      </c>
      <c r="J2167" s="32">
        <v>509</v>
      </c>
      <c r="P2167" s="32">
        <v>279950</v>
      </c>
      <c r="R2167" s="32">
        <v>76717</v>
      </c>
      <c r="T2167" s="32">
        <v>203233</v>
      </c>
    </row>
    <row r="2168" spans="2:20" ht="12.75" hidden="1" x14ac:dyDescent="0.25">
      <c r="B2168" s="32">
        <v>10</v>
      </c>
      <c r="F2168" s="32" t="s">
        <v>157</v>
      </c>
      <c r="J2168" s="32">
        <v>71</v>
      </c>
      <c r="P2168" s="32">
        <v>34790</v>
      </c>
      <c r="R2168" s="32">
        <v>14678</v>
      </c>
      <c r="T2168" s="32">
        <v>20112</v>
      </c>
    </row>
    <row r="2169" spans="2:20" ht="12.75" hidden="1" x14ac:dyDescent="0.25">
      <c r="B2169" s="32">
        <v>11</v>
      </c>
      <c r="F2169" s="32" t="s">
        <v>293</v>
      </c>
      <c r="J2169" s="32">
        <v>1</v>
      </c>
      <c r="P2169" s="32">
        <v>700</v>
      </c>
      <c r="R2169" s="32">
        <v>180</v>
      </c>
      <c r="T2169" s="32">
        <v>520</v>
      </c>
    </row>
    <row r="2170" spans="2:20" ht="12.75" hidden="1" x14ac:dyDescent="0.25">
      <c r="B2170" s="32">
        <v>12</v>
      </c>
      <c r="F2170" s="32" t="s">
        <v>77</v>
      </c>
      <c r="J2170" s="32">
        <v>1317</v>
      </c>
      <c r="P2170" s="32">
        <v>531000</v>
      </c>
      <c r="R2170" s="32">
        <v>531000</v>
      </c>
      <c r="T2170" s="32">
        <v>0</v>
      </c>
    </row>
    <row r="2171" spans="2:20" ht="12.75" hidden="1" x14ac:dyDescent="0.25">
      <c r="B2171" s="32">
        <v>13</v>
      </c>
      <c r="F2171" s="32" t="s">
        <v>242</v>
      </c>
      <c r="J2171" s="32">
        <v>3</v>
      </c>
      <c r="P2171" s="32">
        <v>1500</v>
      </c>
      <c r="R2171" s="32">
        <v>1500</v>
      </c>
      <c r="T2171" s="32">
        <v>0</v>
      </c>
    </row>
    <row r="2172" spans="2:20" ht="12.75" hidden="1" x14ac:dyDescent="0.25">
      <c r="B2172" s="32">
        <v>14</v>
      </c>
      <c r="F2172" s="32" t="s">
        <v>156</v>
      </c>
      <c r="J2172" s="32">
        <v>8</v>
      </c>
      <c r="P2172" s="32">
        <v>1520</v>
      </c>
      <c r="R2172" s="32">
        <v>500</v>
      </c>
      <c r="T2172" s="32">
        <v>1020</v>
      </c>
    </row>
    <row r="2173" spans="2:20" ht="12.75" hidden="1" x14ac:dyDescent="0.25">
      <c r="B2173" s="32">
        <v>15</v>
      </c>
      <c r="F2173" s="32" t="s">
        <v>155</v>
      </c>
      <c r="J2173" s="32">
        <v>23</v>
      </c>
      <c r="P2173" s="32">
        <v>5750</v>
      </c>
      <c r="R2173" s="32">
        <v>1840</v>
      </c>
      <c r="T2173" s="32">
        <v>3910</v>
      </c>
    </row>
    <row r="2174" spans="2:20" ht="12.75" hidden="1" x14ac:dyDescent="0.25">
      <c r="B2174" s="32">
        <v>16</v>
      </c>
      <c r="F2174" s="32" t="s">
        <v>154</v>
      </c>
      <c r="J2174" s="32">
        <v>1</v>
      </c>
      <c r="P2174" s="32">
        <v>890</v>
      </c>
      <c r="R2174" s="32">
        <v>130</v>
      </c>
      <c r="T2174" s="32">
        <v>760</v>
      </c>
    </row>
    <row r="2175" spans="2:20" ht="12.75" hidden="1" x14ac:dyDescent="0.25">
      <c r="B2175" s="32">
        <v>17</v>
      </c>
      <c r="F2175" s="32" t="s">
        <v>153</v>
      </c>
      <c r="J2175" s="32">
        <v>1</v>
      </c>
      <c r="P2175" s="32">
        <v>1180</v>
      </c>
      <c r="R2175" s="32">
        <v>180</v>
      </c>
      <c r="T2175" s="32">
        <v>1000</v>
      </c>
    </row>
    <row r="2176" spans="2:20" ht="12.75" hidden="1" x14ac:dyDescent="0.25">
      <c r="B2176" s="32">
        <v>18</v>
      </c>
      <c r="F2176" s="32" t="s">
        <v>152</v>
      </c>
      <c r="J2176" s="32">
        <v>14</v>
      </c>
      <c r="P2176" s="32">
        <v>8260</v>
      </c>
      <c r="R2176" s="32">
        <v>2520</v>
      </c>
      <c r="T2176" s="32">
        <v>5740</v>
      </c>
    </row>
    <row r="2177" spans="2:20" ht="12.75" hidden="1" x14ac:dyDescent="0.25">
      <c r="B2177" s="32">
        <v>19</v>
      </c>
      <c r="F2177" s="32" t="s">
        <v>151</v>
      </c>
      <c r="J2177" s="32">
        <v>49</v>
      </c>
      <c r="P2177" s="32">
        <v>11270</v>
      </c>
      <c r="R2177" s="32">
        <v>3590</v>
      </c>
      <c r="T2177" s="32">
        <v>7680</v>
      </c>
    </row>
    <row r="2178" spans="2:20" ht="12.75" hidden="1" x14ac:dyDescent="0.25">
      <c r="B2178" s="32">
        <v>20</v>
      </c>
      <c r="F2178" s="32" t="s">
        <v>150</v>
      </c>
      <c r="J2178" s="32">
        <v>43</v>
      </c>
      <c r="P2178" s="32">
        <v>7310</v>
      </c>
      <c r="R2178" s="32">
        <v>2100</v>
      </c>
      <c r="T2178" s="32">
        <v>5210</v>
      </c>
    </row>
    <row r="2179" spans="2:20" ht="12.75" hidden="1" x14ac:dyDescent="0.25">
      <c r="B2179" s="32">
        <v>21</v>
      </c>
      <c r="F2179" s="32" t="s">
        <v>75</v>
      </c>
      <c r="J2179" s="32">
        <v>1343</v>
      </c>
      <c r="P2179" s="32">
        <v>3357500</v>
      </c>
      <c r="R2179" s="32">
        <v>3357500</v>
      </c>
      <c r="T2179" s="32">
        <v>0</v>
      </c>
    </row>
    <row r="2180" spans="2:20" ht="12.75" hidden="1" x14ac:dyDescent="0.25">
      <c r="B2180" s="32">
        <v>22</v>
      </c>
      <c r="F2180" s="32" t="s">
        <v>136</v>
      </c>
      <c r="J2180" s="32">
        <v>18</v>
      </c>
      <c r="P2180" s="32">
        <v>15300</v>
      </c>
      <c r="R2180" s="32">
        <v>3770</v>
      </c>
      <c r="T2180" s="32">
        <v>11530</v>
      </c>
    </row>
    <row r="2181" spans="2:20" ht="12.75" hidden="1" x14ac:dyDescent="0.25">
      <c r="B2181" s="32">
        <v>23</v>
      </c>
      <c r="F2181" s="32" t="s">
        <v>74</v>
      </c>
      <c r="J2181" s="32">
        <v>112</v>
      </c>
      <c r="P2181" s="32">
        <v>95200</v>
      </c>
      <c r="R2181" s="32">
        <v>95200</v>
      </c>
      <c r="T2181" s="32">
        <v>0</v>
      </c>
    </row>
    <row r="2182" spans="2:20" ht="12.75" hidden="1" x14ac:dyDescent="0.25">
      <c r="B2182" s="32">
        <v>24</v>
      </c>
      <c r="F2182" s="32" t="s">
        <v>190</v>
      </c>
      <c r="J2182" s="32">
        <v>10</v>
      </c>
      <c r="P2182" s="32">
        <v>15700</v>
      </c>
      <c r="R2182" s="32">
        <v>2400</v>
      </c>
      <c r="T2182" s="32">
        <v>13300</v>
      </c>
    </row>
    <row r="2183" spans="2:20" ht="12.75" hidden="1" x14ac:dyDescent="0.25">
      <c r="B2183" s="32">
        <v>25</v>
      </c>
      <c r="F2183" s="32" t="s">
        <v>135</v>
      </c>
      <c r="J2183" s="32">
        <v>1</v>
      </c>
      <c r="P2183" s="32">
        <v>950</v>
      </c>
      <c r="R2183" s="32">
        <v>280</v>
      </c>
      <c r="T2183" s="32">
        <v>670</v>
      </c>
    </row>
    <row r="2184" spans="2:20" ht="12.75" hidden="1" x14ac:dyDescent="0.25">
      <c r="B2184" s="32">
        <v>26</v>
      </c>
      <c r="F2184" s="32" t="s">
        <v>132</v>
      </c>
      <c r="J2184" s="32">
        <v>2</v>
      </c>
      <c r="P2184" s="32">
        <v>2480</v>
      </c>
      <c r="R2184" s="32">
        <v>740</v>
      </c>
      <c r="T2184" s="32">
        <v>1740</v>
      </c>
    </row>
    <row r="2185" spans="2:20" ht="12.75" hidden="1" x14ac:dyDescent="0.25">
      <c r="B2185" s="32">
        <v>27</v>
      </c>
      <c r="F2185" s="32" t="s">
        <v>131</v>
      </c>
      <c r="J2185" s="32">
        <v>1</v>
      </c>
      <c r="P2185" s="32">
        <v>3700</v>
      </c>
      <c r="R2185" s="32">
        <v>800</v>
      </c>
      <c r="T2185" s="32">
        <v>2900</v>
      </c>
    </row>
    <row r="2186" spans="2:20" ht="12.75" hidden="1" x14ac:dyDescent="0.25">
      <c r="B2186" s="32">
        <v>28</v>
      </c>
      <c r="F2186" s="32" t="s">
        <v>127</v>
      </c>
      <c r="J2186" s="32">
        <v>13</v>
      </c>
      <c r="P2186" s="32">
        <v>3900</v>
      </c>
      <c r="R2186" s="32">
        <v>1211</v>
      </c>
      <c r="T2186" s="32">
        <v>2689</v>
      </c>
    </row>
    <row r="2187" spans="2:20" ht="12.75" hidden="1" x14ac:dyDescent="0.25">
      <c r="B2187" s="32">
        <v>29</v>
      </c>
      <c r="F2187" s="32" t="s">
        <v>126</v>
      </c>
      <c r="J2187" s="32">
        <v>11</v>
      </c>
      <c r="P2187" s="32">
        <v>2200</v>
      </c>
      <c r="R2187" s="32">
        <v>687</v>
      </c>
      <c r="T2187" s="32">
        <v>1513</v>
      </c>
    </row>
    <row r="2188" spans="2:20" ht="12.75" hidden="1" x14ac:dyDescent="0.25">
      <c r="B2188" s="32">
        <v>30</v>
      </c>
      <c r="F2188" s="32" t="s">
        <v>124</v>
      </c>
      <c r="J2188" s="32">
        <v>5</v>
      </c>
      <c r="P2188" s="32">
        <v>3520</v>
      </c>
      <c r="R2188" s="32">
        <v>1040</v>
      </c>
      <c r="T2188" s="32">
        <v>2480</v>
      </c>
    </row>
    <row r="2189" spans="2:20" ht="12.75" hidden="1" x14ac:dyDescent="0.25">
      <c r="B2189" s="32">
        <v>31</v>
      </c>
      <c r="F2189" s="32" t="s">
        <v>123</v>
      </c>
      <c r="J2189" s="32">
        <v>39</v>
      </c>
      <c r="P2189" s="32">
        <v>30420</v>
      </c>
      <c r="R2189" s="32">
        <v>8970</v>
      </c>
      <c r="T2189" s="32">
        <v>21450</v>
      </c>
    </row>
    <row r="2190" spans="2:20" ht="12.75" hidden="1" x14ac:dyDescent="0.25">
      <c r="B2190" s="32">
        <v>32</v>
      </c>
      <c r="F2190" s="32" t="s">
        <v>183</v>
      </c>
      <c r="J2190" s="32">
        <v>1</v>
      </c>
      <c r="P2190" s="32">
        <v>440</v>
      </c>
      <c r="R2190" s="32">
        <v>130</v>
      </c>
      <c r="T2190" s="32">
        <v>310</v>
      </c>
    </row>
    <row r="2191" spans="2:20" ht="12.75" hidden="1" x14ac:dyDescent="0.25">
      <c r="B2191" s="32">
        <v>33</v>
      </c>
      <c r="F2191" s="32" t="s">
        <v>119</v>
      </c>
      <c r="J2191" s="32">
        <v>21</v>
      </c>
      <c r="P2191" s="32">
        <v>18690</v>
      </c>
      <c r="R2191" s="32">
        <v>5910</v>
      </c>
      <c r="T2191" s="32">
        <v>12780</v>
      </c>
    </row>
    <row r="2192" spans="2:20" ht="12.75" hidden="1" x14ac:dyDescent="0.25">
      <c r="B2192" s="32">
        <v>34</v>
      </c>
      <c r="F2192" s="32" t="s">
        <v>118</v>
      </c>
      <c r="J2192" s="32">
        <v>95</v>
      </c>
      <c r="P2192" s="32">
        <v>94050</v>
      </c>
      <c r="R2192" s="32">
        <v>31440</v>
      </c>
      <c r="T2192" s="32">
        <v>62610</v>
      </c>
    </row>
    <row r="2193" spans="2:20" ht="12.75" hidden="1" x14ac:dyDescent="0.25">
      <c r="B2193" s="32">
        <v>35</v>
      </c>
      <c r="F2193" s="32" t="s">
        <v>117</v>
      </c>
      <c r="J2193" s="32">
        <v>2</v>
      </c>
      <c r="P2193" s="32">
        <v>1800</v>
      </c>
      <c r="R2193" s="32">
        <v>540</v>
      </c>
      <c r="T2193" s="32">
        <v>1260</v>
      </c>
    </row>
    <row r="2194" spans="2:20" ht="12.75" hidden="1" x14ac:dyDescent="0.25">
      <c r="B2194" s="32">
        <v>36</v>
      </c>
      <c r="F2194" s="32" t="s">
        <v>115</v>
      </c>
      <c r="J2194" s="32">
        <v>10</v>
      </c>
      <c r="P2194" s="32">
        <v>2900</v>
      </c>
      <c r="R2194" s="32">
        <v>980</v>
      </c>
      <c r="T2194" s="32">
        <v>1920</v>
      </c>
    </row>
    <row r="2195" spans="2:20" ht="12.75" hidden="1" x14ac:dyDescent="0.25">
      <c r="B2195" s="32">
        <v>37</v>
      </c>
      <c r="F2195" s="32" t="s">
        <v>221</v>
      </c>
      <c r="J2195" s="32">
        <v>1</v>
      </c>
      <c r="P2195" s="32">
        <v>990</v>
      </c>
      <c r="R2195" s="32">
        <v>300</v>
      </c>
      <c r="T2195" s="32">
        <v>690</v>
      </c>
    </row>
    <row r="2196" spans="2:20" ht="12.75" hidden="1" x14ac:dyDescent="0.25">
      <c r="B2196" s="32">
        <v>38</v>
      </c>
      <c r="F2196" s="32" t="s">
        <v>327</v>
      </c>
      <c r="J2196" s="32">
        <v>1</v>
      </c>
      <c r="P2196" s="32">
        <v>880</v>
      </c>
      <c r="R2196" s="32">
        <v>130</v>
      </c>
      <c r="T2196" s="32">
        <v>750</v>
      </c>
    </row>
    <row r="2197" spans="2:20" ht="12.75" hidden="1" x14ac:dyDescent="0.25">
      <c r="B2197" s="32">
        <v>39</v>
      </c>
      <c r="F2197" s="32" t="s">
        <v>111</v>
      </c>
      <c r="J2197" s="32">
        <v>1</v>
      </c>
      <c r="P2197" s="32">
        <v>430</v>
      </c>
      <c r="R2197" s="32">
        <v>130</v>
      </c>
      <c r="T2197" s="32">
        <v>300</v>
      </c>
    </row>
    <row r="2198" spans="2:20" ht="12.75" hidden="1" x14ac:dyDescent="0.25">
      <c r="B2198" s="32">
        <v>40</v>
      </c>
      <c r="F2198" s="32" t="s">
        <v>109</v>
      </c>
      <c r="J2198" s="32">
        <v>5</v>
      </c>
      <c r="P2198" s="32">
        <v>3900</v>
      </c>
      <c r="R2198" s="32">
        <v>1150</v>
      </c>
      <c r="T2198" s="32">
        <v>2750</v>
      </c>
    </row>
    <row r="2199" spans="2:20" ht="12.75" hidden="1" x14ac:dyDescent="0.25">
      <c r="B2199" s="32">
        <v>41</v>
      </c>
      <c r="F2199" s="32" t="s">
        <v>108</v>
      </c>
      <c r="J2199" s="32">
        <v>79</v>
      </c>
      <c r="P2199" s="32">
        <v>7900</v>
      </c>
      <c r="R2199" s="32">
        <v>90</v>
      </c>
      <c r="T2199" s="32">
        <v>7810</v>
      </c>
    </row>
    <row r="2200" spans="2:20" ht="12.75" hidden="1" x14ac:dyDescent="0.25">
      <c r="B2200" s="32">
        <v>42</v>
      </c>
      <c r="F2200" s="32" t="s">
        <v>107</v>
      </c>
      <c r="J2200" s="32">
        <v>55</v>
      </c>
      <c r="P2200" s="32">
        <v>9350</v>
      </c>
      <c r="R2200" s="32">
        <v>2774</v>
      </c>
      <c r="T2200" s="32">
        <v>6576</v>
      </c>
    </row>
    <row r="2201" spans="2:20" ht="12.75" hidden="1" x14ac:dyDescent="0.25">
      <c r="B2201" s="32">
        <v>43</v>
      </c>
      <c r="F2201" s="32" t="s">
        <v>106</v>
      </c>
      <c r="J2201" s="32">
        <v>5</v>
      </c>
      <c r="P2201" s="32">
        <v>500</v>
      </c>
      <c r="R2201" s="32">
        <v>150</v>
      </c>
      <c r="T2201" s="32">
        <v>350</v>
      </c>
    </row>
    <row r="2202" spans="2:20" ht="12.75" hidden="1" x14ac:dyDescent="0.25">
      <c r="B2202" s="32">
        <v>44</v>
      </c>
      <c r="F2202" s="32" t="s">
        <v>105</v>
      </c>
      <c r="J2202" s="32">
        <v>1</v>
      </c>
      <c r="P2202" s="32">
        <v>1150</v>
      </c>
      <c r="R2202" s="32">
        <v>0</v>
      </c>
      <c r="T2202" s="32">
        <v>1150</v>
      </c>
    </row>
    <row r="2203" spans="2:20" ht="12.75" hidden="1" x14ac:dyDescent="0.25">
      <c r="B2203" s="32">
        <v>45</v>
      </c>
      <c r="F2203" s="32" t="s">
        <v>103</v>
      </c>
      <c r="J2203" s="32">
        <v>2</v>
      </c>
      <c r="P2203" s="32">
        <v>660</v>
      </c>
      <c r="R2203" s="32">
        <v>240</v>
      </c>
      <c r="T2203" s="32">
        <v>420</v>
      </c>
    </row>
    <row r="2204" spans="2:20" ht="12.75" hidden="1" x14ac:dyDescent="0.25">
      <c r="B2204" s="32">
        <v>46</v>
      </c>
      <c r="F2204" s="32" t="s">
        <v>102</v>
      </c>
      <c r="J2204" s="32">
        <v>18</v>
      </c>
      <c r="P2204" s="32">
        <v>15840</v>
      </c>
      <c r="R2204" s="32">
        <v>2340</v>
      </c>
      <c r="T2204" s="32">
        <v>13500</v>
      </c>
    </row>
    <row r="2205" spans="2:20" ht="12.75" hidden="1" x14ac:dyDescent="0.25">
      <c r="B2205" s="32">
        <v>47</v>
      </c>
      <c r="F2205" s="32" t="s">
        <v>101</v>
      </c>
      <c r="J2205" s="32">
        <v>8</v>
      </c>
      <c r="P2205" s="32">
        <v>3680</v>
      </c>
      <c r="R2205" s="32">
        <v>1120</v>
      </c>
      <c r="T2205" s="32">
        <v>2560</v>
      </c>
    </row>
    <row r="2206" spans="2:20" ht="12.75" hidden="1" x14ac:dyDescent="0.25">
      <c r="B2206" s="32">
        <v>48</v>
      </c>
      <c r="F2206" s="32" t="s">
        <v>254</v>
      </c>
      <c r="J2206" s="32">
        <v>1</v>
      </c>
      <c r="P2206" s="32">
        <v>290</v>
      </c>
      <c r="R2206" s="32">
        <v>80</v>
      </c>
      <c r="T2206" s="32">
        <v>210</v>
      </c>
    </row>
    <row r="2207" spans="2:20" ht="12.75" hidden="1" x14ac:dyDescent="0.25">
      <c r="B2207" s="32">
        <v>49</v>
      </c>
      <c r="F2207" s="32" t="s">
        <v>100</v>
      </c>
      <c r="J2207" s="32">
        <v>4</v>
      </c>
      <c r="P2207" s="32">
        <v>720</v>
      </c>
      <c r="R2207" s="32">
        <v>200</v>
      </c>
      <c r="T2207" s="32">
        <v>520</v>
      </c>
    </row>
    <row r="2208" spans="2:20" ht="12.75" hidden="1" x14ac:dyDescent="0.25">
      <c r="B2208" s="32">
        <v>50</v>
      </c>
      <c r="F2208" s="32" t="s">
        <v>97</v>
      </c>
      <c r="J2208" s="32">
        <v>5</v>
      </c>
      <c r="P2208" s="32">
        <v>7950</v>
      </c>
      <c r="R2208" s="32">
        <v>1200</v>
      </c>
      <c r="T2208" s="32">
        <v>6750</v>
      </c>
    </row>
    <row r="2209" spans="1:36" ht="12.75" hidden="1" x14ac:dyDescent="0.25">
      <c r="B2209" s="32">
        <v>51</v>
      </c>
      <c r="F2209" s="32" t="s">
        <v>93</v>
      </c>
      <c r="J2209" s="32">
        <v>4</v>
      </c>
      <c r="P2209" s="32">
        <v>2360</v>
      </c>
      <c r="R2209" s="32">
        <v>360</v>
      </c>
      <c r="T2209" s="32">
        <v>2000</v>
      </c>
    </row>
    <row r="2210" spans="1:36" ht="12.75" hidden="1" x14ac:dyDescent="0.25">
      <c r="B2210" s="32">
        <v>52</v>
      </c>
      <c r="F2210" s="32" t="s">
        <v>92</v>
      </c>
      <c r="J2210" s="32">
        <v>16</v>
      </c>
      <c r="P2210" s="32">
        <v>15920</v>
      </c>
      <c r="R2210" s="32">
        <v>4720</v>
      </c>
      <c r="T2210" s="32">
        <v>11200</v>
      </c>
    </row>
    <row r="2211" spans="1:36" ht="12.75" hidden="1" x14ac:dyDescent="0.25">
      <c r="B2211" s="32">
        <v>53</v>
      </c>
      <c r="F2211" s="32" t="s">
        <v>91</v>
      </c>
      <c r="J2211" s="32">
        <v>21</v>
      </c>
      <c r="P2211" s="32">
        <v>5250</v>
      </c>
      <c r="R2211" s="32">
        <v>1470</v>
      </c>
      <c r="T2211" s="32">
        <v>3780</v>
      </c>
    </row>
    <row r="2212" spans="1:36" ht="12.75" hidden="1" x14ac:dyDescent="0.25">
      <c r="B2212" s="32">
        <v>54</v>
      </c>
      <c r="F2212" s="32" t="s">
        <v>90</v>
      </c>
      <c r="J2212" s="32">
        <v>17</v>
      </c>
      <c r="P2212" s="32">
        <v>4930</v>
      </c>
      <c r="R2212" s="32">
        <v>1360</v>
      </c>
      <c r="T2212" s="32">
        <v>3570</v>
      </c>
    </row>
    <row r="2213" spans="1:36" ht="12.75" hidden="1" x14ac:dyDescent="0.25">
      <c r="B2213" s="32">
        <v>55</v>
      </c>
      <c r="F2213" s="32" t="s">
        <v>89</v>
      </c>
      <c r="J2213" s="32">
        <v>2</v>
      </c>
      <c r="P2213" s="32">
        <v>1760</v>
      </c>
      <c r="R2213" s="32">
        <v>260</v>
      </c>
      <c r="T2213" s="32">
        <v>1500</v>
      </c>
    </row>
    <row r="2214" spans="1:36" ht="12.75" hidden="1" x14ac:dyDescent="0.25">
      <c r="B2214" s="32">
        <v>56</v>
      </c>
      <c r="F2214" s="32" t="s">
        <v>88</v>
      </c>
      <c r="J2214" s="32">
        <v>56</v>
      </c>
      <c r="P2214" s="32">
        <v>10080</v>
      </c>
      <c r="R2214" s="32">
        <v>3088</v>
      </c>
      <c r="T2214" s="32">
        <v>6992</v>
      </c>
    </row>
    <row r="2215" spans="1:36" ht="12.75" hidden="1" x14ac:dyDescent="0.25">
      <c r="B2215" s="32">
        <v>57</v>
      </c>
      <c r="F2215" s="32" t="s">
        <v>87</v>
      </c>
      <c r="J2215" s="32">
        <v>3</v>
      </c>
      <c r="P2215" s="32">
        <v>870</v>
      </c>
      <c r="R2215" s="32">
        <v>240</v>
      </c>
      <c r="T2215" s="32">
        <v>630</v>
      </c>
    </row>
    <row r="2216" spans="1:36" ht="12.75" hidden="1" x14ac:dyDescent="0.25">
      <c r="B2216" s="32">
        <v>58</v>
      </c>
      <c r="F2216" s="32" t="s">
        <v>86</v>
      </c>
      <c r="J2216" s="32">
        <v>1</v>
      </c>
      <c r="P2216" s="32">
        <v>1140</v>
      </c>
      <c r="R2216" s="32">
        <v>170</v>
      </c>
      <c r="T2216" s="32">
        <v>970</v>
      </c>
    </row>
    <row r="2217" spans="1:36" ht="12.75" hidden="1" x14ac:dyDescent="0.25">
      <c r="B2217" s="32">
        <v>59</v>
      </c>
      <c r="F2217" s="32" t="s">
        <v>85</v>
      </c>
      <c r="J2217" s="32">
        <v>8</v>
      </c>
      <c r="P2217" s="32">
        <v>16640</v>
      </c>
      <c r="R2217" s="32">
        <v>2480</v>
      </c>
      <c r="T2217" s="32">
        <v>14160</v>
      </c>
    </row>
    <row r="2218" spans="1:36" ht="12.75" hidden="1" x14ac:dyDescent="0.25">
      <c r="B2218" s="32">
        <v>60</v>
      </c>
      <c r="F2218" s="32" t="s">
        <v>84</v>
      </c>
      <c r="J2218" s="32">
        <v>7</v>
      </c>
      <c r="P2218" s="32">
        <v>4130</v>
      </c>
      <c r="R2218" s="32">
        <v>1260</v>
      </c>
      <c r="T2218" s="32">
        <v>2870</v>
      </c>
    </row>
    <row r="2219" spans="1:36" ht="12.75" hidden="1" x14ac:dyDescent="0.25">
      <c r="B2219" s="32">
        <v>61</v>
      </c>
      <c r="F2219" s="32" t="s">
        <v>206</v>
      </c>
      <c r="J2219" s="32">
        <v>1</v>
      </c>
      <c r="P2219" s="32">
        <v>500</v>
      </c>
      <c r="R2219" s="32">
        <v>150</v>
      </c>
      <c r="T2219" s="32">
        <v>350</v>
      </c>
    </row>
    <row r="2220" spans="1:36" ht="12.75" hidden="1" x14ac:dyDescent="0.25">
      <c r="B2220" s="32">
        <v>62</v>
      </c>
      <c r="F2220" s="32" t="s">
        <v>81</v>
      </c>
      <c r="J2220" s="32">
        <v>38</v>
      </c>
      <c r="P2220" s="32">
        <v>11020</v>
      </c>
      <c r="R2220" s="32">
        <v>2960</v>
      </c>
      <c r="T2220" s="32">
        <v>8060</v>
      </c>
    </row>
    <row r="2221" spans="1:36" s="48" customFormat="1" ht="12.75" x14ac:dyDescent="0.25">
      <c r="A2221" s="48" t="s">
        <v>67</v>
      </c>
      <c r="J2221" s="48">
        <v>11944</v>
      </c>
      <c r="P2221" s="48">
        <v>11197560</v>
      </c>
      <c r="R2221" s="48">
        <v>9080194</v>
      </c>
      <c r="T2221" s="51">
        <v>2117431</v>
      </c>
      <c r="V2221" s="50">
        <f>T2221/Y2221</f>
        <v>387.16968367160359</v>
      </c>
      <c r="Y2221" s="48">
        <f>J2221-J2225-J2244-J2272-J2279-J2381</f>
        <v>5469</v>
      </c>
      <c r="Z2221" s="48">
        <f t="shared" ref="Z2221:AJ2221" si="1">K2221-K2227-K2248-K2251-K2275-K2389</f>
        <v>0</v>
      </c>
      <c r="AA2221" s="48">
        <f t="shared" si="1"/>
        <v>0</v>
      </c>
      <c r="AB2221" s="48">
        <f t="shared" si="1"/>
        <v>0</v>
      </c>
      <c r="AC2221" s="48">
        <f t="shared" si="1"/>
        <v>0</v>
      </c>
      <c r="AD2221" s="48">
        <f t="shared" si="1"/>
        <v>0</v>
      </c>
      <c r="AE2221" s="48">
        <f t="shared" si="1"/>
        <v>10915810</v>
      </c>
      <c r="AF2221" s="48">
        <f t="shared" si="1"/>
        <v>0</v>
      </c>
      <c r="AG2221" s="48">
        <f t="shared" si="1"/>
        <v>8995925</v>
      </c>
      <c r="AH2221" s="48">
        <f t="shared" si="1"/>
        <v>0</v>
      </c>
      <c r="AI2221" s="49">
        <f t="shared" si="1"/>
        <v>1919950</v>
      </c>
      <c r="AJ2221" s="48">
        <f t="shared" si="1"/>
        <v>0</v>
      </c>
    </row>
    <row r="2222" spans="1:36" ht="12.75" hidden="1" x14ac:dyDescent="0.25">
      <c r="B2222" s="32">
        <v>1</v>
      </c>
      <c r="F2222" s="32" t="s">
        <v>200</v>
      </c>
      <c r="J2222" s="32">
        <v>2</v>
      </c>
      <c r="P2222" s="32">
        <v>1000</v>
      </c>
      <c r="R2222" s="32">
        <v>300</v>
      </c>
      <c r="T2222" s="32">
        <v>700</v>
      </c>
    </row>
    <row r="2223" spans="1:36" ht="12.75" hidden="1" x14ac:dyDescent="0.25">
      <c r="B2223" s="32">
        <v>2</v>
      </c>
      <c r="F2223" s="32" t="s">
        <v>346</v>
      </c>
      <c r="J2223" s="32">
        <v>1</v>
      </c>
      <c r="P2223" s="32">
        <v>500</v>
      </c>
      <c r="R2223" s="32">
        <v>150</v>
      </c>
      <c r="T2223" s="32">
        <v>350</v>
      </c>
    </row>
    <row r="2224" spans="1:36" ht="12.75" hidden="1" x14ac:dyDescent="0.25">
      <c r="B2224" s="32">
        <v>3</v>
      </c>
      <c r="F2224" s="32" t="s">
        <v>168</v>
      </c>
      <c r="J2224" s="32">
        <v>1</v>
      </c>
      <c r="P2224" s="32">
        <v>2200</v>
      </c>
      <c r="R2224" s="32">
        <v>330</v>
      </c>
      <c r="T2224" s="32">
        <v>1870</v>
      </c>
    </row>
    <row r="2225" spans="2:20" ht="12.75" hidden="1" x14ac:dyDescent="0.25">
      <c r="B2225" s="32">
        <v>4</v>
      </c>
      <c r="F2225" s="32" t="s">
        <v>78</v>
      </c>
      <c r="J2225" s="32">
        <v>396</v>
      </c>
      <c r="P2225" s="32">
        <v>114840</v>
      </c>
      <c r="R2225" s="32">
        <v>114550</v>
      </c>
      <c r="T2225" s="32">
        <v>290</v>
      </c>
    </row>
    <row r="2226" spans="2:20" ht="12.75" hidden="1" x14ac:dyDescent="0.25">
      <c r="B2226" s="32">
        <v>5</v>
      </c>
      <c r="F2226" s="32" t="s">
        <v>268</v>
      </c>
      <c r="J2226" s="32">
        <v>4</v>
      </c>
      <c r="P2226" s="32">
        <v>1000</v>
      </c>
      <c r="R2226" s="32">
        <v>210</v>
      </c>
      <c r="T2226" s="32">
        <v>790</v>
      </c>
    </row>
    <row r="2227" spans="2:20" ht="12.75" hidden="1" x14ac:dyDescent="0.25">
      <c r="B2227" s="32">
        <v>6</v>
      </c>
      <c r="F2227" s="32" t="s">
        <v>199</v>
      </c>
      <c r="J2227" s="32">
        <v>1</v>
      </c>
      <c r="P2227" s="32">
        <v>290</v>
      </c>
      <c r="R2227" s="32">
        <v>100</v>
      </c>
      <c r="T2227" s="32">
        <v>190</v>
      </c>
    </row>
    <row r="2228" spans="2:20" ht="12.75" hidden="1" x14ac:dyDescent="0.25">
      <c r="B2228" s="32">
        <v>7</v>
      </c>
      <c r="F2228" s="32" t="s">
        <v>294</v>
      </c>
      <c r="J2228" s="32">
        <v>3</v>
      </c>
      <c r="P2228" s="32">
        <v>1500</v>
      </c>
      <c r="R2228" s="32">
        <v>450</v>
      </c>
      <c r="T2228" s="32">
        <v>1050</v>
      </c>
    </row>
    <row r="2229" spans="2:20" ht="12.75" hidden="1" x14ac:dyDescent="0.25">
      <c r="B2229" s="32">
        <v>8</v>
      </c>
      <c r="F2229" s="32" t="s">
        <v>165</v>
      </c>
      <c r="J2229" s="32">
        <v>3</v>
      </c>
      <c r="P2229" s="32">
        <v>1770</v>
      </c>
      <c r="R2229" s="32">
        <v>180</v>
      </c>
      <c r="T2229" s="32">
        <v>1590</v>
      </c>
    </row>
    <row r="2230" spans="2:20" ht="12.75" hidden="1" x14ac:dyDescent="0.25">
      <c r="B2230" s="32">
        <v>9</v>
      </c>
      <c r="F2230" s="32" t="s">
        <v>164</v>
      </c>
      <c r="J2230" s="32">
        <v>2</v>
      </c>
      <c r="P2230" s="32">
        <v>1180</v>
      </c>
      <c r="R2230" s="32">
        <v>360</v>
      </c>
      <c r="T2230" s="32">
        <v>820</v>
      </c>
    </row>
    <row r="2231" spans="2:20" ht="12.75" hidden="1" x14ac:dyDescent="0.25">
      <c r="B2231" s="32">
        <v>10</v>
      </c>
      <c r="F2231" s="32" t="s">
        <v>163</v>
      </c>
      <c r="J2231" s="32">
        <v>10</v>
      </c>
      <c r="P2231" s="32">
        <v>11900</v>
      </c>
      <c r="R2231" s="32">
        <v>737</v>
      </c>
      <c r="T2231" s="32">
        <v>11163</v>
      </c>
    </row>
    <row r="2232" spans="2:20" ht="12.75" hidden="1" x14ac:dyDescent="0.25">
      <c r="B2232" s="32">
        <v>11</v>
      </c>
      <c r="F2232" s="32" t="s">
        <v>162</v>
      </c>
      <c r="J2232" s="32">
        <v>91</v>
      </c>
      <c r="P2232" s="32">
        <v>39130</v>
      </c>
      <c r="R2232" s="32">
        <v>19156</v>
      </c>
      <c r="T2232" s="32">
        <v>19974</v>
      </c>
    </row>
    <row r="2233" spans="2:20" ht="12.75" hidden="1" x14ac:dyDescent="0.25">
      <c r="B2233" s="32">
        <v>12</v>
      </c>
      <c r="F2233" s="32" t="s">
        <v>198</v>
      </c>
      <c r="J2233" s="32">
        <v>1</v>
      </c>
      <c r="P2233" s="32">
        <v>290</v>
      </c>
      <c r="R2233" s="32">
        <v>80</v>
      </c>
      <c r="T2233" s="32">
        <v>210</v>
      </c>
    </row>
    <row r="2234" spans="2:20" ht="12.75" hidden="1" x14ac:dyDescent="0.25">
      <c r="B2234" s="32">
        <v>13</v>
      </c>
      <c r="F2234" s="32" t="s">
        <v>160</v>
      </c>
      <c r="J2234" s="32">
        <v>59</v>
      </c>
      <c r="P2234" s="32">
        <v>17110</v>
      </c>
      <c r="R2234" s="32">
        <v>2995</v>
      </c>
      <c r="T2234" s="32">
        <v>14115</v>
      </c>
    </row>
    <row r="2235" spans="2:20" ht="12.75" hidden="1" x14ac:dyDescent="0.25">
      <c r="B2235" s="32">
        <v>14</v>
      </c>
      <c r="F2235" s="32" t="s">
        <v>266</v>
      </c>
      <c r="J2235" s="32">
        <v>1</v>
      </c>
      <c r="P2235" s="32">
        <v>1350</v>
      </c>
      <c r="R2235" s="32">
        <v>400</v>
      </c>
      <c r="T2235" s="32">
        <v>950</v>
      </c>
    </row>
    <row r="2236" spans="2:20" ht="12.75" hidden="1" x14ac:dyDescent="0.25">
      <c r="B2236" s="32">
        <v>15</v>
      </c>
      <c r="F2236" s="32" t="s">
        <v>158</v>
      </c>
      <c r="J2236" s="32">
        <v>933</v>
      </c>
      <c r="P2236" s="32">
        <v>513150</v>
      </c>
      <c r="R2236" s="32">
        <v>83659</v>
      </c>
      <c r="T2236" s="32">
        <v>429491</v>
      </c>
    </row>
    <row r="2237" spans="2:20" ht="12.75" hidden="1" x14ac:dyDescent="0.25">
      <c r="B2237" s="32">
        <v>16</v>
      </c>
      <c r="F2237" s="32" t="s">
        <v>157</v>
      </c>
      <c r="J2237" s="32">
        <v>463</v>
      </c>
      <c r="P2237" s="32">
        <v>226870</v>
      </c>
      <c r="R2237" s="32">
        <v>87071</v>
      </c>
      <c r="T2237" s="32">
        <v>139864</v>
      </c>
    </row>
    <row r="2238" spans="2:20" ht="12.75" hidden="1" x14ac:dyDescent="0.25">
      <c r="B2238" s="32">
        <v>17</v>
      </c>
      <c r="F2238" s="32" t="s">
        <v>197</v>
      </c>
      <c r="J2238" s="32">
        <v>4</v>
      </c>
      <c r="P2238" s="32">
        <v>2000</v>
      </c>
      <c r="R2238" s="32">
        <v>300</v>
      </c>
      <c r="T2238" s="32">
        <v>1700</v>
      </c>
    </row>
    <row r="2239" spans="2:20" ht="12.75" hidden="1" x14ac:dyDescent="0.25">
      <c r="B2239" s="32">
        <v>18</v>
      </c>
      <c r="F2239" s="32" t="s">
        <v>293</v>
      </c>
      <c r="J2239" s="32">
        <v>4</v>
      </c>
      <c r="P2239" s="32">
        <v>2800</v>
      </c>
      <c r="R2239" s="32">
        <v>720</v>
      </c>
      <c r="T2239" s="32">
        <v>2080</v>
      </c>
    </row>
    <row r="2240" spans="2:20" ht="12.75" hidden="1" x14ac:dyDescent="0.25">
      <c r="B2240" s="32">
        <v>19</v>
      </c>
      <c r="F2240" s="32" t="s">
        <v>196</v>
      </c>
      <c r="J2240" s="32">
        <v>28</v>
      </c>
      <c r="P2240" s="32">
        <v>19600</v>
      </c>
      <c r="R2240" s="32">
        <v>8600</v>
      </c>
      <c r="T2240" s="32">
        <v>11000</v>
      </c>
    </row>
    <row r="2241" spans="2:20" ht="12.75" hidden="1" x14ac:dyDescent="0.25">
      <c r="B2241" s="32">
        <v>20</v>
      </c>
      <c r="F2241" s="32" t="s">
        <v>309</v>
      </c>
      <c r="J2241" s="32">
        <v>1</v>
      </c>
      <c r="P2241" s="32">
        <v>500</v>
      </c>
      <c r="R2241" s="32">
        <v>150</v>
      </c>
      <c r="T2241" s="32">
        <v>350</v>
      </c>
    </row>
    <row r="2242" spans="2:20" ht="12.75" hidden="1" x14ac:dyDescent="0.25">
      <c r="B2242" s="32">
        <v>21</v>
      </c>
      <c r="F2242" s="32" t="s">
        <v>292</v>
      </c>
      <c r="J2242" s="32">
        <v>1</v>
      </c>
      <c r="P2242" s="32">
        <v>700</v>
      </c>
      <c r="R2242" s="32">
        <v>0</v>
      </c>
      <c r="T2242" s="32">
        <v>700</v>
      </c>
    </row>
    <row r="2243" spans="2:20" ht="12.75" hidden="1" x14ac:dyDescent="0.25">
      <c r="B2243" s="32">
        <v>22</v>
      </c>
      <c r="F2243" s="32" t="s">
        <v>244</v>
      </c>
      <c r="J2243" s="32">
        <v>1</v>
      </c>
      <c r="P2243" s="32">
        <v>300</v>
      </c>
      <c r="R2243" s="32">
        <v>80</v>
      </c>
      <c r="T2243" s="32">
        <v>220</v>
      </c>
    </row>
    <row r="2244" spans="2:20" ht="12.75" hidden="1" x14ac:dyDescent="0.25">
      <c r="B2244" s="32">
        <v>23</v>
      </c>
      <c r="F2244" s="32" t="s">
        <v>77</v>
      </c>
      <c r="J2244" s="32">
        <v>2609</v>
      </c>
      <c r="P2244" s="32">
        <v>1047100</v>
      </c>
      <c r="R2244" s="32">
        <v>1047100</v>
      </c>
      <c r="T2244" s="32">
        <v>0</v>
      </c>
    </row>
    <row r="2245" spans="2:20" ht="12.75" hidden="1" x14ac:dyDescent="0.25">
      <c r="B2245" s="32">
        <v>24</v>
      </c>
      <c r="F2245" s="32" t="s">
        <v>242</v>
      </c>
      <c r="J2245" s="32">
        <v>6</v>
      </c>
      <c r="P2245" s="32">
        <v>3000</v>
      </c>
      <c r="R2245" s="32">
        <v>3000</v>
      </c>
      <c r="T2245" s="32">
        <v>0</v>
      </c>
    </row>
    <row r="2246" spans="2:20" ht="12.75" hidden="1" x14ac:dyDescent="0.25">
      <c r="B2246" s="32">
        <v>25</v>
      </c>
      <c r="F2246" s="32" t="s">
        <v>403</v>
      </c>
      <c r="J2246" s="32">
        <v>3</v>
      </c>
      <c r="P2246" s="32">
        <v>2250</v>
      </c>
      <c r="R2246" s="32">
        <v>2250</v>
      </c>
      <c r="T2246" s="32">
        <v>0</v>
      </c>
    </row>
    <row r="2247" spans="2:20" ht="12.75" hidden="1" x14ac:dyDescent="0.25">
      <c r="B2247" s="32">
        <v>26</v>
      </c>
      <c r="F2247" s="32" t="s">
        <v>76</v>
      </c>
      <c r="J2247" s="32">
        <v>10</v>
      </c>
      <c r="P2247" s="32">
        <v>6000</v>
      </c>
      <c r="R2247" s="32">
        <v>6000</v>
      </c>
      <c r="T2247" s="32">
        <v>0</v>
      </c>
    </row>
    <row r="2248" spans="2:20" ht="12.75" hidden="1" x14ac:dyDescent="0.25">
      <c r="B2248" s="32">
        <v>27</v>
      </c>
      <c r="F2248" s="32" t="s">
        <v>156</v>
      </c>
      <c r="J2248" s="32">
        <v>20</v>
      </c>
      <c r="P2248" s="32">
        <v>3800</v>
      </c>
      <c r="R2248" s="32">
        <v>1100</v>
      </c>
      <c r="T2248" s="32">
        <v>2700</v>
      </c>
    </row>
    <row r="2249" spans="2:20" ht="12.75" hidden="1" x14ac:dyDescent="0.25">
      <c r="B2249" s="32">
        <v>28</v>
      </c>
      <c r="F2249" s="32" t="s">
        <v>342</v>
      </c>
      <c r="J2249" s="32">
        <v>1</v>
      </c>
      <c r="P2249" s="32">
        <v>500</v>
      </c>
      <c r="R2249" s="32">
        <v>0</v>
      </c>
      <c r="T2249" s="32">
        <v>500</v>
      </c>
    </row>
    <row r="2250" spans="2:20" ht="12.75" hidden="1" x14ac:dyDescent="0.25">
      <c r="B2250" s="32">
        <v>29</v>
      </c>
      <c r="F2250" s="32" t="s">
        <v>155</v>
      </c>
      <c r="J2250" s="32">
        <v>112</v>
      </c>
      <c r="P2250" s="32">
        <v>28000</v>
      </c>
      <c r="R2250" s="32">
        <v>7500</v>
      </c>
      <c r="T2250" s="32">
        <v>20500</v>
      </c>
    </row>
    <row r="2251" spans="2:20" ht="12.75" hidden="1" x14ac:dyDescent="0.25">
      <c r="B2251" s="32">
        <v>30</v>
      </c>
      <c r="F2251" s="32" t="s">
        <v>154</v>
      </c>
      <c r="J2251" s="32">
        <v>4</v>
      </c>
      <c r="P2251" s="32">
        <v>3560</v>
      </c>
      <c r="R2251" s="32">
        <v>390</v>
      </c>
      <c r="T2251" s="32">
        <v>3170</v>
      </c>
    </row>
    <row r="2252" spans="2:20" ht="12.75" hidden="1" x14ac:dyDescent="0.25">
      <c r="B2252" s="32">
        <v>31</v>
      </c>
      <c r="F2252" s="32" t="s">
        <v>153</v>
      </c>
      <c r="J2252" s="32">
        <v>2</v>
      </c>
      <c r="P2252" s="32">
        <v>2360</v>
      </c>
      <c r="R2252" s="32">
        <v>0</v>
      </c>
      <c r="T2252" s="32">
        <v>2360</v>
      </c>
    </row>
    <row r="2253" spans="2:20" ht="12.75" hidden="1" x14ac:dyDescent="0.25">
      <c r="B2253" s="32">
        <v>32</v>
      </c>
      <c r="F2253" s="32" t="s">
        <v>322</v>
      </c>
      <c r="J2253" s="32">
        <v>1</v>
      </c>
      <c r="P2253" s="32">
        <v>1180</v>
      </c>
      <c r="R2253" s="32">
        <v>118</v>
      </c>
      <c r="T2253" s="32">
        <v>1062</v>
      </c>
    </row>
    <row r="2254" spans="2:20" ht="12.75" hidden="1" x14ac:dyDescent="0.25">
      <c r="B2254" s="32">
        <v>33</v>
      </c>
      <c r="F2254" s="32" t="s">
        <v>195</v>
      </c>
      <c r="J2254" s="32">
        <v>1</v>
      </c>
      <c r="P2254" s="32">
        <v>1000</v>
      </c>
      <c r="R2254" s="32">
        <v>250</v>
      </c>
      <c r="T2254" s="32">
        <v>750</v>
      </c>
    </row>
    <row r="2255" spans="2:20" ht="12.75" hidden="1" x14ac:dyDescent="0.25">
      <c r="B2255" s="32">
        <v>34</v>
      </c>
      <c r="F2255" s="32" t="s">
        <v>194</v>
      </c>
      <c r="J2255" s="32">
        <v>2</v>
      </c>
      <c r="P2255" s="32">
        <v>1400</v>
      </c>
      <c r="R2255" s="32">
        <v>313</v>
      </c>
      <c r="T2255" s="32">
        <v>1087</v>
      </c>
    </row>
    <row r="2256" spans="2:20" ht="12.75" hidden="1" x14ac:dyDescent="0.25">
      <c r="B2256" s="32">
        <v>35</v>
      </c>
      <c r="F2256" s="32" t="s">
        <v>289</v>
      </c>
      <c r="J2256" s="32">
        <v>6</v>
      </c>
      <c r="P2256" s="32">
        <v>3000</v>
      </c>
      <c r="R2256" s="32">
        <v>820</v>
      </c>
      <c r="T2256" s="32">
        <v>2180</v>
      </c>
    </row>
    <row r="2257" spans="2:20" ht="12.75" hidden="1" x14ac:dyDescent="0.25">
      <c r="B2257" s="32">
        <v>36</v>
      </c>
      <c r="F2257" s="32" t="s">
        <v>320</v>
      </c>
      <c r="J2257" s="32">
        <v>6</v>
      </c>
      <c r="P2257" s="32">
        <v>3000</v>
      </c>
      <c r="R2257" s="32">
        <v>900</v>
      </c>
      <c r="T2257" s="32">
        <v>2100</v>
      </c>
    </row>
    <row r="2258" spans="2:20" ht="12.75" hidden="1" x14ac:dyDescent="0.25">
      <c r="B2258" s="32">
        <v>37</v>
      </c>
      <c r="F2258" s="32" t="s">
        <v>152</v>
      </c>
      <c r="J2258" s="32">
        <v>47</v>
      </c>
      <c r="P2258" s="32">
        <v>27730</v>
      </c>
      <c r="R2258" s="32">
        <v>7073</v>
      </c>
      <c r="T2258" s="32">
        <v>20657</v>
      </c>
    </row>
    <row r="2259" spans="2:20" ht="12.75" hidden="1" x14ac:dyDescent="0.25">
      <c r="B2259" s="32">
        <v>38</v>
      </c>
      <c r="F2259" s="32" t="s">
        <v>151</v>
      </c>
      <c r="J2259" s="32">
        <v>68</v>
      </c>
      <c r="P2259" s="32">
        <v>15640</v>
      </c>
      <c r="R2259" s="32">
        <v>2259</v>
      </c>
      <c r="T2259" s="32">
        <v>13381</v>
      </c>
    </row>
    <row r="2260" spans="2:20" ht="12.75" hidden="1" x14ac:dyDescent="0.25">
      <c r="B2260" s="32">
        <v>39</v>
      </c>
      <c r="F2260" s="32" t="s">
        <v>150</v>
      </c>
      <c r="J2260" s="32">
        <v>99</v>
      </c>
      <c r="P2260" s="32">
        <v>16830</v>
      </c>
      <c r="R2260" s="32">
        <v>3323</v>
      </c>
      <c r="T2260" s="32">
        <v>13507</v>
      </c>
    </row>
    <row r="2261" spans="2:20" ht="12.75" hidden="1" x14ac:dyDescent="0.25">
      <c r="B2261" s="32">
        <v>40</v>
      </c>
      <c r="F2261" s="32" t="s">
        <v>236</v>
      </c>
      <c r="J2261" s="32">
        <v>1</v>
      </c>
      <c r="P2261" s="32">
        <v>800</v>
      </c>
      <c r="R2261" s="32">
        <v>200</v>
      </c>
      <c r="T2261" s="32">
        <v>600</v>
      </c>
    </row>
    <row r="2262" spans="2:20" ht="12.75" hidden="1" x14ac:dyDescent="0.25">
      <c r="B2262" s="32">
        <v>41</v>
      </c>
      <c r="F2262" s="32" t="s">
        <v>148</v>
      </c>
      <c r="J2262" s="32">
        <v>3</v>
      </c>
      <c r="P2262" s="32">
        <v>2940</v>
      </c>
      <c r="R2262" s="32">
        <v>450</v>
      </c>
      <c r="T2262" s="32">
        <v>2490</v>
      </c>
    </row>
    <row r="2263" spans="2:20" ht="12.75" hidden="1" x14ac:dyDescent="0.25">
      <c r="B2263" s="32">
        <v>42</v>
      </c>
      <c r="F2263" s="32" t="s">
        <v>402</v>
      </c>
      <c r="J2263" s="32">
        <v>1</v>
      </c>
      <c r="P2263" s="32">
        <v>1420</v>
      </c>
      <c r="R2263" s="32">
        <v>0</v>
      </c>
      <c r="T2263" s="32">
        <v>1420</v>
      </c>
    </row>
    <row r="2264" spans="2:20" ht="12.75" hidden="1" x14ac:dyDescent="0.25">
      <c r="B2264" s="32">
        <v>43</v>
      </c>
      <c r="F2264" s="32" t="s">
        <v>288</v>
      </c>
      <c r="J2264" s="32">
        <v>5</v>
      </c>
      <c r="P2264" s="32">
        <v>4100</v>
      </c>
      <c r="R2264" s="32">
        <v>1972</v>
      </c>
      <c r="T2264" s="32">
        <v>2128</v>
      </c>
    </row>
    <row r="2265" spans="2:20" ht="12.75" hidden="1" x14ac:dyDescent="0.25">
      <c r="B2265" s="32">
        <v>44</v>
      </c>
      <c r="F2265" s="32" t="s">
        <v>234</v>
      </c>
      <c r="J2265" s="32">
        <v>10</v>
      </c>
      <c r="P2265" s="32">
        <v>8000</v>
      </c>
      <c r="R2265" s="32">
        <v>3920</v>
      </c>
      <c r="T2265" s="32">
        <v>4080</v>
      </c>
    </row>
    <row r="2266" spans="2:20" ht="12.75" hidden="1" x14ac:dyDescent="0.25">
      <c r="B2266" s="32">
        <v>45</v>
      </c>
      <c r="F2266" s="32" t="s">
        <v>287</v>
      </c>
      <c r="J2266" s="32">
        <v>1</v>
      </c>
      <c r="P2266" s="32">
        <v>800</v>
      </c>
      <c r="R2266" s="32">
        <v>450</v>
      </c>
      <c r="T2266" s="32">
        <v>350</v>
      </c>
    </row>
    <row r="2267" spans="2:20" ht="12.75" hidden="1" x14ac:dyDescent="0.25">
      <c r="B2267" s="32">
        <v>46</v>
      </c>
      <c r="F2267" s="32" t="s">
        <v>286</v>
      </c>
      <c r="J2267" s="32">
        <v>1</v>
      </c>
      <c r="P2267" s="32">
        <v>800</v>
      </c>
      <c r="R2267" s="32">
        <v>450</v>
      </c>
      <c r="T2267" s="32">
        <v>350</v>
      </c>
    </row>
    <row r="2268" spans="2:20" ht="12.75" hidden="1" x14ac:dyDescent="0.25">
      <c r="B2268" s="32">
        <v>47</v>
      </c>
      <c r="F2268" s="32" t="s">
        <v>233</v>
      </c>
      <c r="J2268" s="32">
        <v>2</v>
      </c>
      <c r="P2268" s="32">
        <v>1960</v>
      </c>
      <c r="R2268" s="32">
        <v>300</v>
      </c>
      <c r="T2268" s="32">
        <v>1660</v>
      </c>
    </row>
    <row r="2269" spans="2:20" ht="12.75" hidden="1" x14ac:dyDescent="0.25">
      <c r="B2269" s="32">
        <v>48</v>
      </c>
      <c r="F2269" s="32" t="s">
        <v>232</v>
      </c>
      <c r="J2269" s="32">
        <v>3</v>
      </c>
      <c r="P2269" s="32">
        <v>2940</v>
      </c>
      <c r="R2269" s="32">
        <v>450</v>
      </c>
      <c r="T2269" s="32">
        <v>2490</v>
      </c>
    </row>
    <row r="2270" spans="2:20" ht="12.75" hidden="1" x14ac:dyDescent="0.25">
      <c r="B2270" s="32">
        <v>49</v>
      </c>
      <c r="F2270" s="32" t="s">
        <v>193</v>
      </c>
      <c r="J2270" s="32">
        <v>5</v>
      </c>
      <c r="P2270" s="32">
        <v>4450</v>
      </c>
      <c r="R2270" s="32">
        <v>568</v>
      </c>
      <c r="T2270" s="32">
        <v>3882</v>
      </c>
    </row>
    <row r="2271" spans="2:20" ht="12.75" hidden="1" x14ac:dyDescent="0.25">
      <c r="B2271" s="32">
        <v>50</v>
      </c>
      <c r="F2271" s="32" t="s">
        <v>142</v>
      </c>
      <c r="J2271" s="32">
        <v>5</v>
      </c>
      <c r="P2271" s="32">
        <v>1750</v>
      </c>
      <c r="R2271" s="32">
        <v>750</v>
      </c>
      <c r="T2271" s="32">
        <v>1000</v>
      </c>
    </row>
    <row r="2272" spans="2:20" ht="12.75" hidden="1" x14ac:dyDescent="0.25">
      <c r="B2272" s="32">
        <v>51</v>
      </c>
      <c r="F2272" s="32" t="s">
        <v>75</v>
      </c>
      <c r="J2272" s="32">
        <v>2848</v>
      </c>
      <c r="P2272" s="32">
        <v>7120000</v>
      </c>
      <c r="R2272" s="32">
        <v>7120000</v>
      </c>
      <c r="T2272" s="32">
        <v>0</v>
      </c>
    </row>
    <row r="2273" spans="2:20" ht="12.75" hidden="1" x14ac:dyDescent="0.25">
      <c r="B2273" s="32">
        <v>52</v>
      </c>
      <c r="F2273" s="32" t="s">
        <v>140</v>
      </c>
      <c r="J2273" s="32">
        <v>7</v>
      </c>
      <c r="P2273" s="32">
        <v>2030</v>
      </c>
      <c r="R2273" s="32">
        <v>80</v>
      </c>
      <c r="T2273" s="32">
        <v>1950</v>
      </c>
    </row>
    <row r="2274" spans="2:20" ht="12.75" hidden="1" x14ac:dyDescent="0.25">
      <c r="B2274" s="32">
        <v>53</v>
      </c>
      <c r="F2274" s="32" t="s">
        <v>139</v>
      </c>
      <c r="J2274" s="32">
        <v>4</v>
      </c>
      <c r="P2274" s="32">
        <v>1080</v>
      </c>
      <c r="R2274" s="32">
        <v>80</v>
      </c>
      <c r="T2274" s="32">
        <v>1000</v>
      </c>
    </row>
    <row r="2275" spans="2:20" ht="12.75" hidden="1" x14ac:dyDescent="0.25">
      <c r="B2275" s="32">
        <v>54</v>
      </c>
      <c r="F2275" s="32" t="s">
        <v>302</v>
      </c>
      <c r="J2275" s="32">
        <v>3</v>
      </c>
      <c r="P2275" s="32">
        <v>2400</v>
      </c>
      <c r="R2275" s="32">
        <v>750</v>
      </c>
      <c r="T2275" s="32">
        <v>1650</v>
      </c>
    </row>
    <row r="2276" spans="2:20" ht="12.75" hidden="1" x14ac:dyDescent="0.25">
      <c r="B2276" s="32">
        <v>55</v>
      </c>
      <c r="F2276" s="32" t="s">
        <v>138</v>
      </c>
      <c r="J2276" s="32">
        <v>2</v>
      </c>
      <c r="P2276" s="32">
        <v>1600</v>
      </c>
      <c r="R2276" s="32">
        <v>900</v>
      </c>
      <c r="T2276" s="32">
        <v>700</v>
      </c>
    </row>
    <row r="2277" spans="2:20" ht="12.75" hidden="1" x14ac:dyDescent="0.25">
      <c r="B2277" s="32">
        <v>56</v>
      </c>
      <c r="F2277" s="32" t="s">
        <v>137</v>
      </c>
      <c r="J2277" s="32">
        <v>3</v>
      </c>
      <c r="P2277" s="32">
        <v>2400</v>
      </c>
      <c r="R2277" s="32">
        <v>1350</v>
      </c>
      <c r="T2277" s="32">
        <v>1050</v>
      </c>
    </row>
    <row r="2278" spans="2:20" ht="12.75" hidden="1" x14ac:dyDescent="0.25">
      <c r="B2278" s="32">
        <v>57</v>
      </c>
      <c r="F2278" s="32" t="s">
        <v>136</v>
      </c>
      <c r="J2278" s="32">
        <v>99</v>
      </c>
      <c r="P2278" s="32">
        <v>84150</v>
      </c>
      <c r="R2278" s="32">
        <v>15034</v>
      </c>
      <c r="T2278" s="32">
        <v>69116</v>
      </c>
    </row>
    <row r="2279" spans="2:20" ht="12.75" hidden="1" x14ac:dyDescent="0.25">
      <c r="B2279" s="32">
        <v>58</v>
      </c>
      <c r="F2279" s="32" t="s">
        <v>74</v>
      </c>
      <c r="J2279" s="32">
        <v>251</v>
      </c>
      <c r="P2279" s="32">
        <v>213350</v>
      </c>
      <c r="R2279" s="32">
        <v>213350</v>
      </c>
      <c r="T2279" s="32">
        <v>0</v>
      </c>
    </row>
    <row r="2280" spans="2:20" ht="12.75" hidden="1" x14ac:dyDescent="0.25">
      <c r="B2280" s="32">
        <v>59</v>
      </c>
      <c r="F2280" s="32" t="s">
        <v>352</v>
      </c>
      <c r="J2280" s="32">
        <v>4</v>
      </c>
      <c r="P2280" s="32">
        <v>3200</v>
      </c>
      <c r="R2280" s="32">
        <v>1800</v>
      </c>
      <c r="T2280" s="32">
        <v>1400</v>
      </c>
    </row>
    <row r="2281" spans="2:20" ht="12.75" hidden="1" x14ac:dyDescent="0.25">
      <c r="B2281" s="32">
        <v>60</v>
      </c>
      <c r="F2281" s="32" t="s">
        <v>351</v>
      </c>
      <c r="J2281" s="32">
        <v>2</v>
      </c>
      <c r="P2281" s="32">
        <v>1600</v>
      </c>
      <c r="R2281" s="32">
        <v>900</v>
      </c>
      <c r="T2281" s="32">
        <v>700</v>
      </c>
    </row>
    <row r="2282" spans="2:20" ht="12.75" hidden="1" x14ac:dyDescent="0.25">
      <c r="B2282" s="32">
        <v>61</v>
      </c>
      <c r="F2282" s="32" t="s">
        <v>190</v>
      </c>
      <c r="J2282" s="32">
        <v>23</v>
      </c>
      <c r="P2282" s="32">
        <v>36110</v>
      </c>
      <c r="R2282" s="32">
        <v>4316</v>
      </c>
      <c r="T2282" s="32">
        <v>31794</v>
      </c>
    </row>
    <row r="2283" spans="2:20" ht="12.75" hidden="1" x14ac:dyDescent="0.25">
      <c r="B2283" s="32">
        <v>62</v>
      </c>
      <c r="F2283" s="32" t="s">
        <v>135</v>
      </c>
      <c r="J2283" s="32">
        <v>16</v>
      </c>
      <c r="P2283" s="32">
        <v>15200</v>
      </c>
      <c r="R2283" s="32">
        <v>4200</v>
      </c>
      <c r="T2283" s="32">
        <v>11000</v>
      </c>
    </row>
    <row r="2284" spans="2:20" ht="12.75" hidden="1" x14ac:dyDescent="0.25">
      <c r="B2284" s="32">
        <v>63</v>
      </c>
      <c r="F2284" s="32" t="s">
        <v>134</v>
      </c>
      <c r="J2284" s="32">
        <v>1</v>
      </c>
      <c r="P2284" s="32">
        <v>3700</v>
      </c>
      <c r="R2284" s="32">
        <v>800</v>
      </c>
      <c r="T2284" s="32">
        <v>2900</v>
      </c>
    </row>
    <row r="2285" spans="2:20" ht="12.75" hidden="1" x14ac:dyDescent="0.25">
      <c r="B2285" s="32">
        <v>64</v>
      </c>
      <c r="F2285" s="32" t="s">
        <v>229</v>
      </c>
      <c r="J2285" s="32">
        <v>1</v>
      </c>
      <c r="P2285" s="32">
        <v>7000</v>
      </c>
      <c r="R2285" s="32">
        <v>3100</v>
      </c>
      <c r="T2285" s="32">
        <v>3900</v>
      </c>
    </row>
    <row r="2286" spans="2:20" ht="12.75" hidden="1" x14ac:dyDescent="0.25">
      <c r="B2286" s="32">
        <v>65</v>
      </c>
      <c r="F2286" s="32" t="s">
        <v>132</v>
      </c>
      <c r="J2286" s="32">
        <v>21</v>
      </c>
      <c r="P2286" s="32">
        <v>26040</v>
      </c>
      <c r="R2286" s="32">
        <v>6660</v>
      </c>
      <c r="T2286" s="32">
        <v>19380</v>
      </c>
    </row>
    <row r="2287" spans="2:20" ht="12.75" hidden="1" x14ac:dyDescent="0.25">
      <c r="B2287" s="32">
        <v>66</v>
      </c>
      <c r="F2287" s="32" t="s">
        <v>131</v>
      </c>
      <c r="J2287" s="32">
        <v>5</v>
      </c>
      <c r="P2287" s="32">
        <v>18500</v>
      </c>
      <c r="R2287" s="32">
        <v>3200</v>
      </c>
      <c r="T2287" s="32">
        <v>15300</v>
      </c>
    </row>
    <row r="2288" spans="2:20" ht="12.75" hidden="1" x14ac:dyDescent="0.25">
      <c r="B2288" s="32">
        <v>67</v>
      </c>
      <c r="F2288" s="32" t="s">
        <v>130</v>
      </c>
      <c r="J2288" s="32">
        <v>11</v>
      </c>
      <c r="P2288" s="32">
        <v>88000</v>
      </c>
      <c r="R2288" s="32">
        <v>45100</v>
      </c>
      <c r="T2288" s="32">
        <v>42900</v>
      </c>
    </row>
    <row r="2289" spans="2:20" ht="12.75" hidden="1" x14ac:dyDescent="0.25">
      <c r="B2289" s="32">
        <v>68</v>
      </c>
      <c r="F2289" s="32" t="s">
        <v>185</v>
      </c>
      <c r="J2289" s="32">
        <v>3</v>
      </c>
      <c r="P2289" s="32">
        <v>2400</v>
      </c>
      <c r="R2289" s="32">
        <v>1100</v>
      </c>
      <c r="T2289" s="32">
        <v>1300</v>
      </c>
    </row>
    <row r="2290" spans="2:20" ht="12.75" hidden="1" x14ac:dyDescent="0.25">
      <c r="B2290" s="32">
        <v>69</v>
      </c>
      <c r="F2290" s="32" t="s">
        <v>283</v>
      </c>
      <c r="J2290" s="32">
        <v>2</v>
      </c>
      <c r="P2290" s="32">
        <v>1600</v>
      </c>
      <c r="R2290" s="32">
        <v>900</v>
      </c>
      <c r="T2290" s="32">
        <v>700</v>
      </c>
    </row>
    <row r="2291" spans="2:20" ht="12.75" hidden="1" x14ac:dyDescent="0.25">
      <c r="B2291" s="32">
        <v>70</v>
      </c>
      <c r="F2291" s="32" t="s">
        <v>128</v>
      </c>
      <c r="J2291" s="32">
        <v>8</v>
      </c>
      <c r="P2291" s="32">
        <v>9200</v>
      </c>
      <c r="R2291" s="32">
        <v>1020</v>
      </c>
      <c r="T2291" s="32">
        <v>8180</v>
      </c>
    </row>
    <row r="2292" spans="2:20" ht="12.75" hidden="1" x14ac:dyDescent="0.25">
      <c r="B2292" s="32">
        <v>71</v>
      </c>
      <c r="F2292" s="32" t="s">
        <v>366</v>
      </c>
      <c r="J2292" s="32">
        <v>1</v>
      </c>
      <c r="P2292" s="32">
        <v>800</v>
      </c>
      <c r="R2292" s="32">
        <v>450</v>
      </c>
      <c r="T2292" s="32">
        <v>350</v>
      </c>
    </row>
    <row r="2293" spans="2:20" ht="12.75" hidden="1" x14ac:dyDescent="0.25">
      <c r="B2293" s="32">
        <v>72</v>
      </c>
      <c r="F2293" s="32" t="s">
        <v>378</v>
      </c>
      <c r="J2293" s="32">
        <v>1</v>
      </c>
      <c r="P2293" s="32">
        <v>800</v>
      </c>
      <c r="R2293" s="32">
        <v>450</v>
      </c>
      <c r="T2293" s="32">
        <v>350</v>
      </c>
    </row>
    <row r="2294" spans="2:20" ht="12.75" hidden="1" x14ac:dyDescent="0.25">
      <c r="B2294" s="32">
        <v>73</v>
      </c>
      <c r="F2294" s="32" t="s">
        <v>127</v>
      </c>
      <c r="J2294" s="32">
        <v>110</v>
      </c>
      <c r="P2294" s="32">
        <v>33000</v>
      </c>
      <c r="R2294" s="32">
        <v>8460</v>
      </c>
      <c r="T2294" s="32">
        <v>24540</v>
      </c>
    </row>
    <row r="2295" spans="2:20" ht="12.75" hidden="1" x14ac:dyDescent="0.25">
      <c r="B2295" s="32">
        <v>74</v>
      </c>
      <c r="F2295" s="32" t="s">
        <v>126</v>
      </c>
      <c r="J2295" s="32">
        <v>93</v>
      </c>
      <c r="P2295" s="32">
        <v>18600</v>
      </c>
      <c r="R2295" s="32">
        <v>4949</v>
      </c>
      <c r="T2295" s="32">
        <v>13651</v>
      </c>
    </row>
    <row r="2296" spans="2:20" ht="12.75" hidden="1" x14ac:dyDescent="0.25">
      <c r="B2296" s="32">
        <v>75</v>
      </c>
      <c r="F2296" s="32" t="s">
        <v>125</v>
      </c>
      <c r="J2296" s="32">
        <v>21</v>
      </c>
      <c r="P2296" s="32">
        <v>8400</v>
      </c>
      <c r="R2296" s="32">
        <v>1680</v>
      </c>
      <c r="T2296" s="32">
        <v>6720</v>
      </c>
    </row>
    <row r="2297" spans="2:20" ht="12.75" hidden="1" x14ac:dyDescent="0.25">
      <c r="B2297" s="32">
        <v>76</v>
      </c>
      <c r="F2297" s="32" t="s">
        <v>124</v>
      </c>
      <c r="J2297" s="32">
        <v>21</v>
      </c>
      <c r="P2297" s="32">
        <v>11440</v>
      </c>
      <c r="R2297" s="32">
        <v>2330</v>
      </c>
      <c r="T2297" s="32">
        <v>9110</v>
      </c>
    </row>
    <row r="2298" spans="2:20" ht="12.75" hidden="1" x14ac:dyDescent="0.25">
      <c r="B2298" s="32">
        <v>77</v>
      </c>
      <c r="F2298" s="32" t="s">
        <v>123</v>
      </c>
      <c r="J2298" s="32">
        <v>9</v>
      </c>
      <c r="P2298" s="32">
        <v>7020</v>
      </c>
      <c r="R2298" s="32">
        <v>1462</v>
      </c>
      <c r="T2298" s="32">
        <v>5558</v>
      </c>
    </row>
    <row r="2299" spans="2:20" ht="12.75" hidden="1" x14ac:dyDescent="0.25">
      <c r="B2299" s="32">
        <v>78</v>
      </c>
      <c r="F2299" s="32" t="s">
        <v>184</v>
      </c>
      <c r="J2299" s="32">
        <v>1</v>
      </c>
      <c r="P2299" s="32">
        <v>1080</v>
      </c>
      <c r="R2299" s="32">
        <v>108</v>
      </c>
      <c r="T2299" s="32">
        <v>972</v>
      </c>
    </row>
    <row r="2300" spans="2:20" ht="12.75" hidden="1" x14ac:dyDescent="0.25">
      <c r="B2300" s="32">
        <v>79</v>
      </c>
      <c r="F2300" s="32" t="s">
        <v>183</v>
      </c>
      <c r="J2300" s="32">
        <v>3</v>
      </c>
      <c r="P2300" s="32">
        <v>1320</v>
      </c>
      <c r="R2300" s="32">
        <v>260</v>
      </c>
      <c r="T2300" s="32">
        <v>1060</v>
      </c>
    </row>
    <row r="2301" spans="2:20" ht="12.75" hidden="1" x14ac:dyDescent="0.25">
      <c r="B2301" s="32">
        <v>80</v>
      </c>
      <c r="F2301" s="32" t="s">
        <v>122</v>
      </c>
      <c r="J2301" s="32">
        <v>7</v>
      </c>
      <c r="P2301" s="32">
        <v>3500</v>
      </c>
      <c r="R2301" s="32">
        <v>900</v>
      </c>
      <c r="T2301" s="32">
        <v>2600</v>
      </c>
    </row>
    <row r="2302" spans="2:20" ht="12.75" hidden="1" x14ac:dyDescent="0.25">
      <c r="B2302" s="32">
        <v>81</v>
      </c>
      <c r="F2302" s="32" t="s">
        <v>121</v>
      </c>
      <c r="J2302" s="32">
        <v>10</v>
      </c>
      <c r="P2302" s="32">
        <v>5400</v>
      </c>
      <c r="R2302" s="32">
        <v>1620</v>
      </c>
      <c r="T2302" s="32">
        <v>3780</v>
      </c>
    </row>
    <row r="2303" spans="2:20" ht="12.75" hidden="1" x14ac:dyDescent="0.25">
      <c r="B2303" s="32">
        <v>82</v>
      </c>
      <c r="F2303" s="32" t="s">
        <v>381</v>
      </c>
      <c r="J2303" s="32">
        <v>1</v>
      </c>
      <c r="P2303" s="32">
        <v>390</v>
      </c>
      <c r="R2303" s="32">
        <v>120</v>
      </c>
      <c r="T2303" s="32">
        <v>270</v>
      </c>
    </row>
    <row r="2304" spans="2:20" ht="12.75" hidden="1" x14ac:dyDescent="0.25">
      <c r="B2304" s="32">
        <v>83</v>
      </c>
      <c r="F2304" s="32" t="s">
        <v>120</v>
      </c>
      <c r="J2304" s="32">
        <v>1</v>
      </c>
      <c r="P2304" s="32">
        <v>350</v>
      </c>
      <c r="R2304" s="32">
        <v>60</v>
      </c>
      <c r="T2304" s="32">
        <v>290</v>
      </c>
    </row>
    <row r="2305" spans="2:20" ht="12.75" hidden="1" x14ac:dyDescent="0.25">
      <c r="B2305" s="32">
        <v>84</v>
      </c>
      <c r="F2305" s="32" t="s">
        <v>282</v>
      </c>
      <c r="J2305" s="32">
        <v>1</v>
      </c>
      <c r="P2305" s="32">
        <v>500</v>
      </c>
      <c r="R2305" s="32">
        <v>130</v>
      </c>
      <c r="T2305" s="32">
        <v>370</v>
      </c>
    </row>
    <row r="2306" spans="2:20" ht="12.75" hidden="1" x14ac:dyDescent="0.25">
      <c r="B2306" s="32">
        <v>85</v>
      </c>
      <c r="F2306" s="32" t="s">
        <v>182</v>
      </c>
      <c r="J2306" s="32">
        <v>3</v>
      </c>
      <c r="P2306" s="32">
        <v>2370</v>
      </c>
      <c r="R2306" s="32">
        <v>278</v>
      </c>
      <c r="T2306" s="32">
        <v>2092</v>
      </c>
    </row>
    <row r="2307" spans="2:20" ht="12.75" hidden="1" x14ac:dyDescent="0.25">
      <c r="B2307" s="32">
        <v>86</v>
      </c>
      <c r="F2307" s="32" t="s">
        <v>119</v>
      </c>
      <c r="J2307" s="32">
        <v>92</v>
      </c>
      <c r="P2307" s="32">
        <v>81880</v>
      </c>
      <c r="R2307" s="32">
        <v>14931</v>
      </c>
      <c r="T2307" s="32">
        <v>66949</v>
      </c>
    </row>
    <row r="2308" spans="2:20" ht="12.75" hidden="1" x14ac:dyDescent="0.25">
      <c r="B2308" s="32">
        <v>87</v>
      </c>
      <c r="F2308" s="32" t="s">
        <v>118</v>
      </c>
      <c r="J2308" s="32">
        <v>329</v>
      </c>
      <c r="P2308" s="32">
        <v>325710</v>
      </c>
      <c r="R2308" s="32">
        <v>79539</v>
      </c>
      <c r="T2308" s="32">
        <v>246171</v>
      </c>
    </row>
    <row r="2309" spans="2:20" ht="12.75" hidden="1" x14ac:dyDescent="0.25">
      <c r="B2309" s="32">
        <v>88</v>
      </c>
      <c r="F2309" s="32" t="s">
        <v>117</v>
      </c>
      <c r="J2309" s="32">
        <v>13</v>
      </c>
      <c r="P2309" s="32">
        <v>10600</v>
      </c>
      <c r="R2309" s="32">
        <v>1752</v>
      </c>
      <c r="T2309" s="32">
        <v>8848</v>
      </c>
    </row>
    <row r="2310" spans="2:20" ht="12.75" hidden="1" x14ac:dyDescent="0.25">
      <c r="B2310" s="32">
        <v>89</v>
      </c>
      <c r="F2310" s="32" t="s">
        <v>116</v>
      </c>
      <c r="J2310" s="32">
        <v>1</v>
      </c>
      <c r="P2310" s="32">
        <v>800</v>
      </c>
      <c r="R2310" s="32">
        <v>200</v>
      </c>
      <c r="T2310" s="32">
        <v>600</v>
      </c>
    </row>
    <row r="2311" spans="2:20" ht="12.75" hidden="1" x14ac:dyDescent="0.25">
      <c r="T2311" s="32"/>
    </row>
    <row r="2312" spans="2:20" ht="12.75" hidden="1" x14ac:dyDescent="0.25">
      <c r="B2312" s="32">
        <v>90</v>
      </c>
      <c r="F2312" s="32" t="s">
        <v>115</v>
      </c>
      <c r="J2312" s="32">
        <v>58</v>
      </c>
      <c r="P2312" s="32">
        <v>16820</v>
      </c>
      <c r="R2312" s="32">
        <v>4001</v>
      </c>
      <c r="T2312" s="32">
        <v>12819</v>
      </c>
    </row>
    <row r="2313" spans="2:20" ht="12.75" hidden="1" x14ac:dyDescent="0.25">
      <c r="B2313" s="32">
        <v>91</v>
      </c>
      <c r="F2313" s="32" t="s">
        <v>280</v>
      </c>
      <c r="J2313" s="32">
        <v>2</v>
      </c>
      <c r="P2313" s="32">
        <v>1400</v>
      </c>
      <c r="R2313" s="32">
        <v>700</v>
      </c>
      <c r="T2313" s="32">
        <v>700</v>
      </c>
    </row>
    <row r="2314" spans="2:20" ht="12.75" hidden="1" x14ac:dyDescent="0.25">
      <c r="B2314" s="32">
        <v>92</v>
      </c>
      <c r="F2314" s="32" t="s">
        <v>401</v>
      </c>
      <c r="J2314" s="32">
        <v>132</v>
      </c>
      <c r="P2314" s="32">
        <v>19200</v>
      </c>
      <c r="R2314" s="32">
        <v>0</v>
      </c>
      <c r="T2314" s="32">
        <v>19200</v>
      </c>
    </row>
    <row r="2315" spans="2:20" ht="12.75" hidden="1" x14ac:dyDescent="0.25">
      <c r="B2315" s="32">
        <v>93</v>
      </c>
      <c r="F2315" s="32" t="s">
        <v>400</v>
      </c>
      <c r="J2315" s="32">
        <v>34</v>
      </c>
      <c r="P2315" s="32">
        <v>0</v>
      </c>
      <c r="R2315" s="32">
        <v>0</v>
      </c>
      <c r="T2315" s="32">
        <v>0</v>
      </c>
    </row>
    <row r="2316" spans="2:20" ht="12.75" hidden="1" x14ac:dyDescent="0.25">
      <c r="T2316" s="32"/>
    </row>
    <row r="2317" spans="2:20" ht="12.75" hidden="1" x14ac:dyDescent="0.25">
      <c r="B2317" s="32">
        <v>94</v>
      </c>
      <c r="F2317" s="32" t="s">
        <v>222</v>
      </c>
      <c r="J2317" s="32">
        <v>1</v>
      </c>
      <c r="P2317" s="32">
        <v>500</v>
      </c>
      <c r="R2317" s="32">
        <v>150</v>
      </c>
      <c r="T2317" s="32">
        <v>350</v>
      </c>
    </row>
    <row r="2318" spans="2:20" ht="12.75" hidden="1" x14ac:dyDescent="0.25">
      <c r="B2318" s="32">
        <v>95</v>
      </c>
      <c r="F2318" s="32" t="s">
        <v>278</v>
      </c>
      <c r="J2318" s="32">
        <v>1</v>
      </c>
      <c r="P2318" s="32">
        <v>330</v>
      </c>
      <c r="R2318" s="32">
        <v>0</v>
      </c>
      <c r="T2318" s="32">
        <v>330</v>
      </c>
    </row>
    <row r="2319" spans="2:20" ht="12.75" hidden="1" x14ac:dyDescent="0.25">
      <c r="B2319" s="32">
        <v>96</v>
      </c>
      <c r="F2319" s="32" t="s">
        <v>300</v>
      </c>
      <c r="J2319" s="32">
        <v>3</v>
      </c>
      <c r="P2319" s="32">
        <v>990</v>
      </c>
      <c r="R2319" s="32">
        <v>200</v>
      </c>
      <c r="T2319" s="32">
        <v>790</v>
      </c>
    </row>
    <row r="2320" spans="2:20" ht="12.75" hidden="1" x14ac:dyDescent="0.25">
      <c r="B2320" s="32">
        <v>97</v>
      </c>
      <c r="F2320" s="32" t="s">
        <v>221</v>
      </c>
      <c r="J2320" s="32">
        <v>1</v>
      </c>
      <c r="P2320" s="32">
        <v>990</v>
      </c>
      <c r="R2320" s="32">
        <v>0</v>
      </c>
      <c r="T2320" s="32">
        <v>990</v>
      </c>
    </row>
    <row r="2321" spans="2:20" ht="12.75" hidden="1" x14ac:dyDescent="0.25">
      <c r="B2321" s="32">
        <v>98</v>
      </c>
      <c r="F2321" s="32" t="s">
        <v>327</v>
      </c>
      <c r="J2321" s="32">
        <v>1</v>
      </c>
      <c r="P2321" s="32">
        <v>880</v>
      </c>
      <c r="R2321" s="32">
        <v>0</v>
      </c>
      <c r="T2321" s="32">
        <v>880</v>
      </c>
    </row>
    <row r="2322" spans="2:20" ht="12.75" hidden="1" x14ac:dyDescent="0.25">
      <c r="B2322" s="32">
        <v>99</v>
      </c>
      <c r="F2322" s="32" t="s">
        <v>219</v>
      </c>
      <c r="J2322" s="32">
        <v>6</v>
      </c>
      <c r="P2322" s="32">
        <v>3000</v>
      </c>
      <c r="R2322" s="32">
        <v>550</v>
      </c>
      <c r="T2322" s="32">
        <v>2450</v>
      </c>
    </row>
    <row r="2323" spans="2:20" ht="12.75" hidden="1" x14ac:dyDescent="0.25">
      <c r="B2323" s="32">
        <v>100</v>
      </c>
      <c r="F2323" s="32" t="s">
        <v>258</v>
      </c>
      <c r="J2323" s="32">
        <v>2</v>
      </c>
      <c r="P2323" s="32">
        <v>660</v>
      </c>
      <c r="R2323" s="32">
        <v>280</v>
      </c>
      <c r="T2323" s="32">
        <v>380</v>
      </c>
    </row>
    <row r="2324" spans="2:20" ht="12.75" hidden="1" x14ac:dyDescent="0.25">
      <c r="B2324" s="32">
        <v>101</v>
      </c>
      <c r="F2324" s="32" t="s">
        <v>181</v>
      </c>
      <c r="J2324" s="32">
        <v>2</v>
      </c>
      <c r="P2324" s="32">
        <v>1580</v>
      </c>
      <c r="R2324" s="32">
        <v>199</v>
      </c>
      <c r="T2324" s="32">
        <v>1381</v>
      </c>
    </row>
    <row r="2325" spans="2:20" ht="12.75" hidden="1" x14ac:dyDescent="0.25">
      <c r="B2325" s="32">
        <v>102</v>
      </c>
      <c r="F2325" s="32" t="s">
        <v>171</v>
      </c>
      <c r="J2325" s="32">
        <v>3</v>
      </c>
      <c r="P2325" s="32">
        <v>1590</v>
      </c>
      <c r="R2325" s="32">
        <v>480</v>
      </c>
      <c r="T2325" s="32">
        <v>1110</v>
      </c>
    </row>
    <row r="2326" spans="2:20" ht="12.75" hidden="1" x14ac:dyDescent="0.25">
      <c r="B2326" s="32">
        <v>103</v>
      </c>
      <c r="F2326" s="32" t="s">
        <v>111</v>
      </c>
      <c r="J2326" s="32">
        <v>7</v>
      </c>
      <c r="P2326" s="32">
        <v>3010</v>
      </c>
      <c r="R2326" s="32">
        <v>520</v>
      </c>
      <c r="T2326" s="32">
        <v>2490</v>
      </c>
    </row>
    <row r="2327" spans="2:20" ht="12.75" hidden="1" x14ac:dyDescent="0.25">
      <c r="B2327" s="32">
        <v>104</v>
      </c>
      <c r="F2327" s="32" t="s">
        <v>110</v>
      </c>
      <c r="J2327" s="32">
        <v>2</v>
      </c>
      <c r="P2327" s="32">
        <v>2160</v>
      </c>
      <c r="R2327" s="32">
        <v>160</v>
      </c>
      <c r="T2327" s="32">
        <v>2000</v>
      </c>
    </row>
    <row r="2328" spans="2:20" ht="12.75" hidden="1" x14ac:dyDescent="0.25">
      <c r="B2328" s="32">
        <v>105</v>
      </c>
      <c r="F2328" s="32" t="s">
        <v>277</v>
      </c>
      <c r="J2328" s="32">
        <v>1</v>
      </c>
      <c r="P2328" s="32">
        <v>1570</v>
      </c>
      <c r="R2328" s="32">
        <v>0</v>
      </c>
      <c r="T2328" s="32">
        <v>1570</v>
      </c>
    </row>
    <row r="2329" spans="2:20" ht="12.75" hidden="1" x14ac:dyDescent="0.25">
      <c r="B2329" s="32">
        <v>106</v>
      </c>
      <c r="F2329" s="32" t="s">
        <v>109</v>
      </c>
      <c r="J2329" s="32">
        <v>14</v>
      </c>
      <c r="P2329" s="32">
        <v>10920</v>
      </c>
      <c r="R2329" s="32">
        <v>2530</v>
      </c>
      <c r="T2329" s="32">
        <v>8390</v>
      </c>
    </row>
    <row r="2330" spans="2:20" ht="12.75" hidden="1" x14ac:dyDescent="0.25">
      <c r="B2330" s="32">
        <v>107</v>
      </c>
      <c r="F2330" s="32" t="s">
        <v>108</v>
      </c>
      <c r="J2330" s="32">
        <v>522</v>
      </c>
      <c r="P2330" s="32">
        <v>52200</v>
      </c>
      <c r="R2330" s="32">
        <v>1732</v>
      </c>
      <c r="T2330" s="32">
        <v>50468</v>
      </c>
    </row>
    <row r="2331" spans="2:20" ht="12.75" hidden="1" x14ac:dyDescent="0.25">
      <c r="B2331" s="32">
        <v>108</v>
      </c>
      <c r="F2331" s="32" t="s">
        <v>107</v>
      </c>
      <c r="J2331" s="32">
        <v>133</v>
      </c>
      <c r="P2331" s="32">
        <v>22610</v>
      </c>
      <c r="R2331" s="32">
        <v>5077</v>
      </c>
      <c r="T2331" s="32">
        <v>17533</v>
      </c>
    </row>
    <row r="2332" spans="2:20" ht="12.75" hidden="1" x14ac:dyDescent="0.25">
      <c r="B2332" s="32">
        <v>109</v>
      </c>
      <c r="F2332" s="32" t="s">
        <v>106</v>
      </c>
      <c r="J2332" s="32">
        <v>502</v>
      </c>
      <c r="P2332" s="32">
        <v>50200</v>
      </c>
      <c r="R2332" s="32">
        <v>13460</v>
      </c>
      <c r="T2332" s="32">
        <v>36740</v>
      </c>
    </row>
    <row r="2333" spans="2:20" ht="12.75" hidden="1" x14ac:dyDescent="0.25">
      <c r="B2333" s="32">
        <v>110</v>
      </c>
      <c r="F2333" s="32" t="s">
        <v>218</v>
      </c>
      <c r="J2333" s="32">
        <v>1</v>
      </c>
      <c r="P2333" s="32">
        <v>290</v>
      </c>
      <c r="R2333" s="32">
        <v>0</v>
      </c>
      <c r="T2333" s="32">
        <v>290</v>
      </c>
    </row>
    <row r="2334" spans="2:20" ht="12.75" hidden="1" x14ac:dyDescent="0.25">
      <c r="B2334" s="32">
        <v>111</v>
      </c>
      <c r="F2334" s="32" t="s">
        <v>365</v>
      </c>
      <c r="J2334" s="32">
        <v>1</v>
      </c>
      <c r="P2334" s="32">
        <v>-1920</v>
      </c>
      <c r="R2334" s="32">
        <v>0</v>
      </c>
      <c r="T2334" s="32">
        <v>-1920</v>
      </c>
    </row>
    <row r="2335" spans="2:20" ht="12.75" hidden="1" x14ac:dyDescent="0.25">
      <c r="B2335" s="32">
        <v>112</v>
      </c>
      <c r="F2335" s="32" t="s">
        <v>215</v>
      </c>
      <c r="J2335" s="32">
        <v>1</v>
      </c>
      <c r="P2335" s="32">
        <v>1150</v>
      </c>
      <c r="R2335" s="32">
        <v>0</v>
      </c>
      <c r="T2335" s="32">
        <v>1150</v>
      </c>
    </row>
    <row r="2336" spans="2:20" ht="12.75" hidden="1" x14ac:dyDescent="0.25">
      <c r="B2336" s="32">
        <v>113</v>
      </c>
      <c r="F2336" s="32" t="s">
        <v>105</v>
      </c>
      <c r="J2336" s="32">
        <v>18</v>
      </c>
      <c r="P2336" s="32">
        <v>20700</v>
      </c>
      <c r="R2336" s="32">
        <v>0</v>
      </c>
      <c r="T2336" s="32">
        <v>20700</v>
      </c>
    </row>
    <row r="2337" spans="2:20" ht="12.75" hidden="1" x14ac:dyDescent="0.25">
      <c r="B2337" s="32">
        <v>114</v>
      </c>
      <c r="F2337" s="32" t="s">
        <v>369</v>
      </c>
      <c r="J2337" s="32">
        <v>1</v>
      </c>
      <c r="P2337" s="32">
        <v>1150</v>
      </c>
      <c r="R2337" s="32">
        <v>0</v>
      </c>
      <c r="T2337" s="32">
        <v>1150</v>
      </c>
    </row>
    <row r="2338" spans="2:20" ht="12.75" hidden="1" x14ac:dyDescent="0.25">
      <c r="B2338" s="32">
        <v>115</v>
      </c>
      <c r="F2338" s="32" t="s">
        <v>103</v>
      </c>
      <c r="J2338" s="32">
        <v>46</v>
      </c>
      <c r="P2338" s="32">
        <v>15180</v>
      </c>
      <c r="R2338" s="32">
        <v>3920</v>
      </c>
      <c r="T2338" s="32">
        <v>11260</v>
      </c>
    </row>
    <row r="2339" spans="2:20" ht="12.75" hidden="1" x14ac:dyDescent="0.25">
      <c r="B2339" s="32">
        <v>116</v>
      </c>
      <c r="F2339" s="32" t="s">
        <v>213</v>
      </c>
      <c r="J2339" s="32">
        <v>1</v>
      </c>
      <c r="P2339" s="32">
        <v>700</v>
      </c>
      <c r="R2339" s="32">
        <v>350</v>
      </c>
      <c r="T2339" s="32">
        <v>350</v>
      </c>
    </row>
    <row r="2340" spans="2:20" ht="12.75" hidden="1" x14ac:dyDescent="0.25">
      <c r="B2340" s="32">
        <v>117</v>
      </c>
      <c r="F2340" s="32" t="s">
        <v>211</v>
      </c>
      <c r="J2340" s="32">
        <v>9</v>
      </c>
      <c r="P2340" s="32">
        <v>4500</v>
      </c>
      <c r="R2340" s="32">
        <v>875</v>
      </c>
      <c r="T2340" s="32">
        <v>3625</v>
      </c>
    </row>
    <row r="2341" spans="2:20" ht="12.75" hidden="1" x14ac:dyDescent="0.25">
      <c r="B2341" s="32">
        <v>118</v>
      </c>
      <c r="F2341" s="32" t="s">
        <v>276</v>
      </c>
      <c r="J2341" s="32">
        <v>4</v>
      </c>
      <c r="P2341" s="32">
        <v>2000</v>
      </c>
      <c r="R2341" s="32">
        <v>450</v>
      </c>
      <c r="T2341" s="32">
        <v>1550</v>
      </c>
    </row>
    <row r="2342" spans="2:20" ht="12.75" hidden="1" x14ac:dyDescent="0.25">
      <c r="B2342" s="32">
        <v>119</v>
      </c>
      <c r="F2342" s="32" t="s">
        <v>307</v>
      </c>
      <c r="J2342" s="32">
        <v>1</v>
      </c>
      <c r="P2342" s="32">
        <v>700</v>
      </c>
      <c r="R2342" s="32">
        <v>350</v>
      </c>
      <c r="T2342" s="32">
        <v>350</v>
      </c>
    </row>
    <row r="2343" spans="2:20" ht="12.75" hidden="1" x14ac:dyDescent="0.25">
      <c r="B2343" s="32">
        <v>120</v>
      </c>
      <c r="F2343" s="32" t="s">
        <v>399</v>
      </c>
      <c r="J2343" s="32">
        <v>3</v>
      </c>
      <c r="P2343" s="32">
        <v>1080</v>
      </c>
      <c r="R2343" s="32">
        <v>242</v>
      </c>
      <c r="T2343" s="32">
        <v>838</v>
      </c>
    </row>
    <row r="2344" spans="2:20" ht="12.75" hidden="1" x14ac:dyDescent="0.25">
      <c r="B2344" s="32">
        <v>121</v>
      </c>
      <c r="F2344" s="32" t="s">
        <v>102</v>
      </c>
      <c r="J2344" s="32">
        <v>23</v>
      </c>
      <c r="P2344" s="32">
        <v>20240</v>
      </c>
      <c r="R2344" s="32">
        <v>1300</v>
      </c>
      <c r="T2344" s="32">
        <v>18940</v>
      </c>
    </row>
    <row r="2345" spans="2:20" ht="12.75" hidden="1" x14ac:dyDescent="0.25">
      <c r="B2345" s="32">
        <v>122</v>
      </c>
      <c r="F2345" s="32" t="s">
        <v>101</v>
      </c>
      <c r="J2345" s="32">
        <v>11</v>
      </c>
      <c r="P2345" s="32">
        <v>5060</v>
      </c>
      <c r="R2345" s="32">
        <v>420</v>
      </c>
      <c r="T2345" s="32">
        <v>4640</v>
      </c>
    </row>
    <row r="2346" spans="2:20" ht="12.75" hidden="1" x14ac:dyDescent="0.25">
      <c r="B2346" s="32">
        <v>123</v>
      </c>
      <c r="F2346" s="32" t="s">
        <v>254</v>
      </c>
      <c r="J2346" s="32">
        <v>9</v>
      </c>
      <c r="P2346" s="32">
        <v>2610</v>
      </c>
      <c r="R2346" s="32">
        <v>320</v>
      </c>
      <c r="T2346" s="32">
        <v>2290</v>
      </c>
    </row>
    <row r="2347" spans="2:20" ht="12.75" hidden="1" x14ac:dyDescent="0.25">
      <c r="B2347" s="32">
        <v>124</v>
      </c>
      <c r="F2347" s="32" t="s">
        <v>100</v>
      </c>
      <c r="J2347" s="32">
        <v>30</v>
      </c>
      <c r="P2347" s="32">
        <v>5400</v>
      </c>
      <c r="R2347" s="32">
        <v>1026</v>
      </c>
      <c r="T2347" s="32">
        <v>4374</v>
      </c>
    </row>
    <row r="2348" spans="2:20" ht="12.75" hidden="1" x14ac:dyDescent="0.25">
      <c r="B2348" s="32">
        <v>125</v>
      </c>
      <c r="F2348" s="32" t="s">
        <v>178</v>
      </c>
      <c r="J2348" s="32">
        <v>11</v>
      </c>
      <c r="P2348" s="32">
        <v>18150</v>
      </c>
      <c r="R2348" s="32">
        <v>0</v>
      </c>
      <c r="T2348" s="32">
        <v>18150</v>
      </c>
    </row>
    <row r="2349" spans="2:20" ht="12.75" hidden="1" x14ac:dyDescent="0.25">
      <c r="B2349" s="32">
        <v>126</v>
      </c>
      <c r="F2349" s="32" t="s">
        <v>274</v>
      </c>
      <c r="J2349" s="32">
        <v>1</v>
      </c>
      <c r="P2349" s="32">
        <v>180</v>
      </c>
      <c r="R2349" s="32">
        <v>50</v>
      </c>
      <c r="T2349" s="32">
        <v>130</v>
      </c>
    </row>
    <row r="2350" spans="2:20" ht="12.75" hidden="1" x14ac:dyDescent="0.25">
      <c r="B2350" s="32">
        <v>127</v>
      </c>
      <c r="F2350" s="32" t="s">
        <v>99</v>
      </c>
      <c r="J2350" s="32">
        <v>3</v>
      </c>
      <c r="P2350" s="32">
        <v>1770</v>
      </c>
      <c r="R2350" s="32">
        <v>270</v>
      </c>
      <c r="T2350" s="32">
        <v>1500</v>
      </c>
    </row>
    <row r="2351" spans="2:20" ht="12.75" hidden="1" x14ac:dyDescent="0.25">
      <c r="B2351" s="32">
        <v>128</v>
      </c>
      <c r="F2351" s="32" t="s">
        <v>98</v>
      </c>
      <c r="J2351" s="32">
        <v>3</v>
      </c>
      <c r="P2351" s="32">
        <v>1710</v>
      </c>
      <c r="R2351" s="32">
        <v>240</v>
      </c>
      <c r="T2351" s="32">
        <v>1470</v>
      </c>
    </row>
    <row r="2352" spans="2:20" ht="12.75" hidden="1" x14ac:dyDescent="0.25">
      <c r="B2352" s="32">
        <v>129</v>
      </c>
      <c r="F2352" s="32" t="s">
        <v>97</v>
      </c>
      <c r="J2352" s="32">
        <v>18</v>
      </c>
      <c r="P2352" s="32">
        <v>28620</v>
      </c>
      <c r="R2352" s="32">
        <v>1839</v>
      </c>
      <c r="T2352" s="32">
        <v>26781</v>
      </c>
    </row>
    <row r="2353" spans="2:20" ht="12.75" hidden="1" x14ac:dyDescent="0.25">
      <c r="B2353" s="32">
        <v>130</v>
      </c>
      <c r="F2353" s="32" t="s">
        <v>96</v>
      </c>
      <c r="J2353" s="32">
        <v>7</v>
      </c>
      <c r="P2353" s="32">
        <v>3080</v>
      </c>
      <c r="R2353" s="32">
        <v>390</v>
      </c>
      <c r="T2353" s="32">
        <v>2690</v>
      </c>
    </row>
    <row r="2354" spans="2:20" ht="12.75" hidden="1" x14ac:dyDescent="0.25">
      <c r="B2354" s="32">
        <v>131</v>
      </c>
      <c r="F2354" s="32" t="s">
        <v>253</v>
      </c>
      <c r="J2354" s="32">
        <v>1</v>
      </c>
      <c r="P2354" s="32">
        <v>290</v>
      </c>
      <c r="R2354" s="32">
        <v>0</v>
      </c>
      <c r="T2354" s="32">
        <v>290</v>
      </c>
    </row>
    <row r="2355" spans="2:20" ht="12.75" hidden="1" x14ac:dyDescent="0.25">
      <c r="B2355" s="32">
        <v>132</v>
      </c>
      <c r="F2355" s="32" t="s">
        <v>93</v>
      </c>
      <c r="J2355" s="32">
        <v>26</v>
      </c>
      <c r="P2355" s="32">
        <v>15340</v>
      </c>
      <c r="R2355" s="32">
        <v>1800</v>
      </c>
      <c r="T2355" s="32">
        <v>13540</v>
      </c>
    </row>
    <row r="2356" spans="2:20" ht="12.75" hidden="1" x14ac:dyDescent="0.25">
      <c r="B2356" s="32">
        <v>133</v>
      </c>
      <c r="F2356" s="32" t="s">
        <v>92</v>
      </c>
      <c r="J2356" s="32">
        <v>94</v>
      </c>
      <c r="P2356" s="32">
        <v>77040</v>
      </c>
      <c r="R2356" s="32">
        <v>15958</v>
      </c>
      <c r="T2356" s="32">
        <v>61082</v>
      </c>
    </row>
    <row r="2357" spans="2:20" ht="12.75" hidden="1" x14ac:dyDescent="0.25">
      <c r="B2357" s="32">
        <v>134</v>
      </c>
      <c r="F2357" s="32" t="s">
        <v>305</v>
      </c>
      <c r="J2357" s="32">
        <v>1</v>
      </c>
      <c r="P2357" s="32">
        <v>600</v>
      </c>
      <c r="R2357" s="32">
        <v>180</v>
      </c>
      <c r="T2357" s="32">
        <v>420</v>
      </c>
    </row>
    <row r="2358" spans="2:20" ht="12.75" hidden="1" x14ac:dyDescent="0.25">
      <c r="B2358" s="32">
        <v>135</v>
      </c>
      <c r="F2358" s="32" t="s">
        <v>297</v>
      </c>
      <c r="J2358" s="32">
        <v>3</v>
      </c>
      <c r="P2358" s="32">
        <v>1200</v>
      </c>
      <c r="R2358" s="32">
        <v>100</v>
      </c>
      <c r="T2358" s="32">
        <v>1100</v>
      </c>
    </row>
    <row r="2359" spans="2:20" ht="12.75" hidden="1" x14ac:dyDescent="0.25">
      <c r="B2359" s="32">
        <v>136</v>
      </c>
      <c r="F2359" s="32" t="s">
        <v>175</v>
      </c>
      <c r="J2359" s="32">
        <v>39</v>
      </c>
      <c r="P2359" s="32">
        <v>23400</v>
      </c>
      <c r="R2359" s="32">
        <v>1386</v>
      </c>
      <c r="T2359" s="32">
        <v>22014</v>
      </c>
    </row>
    <row r="2360" spans="2:20" ht="12.75" hidden="1" x14ac:dyDescent="0.25">
      <c r="B2360" s="32">
        <v>137</v>
      </c>
      <c r="F2360" s="32" t="s">
        <v>174</v>
      </c>
      <c r="J2360" s="32">
        <v>33</v>
      </c>
      <c r="P2360" s="32">
        <v>13200</v>
      </c>
      <c r="R2360" s="32">
        <v>560</v>
      </c>
      <c r="T2360" s="32">
        <v>12640</v>
      </c>
    </row>
    <row r="2361" spans="2:20" ht="12.75" hidden="1" x14ac:dyDescent="0.25">
      <c r="B2361" s="32">
        <v>138</v>
      </c>
      <c r="F2361" s="32" t="s">
        <v>355</v>
      </c>
      <c r="J2361" s="32">
        <v>11</v>
      </c>
      <c r="P2361" s="32">
        <v>6600</v>
      </c>
      <c r="R2361" s="32">
        <v>838</v>
      </c>
      <c r="T2361" s="32">
        <v>5762</v>
      </c>
    </row>
    <row r="2362" spans="2:20" ht="12.75" hidden="1" x14ac:dyDescent="0.25">
      <c r="B2362" s="32">
        <v>139</v>
      </c>
      <c r="F2362" s="32" t="s">
        <v>173</v>
      </c>
      <c r="J2362" s="32">
        <v>60</v>
      </c>
      <c r="P2362" s="32">
        <v>60000</v>
      </c>
      <c r="R2362" s="32">
        <v>9400</v>
      </c>
      <c r="T2362" s="32">
        <v>50600</v>
      </c>
    </row>
    <row r="2363" spans="2:20" ht="12.75" hidden="1" x14ac:dyDescent="0.25">
      <c r="B2363" s="32">
        <v>140</v>
      </c>
      <c r="F2363" s="32" t="s">
        <v>296</v>
      </c>
      <c r="J2363" s="32">
        <v>9</v>
      </c>
      <c r="P2363" s="32">
        <v>10800</v>
      </c>
      <c r="R2363" s="32">
        <v>740</v>
      </c>
      <c r="T2363" s="32">
        <v>10060</v>
      </c>
    </row>
    <row r="2364" spans="2:20" ht="12.75" hidden="1" x14ac:dyDescent="0.25">
      <c r="B2364" s="32">
        <v>141</v>
      </c>
      <c r="F2364" s="32" t="s">
        <v>91</v>
      </c>
      <c r="J2364" s="32">
        <v>99</v>
      </c>
      <c r="P2364" s="32">
        <v>24750</v>
      </c>
      <c r="R2364" s="32">
        <v>5323</v>
      </c>
      <c r="T2364" s="32">
        <v>19427</v>
      </c>
    </row>
    <row r="2365" spans="2:20" ht="12.75" hidden="1" x14ac:dyDescent="0.25">
      <c r="B2365" s="32">
        <v>142</v>
      </c>
      <c r="F2365" s="32" t="s">
        <v>90</v>
      </c>
      <c r="J2365" s="32">
        <v>103</v>
      </c>
      <c r="P2365" s="32">
        <v>29870</v>
      </c>
      <c r="R2365" s="32">
        <v>5048</v>
      </c>
      <c r="T2365" s="32">
        <v>24822</v>
      </c>
    </row>
    <row r="2366" spans="2:20" ht="12.75" hidden="1" x14ac:dyDescent="0.25">
      <c r="B2366" s="32">
        <v>143</v>
      </c>
      <c r="F2366" s="32" t="s">
        <v>89</v>
      </c>
      <c r="J2366" s="32">
        <v>9</v>
      </c>
      <c r="P2366" s="32">
        <v>7920</v>
      </c>
      <c r="R2366" s="32">
        <v>780</v>
      </c>
      <c r="T2366" s="32">
        <v>7140</v>
      </c>
    </row>
    <row r="2367" spans="2:20" ht="12.75" hidden="1" x14ac:dyDescent="0.25">
      <c r="B2367" s="32">
        <v>144</v>
      </c>
      <c r="F2367" s="32" t="s">
        <v>88</v>
      </c>
      <c r="J2367" s="32">
        <v>247</v>
      </c>
      <c r="P2367" s="32">
        <v>44460</v>
      </c>
      <c r="R2367" s="32">
        <v>8773</v>
      </c>
      <c r="T2367" s="32">
        <v>35687</v>
      </c>
    </row>
    <row r="2368" spans="2:20" ht="12.75" hidden="1" x14ac:dyDescent="0.25">
      <c r="B2368" s="32">
        <v>145</v>
      </c>
      <c r="F2368" s="32" t="s">
        <v>87</v>
      </c>
      <c r="J2368" s="32">
        <v>5</v>
      </c>
      <c r="P2368" s="32">
        <v>1450</v>
      </c>
      <c r="R2368" s="32">
        <v>80</v>
      </c>
      <c r="T2368" s="32">
        <v>1370</v>
      </c>
    </row>
    <row r="2369" spans="1:20" ht="12.75" hidden="1" x14ac:dyDescent="0.25">
      <c r="B2369" s="32">
        <v>146</v>
      </c>
      <c r="F2369" s="32" t="s">
        <v>86</v>
      </c>
      <c r="J2369" s="32">
        <v>10</v>
      </c>
      <c r="P2369" s="32">
        <v>11400</v>
      </c>
      <c r="R2369" s="32">
        <v>794</v>
      </c>
      <c r="T2369" s="32">
        <v>10606</v>
      </c>
    </row>
    <row r="2370" spans="1:20" ht="12.75" hidden="1" x14ac:dyDescent="0.25">
      <c r="B2370" s="32">
        <v>147</v>
      </c>
      <c r="F2370" s="32" t="s">
        <v>85</v>
      </c>
      <c r="J2370" s="32">
        <v>44</v>
      </c>
      <c r="P2370" s="32">
        <v>91520</v>
      </c>
      <c r="R2370" s="32">
        <v>8990</v>
      </c>
      <c r="T2370" s="32">
        <v>82530</v>
      </c>
    </row>
    <row r="2371" spans="1:20" ht="12.75" hidden="1" x14ac:dyDescent="0.25">
      <c r="B2371" s="32">
        <v>148</v>
      </c>
      <c r="F2371" s="32" t="s">
        <v>84</v>
      </c>
      <c r="J2371" s="32">
        <v>11</v>
      </c>
      <c r="P2371" s="32">
        <v>6490</v>
      </c>
      <c r="R2371" s="32">
        <v>720</v>
      </c>
      <c r="T2371" s="32">
        <v>5770</v>
      </c>
    </row>
    <row r="2372" spans="1:20" ht="12.75" hidden="1" x14ac:dyDescent="0.25">
      <c r="B2372" s="32">
        <v>149</v>
      </c>
      <c r="F2372" s="32" t="s">
        <v>331</v>
      </c>
      <c r="J2372" s="32">
        <v>20</v>
      </c>
      <c r="P2372" s="32">
        <v>10000</v>
      </c>
      <c r="R2372" s="32">
        <v>2900</v>
      </c>
      <c r="T2372" s="32">
        <v>7100</v>
      </c>
    </row>
    <row r="2373" spans="1:20" ht="12.75" hidden="1" x14ac:dyDescent="0.25">
      <c r="B2373" s="32">
        <v>150</v>
      </c>
      <c r="F2373" s="32" t="s">
        <v>208</v>
      </c>
      <c r="J2373" s="32">
        <v>8</v>
      </c>
      <c r="P2373" s="32">
        <v>4000</v>
      </c>
      <c r="R2373" s="32">
        <v>1030</v>
      </c>
      <c r="T2373" s="32">
        <v>2970</v>
      </c>
    </row>
    <row r="2374" spans="1:20" ht="12.75" hidden="1" x14ac:dyDescent="0.25">
      <c r="B2374" s="32">
        <v>151</v>
      </c>
      <c r="F2374" s="32" t="s">
        <v>273</v>
      </c>
      <c r="J2374" s="32">
        <v>3</v>
      </c>
      <c r="P2374" s="32">
        <v>1500</v>
      </c>
      <c r="R2374" s="32">
        <v>450</v>
      </c>
      <c r="T2374" s="32">
        <v>1050</v>
      </c>
    </row>
    <row r="2375" spans="1:20" ht="12.75" hidden="1" x14ac:dyDescent="0.25">
      <c r="B2375" s="32">
        <v>152</v>
      </c>
      <c r="F2375" s="32" t="s">
        <v>206</v>
      </c>
      <c r="J2375" s="32">
        <v>1</v>
      </c>
      <c r="P2375" s="32">
        <v>500</v>
      </c>
      <c r="R2375" s="32">
        <v>0</v>
      </c>
      <c r="T2375" s="32">
        <v>500</v>
      </c>
    </row>
    <row r="2376" spans="1:20" ht="12.75" hidden="1" x14ac:dyDescent="0.25">
      <c r="B2376" s="32">
        <v>153</v>
      </c>
      <c r="F2376" s="32" t="s">
        <v>205</v>
      </c>
      <c r="J2376" s="32">
        <v>4</v>
      </c>
      <c r="P2376" s="32">
        <v>2000</v>
      </c>
      <c r="R2376" s="32">
        <v>450</v>
      </c>
      <c r="T2376" s="32">
        <v>1550</v>
      </c>
    </row>
    <row r="2377" spans="1:20" ht="12.75" hidden="1" x14ac:dyDescent="0.25">
      <c r="B2377" s="32">
        <v>154</v>
      </c>
      <c r="F2377" s="32" t="s">
        <v>83</v>
      </c>
      <c r="J2377" s="32">
        <v>3</v>
      </c>
      <c r="P2377" s="32">
        <v>1500</v>
      </c>
      <c r="R2377" s="32">
        <v>450</v>
      </c>
      <c r="T2377" s="32">
        <v>1050</v>
      </c>
    </row>
    <row r="2378" spans="1:20" ht="12.75" hidden="1" x14ac:dyDescent="0.25">
      <c r="B2378" s="32">
        <v>155</v>
      </c>
      <c r="F2378" s="32" t="s">
        <v>271</v>
      </c>
      <c r="J2378" s="32">
        <v>18</v>
      </c>
      <c r="P2378" s="32">
        <v>9000</v>
      </c>
      <c r="R2378" s="32">
        <v>2230</v>
      </c>
      <c r="T2378" s="32">
        <v>6770</v>
      </c>
    </row>
    <row r="2379" spans="1:20" ht="12.75" hidden="1" x14ac:dyDescent="0.25">
      <c r="B2379" s="32">
        <v>156</v>
      </c>
      <c r="F2379" s="32" t="s">
        <v>363</v>
      </c>
      <c r="J2379" s="32">
        <v>3</v>
      </c>
      <c r="P2379" s="32">
        <v>1500</v>
      </c>
      <c r="R2379" s="32">
        <v>450</v>
      </c>
      <c r="T2379" s="32">
        <v>1050</v>
      </c>
    </row>
    <row r="2380" spans="1:20" ht="12.75" hidden="1" x14ac:dyDescent="0.25">
      <c r="B2380" s="32">
        <v>157</v>
      </c>
      <c r="F2380" s="32" t="s">
        <v>82</v>
      </c>
      <c r="J2380" s="32">
        <v>3</v>
      </c>
      <c r="P2380" s="32">
        <v>870</v>
      </c>
      <c r="R2380" s="32">
        <v>580</v>
      </c>
      <c r="T2380" s="32">
        <v>290</v>
      </c>
    </row>
    <row r="2381" spans="1:20" ht="12.75" hidden="1" x14ac:dyDescent="0.25">
      <c r="B2381" s="32">
        <v>158</v>
      </c>
      <c r="F2381" s="32" t="s">
        <v>81</v>
      </c>
      <c r="J2381" s="32">
        <v>371</v>
      </c>
      <c r="P2381" s="32">
        <v>107590</v>
      </c>
      <c r="R2381" s="32">
        <v>11300</v>
      </c>
      <c r="T2381" s="32">
        <v>96290</v>
      </c>
    </row>
    <row r="2382" spans="1:20" ht="12.75" hidden="1" x14ac:dyDescent="0.25">
      <c r="A2382" s="32" t="s">
        <v>398</v>
      </c>
      <c r="K2382" s="32">
        <v>4516</v>
      </c>
      <c r="P2382" s="32">
        <v>3746540</v>
      </c>
      <c r="R2382" s="32">
        <v>2970879</v>
      </c>
      <c r="T2382" s="32">
        <v>775901</v>
      </c>
    </row>
    <row r="2383" spans="1:20" ht="12.75" hidden="1" x14ac:dyDescent="0.25">
      <c r="B2383" s="32">
        <v>1</v>
      </c>
      <c r="F2383" s="32" t="s">
        <v>78</v>
      </c>
      <c r="J2383" s="32">
        <v>90</v>
      </c>
      <c r="P2383" s="32">
        <v>26100</v>
      </c>
      <c r="R2383" s="32">
        <v>26100</v>
      </c>
      <c r="T2383" s="32">
        <v>0</v>
      </c>
    </row>
    <row r="2384" spans="1:20" ht="12.75" hidden="1" x14ac:dyDescent="0.25">
      <c r="B2384" s="32">
        <v>2</v>
      </c>
      <c r="F2384" s="32" t="s">
        <v>167</v>
      </c>
      <c r="J2384" s="32">
        <v>2</v>
      </c>
      <c r="P2384" s="32">
        <v>1140</v>
      </c>
      <c r="R2384" s="32">
        <v>340</v>
      </c>
      <c r="T2384" s="32">
        <v>800</v>
      </c>
    </row>
    <row r="2385" spans="2:20" ht="12.75" hidden="1" x14ac:dyDescent="0.25">
      <c r="B2385" s="32">
        <v>3</v>
      </c>
      <c r="F2385" s="32" t="s">
        <v>164</v>
      </c>
      <c r="J2385" s="32">
        <v>1</v>
      </c>
      <c r="P2385" s="32">
        <v>590</v>
      </c>
      <c r="R2385" s="32">
        <v>180</v>
      </c>
      <c r="T2385" s="32">
        <v>410</v>
      </c>
    </row>
    <row r="2386" spans="2:20" ht="12.75" hidden="1" x14ac:dyDescent="0.25">
      <c r="B2386" s="32">
        <v>4</v>
      </c>
      <c r="F2386" s="32" t="s">
        <v>162</v>
      </c>
      <c r="J2386" s="32">
        <v>46</v>
      </c>
      <c r="P2386" s="32">
        <v>19780</v>
      </c>
      <c r="R2386" s="32">
        <v>8629</v>
      </c>
      <c r="T2386" s="32">
        <v>11151</v>
      </c>
    </row>
    <row r="2387" spans="2:20" ht="12.75" hidden="1" x14ac:dyDescent="0.25">
      <c r="B2387" s="32">
        <v>5</v>
      </c>
      <c r="F2387" s="32" t="s">
        <v>160</v>
      </c>
      <c r="J2387" s="32">
        <v>19</v>
      </c>
      <c r="P2387" s="32">
        <v>5510</v>
      </c>
      <c r="R2387" s="32">
        <v>1520</v>
      </c>
      <c r="T2387" s="32">
        <v>3990</v>
      </c>
    </row>
    <row r="2388" spans="2:20" ht="12.75" hidden="1" x14ac:dyDescent="0.25">
      <c r="B2388" s="32">
        <v>6</v>
      </c>
      <c r="F2388" s="32" t="s">
        <v>159</v>
      </c>
      <c r="J2388" s="32">
        <v>428</v>
      </c>
      <c r="P2388" s="32">
        <v>0</v>
      </c>
      <c r="R2388" s="32">
        <v>0</v>
      </c>
      <c r="T2388" s="32">
        <v>0</v>
      </c>
    </row>
    <row r="2389" spans="2:20" ht="12.75" hidden="1" x14ac:dyDescent="0.25">
      <c r="B2389" s="32">
        <v>7</v>
      </c>
      <c r="F2389" s="32" t="s">
        <v>158</v>
      </c>
      <c r="J2389" s="32">
        <v>494</v>
      </c>
      <c r="P2389" s="32">
        <v>271700</v>
      </c>
      <c r="R2389" s="32">
        <v>81929</v>
      </c>
      <c r="T2389" s="32">
        <v>189771</v>
      </c>
    </row>
    <row r="2390" spans="2:20" ht="12.75" hidden="1" x14ac:dyDescent="0.25">
      <c r="B2390" s="32">
        <v>8</v>
      </c>
      <c r="F2390" s="32" t="s">
        <v>157</v>
      </c>
      <c r="J2390" s="32">
        <v>348</v>
      </c>
      <c r="P2390" s="32">
        <v>170520</v>
      </c>
      <c r="R2390" s="32">
        <v>74129</v>
      </c>
      <c r="T2390" s="32">
        <v>96391</v>
      </c>
    </row>
    <row r="2391" spans="2:20" ht="12.75" hidden="1" x14ac:dyDescent="0.25">
      <c r="B2391" s="32">
        <v>9</v>
      </c>
      <c r="F2391" s="32" t="s">
        <v>77</v>
      </c>
      <c r="J2391" s="32">
        <v>533</v>
      </c>
      <c r="P2391" s="32">
        <v>220300</v>
      </c>
      <c r="R2391" s="32">
        <v>220300</v>
      </c>
      <c r="T2391" s="32">
        <v>0</v>
      </c>
    </row>
    <row r="2392" spans="2:20" ht="12.75" hidden="1" x14ac:dyDescent="0.25">
      <c r="B2392" s="32">
        <v>10</v>
      </c>
      <c r="F2392" s="32" t="s">
        <v>242</v>
      </c>
      <c r="J2392" s="32">
        <v>3</v>
      </c>
      <c r="P2392" s="32">
        <v>1500</v>
      </c>
      <c r="R2392" s="32">
        <v>1500</v>
      </c>
      <c r="T2392" s="32">
        <v>0</v>
      </c>
    </row>
    <row r="2393" spans="2:20" ht="12.75" hidden="1" x14ac:dyDescent="0.25">
      <c r="B2393" s="32">
        <v>11</v>
      </c>
      <c r="F2393" s="32" t="s">
        <v>76</v>
      </c>
      <c r="J2393" s="32">
        <v>2</v>
      </c>
      <c r="P2393" s="32">
        <v>1000</v>
      </c>
      <c r="R2393" s="32">
        <v>1000</v>
      </c>
      <c r="T2393" s="32">
        <v>0</v>
      </c>
    </row>
    <row r="2394" spans="2:20" ht="12.75" hidden="1" x14ac:dyDescent="0.25">
      <c r="B2394" s="32">
        <v>12</v>
      </c>
      <c r="F2394" s="32" t="s">
        <v>156</v>
      </c>
      <c r="J2394" s="32">
        <v>13</v>
      </c>
      <c r="P2394" s="32">
        <v>2470</v>
      </c>
      <c r="R2394" s="32">
        <v>770</v>
      </c>
      <c r="T2394" s="32">
        <v>1700</v>
      </c>
    </row>
    <row r="2395" spans="2:20" ht="12.75" hidden="1" x14ac:dyDescent="0.25">
      <c r="B2395" s="32">
        <v>13</v>
      </c>
      <c r="F2395" s="32" t="s">
        <v>155</v>
      </c>
      <c r="J2395" s="32">
        <v>40</v>
      </c>
      <c r="P2395" s="32">
        <v>10000</v>
      </c>
      <c r="R2395" s="32">
        <v>3660</v>
      </c>
      <c r="T2395" s="32">
        <v>6340</v>
      </c>
    </row>
    <row r="2396" spans="2:20" ht="12.75" hidden="1" x14ac:dyDescent="0.25">
      <c r="B2396" s="32">
        <v>14</v>
      </c>
      <c r="F2396" s="32" t="s">
        <v>154</v>
      </c>
      <c r="J2396" s="32">
        <v>2</v>
      </c>
      <c r="P2396" s="32">
        <v>1780</v>
      </c>
      <c r="R2396" s="32">
        <v>260</v>
      </c>
      <c r="T2396" s="32">
        <v>1520</v>
      </c>
    </row>
    <row r="2397" spans="2:20" ht="12.75" hidden="1" x14ac:dyDescent="0.25">
      <c r="B2397" s="32">
        <v>15</v>
      </c>
      <c r="F2397" s="32" t="s">
        <v>153</v>
      </c>
      <c r="J2397" s="32">
        <v>2</v>
      </c>
      <c r="P2397" s="32">
        <v>2360</v>
      </c>
      <c r="R2397" s="32">
        <v>360</v>
      </c>
      <c r="T2397" s="32">
        <v>2000</v>
      </c>
    </row>
    <row r="2398" spans="2:20" ht="12.75" hidden="1" x14ac:dyDescent="0.25">
      <c r="B2398" s="32">
        <v>16</v>
      </c>
      <c r="F2398" s="32" t="s">
        <v>152</v>
      </c>
      <c r="J2398" s="32">
        <v>19</v>
      </c>
      <c r="P2398" s="32">
        <v>11210</v>
      </c>
      <c r="R2398" s="32">
        <v>3450</v>
      </c>
      <c r="T2398" s="32">
        <v>7760</v>
      </c>
    </row>
    <row r="2399" spans="2:20" ht="12.75" hidden="1" x14ac:dyDescent="0.25">
      <c r="B2399" s="32">
        <v>17</v>
      </c>
      <c r="F2399" s="32" t="s">
        <v>151</v>
      </c>
      <c r="J2399" s="32">
        <v>80</v>
      </c>
      <c r="P2399" s="32">
        <v>18400</v>
      </c>
      <c r="R2399" s="32">
        <v>6330</v>
      </c>
      <c r="T2399" s="32">
        <v>12070</v>
      </c>
    </row>
    <row r="2400" spans="2:20" ht="12.75" hidden="1" x14ac:dyDescent="0.25">
      <c r="B2400" s="32">
        <v>18</v>
      </c>
      <c r="F2400" s="32" t="s">
        <v>150</v>
      </c>
      <c r="J2400" s="32">
        <v>16</v>
      </c>
      <c r="P2400" s="32">
        <v>2720</v>
      </c>
      <c r="R2400" s="32">
        <v>800</v>
      </c>
      <c r="T2400" s="32">
        <v>1920</v>
      </c>
    </row>
    <row r="2401" spans="2:20" ht="12.75" hidden="1" x14ac:dyDescent="0.25">
      <c r="B2401" s="32">
        <v>19</v>
      </c>
      <c r="F2401" s="32" t="s">
        <v>142</v>
      </c>
      <c r="J2401" s="32">
        <v>1</v>
      </c>
      <c r="P2401" s="32">
        <v>350</v>
      </c>
      <c r="R2401" s="32">
        <v>150</v>
      </c>
      <c r="T2401" s="32">
        <v>200</v>
      </c>
    </row>
    <row r="2402" spans="2:20" ht="12.75" hidden="1" x14ac:dyDescent="0.25">
      <c r="B2402" s="32">
        <v>20</v>
      </c>
      <c r="F2402" s="32" t="s">
        <v>75</v>
      </c>
      <c r="J2402" s="32">
        <v>936</v>
      </c>
      <c r="P2402" s="32">
        <v>2340000</v>
      </c>
      <c r="R2402" s="32">
        <v>2340000</v>
      </c>
      <c r="T2402" s="32">
        <v>0</v>
      </c>
    </row>
    <row r="2403" spans="2:20" ht="12.75" hidden="1" x14ac:dyDescent="0.25">
      <c r="B2403" s="32">
        <v>21</v>
      </c>
      <c r="F2403" s="32" t="s">
        <v>192</v>
      </c>
      <c r="J2403" s="32">
        <v>4</v>
      </c>
      <c r="P2403" s="32">
        <v>6200</v>
      </c>
      <c r="R2403" s="32">
        <v>0</v>
      </c>
      <c r="T2403" s="32">
        <v>6200</v>
      </c>
    </row>
    <row r="2404" spans="2:20" ht="12.75" hidden="1" x14ac:dyDescent="0.25">
      <c r="B2404" s="32">
        <v>22</v>
      </c>
      <c r="F2404" s="32" t="s">
        <v>136</v>
      </c>
      <c r="J2404" s="32">
        <v>22</v>
      </c>
      <c r="P2404" s="32">
        <v>18700</v>
      </c>
      <c r="R2404" s="32">
        <v>4290</v>
      </c>
      <c r="T2404" s="32">
        <v>14410</v>
      </c>
    </row>
    <row r="2405" spans="2:20" ht="12.75" hidden="1" x14ac:dyDescent="0.25">
      <c r="B2405" s="32">
        <v>23</v>
      </c>
      <c r="F2405" s="32" t="s">
        <v>74</v>
      </c>
      <c r="J2405" s="32">
        <v>4</v>
      </c>
      <c r="P2405" s="32">
        <v>3400</v>
      </c>
      <c r="R2405" s="32">
        <v>3400</v>
      </c>
      <c r="T2405" s="32">
        <v>0</v>
      </c>
    </row>
    <row r="2406" spans="2:20" ht="12.75" hidden="1" x14ac:dyDescent="0.25">
      <c r="B2406" s="32">
        <v>24</v>
      </c>
      <c r="F2406" s="32" t="s">
        <v>190</v>
      </c>
      <c r="J2406" s="32">
        <v>12</v>
      </c>
      <c r="P2406" s="32">
        <v>18840</v>
      </c>
      <c r="R2406" s="32">
        <v>2880</v>
      </c>
      <c r="T2406" s="32">
        <v>15960</v>
      </c>
    </row>
    <row r="2407" spans="2:20" ht="12.75" hidden="1" x14ac:dyDescent="0.25">
      <c r="B2407" s="32">
        <v>25</v>
      </c>
      <c r="F2407" s="32" t="s">
        <v>135</v>
      </c>
      <c r="J2407" s="32">
        <v>6</v>
      </c>
      <c r="P2407" s="32">
        <v>5700</v>
      </c>
      <c r="R2407" s="32">
        <v>1733</v>
      </c>
      <c r="T2407" s="32">
        <v>3967</v>
      </c>
    </row>
    <row r="2408" spans="2:20" ht="12.75" hidden="1" x14ac:dyDescent="0.25">
      <c r="B2408" s="32">
        <v>26</v>
      </c>
      <c r="F2408" s="32" t="s">
        <v>134</v>
      </c>
      <c r="J2408" s="32">
        <v>4</v>
      </c>
      <c r="P2408" s="32">
        <v>14800</v>
      </c>
      <c r="R2408" s="32">
        <v>3200</v>
      </c>
      <c r="T2408" s="32">
        <v>11600</v>
      </c>
    </row>
    <row r="2409" spans="2:20" ht="12.75" hidden="1" x14ac:dyDescent="0.25">
      <c r="B2409" s="32">
        <v>27</v>
      </c>
      <c r="F2409" s="32" t="s">
        <v>229</v>
      </c>
      <c r="J2409" s="32">
        <v>10</v>
      </c>
      <c r="P2409" s="32">
        <v>70000</v>
      </c>
      <c r="R2409" s="32">
        <v>31000</v>
      </c>
      <c r="T2409" s="32">
        <v>39000</v>
      </c>
    </row>
    <row r="2410" spans="2:20" ht="12.75" hidden="1" x14ac:dyDescent="0.25">
      <c r="B2410" s="32">
        <v>28</v>
      </c>
      <c r="F2410" s="32" t="s">
        <v>132</v>
      </c>
      <c r="J2410" s="32">
        <v>7</v>
      </c>
      <c r="P2410" s="32">
        <v>8680</v>
      </c>
      <c r="R2410" s="32">
        <v>2654</v>
      </c>
      <c r="T2410" s="32">
        <v>6026</v>
      </c>
    </row>
    <row r="2411" spans="2:20" ht="12.75" hidden="1" x14ac:dyDescent="0.25">
      <c r="B2411" s="32">
        <v>29</v>
      </c>
      <c r="F2411" s="32" t="s">
        <v>131</v>
      </c>
      <c r="J2411" s="32">
        <v>6</v>
      </c>
      <c r="P2411" s="32">
        <v>22200</v>
      </c>
      <c r="R2411" s="32">
        <v>4800</v>
      </c>
      <c r="T2411" s="32">
        <v>17400</v>
      </c>
    </row>
    <row r="2412" spans="2:20" ht="12.75" hidden="1" x14ac:dyDescent="0.25">
      <c r="B2412" s="32">
        <v>30</v>
      </c>
      <c r="F2412" s="32" t="s">
        <v>130</v>
      </c>
      <c r="J2412" s="32">
        <v>10</v>
      </c>
      <c r="P2412" s="32">
        <v>80000</v>
      </c>
      <c r="R2412" s="32">
        <v>41000</v>
      </c>
      <c r="T2412" s="32">
        <v>39000</v>
      </c>
    </row>
    <row r="2413" spans="2:20" ht="12.75" hidden="1" x14ac:dyDescent="0.25">
      <c r="B2413" s="32">
        <v>31</v>
      </c>
      <c r="F2413" s="32" t="s">
        <v>127</v>
      </c>
      <c r="J2413" s="32">
        <v>60</v>
      </c>
      <c r="P2413" s="32">
        <v>18000</v>
      </c>
      <c r="R2413" s="32">
        <v>7176</v>
      </c>
      <c r="T2413" s="32">
        <v>10824</v>
      </c>
    </row>
    <row r="2414" spans="2:20" ht="12.75" hidden="1" x14ac:dyDescent="0.25">
      <c r="B2414" s="32">
        <v>32</v>
      </c>
      <c r="F2414" s="32" t="s">
        <v>126</v>
      </c>
      <c r="J2414" s="32">
        <v>55</v>
      </c>
      <c r="P2414" s="32">
        <v>11000</v>
      </c>
      <c r="R2414" s="32">
        <v>4470</v>
      </c>
      <c r="T2414" s="32">
        <v>6530</v>
      </c>
    </row>
    <row r="2415" spans="2:20" ht="12.75" hidden="1" x14ac:dyDescent="0.25">
      <c r="B2415" s="32">
        <v>33</v>
      </c>
      <c r="F2415" s="32" t="s">
        <v>125</v>
      </c>
      <c r="J2415" s="32">
        <v>39</v>
      </c>
      <c r="P2415" s="32">
        <v>15600</v>
      </c>
      <c r="R2415" s="32">
        <v>2280</v>
      </c>
      <c r="T2415" s="32">
        <v>13320</v>
      </c>
    </row>
    <row r="2416" spans="2:20" ht="12.75" hidden="1" x14ac:dyDescent="0.25">
      <c r="B2416" s="32">
        <v>34</v>
      </c>
      <c r="F2416" s="32" t="s">
        <v>124</v>
      </c>
      <c r="J2416" s="32">
        <v>14</v>
      </c>
      <c r="P2416" s="32">
        <v>6360</v>
      </c>
      <c r="R2416" s="32">
        <v>1900</v>
      </c>
      <c r="T2416" s="32">
        <v>4460</v>
      </c>
    </row>
    <row r="2417" spans="2:20" ht="12.75" hidden="1" x14ac:dyDescent="0.25">
      <c r="B2417" s="32">
        <v>35</v>
      </c>
      <c r="F2417" s="32" t="s">
        <v>350</v>
      </c>
      <c r="J2417" s="32">
        <v>1</v>
      </c>
      <c r="P2417" s="32">
        <v>780</v>
      </c>
      <c r="R2417" s="32">
        <v>230</v>
      </c>
      <c r="T2417" s="32">
        <v>550</v>
      </c>
    </row>
    <row r="2418" spans="2:20" ht="12.75" hidden="1" x14ac:dyDescent="0.25">
      <c r="B2418" s="32">
        <v>36</v>
      </c>
      <c r="F2418" s="32" t="s">
        <v>123</v>
      </c>
      <c r="J2418" s="32">
        <v>2</v>
      </c>
      <c r="P2418" s="32">
        <v>1560</v>
      </c>
      <c r="R2418" s="32">
        <v>460</v>
      </c>
      <c r="T2418" s="32">
        <v>1100</v>
      </c>
    </row>
    <row r="2419" spans="2:20" ht="12.75" hidden="1" x14ac:dyDescent="0.25">
      <c r="B2419" s="32">
        <v>37</v>
      </c>
      <c r="F2419" s="32" t="s">
        <v>183</v>
      </c>
      <c r="J2419" s="32">
        <v>1</v>
      </c>
      <c r="P2419" s="32">
        <v>440</v>
      </c>
      <c r="R2419" s="32">
        <v>130</v>
      </c>
      <c r="T2419" s="32">
        <v>310</v>
      </c>
    </row>
    <row r="2420" spans="2:20" ht="12.75" hidden="1" x14ac:dyDescent="0.25">
      <c r="B2420" s="32">
        <v>38</v>
      </c>
      <c r="F2420" s="32" t="s">
        <v>119</v>
      </c>
      <c r="J2420" s="32">
        <v>32</v>
      </c>
      <c r="P2420" s="32">
        <v>28480</v>
      </c>
      <c r="R2420" s="32">
        <v>9180</v>
      </c>
      <c r="T2420" s="32">
        <v>19300</v>
      </c>
    </row>
    <row r="2421" spans="2:20" ht="12.75" hidden="1" x14ac:dyDescent="0.25">
      <c r="B2421" s="32">
        <v>39</v>
      </c>
      <c r="F2421" s="32" t="s">
        <v>118</v>
      </c>
      <c r="J2421" s="32">
        <v>73</v>
      </c>
      <c r="P2421" s="32">
        <v>72270</v>
      </c>
      <c r="R2421" s="32">
        <v>24887</v>
      </c>
      <c r="T2421" s="32">
        <v>47383</v>
      </c>
    </row>
    <row r="2422" spans="2:20" ht="12.75" hidden="1" x14ac:dyDescent="0.25">
      <c r="B2422" s="32">
        <v>40</v>
      </c>
      <c r="F2422" s="32" t="s">
        <v>117</v>
      </c>
      <c r="J2422" s="32">
        <v>1</v>
      </c>
      <c r="P2422" s="32">
        <v>800</v>
      </c>
      <c r="R2422" s="32">
        <v>200</v>
      </c>
      <c r="T2422" s="32">
        <v>600</v>
      </c>
    </row>
    <row r="2423" spans="2:20" ht="12.75" hidden="1" x14ac:dyDescent="0.25">
      <c r="B2423" s="32">
        <v>41</v>
      </c>
      <c r="F2423" s="32" t="s">
        <v>115</v>
      </c>
      <c r="J2423" s="32">
        <v>38</v>
      </c>
      <c r="P2423" s="32">
        <v>11020</v>
      </c>
      <c r="R2423" s="32">
        <v>3449</v>
      </c>
      <c r="T2423" s="32">
        <v>7571</v>
      </c>
    </row>
    <row r="2424" spans="2:20" ht="12.75" hidden="1" x14ac:dyDescent="0.25">
      <c r="B2424" s="32">
        <v>42</v>
      </c>
      <c r="F2424" s="32" t="s">
        <v>225</v>
      </c>
      <c r="J2424" s="32">
        <v>1</v>
      </c>
      <c r="P2424" s="32">
        <v>5000</v>
      </c>
      <c r="R2424" s="32">
        <v>4950</v>
      </c>
      <c r="T2424" s="32">
        <v>50</v>
      </c>
    </row>
    <row r="2425" spans="2:20" ht="12.75" hidden="1" x14ac:dyDescent="0.25">
      <c r="B2425" s="32">
        <v>43</v>
      </c>
      <c r="F2425" s="32" t="s">
        <v>109</v>
      </c>
      <c r="J2425" s="32">
        <v>2</v>
      </c>
      <c r="P2425" s="32">
        <v>1560</v>
      </c>
      <c r="R2425" s="32">
        <v>460</v>
      </c>
      <c r="T2425" s="32">
        <v>1100</v>
      </c>
    </row>
    <row r="2426" spans="2:20" ht="12.75" hidden="1" x14ac:dyDescent="0.25">
      <c r="B2426" s="32">
        <v>44</v>
      </c>
      <c r="F2426" s="32" t="s">
        <v>108</v>
      </c>
      <c r="J2426" s="32">
        <v>113</v>
      </c>
      <c r="P2426" s="32">
        <v>11300</v>
      </c>
      <c r="R2426" s="32">
        <v>210</v>
      </c>
      <c r="T2426" s="32">
        <v>11090</v>
      </c>
    </row>
    <row r="2427" spans="2:20" ht="12.75" hidden="1" x14ac:dyDescent="0.25">
      <c r="B2427" s="32">
        <v>45</v>
      </c>
      <c r="F2427" s="32" t="s">
        <v>107</v>
      </c>
      <c r="J2427" s="32">
        <v>71</v>
      </c>
      <c r="P2427" s="32">
        <v>12070</v>
      </c>
      <c r="R2427" s="32">
        <v>4611</v>
      </c>
      <c r="T2427" s="32">
        <v>7459</v>
      </c>
    </row>
    <row r="2428" spans="2:20" ht="12.75" hidden="1" x14ac:dyDescent="0.25">
      <c r="B2428" s="32">
        <v>46</v>
      </c>
      <c r="F2428" s="32" t="s">
        <v>106</v>
      </c>
      <c r="J2428" s="32">
        <v>497</v>
      </c>
      <c r="P2428" s="32">
        <v>49700</v>
      </c>
      <c r="R2428" s="32">
        <v>570</v>
      </c>
      <c r="T2428" s="32">
        <v>49130</v>
      </c>
    </row>
    <row r="2429" spans="2:20" ht="12.75" hidden="1" x14ac:dyDescent="0.25">
      <c r="B2429" s="32">
        <v>47</v>
      </c>
      <c r="F2429" s="32" t="s">
        <v>105</v>
      </c>
      <c r="J2429" s="32">
        <v>3</v>
      </c>
      <c r="P2429" s="32">
        <v>3450</v>
      </c>
      <c r="R2429" s="32">
        <v>0</v>
      </c>
      <c r="T2429" s="32">
        <v>3450</v>
      </c>
    </row>
    <row r="2430" spans="2:20" ht="12.75" hidden="1" x14ac:dyDescent="0.25">
      <c r="B2430" s="32">
        <v>48</v>
      </c>
      <c r="F2430" s="32" t="s">
        <v>397</v>
      </c>
      <c r="J2430" s="32">
        <v>1</v>
      </c>
      <c r="P2430" s="32">
        <v>1150</v>
      </c>
      <c r="R2430" s="32">
        <v>0</v>
      </c>
      <c r="T2430" s="32">
        <v>1150</v>
      </c>
    </row>
    <row r="2431" spans="2:20" ht="12.75" hidden="1" x14ac:dyDescent="0.25">
      <c r="B2431" s="32">
        <v>49</v>
      </c>
      <c r="F2431" s="32" t="s">
        <v>214</v>
      </c>
      <c r="J2431" s="32">
        <v>2</v>
      </c>
      <c r="P2431" s="32">
        <v>1980</v>
      </c>
      <c r="R2431" s="32">
        <v>300</v>
      </c>
      <c r="T2431" s="32">
        <v>1680</v>
      </c>
    </row>
    <row r="2432" spans="2:20" ht="12.75" hidden="1" x14ac:dyDescent="0.25">
      <c r="B2432" s="32">
        <v>50</v>
      </c>
      <c r="F2432" s="32" t="s">
        <v>103</v>
      </c>
      <c r="J2432" s="32">
        <v>17</v>
      </c>
      <c r="P2432" s="32">
        <v>5610</v>
      </c>
      <c r="R2432" s="32">
        <v>2200</v>
      </c>
      <c r="T2432" s="32">
        <v>3410</v>
      </c>
    </row>
    <row r="2433" spans="2:20" ht="12.75" hidden="1" x14ac:dyDescent="0.25">
      <c r="B2433" s="32">
        <v>51</v>
      </c>
      <c r="F2433" s="32" t="s">
        <v>102</v>
      </c>
      <c r="J2433" s="32">
        <v>1</v>
      </c>
      <c r="P2433" s="32">
        <v>880</v>
      </c>
      <c r="R2433" s="32">
        <v>130</v>
      </c>
      <c r="T2433" s="32">
        <v>750</v>
      </c>
    </row>
    <row r="2434" spans="2:20" ht="12.75" hidden="1" x14ac:dyDescent="0.25">
      <c r="B2434" s="32">
        <v>52</v>
      </c>
      <c r="F2434" s="32" t="s">
        <v>100</v>
      </c>
      <c r="J2434" s="32">
        <v>5</v>
      </c>
      <c r="P2434" s="32">
        <v>900</v>
      </c>
      <c r="R2434" s="32">
        <v>200</v>
      </c>
      <c r="T2434" s="32">
        <v>700</v>
      </c>
    </row>
    <row r="2435" spans="2:20" ht="12.75" hidden="1" x14ac:dyDescent="0.25">
      <c r="B2435" s="32">
        <v>53</v>
      </c>
      <c r="F2435" s="32" t="s">
        <v>178</v>
      </c>
      <c r="J2435" s="32">
        <v>1</v>
      </c>
      <c r="P2435" s="32">
        <v>1650</v>
      </c>
      <c r="R2435" s="32">
        <v>0</v>
      </c>
      <c r="T2435" s="32">
        <v>1650</v>
      </c>
    </row>
    <row r="2436" spans="2:20" ht="12.75" hidden="1" x14ac:dyDescent="0.25">
      <c r="B2436" s="32">
        <v>54</v>
      </c>
      <c r="F2436" s="32" t="s">
        <v>97</v>
      </c>
      <c r="J2436" s="32">
        <v>1</v>
      </c>
      <c r="P2436" s="32">
        <v>1590</v>
      </c>
      <c r="R2436" s="32">
        <v>240</v>
      </c>
      <c r="T2436" s="32">
        <v>1350</v>
      </c>
    </row>
    <row r="2437" spans="2:20" ht="12.75" hidden="1" x14ac:dyDescent="0.25">
      <c r="B2437" s="32">
        <v>55</v>
      </c>
      <c r="F2437" s="32" t="s">
        <v>96</v>
      </c>
      <c r="J2437" s="32">
        <v>1</v>
      </c>
      <c r="P2437" s="32">
        <v>440</v>
      </c>
      <c r="R2437" s="32">
        <v>130</v>
      </c>
      <c r="T2437" s="32">
        <v>310</v>
      </c>
    </row>
    <row r="2438" spans="2:20" ht="12.75" hidden="1" x14ac:dyDescent="0.25">
      <c r="B2438" s="32">
        <v>56</v>
      </c>
      <c r="F2438" s="32" t="s">
        <v>95</v>
      </c>
      <c r="J2438" s="32">
        <v>1</v>
      </c>
      <c r="P2438" s="32">
        <v>290</v>
      </c>
      <c r="R2438" s="32">
        <v>186</v>
      </c>
      <c r="T2438" s="32">
        <v>344</v>
      </c>
    </row>
    <row r="2439" spans="2:20" ht="12.75" hidden="1" x14ac:dyDescent="0.25">
      <c r="B2439" s="32">
        <v>57</v>
      </c>
      <c r="F2439" s="32" t="s">
        <v>93</v>
      </c>
      <c r="J2439" s="32">
        <v>3</v>
      </c>
      <c r="P2439" s="32">
        <v>1770</v>
      </c>
      <c r="R2439" s="32">
        <v>270</v>
      </c>
      <c r="T2439" s="32">
        <v>1500</v>
      </c>
    </row>
    <row r="2440" spans="2:20" ht="12.75" hidden="1" x14ac:dyDescent="0.25">
      <c r="B2440" s="32">
        <v>58</v>
      </c>
      <c r="F2440" s="32" t="s">
        <v>92</v>
      </c>
      <c r="J2440" s="32">
        <v>126</v>
      </c>
      <c r="P2440" s="32">
        <v>61280</v>
      </c>
      <c r="R2440" s="32">
        <v>17400</v>
      </c>
      <c r="T2440" s="32">
        <v>43880</v>
      </c>
    </row>
    <row r="2441" spans="2:20" ht="12.75" hidden="1" x14ac:dyDescent="0.25">
      <c r="B2441" s="32">
        <v>59</v>
      </c>
      <c r="F2441" s="32" t="s">
        <v>91</v>
      </c>
      <c r="J2441" s="32">
        <v>31</v>
      </c>
      <c r="P2441" s="32">
        <v>7750</v>
      </c>
      <c r="R2441" s="32">
        <v>2185</v>
      </c>
      <c r="T2441" s="32">
        <v>5565</v>
      </c>
    </row>
    <row r="2442" spans="2:20" ht="12.75" hidden="1" x14ac:dyDescent="0.25">
      <c r="B2442" s="32">
        <v>60</v>
      </c>
      <c r="F2442" s="32" t="s">
        <v>90</v>
      </c>
      <c r="J2442" s="32">
        <v>25</v>
      </c>
      <c r="P2442" s="32">
        <v>7250</v>
      </c>
      <c r="R2442" s="32">
        <v>2000</v>
      </c>
      <c r="T2442" s="32">
        <v>5250</v>
      </c>
    </row>
    <row r="2443" spans="2:20" ht="12.75" hidden="1" x14ac:dyDescent="0.25">
      <c r="B2443" s="32">
        <v>61</v>
      </c>
      <c r="F2443" s="32" t="s">
        <v>89</v>
      </c>
      <c r="J2443" s="32">
        <v>2</v>
      </c>
      <c r="P2443" s="32">
        <v>1760</v>
      </c>
      <c r="R2443" s="32">
        <v>260</v>
      </c>
      <c r="T2443" s="32">
        <v>1500</v>
      </c>
    </row>
    <row r="2444" spans="2:20" ht="12.75" hidden="1" x14ac:dyDescent="0.25">
      <c r="B2444" s="32">
        <v>62</v>
      </c>
      <c r="F2444" s="32" t="s">
        <v>88</v>
      </c>
      <c r="J2444" s="32">
        <v>99</v>
      </c>
      <c r="P2444" s="32">
        <v>17820</v>
      </c>
      <c r="R2444" s="32">
        <v>6571</v>
      </c>
      <c r="T2444" s="32">
        <v>11249</v>
      </c>
    </row>
    <row r="2445" spans="2:20" ht="12.75" hidden="1" x14ac:dyDescent="0.25">
      <c r="B2445" s="32">
        <v>63</v>
      </c>
      <c r="F2445" s="32" t="s">
        <v>396</v>
      </c>
      <c r="J2445" s="32">
        <v>1</v>
      </c>
      <c r="P2445" s="32">
        <v>390</v>
      </c>
      <c r="R2445" s="32">
        <v>0</v>
      </c>
      <c r="T2445" s="32">
        <v>390</v>
      </c>
    </row>
    <row r="2446" spans="2:20" ht="12.75" hidden="1" x14ac:dyDescent="0.25">
      <c r="B2446" s="32">
        <v>64</v>
      </c>
      <c r="F2446" s="32" t="s">
        <v>395</v>
      </c>
      <c r="J2446" s="32">
        <v>1</v>
      </c>
      <c r="P2446" s="32">
        <v>390</v>
      </c>
      <c r="R2446" s="32">
        <v>0</v>
      </c>
      <c r="T2446" s="32">
        <v>390</v>
      </c>
    </row>
    <row r="2447" spans="2:20" ht="12.75" hidden="1" x14ac:dyDescent="0.25">
      <c r="B2447" s="32">
        <v>65</v>
      </c>
      <c r="F2447" s="32" t="s">
        <v>85</v>
      </c>
      <c r="J2447" s="32">
        <v>6</v>
      </c>
      <c r="P2447" s="32">
        <v>12480</v>
      </c>
      <c r="R2447" s="32">
        <v>1860</v>
      </c>
      <c r="T2447" s="32">
        <v>10620</v>
      </c>
    </row>
    <row r="2448" spans="2:20" ht="12.75" hidden="1" x14ac:dyDescent="0.25">
      <c r="B2448" s="32">
        <v>66</v>
      </c>
      <c r="F2448" s="32" t="s">
        <v>84</v>
      </c>
      <c r="J2448" s="32">
        <v>24</v>
      </c>
      <c r="P2448" s="32">
        <v>14160</v>
      </c>
      <c r="R2448" s="32">
        <v>4320</v>
      </c>
      <c r="T2448" s="32">
        <v>9840</v>
      </c>
    </row>
    <row r="2449" spans="1:20" ht="12.75" hidden="1" x14ac:dyDescent="0.25">
      <c r="B2449" s="32">
        <v>67</v>
      </c>
      <c r="F2449" s="32" t="s">
        <v>272</v>
      </c>
      <c r="J2449" s="32">
        <v>1</v>
      </c>
      <c r="P2449" s="32">
        <v>500</v>
      </c>
      <c r="R2449" s="32">
        <v>150</v>
      </c>
      <c r="T2449" s="32">
        <v>350</v>
      </c>
    </row>
    <row r="2450" spans="1:20" ht="12.75" hidden="1" x14ac:dyDescent="0.25">
      <c r="B2450" s="32">
        <v>68</v>
      </c>
      <c r="F2450" s="32" t="s">
        <v>81</v>
      </c>
      <c r="J2450" s="32">
        <v>4</v>
      </c>
      <c r="P2450" s="32">
        <v>1160</v>
      </c>
      <c r="R2450" s="32">
        <v>950</v>
      </c>
      <c r="T2450" s="32">
        <v>210</v>
      </c>
    </row>
    <row r="2451" spans="1:20" ht="12.75" hidden="1" x14ac:dyDescent="0.25">
      <c r="A2451" s="32" t="s">
        <v>394</v>
      </c>
      <c r="K2451" s="32">
        <v>5645</v>
      </c>
      <c r="P2451" s="32">
        <v>5406640</v>
      </c>
      <c r="R2451" s="32">
        <v>4281903</v>
      </c>
      <c r="T2451" s="32">
        <v>1124737</v>
      </c>
    </row>
    <row r="2452" spans="1:20" ht="12.75" hidden="1" x14ac:dyDescent="0.25">
      <c r="B2452" s="32">
        <v>1</v>
      </c>
      <c r="F2452" s="32" t="s">
        <v>168</v>
      </c>
      <c r="J2452" s="32">
        <v>1</v>
      </c>
      <c r="P2452" s="32">
        <v>2200</v>
      </c>
      <c r="R2452" s="32">
        <v>330</v>
      </c>
      <c r="T2452" s="32">
        <v>1870</v>
      </c>
    </row>
    <row r="2453" spans="1:20" ht="12.75" hidden="1" x14ac:dyDescent="0.25">
      <c r="B2453" s="32">
        <v>2</v>
      </c>
      <c r="F2453" s="32" t="s">
        <v>78</v>
      </c>
      <c r="J2453" s="32">
        <v>240</v>
      </c>
      <c r="P2453" s="32">
        <v>69600</v>
      </c>
      <c r="R2453" s="32">
        <v>69600</v>
      </c>
      <c r="T2453" s="32">
        <v>0</v>
      </c>
    </row>
    <row r="2454" spans="1:20" ht="12.75" hidden="1" x14ac:dyDescent="0.25">
      <c r="B2454" s="32">
        <v>3</v>
      </c>
      <c r="F2454" s="32" t="s">
        <v>393</v>
      </c>
      <c r="J2454" s="32">
        <v>1</v>
      </c>
      <c r="P2454" s="32">
        <v>1400</v>
      </c>
      <c r="R2454" s="32">
        <v>0</v>
      </c>
      <c r="T2454" s="32">
        <v>1400</v>
      </c>
    </row>
    <row r="2455" spans="1:20" ht="12.75" hidden="1" x14ac:dyDescent="0.25">
      <c r="B2455" s="32">
        <v>4</v>
      </c>
      <c r="F2455" s="32" t="s">
        <v>248</v>
      </c>
      <c r="J2455" s="32">
        <v>1</v>
      </c>
      <c r="P2455" s="32">
        <v>1200</v>
      </c>
      <c r="R2455" s="32">
        <v>0</v>
      </c>
      <c r="T2455" s="32">
        <v>1200</v>
      </c>
    </row>
    <row r="2456" spans="1:20" ht="12.75" hidden="1" x14ac:dyDescent="0.25">
      <c r="B2456" s="32">
        <v>5</v>
      </c>
      <c r="F2456" s="32" t="s">
        <v>165</v>
      </c>
      <c r="J2456" s="32">
        <v>1</v>
      </c>
      <c r="P2456" s="32">
        <v>590</v>
      </c>
      <c r="R2456" s="32">
        <v>0</v>
      </c>
      <c r="T2456" s="32">
        <v>590</v>
      </c>
    </row>
    <row r="2457" spans="1:20" ht="12.75" hidden="1" x14ac:dyDescent="0.25">
      <c r="B2457" s="32">
        <v>6</v>
      </c>
      <c r="F2457" s="32" t="s">
        <v>163</v>
      </c>
      <c r="J2457" s="32">
        <v>42</v>
      </c>
      <c r="P2457" s="32">
        <v>49980</v>
      </c>
      <c r="R2457" s="32">
        <v>2160</v>
      </c>
      <c r="T2457" s="32">
        <v>47820</v>
      </c>
    </row>
    <row r="2458" spans="1:20" ht="12.75" hidden="1" x14ac:dyDescent="0.25">
      <c r="B2458" s="32">
        <v>7</v>
      </c>
      <c r="F2458" s="32" t="s">
        <v>162</v>
      </c>
      <c r="J2458" s="32">
        <v>30</v>
      </c>
      <c r="P2458" s="32">
        <v>12900</v>
      </c>
      <c r="R2458" s="32">
        <v>5399</v>
      </c>
      <c r="T2458" s="32">
        <v>7501</v>
      </c>
    </row>
    <row r="2459" spans="1:20" ht="12.75" hidden="1" x14ac:dyDescent="0.25">
      <c r="B2459" s="32">
        <v>8</v>
      </c>
      <c r="F2459" s="32" t="s">
        <v>160</v>
      </c>
      <c r="J2459" s="32">
        <v>9</v>
      </c>
      <c r="P2459" s="32">
        <v>2610</v>
      </c>
      <c r="R2459" s="32">
        <v>560</v>
      </c>
      <c r="T2459" s="32">
        <v>2050</v>
      </c>
    </row>
    <row r="2460" spans="1:20" ht="12.75" hidden="1" x14ac:dyDescent="0.25">
      <c r="B2460" s="32">
        <v>9</v>
      </c>
      <c r="F2460" s="32" t="s">
        <v>159</v>
      </c>
      <c r="J2460" s="32">
        <v>24</v>
      </c>
      <c r="P2460" s="32">
        <v>0</v>
      </c>
      <c r="R2460" s="32">
        <v>0</v>
      </c>
      <c r="T2460" s="32">
        <v>0</v>
      </c>
    </row>
    <row r="2461" spans="1:20" ht="12.75" hidden="1" x14ac:dyDescent="0.25">
      <c r="B2461" s="32">
        <v>10</v>
      </c>
      <c r="F2461" s="32" t="s">
        <v>158</v>
      </c>
      <c r="J2461" s="32">
        <v>188</v>
      </c>
      <c r="P2461" s="32">
        <v>103400</v>
      </c>
      <c r="R2461" s="32">
        <v>19500</v>
      </c>
      <c r="T2461" s="32">
        <v>83900</v>
      </c>
    </row>
    <row r="2462" spans="1:20" ht="12.75" hidden="1" x14ac:dyDescent="0.25">
      <c r="B2462" s="32">
        <v>11</v>
      </c>
      <c r="F2462" s="32" t="s">
        <v>157</v>
      </c>
      <c r="J2462" s="32">
        <v>333</v>
      </c>
      <c r="P2462" s="32">
        <v>163170</v>
      </c>
      <c r="R2462" s="32">
        <v>41556</v>
      </c>
      <c r="T2462" s="32">
        <v>121614</v>
      </c>
    </row>
    <row r="2463" spans="1:20" ht="12.75" hidden="1" x14ac:dyDescent="0.25">
      <c r="B2463" s="32">
        <v>12</v>
      </c>
      <c r="F2463" s="32" t="s">
        <v>197</v>
      </c>
      <c r="J2463" s="32">
        <v>1</v>
      </c>
      <c r="P2463" s="32">
        <v>500</v>
      </c>
      <c r="R2463" s="32">
        <v>150</v>
      </c>
      <c r="T2463" s="32">
        <v>350</v>
      </c>
    </row>
    <row r="2464" spans="1:20" ht="12.75" hidden="1" x14ac:dyDescent="0.25">
      <c r="B2464" s="32">
        <v>13</v>
      </c>
      <c r="F2464" s="32" t="s">
        <v>293</v>
      </c>
      <c r="J2464" s="32">
        <v>2</v>
      </c>
      <c r="P2464" s="32">
        <v>1400</v>
      </c>
      <c r="R2464" s="32">
        <v>360</v>
      </c>
      <c r="T2464" s="32">
        <v>1040</v>
      </c>
    </row>
    <row r="2465" spans="2:20" ht="12.75" hidden="1" x14ac:dyDescent="0.25">
      <c r="B2465" s="32">
        <v>14</v>
      </c>
      <c r="F2465" s="32" t="s">
        <v>196</v>
      </c>
      <c r="J2465" s="32">
        <v>2</v>
      </c>
      <c r="P2465" s="32">
        <v>1400</v>
      </c>
      <c r="R2465" s="32">
        <v>0</v>
      </c>
      <c r="T2465" s="32">
        <v>1400</v>
      </c>
    </row>
    <row r="2466" spans="2:20" ht="12.75" hidden="1" x14ac:dyDescent="0.25">
      <c r="B2466" s="32">
        <v>15</v>
      </c>
      <c r="F2466" s="32" t="s">
        <v>77</v>
      </c>
      <c r="J2466" s="32">
        <v>1257</v>
      </c>
      <c r="P2466" s="32">
        <v>507900</v>
      </c>
      <c r="R2466" s="32">
        <v>507900</v>
      </c>
      <c r="T2466" s="32">
        <v>0</v>
      </c>
    </row>
    <row r="2467" spans="2:20" ht="12.75" hidden="1" x14ac:dyDescent="0.25">
      <c r="B2467" s="32">
        <v>16</v>
      </c>
      <c r="F2467" s="32" t="s">
        <v>76</v>
      </c>
      <c r="J2467" s="32">
        <v>3</v>
      </c>
      <c r="P2467" s="32">
        <v>1800</v>
      </c>
      <c r="R2467" s="32">
        <v>1800</v>
      </c>
      <c r="T2467" s="32">
        <v>0</v>
      </c>
    </row>
    <row r="2468" spans="2:20" ht="12.75" hidden="1" x14ac:dyDescent="0.25">
      <c r="B2468" s="32">
        <v>17</v>
      </c>
      <c r="F2468" s="32" t="s">
        <v>156</v>
      </c>
      <c r="J2468" s="32">
        <v>21</v>
      </c>
      <c r="P2468" s="32">
        <v>3990</v>
      </c>
      <c r="R2468" s="32">
        <v>280</v>
      </c>
      <c r="T2468" s="32">
        <v>3710</v>
      </c>
    </row>
    <row r="2469" spans="2:20" ht="12.75" hidden="1" x14ac:dyDescent="0.25">
      <c r="B2469" s="32">
        <v>18</v>
      </c>
      <c r="F2469" s="32" t="s">
        <v>155</v>
      </c>
      <c r="J2469" s="32">
        <v>129</v>
      </c>
      <c r="P2469" s="32">
        <v>32250</v>
      </c>
      <c r="R2469" s="32">
        <v>7140</v>
      </c>
      <c r="T2469" s="32">
        <v>25110</v>
      </c>
    </row>
    <row r="2470" spans="2:20" ht="12.75" hidden="1" x14ac:dyDescent="0.25">
      <c r="B2470" s="32">
        <v>19</v>
      </c>
      <c r="F2470" s="32" t="s">
        <v>154</v>
      </c>
      <c r="J2470" s="32">
        <v>4</v>
      </c>
      <c r="P2470" s="32">
        <v>3560</v>
      </c>
      <c r="R2470" s="32">
        <v>260</v>
      </c>
      <c r="T2470" s="32">
        <v>3300</v>
      </c>
    </row>
    <row r="2471" spans="2:20" ht="12.75" hidden="1" x14ac:dyDescent="0.25">
      <c r="B2471" s="32">
        <v>20</v>
      </c>
      <c r="F2471" s="32" t="s">
        <v>153</v>
      </c>
      <c r="J2471" s="32">
        <v>13</v>
      </c>
      <c r="P2471" s="32">
        <v>15340</v>
      </c>
      <c r="R2471" s="32">
        <v>360</v>
      </c>
      <c r="T2471" s="32">
        <v>14980</v>
      </c>
    </row>
    <row r="2472" spans="2:20" ht="12.75" hidden="1" x14ac:dyDescent="0.25">
      <c r="B2472" s="32">
        <v>21</v>
      </c>
      <c r="F2472" s="32" t="s">
        <v>322</v>
      </c>
      <c r="J2472" s="32">
        <v>1</v>
      </c>
      <c r="P2472" s="32">
        <v>1180</v>
      </c>
      <c r="R2472" s="32">
        <v>180</v>
      </c>
      <c r="T2472" s="32">
        <v>1000</v>
      </c>
    </row>
    <row r="2473" spans="2:20" ht="12.75" hidden="1" x14ac:dyDescent="0.25">
      <c r="B2473" s="32">
        <v>22</v>
      </c>
      <c r="F2473" s="32" t="s">
        <v>194</v>
      </c>
      <c r="J2473" s="32">
        <v>1</v>
      </c>
      <c r="P2473" s="32">
        <v>700</v>
      </c>
      <c r="R2473" s="32">
        <v>180</v>
      </c>
      <c r="T2473" s="32">
        <v>520</v>
      </c>
    </row>
    <row r="2474" spans="2:20" ht="12.75" hidden="1" x14ac:dyDescent="0.25">
      <c r="B2474" s="32">
        <v>23</v>
      </c>
      <c r="F2474" s="32" t="s">
        <v>152</v>
      </c>
      <c r="J2474" s="32">
        <v>27</v>
      </c>
      <c r="P2474" s="32">
        <v>15930</v>
      </c>
      <c r="R2474" s="32">
        <v>2340</v>
      </c>
      <c r="T2474" s="32">
        <v>13590</v>
      </c>
    </row>
    <row r="2475" spans="2:20" ht="12.75" hidden="1" x14ac:dyDescent="0.25">
      <c r="B2475" s="32">
        <v>24</v>
      </c>
      <c r="F2475" s="32" t="s">
        <v>151</v>
      </c>
      <c r="J2475" s="32">
        <v>15</v>
      </c>
      <c r="P2475" s="32">
        <v>3450</v>
      </c>
      <c r="R2475" s="32">
        <v>791</v>
      </c>
      <c r="T2475" s="32">
        <v>2659</v>
      </c>
    </row>
    <row r="2476" spans="2:20" ht="12.75" hidden="1" x14ac:dyDescent="0.25">
      <c r="B2476" s="32">
        <v>25</v>
      </c>
      <c r="F2476" s="32" t="s">
        <v>150</v>
      </c>
      <c r="J2476" s="32">
        <v>53</v>
      </c>
      <c r="P2476" s="32">
        <v>9010</v>
      </c>
      <c r="R2476" s="32">
        <v>1200</v>
      </c>
      <c r="T2476" s="32">
        <v>7810</v>
      </c>
    </row>
    <row r="2477" spans="2:20" ht="12.75" hidden="1" x14ac:dyDescent="0.25">
      <c r="B2477" s="32">
        <v>26</v>
      </c>
      <c r="F2477" s="32" t="s">
        <v>149</v>
      </c>
      <c r="J2477" s="32">
        <v>11</v>
      </c>
      <c r="P2477" s="32">
        <v>550</v>
      </c>
      <c r="R2477" s="32">
        <v>0</v>
      </c>
      <c r="T2477" s="32">
        <v>550</v>
      </c>
    </row>
    <row r="2478" spans="2:20" ht="12.75" hidden="1" x14ac:dyDescent="0.25">
      <c r="B2478" s="32">
        <v>27</v>
      </c>
      <c r="F2478" s="32" t="s">
        <v>147</v>
      </c>
      <c r="J2478" s="32">
        <v>11</v>
      </c>
      <c r="P2478" s="32">
        <v>330</v>
      </c>
      <c r="R2478" s="32">
        <v>0</v>
      </c>
      <c r="T2478" s="32">
        <v>330</v>
      </c>
    </row>
    <row r="2479" spans="2:20" ht="12.75" hidden="1" x14ac:dyDescent="0.25">
      <c r="B2479" s="32">
        <v>28</v>
      </c>
      <c r="F2479" s="32" t="s">
        <v>146</v>
      </c>
      <c r="J2479" s="32">
        <v>9</v>
      </c>
      <c r="P2479" s="32">
        <v>450</v>
      </c>
      <c r="R2479" s="32">
        <v>0</v>
      </c>
      <c r="T2479" s="32">
        <v>450</v>
      </c>
    </row>
    <row r="2480" spans="2:20" ht="12.75" hidden="1" x14ac:dyDescent="0.25">
      <c r="B2480" s="32">
        <v>29</v>
      </c>
      <c r="F2480" s="32" t="s">
        <v>144</v>
      </c>
      <c r="J2480" s="32">
        <v>8</v>
      </c>
      <c r="P2480" s="32">
        <v>2400</v>
      </c>
      <c r="R2480" s="32">
        <v>0</v>
      </c>
      <c r="T2480" s="32">
        <v>2400</v>
      </c>
    </row>
    <row r="2481" spans="2:20" ht="12.75" hidden="1" x14ac:dyDescent="0.25">
      <c r="B2481" s="32">
        <v>30</v>
      </c>
      <c r="F2481" s="32" t="s">
        <v>233</v>
      </c>
      <c r="J2481" s="32">
        <v>1</v>
      </c>
      <c r="P2481" s="32">
        <v>980</v>
      </c>
      <c r="R2481" s="32">
        <v>150</v>
      </c>
      <c r="T2481" s="32">
        <v>830</v>
      </c>
    </row>
    <row r="2482" spans="2:20" ht="12.75" hidden="1" x14ac:dyDescent="0.25">
      <c r="B2482" s="32">
        <v>31</v>
      </c>
      <c r="F2482" s="32" t="s">
        <v>232</v>
      </c>
      <c r="J2482" s="32">
        <v>4</v>
      </c>
      <c r="P2482" s="32">
        <v>3920</v>
      </c>
      <c r="R2482" s="32">
        <v>450</v>
      </c>
      <c r="T2482" s="32">
        <v>3470</v>
      </c>
    </row>
    <row r="2483" spans="2:20" ht="12.75" hidden="1" x14ac:dyDescent="0.25">
      <c r="B2483" s="32">
        <v>32</v>
      </c>
      <c r="F2483" s="32" t="s">
        <v>193</v>
      </c>
      <c r="J2483" s="32">
        <v>3</v>
      </c>
      <c r="P2483" s="32">
        <v>2670</v>
      </c>
      <c r="R2483" s="32">
        <v>130</v>
      </c>
      <c r="T2483" s="32">
        <v>2540</v>
      </c>
    </row>
    <row r="2484" spans="2:20" ht="12.75" hidden="1" x14ac:dyDescent="0.25">
      <c r="B2484" s="32">
        <v>33</v>
      </c>
      <c r="F2484" s="32" t="s">
        <v>75</v>
      </c>
      <c r="J2484" s="32">
        <v>1364</v>
      </c>
      <c r="P2484" s="32">
        <v>3410000</v>
      </c>
      <c r="R2484" s="32">
        <v>3410000</v>
      </c>
      <c r="T2484" s="32">
        <v>0</v>
      </c>
    </row>
    <row r="2485" spans="2:20" ht="12.75" hidden="1" x14ac:dyDescent="0.25">
      <c r="B2485" s="32">
        <v>34</v>
      </c>
      <c r="F2485" s="32" t="s">
        <v>139</v>
      </c>
      <c r="J2485" s="32">
        <v>6</v>
      </c>
      <c r="P2485" s="32">
        <v>1620</v>
      </c>
      <c r="R2485" s="32">
        <v>160</v>
      </c>
      <c r="T2485" s="32">
        <v>1460</v>
      </c>
    </row>
    <row r="2486" spans="2:20" ht="12.75" hidden="1" x14ac:dyDescent="0.25">
      <c r="B2486" s="32">
        <v>35</v>
      </c>
      <c r="F2486" s="32" t="s">
        <v>136</v>
      </c>
      <c r="J2486" s="32">
        <v>37</v>
      </c>
      <c r="P2486" s="32">
        <v>31450</v>
      </c>
      <c r="R2486" s="32">
        <v>4290</v>
      </c>
      <c r="T2486" s="32">
        <v>27160</v>
      </c>
    </row>
    <row r="2487" spans="2:20" ht="12.75" hidden="1" x14ac:dyDescent="0.25">
      <c r="B2487" s="32">
        <v>36</v>
      </c>
      <c r="F2487" s="32" t="s">
        <v>74</v>
      </c>
      <c r="J2487" s="32">
        <v>92</v>
      </c>
      <c r="P2487" s="32">
        <v>78200</v>
      </c>
      <c r="R2487" s="32">
        <v>78200</v>
      </c>
      <c r="T2487" s="32">
        <v>0</v>
      </c>
    </row>
    <row r="2488" spans="2:20" ht="12.75" hidden="1" x14ac:dyDescent="0.25">
      <c r="B2488" s="32">
        <v>37</v>
      </c>
      <c r="F2488" s="32" t="s">
        <v>190</v>
      </c>
      <c r="J2488" s="32">
        <v>15</v>
      </c>
      <c r="P2488" s="32">
        <v>23550</v>
      </c>
      <c r="R2488" s="32">
        <v>2160</v>
      </c>
      <c r="T2488" s="32">
        <v>21390</v>
      </c>
    </row>
    <row r="2489" spans="2:20" ht="12.75" hidden="1" x14ac:dyDescent="0.25">
      <c r="B2489" s="32">
        <v>38</v>
      </c>
      <c r="F2489" s="32" t="s">
        <v>135</v>
      </c>
      <c r="J2489" s="32">
        <v>2</v>
      </c>
      <c r="P2489" s="32">
        <v>1900</v>
      </c>
      <c r="R2489" s="32">
        <v>280</v>
      </c>
      <c r="T2489" s="32">
        <v>1620</v>
      </c>
    </row>
    <row r="2490" spans="2:20" ht="12.75" hidden="1" x14ac:dyDescent="0.25">
      <c r="B2490" s="32">
        <v>39</v>
      </c>
      <c r="F2490" s="32" t="s">
        <v>132</v>
      </c>
      <c r="J2490" s="32">
        <v>1</v>
      </c>
      <c r="P2490" s="32">
        <v>1240</v>
      </c>
      <c r="R2490" s="32">
        <v>0</v>
      </c>
      <c r="T2490" s="32">
        <v>1240</v>
      </c>
    </row>
    <row r="2491" spans="2:20" ht="12.75" hidden="1" x14ac:dyDescent="0.25">
      <c r="B2491" s="32">
        <v>40</v>
      </c>
      <c r="F2491" s="32" t="s">
        <v>392</v>
      </c>
      <c r="J2491" s="32">
        <v>1</v>
      </c>
      <c r="P2491" s="32">
        <v>9000</v>
      </c>
      <c r="R2491" s="32">
        <v>0</v>
      </c>
      <c r="T2491" s="32">
        <v>9000</v>
      </c>
    </row>
    <row r="2492" spans="2:20" ht="12.75" hidden="1" x14ac:dyDescent="0.25">
      <c r="B2492" s="32">
        <v>41</v>
      </c>
      <c r="F2492" s="32" t="s">
        <v>131</v>
      </c>
      <c r="J2492" s="32">
        <v>1</v>
      </c>
      <c r="P2492" s="32">
        <v>3700</v>
      </c>
      <c r="R2492" s="32">
        <v>800</v>
      </c>
      <c r="T2492" s="32">
        <v>2900</v>
      </c>
    </row>
    <row r="2493" spans="2:20" ht="12.75" hidden="1" x14ac:dyDescent="0.25">
      <c r="B2493" s="32">
        <v>42</v>
      </c>
      <c r="F2493" s="32" t="s">
        <v>130</v>
      </c>
      <c r="J2493" s="32">
        <v>2</v>
      </c>
      <c r="P2493" s="32">
        <v>16000</v>
      </c>
      <c r="R2493" s="32">
        <v>8200</v>
      </c>
      <c r="T2493" s="32">
        <v>7800</v>
      </c>
    </row>
    <row r="2494" spans="2:20" ht="12.75" hidden="1" x14ac:dyDescent="0.25">
      <c r="B2494" s="32">
        <v>43</v>
      </c>
      <c r="F2494" s="32" t="s">
        <v>127</v>
      </c>
      <c r="J2494" s="32">
        <v>75</v>
      </c>
      <c r="P2494" s="32">
        <v>22500</v>
      </c>
      <c r="R2494" s="32">
        <v>5877</v>
      </c>
      <c r="T2494" s="32">
        <v>16623</v>
      </c>
    </row>
    <row r="2495" spans="2:20" ht="12.75" hidden="1" x14ac:dyDescent="0.25">
      <c r="B2495" s="32">
        <v>44</v>
      </c>
      <c r="F2495" s="32" t="s">
        <v>126</v>
      </c>
      <c r="J2495" s="32">
        <v>70</v>
      </c>
      <c r="P2495" s="32">
        <v>14000</v>
      </c>
      <c r="R2495" s="32">
        <v>3669</v>
      </c>
      <c r="T2495" s="32">
        <v>10331</v>
      </c>
    </row>
    <row r="2496" spans="2:20" ht="12.75" hidden="1" x14ac:dyDescent="0.25">
      <c r="B2496" s="32">
        <v>45</v>
      </c>
      <c r="F2496" s="32" t="s">
        <v>124</v>
      </c>
      <c r="J2496" s="32">
        <v>46</v>
      </c>
      <c r="P2496" s="32">
        <v>30940</v>
      </c>
      <c r="R2496" s="32">
        <v>3580</v>
      </c>
      <c r="T2496" s="32">
        <v>27360</v>
      </c>
    </row>
    <row r="2497" spans="2:20" ht="12.75" hidden="1" x14ac:dyDescent="0.25">
      <c r="B2497" s="32">
        <v>46</v>
      </c>
      <c r="F2497" s="32" t="s">
        <v>123</v>
      </c>
      <c r="J2497" s="32">
        <v>48</v>
      </c>
      <c r="P2497" s="32">
        <v>37440</v>
      </c>
      <c r="R2497" s="32">
        <v>7590</v>
      </c>
      <c r="T2497" s="32">
        <v>29850</v>
      </c>
    </row>
    <row r="2498" spans="2:20" ht="12.75" hidden="1" x14ac:dyDescent="0.25">
      <c r="B2498" s="32">
        <v>47</v>
      </c>
      <c r="F2498" s="32" t="s">
        <v>184</v>
      </c>
      <c r="J2498" s="32">
        <v>1</v>
      </c>
      <c r="P2498" s="32">
        <v>1080</v>
      </c>
      <c r="R2498" s="32">
        <v>0</v>
      </c>
      <c r="T2498" s="32">
        <v>1080</v>
      </c>
    </row>
    <row r="2499" spans="2:20" ht="12.75" hidden="1" x14ac:dyDescent="0.25">
      <c r="B2499" s="32">
        <v>48</v>
      </c>
      <c r="F2499" s="32" t="s">
        <v>120</v>
      </c>
      <c r="J2499" s="32">
        <v>2</v>
      </c>
      <c r="P2499" s="32">
        <v>700</v>
      </c>
      <c r="R2499" s="32">
        <v>160</v>
      </c>
      <c r="T2499" s="32">
        <v>540</v>
      </c>
    </row>
    <row r="2500" spans="2:20" ht="12.75" hidden="1" x14ac:dyDescent="0.25">
      <c r="B2500" s="32">
        <v>49</v>
      </c>
      <c r="F2500" s="32" t="s">
        <v>182</v>
      </c>
      <c r="J2500" s="32">
        <v>3</v>
      </c>
      <c r="P2500" s="32">
        <v>2370</v>
      </c>
      <c r="R2500" s="32">
        <v>240</v>
      </c>
      <c r="T2500" s="32">
        <v>2130</v>
      </c>
    </row>
    <row r="2501" spans="2:20" ht="12.75" hidden="1" x14ac:dyDescent="0.25">
      <c r="B2501" s="32">
        <v>50</v>
      </c>
      <c r="F2501" s="32" t="s">
        <v>119</v>
      </c>
      <c r="J2501" s="32">
        <v>40</v>
      </c>
      <c r="P2501" s="32">
        <v>35600</v>
      </c>
      <c r="R2501" s="32">
        <v>5038</v>
      </c>
      <c r="T2501" s="32">
        <v>30562</v>
      </c>
    </row>
    <row r="2502" spans="2:20" ht="12.75" hidden="1" x14ac:dyDescent="0.25">
      <c r="B2502" s="32">
        <v>51</v>
      </c>
      <c r="F2502" s="32" t="s">
        <v>118</v>
      </c>
      <c r="J2502" s="32">
        <v>144</v>
      </c>
      <c r="P2502" s="32">
        <v>142560</v>
      </c>
      <c r="R2502" s="32">
        <v>29336</v>
      </c>
      <c r="T2502" s="32">
        <v>113224</v>
      </c>
    </row>
    <row r="2503" spans="2:20" ht="12.75" hidden="1" x14ac:dyDescent="0.25">
      <c r="B2503" s="32">
        <v>52</v>
      </c>
      <c r="F2503" s="32" t="s">
        <v>117</v>
      </c>
      <c r="J2503" s="32">
        <v>3</v>
      </c>
      <c r="P2503" s="32">
        <v>2400</v>
      </c>
      <c r="R2503" s="32">
        <v>600</v>
      </c>
      <c r="T2503" s="32">
        <v>1800</v>
      </c>
    </row>
    <row r="2504" spans="2:20" ht="12.75" hidden="1" x14ac:dyDescent="0.25">
      <c r="B2504" s="32">
        <v>53</v>
      </c>
      <c r="F2504" s="32" t="s">
        <v>115</v>
      </c>
      <c r="J2504" s="32">
        <v>42</v>
      </c>
      <c r="P2504" s="32">
        <v>12180</v>
      </c>
      <c r="R2504" s="32">
        <v>520</v>
      </c>
      <c r="T2504" s="32">
        <v>11660</v>
      </c>
    </row>
    <row r="2505" spans="2:20" ht="12.75" hidden="1" x14ac:dyDescent="0.25">
      <c r="B2505" s="32">
        <v>54</v>
      </c>
      <c r="F2505" s="32" t="s">
        <v>391</v>
      </c>
      <c r="J2505" s="32">
        <v>17</v>
      </c>
      <c r="P2505" s="32">
        <v>1530</v>
      </c>
      <c r="R2505" s="32">
        <v>0</v>
      </c>
      <c r="T2505" s="32">
        <v>1530</v>
      </c>
    </row>
    <row r="2506" spans="2:20" ht="12.75" hidden="1" x14ac:dyDescent="0.25">
      <c r="T2506" s="32"/>
    </row>
    <row r="2507" spans="2:20" ht="12.75" hidden="1" x14ac:dyDescent="0.25">
      <c r="B2507" s="32">
        <v>55</v>
      </c>
      <c r="F2507" s="32" t="s">
        <v>300</v>
      </c>
      <c r="J2507" s="32">
        <v>2</v>
      </c>
      <c r="P2507" s="32">
        <v>660</v>
      </c>
      <c r="R2507" s="32">
        <v>40</v>
      </c>
      <c r="T2507" s="32">
        <v>620</v>
      </c>
    </row>
    <row r="2508" spans="2:20" ht="12.75" hidden="1" x14ac:dyDescent="0.25">
      <c r="B2508" s="32">
        <v>56</v>
      </c>
      <c r="F2508" s="32" t="s">
        <v>221</v>
      </c>
      <c r="J2508" s="32">
        <v>1</v>
      </c>
      <c r="P2508" s="32">
        <v>990</v>
      </c>
      <c r="R2508" s="32">
        <v>300</v>
      </c>
      <c r="T2508" s="32">
        <v>690</v>
      </c>
    </row>
    <row r="2509" spans="2:20" ht="12.75" hidden="1" x14ac:dyDescent="0.25">
      <c r="B2509" s="32">
        <v>57</v>
      </c>
      <c r="F2509" s="32" t="s">
        <v>181</v>
      </c>
      <c r="J2509" s="32">
        <v>3</v>
      </c>
      <c r="P2509" s="32">
        <v>2370</v>
      </c>
      <c r="R2509" s="32">
        <v>120</v>
      </c>
      <c r="T2509" s="32">
        <v>2250</v>
      </c>
    </row>
    <row r="2510" spans="2:20" ht="12.75" hidden="1" x14ac:dyDescent="0.25">
      <c r="B2510" s="32">
        <v>58</v>
      </c>
      <c r="F2510" s="32" t="s">
        <v>171</v>
      </c>
      <c r="J2510" s="32">
        <v>1</v>
      </c>
      <c r="P2510" s="32">
        <v>530</v>
      </c>
      <c r="R2510" s="32">
        <v>160</v>
      </c>
      <c r="T2510" s="32">
        <v>370</v>
      </c>
    </row>
    <row r="2511" spans="2:20" ht="12.75" hidden="1" x14ac:dyDescent="0.25">
      <c r="B2511" s="32">
        <v>59</v>
      </c>
      <c r="F2511" s="32" t="s">
        <v>111</v>
      </c>
      <c r="J2511" s="32">
        <v>2</v>
      </c>
      <c r="P2511" s="32">
        <v>860</v>
      </c>
      <c r="R2511" s="32">
        <v>130</v>
      </c>
      <c r="T2511" s="32">
        <v>730</v>
      </c>
    </row>
    <row r="2512" spans="2:20" ht="12.75" hidden="1" x14ac:dyDescent="0.25">
      <c r="B2512" s="32">
        <v>60</v>
      </c>
      <c r="F2512" s="32" t="s">
        <v>257</v>
      </c>
      <c r="J2512" s="32">
        <v>1</v>
      </c>
      <c r="P2512" s="32">
        <v>990</v>
      </c>
      <c r="R2512" s="32">
        <v>0</v>
      </c>
      <c r="T2512" s="32">
        <v>990</v>
      </c>
    </row>
    <row r="2513" spans="2:20" ht="12.75" hidden="1" x14ac:dyDescent="0.25">
      <c r="B2513" s="32">
        <v>61</v>
      </c>
      <c r="F2513" s="32" t="s">
        <v>109</v>
      </c>
      <c r="J2513" s="32">
        <v>1</v>
      </c>
      <c r="P2513" s="32">
        <v>780</v>
      </c>
      <c r="R2513" s="32">
        <v>230</v>
      </c>
      <c r="T2513" s="32">
        <v>550</v>
      </c>
    </row>
    <row r="2514" spans="2:20" ht="12.75" hidden="1" x14ac:dyDescent="0.25">
      <c r="B2514" s="32">
        <v>62</v>
      </c>
      <c r="F2514" s="32" t="s">
        <v>108</v>
      </c>
      <c r="J2514" s="32">
        <v>216</v>
      </c>
      <c r="P2514" s="32">
        <v>21600</v>
      </c>
      <c r="R2514" s="32">
        <v>60</v>
      </c>
      <c r="T2514" s="32">
        <v>21540</v>
      </c>
    </row>
    <row r="2515" spans="2:20" ht="12.75" hidden="1" x14ac:dyDescent="0.25">
      <c r="B2515" s="32">
        <v>63</v>
      </c>
      <c r="F2515" s="32" t="s">
        <v>107</v>
      </c>
      <c r="J2515" s="32">
        <v>108</v>
      </c>
      <c r="P2515" s="32">
        <v>18360</v>
      </c>
      <c r="R2515" s="32">
        <v>3448</v>
      </c>
      <c r="T2515" s="32">
        <v>14912</v>
      </c>
    </row>
    <row r="2516" spans="2:20" ht="12.75" hidden="1" x14ac:dyDescent="0.25">
      <c r="B2516" s="32">
        <v>64</v>
      </c>
      <c r="F2516" s="32" t="s">
        <v>255</v>
      </c>
      <c r="J2516" s="32">
        <v>1</v>
      </c>
      <c r="P2516" s="32">
        <v>950</v>
      </c>
      <c r="R2516" s="32">
        <v>140</v>
      </c>
      <c r="T2516" s="32">
        <v>810</v>
      </c>
    </row>
    <row r="2517" spans="2:20" ht="12.75" hidden="1" x14ac:dyDescent="0.25">
      <c r="B2517" s="32">
        <v>65</v>
      </c>
      <c r="F2517" s="32" t="s">
        <v>216</v>
      </c>
      <c r="J2517" s="32">
        <v>1</v>
      </c>
      <c r="P2517" s="32">
        <v>1080</v>
      </c>
      <c r="R2517" s="32">
        <v>165</v>
      </c>
      <c r="T2517" s="32">
        <v>915</v>
      </c>
    </row>
    <row r="2518" spans="2:20" ht="12.75" hidden="1" x14ac:dyDescent="0.25">
      <c r="B2518" s="32">
        <v>66</v>
      </c>
      <c r="F2518" s="32" t="s">
        <v>105</v>
      </c>
      <c r="J2518" s="32">
        <v>1</v>
      </c>
      <c r="P2518" s="32">
        <v>1150</v>
      </c>
      <c r="R2518" s="32">
        <v>0</v>
      </c>
      <c r="T2518" s="32">
        <v>1150</v>
      </c>
    </row>
    <row r="2519" spans="2:20" ht="12.75" hidden="1" x14ac:dyDescent="0.25">
      <c r="B2519" s="32">
        <v>67</v>
      </c>
      <c r="F2519" s="32" t="s">
        <v>103</v>
      </c>
      <c r="J2519" s="32">
        <v>52</v>
      </c>
      <c r="P2519" s="32">
        <v>17160</v>
      </c>
      <c r="R2519" s="32">
        <v>6046</v>
      </c>
      <c r="T2519" s="32">
        <v>11114</v>
      </c>
    </row>
    <row r="2520" spans="2:20" ht="12.75" hidden="1" x14ac:dyDescent="0.25">
      <c r="B2520" s="32">
        <v>68</v>
      </c>
      <c r="F2520" s="32" t="s">
        <v>102</v>
      </c>
      <c r="J2520" s="32">
        <v>9</v>
      </c>
      <c r="P2520" s="32">
        <v>7920</v>
      </c>
      <c r="R2520" s="32">
        <v>780</v>
      </c>
      <c r="T2520" s="32">
        <v>7140</v>
      </c>
    </row>
    <row r="2521" spans="2:20" ht="12.75" hidden="1" x14ac:dyDescent="0.25">
      <c r="B2521" s="32">
        <v>69</v>
      </c>
      <c r="F2521" s="32" t="s">
        <v>101</v>
      </c>
      <c r="J2521" s="32">
        <v>1</v>
      </c>
      <c r="P2521" s="32">
        <v>460</v>
      </c>
      <c r="R2521" s="32">
        <v>140</v>
      </c>
      <c r="T2521" s="32">
        <v>320</v>
      </c>
    </row>
    <row r="2522" spans="2:20" ht="12.75" hidden="1" x14ac:dyDescent="0.25">
      <c r="B2522" s="32">
        <v>70</v>
      </c>
      <c r="F2522" s="32" t="s">
        <v>100</v>
      </c>
      <c r="J2522" s="32">
        <v>3</v>
      </c>
      <c r="P2522" s="32">
        <v>540</v>
      </c>
      <c r="R2522" s="32">
        <v>0</v>
      </c>
      <c r="T2522" s="32">
        <v>540</v>
      </c>
    </row>
    <row r="2523" spans="2:20" ht="12.75" hidden="1" x14ac:dyDescent="0.25">
      <c r="B2523" s="32">
        <v>71</v>
      </c>
      <c r="F2523" s="32" t="s">
        <v>178</v>
      </c>
      <c r="J2523" s="32">
        <v>3</v>
      </c>
      <c r="P2523" s="32">
        <v>4950</v>
      </c>
      <c r="R2523" s="32">
        <v>0</v>
      </c>
      <c r="T2523" s="32">
        <v>4950</v>
      </c>
    </row>
    <row r="2524" spans="2:20" ht="12.75" hidden="1" x14ac:dyDescent="0.25">
      <c r="B2524" s="32">
        <v>72</v>
      </c>
      <c r="F2524" s="32" t="s">
        <v>99</v>
      </c>
      <c r="J2524" s="32">
        <v>3</v>
      </c>
      <c r="P2524" s="32">
        <v>1770</v>
      </c>
      <c r="R2524" s="32">
        <v>180</v>
      </c>
      <c r="T2524" s="32">
        <v>1590</v>
      </c>
    </row>
    <row r="2525" spans="2:20" ht="12.75" hidden="1" x14ac:dyDescent="0.25">
      <c r="B2525" s="32">
        <v>73</v>
      </c>
      <c r="F2525" s="32" t="s">
        <v>98</v>
      </c>
      <c r="J2525" s="32">
        <v>3</v>
      </c>
      <c r="P2525" s="32">
        <v>1710</v>
      </c>
      <c r="R2525" s="32">
        <v>160</v>
      </c>
      <c r="T2525" s="32">
        <v>1550</v>
      </c>
    </row>
    <row r="2526" spans="2:20" ht="12.75" hidden="1" x14ac:dyDescent="0.25">
      <c r="B2526" s="32">
        <v>74</v>
      </c>
      <c r="F2526" s="32" t="s">
        <v>97</v>
      </c>
      <c r="J2526" s="32">
        <v>5</v>
      </c>
      <c r="P2526" s="32">
        <v>7950</v>
      </c>
      <c r="R2526" s="32">
        <v>720</v>
      </c>
      <c r="T2526" s="32">
        <v>7230</v>
      </c>
    </row>
    <row r="2527" spans="2:20" ht="12.75" hidden="1" x14ac:dyDescent="0.25">
      <c r="B2527" s="32">
        <v>75</v>
      </c>
      <c r="F2527" s="32" t="s">
        <v>324</v>
      </c>
      <c r="J2527" s="32">
        <v>1</v>
      </c>
      <c r="P2527" s="32">
        <v>350</v>
      </c>
      <c r="R2527" s="32">
        <v>160</v>
      </c>
      <c r="T2527" s="32">
        <v>190</v>
      </c>
    </row>
    <row r="2528" spans="2:20" ht="12.75" hidden="1" x14ac:dyDescent="0.25">
      <c r="B2528" s="32">
        <v>76</v>
      </c>
      <c r="F2528" s="32" t="s">
        <v>253</v>
      </c>
      <c r="J2528" s="32">
        <v>1</v>
      </c>
      <c r="P2528" s="32">
        <v>290</v>
      </c>
      <c r="R2528" s="32">
        <v>0</v>
      </c>
      <c r="T2528" s="32">
        <v>290</v>
      </c>
    </row>
    <row r="2529" spans="2:20" ht="12.75" hidden="1" x14ac:dyDescent="0.25">
      <c r="B2529" s="32">
        <v>77</v>
      </c>
      <c r="F2529" s="32" t="s">
        <v>93</v>
      </c>
      <c r="J2529" s="32">
        <v>21</v>
      </c>
      <c r="P2529" s="32">
        <v>12390</v>
      </c>
      <c r="R2529" s="32">
        <v>990</v>
      </c>
      <c r="T2529" s="32">
        <v>11400</v>
      </c>
    </row>
    <row r="2530" spans="2:20" ht="12.75" hidden="1" x14ac:dyDescent="0.25">
      <c r="B2530" s="32">
        <v>78</v>
      </c>
      <c r="F2530" s="32" t="s">
        <v>92</v>
      </c>
      <c r="J2530" s="32">
        <v>66</v>
      </c>
      <c r="P2530" s="32">
        <v>56320</v>
      </c>
      <c r="R2530" s="32">
        <v>7000</v>
      </c>
      <c r="T2530" s="32">
        <v>49320</v>
      </c>
    </row>
    <row r="2531" spans="2:20" ht="12.75" hidden="1" x14ac:dyDescent="0.25">
      <c r="B2531" s="32">
        <v>79</v>
      </c>
      <c r="F2531" s="32" t="s">
        <v>390</v>
      </c>
      <c r="J2531" s="32">
        <v>2</v>
      </c>
      <c r="P2531" s="32">
        <v>1200</v>
      </c>
      <c r="R2531" s="32">
        <v>180</v>
      </c>
      <c r="T2531" s="32">
        <v>1020</v>
      </c>
    </row>
    <row r="2532" spans="2:20" ht="12.75" hidden="1" x14ac:dyDescent="0.25">
      <c r="B2532" s="32">
        <v>80</v>
      </c>
      <c r="F2532" s="32" t="s">
        <v>305</v>
      </c>
      <c r="J2532" s="32">
        <v>6</v>
      </c>
      <c r="P2532" s="32">
        <v>3600</v>
      </c>
      <c r="R2532" s="32">
        <v>180</v>
      </c>
      <c r="T2532" s="32">
        <v>3420</v>
      </c>
    </row>
    <row r="2533" spans="2:20" ht="12.75" hidden="1" x14ac:dyDescent="0.25">
      <c r="B2533" s="32">
        <v>81</v>
      </c>
      <c r="F2533" s="32" t="s">
        <v>297</v>
      </c>
      <c r="J2533" s="32">
        <v>72</v>
      </c>
      <c r="P2533" s="32">
        <v>28800</v>
      </c>
      <c r="R2533" s="32">
        <v>600</v>
      </c>
      <c r="T2533" s="32">
        <v>28200</v>
      </c>
    </row>
    <row r="2534" spans="2:20" ht="12.75" hidden="1" x14ac:dyDescent="0.25">
      <c r="B2534" s="32">
        <v>82</v>
      </c>
      <c r="F2534" s="32" t="s">
        <v>175</v>
      </c>
      <c r="J2534" s="32">
        <v>39</v>
      </c>
      <c r="P2534" s="32">
        <v>23400</v>
      </c>
      <c r="R2534" s="32">
        <v>3420</v>
      </c>
      <c r="T2534" s="32">
        <v>19980</v>
      </c>
    </row>
    <row r="2535" spans="2:20" ht="12.75" hidden="1" x14ac:dyDescent="0.25">
      <c r="B2535" s="32">
        <v>83</v>
      </c>
      <c r="F2535" s="32" t="s">
        <v>174</v>
      </c>
      <c r="J2535" s="32">
        <v>55</v>
      </c>
      <c r="P2535" s="32">
        <v>22000</v>
      </c>
      <c r="R2535" s="32">
        <v>960</v>
      </c>
      <c r="T2535" s="32">
        <v>21040</v>
      </c>
    </row>
    <row r="2536" spans="2:20" ht="12.75" hidden="1" x14ac:dyDescent="0.25">
      <c r="B2536" s="32">
        <v>84</v>
      </c>
      <c r="F2536" s="32" t="s">
        <v>356</v>
      </c>
      <c r="J2536" s="32">
        <v>6</v>
      </c>
      <c r="P2536" s="32">
        <v>4800</v>
      </c>
      <c r="R2536" s="32">
        <v>720</v>
      </c>
      <c r="T2536" s="32">
        <v>4080</v>
      </c>
    </row>
    <row r="2537" spans="2:20" ht="12.75" hidden="1" x14ac:dyDescent="0.25">
      <c r="B2537" s="32">
        <v>85</v>
      </c>
      <c r="F2537" s="32" t="s">
        <v>355</v>
      </c>
      <c r="J2537" s="32">
        <v>28</v>
      </c>
      <c r="P2537" s="32">
        <v>16800</v>
      </c>
      <c r="R2537" s="32">
        <v>2340</v>
      </c>
      <c r="T2537" s="32">
        <v>14460</v>
      </c>
    </row>
    <row r="2538" spans="2:20" ht="12.75" hidden="1" x14ac:dyDescent="0.25">
      <c r="B2538" s="32">
        <v>86</v>
      </c>
      <c r="F2538" s="32" t="s">
        <v>173</v>
      </c>
      <c r="J2538" s="32">
        <v>71</v>
      </c>
      <c r="P2538" s="32">
        <v>71000</v>
      </c>
      <c r="R2538" s="32">
        <v>10200</v>
      </c>
      <c r="T2538" s="32">
        <v>60800</v>
      </c>
    </row>
    <row r="2539" spans="2:20" ht="12.75" hidden="1" x14ac:dyDescent="0.25">
      <c r="B2539" s="32">
        <v>87</v>
      </c>
      <c r="F2539" s="32" t="s">
        <v>296</v>
      </c>
      <c r="J2539" s="32">
        <v>8</v>
      </c>
      <c r="P2539" s="32">
        <v>9600</v>
      </c>
      <c r="R2539" s="32">
        <v>720</v>
      </c>
      <c r="T2539" s="32">
        <v>8880</v>
      </c>
    </row>
    <row r="2540" spans="2:20" ht="12.75" hidden="1" x14ac:dyDescent="0.25">
      <c r="B2540" s="32">
        <v>88</v>
      </c>
      <c r="F2540" s="32" t="s">
        <v>91</v>
      </c>
      <c r="J2540" s="32">
        <v>108</v>
      </c>
      <c r="P2540" s="32">
        <v>27000</v>
      </c>
      <c r="R2540" s="32">
        <v>4690</v>
      </c>
      <c r="T2540" s="32">
        <v>22310</v>
      </c>
    </row>
    <row r="2541" spans="2:20" ht="12.75" hidden="1" x14ac:dyDescent="0.25">
      <c r="B2541" s="32">
        <v>89</v>
      </c>
      <c r="F2541" s="32" t="s">
        <v>90</v>
      </c>
      <c r="J2541" s="32">
        <v>35</v>
      </c>
      <c r="P2541" s="32">
        <v>10150</v>
      </c>
      <c r="R2541" s="32">
        <v>1142</v>
      </c>
      <c r="T2541" s="32">
        <v>9008</v>
      </c>
    </row>
    <row r="2542" spans="2:20" ht="12.75" hidden="1" x14ac:dyDescent="0.25">
      <c r="B2542" s="32">
        <v>90</v>
      </c>
      <c r="F2542" s="32" t="s">
        <v>89</v>
      </c>
      <c r="J2542" s="32">
        <v>14</v>
      </c>
      <c r="P2542" s="32">
        <v>12320</v>
      </c>
      <c r="R2542" s="32">
        <v>390</v>
      </c>
      <c r="T2542" s="32">
        <v>11930</v>
      </c>
    </row>
    <row r="2543" spans="2:20" ht="12.75" hidden="1" x14ac:dyDescent="0.25">
      <c r="B2543" s="32">
        <v>91</v>
      </c>
      <c r="F2543" s="32" t="s">
        <v>88</v>
      </c>
      <c r="J2543" s="32">
        <v>151</v>
      </c>
      <c r="P2543" s="32">
        <v>27180</v>
      </c>
      <c r="R2543" s="32">
        <v>4066</v>
      </c>
      <c r="T2543" s="32">
        <v>23114</v>
      </c>
    </row>
    <row r="2544" spans="2:20" ht="12.75" hidden="1" x14ac:dyDescent="0.25">
      <c r="B2544" s="32">
        <v>92</v>
      </c>
      <c r="F2544" s="32" t="s">
        <v>87</v>
      </c>
      <c r="J2544" s="32">
        <v>12</v>
      </c>
      <c r="P2544" s="32">
        <v>3480</v>
      </c>
      <c r="R2544" s="32">
        <v>160</v>
      </c>
      <c r="T2544" s="32">
        <v>3320</v>
      </c>
    </row>
    <row r="2545" spans="1:20" ht="12.75" hidden="1" x14ac:dyDescent="0.25">
      <c r="B2545" s="32">
        <v>93</v>
      </c>
      <c r="F2545" s="32" t="s">
        <v>86</v>
      </c>
      <c r="J2545" s="32">
        <v>4</v>
      </c>
      <c r="P2545" s="32">
        <v>4560</v>
      </c>
      <c r="R2545" s="32">
        <v>340</v>
      </c>
      <c r="T2545" s="32">
        <v>4220</v>
      </c>
    </row>
    <row r="2546" spans="1:20" ht="12.75" hidden="1" x14ac:dyDescent="0.25">
      <c r="B2546" s="32">
        <v>94</v>
      </c>
      <c r="F2546" s="32" t="s">
        <v>85</v>
      </c>
      <c r="J2546" s="32">
        <v>32</v>
      </c>
      <c r="P2546" s="32">
        <v>66560</v>
      </c>
      <c r="R2546" s="32">
        <v>4340</v>
      </c>
      <c r="T2546" s="32">
        <v>62220</v>
      </c>
    </row>
    <row r="2547" spans="1:20" ht="12.75" hidden="1" x14ac:dyDescent="0.25">
      <c r="B2547" s="32">
        <v>95</v>
      </c>
      <c r="F2547" s="32" t="s">
        <v>84</v>
      </c>
      <c r="J2547" s="32">
        <v>13</v>
      </c>
      <c r="P2547" s="32">
        <v>7670</v>
      </c>
      <c r="R2547" s="32">
        <v>720</v>
      </c>
      <c r="T2547" s="32">
        <v>6950</v>
      </c>
    </row>
    <row r="2548" spans="1:20" ht="12.75" hidden="1" x14ac:dyDescent="0.25">
      <c r="B2548" s="32">
        <v>96</v>
      </c>
      <c r="F2548" s="32" t="s">
        <v>83</v>
      </c>
      <c r="J2548" s="32">
        <v>2</v>
      </c>
      <c r="P2548" s="32">
        <v>1000</v>
      </c>
      <c r="R2548" s="32">
        <v>150</v>
      </c>
      <c r="T2548" s="32">
        <v>850</v>
      </c>
    </row>
    <row r="2549" spans="1:20" ht="12.75" hidden="1" x14ac:dyDescent="0.25">
      <c r="B2549" s="32">
        <v>97</v>
      </c>
      <c r="F2549" s="32" t="s">
        <v>82</v>
      </c>
      <c r="J2549" s="32">
        <v>5</v>
      </c>
      <c r="P2549" s="32">
        <v>1450</v>
      </c>
      <c r="R2549" s="32">
        <v>1160</v>
      </c>
      <c r="T2549" s="32">
        <v>290</v>
      </c>
    </row>
    <row r="2550" spans="1:20" ht="12.75" hidden="1" x14ac:dyDescent="0.25">
      <c r="B2550" s="32">
        <v>98</v>
      </c>
      <c r="F2550" s="32" t="s">
        <v>81</v>
      </c>
      <c r="J2550" s="32">
        <v>18</v>
      </c>
      <c r="P2550" s="32">
        <v>5220</v>
      </c>
      <c r="R2550" s="32">
        <v>980</v>
      </c>
      <c r="T2550" s="32">
        <v>4240</v>
      </c>
    </row>
    <row r="2551" spans="1:20" ht="12.75" hidden="1" x14ac:dyDescent="0.25">
      <c r="A2551" s="32" t="s">
        <v>389</v>
      </c>
      <c r="K2551" s="32">
        <v>3721</v>
      </c>
      <c r="P2551" s="32">
        <v>4281550</v>
      </c>
      <c r="R2551" s="32">
        <v>3629122</v>
      </c>
      <c r="T2551" s="32">
        <v>652428</v>
      </c>
    </row>
    <row r="2552" spans="1:20" ht="12.75" hidden="1" x14ac:dyDescent="0.25">
      <c r="B2552" s="32">
        <v>1</v>
      </c>
      <c r="F2552" s="32" t="s">
        <v>78</v>
      </c>
      <c r="J2552" s="32">
        <v>118</v>
      </c>
      <c r="P2552" s="32">
        <v>34220</v>
      </c>
      <c r="R2552" s="32">
        <v>34220</v>
      </c>
      <c r="T2552" s="32">
        <v>0</v>
      </c>
    </row>
    <row r="2553" spans="1:20" ht="12.75" hidden="1" x14ac:dyDescent="0.25">
      <c r="B2553" s="32">
        <v>2</v>
      </c>
      <c r="F2553" s="32" t="s">
        <v>268</v>
      </c>
      <c r="J2553" s="32">
        <v>2</v>
      </c>
      <c r="P2553" s="32">
        <v>500</v>
      </c>
      <c r="R2553" s="32">
        <v>70</v>
      </c>
      <c r="T2553" s="32">
        <v>430</v>
      </c>
    </row>
    <row r="2554" spans="1:20" ht="12.75" hidden="1" x14ac:dyDescent="0.25">
      <c r="B2554" s="32">
        <v>3</v>
      </c>
      <c r="F2554" s="32" t="s">
        <v>249</v>
      </c>
      <c r="J2554" s="32">
        <v>1</v>
      </c>
      <c r="P2554" s="32">
        <v>1300</v>
      </c>
      <c r="R2554" s="32">
        <v>200</v>
      </c>
      <c r="T2554" s="32">
        <v>1100</v>
      </c>
    </row>
    <row r="2555" spans="1:20" ht="12.75" hidden="1" x14ac:dyDescent="0.25">
      <c r="B2555" s="32">
        <v>4</v>
      </c>
      <c r="F2555" s="32" t="s">
        <v>294</v>
      </c>
      <c r="J2555" s="32">
        <v>1</v>
      </c>
      <c r="P2555" s="32">
        <v>500</v>
      </c>
      <c r="R2555" s="32">
        <v>150</v>
      </c>
      <c r="T2555" s="32">
        <v>350</v>
      </c>
    </row>
    <row r="2556" spans="1:20" ht="12.75" hidden="1" x14ac:dyDescent="0.25">
      <c r="B2556" s="32">
        <v>5</v>
      </c>
      <c r="F2556" s="32" t="s">
        <v>165</v>
      </c>
      <c r="J2556" s="32">
        <v>7</v>
      </c>
      <c r="P2556" s="32">
        <v>4130</v>
      </c>
      <c r="R2556" s="32">
        <v>1260</v>
      </c>
      <c r="T2556" s="32">
        <v>2870</v>
      </c>
    </row>
    <row r="2557" spans="1:20" ht="12.75" hidden="1" x14ac:dyDescent="0.25">
      <c r="B2557" s="32">
        <v>6</v>
      </c>
      <c r="F2557" s="32" t="s">
        <v>163</v>
      </c>
      <c r="J2557" s="32">
        <v>5</v>
      </c>
      <c r="P2557" s="32">
        <v>5950</v>
      </c>
      <c r="R2557" s="32">
        <v>900</v>
      </c>
      <c r="T2557" s="32">
        <v>5050</v>
      </c>
    </row>
    <row r="2558" spans="1:20" ht="12.75" hidden="1" x14ac:dyDescent="0.25">
      <c r="B2558" s="32">
        <v>7</v>
      </c>
      <c r="F2558" s="32" t="s">
        <v>162</v>
      </c>
      <c r="J2558" s="32">
        <v>38</v>
      </c>
      <c r="P2558" s="32">
        <v>16340</v>
      </c>
      <c r="R2558" s="32">
        <v>7085</v>
      </c>
      <c r="T2558" s="32">
        <v>9255</v>
      </c>
    </row>
    <row r="2559" spans="1:20" ht="12.75" hidden="1" x14ac:dyDescent="0.25">
      <c r="B2559" s="32">
        <v>8</v>
      </c>
      <c r="F2559" s="32" t="s">
        <v>160</v>
      </c>
      <c r="J2559" s="32">
        <v>21</v>
      </c>
      <c r="P2559" s="32">
        <v>6090</v>
      </c>
      <c r="R2559" s="32">
        <v>1520</v>
      </c>
      <c r="T2559" s="32">
        <v>4570</v>
      </c>
    </row>
    <row r="2560" spans="1:20" ht="12.75" hidden="1" x14ac:dyDescent="0.25">
      <c r="B2560" s="32">
        <v>9</v>
      </c>
      <c r="F2560" s="32" t="s">
        <v>158</v>
      </c>
      <c r="J2560" s="32">
        <v>133</v>
      </c>
      <c r="P2560" s="32">
        <v>73150</v>
      </c>
      <c r="R2560" s="32">
        <v>21774</v>
      </c>
      <c r="T2560" s="32">
        <v>51376</v>
      </c>
    </row>
    <row r="2561" spans="2:20" ht="12.75" hidden="1" x14ac:dyDescent="0.25">
      <c r="B2561" s="32">
        <v>10</v>
      </c>
      <c r="F2561" s="32" t="s">
        <v>157</v>
      </c>
      <c r="J2561" s="32">
        <v>190</v>
      </c>
      <c r="P2561" s="32">
        <v>93100</v>
      </c>
      <c r="R2561" s="32">
        <v>40668</v>
      </c>
      <c r="T2561" s="32">
        <v>52432</v>
      </c>
    </row>
    <row r="2562" spans="2:20" ht="12.75" hidden="1" x14ac:dyDescent="0.25">
      <c r="B2562" s="32">
        <v>11</v>
      </c>
      <c r="F2562" s="32" t="s">
        <v>196</v>
      </c>
      <c r="J2562" s="32">
        <v>1</v>
      </c>
      <c r="P2562" s="32">
        <v>700</v>
      </c>
      <c r="R2562" s="32">
        <v>350</v>
      </c>
      <c r="T2562" s="32">
        <v>350</v>
      </c>
    </row>
    <row r="2563" spans="2:20" ht="12.75" hidden="1" x14ac:dyDescent="0.25">
      <c r="B2563" s="32">
        <v>12</v>
      </c>
      <c r="F2563" s="32" t="s">
        <v>309</v>
      </c>
      <c r="J2563" s="32">
        <v>3</v>
      </c>
      <c r="P2563" s="32">
        <v>1500</v>
      </c>
      <c r="R2563" s="32">
        <v>450</v>
      </c>
      <c r="T2563" s="32">
        <v>1050</v>
      </c>
    </row>
    <row r="2564" spans="2:20" ht="12.75" hidden="1" x14ac:dyDescent="0.25">
      <c r="B2564" s="32">
        <v>13</v>
      </c>
      <c r="F2564" s="32" t="s">
        <v>328</v>
      </c>
      <c r="J2564" s="32">
        <v>1</v>
      </c>
      <c r="P2564" s="32">
        <v>700</v>
      </c>
      <c r="R2564" s="32">
        <v>350</v>
      </c>
      <c r="T2564" s="32">
        <v>350</v>
      </c>
    </row>
    <row r="2565" spans="2:20" ht="12.75" hidden="1" x14ac:dyDescent="0.25">
      <c r="B2565" s="32">
        <v>14</v>
      </c>
      <c r="F2565" s="32" t="s">
        <v>292</v>
      </c>
      <c r="J2565" s="32">
        <v>1</v>
      </c>
      <c r="P2565" s="32">
        <v>500</v>
      </c>
      <c r="R2565" s="32">
        <v>150</v>
      </c>
      <c r="T2565" s="32">
        <v>350</v>
      </c>
    </row>
    <row r="2566" spans="2:20" ht="12.75" hidden="1" x14ac:dyDescent="0.25">
      <c r="B2566" s="32">
        <v>15</v>
      </c>
      <c r="F2566" s="32" t="s">
        <v>77</v>
      </c>
      <c r="J2566" s="32">
        <v>780</v>
      </c>
      <c r="P2566" s="32">
        <v>317800</v>
      </c>
      <c r="R2566" s="32">
        <v>317800</v>
      </c>
      <c r="T2566" s="32">
        <v>0</v>
      </c>
    </row>
    <row r="2567" spans="2:20" ht="12.75" hidden="1" x14ac:dyDescent="0.25">
      <c r="B2567" s="32">
        <v>16</v>
      </c>
      <c r="F2567" s="32" t="s">
        <v>76</v>
      </c>
      <c r="J2567" s="32">
        <v>3</v>
      </c>
      <c r="P2567" s="32">
        <v>1700</v>
      </c>
      <c r="R2567" s="32">
        <v>1700</v>
      </c>
      <c r="T2567" s="32">
        <v>0</v>
      </c>
    </row>
    <row r="2568" spans="2:20" ht="12.75" hidden="1" x14ac:dyDescent="0.25">
      <c r="B2568" s="32">
        <v>17</v>
      </c>
      <c r="F2568" s="32" t="s">
        <v>156</v>
      </c>
      <c r="J2568" s="32">
        <v>1</v>
      </c>
      <c r="P2568" s="32">
        <v>190</v>
      </c>
      <c r="R2568" s="32">
        <v>50</v>
      </c>
      <c r="T2568" s="32">
        <v>140</v>
      </c>
    </row>
    <row r="2569" spans="2:20" ht="12.75" hidden="1" x14ac:dyDescent="0.25">
      <c r="B2569" s="32">
        <v>18</v>
      </c>
      <c r="F2569" s="32" t="s">
        <v>155</v>
      </c>
      <c r="J2569" s="32">
        <v>28</v>
      </c>
      <c r="P2569" s="32">
        <v>7000</v>
      </c>
      <c r="R2569" s="32">
        <v>2280</v>
      </c>
      <c r="T2569" s="32">
        <v>4720</v>
      </c>
    </row>
    <row r="2570" spans="2:20" ht="12.75" hidden="1" x14ac:dyDescent="0.25">
      <c r="B2570" s="32">
        <v>19</v>
      </c>
      <c r="F2570" s="32" t="s">
        <v>154</v>
      </c>
      <c r="J2570" s="32">
        <v>1</v>
      </c>
      <c r="P2570" s="32">
        <v>890</v>
      </c>
      <c r="R2570" s="32">
        <v>130</v>
      </c>
      <c r="T2570" s="32">
        <v>760</v>
      </c>
    </row>
    <row r="2571" spans="2:20" ht="12.75" hidden="1" x14ac:dyDescent="0.25">
      <c r="B2571" s="32">
        <v>20</v>
      </c>
      <c r="F2571" s="32" t="s">
        <v>153</v>
      </c>
      <c r="J2571" s="32">
        <v>1</v>
      </c>
      <c r="P2571" s="32">
        <v>1180</v>
      </c>
      <c r="R2571" s="32">
        <v>180</v>
      </c>
      <c r="T2571" s="32">
        <v>1000</v>
      </c>
    </row>
    <row r="2572" spans="2:20" ht="12.75" hidden="1" x14ac:dyDescent="0.25">
      <c r="B2572" s="32">
        <v>21</v>
      </c>
      <c r="F2572" s="32" t="s">
        <v>289</v>
      </c>
      <c r="J2572" s="32">
        <v>1</v>
      </c>
      <c r="P2572" s="32">
        <v>500</v>
      </c>
      <c r="R2572" s="32">
        <v>150</v>
      </c>
      <c r="T2572" s="32">
        <v>350</v>
      </c>
    </row>
    <row r="2573" spans="2:20" ht="12.75" hidden="1" x14ac:dyDescent="0.25">
      <c r="B2573" s="32">
        <v>22</v>
      </c>
      <c r="F2573" s="32" t="s">
        <v>320</v>
      </c>
      <c r="J2573" s="32">
        <v>1</v>
      </c>
      <c r="P2573" s="32">
        <v>500</v>
      </c>
      <c r="R2573" s="32">
        <v>150</v>
      </c>
      <c r="T2573" s="32">
        <v>350</v>
      </c>
    </row>
    <row r="2574" spans="2:20" ht="12.75" hidden="1" x14ac:dyDescent="0.25">
      <c r="B2574" s="32">
        <v>23</v>
      </c>
      <c r="F2574" s="32" t="s">
        <v>152</v>
      </c>
      <c r="J2574" s="32">
        <v>17</v>
      </c>
      <c r="P2574" s="32">
        <v>10030</v>
      </c>
      <c r="R2574" s="32">
        <v>3060</v>
      </c>
      <c r="T2574" s="32">
        <v>6970</v>
      </c>
    </row>
    <row r="2575" spans="2:20" ht="12.75" hidden="1" x14ac:dyDescent="0.25">
      <c r="B2575" s="32">
        <v>24</v>
      </c>
      <c r="F2575" s="32" t="s">
        <v>151</v>
      </c>
      <c r="J2575" s="32">
        <v>7</v>
      </c>
      <c r="P2575" s="32">
        <v>1610</v>
      </c>
      <c r="R2575" s="32">
        <v>530</v>
      </c>
      <c r="T2575" s="32">
        <v>1080</v>
      </c>
    </row>
    <row r="2576" spans="2:20" ht="12.75" hidden="1" x14ac:dyDescent="0.25">
      <c r="B2576" s="32">
        <v>25</v>
      </c>
      <c r="F2576" s="32" t="s">
        <v>150</v>
      </c>
      <c r="J2576" s="32">
        <v>17</v>
      </c>
      <c r="P2576" s="32">
        <v>2890</v>
      </c>
      <c r="R2576" s="32">
        <v>850</v>
      </c>
      <c r="T2576" s="32">
        <v>2040</v>
      </c>
    </row>
    <row r="2577" spans="2:20" ht="12.75" hidden="1" x14ac:dyDescent="0.25">
      <c r="B2577" s="32">
        <v>26</v>
      </c>
      <c r="F2577" s="32" t="s">
        <v>235</v>
      </c>
      <c r="J2577" s="32">
        <v>1</v>
      </c>
      <c r="P2577" s="32">
        <v>950</v>
      </c>
      <c r="R2577" s="32">
        <v>140</v>
      </c>
      <c r="T2577" s="32">
        <v>810</v>
      </c>
    </row>
    <row r="2578" spans="2:20" ht="12.75" hidden="1" x14ac:dyDescent="0.25">
      <c r="B2578" s="32">
        <v>27</v>
      </c>
      <c r="F2578" s="32" t="s">
        <v>288</v>
      </c>
      <c r="J2578" s="32">
        <v>1</v>
      </c>
      <c r="P2578" s="32">
        <v>800</v>
      </c>
      <c r="R2578" s="32">
        <v>450</v>
      </c>
      <c r="T2578" s="32">
        <v>350</v>
      </c>
    </row>
    <row r="2579" spans="2:20" ht="12.75" hidden="1" x14ac:dyDescent="0.25">
      <c r="B2579" s="32">
        <v>28</v>
      </c>
      <c r="F2579" s="32" t="s">
        <v>287</v>
      </c>
      <c r="J2579" s="32">
        <v>2</v>
      </c>
      <c r="P2579" s="32">
        <v>1600</v>
      </c>
      <c r="R2579" s="32">
        <v>900</v>
      </c>
      <c r="T2579" s="32">
        <v>700</v>
      </c>
    </row>
    <row r="2580" spans="2:20" ht="12.75" hidden="1" x14ac:dyDescent="0.25">
      <c r="B2580" s="32">
        <v>29</v>
      </c>
      <c r="F2580" s="32" t="s">
        <v>233</v>
      </c>
      <c r="J2580" s="32">
        <v>1</v>
      </c>
      <c r="P2580" s="32">
        <v>980</v>
      </c>
      <c r="R2580" s="32">
        <v>150</v>
      </c>
      <c r="T2580" s="32">
        <v>830</v>
      </c>
    </row>
    <row r="2581" spans="2:20" ht="12.75" hidden="1" x14ac:dyDescent="0.25">
      <c r="B2581" s="32">
        <v>30</v>
      </c>
      <c r="F2581" s="32" t="s">
        <v>232</v>
      </c>
      <c r="J2581" s="32">
        <v>1</v>
      </c>
      <c r="P2581" s="32">
        <v>980</v>
      </c>
      <c r="R2581" s="32">
        <v>150</v>
      </c>
      <c r="T2581" s="32">
        <v>830</v>
      </c>
    </row>
    <row r="2582" spans="2:20" ht="12.75" hidden="1" x14ac:dyDescent="0.25">
      <c r="B2582" s="32">
        <v>31</v>
      </c>
      <c r="F2582" s="32" t="s">
        <v>75</v>
      </c>
      <c r="J2582" s="32">
        <v>1144</v>
      </c>
      <c r="P2582" s="32">
        <v>2860000</v>
      </c>
      <c r="R2582" s="32">
        <v>2860000</v>
      </c>
      <c r="T2582" s="32">
        <v>0</v>
      </c>
    </row>
    <row r="2583" spans="2:20" ht="12.75" hidden="1" x14ac:dyDescent="0.25">
      <c r="B2583" s="32">
        <v>32</v>
      </c>
      <c r="F2583" s="32" t="s">
        <v>139</v>
      </c>
      <c r="J2583" s="32">
        <v>7</v>
      </c>
      <c r="P2583" s="32">
        <v>1890</v>
      </c>
      <c r="R2583" s="32">
        <v>502</v>
      </c>
      <c r="T2583" s="32">
        <v>1388</v>
      </c>
    </row>
    <row r="2584" spans="2:20" ht="12.75" hidden="1" x14ac:dyDescent="0.25">
      <c r="B2584" s="32">
        <v>33</v>
      </c>
      <c r="F2584" s="32" t="s">
        <v>313</v>
      </c>
      <c r="J2584" s="32">
        <v>1</v>
      </c>
      <c r="P2584" s="32">
        <v>800</v>
      </c>
      <c r="R2584" s="32">
        <v>450</v>
      </c>
      <c r="T2584" s="32">
        <v>350</v>
      </c>
    </row>
    <row r="2585" spans="2:20" ht="12.75" hidden="1" x14ac:dyDescent="0.25">
      <c r="B2585" s="32">
        <v>34</v>
      </c>
      <c r="F2585" s="32" t="s">
        <v>136</v>
      </c>
      <c r="J2585" s="32">
        <v>18</v>
      </c>
      <c r="P2585" s="32">
        <v>15300</v>
      </c>
      <c r="R2585" s="32">
        <v>2990</v>
      </c>
      <c r="T2585" s="32">
        <v>12310</v>
      </c>
    </row>
    <row r="2586" spans="2:20" ht="12.75" hidden="1" x14ac:dyDescent="0.25">
      <c r="B2586" s="32">
        <v>35</v>
      </c>
      <c r="F2586" s="32" t="s">
        <v>74</v>
      </c>
      <c r="J2586" s="32">
        <v>83</v>
      </c>
      <c r="P2586" s="32">
        <v>70550</v>
      </c>
      <c r="R2586" s="32">
        <v>70550</v>
      </c>
      <c r="T2586" s="32">
        <v>0</v>
      </c>
    </row>
    <row r="2587" spans="2:20" ht="12.75" hidden="1" x14ac:dyDescent="0.25">
      <c r="B2587" s="32">
        <v>36</v>
      </c>
      <c r="F2587" s="32" t="s">
        <v>190</v>
      </c>
      <c r="J2587" s="32">
        <v>5</v>
      </c>
      <c r="P2587" s="32">
        <v>7850</v>
      </c>
      <c r="R2587" s="32">
        <v>1200</v>
      </c>
      <c r="T2587" s="32">
        <v>6650</v>
      </c>
    </row>
    <row r="2588" spans="2:20" ht="12.75" hidden="1" x14ac:dyDescent="0.25">
      <c r="B2588" s="32">
        <v>37</v>
      </c>
      <c r="F2588" s="32" t="s">
        <v>230</v>
      </c>
      <c r="J2588" s="32">
        <v>1</v>
      </c>
      <c r="P2588" s="32">
        <v>950</v>
      </c>
      <c r="R2588" s="32">
        <v>140</v>
      </c>
      <c r="T2588" s="32">
        <v>810</v>
      </c>
    </row>
    <row r="2589" spans="2:20" ht="12.75" hidden="1" x14ac:dyDescent="0.25">
      <c r="B2589" s="32">
        <v>38</v>
      </c>
      <c r="F2589" s="32" t="s">
        <v>135</v>
      </c>
      <c r="J2589" s="32">
        <v>3</v>
      </c>
      <c r="P2589" s="32">
        <v>2850</v>
      </c>
      <c r="R2589" s="32">
        <v>840</v>
      </c>
      <c r="T2589" s="32">
        <v>2010</v>
      </c>
    </row>
    <row r="2590" spans="2:20" ht="12.75" hidden="1" x14ac:dyDescent="0.25">
      <c r="B2590" s="32">
        <v>39</v>
      </c>
      <c r="F2590" s="32" t="s">
        <v>134</v>
      </c>
      <c r="J2590" s="32">
        <v>3</v>
      </c>
      <c r="P2590" s="32">
        <v>11100</v>
      </c>
      <c r="R2590" s="32">
        <v>2400</v>
      </c>
      <c r="T2590" s="32">
        <v>8700</v>
      </c>
    </row>
    <row r="2591" spans="2:20" ht="12.75" hidden="1" x14ac:dyDescent="0.25">
      <c r="B2591" s="32">
        <v>40</v>
      </c>
      <c r="F2591" s="32" t="s">
        <v>229</v>
      </c>
      <c r="J2591" s="32">
        <v>5</v>
      </c>
      <c r="P2591" s="32">
        <v>35000</v>
      </c>
      <c r="R2591" s="32">
        <v>15500</v>
      </c>
      <c r="T2591" s="32">
        <v>19500</v>
      </c>
    </row>
    <row r="2592" spans="2:20" ht="12.75" hidden="1" x14ac:dyDescent="0.25">
      <c r="B2592" s="32">
        <v>41</v>
      </c>
      <c r="F2592" s="32" t="s">
        <v>132</v>
      </c>
      <c r="J2592" s="32">
        <v>4</v>
      </c>
      <c r="P2592" s="32">
        <v>4960</v>
      </c>
      <c r="R2592" s="32">
        <v>1480</v>
      </c>
      <c r="T2592" s="32">
        <v>3480</v>
      </c>
    </row>
    <row r="2593" spans="2:20" ht="12.75" hidden="1" x14ac:dyDescent="0.25">
      <c r="B2593" s="32">
        <v>42</v>
      </c>
      <c r="F2593" s="32" t="s">
        <v>131</v>
      </c>
      <c r="J2593" s="32">
        <v>25</v>
      </c>
      <c r="P2593" s="32">
        <v>92500</v>
      </c>
      <c r="R2593" s="32">
        <v>20000</v>
      </c>
      <c r="T2593" s="32">
        <v>72500</v>
      </c>
    </row>
    <row r="2594" spans="2:20" ht="12.75" hidden="1" x14ac:dyDescent="0.25">
      <c r="B2594" s="32">
        <v>43</v>
      </c>
      <c r="F2594" s="32" t="s">
        <v>130</v>
      </c>
      <c r="J2594" s="32">
        <v>29</v>
      </c>
      <c r="P2594" s="32">
        <v>232000</v>
      </c>
      <c r="R2594" s="32">
        <v>118900</v>
      </c>
      <c r="T2594" s="32">
        <v>113100</v>
      </c>
    </row>
    <row r="2595" spans="2:20" ht="12.75" hidden="1" x14ac:dyDescent="0.25">
      <c r="B2595" s="32">
        <v>44</v>
      </c>
      <c r="F2595" s="32" t="s">
        <v>388</v>
      </c>
      <c r="J2595" s="32">
        <v>1</v>
      </c>
      <c r="P2595" s="32">
        <v>1990</v>
      </c>
      <c r="R2595" s="32">
        <v>0</v>
      </c>
      <c r="T2595" s="32">
        <v>1990</v>
      </c>
    </row>
    <row r="2596" spans="2:20" ht="12.75" hidden="1" x14ac:dyDescent="0.25">
      <c r="B2596" s="32">
        <v>45</v>
      </c>
      <c r="F2596" s="32" t="s">
        <v>387</v>
      </c>
      <c r="J2596" s="32">
        <v>1</v>
      </c>
      <c r="P2596" s="32">
        <v>7900</v>
      </c>
      <c r="R2596" s="32">
        <v>0</v>
      </c>
      <c r="T2596" s="32">
        <v>7900</v>
      </c>
    </row>
    <row r="2597" spans="2:20" ht="12.75" hidden="1" x14ac:dyDescent="0.25">
      <c r="B2597" s="32">
        <v>46</v>
      </c>
      <c r="F2597" s="32" t="s">
        <v>187</v>
      </c>
      <c r="J2597" s="32">
        <v>1</v>
      </c>
      <c r="P2597" s="32">
        <v>100</v>
      </c>
      <c r="R2597" s="32">
        <v>0</v>
      </c>
      <c r="T2597" s="32">
        <v>100</v>
      </c>
    </row>
    <row r="2598" spans="2:20" ht="12.75" hidden="1" x14ac:dyDescent="0.25">
      <c r="B2598" s="32">
        <v>47</v>
      </c>
      <c r="F2598" s="32" t="s">
        <v>127</v>
      </c>
      <c r="J2598" s="32">
        <v>48</v>
      </c>
      <c r="P2598" s="32">
        <v>14400</v>
      </c>
      <c r="R2598" s="32">
        <v>5347</v>
      </c>
      <c r="T2598" s="32">
        <v>9053</v>
      </c>
    </row>
    <row r="2599" spans="2:20" ht="12.75" hidden="1" x14ac:dyDescent="0.25">
      <c r="B2599" s="32">
        <v>48</v>
      </c>
      <c r="F2599" s="32" t="s">
        <v>126</v>
      </c>
      <c r="J2599" s="32">
        <v>46</v>
      </c>
      <c r="P2599" s="32">
        <v>9200</v>
      </c>
      <c r="R2599" s="32">
        <v>3432</v>
      </c>
      <c r="T2599" s="32">
        <v>5768</v>
      </c>
    </row>
    <row r="2600" spans="2:20" ht="12.75" hidden="1" x14ac:dyDescent="0.25">
      <c r="B2600" s="32">
        <v>49</v>
      </c>
      <c r="F2600" s="32" t="s">
        <v>125</v>
      </c>
      <c r="J2600" s="32">
        <v>12</v>
      </c>
      <c r="P2600" s="32">
        <v>4800</v>
      </c>
      <c r="R2600" s="32">
        <v>1440</v>
      </c>
      <c r="T2600" s="32">
        <v>3360</v>
      </c>
    </row>
    <row r="2601" spans="2:20" ht="12.75" hidden="1" x14ac:dyDescent="0.25">
      <c r="B2601" s="32">
        <v>50</v>
      </c>
      <c r="F2601" s="32" t="s">
        <v>124</v>
      </c>
      <c r="J2601" s="32">
        <v>4</v>
      </c>
      <c r="P2601" s="32">
        <v>2360</v>
      </c>
      <c r="R2601" s="32">
        <v>700</v>
      </c>
      <c r="T2601" s="32">
        <v>1660</v>
      </c>
    </row>
    <row r="2602" spans="2:20" ht="12.75" hidden="1" x14ac:dyDescent="0.25">
      <c r="B2602" s="32">
        <v>51</v>
      </c>
      <c r="F2602" s="32" t="s">
        <v>122</v>
      </c>
      <c r="J2602" s="32">
        <v>3</v>
      </c>
      <c r="P2602" s="32">
        <v>1900</v>
      </c>
      <c r="R2602" s="32">
        <v>570</v>
      </c>
      <c r="T2602" s="32">
        <v>1330</v>
      </c>
    </row>
    <row r="2603" spans="2:20" ht="12.75" hidden="1" x14ac:dyDescent="0.25">
      <c r="B2603" s="32">
        <v>52</v>
      </c>
      <c r="F2603" s="32" t="s">
        <v>121</v>
      </c>
      <c r="J2603" s="32">
        <v>1</v>
      </c>
      <c r="P2603" s="32">
        <v>500</v>
      </c>
      <c r="R2603" s="32">
        <v>150</v>
      </c>
      <c r="T2603" s="32">
        <v>350</v>
      </c>
    </row>
    <row r="2604" spans="2:20" ht="12.75" hidden="1" x14ac:dyDescent="0.25">
      <c r="B2604" s="32">
        <v>53</v>
      </c>
      <c r="F2604" s="32" t="s">
        <v>226</v>
      </c>
      <c r="J2604" s="32">
        <v>1</v>
      </c>
      <c r="P2604" s="32">
        <v>500</v>
      </c>
      <c r="R2604" s="32">
        <v>150</v>
      </c>
      <c r="T2604" s="32">
        <v>350</v>
      </c>
    </row>
    <row r="2605" spans="2:20" ht="12.75" hidden="1" x14ac:dyDescent="0.25">
      <c r="B2605" s="32">
        <v>54</v>
      </c>
      <c r="F2605" s="32" t="s">
        <v>119</v>
      </c>
      <c r="J2605" s="32">
        <v>8</v>
      </c>
      <c r="P2605" s="32">
        <v>7120</v>
      </c>
      <c r="R2605" s="32">
        <v>2280</v>
      </c>
      <c r="T2605" s="32">
        <v>4840</v>
      </c>
    </row>
    <row r="2606" spans="2:20" ht="12.75" hidden="1" x14ac:dyDescent="0.25">
      <c r="B2606" s="32">
        <v>55</v>
      </c>
      <c r="F2606" s="32" t="s">
        <v>118</v>
      </c>
      <c r="J2606" s="32">
        <v>85</v>
      </c>
      <c r="P2606" s="32">
        <v>84150</v>
      </c>
      <c r="R2606" s="32">
        <v>28490</v>
      </c>
      <c r="T2606" s="32">
        <v>55660</v>
      </c>
    </row>
    <row r="2607" spans="2:20" ht="12.75" hidden="1" x14ac:dyDescent="0.25">
      <c r="B2607" s="32">
        <v>56</v>
      </c>
      <c r="F2607" s="32" t="s">
        <v>117</v>
      </c>
      <c r="J2607" s="32">
        <v>3</v>
      </c>
      <c r="P2607" s="32">
        <v>2400</v>
      </c>
      <c r="R2607" s="32">
        <v>600</v>
      </c>
      <c r="T2607" s="32">
        <v>1800</v>
      </c>
    </row>
    <row r="2608" spans="2:20" ht="12.75" hidden="1" x14ac:dyDescent="0.25">
      <c r="B2608" s="32">
        <v>57</v>
      </c>
      <c r="F2608" s="32" t="s">
        <v>115</v>
      </c>
      <c r="J2608" s="32">
        <v>44</v>
      </c>
      <c r="P2608" s="32">
        <v>12760</v>
      </c>
      <c r="R2608" s="32">
        <v>4180</v>
      </c>
      <c r="T2608" s="32">
        <v>8580</v>
      </c>
    </row>
    <row r="2609" spans="2:20" ht="12.75" hidden="1" x14ac:dyDescent="0.25">
      <c r="B2609" s="32">
        <v>58</v>
      </c>
      <c r="F2609" s="32" t="s">
        <v>281</v>
      </c>
      <c r="J2609" s="32">
        <v>1</v>
      </c>
      <c r="P2609" s="32">
        <v>500</v>
      </c>
      <c r="R2609" s="32">
        <v>150</v>
      </c>
      <c r="T2609" s="32">
        <v>350</v>
      </c>
    </row>
    <row r="2610" spans="2:20" ht="12.75" hidden="1" x14ac:dyDescent="0.25">
      <c r="B2610" s="32">
        <v>59</v>
      </c>
      <c r="F2610" s="32" t="s">
        <v>386</v>
      </c>
      <c r="J2610" s="32">
        <v>42</v>
      </c>
      <c r="P2610" s="32">
        <v>3780</v>
      </c>
      <c r="R2610" s="32">
        <v>0</v>
      </c>
      <c r="T2610" s="32">
        <v>3780</v>
      </c>
    </row>
    <row r="2611" spans="2:20" ht="12.75" hidden="1" x14ac:dyDescent="0.25">
      <c r="T2611" s="32"/>
    </row>
    <row r="2612" spans="2:20" ht="12.75" hidden="1" x14ac:dyDescent="0.25">
      <c r="B2612" s="32">
        <v>60</v>
      </c>
      <c r="F2612" s="32" t="s">
        <v>301</v>
      </c>
      <c r="J2612" s="32">
        <v>1</v>
      </c>
      <c r="P2612" s="32">
        <v>800</v>
      </c>
      <c r="R2612" s="32">
        <v>200</v>
      </c>
      <c r="T2612" s="32">
        <v>600</v>
      </c>
    </row>
    <row r="2613" spans="2:20" ht="12.75" hidden="1" x14ac:dyDescent="0.25">
      <c r="B2613" s="32">
        <v>61</v>
      </c>
      <c r="F2613" s="32" t="s">
        <v>300</v>
      </c>
      <c r="J2613" s="32">
        <v>4</v>
      </c>
      <c r="P2613" s="32">
        <v>1320</v>
      </c>
      <c r="R2613" s="32">
        <v>520</v>
      </c>
      <c r="T2613" s="32">
        <v>800</v>
      </c>
    </row>
    <row r="2614" spans="2:20" ht="12.75" hidden="1" x14ac:dyDescent="0.25">
      <c r="B2614" s="32">
        <v>62</v>
      </c>
      <c r="F2614" s="32" t="s">
        <v>111</v>
      </c>
      <c r="J2614" s="32">
        <v>12</v>
      </c>
      <c r="P2614" s="32">
        <v>5160</v>
      </c>
      <c r="R2614" s="32">
        <v>1560</v>
      </c>
      <c r="T2614" s="32">
        <v>3600</v>
      </c>
    </row>
    <row r="2615" spans="2:20" ht="12.75" hidden="1" x14ac:dyDescent="0.25">
      <c r="B2615" s="32">
        <v>63</v>
      </c>
      <c r="F2615" s="32" t="s">
        <v>110</v>
      </c>
      <c r="J2615" s="32">
        <v>1</v>
      </c>
      <c r="P2615" s="32">
        <v>1080</v>
      </c>
      <c r="R2615" s="32">
        <v>160</v>
      </c>
      <c r="T2615" s="32">
        <v>920</v>
      </c>
    </row>
    <row r="2616" spans="2:20" ht="12.75" hidden="1" x14ac:dyDescent="0.25">
      <c r="B2616" s="32">
        <v>64</v>
      </c>
      <c r="F2616" s="32" t="s">
        <v>109</v>
      </c>
      <c r="J2616" s="32">
        <v>2</v>
      </c>
      <c r="P2616" s="32">
        <v>1560</v>
      </c>
      <c r="R2616" s="32">
        <v>230</v>
      </c>
      <c r="T2616" s="32">
        <v>1330</v>
      </c>
    </row>
    <row r="2617" spans="2:20" ht="12.75" hidden="1" x14ac:dyDescent="0.25">
      <c r="B2617" s="32">
        <v>65</v>
      </c>
      <c r="F2617" s="32" t="s">
        <v>108</v>
      </c>
      <c r="J2617" s="32">
        <v>17</v>
      </c>
      <c r="P2617" s="32">
        <v>1700</v>
      </c>
      <c r="R2617" s="32">
        <v>60</v>
      </c>
      <c r="T2617" s="32">
        <v>1640</v>
      </c>
    </row>
    <row r="2618" spans="2:20" ht="12.75" hidden="1" x14ac:dyDescent="0.25">
      <c r="B2618" s="32">
        <v>66</v>
      </c>
      <c r="F2618" s="32" t="s">
        <v>107</v>
      </c>
      <c r="J2618" s="32">
        <v>122</v>
      </c>
      <c r="P2618" s="32">
        <v>20740</v>
      </c>
      <c r="R2618" s="32">
        <v>6630</v>
      </c>
      <c r="T2618" s="32">
        <v>14110</v>
      </c>
    </row>
    <row r="2619" spans="2:20" ht="12.75" hidden="1" x14ac:dyDescent="0.25">
      <c r="B2619" s="32">
        <v>67</v>
      </c>
      <c r="F2619" s="32" t="s">
        <v>106</v>
      </c>
      <c r="J2619" s="32">
        <v>252</v>
      </c>
      <c r="P2619" s="32">
        <v>25200</v>
      </c>
      <c r="R2619" s="32">
        <v>7560</v>
      </c>
      <c r="T2619" s="32">
        <v>17640</v>
      </c>
    </row>
    <row r="2620" spans="2:20" ht="12.75" hidden="1" x14ac:dyDescent="0.25">
      <c r="B2620" s="32">
        <v>68</v>
      </c>
      <c r="F2620" s="32" t="s">
        <v>216</v>
      </c>
      <c r="J2620" s="32">
        <v>1</v>
      </c>
      <c r="P2620" s="32">
        <v>1080</v>
      </c>
      <c r="R2620" s="32">
        <v>165</v>
      </c>
      <c r="T2620" s="32">
        <v>915</v>
      </c>
    </row>
    <row r="2621" spans="2:20" ht="12.75" hidden="1" x14ac:dyDescent="0.25">
      <c r="B2621" s="32">
        <v>69</v>
      </c>
      <c r="F2621" s="32" t="s">
        <v>105</v>
      </c>
      <c r="J2621" s="32">
        <v>7</v>
      </c>
      <c r="P2621" s="32">
        <v>8050</v>
      </c>
      <c r="R2621" s="32">
        <v>0</v>
      </c>
      <c r="T2621" s="32">
        <v>8050</v>
      </c>
    </row>
    <row r="2622" spans="2:20" ht="12.75" hidden="1" x14ac:dyDescent="0.25">
      <c r="B2622" s="32">
        <v>70</v>
      </c>
      <c r="F2622" s="32" t="s">
        <v>103</v>
      </c>
      <c r="J2622" s="32">
        <v>24</v>
      </c>
      <c r="P2622" s="32">
        <v>7920</v>
      </c>
      <c r="R2622" s="32">
        <v>2940</v>
      </c>
      <c r="T2622" s="32">
        <v>4980</v>
      </c>
    </row>
    <row r="2623" spans="2:20" ht="12.75" hidden="1" x14ac:dyDescent="0.25">
      <c r="B2623" s="32">
        <v>71</v>
      </c>
      <c r="F2623" s="32" t="s">
        <v>211</v>
      </c>
      <c r="J2623" s="32">
        <v>2</v>
      </c>
      <c r="P2623" s="32">
        <v>1000</v>
      </c>
      <c r="R2623" s="32">
        <v>300</v>
      </c>
      <c r="T2623" s="32">
        <v>700</v>
      </c>
    </row>
    <row r="2624" spans="2:20" ht="12.75" hidden="1" x14ac:dyDescent="0.25">
      <c r="B2624" s="32">
        <v>72</v>
      </c>
      <c r="F2624" s="32" t="s">
        <v>102</v>
      </c>
      <c r="J2624" s="32">
        <v>2</v>
      </c>
      <c r="P2624" s="32">
        <v>1760</v>
      </c>
      <c r="R2624" s="32">
        <v>260</v>
      </c>
      <c r="T2624" s="32">
        <v>1500</v>
      </c>
    </row>
    <row r="2625" spans="2:20" ht="12.75" hidden="1" x14ac:dyDescent="0.25">
      <c r="B2625" s="32">
        <v>73</v>
      </c>
      <c r="F2625" s="32" t="s">
        <v>179</v>
      </c>
      <c r="J2625" s="32">
        <v>1</v>
      </c>
      <c r="P2625" s="32">
        <v>880</v>
      </c>
      <c r="R2625" s="32">
        <v>130</v>
      </c>
      <c r="T2625" s="32">
        <v>750</v>
      </c>
    </row>
    <row r="2626" spans="2:20" ht="12.75" hidden="1" x14ac:dyDescent="0.25">
      <c r="B2626" s="32">
        <v>74</v>
      </c>
      <c r="F2626" s="32" t="s">
        <v>100</v>
      </c>
      <c r="J2626" s="32">
        <v>5</v>
      </c>
      <c r="P2626" s="32">
        <v>900</v>
      </c>
      <c r="R2626" s="32">
        <v>200</v>
      </c>
      <c r="T2626" s="32">
        <v>700</v>
      </c>
    </row>
    <row r="2627" spans="2:20" ht="12.75" hidden="1" x14ac:dyDescent="0.25">
      <c r="B2627" s="32">
        <v>75</v>
      </c>
      <c r="F2627" s="32" t="s">
        <v>178</v>
      </c>
      <c r="J2627" s="32">
        <v>1</v>
      </c>
      <c r="P2627" s="32">
        <v>1650</v>
      </c>
      <c r="R2627" s="32">
        <v>0</v>
      </c>
      <c r="T2627" s="32">
        <v>1650</v>
      </c>
    </row>
    <row r="2628" spans="2:20" ht="12.75" hidden="1" x14ac:dyDescent="0.25">
      <c r="B2628" s="32">
        <v>76</v>
      </c>
      <c r="F2628" s="32" t="s">
        <v>99</v>
      </c>
      <c r="J2628" s="32">
        <v>2</v>
      </c>
      <c r="P2628" s="32">
        <v>1180</v>
      </c>
      <c r="R2628" s="32">
        <v>180</v>
      </c>
      <c r="T2628" s="32">
        <v>1000</v>
      </c>
    </row>
    <row r="2629" spans="2:20" ht="12.75" hidden="1" x14ac:dyDescent="0.25">
      <c r="B2629" s="32">
        <v>77</v>
      </c>
      <c r="F2629" s="32" t="s">
        <v>98</v>
      </c>
      <c r="J2629" s="32">
        <v>2</v>
      </c>
      <c r="P2629" s="32">
        <v>1140</v>
      </c>
      <c r="R2629" s="32">
        <v>160</v>
      </c>
      <c r="T2629" s="32">
        <v>980</v>
      </c>
    </row>
    <row r="2630" spans="2:20" ht="12.75" hidden="1" x14ac:dyDescent="0.25">
      <c r="B2630" s="32">
        <v>78</v>
      </c>
      <c r="F2630" s="32" t="s">
        <v>97</v>
      </c>
      <c r="J2630" s="32">
        <v>3</v>
      </c>
      <c r="P2630" s="32">
        <v>4770</v>
      </c>
      <c r="R2630" s="32">
        <v>720</v>
      </c>
      <c r="T2630" s="32">
        <v>4050</v>
      </c>
    </row>
    <row r="2631" spans="2:20" ht="12.75" hidden="1" x14ac:dyDescent="0.25">
      <c r="B2631" s="32">
        <v>79</v>
      </c>
      <c r="F2631" s="32" t="s">
        <v>95</v>
      </c>
      <c r="J2631" s="32">
        <v>1</v>
      </c>
      <c r="P2631" s="32">
        <v>290</v>
      </c>
      <c r="R2631" s="32">
        <v>80</v>
      </c>
      <c r="T2631" s="32">
        <v>210</v>
      </c>
    </row>
    <row r="2632" spans="2:20" ht="12.75" hidden="1" x14ac:dyDescent="0.25">
      <c r="B2632" s="32">
        <v>80</v>
      </c>
      <c r="F2632" s="32" t="s">
        <v>93</v>
      </c>
      <c r="J2632" s="32">
        <v>6</v>
      </c>
      <c r="P2632" s="32">
        <v>3540</v>
      </c>
      <c r="R2632" s="32">
        <v>540</v>
      </c>
      <c r="T2632" s="32">
        <v>3000</v>
      </c>
    </row>
    <row r="2633" spans="2:20" ht="12.75" hidden="1" x14ac:dyDescent="0.25">
      <c r="B2633" s="32">
        <v>81</v>
      </c>
      <c r="F2633" s="32" t="s">
        <v>92</v>
      </c>
      <c r="J2633" s="32">
        <v>30</v>
      </c>
      <c r="P2633" s="32">
        <v>20840</v>
      </c>
      <c r="R2633" s="32">
        <v>6200</v>
      </c>
      <c r="T2633" s="32">
        <v>14640</v>
      </c>
    </row>
    <row r="2634" spans="2:20" ht="12.75" hidden="1" x14ac:dyDescent="0.25">
      <c r="B2634" s="32">
        <v>82</v>
      </c>
      <c r="F2634" s="32" t="s">
        <v>174</v>
      </c>
      <c r="J2634" s="32">
        <v>2</v>
      </c>
      <c r="P2634" s="32">
        <v>800</v>
      </c>
      <c r="R2634" s="32">
        <v>240</v>
      </c>
      <c r="T2634" s="32">
        <v>560</v>
      </c>
    </row>
    <row r="2635" spans="2:20" ht="12.75" hidden="1" x14ac:dyDescent="0.25">
      <c r="B2635" s="32">
        <v>83</v>
      </c>
      <c r="F2635" s="32" t="s">
        <v>173</v>
      </c>
      <c r="J2635" s="32">
        <v>3</v>
      </c>
      <c r="P2635" s="32">
        <v>3000</v>
      </c>
      <c r="R2635" s="32">
        <v>600</v>
      </c>
      <c r="T2635" s="32">
        <v>2400</v>
      </c>
    </row>
    <row r="2636" spans="2:20" ht="12.75" hidden="1" x14ac:dyDescent="0.25">
      <c r="B2636" s="32">
        <v>84</v>
      </c>
      <c r="F2636" s="32" t="s">
        <v>91</v>
      </c>
      <c r="J2636" s="32">
        <v>28</v>
      </c>
      <c r="P2636" s="32">
        <v>7000</v>
      </c>
      <c r="R2636" s="32">
        <v>1890</v>
      </c>
      <c r="T2636" s="32">
        <v>5110</v>
      </c>
    </row>
    <row r="2637" spans="2:20" ht="12.75" hidden="1" x14ac:dyDescent="0.25">
      <c r="B2637" s="32">
        <v>85</v>
      </c>
      <c r="F2637" s="32" t="s">
        <v>90</v>
      </c>
      <c r="J2637" s="32">
        <v>21</v>
      </c>
      <c r="P2637" s="32">
        <v>6090</v>
      </c>
      <c r="R2637" s="32">
        <v>1680</v>
      </c>
      <c r="T2637" s="32">
        <v>4410</v>
      </c>
    </row>
    <row r="2638" spans="2:20" ht="12.75" hidden="1" x14ac:dyDescent="0.25">
      <c r="B2638" s="32">
        <v>86</v>
      </c>
      <c r="F2638" s="32" t="s">
        <v>89</v>
      </c>
      <c r="J2638" s="32">
        <v>4</v>
      </c>
      <c r="P2638" s="32">
        <v>3520</v>
      </c>
      <c r="R2638" s="32">
        <v>520</v>
      </c>
      <c r="T2638" s="32">
        <v>3000</v>
      </c>
    </row>
    <row r="2639" spans="2:20" ht="12.75" hidden="1" x14ac:dyDescent="0.25">
      <c r="B2639" s="32">
        <v>87</v>
      </c>
      <c r="F2639" s="32" t="s">
        <v>88</v>
      </c>
      <c r="J2639" s="32">
        <v>99</v>
      </c>
      <c r="P2639" s="32">
        <v>17820</v>
      </c>
      <c r="R2639" s="32">
        <v>5885</v>
      </c>
      <c r="T2639" s="32">
        <v>11935</v>
      </c>
    </row>
    <row r="2640" spans="2:20" ht="12.75" hidden="1" x14ac:dyDescent="0.25">
      <c r="B2640" s="32">
        <v>88</v>
      </c>
      <c r="F2640" s="32" t="s">
        <v>87</v>
      </c>
      <c r="J2640" s="32">
        <v>2</v>
      </c>
      <c r="P2640" s="32">
        <v>580</v>
      </c>
      <c r="R2640" s="32">
        <v>160</v>
      </c>
      <c r="T2640" s="32">
        <v>420</v>
      </c>
    </row>
    <row r="2641" spans="1:20" ht="12.75" hidden="1" x14ac:dyDescent="0.25">
      <c r="B2641" s="32">
        <v>89</v>
      </c>
      <c r="F2641" s="32" t="s">
        <v>86</v>
      </c>
      <c r="J2641" s="32">
        <v>6</v>
      </c>
      <c r="P2641" s="32">
        <v>6840</v>
      </c>
      <c r="R2641" s="32">
        <v>454</v>
      </c>
      <c r="T2641" s="32">
        <v>6386</v>
      </c>
    </row>
    <row r="2642" spans="1:20" ht="12.75" hidden="1" x14ac:dyDescent="0.25">
      <c r="B2642" s="32">
        <v>90</v>
      </c>
      <c r="F2642" s="32" t="s">
        <v>85</v>
      </c>
      <c r="J2642" s="32">
        <v>15</v>
      </c>
      <c r="P2642" s="32">
        <v>31200</v>
      </c>
      <c r="R2642" s="32">
        <v>4030</v>
      </c>
      <c r="T2642" s="32">
        <v>27170</v>
      </c>
    </row>
    <row r="2643" spans="1:20" ht="12.75" hidden="1" x14ac:dyDescent="0.25">
      <c r="B2643" s="32">
        <v>91</v>
      </c>
      <c r="F2643" s="32" t="s">
        <v>84</v>
      </c>
      <c r="J2643" s="32">
        <v>15</v>
      </c>
      <c r="P2643" s="32">
        <v>8850</v>
      </c>
      <c r="R2643" s="32">
        <v>2160</v>
      </c>
      <c r="T2643" s="32">
        <v>6690</v>
      </c>
    </row>
    <row r="2644" spans="1:20" ht="12.75" hidden="1" x14ac:dyDescent="0.25">
      <c r="B2644" s="32">
        <v>92</v>
      </c>
      <c r="F2644" s="32" t="s">
        <v>208</v>
      </c>
      <c r="J2644" s="32">
        <v>2</v>
      </c>
      <c r="P2644" s="32">
        <v>1000</v>
      </c>
      <c r="R2644" s="32">
        <v>300</v>
      </c>
      <c r="T2644" s="32">
        <v>700</v>
      </c>
    </row>
    <row r="2645" spans="1:20" ht="12.75" hidden="1" x14ac:dyDescent="0.25">
      <c r="B2645" s="32">
        <v>93</v>
      </c>
      <c r="F2645" s="32" t="s">
        <v>83</v>
      </c>
      <c r="J2645" s="32">
        <v>1</v>
      </c>
      <c r="P2645" s="32">
        <v>500</v>
      </c>
      <c r="R2645" s="32">
        <v>150</v>
      </c>
      <c r="T2645" s="32">
        <v>350</v>
      </c>
    </row>
    <row r="2646" spans="1:20" ht="12.75" hidden="1" x14ac:dyDescent="0.25">
      <c r="B2646" s="32">
        <v>94</v>
      </c>
      <c r="F2646" s="32" t="s">
        <v>271</v>
      </c>
      <c r="J2646" s="32">
        <v>1</v>
      </c>
      <c r="P2646" s="32">
        <v>500</v>
      </c>
      <c r="R2646" s="32">
        <v>150</v>
      </c>
      <c r="T2646" s="32">
        <v>350</v>
      </c>
    </row>
    <row r="2647" spans="1:20" ht="12.75" hidden="1" x14ac:dyDescent="0.25">
      <c r="B2647" s="32">
        <v>95</v>
      </c>
      <c r="F2647" s="32" t="s">
        <v>82</v>
      </c>
      <c r="J2647" s="32">
        <v>5</v>
      </c>
      <c r="P2647" s="32">
        <v>1450</v>
      </c>
      <c r="R2647" s="32">
        <v>1450</v>
      </c>
      <c r="T2647" s="32">
        <v>0</v>
      </c>
    </row>
    <row r="2648" spans="1:20" ht="12.75" hidden="1" x14ac:dyDescent="0.25">
      <c r="B2648" s="32">
        <v>96</v>
      </c>
      <c r="F2648" s="32" t="s">
        <v>81</v>
      </c>
      <c r="J2648" s="32">
        <v>5</v>
      </c>
      <c r="P2648" s="32">
        <v>1450</v>
      </c>
      <c r="R2648" s="32">
        <v>400</v>
      </c>
      <c r="T2648" s="32">
        <v>1050</v>
      </c>
    </row>
    <row r="2649" spans="1:20" ht="12.75" hidden="1" x14ac:dyDescent="0.25">
      <c r="A2649" s="32" t="s">
        <v>385</v>
      </c>
      <c r="K2649" s="32">
        <v>6263</v>
      </c>
      <c r="P2649" s="32">
        <v>6435630</v>
      </c>
      <c r="R2649" s="32">
        <v>5597540</v>
      </c>
      <c r="T2649" s="32">
        <v>838090</v>
      </c>
    </row>
    <row r="2650" spans="1:20" ht="12.75" hidden="1" x14ac:dyDescent="0.25">
      <c r="B2650" s="32">
        <v>1</v>
      </c>
      <c r="F2650" s="32" t="s">
        <v>200</v>
      </c>
      <c r="J2650" s="32">
        <v>1</v>
      </c>
      <c r="P2650" s="32">
        <v>500</v>
      </c>
      <c r="R2650" s="32">
        <v>150</v>
      </c>
      <c r="T2650" s="32">
        <v>350</v>
      </c>
    </row>
    <row r="2651" spans="1:20" ht="12.75" hidden="1" x14ac:dyDescent="0.25">
      <c r="B2651" s="32">
        <v>2</v>
      </c>
      <c r="F2651" s="32" t="s">
        <v>78</v>
      </c>
      <c r="J2651" s="32">
        <v>337</v>
      </c>
      <c r="P2651" s="32">
        <v>97730</v>
      </c>
      <c r="R2651" s="32">
        <v>97730</v>
      </c>
      <c r="T2651" s="32">
        <v>0</v>
      </c>
    </row>
    <row r="2652" spans="1:20" ht="12.75" hidden="1" x14ac:dyDescent="0.25">
      <c r="B2652" s="32">
        <v>3</v>
      </c>
      <c r="F2652" s="32" t="s">
        <v>162</v>
      </c>
      <c r="J2652" s="32">
        <v>8</v>
      </c>
      <c r="P2652" s="32">
        <v>3440</v>
      </c>
      <c r="R2652" s="32">
        <v>1562</v>
      </c>
      <c r="T2652" s="32">
        <v>1878</v>
      </c>
    </row>
    <row r="2653" spans="1:20" ht="12.75" hidden="1" x14ac:dyDescent="0.25">
      <c r="B2653" s="32">
        <v>4</v>
      </c>
      <c r="F2653" s="32" t="s">
        <v>384</v>
      </c>
      <c r="J2653" s="32">
        <v>1</v>
      </c>
      <c r="P2653" s="32">
        <v>4350</v>
      </c>
      <c r="R2653" s="32">
        <v>650</v>
      </c>
      <c r="T2653" s="32">
        <v>3700</v>
      </c>
    </row>
    <row r="2654" spans="1:20" ht="12.75" hidden="1" x14ac:dyDescent="0.25">
      <c r="B2654" s="32">
        <v>5</v>
      </c>
      <c r="F2654" s="32" t="s">
        <v>159</v>
      </c>
      <c r="J2654" s="32">
        <v>111</v>
      </c>
      <c r="P2654" s="32">
        <v>0</v>
      </c>
      <c r="R2654" s="32">
        <v>0</v>
      </c>
      <c r="T2654" s="32">
        <v>0</v>
      </c>
    </row>
    <row r="2655" spans="1:20" ht="12.75" hidden="1" x14ac:dyDescent="0.25">
      <c r="B2655" s="32">
        <v>6</v>
      </c>
      <c r="F2655" s="32" t="s">
        <v>158</v>
      </c>
      <c r="J2655" s="32">
        <v>1041</v>
      </c>
      <c r="P2655" s="32">
        <v>572550</v>
      </c>
      <c r="R2655" s="32">
        <v>172360</v>
      </c>
      <c r="T2655" s="32">
        <v>400190</v>
      </c>
    </row>
    <row r="2656" spans="1:20" ht="12.75" hidden="1" x14ac:dyDescent="0.25">
      <c r="B2656" s="32">
        <v>7</v>
      </c>
      <c r="F2656" s="32" t="s">
        <v>157</v>
      </c>
      <c r="J2656" s="32">
        <v>37</v>
      </c>
      <c r="P2656" s="32">
        <v>18130</v>
      </c>
      <c r="R2656" s="32">
        <v>7878</v>
      </c>
      <c r="T2656" s="32">
        <v>10252</v>
      </c>
    </row>
    <row r="2657" spans="2:20" ht="12.75" hidden="1" x14ac:dyDescent="0.25">
      <c r="B2657" s="32">
        <v>8</v>
      </c>
      <c r="F2657" s="32" t="s">
        <v>292</v>
      </c>
      <c r="J2657" s="32">
        <v>1</v>
      </c>
      <c r="P2657" s="32">
        <v>700</v>
      </c>
      <c r="R2657" s="32">
        <v>700</v>
      </c>
      <c r="T2657" s="32">
        <v>0</v>
      </c>
    </row>
    <row r="2658" spans="2:20" ht="12.75" hidden="1" x14ac:dyDescent="0.25">
      <c r="B2658" s="32">
        <v>9</v>
      </c>
      <c r="F2658" s="32" t="s">
        <v>77</v>
      </c>
      <c r="J2658" s="32">
        <v>1636</v>
      </c>
      <c r="P2658" s="32">
        <v>659900</v>
      </c>
      <c r="R2658" s="32">
        <v>659900</v>
      </c>
      <c r="T2658" s="32">
        <v>0</v>
      </c>
    </row>
    <row r="2659" spans="2:20" ht="12.75" hidden="1" x14ac:dyDescent="0.25">
      <c r="B2659" s="32">
        <v>10</v>
      </c>
      <c r="F2659" s="32" t="s">
        <v>76</v>
      </c>
      <c r="J2659" s="32">
        <v>2</v>
      </c>
      <c r="P2659" s="32">
        <v>1200</v>
      </c>
      <c r="R2659" s="32">
        <v>1200</v>
      </c>
      <c r="T2659" s="32">
        <v>0</v>
      </c>
    </row>
    <row r="2660" spans="2:20" ht="12.75" hidden="1" x14ac:dyDescent="0.25">
      <c r="B2660" s="32">
        <v>11</v>
      </c>
      <c r="F2660" s="32" t="s">
        <v>156</v>
      </c>
      <c r="J2660" s="32">
        <v>1</v>
      </c>
      <c r="P2660" s="32">
        <v>190</v>
      </c>
      <c r="R2660" s="32">
        <v>50</v>
      </c>
      <c r="T2660" s="32">
        <v>140</v>
      </c>
    </row>
    <row r="2661" spans="2:20" ht="12.75" hidden="1" x14ac:dyDescent="0.25">
      <c r="B2661" s="32">
        <v>12</v>
      </c>
      <c r="F2661" s="32" t="s">
        <v>155</v>
      </c>
      <c r="J2661" s="32">
        <v>4</v>
      </c>
      <c r="P2661" s="32">
        <v>1000</v>
      </c>
      <c r="R2661" s="32">
        <v>310</v>
      </c>
      <c r="T2661" s="32">
        <v>690</v>
      </c>
    </row>
    <row r="2662" spans="2:20" ht="12.75" hidden="1" x14ac:dyDescent="0.25">
      <c r="B2662" s="32">
        <v>13</v>
      </c>
      <c r="F2662" s="32" t="s">
        <v>151</v>
      </c>
      <c r="J2662" s="32">
        <v>56</v>
      </c>
      <c r="P2662" s="32">
        <v>12880</v>
      </c>
      <c r="R2662" s="32">
        <v>4150</v>
      </c>
      <c r="T2662" s="32">
        <v>8730</v>
      </c>
    </row>
    <row r="2663" spans="2:20" ht="12.75" hidden="1" x14ac:dyDescent="0.25">
      <c r="B2663" s="32">
        <v>14</v>
      </c>
      <c r="F2663" s="32" t="s">
        <v>150</v>
      </c>
      <c r="J2663" s="32">
        <v>3</v>
      </c>
      <c r="P2663" s="32">
        <v>510</v>
      </c>
      <c r="R2663" s="32">
        <v>150</v>
      </c>
      <c r="T2663" s="32">
        <v>360</v>
      </c>
    </row>
    <row r="2664" spans="2:20" ht="12.75" hidden="1" x14ac:dyDescent="0.25">
      <c r="B2664" s="32">
        <v>15</v>
      </c>
      <c r="F2664" s="32" t="s">
        <v>233</v>
      </c>
      <c r="J2664" s="32">
        <v>1</v>
      </c>
      <c r="P2664" s="32">
        <v>980</v>
      </c>
      <c r="R2664" s="32">
        <v>150</v>
      </c>
      <c r="T2664" s="32">
        <v>830</v>
      </c>
    </row>
    <row r="2665" spans="2:20" ht="12.75" hidden="1" x14ac:dyDescent="0.25">
      <c r="B2665" s="32">
        <v>16</v>
      </c>
      <c r="F2665" s="32" t="s">
        <v>232</v>
      </c>
      <c r="J2665" s="32">
        <v>1</v>
      </c>
      <c r="P2665" s="32">
        <v>980</v>
      </c>
      <c r="R2665" s="32">
        <v>150</v>
      </c>
      <c r="T2665" s="32">
        <v>830</v>
      </c>
    </row>
    <row r="2666" spans="2:20" ht="12.75" hidden="1" x14ac:dyDescent="0.25">
      <c r="B2666" s="32">
        <v>17</v>
      </c>
      <c r="F2666" s="32" t="s">
        <v>193</v>
      </c>
      <c r="J2666" s="32">
        <v>1</v>
      </c>
      <c r="P2666" s="32">
        <v>890</v>
      </c>
      <c r="R2666" s="32">
        <v>130</v>
      </c>
      <c r="T2666" s="32">
        <v>760</v>
      </c>
    </row>
    <row r="2667" spans="2:20" ht="12.75" hidden="1" x14ac:dyDescent="0.25">
      <c r="B2667" s="32">
        <v>18</v>
      </c>
      <c r="F2667" s="32" t="s">
        <v>75</v>
      </c>
      <c r="J2667" s="32">
        <v>1743</v>
      </c>
      <c r="P2667" s="32">
        <v>4357500</v>
      </c>
      <c r="R2667" s="32">
        <v>4357500</v>
      </c>
      <c r="T2667" s="32">
        <v>0</v>
      </c>
    </row>
    <row r="2668" spans="2:20" ht="12.75" hidden="1" x14ac:dyDescent="0.25">
      <c r="B2668" s="32">
        <v>19</v>
      </c>
      <c r="F2668" s="32" t="s">
        <v>302</v>
      </c>
      <c r="J2668" s="32">
        <v>2</v>
      </c>
      <c r="P2668" s="32">
        <v>1600</v>
      </c>
      <c r="R2668" s="32">
        <v>900</v>
      </c>
      <c r="T2668" s="32">
        <v>700</v>
      </c>
    </row>
    <row r="2669" spans="2:20" ht="12.75" hidden="1" x14ac:dyDescent="0.25">
      <c r="B2669" s="32">
        <v>20</v>
      </c>
      <c r="F2669" s="32" t="s">
        <v>137</v>
      </c>
      <c r="J2669" s="32">
        <v>1</v>
      </c>
      <c r="P2669" s="32">
        <v>800</v>
      </c>
      <c r="R2669" s="32">
        <v>450</v>
      </c>
      <c r="T2669" s="32">
        <v>350</v>
      </c>
    </row>
    <row r="2670" spans="2:20" ht="12.75" hidden="1" x14ac:dyDescent="0.25">
      <c r="B2670" s="32">
        <v>21</v>
      </c>
      <c r="F2670" s="32" t="s">
        <v>136</v>
      </c>
      <c r="J2670" s="32">
        <v>8</v>
      </c>
      <c r="P2670" s="32">
        <v>6800</v>
      </c>
      <c r="R2670" s="32">
        <v>1950</v>
      </c>
      <c r="T2670" s="32">
        <v>4850</v>
      </c>
    </row>
    <row r="2671" spans="2:20" ht="12.75" hidden="1" x14ac:dyDescent="0.25">
      <c r="B2671" s="32">
        <v>22</v>
      </c>
      <c r="F2671" s="32" t="s">
        <v>74</v>
      </c>
      <c r="J2671" s="32">
        <v>137</v>
      </c>
      <c r="P2671" s="32">
        <v>116450</v>
      </c>
      <c r="R2671" s="32">
        <v>116450</v>
      </c>
      <c r="T2671" s="32">
        <v>0</v>
      </c>
    </row>
    <row r="2672" spans="2:20" ht="12.75" hidden="1" x14ac:dyDescent="0.25">
      <c r="B2672" s="32">
        <v>23</v>
      </c>
      <c r="F2672" s="32" t="s">
        <v>190</v>
      </c>
      <c r="J2672" s="32">
        <v>16</v>
      </c>
      <c r="P2672" s="32">
        <v>25120</v>
      </c>
      <c r="R2672" s="32">
        <v>3840</v>
      </c>
      <c r="T2672" s="32">
        <v>21280</v>
      </c>
    </row>
    <row r="2673" spans="2:20" ht="12.75" hidden="1" x14ac:dyDescent="0.25">
      <c r="B2673" s="32">
        <v>24</v>
      </c>
      <c r="F2673" s="32" t="s">
        <v>230</v>
      </c>
      <c r="J2673" s="32">
        <v>1</v>
      </c>
      <c r="P2673" s="32">
        <v>950</v>
      </c>
      <c r="R2673" s="32">
        <v>140</v>
      </c>
      <c r="T2673" s="32">
        <v>810</v>
      </c>
    </row>
    <row r="2674" spans="2:20" ht="12.75" hidden="1" x14ac:dyDescent="0.25">
      <c r="B2674" s="32">
        <v>25</v>
      </c>
      <c r="F2674" s="32" t="s">
        <v>229</v>
      </c>
      <c r="J2674" s="32">
        <v>4</v>
      </c>
      <c r="P2674" s="32">
        <v>28000</v>
      </c>
      <c r="R2674" s="32">
        <v>12400</v>
      </c>
      <c r="T2674" s="32">
        <v>15600</v>
      </c>
    </row>
    <row r="2675" spans="2:20" ht="12.75" hidden="1" x14ac:dyDescent="0.25">
      <c r="B2675" s="32">
        <v>26</v>
      </c>
      <c r="F2675" s="32" t="s">
        <v>132</v>
      </c>
      <c r="J2675" s="32">
        <v>1</v>
      </c>
      <c r="P2675" s="32">
        <v>1240</v>
      </c>
      <c r="R2675" s="32">
        <v>370</v>
      </c>
      <c r="T2675" s="32">
        <v>870</v>
      </c>
    </row>
    <row r="2676" spans="2:20" ht="12.75" hidden="1" x14ac:dyDescent="0.25">
      <c r="B2676" s="32">
        <v>27</v>
      </c>
      <c r="F2676" s="32" t="s">
        <v>131</v>
      </c>
      <c r="J2676" s="32">
        <v>10</v>
      </c>
      <c r="P2676" s="32">
        <v>37000</v>
      </c>
      <c r="R2676" s="32">
        <v>8000</v>
      </c>
      <c r="T2676" s="32">
        <v>29000</v>
      </c>
    </row>
    <row r="2677" spans="2:20" ht="12.75" hidden="1" x14ac:dyDescent="0.25">
      <c r="B2677" s="32">
        <v>28</v>
      </c>
      <c r="F2677" s="32" t="s">
        <v>130</v>
      </c>
      <c r="J2677" s="32">
        <v>9</v>
      </c>
      <c r="P2677" s="32">
        <v>72000</v>
      </c>
      <c r="R2677" s="32">
        <v>36900</v>
      </c>
      <c r="T2677" s="32">
        <v>35100</v>
      </c>
    </row>
    <row r="2678" spans="2:20" ht="12.75" hidden="1" x14ac:dyDescent="0.25">
      <c r="B2678" s="32">
        <v>29</v>
      </c>
      <c r="F2678" s="32" t="s">
        <v>127</v>
      </c>
      <c r="J2678" s="32">
        <v>85</v>
      </c>
      <c r="P2678" s="32">
        <v>25500</v>
      </c>
      <c r="R2678" s="32">
        <v>6186</v>
      </c>
      <c r="T2678" s="32">
        <v>19314</v>
      </c>
    </row>
    <row r="2679" spans="2:20" ht="12.75" hidden="1" x14ac:dyDescent="0.25">
      <c r="B2679" s="32">
        <v>30</v>
      </c>
      <c r="F2679" s="32" t="s">
        <v>126</v>
      </c>
      <c r="J2679" s="32">
        <v>42</v>
      </c>
      <c r="P2679" s="32">
        <v>8400</v>
      </c>
      <c r="R2679" s="32">
        <v>1542</v>
      </c>
      <c r="T2679" s="32">
        <v>6858</v>
      </c>
    </row>
    <row r="2680" spans="2:20" ht="12.75" hidden="1" x14ac:dyDescent="0.25">
      <c r="B2680" s="32">
        <v>31</v>
      </c>
      <c r="F2680" s="32" t="s">
        <v>125</v>
      </c>
      <c r="J2680" s="32">
        <v>3</v>
      </c>
      <c r="P2680" s="32">
        <v>1200</v>
      </c>
      <c r="R2680" s="32">
        <v>240</v>
      </c>
      <c r="T2680" s="32">
        <v>960</v>
      </c>
    </row>
    <row r="2681" spans="2:20" ht="12.75" hidden="1" x14ac:dyDescent="0.25">
      <c r="B2681" s="32">
        <v>32</v>
      </c>
      <c r="F2681" s="32" t="s">
        <v>124</v>
      </c>
      <c r="J2681" s="32">
        <v>4</v>
      </c>
      <c r="P2681" s="32">
        <v>1600</v>
      </c>
      <c r="R2681" s="32">
        <v>480</v>
      </c>
      <c r="T2681" s="32">
        <v>1120</v>
      </c>
    </row>
    <row r="2682" spans="2:20" ht="12.75" hidden="1" x14ac:dyDescent="0.25">
      <c r="B2682" s="32">
        <v>33</v>
      </c>
      <c r="F2682" s="32" t="s">
        <v>123</v>
      </c>
      <c r="J2682" s="32">
        <v>188</v>
      </c>
      <c r="P2682" s="32">
        <v>146640</v>
      </c>
      <c r="R2682" s="32">
        <v>43240</v>
      </c>
      <c r="T2682" s="32">
        <v>103400</v>
      </c>
    </row>
    <row r="2683" spans="2:20" ht="12.75" hidden="1" x14ac:dyDescent="0.25">
      <c r="B2683" s="32">
        <v>34</v>
      </c>
      <c r="F2683" s="32" t="s">
        <v>122</v>
      </c>
      <c r="J2683" s="32">
        <v>2</v>
      </c>
      <c r="P2683" s="32">
        <v>1000</v>
      </c>
      <c r="R2683" s="32">
        <v>300</v>
      </c>
      <c r="T2683" s="32">
        <v>700</v>
      </c>
    </row>
    <row r="2684" spans="2:20" ht="12.75" hidden="1" x14ac:dyDescent="0.25">
      <c r="B2684" s="32">
        <v>35</v>
      </c>
      <c r="F2684" s="32" t="s">
        <v>121</v>
      </c>
      <c r="J2684" s="32">
        <v>2</v>
      </c>
      <c r="P2684" s="32">
        <v>1000</v>
      </c>
      <c r="R2684" s="32">
        <v>300</v>
      </c>
      <c r="T2684" s="32">
        <v>700</v>
      </c>
    </row>
    <row r="2685" spans="2:20" ht="12.75" hidden="1" x14ac:dyDescent="0.25">
      <c r="B2685" s="32">
        <v>36</v>
      </c>
      <c r="F2685" s="32" t="s">
        <v>182</v>
      </c>
      <c r="J2685" s="32">
        <v>1</v>
      </c>
      <c r="P2685" s="32">
        <v>790</v>
      </c>
      <c r="R2685" s="32">
        <v>120</v>
      </c>
      <c r="T2685" s="32">
        <v>670</v>
      </c>
    </row>
    <row r="2686" spans="2:20" ht="12.75" hidden="1" x14ac:dyDescent="0.25">
      <c r="B2686" s="32">
        <v>37</v>
      </c>
      <c r="F2686" s="32" t="s">
        <v>118</v>
      </c>
      <c r="J2686" s="32">
        <v>118</v>
      </c>
      <c r="P2686" s="32">
        <v>116820</v>
      </c>
      <c r="R2686" s="32">
        <v>40580</v>
      </c>
      <c r="T2686" s="32">
        <v>76240</v>
      </c>
    </row>
    <row r="2687" spans="2:20" ht="12.75" hidden="1" x14ac:dyDescent="0.25">
      <c r="B2687" s="32">
        <v>38</v>
      </c>
      <c r="F2687" s="32" t="s">
        <v>117</v>
      </c>
      <c r="J2687" s="32">
        <v>3</v>
      </c>
      <c r="P2687" s="32">
        <v>2400</v>
      </c>
      <c r="R2687" s="32">
        <v>600</v>
      </c>
      <c r="T2687" s="32">
        <v>1800</v>
      </c>
    </row>
    <row r="2688" spans="2:20" ht="12.75" hidden="1" x14ac:dyDescent="0.25">
      <c r="B2688" s="32">
        <v>39</v>
      </c>
      <c r="F2688" s="32" t="s">
        <v>115</v>
      </c>
      <c r="J2688" s="32">
        <v>12</v>
      </c>
      <c r="P2688" s="32">
        <v>3480</v>
      </c>
      <c r="R2688" s="32">
        <v>1230</v>
      </c>
      <c r="T2688" s="32">
        <v>2250</v>
      </c>
    </row>
    <row r="2689" spans="2:20" ht="12.75" hidden="1" x14ac:dyDescent="0.25">
      <c r="B2689" s="32">
        <v>40</v>
      </c>
      <c r="F2689" s="32" t="s">
        <v>383</v>
      </c>
      <c r="J2689" s="32">
        <v>4</v>
      </c>
      <c r="P2689" s="32">
        <v>320</v>
      </c>
      <c r="R2689" s="32">
        <v>0</v>
      </c>
      <c r="T2689" s="32">
        <v>320</v>
      </c>
    </row>
    <row r="2690" spans="2:20" ht="12.75" hidden="1" x14ac:dyDescent="0.25">
      <c r="B2690" s="32">
        <v>41</v>
      </c>
      <c r="F2690" s="32" t="s">
        <v>219</v>
      </c>
      <c r="J2690" s="32">
        <v>2</v>
      </c>
      <c r="P2690" s="32">
        <v>1000</v>
      </c>
      <c r="R2690" s="32">
        <v>300</v>
      </c>
      <c r="T2690" s="32">
        <v>700</v>
      </c>
    </row>
    <row r="2691" spans="2:20" ht="12.75" hidden="1" x14ac:dyDescent="0.25">
      <c r="B2691" s="32">
        <v>42</v>
      </c>
      <c r="F2691" s="32" t="s">
        <v>334</v>
      </c>
      <c r="J2691" s="32">
        <v>1</v>
      </c>
      <c r="P2691" s="32">
        <v>790</v>
      </c>
      <c r="R2691" s="32">
        <v>120</v>
      </c>
      <c r="T2691" s="32">
        <v>670</v>
      </c>
    </row>
    <row r="2692" spans="2:20" ht="12.75" hidden="1" x14ac:dyDescent="0.25">
      <c r="B2692" s="32">
        <v>43</v>
      </c>
      <c r="F2692" s="32" t="s">
        <v>181</v>
      </c>
      <c r="J2692" s="32">
        <v>1</v>
      </c>
      <c r="P2692" s="32">
        <v>790</v>
      </c>
      <c r="R2692" s="32">
        <v>120</v>
      </c>
      <c r="T2692" s="32">
        <v>670</v>
      </c>
    </row>
    <row r="2693" spans="2:20" ht="12.75" hidden="1" x14ac:dyDescent="0.25">
      <c r="B2693" s="32">
        <v>44</v>
      </c>
      <c r="F2693" s="32" t="s">
        <v>108</v>
      </c>
      <c r="J2693" s="32">
        <v>404</v>
      </c>
      <c r="P2693" s="32">
        <v>40400</v>
      </c>
      <c r="R2693" s="32">
        <v>1360</v>
      </c>
      <c r="T2693" s="32">
        <v>39040</v>
      </c>
    </row>
    <row r="2694" spans="2:20" ht="12.75" hidden="1" x14ac:dyDescent="0.25">
      <c r="B2694" s="32">
        <v>45</v>
      </c>
      <c r="F2694" s="32" t="s">
        <v>107</v>
      </c>
      <c r="J2694" s="32">
        <v>18</v>
      </c>
      <c r="P2694" s="32">
        <v>3060</v>
      </c>
      <c r="R2694" s="32">
        <v>1044</v>
      </c>
      <c r="T2694" s="32">
        <v>2016</v>
      </c>
    </row>
    <row r="2695" spans="2:20" ht="12.75" hidden="1" x14ac:dyDescent="0.25">
      <c r="B2695" s="32">
        <v>46</v>
      </c>
      <c r="F2695" s="32" t="s">
        <v>106</v>
      </c>
      <c r="J2695" s="32">
        <v>95</v>
      </c>
      <c r="P2695" s="32">
        <v>9500</v>
      </c>
      <c r="R2695" s="32">
        <v>2670</v>
      </c>
      <c r="T2695" s="32">
        <v>6830</v>
      </c>
    </row>
    <row r="2696" spans="2:20" ht="12.75" hidden="1" x14ac:dyDescent="0.25">
      <c r="B2696" s="32">
        <v>47</v>
      </c>
      <c r="F2696" s="32" t="s">
        <v>255</v>
      </c>
      <c r="J2696" s="32">
        <v>2</v>
      </c>
      <c r="P2696" s="32">
        <v>1900</v>
      </c>
      <c r="R2696" s="32">
        <v>280</v>
      </c>
      <c r="T2696" s="32">
        <v>1620</v>
      </c>
    </row>
    <row r="2697" spans="2:20" ht="12.75" hidden="1" x14ac:dyDescent="0.25">
      <c r="B2697" s="32">
        <v>48</v>
      </c>
      <c r="F2697" s="32" t="s">
        <v>103</v>
      </c>
      <c r="J2697" s="32">
        <v>6</v>
      </c>
      <c r="P2697" s="32">
        <v>1980</v>
      </c>
      <c r="R2697" s="32">
        <v>720</v>
      </c>
      <c r="T2697" s="32">
        <v>1260</v>
      </c>
    </row>
    <row r="2698" spans="2:20" ht="12.75" hidden="1" x14ac:dyDescent="0.25">
      <c r="B2698" s="32">
        <v>49</v>
      </c>
      <c r="F2698" s="32" t="s">
        <v>211</v>
      </c>
      <c r="J2698" s="32">
        <v>1</v>
      </c>
      <c r="P2698" s="32">
        <v>500</v>
      </c>
      <c r="R2698" s="32">
        <v>150</v>
      </c>
      <c r="T2698" s="32">
        <v>350</v>
      </c>
    </row>
    <row r="2699" spans="2:20" ht="12.75" hidden="1" x14ac:dyDescent="0.25">
      <c r="B2699" s="32">
        <v>50</v>
      </c>
      <c r="F2699" s="32" t="s">
        <v>100</v>
      </c>
      <c r="J2699" s="32">
        <v>1</v>
      </c>
      <c r="P2699" s="32">
        <v>180</v>
      </c>
      <c r="R2699" s="32">
        <v>50</v>
      </c>
      <c r="T2699" s="32">
        <v>130</v>
      </c>
    </row>
    <row r="2700" spans="2:20" ht="12.75" hidden="1" x14ac:dyDescent="0.25">
      <c r="B2700" s="32">
        <v>51</v>
      </c>
      <c r="F2700" s="32" t="s">
        <v>99</v>
      </c>
      <c r="J2700" s="32">
        <v>1</v>
      </c>
      <c r="P2700" s="32">
        <v>590</v>
      </c>
      <c r="R2700" s="32">
        <v>90</v>
      </c>
      <c r="T2700" s="32">
        <v>500</v>
      </c>
    </row>
    <row r="2701" spans="2:20" ht="12.75" hidden="1" x14ac:dyDescent="0.25">
      <c r="B2701" s="32">
        <v>52</v>
      </c>
      <c r="F2701" s="32" t="s">
        <v>98</v>
      </c>
      <c r="J2701" s="32">
        <v>1</v>
      </c>
      <c r="P2701" s="32">
        <v>570</v>
      </c>
      <c r="R2701" s="32">
        <v>80</v>
      </c>
      <c r="T2701" s="32">
        <v>490</v>
      </c>
    </row>
    <row r="2702" spans="2:20" ht="12.75" hidden="1" x14ac:dyDescent="0.25">
      <c r="B2702" s="32">
        <v>53</v>
      </c>
      <c r="F2702" s="32" t="s">
        <v>95</v>
      </c>
      <c r="J2702" s="32">
        <v>2</v>
      </c>
      <c r="P2702" s="32">
        <v>580</v>
      </c>
      <c r="R2702" s="32">
        <v>160</v>
      </c>
      <c r="T2702" s="32">
        <v>420</v>
      </c>
    </row>
    <row r="2703" spans="2:20" ht="12.75" hidden="1" x14ac:dyDescent="0.25">
      <c r="B2703" s="32">
        <v>54</v>
      </c>
      <c r="F2703" s="32" t="s">
        <v>93</v>
      </c>
      <c r="J2703" s="32">
        <v>5</v>
      </c>
      <c r="P2703" s="32">
        <v>2950</v>
      </c>
      <c r="R2703" s="32">
        <v>450</v>
      </c>
      <c r="T2703" s="32">
        <v>2500</v>
      </c>
    </row>
    <row r="2704" spans="2:20" ht="12.75" hidden="1" x14ac:dyDescent="0.25">
      <c r="B2704" s="32">
        <v>55</v>
      </c>
      <c r="F2704" s="32" t="s">
        <v>92</v>
      </c>
      <c r="J2704" s="32">
        <v>45</v>
      </c>
      <c r="P2704" s="32">
        <v>26160</v>
      </c>
      <c r="R2704" s="32">
        <v>5400</v>
      </c>
      <c r="T2704" s="32">
        <v>20760</v>
      </c>
    </row>
    <row r="2705" spans="1:20" ht="12.75" hidden="1" x14ac:dyDescent="0.25">
      <c r="B2705" s="32">
        <v>56</v>
      </c>
      <c r="F2705" s="32" t="s">
        <v>91</v>
      </c>
      <c r="J2705" s="32">
        <v>4</v>
      </c>
      <c r="P2705" s="32">
        <v>1000</v>
      </c>
      <c r="R2705" s="32">
        <v>280</v>
      </c>
      <c r="T2705" s="32">
        <v>720</v>
      </c>
    </row>
    <row r="2706" spans="1:20" ht="12.75" hidden="1" x14ac:dyDescent="0.25">
      <c r="B2706" s="32">
        <v>57</v>
      </c>
      <c r="F2706" s="32" t="s">
        <v>90</v>
      </c>
      <c r="J2706" s="32">
        <v>2</v>
      </c>
      <c r="P2706" s="32">
        <v>580</v>
      </c>
      <c r="R2706" s="32">
        <v>160</v>
      </c>
      <c r="T2706" s="32">
        <v>420</v>
      </c>
    </row>
    <row r="2707" spans="1:20" ht="12.75" hidden="1" x14ac:dyDescent="0.25">
      <c r="B2707" s="32">
        <v>58</v>
      </c>
      <c r="F2707" s="32" t="s">
        <v>88</v>
      </c>
      <c r="J2707" s="32">
        <v>20</v>
      </c>
      <c r="P2707" s="32">
        <v>3600</v>
      </c>
      <c r="R2707" s="32">
        <v>1288</v>
      </c>
      <c r="T2707" s="32">
        <v>2312</v>
      </c>
    </row>
    <row r="2708" spans="1:20" ht="12.75" hidden="1" x14ac:dyDescent="0.25">
      <c r="B2708" s="32">
        <v>59</v>
      </c>
      <c r="F2708" s="32" t="s">
        <v>87</v>
      </c>
      <c r="J2708" s="32">
        <v>2</v>
      </c>
      <c r="P2708" s="32">
        <v>580</v>
      </c>
      <c r="R2708" s="32">
        <v>80</v>
      </c>
      <c r="T2708" s="32">
        <v>500</v>
      </c>
    </row>
    <row r="2709" spans="1:20" ht="12.75" hidden="1" x14ac:dyDescent="0.25">
      <c r="B2709" s="32">
        <v>60</v>
      </c>
      <c r="F2709" s="32" t="s">
        <v>85</v>
      </c>
      <c r="J2709" s="32">
        <v>1</v>
      </c>
      <c r="P2709" s="32">
        <v>2080</v>
      </c>
      <c r="R2709" s="32">
        <v>310</v>
      </c>
      <c r="T2709" s="32">
        <v>1770</v>
      </c>
    </row>
    <row r="2710" spans="1:20" ht="12.75" hidden="1" x14ac:dyDescent="0.25">
      <c r="B2710" s="32">
        <v>61</v>
      </c>
      <c r="F2710" s="32" t="s">
        <v>84</v>
      </c>
      <c r="J2710" s="32">
        <v>3</v>
      </c>
      <c r="P2710" s="32">
        <v>1770</v>
      </c>
      <c r="R2710" s="32">
        <v>360</v>
      </c>
      <c r="T2710" s="32">
        <v>1410</v>
      </c>
    </row>
    <row r="2711" spans="1:20" ht="12.75" hidden="1" x14ac:dyDescent="0.25">
      <c r="B2711" s="32">
        <v>62</v>
      </c>
      <c r="F2711" s="32" t="s">
        <v>271</v>
      </c>
      <c r="J2711" s="32">
        <v>1</v>
      </c>
      <c r="P2711" s="32">
        <v>500</v>
      </c>
      <c r="R2711" s="32">
        <v>150</v>
      </c>
      <c r="T2711" s="32">
        <v>350</v>
      </c>
    </row>
    <row r="2712" spans="1:20" ht="12.75" hidden="1" x14ac:dyDescent="0.25">
      <c r="B2712" s="32">
        <v>63</v>
      </c>
      <c r="F2712" s="32" t="s">
        <v>81</v>
      </c>
      <c r="J2712" s="32">
        <v>7</v>
      </c>
      <c r="P2712" s="32">
        <v>2030</v>
      </c>
      <c r="R2712" s="32">
        <v>980</v>
      </c>
      <c r="T2712" s="32">
        <v>1050</v>
      </c>
    </row>
    <row r="2713" spans="1:20" ht="12.75" hidden="1" x14ac:dyDescent="0.25">
      <c r="A2713" s="32" t="s">
        <v>382</v>
      </c>
      <c r="K2713" s="32">
        <v>2908</v>
      </c>
      <c r="P2713" s="32">
        <v>2922710</v>
      </c>
      <c r="R2713" s="32">
        <v>2590340</v>
      </c>
      <c r="T2713" s="32">
        <v>332370</v>
      </c>
    </row>
    <row r="2714" spans="1:20" ht="12.75" hidden="1" x14ac:dyDescent="0.25">
      <c r="B2714" s="32">
        <v>1</v>
      </c>
      <c r="F2714" s="32" t="s">
        <v>169</v>
      </c>
      <c r="J2714" s="32">
        <v>1</v>
      </c>
      <c r="P2714" s="32">
        <v>1030</v>
      </c>
      <c r="R2714" s="32">
        <v>150</v>
      </c>
      <c r="T2714" s="32">
        <v>880</v>
      </c>
    </row>
    <row r="2715" spans="1:20" ht="12.75" hidden="1" x14ac:dyDescent="0.25">
      <c r="B2715" s="32">
        <v>2</v>
      </c>
      <c r="F2715" s="32" t="s">
        <v>78</v>
      </c>
      <c r="J2715" s="32">
        <v>208</v>
      </c>
      <c r="P2715" s="32">
        <v>60320</v>
      </c>
      <c r="R2715" s="32">
        <v>60320</v>
      </c>
      <c r="T2715" s="32">
        <v>0</v>
      </c>
    </row>
    <row r="2716" spans="1:20" ht="12.75" hidden="1" x14ac:dyDescent="0.25">
      <c r="B2716" s="32">
        <v>3</v>
      </c>
      <c r="F2716" s="32" t="s">
        <v>268</v>
      </c>
      <c r="J2716" s="32">
        <v>1</v>
      </c>
      <c r="P2716" s="32">
        <v>250</v>
      </c>
      <c r="R2716" s="32">
        <v>70</v>
      </c>
      <c r="T2716" s="32">
        <v>180</v>
      </c>
    </row>
    <row r="2717" spans="1:20" ht="12.75" hidden="1" x14ac:dyDescent="0.25">
      <c r="B2717" s="32">
        <v>4</v>
      </c>
      <c r="F2717" s="32" t="s">
        <v>167</v>
      </c>
      <c r="J2717" s="32">
        <v>1</v>
      </c>
      <c r="P2717" s="32">
        <v>570</v>
      </c>
      <c r="R2717" s="32">
        <v>170</v>
      </c>
      <c r="T2717" s="32">
        <v>400</v>
      </c>
    </row>
    <row r="2718" spans="1:20" ht="12.75" hidden="1" x14ac:dyDescent="0.25">
      <c r="B2718" s="32">
        <v>5</v>
      </c>
      <c r="F2718" s="32" t="s">
        <v>162</v>
      </c>
      <c r="J2718" s="32">
        <v>2</v>
      </c>
      <c r="P2718" s="32">
        <v>860</v>
      </c>
      <c r="R2718" s="32">
        <v>440</v>
      </c>
      <c r="T2718" s="32">
        <v>420</v>
      </c>
    </row>
    <row r="2719" spans="1:20" ht="12.75" hidden="1" x14ac:dyDescent="0.25">
      <c r="B2719" s="32">
        <v>6</v>
      </c>
      <c r="F2719" s="32" t="s">
        <v>160</v>
      </c>
      <c r="J2719" s="32">
        <v>5</v>
      </c>
      <c r="P2719" s="32">
        <v>1450</v>
      </c>
      <c r="R2719" s="32">
        <v>400</v>
      </c>
      <c r="T2719" s="32">
        <v>1050</v>
      </c>
    </row>
    <row r="2720" spans="1:20" ht="12.75" hidden="1" x14ac:dyDescent="0.25">
      <c r="B2720" s="32">
        <v>7</v>
      </c>
      <c r="F2720" s="32" t="s">
        <v>158</v>
      </c>
      <c r="J2720" s="32">
        <v>389</v>
      </c>
      <c r="P2720" s="32">
        <v>213950</v>
      </c>
      <c r="R2720" s="32">
        <v>79000</v>
      </c>
      <c r="T2720" s="32">
        <v>134950</v>
      </c>
    </row>
    <row r="2721" spans="2:20" ht="12.75" hidden="1" x14ac:dyDescent="0.25">
      <c r="B2721" s="32">
        <v>8</v>
      </c>
      <c r="F2721" s="32" t="s">
        <v>157</v>
      </c>
      <c r="J2721" s="32">
        <v>24</v>
      </c>
      <c r="P2721" s="32">
        <v>11760</v>
      </c>
      <c r="R2721" s="32">
        <v>5160</v>
      </c>
      <c r="T2721" s="32">
        <v>6600</v>
      </c>
    </row>
    <row r="2722" spans="2:20" ht="12.75" hidden="1" x14ac:dyDescent="0.25">
      <c r="B2722" s="32">
        <v>9</v>
      </c>
      <c r="F2722" s="32" t="s">
        <v>77</v>
      </c>
      <c r="J2722" s="32">
        <v>819</v>
      </c>
      <c r="P2722" s="32">
        <v>331300</v>
      </c>
      <c r="R2722" s="32">
        <v>331300</v>
      </c>
      <c r="T2722" s="32">
        <v>0</v>
      </c>
    </row>
    <row r="2723" spans="2:20" ht="12.75" hidden="1" x14ac:dyDescent="0.25">
      <c r="B2723" s="32">
        <v>10</v>
      </c>
      <c r="F2723" s="32" t="s">
        <v>76</v>
      </c>
      <c r="J2723" s="32">
        <v>1</v>
      </c>
      <c r="P2723" s="32">
        <v>600</v>
      </c>
      <c r="R2723" s="32">
        <v>600</v>
      </c>
      <c r="T2723" s="32">
        <v>0</v>
      </c>
    </row>
    <row r="2724" spans="2:20" ht="12.75" hidden="1" x14ac:dyDescent="0.25">
      <c r="B2724" s="32">
        <v>11</v>
      </c>
      <c r="F2724" s="32" t="s">
        <v>156</v>
      </c>
      <c r="J2724" s="32">
        <v>18</v>
      </c>
      <c r="P2724" s="32">
        <v>3420</v>
      </c>
      <c r="R2724" s="32">
        <v>1190</v>
      </c>
      <c r="T2724" s="32">
        <v>2230</v>
      </c>
    </row>
    <row r="2725" spans="2:20" ht="12.75" hidden="1" x14ac:dyDescent="0.25">
      <c r="B2725" s="32">
        <v>12</v>
      </c>
      <c r="F2725" s="32" t="s">
        <v>155</v>
      </c>
      <c r="J2725" s="32">
        <v>130</v>
      </c>
      <c r="P2725" s="32">
        <v>32500</v>
      </c>
      <c r="R2725" s="32">
        <v>16200</v>
      </c>
      <c r="T2725" s="32">
        <v>16300</v>
      </c>
    </row>
    <row r="2726" spans="2:20" ht="12.75" hidden="1" x14ac:dyDescent="0.25">
      <c r="B2726" s="32">
        <v>13</v>
      </c>
      <c r="F2726" s="32" t="s">
        <v>154</v>
      </c>
      <c r="J2726" s="32">
        <v>2</v>
      </c>
      <c r="P2726" s="32">
        <v>1780</v>
      </c>
      <c r="R2726" s="32">
        <v>260</v>
      </c>
      <c r="T2726" s="32">
        <v>1520</v>
      </c>
    </row>
    <row r="2727" spans="2:20" ht="12.75" hidden="1" x14ac:dyDescent="0.25">
      <c r="B2727" s="32">
        <v>14</v>
      </c>
      <c r="F2727" s="32" t="s">
        <v>152</v>
      </c>
      <c r="J2727" s="32">
        <v>1</v>
      </c>
      <c r="P2727" s="32">
        <v>590</v>
      </c>
      <c r="R2727" s="32">
        <v>210</v>
      </c>
      <c r="T2727" s="32">
        <v>380</v>
      </c>
    </row>
    <row r="2728" spans="2:20" ht="12.75" hidden="1" x14ac:dyDescent="0.25">
      <c r="B2728" s="32">
        <v>15</v>
      </c>
      <c r="F2728" s="32" t="s">
        <v>151</v>
      </c>
      <c r="J2728" s="32">
        <v>22</v>
      </c>
      <c r="P2728" s="32">
        <v>5060</v>
      </c>
      <c r="R2728" s="32">
        <v>1500</v>
      </c>
      <c r="T2728" s="32">
        <v>3560</v>
      </c>
    </row>
    <row r="2729" spans="2:20" ht="12.75" hidden="1" x14ac:dyDescent="0.25">
      <c r="B2729" s="32">
        <v>16</v>
      </c>
      <c r="F2729" s="32" t="s">
        <v>150</v>
      </c>
      <c r="J2729" s="32">
        <v>5</v>
      </c>
      <c r="P2729" s="32">
        <v>850</v>
      </c>
      <c r="R2729" s="32">
        <v>250</v>
      </c>
      <c r="T2729" s="32">
        <v>600</v>
      </c>
    </row>
    <row r="2730" spans="2:20" ht="12.75" hidden="1" x14ac:dyDescent="0.25">
      <c r="B2730" s="32">
        <v>17</v>
      </c>
      <c r="F2730" s="32" t="s">
        <v>148</v>
      </c>
      <c r="J2730" s="32">
        <v>1</v>
      </c>
      <c r="P2730" s="32">
        <v>980</v>
      </c>
      <c r="R2730" s="32">
        <v>150</v>
      </c>
      <c r="T2730" s="32">
        <v>830</v>
      </c>
    </row>
    <row r="2731" spans="2:20" ht="12.75" hidden="1" x14ac:dyDescent="0.25">
      <c r="B2731" s="32">
        <v>18</v>
      </c>
      <c r="F2731" s="32" t="s">
        <v>142</v>
      </c>
      <c r="J2731" s="32">
        <v>1</v>
      </c>
      <c r="P2731" s="32">
        <v>350</v>
      </c>
      <c r="R2731" s="32">
        <v>150</v>
      </c>
      <c r="T2731" s="32">
        <v>200</v>
      </c>
    </row>
    <row r="2732" spans="2:20" ht="12.75" hidden="1" x14ac:dyDescent="0.25">
      <c r="B2732" s="32">
        <v>19</v>
      </c>
      <c r="F2732" s="32" t="s">
        <v>75</v>
      </c>
      <c r="J2732" s="32">
        <v>792</v>
      </c>
      <c r="P2732" s="32">
        <v>1980000</v>
      </c>
      <c r="R2732" s="32">
        <v>1980000</v>
      </c>
      <c r="T2732" s="32">
        <v>0</v>
      </c>
    </row>
    <row r="2733" spans="2:20" ht="12.75" hidden="1" x14ac:dyDescent="0.25">
      <c r="B2733" s="32">
        <v>20</v>
      </c>
      <c r="F2733" s="32" t="s">
        <v>192</v>
      </c>
      <c r="J2733" s="32">
        <v>1</v>
      </c>
      <c r="P2733" s="32">
        <v>1550</v>
      </c>
      <c r="R2733" s="32">
        <v>0</v>
      </c>
      <c r="T2733" s="32">
        <v>1550</v>
      </c>
    </row>
    <row r="2734" spans="2:20" ht="12.75" hidden="1" x14ac:dyDescent="0.25">
      <c r="B2734" s="32">
        <v>21</v>
      </c>
      <c r="F2734" s="32" t="s">
        <v>136</v>
      </c>
      <c r="J2734" s="32">
        <v>6</v>
      </c>
      <c r="P2734" s="32">
        <v>5100</v>
      </c>
      <c r="R2734" s="32">
        <v>1430</v>
      </c>
      <c r="T2734" s="32">
        <v>3670</v>
      </c>
    </row>
    <row r="2735" spans="2:20" ht="12.75" hidden="1" x14ac:dyDescent="0.25">
      <c r="B2735" s="32">
        <v>22</v>
      </c>
      <c r="F2735" s="32" t="s">
        <v>74</v>
      </c>
      <c r="J2735" s="32">
        <v>4</v>
      </c>
      <c r="P2735" s="32">
        <v>3400</v>
      </c>
      <c r="R2735" s="32">
        <v>3400</v>
      </c>
      <c r="T2735" s="32">
        <v>0</v>
      </c>
    </row>
    <row r="2736" spans="2:20" ht="12.75" hidden="1" x14ac:dyDescent="0.25">
      <c r="B2736" s="32">
        <v>23</v>
      </c>
      <c r="F2736" s="32" t="s">
        <v>190</v>
      </c>
      <c r="J2736" s="32">
        <v>2</v>
      </c>
      <c r="P2736" s="32">
        <v>3140</v>
      </c>
      <c r="R2736" s="32">
        <v>480</v>
      </c>
      <c r="T2736" s="32">
        <v>2660</v>
      </c>
    </row>
    <row r="2737" spans="2:20" ht="12.75" hidden="1" x14ac:dyDescent="0.25">
      <c r="B2737" s="32">
        <v>24</v>
      </c>
      <c r="F2737" s="32" t="s">
        <v>135</v>
      </c>
      <c r="J2737" s="32">
        <v>2</v>
      </c>
      <c r="P2737" s="32">
        <v>1900</v>
      </c>
      <c r="R2737" s="32">
        <v>560</v>
      </c>
      <c r="T2737" s="32">
        <v>1340</v>
      </c>
    </row>
    <row r="2738" spans="2:20" ht="12.75" hidden="1" x14ac:dyDescent="0.25">
      <c r="B2738" s="32">
        <v>25</v>
      </c>
      <c r="F2738" s="32" t="s">
        <v>132</v>
      </c>
      <c r="J2738" s="32">
        <v>2</v>
      </c>
      <c r="P2738" s="32">
        <v>2480</v>
      </c>
      <c r="R2738" s="32">
        <v>740</v>
      </c>
      <c r="T2738" s="32">
        <v>1740</v>
      </c>
    </row>
    <row r="2739" spans="2:20" ht="12.75" hidden="1" x14ac:dyDescent="0.25">
      <c r="B2739" s="32">
        <v>26</v>
      </c>
      <c r="F2739" s="32" t="s">
        <v>127</v>
      </c>
      <c r="J2739" s="32">
        <v>23</v>
      </c>
      <c r="P2739" s="32">
        <v>6900</v>
      </c>
      <c r="R2739" s="32">
        <v>2070</v>
      </c>
      <c r="T2739" s="32">
        <v>4830</v>
      </c>
    </row>
    <row r="2740" spans="2:20" ht="12.75" hidden="1" x14ac:dyDescent="0.25">
      <c r="B2740" s="32">
        <v>27</v>
      </c>
      <c r="F2740" s="32" t="s">
        <v>126</v>
      </c>
      <c r="J2740" s="32">
        <v>22</v>
      </c>
      <c r="P2740" s="32">
        <v>4400</v>
      </c>
      <c r="R2740" s="32">
        <v>1320</v>
      </c>
      <c r="T2740" s="32">
        <v>3080</v>
      </c>
    </row>
    <row r="2741" spans="2:20" ht="12.75" hidden="1" x14ac:dyDescent="0.25">
      <c r="B2741" s="32">
        <v>28</v>
      </c>
      <c r="F2741" s="32" t="s">
        <v>124</v>
      </c>
      <c r="J2741" s="32">
        <v>2</v>
      </c>
      <c r="P2741" s="32">
        <v>800</v>
      </c>
      <c r="R2741" s="32">
        <v>240</v>
      </c>
      <c r="T2741" s="32">
        <v>560</v>
      </c>
    </row>
    <row r="2742" spans="2:20" ht="12.75" hidden="1" x14ac:dyDescent="0.25">
      <c r="B2742" s="32">
        <v>29</v>
      </c>
      <c r="F2742" s="32" t="s">
        <v>381</v>
      </c>
      <c r="J2742" s="32">
        <v>5</v>
      </c>
      <c r="P2742" s="32">
        <v>1950</v>
      </c>
      <c r="R2742" s="32">
        <v>600</v>
      </c>
      <c r="T2742" s="32">
        <v>1350</v>
      </c>
    </row>
    <row r="2743" spans="2:20" ht="12.75" hidden="1" x14ac:dyDescent="0.25">
      <c r="B2743" s="32">
        <v>30</v>
      </c>
      <c r="F2743" s="32" t="s">
        <v>119</v>
      </c>
      <c r="J2743" s="32">
        <v>4</v>
      </c>
      <c r="P2743" s="32">
        <v>3560</v>
      </c>
      <c r="R2743" s="32">
        <v>1170</v>
      </c>
      <c r="T2743" s="32">
        <v>2390</v>
      </c>
    </row>
    <row r="2744" spans="2:20" ht="12.75" hidden="1" x14ac:dyDescent="0.25">
      <c r="B2744" s="32">
        <v>31</v>
      </c>
      <c r="F2744" s="32" t="s">
        <v>118</v>
      </c>
      <c r="J2744" s="32">
        <v>149</v>
      </c>
      <c r="P2744" s="32">
        <v>147510</v>
      </c>
      <c r="R2744" s="32">
        <v>70980</v>
      </c>
      <c r="T2744" s="32">
        <v>76530</v>
      </c>
    </row>
    <row r="2745" spans="2:20" ht="12.75" hidden="1" x14ac:dyDescent="0.25">
      <c r="B2745" s="32">
        <v>32</v>
      </c>
      <c r="F2745" s="32" t="s">
        <v>117</v>
      </c>
      <c r="J2745" s="32">
        <v>1</v>
      </c>
      <c r="P2745" s="32">
        <v>800</v>
      </c>
      <c r="R2745" s="32">
        <v>200</v>
      </c>
      <c r="T2745" s="32">
        <v>600</v>
      </c>
    </row>
    <row r="2746" spans="2:20" ht="12.75" hidden="1" x14ac:dyDescent="0.25">
      <c r="B2746" s="32">
        <v>33</v>
      </c>
      <c r="F2746" s="32" t="s">
        <v>115</v>
      </c>
      <c r="J2746" s="32">
        <v>3</v>
      </c>
      <c r="P2746" s="32">
        <v>870</v>
      </c>
      <c r="R2746" s="32">
        <v>300</v>
      </c>
      <c r="T2746" s="32">
        <v>570</v>
      </c>
    </row>
    <row r="2747" spans="2:20" ht="12.75" hidden="1" x14ac:dyDescent="0.25">
      <c r="B2747" s="32">
        <v>34</v>
      </c>
      <c r="F2747" s="32" t="s">
        <v>111</v>
      </c>
      <c r="J2747" s="32">
        <v>4</v>
      </c>
      <c r="P2747" s="32">
        <v>1720</v>
      </c>
      <c r="R2747" s="32">
        <v>520</v>
      </c>
      <c r="T2747" s="32">
        <v>1200</v>
      </c>
    </row>
    <row r="2748" spans="2:20" ht="12.75" hidden="1" x14ac:dyDescent="0.25">
      <c r="B2748" s="32">
        <v>35</v>
      </c>
      <c r="F2748" s="32" t="s">
        <v>109</v>
      </c>
      <c r="J2748" s="32">
        <v>5</v>
      </c>
      <c r="P2748" s="32">
        <v>3900</v>
      </c>
      <c r="R2748" s="32">
        <v>1150</v>
      </c>
      <c r="T2748" s="32">
        <v>2750</v>
      </c>
    </row>
    <row r="2749" spans="2:20" ht="12.75" hidden="1" x14ac:dyDescent="0.25">
      <c r="B2749" s="32">
        <v>36</v>
      </c>
      <c r="F2749" s="32" t="s">
        <v>108</v>
      </c>
      <c r="J2749" s="32">
        <v>21</v>
      </c>
      <c r="P2749" s="32">
        <v>2100</v>
      </c>
      <c r="R2749" s="32">
        <v>180</v>
      </c>
      <c r="T2749" s="32">
        <v>1920</v>
      </c>
    </row>
    <row r="2750" spans="2:20" ht="12.75" hidden="1" x14ac:dyDescent="0.25">
      <c r="B2750" s="32">
        <v>37</v>
      </c>
      <c r="F2750" s="32" t="s">
        <v>107</v>
      </c>
      <c r="J2750" s="32">
        <v>12</v>
      </c>
      <c r="P2750" s="32">
        <v>2040</v>
      </c>
      <c r="R2750" s="32">
        <v>620</v>
      </c>
      <c r="T2750" s="32">
        <v>1420</v>
      </c>
    </row>
    <row r="2751" spans="2:20" ht="12.75" hidden="1" x14ac:dyDescent="0.25">
      <c r="B2751" s="32">
        <v>38</v>
      </c>
      <c r="F2751" s="32" t="s">
        <v>214</v>
      </c>
      <c r="J2751" s="32">
        <v>1</v>
      </c>
      <c r="P2751" s="32">
        <v>990</v>
      </c>
      <c r="R2751" s="32">
        <v>150</v>
      </c>
      <c r="T2751" s="32">
        <v>840</v>
      </c>
    </row>
    <row r="2752" spans="2:20" ht="12.75" hidden="1" x14ac:dyDescent="0.25">
      <c r="B2752" s="32">
        <v>39</v>
      </c>
      <c r="F2752" s="32" t="s">
        <v>103</v>
      </c>
      <c r="J2752" s="32">
        <v>3</v>
      </c>
      <c r="P2752" s="32">
        <v>990</v>
      </c>
      <c r="R2752" s="32">
        <v>360</v>
      </c>
      <c r="T2752" s="32">
        <v>630</v>
      </c>
    </row>
    <row r="2753" spans="1:20" ht="12.75" hidden="1" x14ac:dyDescent="0.25">
      <c r="B2753" s="32">
        <v>40</v>
      </c>
      <c r="F2753" s="32" t="s">
        <v>97</v>
      </c>
      <c r="J2753" s="32">
        <v>12</v>
      </c>
      <c r="P2753" s="32">
        <v>19080</v>
      </c>
      <c r="R2753" s="32">
        <v>2880</v>
      </c>
      <c r="T2753" s="32">
        <v>16200</v>
      </c>
    </row>
    <row r="2754" spans="1:20" ht="12.75" hidden="1" x14ac:dyDescent="0.25">
      <c r="B2754" s="32">
        <v>41</v>
      </c>
      <c r="F2754" s="32" t="s">
        <v>95</v>
      </c>
      <c r="J2754" s="32">
        <v>19</v>
      </c>
      <c r="P2754" s="32">
        <v>5510</v>
      </c>
      <c r="R2754" s="32">
        <v>1520</v>
      </c>
      <c r="T2754" s="32">
        <v>3990</v>
      </c>
    </row>
    <row r="2755" spans="1:20" ht="12.75" hidden="1" x14ac:dyDescent="0.25">
      <c r="B2755" s="32">
        <v>42</v>
      </c>
      <c r="F2755" s="32" t="s">
        <v>253</v>
      </c>
      <c r="J2755" s="32">
        <v>1</v>
      </c>
      <c r="P2755" s="32">
        <v>290</v>
      </c>
      <c r="R2755" s="32">
        <v>130</v>
      </c>
      <c r="T2755" s="32">
        <v>160</v>
      </c>
    </row>
    <row r="2756" spans="1:20" ht="12.75" hidden="1" x14ac:dyDescent="0.25">
      <c r="B2756" s="32">
        <v>43</v>
      </c>
      <c r="F2756" s="32" t="s">
        <v>93</v>
      </c>
      <c r="J2756" s="32">
        <v>1</v>
      </c>
      <c r="P2756" s="32">
        <v>590</v>
      </c>
      <c r="R2756" s="32">
        <v>90</v>
      </c>
      <c r="T2756" s="32">
        <v>500</v>
      </c>
    </row>
    <row r="2757" spans="1:20" ht="12.75" hidden="1" x14ac:dyDescent="0.25">
      <c r="B2757" s="32">
        <v>44</v>
      </c>
      <c r="F2757" s="32" t="s">
        <v>92</v>
      </c>
      <c r="J2757" s="32">
        <v>7</v>
      </c>
      <c r="P2757" s="32">
        <v>4840</v>
      </c>
      <c r="R2757" s="32">
        <v>1440</v>
      </c>
      <c r="T2757" s="32">
        <v>3400</v>
      </c>
    </row>
    <row r="2758" spans="1:20" ht="12.75" hidden="1" x14ac:dyDescent="0.25">
      <c r="B2758" s="32">
        <v>45</v>
      </c>
      <c r="F2758" s="32" t="s">
        <v>306</v>
      </c>
      <c r="J2758" s="32">
        <v>3</v>
      </c>
      <c r="P2758" s="32">
        <v>3240</v>
      </c>
      <c r="R2758" s="32">
        <v>960</v>
      </c>
      <c r="T2758" s="32">
        <v>2280</v>
      </c>
    </row>
    <row r="2759" spans="1:20" ht="12.75" hidden="1" x14ac:dyDescent="0.25">
      <c r="B2759" s="32">
        <v>46</v>
      </c>
      <c r="F2759" s="32" t="s">
        <v>91</v>
      </c>
      <c r="J2759" s="32">
        <v>130</v>
      </c>
      <c r="P2759" s="32">
        <v>32500</v>
      </c>
      <c r="R2759" s="32">
        <v>15955</v>
      </c>
      <c r="T2759" s="32">
        <v>16545</v>
      </c>
    </row>
    <row r="2760" spans="1:20" ht="12.75" hidden="1" x14ac:dyDescent="0.25">
      <c r="B2760" s="32">
        <v>47</v>
      </c>
      <c r="F2760" s="32" t="s">
        <v>90</v>
      </c>
      <c r="J2760" s="32">
        <v>32</v>
      </c>
      <c r="P2760" s="32">
        <v>9280</v>
      </c>
      <c r="R2760" s="32">
        <v>2560</v>
      </c>
      <c r="T2760" s="32">
        <v>6720</v>
      </c>
    </row>
    <row r="2761" spans="1:20" ht="12.75" hidden="1" x14ac:dyDescent="0.25">
      <c r="B2761" s="32">
        <v>48</v>
      </c>
      <c r="F2761" s="32" t="s">
        <v>88</v>
      </c>
      <c r="J2761" s="32">
        <v>6</v>
      </c>
      <c r="P2761" s="32">
        <v>1080</v>
      </c>
      <c r="R2761" s="32">
        <v>355</v>
      </c>
      <c r="T2761" s="32">
        <v>725</v>
      </c>
    </row>
    <row r="2762" spans="1:20" ht="12.75" hidden="1" x14ac:dyDescent="0.25">
      <c r="B2762" s="32">
        <v>49</v>
      </c>
      <c r="F2762" s="32" t="s">
        <v>85</v>
      </c>
      <c r="J2762" s="32">
        <v>1</v>
      </c>
      <c r="P2762" s="32">
        <v>2080</v>
      </c>
      <c r="R2762" s="32">
        <v>310</v>
      </c>
      <c r="T2762" s="32">
        <v>1770</v>
      </c>
    </row>
    <row r="2763" spans="1:20" ht="12.75" hidden="1" x14ac:dyDescent="0.25">
      <c r="B2763" s="32">
        <v>50</v>
      </c>
      <c r="F2763" s="32" t="s">
        <v>271</v>
      </c>
      <c r="J2763" s="32">
        <v>1</v>
      </c>
      <c r="P2763" s="32">
        <v>500</v>
      </c>
      <c r="R2763" s="32">
        <v>150</v>
      </c>
      <c r="T2763" s="32">
        <v>350</v>
      </c>
    </row>
    <row r="2764" spans="1:20" ht="12.75" hidden="1" x14ac:dyDescent="0.25">
      <c r="A2764" s="32" t="s">
        <v>380</v>
      </c>
      <c r="K2764" s="32">
        <v>655</v>
      </c>
      <c r="P2764" s="32">
        <v>681740</v>
      </c>
      <c r="R2764" s="32">
        <v>681020</v>
      </c>
      <c r="T2764" s="32">
        <v>720</v>
      </c>
    </row>
    <row r="2765" spans="1:20" ht="12.75" hidden="1" x14ac:dyDescent="0.25">
      <c r="B2765" s="32">
        <v>1</v>
      </c>
      <c r="F2765" s="32" t="s">
        <v>78</v>
      </c>
      <c r="J2765" s="32">
        <v>231</v>
      </c>
      <c r="P2765" s="32">
        <v>66990</v>
      </c>
      <c r="R2765" s="32">
        <v>66990</v>
      </c>
      <c r="T2765" s="32">
        <v>0</v>
      </c>
    </row>
    <row r="2766" spans="1:20" ht="12.75" hidden="1" x14ac:dyDescent="0.25">
      <c r="B2766" s="32">
        <v>2</v>
      </c>
      <c r="F2766" s="32" t="s">
        <v>77</v>
      </c>
      <c r="J2766" s="32">
        <v>211</v>
      </c>
      <c r="P2766" s="32">
        <v>91200</v>
      </c>
      <c r="R2766" s="32">
        <v>91200</v>
      </c>
      <c r="T2766" s="32">
        <v>0</v>
      </c>
    </row>
    <row r="2767" spans="1:20" ht="12.75" hidden="1" x14ac:dyDescent="0.25">
      <c r="B2767" s="32">
        <v>3</v>
      </c>
      <c r="F2767" s="32" t="s">
        <v>75</v>
      </c>
      <c r="J2767" s="32">
        <v>208</v>
      </c>
      <c r="P2767" s="32">
        <v>520000</v>
      </c>
      <c r="R2767" s="32">
        <v>520000</v>
      </c>
      <c r="T2767" s="32">
        <v>0</v>
      </c>
    </row>
    <row r="2768" spans="1:20" ht="12.75" hidden="1" x14ac:dyDescent="0.25">
      <c r="B2768" s="32">
        <v>4</v>
      </c>
      <c r="F2768" s="32" t="s">
        <v>74</v>
      </c>
      <c r="J2768" s="32">
        <v>3</v>
      </c>
      <c r="P2768" s="32">
        <v>2550</v>
      </c>
      <c r="R2768" s="32">
        <v>2550</v>
      </c>
      <c r="T2768" s="32">
        <v>0</v>
      </c>
    </row>
    <row r="2769" spans="1:20" ht="12.75" hidden="1" x14ac:dyDescent="0.25">
      <c r="B2769" s="32">
        <v>5</v>
      </c>
      <c r="F2769" s="32" t="s">
        <v>83</v>
      </c>
      <c r="J2769" s="32">
        <v>1</v>
      </c>
      <c r="P2769" s="32">
        <v>500</v>
      </c>
      <c r="R2769" s="32">
        <v>150</v>
      </c>
      <c r="T2769" s="32">
        <v>350</v>
      </c>
    </row>
    <row r="2770" spans="1:20" ht="12.75" hidden="1" x14ac:dyDescent="0.25">
      <c r="B2770" s="32">
        <v>6</v>
      </c>
      <c r="F2770" s="32" t="s">
        <v>202</v>
      </c>
      <c r="J2770" s="32">
        <v>1</v>
      </c>
      <c r="P2770" s="32">
        <v>500</v>
      </c>
      <c r="R2770" s="32">
        <v>130</v>
      </c>
      <c r="T2770" s="32">
        <v>370</v>
      </c>
    </row>
    <row r="2771" spans="1:20" ht="12.75" hidden="1" x14ac:dyDescent="0.25">
      <c r="A2771" s="32" t="s">
        <v>379</v>
      </c>
      <c r="K2771" s="32">
        <v>11712</v>
      </c>
      <c r="P2771" s="32">
        <v>11070800</v>
      </c>
      <c r="R2771" s="32">
        <v>10087302</v>
      </c>
      <c r="T2771" s="32">
        <v>983498</v>
      </c>
    </row>
    <row r="2772" spans="1:20" ht="12.75" hidden="1" x14ac:dyDescent="0.25">
      <c r="B2772" s="32">
        <v>1</v>
      </c>
      <c r="F2772" s="32" t="s">
        <v>371</v>
      </c>
      <c r="J2772" s="32">
        <v>1</v>
      </c>
      <c r="P2772" s="32">
        <v>390</v>
      </c>
      <c r="R2772" s="32">
        <v>390</v>
      </c>
      <c r="T2772" s="32">
        <v>0</v>
      </c>
    </row>
    <row r="2773" spans="1:20" ht="12.75" hidden="1" x14ac:dyDescent="0.25">
      <c r="B2773" s="32">
        <v>2</v>
      </c>
      <c r="F2773" s="32" t="s">
        <v>79</v>
      </c>
      <c r="J2773" s="32">
        <v>1</v>
      </c>
      <c r="P2773" s="32">
        <v>500</v>
      </c>
      <c r="R2773" s="32">
        <v>150</v>
      </c>
      <c r="T2773" s="32">
        <v>350</v>
      </c>
    </row>
    <row r="2774" spans="1:20" ht="12.75" hidden="1" x14ac:dyDescent="0.25">
      <c r="B2774" s="32">
        <v>3</v>
      </c>
      <c r="F2774" s="32" t="s">
        <v>78</v>
      </c>
      <c r="J2774" s="32">
        <v>707</v>
      </c>
      <c r="P2774" s="32">
        <v>205030</v>
      </c>
      <c r="R2774" s="32">
        <v>205030</v>
      </c>
      <c r="T2774" s="32">
        <v>0</v>
      </c>
    </row>
    <row r="2775" spans="1:20" ht="12.75" hidden="1" x14ac:dyDescent="0.25">
      <c r="B2775" s="32">
        <v>4</v>
      </c>
      <c r="F2775" s="32" t="s">
        <v>294</v>
      </c>
      <c r="J2775" s="32">
        <v>1</v>
      </c>
      <c r="P2775" s="32">
        <v>500</v>
      </c>
      <c r="R2775" s="32">
        <v>150</v>
      </c>
      <c r="T2775" s="32">
        <v>350</v>
      </c>
    </row>
    <row r="2776" spans="1:20" ht="12.75" hidden="1" x14ac:dyDescent="0.25">
      <c r="B2776" s="32">
        <v>5</v>
      </c>
      <c r="F2776" s="32" t="s">
        <v>165</v>
      </c>
      <c r="J2776" s="32">
        <v>4</v>
      </c>
      <c r="P2776" s="32">
        <v>2360</v>
      </c>
      <c r="R2776" s="32">
        <v>720</v>
      </c>
      <c r="T2776" s="32">
        <v>1640</v>
      </c>
    </row>
    <row r="2777" spans="1:20" ht="12.75" hidden="1" x14ac:dyDescent="0.25">
      <c r="B2777" s="32">
        <v>6</v>
      </c>
      <c r="F2777" s="32" t="s">
        <v>164</v>
      </c>
      <c r="J2777" s="32">
        <v>1</v>
      </c>
      <c r="P2777" s="32">
        <v>590</v>
      </c>
      <c r="R2777" s="32">
        <v>180</v>
      </c>
      <c r="T2777" s="32">
        <v>410</v>
      </c>
    </row>
    <row r="2778" spans="1:20" ht="12.75" hidden="1" x14ac:dyDescent="0.25">
      <c r="B2778" s="32">
        <v>7</v>
      </c>
      <c r="F2778" s="32" t="s">
        <v>162</v>
      </c>
      <c r="J2778" s="32">
        <v>8</v>
      </c>
      <c r="P2778" s="32">
        <v>3440</v>
      </c>
      <c r="R2778" s="32">
        <v>1694</v>
      </c>
      <c r="T2778" s="32">
        <v>1746</v>
      </c>
    </row>
    <row r="2779" spans="1:20" ht="12.75" hidden="1" x14ac:dyDescent="0.25">
      <c r="B2779" s="32">
        <v>8</v>
      </c>
      <c r="F2779" s="32" t="s">
        <v>198</v>
      </c>
      <c r="J2779" s="32">
        <v>1</v>
      </c>
      <c r="P2779" s="32">
        <v>290</v>
      </c>
      <c r="R2779" s="32">
        <v>80</v>
      </c>
      <c r="T2779" s="32">
        <v>210</v>
      </c>
    </row>
    <row r="2780" spans="1:20" ht="12.75" hidden="1" x14ac:dyDescent="0.25">
      <c r="B2780" s="32">
        <v>9</v>
      </c>
      <c r="F2780" s="32" t="s">
        <v>160</v>
      </c>
      <c r="J2780" s="32">
        <v>7</v>
      </c>
      <c r="P2780" s="32">
        <v>2030</v>
      </c>
      <c r="R2780" s="32">
        <v>560</v>
      </c>
      <c r="T2780" s="32">
        <v>1470</v>
      </c>
    </row>
    <row r="2781" spans="1:20" ht="12.75" hidden="1" x14ac:dyDescent="0.25">
      <c r="B2781" s="32">
        <v>10</v>
      </c>
      <c r="F2781" s="32" t="s">
        <v>158</v>
      </c>
      <c r="J2781" s="32">
        <v>1071</v>
      </c>
      <c r="P2781" s="32">
        <v>589050</v>
      </c>
      <c r="R2781" s="32">
        <v>240001</v>
      </c>
      <c r="T2781" s="32">
        <v>349049</v>
      </c>
    </row>
    <row r="2782" spans="1:20" ht="12.75" hidden="1" x14ac:dyDescent="0.25">
      <c r="B2782" s="32">
        <v>11</v>
      </c>
      <c r="F2782" s="32" t="s">
        <v>157</v>
      </c>
      <c r="J2782" s="32">
        <v>13</v>
      </c>
      <c r="P2782" s="32">
        <v>6370</v>
      </c>
      <c r="R2782" s="32">
        <v>2466</v>
      </c>
      <c r="T2782" s="32">
        <v>3904</v>
      </c>
    </row>
    <row r="2783" spans="1:20" ht="12.75" hidden="1" x14ac:dyDescent="0.25">
      <c r="B2783" s="32">
        <v>12</v>
      </c>
      <c r="F2783" s="32" t="s">
        <v>197</v>
      </c>
      <c r="J2783" s="32">
        <v>1</v>
      </c>
      <c r="P2783" s="32">
        <v>500</v>
      </c>
      <c r="R2783" s="32">
        <v>150</v>
      </c>
      <c r="T2783" s="32">
        <v>350</v>
      </c>
    </row>
    <row r="2784" spans="1:20" ht="12.75" hidden="1" x14ac:dyDescent="0.25">
      <c r="B2784" s="32">
        <v>13</v>
      </c>
      <c r="F2784" s="32" t="s">
        <v>196</v>
      </c>
      <c r="J2784" s="32">
        <v>3</v>
      </c>
      <c r="P2784" s="32">
        <v>2100</v>
      </c>
      <c r="R2784" s="32">
        <v>1050</v>
      </c>
      <c r="T2784" s="32">
        <v>1050</v>
      </c>
    </row>
    <row r="2785" spans="2:20" ht="12.75" hidden="1" x14ac:dyDescent="0.25">
      <c r="B2785" s="32">
        <v>14</v>
      </c>
      <c r="F2785" s="32" t="s">
        <v>328</v>
      </c>
      <c r="J2785" s="32">
        <v>1</v>
      </c>
      <c r="P2785" s="32">
        <v>700</v>
      </c>
      <c r="R2785" s="32">
        <v>350</v>
      </c>
      <c r="T2785" s="32">
        <v>350</v>
      </c>
    </row>
    <row r="2786" spans="2:20" ht="12.75" hidden="1" x14ac:dyDescent="0.25">
      <c r="B2786" s="32">
        <v>15</v>
      </c>
      <c r="F2786" s="32" t="s">
        <v>244</v>
      </c>
      <c r="J2786" s="32">
        <v>2</v>
      </c>
      <c r="P2786" s="32">
        <v>600</v>
      </c>
      <c r="R2786" s="32">
        <v>160</v>
      </c>
      <c r="T2786" s="32">
        <v>440</v>
      </c>
    </row>
    <row r="2787" spans="2:20" ht="12.75" hidden="1" x14ac:dyDescent="0.25">
      <c r="B2787" s="32">
        <v>16</v>
      </c>
      <c r="F2787" s="32" t="s">
        <v>77</v>
      </c>
      <c r="J2787" s="32">
        <v>4690</v>
      </c>
      <c r="P2787" s="32">
        <v>1893100</v>
      </c>
      <c r="R2787" s="32">
        <v>1893100</v>
      </c>
      <c r="T2787" s="32">
        <v>0</v>
      </c>
    </row>
    <row r="2788" spans="2:20" ht="12.75" hidden="1" x14ac:dyDescent="0.25">
      <c r="B2788" s="32">
        <v>17</v>
      </c>
      <c r="F2788" s="32" t="s">
        <v>343</v>
      </c>
      <c r="J2788" s="32">
        <v>20</v>
      </c>
      <c r="P2788" s="32">
        <v>4200</v>
      </c>
      <c r="R2788" s="32">
        <v>1407</v>
      </c>
      <c r="T2788" s="32">
        <v>2793</v>
      </c>
    </row>
    <row r="2789" spans="2:20" ht="12.75" hidden="1" x14ac:dyDescent="0.25">
      <c r="B2789" s="32">
        <v>18</v>
      </c>
      <c r="F2789" s="32" t="s">
        <v>156</v>
      </c>
      <c r="J2789" s="32">
        <v>16</v>
      </c>
      <c r="P2789" s="32">
        <v>3040</v>
      </c>
      <c r="R2789" s="32">
        <v>940</v>
      </c>
      <c r="T2789" s="32">
        <v>2100</v>
      </c>
    </row>
    <row r="2790" spans="2:20" ht="12.75" hidden="1" x14ac:dyDescent="0.25">
      <c r="B2790" s="32">
        <v>19</v>
      </c>
      <c r="F2790" s="32" t="s">
        <v>342</v>
      </c>
      <c r="J2790" s="32">
        <v>1</v>
      </c>
      <c r="P2790" s="32">
        <v>500</v>
      </c>
      <c r="R2790" s="32">
        <v>150</v>
      </c>
      <c r="T2790" s="32">
        <v>350</v>
      </c>
    </row>
    <row r="2791" spans="2:20" ht="12.75" hidden="1" x14ac:dyDescent="0.25">
      <c r="B2791" s="32">
        <v>20</v>
      </c>
      <c r="F2791" s="32" t="s">
        <v>155</v>
      </c>
      <c r="J2791" s="32">
        <v>543</v>
      </c>
      <c r="P2791" s="32">
        <v>135750</v>
      </c>
      <c r="R2791" s="32">
        <v>68587</v>
      </c>
      <c r="T2791" s="32">
        <v>67163</v>
      </c>
    </row>
    <row r="2792" spans="2:20" ht="12.75" hidden="1" x14ac:dyDescent="0.25">
      <c r="B2792" s="32">
        <v>21</v>
      </c>
      <c r="F2792" s="32" t="s">
        <v>154</v>
      </c>
      <c r="J2792" s="32">
        <v>2</v>
      </c>
      <c r="P2792" s="32">
        <v>1780</v>
      </c>
      <c r="R2792" s="32">
        <v>260</v>
      </c>
      <c r="T2792" s="32">
        <v>1520</v>
      </c>
    </row>
    <row r="2793" spans="2:20" ht="12.75" hidden="1" x14ac:dyDescent="0.25">
      <c r="B2793" s="32">
        <v>22</v>
      </c>
      <c r="F2793" s="32" t="s">
        <v>194</v>
      </c>
      <c r="J2793" s="32">
        <v>1</v>
      </c>
      <c r="P2793" s="32">
        <v>700</v>
      </c>
      <c r="R2793" s="32">
        <v>180</v>
      </c>
      <c r="T2793" s="32">
        <v>520</v>
      </c>
    </row>
    <row r="2794" spans="2:20" ht="12.75" hidden="1" x14ac:dyDescent="0.25">
      <c r="B2794" s="32">
        <v>23</v>
      </c>
      <c r="F2794" s="32" t="s">
        <v>289</v>
      </c>
      <c r="J2794" s="32">
        <v>3</v>
      </c>
      <c r="P2794" s="32">
        <v>1500</v>
      </c>
      <c r="R2794" s="32">
        <v>450</v>
      </c>
      <c r="T2794" s="32">
        <v>1050</v>
      </c>
    </row>
    <row r="2795" spans="2:20" ht="12.75" hidden="1" x14ac:dyDescent="0.25">
      <c r="B2795" s="32">
        <v>24</v>
      </c>
      <c r="F2795" s="32" t="s">
        <v>152</v>
      </c>
      <c r="J2795" s="32">
        <v>3</v>
      </c>
      <c r="P2795" s="32">
        <v>1770</v>
      </c>
      <c r="R2795" s="32">
        <v>600</v>
      </c>
      <c r="T2795" s="32">
        <v>1170</v>
      </c>
    </row>
    <row r="2796" spans="2:20" ht="12.75" hidden="1" x14ac:dyDescent="0.25">
      <c r="B2796" s="32">
        <v>25</v>
      </c>
      <c r="F2796" s="32" t="s">
        <v>151</v>
      </c>
      <c r="J2796" s="32">
        <v>10</v>
      </c>
      <c r="P2796" s="32">
        <v>2300</v>
      </c>
      <c r="R2796" s="32">
        <v>740</v>
      </c>
      <c r="T2796" s="32">
        <v>1560</v>
      </c>
    </row>
    <row r="2797" spans="2:20" ht="12.75" hidden="1" x14ac:dyDescent="0.25">
      <c r="B2797" s="32">
        <v>26</v>
      </c>
      <c r="F2797" s="32" t="s">
        <v>150</v>
      </c>
      <c r="J2797" s="32">
        <v>3</v>
      </c>
      <c r="P2797" s="32">
        <v>510</v>
      </c>
      <c r="R2797" s="32">
        <v>150</v>
      </c>
      <c r="T2797" s="32">
        <v>360</v>
      </c>
    </row>
    <row r="2798" spans="2:20" ht="12.75" hidden="1" x14ac:dyDescent="0.25">
      <c r="B2798" s="32">
        <v>27</v>
      </c>
      <c r="F2798" s="32" t="s">
        <v>149</v>
      </c>
      <c r="J2798" s="32">
        <v>3</v>
      </c>
      <c r="P2798" s="32">
        <v>150</v>
      </c>
      <c r="R2798" s="32">
        <v>30</v>
      </c>
      <c r="T2798" s="32">
        <v>120</v>
      </c>
    </row>
    <row r="2799" spans="2:20" ht="12.75" hidden="1" x14ac:dyDescent="0.25">
      <c r="B2799" s="32">
        <v>28</v>
      </c>
      <c r="F2799" s="32" t="s">
        <v>236</v>
      </c>
      <c r="J2799" s="32">
        <v>2</v>
      </c>
      <c r="P2799" s="32">
        <v>1600</v>
      </c>
      <c r="R2799" s="32">
        <v>400</v>
      </c>
      <c r="T2799" s="32">
        <v>1200</v>
      </c>
    </row>
    <row r="2800" spans="2:20" ht="12.75" hidden="1" x14ac:dyDescent="0.25">
      <c r="B2800" s="32">
        <v>29</v>
      </c>
      <c r="F2800" s="32" t="s">
        <v>148</v>
      </c>
      <c r="J2800" s="32">
        <v>1</v>
      </c>
      <c r="P2800" s="32">
        <v>980</v>
      </c>
      <c r="R2800" s="32">
        <v>150</v>
      </c>
      <c r="T2800" s="32">
        <v>830</v>
      </c>
    </row>
    <row r="2801" spans="2:20" ht="12.75" hidden="1" x14ac:dyDescent="0.25">
      <c r="B2801" s="32">
        <v>30</v>
      </c>
      <c r="F2801" s="32" t="s">
        <v>287</v>
      </c>
      <c r="J2801" s="32">
        <v>2</v>
      </c>
      <c r="P2801" s="32">
        <v>1600</v>
      </c>
      <c r="R2801" s="32">
        <v>900</v>
      </c>
      <c r="T2801" s="32">
        <v>700</v>
      </c>
    </row>
    <row r="2802" spans="2:20" ht="12.75" hidden="1" x14ac:dyDescent="0.25">
      <c r="B2802" s="32">
        <v>31</v>
      </c>
      <c r="F2802" s="32" t="s">
        <v>142</v>
      </c>
      <c r="J2802" s="32">
        <v>2</v>
      </c>
      <c r="P2802" s="32">
        <v>700</v>
      </c>
      <c r="R2802" s="32">
        <v>300</v>
      </c>
      <c r="T2802" s="32">
        <v>400</v>
      </c>
    </row>
    <row r="2803" spans="2:20" ht="12.75" hidden="1" x14ac:dyDescent="0.25">
      <c r="B2803" s="32">
        <v>32</v>
      </c>
      <c r="F2803" s="32" t="s">
        <v>75</v>
      </c>
      <c r="J2803" s="32">
        <v>2895</v>
      </c>
      <c r="P2803" s="32">
        <v>7237500</v>
      </c>
      <c r="R2803" s="32">
        <v>7237500</v>
      </c>
      <c r="T2803" s="32">
        <v>0</v>
      </c>
    </row>
    <row r="2804" spans="2:20" ht="12.75" hidden="1" x14ac:dyDescent="0.25">
      <c r="B2804" s="32">
        <v>33</v>
      </c>
      <c r="F2804" s="32" t="s">
        <v>139</v>
      </c>
      <c r="J2804" s="32">
        <v>2</v>
      </c>
      <c r="P2804" s="32">
        <v>540</v>
      </c>
      <c r="R2804" s="32">
        <v>160</v>
      </c>
      <c r="T2804" s="32">
        <v>380</v>
      </c>
    </row>
    <row r="2805" spans="2:20" ht="12.75" hidden="1" x14ac:dyDescent="0.25">
      <c r="B2805" s="32">
        <v>34</v>
      </c>
      <c r="F2805" s="32" t="s">
        <v>231</v>
      </c>
      <c r="J2805" s="32">
        <v>1</v>
      </c>
      <c r="P2805" s="32">
        <v>500</v>
      </c>
      <c r="R2805" s="32">
        <v>150</v>
      </c>
      <c r="T2805" s="32">
        <v>350</v>
      </c>
    </row>
    <row r="2806" spans="2:20" ht="12.75" hidden="1" x14ac:dyDescent="0.25">
      <c r="B2806" s="32">
        <v>35</v>
      </c>
      <c r="F2806" s="32" t="s">
        <v>302</v>
      </c>
      <c r="J2806" s="32">
        <v>1</v>
      </c>
      <c r="P2806" s="32">
        <v>800</v>
      </c>
      <c r="R2806" s="32">
        <v>450</v>
      </c>
      <c r="T2806" s="32">
        <v>350</v>
      </c>
    </row>
    <row r="2807" spans="2:20" ht="12.75" hidden="1" x14ac:dyDescent="0.25">
      <c r="B2807" s="32">
        <v>36</v>
      </c>
      <c r="F2807" s="32" t="s">
        <v>137</v>
      </c>
      <c r="J2807" s="32">
        <v>2</v>
      </c>
      <c r="P2807" s="32">
        <v>1600</v>
      </c>
      <c r="R2807" s="32">
        <v>900</v>
      </c>
      <c r="T2807" s="32">
        <v>700</v>
      </c>
    </row>
    <row r="2808" spans="2:20" ht="12.75" hidden="1" x14ac:dyDescent="0.25">
      <c r="B2808" s="32">
        <v>37</v>
      </c>
      <c r="F2808" s="32" t="s">
        <v>313</v>
      </c>
      <c r="J2808" s="32">
        <v>1</v>
      </c>
      <c r="P2808" s="32">
        <v>800</v>
      </c>
      <c r="R2808" s="32">
        <v>450</v>
      </c>
      <c r="T2808" s="32">
        <v>350</v>
      </c>
    </row>
    <row r="2809" spans="2:20" ht="12.75" hidden="1" x14ac:dyDescent="0.25">
      <c r="B2809" s="32">
        <v>38</v>
      </c>
      <c r="F2809" s="32" t="s">
        <v>192</v>
      </c>
      <c r="J2809" s="32">
        <v>2</v>
      </c>
      <c r="P2809" s="32">
        <v>3100</v>
      </c>
      <c r="R2809" s="32">
        <v>0</v>
      </c>
      <c r="T2809" s="32">
        <v>3100</v>
      </c>
    </row>
    <row r="2810" spans="2:20" ht="12.75" hidden="1" x14ac:dyDescent="0.25">
      <c r="B2810" s="32">
        <v>39</v>
      </c>
      <c r="F2810" s="32" t="s">
        <v>136</v>
      </c>
      <c r="J2810" s="32">
        <v>40</v>
      </c>
      <c r="P2810" s="32">
        <v>34000</v>
      </c>
      <c r="R2810" s="32">
        <v>8840</v>
      </c>
      <c r="T2810" s="32">
        <v>25160</v>
      </c>
    </row>
    <row r="2811" spans="2:20" ht="12.75" hidden="1" x14ac:dyDescent="0.25">
      <c r="B2811" s="32">
        <v>40</v>
      </c>
      <c r="F2811" s="32" t="s">
        <v>74</v>
      </c>
      <c r="J2811" s="32">
        <v>13</v>
      </c>
      <c r="P2811" s="32">
        <v>11050</v>
      </c>
      <c r="R2811" s="32">
        <v>11050</v>
      </c>
      <c r="T2811" s="32">
        <v>0</v>
      </c>
    </row>
    <row r="2812" spans="2:20" ht="12.75" hidden="1" x14ac:dyDescent="0.25">
      <c r="B2812" s="32">
        <v>41</v>
      </c>
      <c r="F2812" s="32" t="s">
        <v>135</v>
      </c>
      <c r="J2812" s="32">
        <v>3</v>
      </c>
      <c r="P2812" s="32">
        <v>2850</v>
      </c>
      <c r="R2812" s="32">
        <v>840</v>
      </c>
      <c r="T2812" s="32">
        <v>2010</v>
      </c>
    </row>
    <row r="2813" spans="2:20" ht="12.75" hidden="1" x14ac:dyDescent="0.25">
      <c r="B2813" s="32">
        <v>42</v>
      </c>
      <c r="F2813" s="32" t="s">
        <v>229</v>
      </c>
      <c r="J2813" s="32">
        <v>1</v>
      </c>
      <c r="P2813" s="32">
        <v>7000</v>
      </c>
      <c r="R2813" s="32">
        <v>3100</v>
      </c>
      <c r="T2813" s="32">
        <v>3900</v>
      </c>
    </row>
    <row r="2814" spans="2:20" ht="12.75" hidden="1" x14ac:dyDescent="0.25">
      <c r="B2814" s="32">
        <v>43</v>
      </c>
      <c r="F2814" s="32" t="s">
        <v>132</v>
      </c>
      <c r="J2814" s="32">
        <v>3</v>
      </c>
      <c r="P2814" s="32">
        <v>3720</v>
      </c>
      <c r="R2814" s="32">
        <v>1110</v>
      </c>
      <c r="T2814" s="32">
        <v>2610</v>
      </c>
    </row>
    <row r="2815" spans="2:20" ht="12.75" hidden="1" x14ac:dyDescent="0.25">
      <c r="B2815" s="32">
        <v>44</v>
      </c>
      <c r="F2815" s="32" t="s">
        <v>131</v>
      </c>
      <c r="J2815" s="32">
        <v>1</v>
      </c>
      <c r="P2815" s="32">
        <v>3700</v>
      </c>
      <c r="R2815" s="32">
        <v>800</v>
      </c>
      <c r="T2815" s="32">
        <v>2900</v>
      </c>
    </row>
    <row r="2816" spans="2:20" ht="12.75" hidden="1" x14ac:dyDescent="0.25">
      <c r="B2816" s="32">
        <v>45</v>
      </c>
      <c r="F2816" s="32" t="s">
        <v>130</v>
      </c>
      <c r="J2816" s="32">
        <v>1</v>
      </c>
      <c r="P2816" s="32">
        <v>8000</v>
      </c>
      <c r="R2816" s="32">
        <v>4100</v>
      </c>
      <c r="T2816" s="32">
        <v>3900</v>
      </c>
    </row>
    <row r="2817" spans="2:20" ht="12.75" hidden="1" x14ac:dyDescent="0.25">
      <c r="B2817" s="32">
        <v>46</v>
      </c>
      <c r="F2817" s="32" t="s">
        <v>188</v>
      </c>
      <c r="J2817" s="32">
        <v>1</v>
      </c>
      <c r="P2817" s="32">
        <v>8000</v>
      </c>
      <c r="R2817" s="32">
        <v>4000</v>
      </c>
      <c r="T2817" s="32">
        <v>4000</v>
      </c>
    </row>
    <row r="2818" spans="2:20" ht="12.75" hidden="1" x14ac:dyDescent="0.25">
      <c r="T2818" s="32"/>
    </row>
    <row r="2819" spans="2:20" ht="12.75" hidden="1" x14ac:dyDescent="0.25">
      <c r="B2819" s="32">
        <v>47</v>
      </c>
      <c r="F2819" s="32" t="s">
        <v>128</v>
      </c>
      <c r="J2819" s="32">
        <v>1</v>
      </c>
      <c r="P2819" s="32">
        <v>1150</v>
      </c>
      <c r="R2819" s="32">
        <v>170</v>
      </c>
      <c r="T2819" s="32">
        <v>980</v>
      </c>
    </row>
    <row r="2820" spans="2:20" ht="12.75" hidden="1" x14ac:dyDescent="0.25">
      <c r="B2820" s="32">
        <v>48</v>
      </c>
      <c r="F2820" s="32" t="s">
        <v>378</v>
      </c>
      <c r="J2820" s="32">
        <v>1</v>
      </c>
      <c r="P2820" s="32">
        <v>800</v>
      </c>
      <c r="R2820" s="32">
        <v>450</v>
      </c>
      <c r="T2820" s="32">
        <v>350</v>
      </c>
    </row>
    <row r="2821" spans="2:20" ht="12.75" hidden="1" x14ac:dyDescent="0.25">
      <c r="B2821" s="32">
        <v>49</v>
      </c>
      <c r="F2821" s="32" t="s">
        <v>127</v>
      </c>
      <c r="J2821" s="32">
        <v>41</v>
      </c>
      <c r="P2821" s="32">
        <v>12300</v>
      </c>
      <c r="R2821" s="32">
        <v>3772</v>
      </c>
      <c r="T2821" s="32">
        <v>8528</v>
      </c>
    </row>
    <row r="2822" spans="2:20" ht="12.75" hidden="1" x14ac:dyDescent="0.25">
      <c r="B2822" s="32">
        <v>50</v>
      </c>
      <c r="F2822" s="32" t="s">
        <v>126</v>
      </c>
      <c r="J2822" s="32">
        <v>9</v>
      </c>
      <c r="P2822" s="32">
        <v>1800</v>
      </c>
      <c r="R2822" s="32">
        <v>594</v>
      </c>
      <c r="T2822" s="32">
        <v>1206</v>
      </c>
    </row>
    <row r="2823" spans="2:20" ht="12.75" hidden="1" x14ac:dyDescent="0.25">
      <c r="B2823" s="32">
        <v>51</v>
      </c>
      <c r="F2823" s="32" t="s">
        <v>336</v>
      </c>
      <c r="J2823" s="32">
        <v>6</v>
      </c>
      <c r="P2823" s="32">
        <v>3600</v>
      </c>
      <c r="R2823" s="32">
        <v>1500</v>
      </c>
      <c r="T2823" s="32">
        <v>2100</v>
      </c>
    </row>
    <row r="2824" spans="2:20" ht="12.75" hidden="1" x14ac:dyDescent="0.25">
      <c r="B2824" s="32">
        <v>52</v>
      </c>
      <c r="F2824" s="32" t="s">
        <v>122</v>
      </c>
      <c r="J2824" s="32">
        <v>3</v>
      </c>
      <c r="P2824" s="32">
        <v>1500</v>
      </c>
      <c r="R2824" s="32">
        <v>450</v>
      </c>
      <c r="T2824" s="32">
        <v>1050</v>
      </c>
    </row>
    <row r="2825" spans="2:20" ht="12.75" hidden="1" x14ac:dyDescent="0.25">
      <c r="B2825" s="32">
        <v>53</v>
      </c>
      <c r="F2825" s="32" t="s">
        <v>121</v>
      </c>
      <c r="J2825" s="32">
        <v>3</v>
      </c>
      <c r="P2825" s="32">
        <v>1500</v>
      </c>
      <c r="R2825" s="32">
        <v>450</v>
      </c>
      <c r="T2825" s="32">
        <v>1050</v>
      </c>
    </row>
    <row r="2826" spans="2:20" ht="12.75" hidden="1" x14ac:dyDescent="0.25">
      <c r="B2826" s="32">
        <v>54</v>
      </c>
      <c r="F2826" s="32" t="s">
        <v>282</v>
      </c>
      <c r="J2826" s="32">
        <v>1</v>
      </c>
      <c r="P2826" s="32">
        <v>500</v>
      </c>
      <c r="R2826" s="32">
        <v>150</v>
      </c>
      <c r="T2826" s="32">
        <v>350</v>
      </c>
    </row>
    <row r="2827" spans="2:20" ht="12.75" hidden="1" x14ac:dyDescent="0.25">
      <c r="B2827" s="32">
        <v>55</v>
      </c>
      <c r="F2827" s="32" t="s">
        <v>226</v>
      </c>
      <c r="J2827" s="32">
        <v>2</v>
      </c>
      <c r="P2827" s="32">
        <v>1000</v>
      </c>
      <c r="R2827" s="32">
        <v>300</v>
      </c>
      <c r="T2827" s="32">
        <v>700</v>
      </c>
    </row>
    <row r="2828" spans="2:20" ht="12.75" hidden="1" x14ac:dyDescent="0.25">
      <c r="B2828" s="32">
        <v>56</v>
      </c>
      <c r="F2828" s="32" t="s">
        <v>119</v>
      </c>
      <c r="J2828" s="32">
        <v>13</v>
      </c>
      <c r="P2828" s="32">
        <v>11570</v>
      </c>
      <c r="R2828" s="32">
        <v>3750</v>
      </c>
      <c r="T2828" s="32">
        <v>7820</v>
      </c>
    </row>
    <row r="2829" spans="2:20" ht="12.75" hidden="1" x14ac:dyDescent="0.25">
      <c r="B2829" s="32">
        <v>57</v>
      </c>
      <c r="F2829" s="32" t="s">
        <v>118</v>
      </c>
      <c r="J2829" s="32">
        <v>567</v>
      </c>
      <c r="P2829" s="32">
        <v>561330</v>
      </c>
      <c r="R2829" s="32">
        <v>280275</v>
      </c>
      <c r="T2829" s="32">
        <v>281055</v>
      </c>
    </row>
    <row r="2830" spans="2:20" ht="12.75" hidden="1" x14ac:dyDescent="0.25">
      <c r="B2830" s="32">
        <v>58</v>
      </c>
      <c r="F2830" s="32" t="s">
        <v>117</v>
      </c>
      <c r="J2830" s="32">
        <v>14</v>
      </c>
      <c r="P2830" s="32">
        <v>11300</v>
      </c>
      <c r="R2830" s="32">
        <v>2870</v>
      </c>
      <c r="T2830" s="32">
        <v>8430</v>
      </c>
    </row>
    <row r="2831" spans="2:20" ht="12.75" hidden="1" x14ac:dyDescent="0.25">
      <c r="B2831" s="32">
        <v>59</v>
      </c>
      <c r="F2831" s="32" t="s">
        <v>115</v>
      </c>
      <c r="J2831" s="32">
        <v>2</v>
      </c>
      <c r="P2831" s="32">
        <v>580</v>
      </c>
      <c r="R2831" s="32">
        <v>190</v>
      </c>
      <c r="T2831" s="32">
        <v>390</v>
      </c>
    </row>
    <row r="2832" spans="2:20" ht="12.75" hidden="1" x14ac:dyDescent="0.25">
      <c r="B2832" s="32">
        <v>60</v>
      </c>
      <c r="F2832" s="32" t="s">
        <v>280</v>
      </c>
      <c r="J2832" s="32">
        <v>1</v>
      </c>
      <c r="P2832" s="32">
        <v>700</v>
      </c>
      <c r="R2832" s="32">
        <v>350</v>
      </c>
      <c r="T2832" s="32">
        <v>350</v>
      </c>
    </row>
    <row r="2833" spans="2:20" ht="12.75" hidden="1" x14ac:dyDescent="0.25">
      <c r="B2833" s="32">
        <v>61</v>
      </c>
      <c r="F2833" s="32" t="s">
        <v>375</v>
      </c>
      <c r="J2833" s="32">
        <v>1</v>
      </c>
      <c r="P2833" s="32">
        <v>120</v>
      </c>
      <c r="R2833" s="32">
        <v>0</v>
      </c>
      <c r="T2833" s="32">
        <v>120</v>
      </c>
    </row>
    <row r="2834" spans="2:20" ht="12.75" hidden="1" x14ac:dyDescent="0.25">
      <c r="T2834" s="32"/>
    </row>
    <row r="2835" spans="2:20" ht="12.75" hidden="1" x14ac:dyDescent="0.25">
      <c r="B2835" s="32">
        <v>62</v>
      </c>
      <c r="F2835" s="32" t="s">
        <v>222</v>
      </c>
      <c r="J2835" s="32">
        <v>3</v>
      </c>
      <c r="P2835" s="32">
        <v>1500</v>
      </c>
      <c r="R2835" s="32">
        <v>450</v>
      </c>
      <c r="T2835" s="32">
        <v>1050</v>
      </c>
    </row>
    <row r="2836" spans="2:20" ht="12.75" hidden="1" x14ac:dyDescent="0.25">
      <c r="B2836" s="32">
        <v>63</v>
      </c>
      <c r="F2836" s="32" t="s">
        <v>300</v>
      </c>
      <c r="J2836" s="32">
        <v>1</v>
      </c>
      <c r="P2836" s="32">
        <v>330</v>
      </c>
      <c r="R2836" s="32">
        <v>100</v>
      </c>
      <c r="T2836" s="32">
        <v>230</v>
      </c>
    </row>
    <row r="2837" spans="2:20" ht="12.75" hidden="1" x14ac:dyDescent="0.25">
      <c r="B2837" s="32">
        <v>64</v>
      </c>
      <c r="F2837" s="32" t="s">
        <v>219</v>
      </c>
      <c r="J2837" s="32">
        <v>3</v>
      </c>
      <c r="P2837" s="32">
        <v>1500</v>
      </c>
      <c r="R2837" s="32">
        <v>450</v>
      </c>
      <c r="T2837" s="32">
        <v>1050</v>
      </c>
    </row>
    <row r="2838" spans="2:20" ht="12.75" hidden="1" x14ac:dyDescent="0.25">
      <c r="B2838" s="32">
        <v>65</v>
      </c>
      <c r="F2838" s="32" t="s">
        <v>111</v>
      </c>
      <c r="J2838" s="32">
        <v>1</v>
      </c>
      <c r="P2838" s="32">
        <v>430</v>
      </c>
      <c r="R2838" s="32">
        <v>130</v>
      </c>
      <c r="T2838" s="32">
        <v>300</v>
      </c>
    </row>
    <row r="2839" spans="2:20" ht="12.75" hidden="1" x14ac:dyDescent="0.25">
      <c r="B2839" s="32">
        <v>66</v>
      </c>
      <c r="F2839" s="32" t="s">
        <v>110</v>
      </c>
      <c r="J2839" s="32">
        <v>1</v>
      </c>
      <c r="P2839" s="32">
        <v>1080</v>
      </c>
      <c r="R2839" s="32">
        <v>160</v>
      </c>
      <c r="T2839" s="32">
        <v>920</v>
      </c>
    </row>
    <row r="2840" spans="2:20" ht="12.75" hidden="1" x14ac:dyDescent="0.25">
      <c r="B2840" s="32">
        <v>67</v>
      </c>
      <c r="F2840" s="32" t="s">
        <v>109</v>
      </c>
      <c r="J2840" s="32">
        <v>4</v>
      </c>
      <c r="P2840" s="32">
        <v>3120</v>
      </c>
      <c r="R2840" s="32">
        <v>920</v>
      </c>
      <c r="T2840" s="32">
        <v>2200</v>
      </c>
    </row>
    <row r="2841" spans="2:20" ht="12.75" hidden="1" x14ac:dyDescent="0.25">
      <c r="B2841" s="32">
        <v>68</v>
      </c>
      <c r="F2841" s="32" t="s">
        <v>108</v>
      </c>
      <c r="J2841" s="32">
        <v>193</v>
      </c>
      <c r="P2841" s="32">
        <v>19300</v>
      </c>
      <c r="R2841" s="32">
        <v>60</v>
      </c>
      <c r="T2841" s="32">
        <v>19240</v>
      </c>
    </row>
    <row r="2842" spans="2:20" ht="12.75" hidden="1" x14ac:dyDescent="0.25">
      <c r="B2842" s="32">
        <v>69</v>
      </c>
      <c r="F2842" s="32" t="s">
        <v>107</v>
      </c>
      <c r="J2842" s="32">
        <v>24</v>
      </c>
      <c r="P2842" s="32">
        <v>4080</v>
      </c>
      <c r="R2842" s="32">
        <v>1288</v>
      </c>
      <c r="T2842" s="32">
        <v>2792</v>
      </c>
    </row>
    <row r="2843" spans="2:20" ht="12.75" hidden="1" x14ac:dyDescent="0.25">
      <c r="B2843" s="32">
        <v>70</v>
      </c>
      <c r="F2843" s="32" t="s">
        <v>106</v>
      </c>
      <c r="J2843" s="32">
        <v>3</v>
      </c>
      <c r="P2843" s="32">
        <v>300</v>
      </c>
      <c r="R2843" s="32">
        <v>90</v>
      </c>
      <c r="T2843" s="32">
        <v>210</v>
      </c>
    </row>
    <row r="2844" spans="2:20" ht="12.75" hidden="1" x14ac:dyDescent="0.25">
      <c r="B2844" s="32">
        <v>71</v>
      </c>
      <c r="F2844" s="32" t="s">
        <v>180</v>
      </c>
      <c r="J2844" s="32">
        <v>1</v>
      </c>
      <c r="P2844" s="32">
        <v>590</v>
      </c>
      <c r="R2844" s="32">
        <v>180</v>
      </c>
      <c r="T2844" s="32">
        <v>410</v>
      </c>
    </row>
    <row r="2845" spans="2:20" ht="12.75" hidden="1" x14ac:dyDescent="0.25">
      <c r="B2845" s="32">
        <v>72</v>
      </c>
      <c r="F2845" s="32" t="s">
        <v>105</v>
      </c>
      <c r="J2845" s="32">
        <v>15</v>
      </c>
      <c r="P2845" s="32">
        <v>17250</v>
      </c>
      <c r="R2845" s="32">
        <v>0</v>
      </c>
      <c r="T2845" s="32">
        <v>17250</v>
      </c>
    </row>
    <row r="2846" spans="2:20" ht="12.75" hidden="1" x14ac:dyDescent="0.25">
      <c r="B2846" s="32">
        <v>73</v>
      </c>
      <c r="F2846" s="32" t="s">
        <v>377</v>
      </c>
      <c r="J2846" s="32">
        <v>1</v>
      </c>
      <c r="P2846" s="32">
        <v>2020</v>
      </c>
      <c r="R2846" s="32">
        <v>0</v>
      </c>
      <c r="T2846" s="32">
        <v>2020</v>
      </c>
    </row>
    <row r="2847" spans="2:20" ht="12.75" hidden="1" x14ac:dyDescent="0.25">
      <c r="B2847" s="32">
        <v>74</v>
      </c>
      <c r="F2847" s="32" t="s">
        <v>104</v>
      </c>
      <c r="J2847" s="32">
        <v>1</v>
      </c>
      <c r="P2847" s="32">
        <v>330</v>
      </c>
      <c r="R2847" s="32">
        <v>135</v>
      </c>
      <c r="T2847" s="32">
        <v>195</v>
      </c>
    </row>
    <row r="2848" spans="2:20" ht="12.75" hidden="1" x14ac:dyDescent="0.25">
      <c r="B2848" s="32">
        <v>75</v>
      </c>
      <c r="F2848" s="32" t="s">
        <v>103</v>
      </c>
      <c r="J2848" s="32">
        <v>5</v>
      </c>
      <c r="P2848" s="32">
        <v>1650</v>
      </c>
      <c r="R2848" s="32">
        <v>700</v>
      </c>
      <c r="T2848" s="32">
        <v>950</v>
      </c>
    </row>
    <row r="2849" spans="2:20" ht="12.75" hidden="1" x14ac:dyDescent="0.25">
      <c r="B2849" s="32">
        <v>76</v>
      </c>
      <c r="F2849" s="32" t="s">
        <v>213</v>
      </c>
      <c r="J2849" s="32">
        <v>1</v>
      </c>
      <c r="P2849" s="32">
        <v>700</v>
      </c>
      <c r="R2849" s="32">
        <v>350</v>
      </c>
      <c r="T2849" s="32">
        <v>350</v>
      </c>
    </row>
    <row r="2850" spans="2:20" ht="12.75" hidden="1" x14ac:dyDescent="0.25">
      <c r="B2850" s="32">
        <v>77</v>
      </c>
      <c r="F2850" s="32" t="s">
        <v>212</v>
      </c>
      <c r="J2850" s="32">
        <v>1</v>
      </c>
      <c r="P2850" s="32">
        <v>500</v>
      </c>
      <c r="R2850" s="32">
        <v>150</v>
      </c>
      <c r="T2850" s="32">
        <v>350</v>
      </c>
    </row>
    <row r="2851" spans="2:20" ht="12.75" hidden="1" x14ac:dyDescent="0.25">
      <c r="B2851" s="32">
        <v>78</v>
      </c>
      <c r="F2851" s="32" t="s">
        <v>211</v>
      </c>
      <c r="J2851" s="32">
        <v>6</v>
      </c>
      <c r="P2851" s="32">
        <v>3000</v>
      </c>
      <c r="R2851" s="32">
        <v>900</v>
      </c>
      <c r="T2851" s="32">
        <v>2100</v>
      </c>
    </row>
    <row r="2852" spans="2:20" ht="12.75" hidden="1" x14ac:dyDescent="0.25">
      <c r="B2852" s="32">
        <v>79</v>
      </c>
      <c r="F2852" s="32" t="s">
        <v>276</v>
      </c>
      <c r="J2852" s="32">
        <v>3</v>
      </c>
      <c r="P2852" s="32">
        <v>1500</v>
      </c>
      <c r="R2852" s="32">
        <v>430</v>
      </c>
      <c r="T2852" s="32">
        <v>1070</v>
      </c>
    </row>
    <row r="2853" spans="2:20" ht="12.75" hidden="1" x14ac:dyDescent="0.25">
      <c r="B2853" s="32">
        <v>80</v>
      </c>
      <c r="F2853" s="32" t="s">
        <v>275</v>
      </c>
      <c r="J2853" s="32">
        <v>1</v>
      </c>
      <c r="P2853" s="32">
        <v>700</v>
      </c>
      <c r="R2853" s="32">
        <v>350</v>
      </c>
      <c r="T2853" s="32">
        <v>350</v>
      </c>
    </row>
    <row r="2854" spans="2:20" ht="12.75" hidden="1" x14ac:dyDescent="0.25">
      <c r="B2854" s="32">
        <v>81</v>
      </c>
      <c r="F2854" s="32" t="s">
        <v>307</v>
      </c>
      <c r="J2854" s="32">
        <v>3</v>
      </c>
      <c r="P2854" s="32">
        <v>2300</v>
      </c>
      <c r="R2854" s="32">
        <v>970</v>
      </c>
      <c r="T2854" s="32">
        <v>1330</v>
      </c>
    </row>
    <row r="2855" spans="2:20" ht="12.75" hidden="1" x14ac:dyDescent="0.25">
      <c r="B2855" s="32">
        <v>82</v>
      </c>
      <c r="F2855" s="32" t="s">
        <v>97</v>
      </c>
      <c r="J2855" s="32">
        <v>3</v>
      </c>
      <c r="P2855" s="32">
        <v>4770</v>
      </c>
      <c r="R2855" s="32">
        <v>720</v>
      </c>
      <c r="T2855" s="32">
        <v>4050</v>
      </c>
    </row>
    <row r="2856" spans="2:20" ht="12.75" hidden="1" x14ac:dyDescent="0.25">
      <c r="B2856" s="32">
        <v>83</v>
      </c>
      <c r="F2856" s="32" t="s">
        <v>93</v>
      </c>
      <c r="J2856" s="32">
        <v>3</v>
      </c>
      <c r="P2856" s="32">
        <v>1770</v>
      </c>
      <c r="R2856" s="32">
        <v>270</v>
      </c>
      <c r="T2856" s="32">
        <v>1500</v>
      </c>
    </row>
    <row r="2857" spans="2:20" ht="12.75" hidden="1" x14ac:dyDescent="0.25">
      <c r="B2857" s="32">
        <v>84</v>
      </c>
      <c r="F2857" s="32" t="s">
        <v>92</v>
      </c>
      <c r="J2857" s="32">
        <v>50</v>
      </c>
      <c r="P2857" s="32">
        <v>32920</v>
      </c>
      <c r="R2857" s="32">
        <v>9800</v>
      </c>
      <c r="T2857" s="32">
        <v>23120</v>
      </c>
    </row>
    <row r="2858" spans="2:20" ht="12.75" hidden="1" x14ac:dyDescent="0.25">
      <c r="B2858" s="32">
        <v>85</v>
      </c>
      <c r="F2858" s="32" t="s">
        <v>306</v>
      </c>
      <c r="J2858" s="32">
        <v>6</v>
      </c>
      <c r="P2858" s="32">
        <v>6480</v>
      </c>
      <c r="R2858" s="32">
        <v>1920</v>
      </c>
      <c r="T2858" s="32">
        <v>4560</v>
      </c>
    </row>
    <row r="2859" spans="2:20" ht="12.75" hidden="1" x14ac:dyDescent="0.25">
      <c r="B2859" s="32">
        <v>86</v>
      </c>
      <c r="F2859" s="32" t="s">
        <v>91</v>
      </c>
      <c r="J2859" s="32">
        <v>541</v>
      </c>
      <c r="P2859" s="32">
        <v>135250</v>
      </c>
      <c r="R2859" s="32">
        <v>68167</v>
      </c>
      <c r="T2859" s="32">
        <v>67083</v>
      </c>
    </row>
    <row r="2860" spans="2:20" ht="12.75" hidden="1" x14ac:dyDescent="0.25">
      <c r="B2860" s="32">
        <v>87</v>
      </c>
      <c r="F2860" s="32" t="s">
        <v>90</v>
      </c>
      <c r="J2860" s="32">
        <v>51</v>
      </c>
      <c r="P2860" s="32">
        <v>14790</v>
      </c>
      <c r="R2860" s="32">
        <v>4080</v>
      </c>
      <c r="T2860" s="32">
        <v>10710</v>
      </c>
    </row>
    <row r="2861" spans="2:20" ht="12.75" hidden="1" x14ac:dyDescent="0.25">
      <c r="B2861" s="32">
        <v>88</v>
      </c>
      <c r="F2861" s="32" t="s">
        <v>88</v>
      </c>
      <c r="J2861" s="32">
        <v>9</v>
      </c>
      <c r="P2861" s="32">
        <v>1620</v>
      </c>
      <c r="R2861" s="32">
        <v>576</v>
      </c>
      <c r="T2861" s="32">
        <v>1044</v>
      </c>
    </row>
    <row r="2862" spans="2:20" ht="12.75" hidden="1" x14ac:dyDescent="0.25">
      <c r="B2862" s="32">
        <v>89</v>
      </c>
      <c r="F2862" s="32" t="s">
        <v>85</v>
      </c>
      <c r="J2862" s="32">
        <v>1</v>
      </c>
      <c r="P2862" s="32">
        <v>2080</v>
      </c>
      <c r="R2862" s="32">
        <v>310</v>
      </c>
      <c r="T2862" s="32">
        <v>1770</v>
      </c>
    </row>
    <row r="2863" spans="2:20" ht="12.75" hidden="1" x14ac:dyDescent="0.25">
      <c r="B2863" s="32">
        <v>90</v>
      </c>
      <c r="F2863" s="32" t="s">
        <v>84</v>
      </c>
      <c r="J2863" s="32">
        <v>10</v>
      </c>
      <c r="P2863" s="32">
        <v>5900</v>
      </c>
      <c r="R2863" s="32">
        <v>1800</v>
      </c>
      <c r="T2863" s="32">
        <v>4100</v>
      </c>
    </row>
    <row r="2864" spans="2:20" ht="12.75" hidden="1" x14ac:dyDescent="0.25">
      <c r="B2864" s="32">
        <v>91</v>
      </c>
      <c r="F2864" s="32" t="s">
        <v>331</v>
      </c>
      <c r="J2864" s="32">
        <v>1</v>
      </c>
      <c r="P2864" s="32">
        <v>500</v>
      </c>
      <c r="R2864" s="32">
        <v>150</v>
      </c>
      <c r="T2864" s="32">
        <v>350</v>
      </c>
    </row>
    <row r="2865" spans="1:20" ht="12.75" hidden="1" x14ac:dyDescent="0.25">
      <c r="B2865" s="32">
        <v>92</v>
      </c>
      <c r="F2865" s="32" t="s">
        <v>273</v>
      </c>
      <c r="J2865" s="32">
        <v>1</v>
      </c>
      <c r="P2865" s="32">
        <v>500</v>
      </c>
      <c r="R2865" s="32">
        <v>150</v>
      </c>
      <c r="T2865" s="32">
        <v>350</v>
      </c>
    </row>
    <row r="2866" spans="1:20" ht="12.75" hidden="1" x14ac:dyDescent="0.25">
      <c r="B2866" s="32">
        <v>93</v>
      </c>
      <c r="F2866" s="32" t="s">
        <v>206</v>
      </c>
      <c r="J2866" s="32">
        <v>2</v>
      </c>
      <c r="P2866" s="32">
        <v>1000</v>
      </c>
      <c r="R2866" s="32">
        <v>300</v>
      </c>
      <c r="T2866" s="32">
        <v>700</v>
      </c>
    </row>
    <row r="2867" spans="1:20" ht="12.75" hidden="1" x14ac:dyDescent="0.25">
      <c r="B2867" s="32">
        <v>94</v>
      </c>
      <c r="F2867" s="32" t="s">
        <v>205</v>
      </c>
      <c r="J2867" s="32">
        <v>1</v>
      </c>
      <c r="P2867" s="32">
        <v>500</v>
      </c>
      <c r="R2867" s="32">
        <v>150</v>
      </c>
      <c r="T2867" s="32">
        <v>350</v>
      </c>
    </row>
    <row r="2868" spans="1:20" ht="12.75" hidden="1" x14ac:dyDescent="0.25">
      <c r="B2868" s="32">
        <v>95</v>
      </c>
      <c r="F2868" s="32" t="s">
        <v>204</v>
      </c>
      <c r="J2868" s="32">
        <v>3</v>
      </c>
      <c r="P2868" s="32">
        <v>1500</v>
      </c>
      <c r="R2868" s="32">
        <v>450</v>
      </c>
      <c r="T2868" s="32">
        <v>1050</v>
      </c>
    </row>
    <row r="2869" spans="1:20" ht="12.75" hidden="1" x14ac:dyDescent="0.25">
      <c r="B2869" s="32">
        <v>96</v>
      </c>
      <c r="F2869" s="32" t="s">
        <v>271</v>
      </c>
      <c r="J2869" s="32">
        <v>2</v>
      </c>
      <c r="P2869" s="32">
        <v>1000</v>
      </c>
      <c r="R2869" s="32">
        <v>300</v>
      </c>
      <c r="T2869" s="32">
        <v>700</v>
      </c>
    </row>
    <row r="2870" spans="1:20" ht="12.75" hidden="1" x14ac:dyDescent="0.25">
      <c r="B2870" s="32">
        <v>97</v>
      </c>
      <c r="F2870" s="32" t="s">
        <v>363</v>
      </c>
      <c r="J2870" s="32">
        <v>1</v>
      </c>
      <c r="P2870" s="32">
        <v>500</v>
      </c>
      <c r="R2870" s="32">
        <v>150</v>
      </c>
      <c r="T2870" s="32">
        <v>350</v>
      </c>
    </row>
    <row r="2871" spans="1:20" ht="12.75" hidden="1" x14ac:dyDescent="0.25">
      <c r="A2871" s="32" t="s">
        <v>376</v>
      </c>
      <c r="K2871" s="32">
        <v>2009</v>
      </c>
      <c r="P2871" s="32">
        <v>2005080</v>
      </c>
      <c r="R2871" s="32">
        <v>1720813</v>
      </c>
      <c r="T2871" s="32">
        <v>284267</v>
      </c>
    </row>
    <row r="2872" spans="1:20" ht="12.75" hidden="1" x14ac:dyDescent="0.25">
      <c r="B2872" s="32">
        <v>1</v>
      </c>
      <c r="F2872" s="32" t="s">
        <v>78</v>
      </c>
      <c r="J2872" s="32">
        <v>102</v>
      </c>
      <c r="P2872" s="32">
        <v>29580</v>
      </c>
      <c r="R2872" s="32">
        <v>29580</v>
      </c>
      <c r="T2872" s="32">
        <v>0</v>
      </c>
    </row>
    <row r="2873" spans="1:20" ht="12.75" hidden="1" x14ac:dyDescent="0.25">
      <c r="B2873" s="32">
        <v>2</v>
      </c>
      <c r="F2873" s="32" t="s">
        <v>268</v>
      </c>
      <c r="J2873" s="32">
        <v>1</v>
      </c>
      <c r="P2873" s="32">
        <v>250</v>
      </c>
      <c r="R2873" s="32">
        <v>70</v>
      </c>
      <c r="T2873" s="32">
        <v>180</v>
      </c>
    </row>
    <row r="2874" spans="1:20" ht="12.75" hidden="1" x14ac:dyDescent="0.25">
      <c r="B2874" s="32">
        <v>3</v>
      </c>
      <c r="F2874" s="32" t="s">
        <v>162</v>
      </c>
      <c r="J2874" s="32">
        <v>5</v>
      </c>
      <c r="P2874" s="32">
        <v>2150</v>
      </c>
      <c r="R2874" s="32">
        <v>1010</v>
      </c>
      <c r="T2874" s="32">
        <v>1140</v>
      </c>
    </row>
    <row r="2875" spans="1:20" ht="12.75" hidden="1" x14ac:dyDescent="0.25">
      <c r="B2875" s="32">
        <v>4</v>
      </c>
      <c r="F2875" s="32" t="s">
        <v>160</v>
      </c>
      <c r="J2875" s="32">
        <v>6</v>
      </c>
      <c r="P2875" s="32">
        <v>1740</v>
      </c>
      <c r="R2875" s="32">
        <v>480</v>
      </c>
      <c r="T2875" s="32">
        <v>1260</v>
      </c>
    </row>
    <row r="2876" spans="1:20" ht="12.75" hidden="1" x14ac:dyDescent="0.25">
      <c r="B2876" s="32">
        <v>5</v>
      </c>
      <c r="F2876" s="32" t="s">
        <v>158</v>
      </c>
      <c r="J2876" s="32">
        <v>186</v>
      </c>
      <c r="P2876" s="32">
        <v>102300</v>
      </c>
      <c r="R2876" s="32">
        <v>22380</v>
      </c>
      <c r="T2876" s="32">
        <v>79920</v>
      </c>
    </row>
    <row r="2877" spans="1:20" ht="12.75" hidden="1" x14ac:dyDescent="0.25">
      <c r="B2877" s="32">
        <v>6</v>
      </c>
      <c r="F2877" s="32" t="s">
        <v>157</v>
      </c>
      <c r="J2877" s="32">
        <v>158</v>
      </c>
      <c r="P2877" s="32">
        <v>77420</v>
      </c>
      <c r="R2877" s="32">
        <v>31085</v>
      </c>
      <c r="T2877" s="32">
        <v>46335</v>
      </c>
    </row>
    <row r="2878" spans="1:20" ht="12.75" hidden="1" x14ac:dyDescent="0.25">
      <c r="B2878" s="32">
        <v>7</v>
      </c>
      <c r="F2878" s="32" t="s">
        <v>77</v>
      </c>
      <c r="J2878" s="32">
        <v>574</v>
      </c>
      <c r="P2878" s="32">
        <v>229600</v>
      </c>
      <c r="R2878" s="32">
        <v>229600</v>
      </c>
      <c r="T2878" s="32">
        <v>0</v>
      </c>
    </row>
    <row r="2879" spans="1:20" ht="12.75" hidden="1" x14ac:dyDescent="0.25">
      <c r="B2879" s="32">
        <v>8</v>
      </c>
      <c r="F2879" s="32" t="s">
        <v>156</v>
      </c>
      <c r="J2879" s="32">
        <v>2</v>
      </c>
      <c r="P2879" s="32">
        <v>380</v>
      </c>
      <c r="R2879" s="32">
        <v>140</v>
      </c>
      <c r="T2879" s="32">
        <v>240</v>
      </c>
    </row>
    <row r="2880" spans="1:20" ht="12.75" hidden="1" x14ac:dyDescent="0.25">
      <c r="B2880" s="32">
        <v>9</v>
      </c>
      <c r="F2880" s="32" t="s">
        <v>155</v>
      </c>
      <c r="J2880" s="32">
        <v>24</v>
      </c>
      <c r="P2880" s="32">
        <v>6000</v>
      </c>
      <c r="R2880" s="32">
        <v>1990</v>
      </c>
      <c r="T2880" s="32">
        <v>4010</v>
      </c>
    </row>
    <row r="2881" spans="2:20" ht="12.75" hidden="1" x14ac:dyDescent="0.25">
      <c r="B2881" s="32">
        <v>10</v>
      </c>
      <c r="F2881" s="32" t="s">
        <v>152</v>
      </c>
      <c r="J2881" s="32">
        <v>10</v>
      </c>
      <c r="P2881" s="32">
        <v>5900</v>
      </c>
      <c r="R2881" s="32">
        <v>1440</v>
      </c>
      <c r="T2881" s="32">
        <v>4460</v>
      </c>
    </row>
    <row r="2882" spans="2:20" ht="12.75" hidden="1" x14ac:dyDescent="0.25">
      <c r="B2882" s="32">
        <v>11</v>
      </c>
      <c r="F2882" s="32" t="s">
        <v>150</v>
      </c>
      <c r="J2882" s="32">
        <v>19</v>
      </c>
      <c r="P2882" s="32">
        <v>3230</v>
      </c>
      <c r="R2882" s="32">
        <v>550</v>
      </c>
      <c r="T2882" s="32">
        <v>2680</v>
      </c>
    </row>
    <row r="2883" spans="2:20" ht="12.75" hidden="1" x14ac:dyDescent="0.25">
      <c r="B2883" s="32">
        <v>12</v>
      </c>
      <c r="F2883" s="32" t="s">
        <v>149</v>
      </c>
      <c r="J2883" s="32">
        <v>1</v>
      </c>
      <c r="P2883" s="32">
        <v>50</v>
      </c>
      <c r="R2883" s="32">
        <v>50</v>
      </c>
      <c r="T2883" s="32">
        <v>0</v>
      </c>
    </row>
    <row r="2884" spans="2:20" ht="12.75" hidden="1" x14ac:dyDescent="0.25">
      <c r="B2884" s="32">
        <v>13</v>
      </c>
      <c r="F2884" s="32" t="s">
        <v>233</v>
      </c>
      <c r="J2884" s="32">
        <v>1</v>
      </c>
      <c r="P2884" s="32">
        <v>980</v>
      </c>
      <c r="R2884" s="32">
        <v>150</v>
      </c>
      <c r="T2884" s="32">
        <v>830</v>
      </c>
    </row>
    <row r="2885" spans="2:20" ht="12.75" hidden="1" x14ac:dyDescent="0.25">
      <c r="B2885" s="32">
        <v>14</v>
      </c>
      <c r="F2885" s="32" t="s">
        <v>232</v>
      </c>
      <c r="J2885" s="32">
        <v>1</v>
      </c>
      <c r="P2885" s="32">
        <v>980</v>
      </c>
      <c r="R2885" s="32">
        <v>150</v>
      </c>
      <c r="T2885" s="32">
        <v>830</v>
      </c>
    </row>
    <row r="2886" spans="2:20" ht="12.75" hidden="1" x14ac:dyDescent="0.25">
      <c r="B2886" s="32">
        <v>15</v>
      </c>
      <c r="F2886" s="32" t="s">
        <v>193</v>
      </c>
      <c r="J2886" s="32">
        <v>1</v>
      </c>
      <c r="P2886" s="32">
        <v>890</v>
      </c>
      <c r="R2886" s="32">
        <v>130</v>
      </c>
      <c r="T2886" s="32">
        <v>760</v>
      </c>
    </row>
    <row r="2887" spans="2:20" ht="12.75" hidden="1" x14ac:dyDescent="0.25">
      <c r="B2887" s="32">
        <v>16</v>
      </c>
      <c r="F2887" s="32" t="s">
        <v>75</v>
      </c>
      <c r="J2887" s="32">
        <v>527</v>
      </c>
      <c r="P2887" s="32">
        <v>1317500</v>
      </c>
      <c r="R2887" s="32">
        <v>1317500</v>
      </c>
      <c r="T2887" s="32">
        <v>0</v>
      </c>
    </row>
    <row r="2888" spans="2:20" ht="12.75" hidden="1" x14ac:dyDescent="0.25">
      <c r="B2888" s="32">
        <v>17</v>
      </c>
      <c r="F2888" s="32" t="s">
        <v>136</v>
      </c>
      <c r="J2888" s="32">
        <v>10</v>
      </c>
      <c r="P2888" s="32">
        <v>8500</v>
      </c>
      <c r="R2888" s="32">
        <v>1690</v>
      </c>
      <c r="T2888" s="32">
        <v>6810</v>
      </c>
    </row>
    <row r="2889" spans="2:20" ht="12.75" hidden="1" x14ac:dyDescent="0.25">
      <c r="B2889" s="32">
        <v>18</v>
      </c>
      <c r="F2889" s="32" t="s">
        <v>74</v>
      </c>
      <c r="J2889" s="32">
        <v>44</v>
      </c>
      <c r="P2889" s="32">
        <v>37400</v>
      </c>
      <c r="R2889" s="32">
        <v>37400</v>
      </c>
      <c r="T2889" s="32">
        <v>0</v>
      </c>
    </row>
    <row r="2890" spans="2:20" ht="12.75" hidden="1" x14ac:dyDescent="0.25">
      <c r="B2890" s="32">
        <v>19</v>
      </c>
      <c r="F2890" s="32" t="s">
        <v>190</v>
      </c>
      <c r="J2890" s="32">
        <v>3</v>
      </c>
      <c r="P2890" s="32">
        <v>4710</v>
      </c>
      <c r="R2890" s="32">
        <v>720</v>
      </c>
      <c r="T2890" s="32">
        <v>3990</v>
      </c>
    </row>
    <row r="2891" spans="2:20" ht="12.75" hidden="1" x14ac:dyDescent="0.25">
      <c r="B2891" s="32">
        <v>20</v>
      </c>
      <c r="F2891" s="32" t="s">
        <v>230</v>
      </c>
      <c r="J2891" s="32">
        <v>4</v>
      </c>
      <c r="P2891" s="32">
        <v>3800</v>
      </c>
      <c r="R2891" s="32">
        <v>560</v>
      </c>
      <c r="T2891" s="32">
        <v>3240</v>
      </c>
    </row>
    <row r="2892" spans="2:20" ht="12.75" hidden="1" x14ac:dyDescent="0.25">
      <c r="B2892" s="32">
        <v>21</v>
      </c>
      <c r="F2892" s="32" t="s">
        <v>135</v>
      </c>
      <c r="J2892" s="32">
        <v>3</v>
      </c>
      <c r="P2892" s="32">
        <v>2850</v>
      </c>
      <c r="R2892" s="32">
        <v>840</v>
      </c>
      <c r="T2892" s="32">
        <v>2010</v>
      </c>
    </row>
    <row r="2893" spans="2:20" ht="12.75" hidden="1" x14ac:dyDescent="0.25">
      <c r="B2893" s="32">
        <v>22</v>
      </c>
      <c r="F2893" s="32" t="s">
        <v>133</v>
      </c>
      <c r="J2893" s="32">
        <v>1</v>
      </c>
      <c r="P2893" s="32">
        <v>1090</v>
      </c>
      <c r="R2893" s="32">
        <v>0</v>
      </c>
      <c r="T2893" s="32">
        <v>1090</v>
      </c>
    </row>
    <row r="2894" spans="2:20" ht="12.75" hidden="1" x14ac:dyDescent="0.25">
      <c r="B2894" s="32">
        <v>23</v>
      </c>
      <c r="F2894" s="32" t="s">
        <v>132</v>
      </c>
      <c r="J2894" s="32">
        <v>7</v>
      </c>
      <c r="P2894" s="32">
        <v>8680</v>
      </c>
      <c r="R2894" s="32">
        <v>2590</v>
      </c>
      <c r="T2894" s="32">
        <v>6090</v>
      </c>
    </row>
    <row r="2895" spans="2:20" ht="12.75" hidden="1" x14ac:dyDescent="0.25">
      <c r="B2895" s="32">
        <v>24</v>
      </c>
      <c r="F2895" s="32" t="s">
        <v>127</v>
      </c>
      <c r="J2895" s="32">
        <v>10</v>
      </c>
      <c r="P2895" s="32">
        <v>3000</v>
      </c>
      <c r="R2895" s="32">
        <v>720</v>
      </c>
      <c r="T2895" s="32">
        <v>2280</v>
      </c>
    </row>
    <row r="2896" spans="2:20" ht="12.75" hidden="1" x14ac:dyDescent="0.25">
      <c r="B2896" s="32">
        <v>25</v>
      </c>
      <c r="F2896" s="32" t="s">
        <v>126</v>
      </c>
      <c r="J2896" s="32">
        <v>10</v>
      </c>
      <c r="P2896" s="32">
        <v>2000</v>
      </c>
      <c r="R2896" s="32">
        <v>480</v>
      </c>
      <c r="T2896" s="32">
        <v>1520</v>
      </c>
    </row>
    <row r="2897" spans="2:20" ht="12.75" hidden="1" x14ac:dyDescent="0.25">
      <c r="B2897" s="32">
        <v>26</v>
      </c>
      <c r="F2897" s="32" t="s">
        <v>182</v>
      </c>
      <c r="J2897" s="32">
        <v>1</v>
      </c>
      <c r="P2897" s="32">
        <v>790</v>
      </c>
      <c r="R2897" s="32">
        <v>120</v>
      </c>
      <c r="T2897" s="32">
        <v>670</v>
      </c>
    </row>
    <row r="2898" spans="2:20" ht="12.75" hidden="1" x14ac:dyDescent="0.25">
      <c r="B2898" s="32">
        <v>27</v>
      </c>
      <c r="F2898" s="32" t="s">
        <v>119</v>
      </c>
      <c r="J2898" s="32">
        <v>18</v>
      </c>
      <c r="P2898" s="32">
        <v>16020</v>
      </c>
      <c r="R2898" s="32">
        <v>5280</v>
      </c>
      <c r="T2898" s="32">
        <v>10740</v>
      </c>
    </row>
    <row r="2899" spans="2:20" ht="12.75" hidden="1" x14ac:dyDescent="0.25">
      <c r="B2899" s="32">
        <v>28</v>
      </c>
      <c r="F2899" s="32" t="s">
        <v>118</v>
      </c>
      <c r="J2899" s="32">
        <v>68</v>
      </c>
      <c r="P2899" s="32">
        <v>67320</v>
      </c>
      <c r="R2899" s="32">
        <v>21608</v>
      </c>
      <c r="T2899" s="32">
        <v>45712</v>
      </c>
    </row>
    <row r="2900" spans="2:20" ht="12.75" hidden="1" x14ac:dyDescent="0.25">
      <c r="B2900" s="32">
        <v>29</v>
      </c>
      <c r="F2900" s="32" t="s">
        <v>115</v>
      </c>
      <c r="J2900" s="32">
        <v>12</v>
      </c>
      <c r="P2900" s="32">
        <v>3480</v>
      </c>
      <c r="R2900" s="32">
        <v>570</v>
      </c>
      <c r="T2900" s="32">
        <v>2910</v>
      </c>
    </row>
    <row r="2901" spans="2:20" ht="12.75" hidden="1" x14ac:dyDescent="0.25">
      <c r="B2901" s="32">
        <v>30</v>
      </c>
      <c r="F2901" s="32" t="s">
        <v>375</v>
      </c>
      <c r="J2901" s="32">
        <v>44</v>
      </c>
      <c r="P2901" s="32">
        <v>5280</v>
      </c>
      <c r="R2901" s="32">
        <v>0</v>
      </c>
      <c r="T2901" s="32">
        <v>5280</v>
      </c>
    </row>
    <row r="2902" spans="2:20" ht="12.75" hidden="1" x14ac:dyDescent="0.25">
      <c r="T2902" s="32"/>
    </row>
    <row r="2903" spans="2:20" ht="12.75" hidden="1" x14ac:dyDescent="0.25">
      <c r="B2903" s="32">
        <v>31</v>
      </c>
      <c r="F2903" s="32" t="s">
        <v>300</v>
      </c>
      <c r="J2903" s="32">
        <v>1</v>
      </c>
      <c r="P2903" s="32">
        <v>330</v>
      </c>
      <c r="R2903" s="32">
        <v>140</v>
      </c>
      <c r="T2903" s="32">
        <v>190</v>
      </c>
    </row>
    <row r="2904" spans="2:20" ht="12.75" hidden="1" x14ac:dyDescent="0.25">
      <c r="B2904" s="32">
        <v>32</v>
      </c>
      <c r="F2904" s="32" t="s">
        <v>181</v>
      </c>
      <c r="J2904" s="32">
        <v>1</v>
      </c>
      <c r="P2904" s="32">
        <v>790</v>
      </c>
      <c r="R2904" s="32">
        <v>120</v>
      </c>
      <c r="T2904" s="32">
        <v>670</v>
      </c>
    </row>
    <row r="2905" spans="2:20" ht="12.75" hidden="1" x14ac:dyDescent="0.25">
      <c r="B2905" s="32">
        <v>33</v>
      </c>
      <c r="F2905" s="32" t="s">
        <v>109</v>
      </c>
      <c r="J2905" s="32">
        <v>1</v>
      </c>
      <c r="P2905" s="32">
        <v>780</v>
      </c>
      <c r="R2905" s="32">
        <v>230</v>
      </c>
      <c r="T2905" s="32">
        <v>550</v>
      </c>
    </row>
    <row r="2906" spans="2:20" ht="12.75" hidden="1" x14ac:dyDescent="0.25">
      <c r="B2906" s="32">
        <v>34</v>
      </c>
      <c r="F2906" s="32" t="s">
        <v>108</v>
      </c>
      <c r="J2906" s="32">
        <v>14</v>
      </c>
      <c r="P2906" s="32">
        <v>1400</v>
      </c>
      <c r="R2906" s="32">
        <v>360</v>
      </c>
      <c r="T2906" s="32">
        <v>1040</v>
      </c>
    </row>
    <row r="2907" spans="2:20" ht="12.75" hidden="1" x14ac:dyDescent="0.25">
      <c r="B2907" s="32">
        <v>35</v>
      </c>
      <c r="F2907" s="32" t="s">
        <v>107</v>
      </c>
      <c r="J2907" s="32">
        <v>39</v>
      </c>
      <c r="P2907" s="32">
        <v>6630</v>
      </c>
      <c r="R2907" s="32">
        <v>1250</v>
      </c>
      <c r="T2907" s="32">
        <v>5380</v>
      </c>
    </row>
    <row r="2908" spans="2:20" ht="12.75" hidden="1" x14ac:dyDescent="0.25">
      <c r="B2908" s="32">
        <v>36</v>
      </c>
      <c r="F2908" s="32" t="s">
        <v>255</v>
      </c>
      <c r="J2908" s="32">
        <v>1</v>
      </c>
      <c r="P2908" s="32">
        <v>950</v>
      </c>
      <c r="R2908" s="32">
        <v>140</v>
      </c>
      <c r="T2908" s="32">
        <v>810</v>
      </c>
    </row>
    <row r="2909" spans="2:20" ht="12.75" hidden="1" x14ac:dyDescent="0.25">
      <c r="B2909" s="32">
        <v>37</v>
      </c>
      <c r="F2909" s="32" t="s">
        <v>103</v>
      </c>
      <c r="J2909" s="32">
        <v>5</v>
      </c>
      <c r="P2909" s="32">
        <v>1650</v>
      </c>
      <c r="R2909" s="32">
        <v>560</v>
      </c>
      <c r="T2909" s="32">
        <v>1090</v>
      </c>
    </row>
    <row r="2910" spans="2:20" ht="12.75" hidden="1" x14ac:dyDescent="0.25">
      <c r="B2910" s="32">
        <v>38</v>
      </c>
      <c r="F2910" s="32" t="s">
        <v>178</v>
      </c>
      <c r="J2910" s="32">
        <v>1</v>
      </c>
      <c r="P2910" s="32">
        <v>1650</v>
      </c>
      <c r="R2910" s="32">
        <v>0</v>
      </c>
      <c r="T2910" s="32">
        <v>1650</v>
      </c>
    </row>
    <row r="2911" spans="2:20" ht="12.75" hidden="1" x14ac:dyDescent="0.25">
      <c r="B2911" s="32">
        <v>39</v>
      </c>
      <c r="F2911" s="32" t="s">
        <v>97</v>
      </c>
      <c r="J2911" s="32">
        <v>1</v>
      </c>
      <c r="P2911" s="32">
        <v>1590</v>
      </c>
      <c r="R2911" s="32">
        <v>240</v>
      </c>
      <c r="T2911" s="32">
        <v>1350</v>
      </c>
    </row>
    <row r="2912" spans="2:20" ht="12.75" hidden="1" x14ac:dyDescent="0.25">
      <c r="B2912" s="32">
        <v>40</v>
      </c>
      <c r="F2912" s="32" t="s">
        <v>93</v>
      </c>
      <c r="J2912" s="32">
        <v>7</v>
      </c>
      <c r="P2912" s="32">
        <v>4130</v>
      </c>
      <c r="R2912" s="32">
        <v>450</v>
      </c>
      <c r="T2912" s="32">
        <v>3680</v>
      </c>
    </row>
    <row r="2913" spans="1:20" ht="12.75" hidden="1" x14ac:dyDescent="0.25">
      <c r="B2913" s="32">
        <v>41</v>
      </c>
      <c r="F2913" s="32" t="s">
        <v>92</v>
      </c>
      <c r="J2913" s="32">
        <v>6</v>
      </c>
      <c r="P2913" s="32">
        <v>6480</v>
      </c>
      <c r="R2913" s="32">
        <v>1920</v>
      </c>
      <c r="T2913" s="32">
        <v>4560</v>
      </c>
    </row>
    <row r="2914" spans="1:20" ht="12.75" hidden="1" x14ac:dyDescent="0.25">
      <c r="B2914" s="32">
        <v>42</v>
      </c>
      <c r="F2914" s="32" t="s">
        <v>91</v>
      </c>
      <c r="J2914" s="32">
        <v>10</v>
      </c>
      <c r="P2914" s="32">
        <v>2500</v>
      </c>
      <c r="R2914" s="32">
        <v>490</v>
      </c>
      <c r="T2914" s="32">
        <v>2010</v>
      </c>
    </row>
    <row r="2915" spans="1:20" ht="12.75" hidden="1" x14ac:dyDescent="0.25">
      <c r="B2915" s="32">
        <v>43</v>
      </c>
      <c r="F2915" s="32" t="s">
        <v>90</v>
      </c>
      <c r="J2915" s="32">
        <v>16</v>
      </c>
      <c r="P2915" s="32">
        <v>4640</v>
      </c>
      <c r="R2915" s="32">
        <v>1120</v>
      </c>
      <c r="T2915" s="32">
        <v>3520</v>
      </c>
    </row>
    <row r="2916" spans="1:20" ht="12.75" hidden="1" x14ac:dyDescent="0.25">
      <c r="B2916" s="32">
        <v>44</v>
      </c>
      <c r="F2916" s="32" t="s">
        <v>88</v>
      </c>
      <c r="J2916" s="32">
        <v>33</v>
      </c>
      <c r="P2916" s="32">
        <v>5940</v>
      </c>
      <c r="R2916" s="32">
        <v>1430</v>
      </c>
      <c r="T2916" s="32">
        <v>4510</v>
      </c>
    </row>
    <row r="2917" spans="1:20" ht="12.75" hidden="1" x14ac:dyDescent="0.25">
      <c r="B2917" s="32">
        <v>45</v>
      </c>
      <c r="F2917" s="32" t="s">
        <v>86</v>
      </c>
      <c r="J2917" s="32">
        <v>2</v>
      </c>
      <c r="P2917" s="32">
        <v>2280</v>
      </c>
      <c r="R2917" s="32">
        <v>340</v>
      </c>
      <c r="T2917" s="32">
        <v>1940</v>
      </c>
    </row>
    <row r="2918" spans="1:20" ht="12.75" hidden="1" x14ac:dyDescent="0.25">
      <c r="B2918" s="32">
        <v>46</v>
      </c>
      <c r="F2918" s="32" t="s">
        <v>85</v>
      </c>
      <c r="J2918" s="32">
        <v>6</v>
      </c>
      <c r="P2918" s="32">
        <v>12480</v>
      </c>
      <c r="R2918" s="32">
        <v>1550</v>
      </c>
      <c r="T2918" s="32">
        <v>10930</v>
      </c>
    </row>
    <row r="2919" spans="1:20" ht="12.75" hidden="1" x14ac:dyDescent="0.25">
      <c r="B2919" s="32">
        <v>47</v>
      </c>
      <c r="F2919" s="32" t="s">
        <v>84</v>
      </c>
      <c r="J2919" s="32">
        <v>11</v>
      </c>
      <c r="P2919" s="32">
        <v>6490</v>
      </c>
      <c r="R2919" s="32">
        <v>1440</v>
      </c>
      <c r="T2919" s="32">
        <v>5050</v>
      </c>
    </row>
    <row r="2920" spans="1:20" ht="12.75" hidden="1" x14ac:dyDescent="0.25">
      <c r="B2920" s="32">
        <v>48</v>
      </c>
      <c r="F2920" s="32" t="s">
        <v>83</v>
      </c>
      <c r="J2920" s="32">
        <v>1</v>
      </c>
      <c r="P2920" s="32">
        <v>500</v>
      </c>
      <c r="R2920" s="32">
        <v>150</v>
      </c>
      <c r="T2920" s="32">
        <v>350</v>
      </c>
    </row>
    <row r="2921" spans="1:20" ht="12.75" hidden="1" x14ac:dyDescent="0.25">
      <c r="A2921" s="32" t="s">
        <v>374</v>
      </c>
      <c r="K2921" s="32">
        <v>4005</v>
      </c>
      <c r="P2921" s="32">
        <v>4558280</v>
      </c>
      <c r="R2921" s="32">
        <v>4192034</v>
      </c>
      <c r="T2921" s="32">
        <v>366246</v>
      </c>
    </row>
    <row r="2922" spans="1:20" ht="12.75" hidden="1" x14ac:dyDescent="0.25">
      <c r="B2922" s="32">
        <v>1</v>
      </c>
      <c r="F2922" s="32" t="s">
        <v>78</v>
      </c>
      <c r="J2922" s="32">
        <v>760</v>
      </c>
      <c r="P2922" s="32">
        <v>220400</v>
      </c>
      <c r="R2922" s="32">
        <v>220400</v>
      </c>
      <c r="T2922" s="32">
        <v>0</v>
      </c>
    </row>
    <row r="2923" spans="1:20" ht="12.75" hidden="1" x14ac:dyDescent="0.25">
      <c r="B2923" s="32">
        <v>2</v>
      </c>
      <c r="F2923" s="32" t="s">
        <v>164</v>
      </c>
      <c r="J2923" s="32">
        <v>2</v>
      </c>
      <c r="P2923" s="32">
        <v>1180</v>
      </c>
      <c r="R2923" s="32">
        <v>360</v>
      </c>
      <c r="T2923" s="32">
        <v>820</v>
      </c>
    </row>
    <row r="2924" spans="1:20" ht="12.75" hidden="1" x14ac:dyDescent="0.25">
      <c r="B2924" s="32">
        <v>3</v>
      </c>
      <c r="F2924" s="32" t="s">
        <v>163</v>
      </c>
      <c r="J2924" s="32">
        <v>1</v>
      </c>
      <c r="P2924" s="32">
        <v>1190</v>
      </c>
      <c r="R2924" s="32">
        <v>180</v>
      </c>
      <c r="T2924" s="32">
        <v>1010</v>
      </c>
    </row>
    <row r="2925" spans="1:20" ht="12.75" hidden="1" x14ac:dyDescent="0.25">
      <c r="B2925" s="32">
        <v>4</v>
      </c>
      <c r="F2925" s="32" t="s">
        <v>162</v>
      </c>
      <c r="J2925" s="32">
        <v>5</v>
      </c>
      <c r="P2925" s="32">
        <v>2150</v>
      </c>
      <c r="R2925" s="32">
        <v>1010</v>
      </c>
      <c r="T2925" s="32">
        <v>1140</v>
      </c>
    </row>
    <row r="2926" spans="1:20" ht="12.75" hidden="1" x14ac:dyDescent="0.25">
      <c r="B2926" s="32">
        <v>5</v>
      </c>
      <c r="F2926" s="32" t="s">
        <v>198</v>
      </c>
      <c r="J2926" s="32">
        <v>10</v>
      </c>
      <c r="P2926" s="32">
        <v>2900</v>
      </c>
      <c r="R2926" s="32">
        <v>800</v>
      </c>
      <c r="T2926" s="32">
        <v>2100</v>
      </c>
    </row>
    <row r="2927" spans="1:20" ht="12.75" hidden="1" x14ac:dyDescent="0.25">
      <c r="B2927" s="32">
        <v>6</v>
      </c>
      <c r="F2927" s="32" t="s">
        <v>160</v>
      </c>
      <c r="J2927" s="32">
        <v>1</v>
      </c>
      <c r="P2927" s="32">
        <v>290</v>
      </c>
      <c r="R2927" s="32">
        <v>80</v>
      </c>
      <c r="T2927" s="32">
        <v>210</v>
      </c>
    </row>
    <row r="2928" spans="1:20" ht="12.75" hidden="1" x14ac:dyDescent="0.25">
      <c r="B2928" s="32">
        <v>7</v>
      </c>
      <c r="F2928" s="32" t="s">
        <v>158</v>
      </c>
      <c r="J2928" s="32">
        <v>403</v>
      </c>
      <c r="P2928" s="32">
        <v>221650</v>
      </c>
      <c r="R2928" s="32">
        <v>68490</v>
      </c>
      <c r="T2928" s="32">
        <v>153160</v>
      </c>
    </row>
    <row r="2929" spans="2:20" ht="12.75" hidden="1" x14ac:dyDescent="0.25">
      <c r="B2929" s="32">
        <v>8</v>
      </c>
      <c r="F2929" s="32" t="s">
        <v>157</v>
      </c>
      <c r="J2929" s="32">
        <v>84</v>
      </c>
      <c r="P2929" s="32">
        <v>41160</v>
      </c>
      <c r="R2929" s="32">
        <v>19313</v>
      </c>
      <c r="T2929" s="32">
        <v>21847</v>
      </c>
    </row>
    <row r="2930" spans="2:20" ht="12.75" hidden="1" x14ac:dyDescent="0.25">
      <c r="B2930" s="32">
        <v>9</v>
      </c>
      <c r="F2930" s="32" t="s">
        <v>77</v>
      </c>
      <c r="J2930" s="32">
        <v>756</v>
      </c>
      <c r="P2930" s="32">
        <v>309900</v>
      </c>
      <c r="R2930" s="32">
        <v>309900</v>
      </c>
      <c r="T2930" s="32">
        <v>0</v>
      </c>
    </row>
    <row r="2931" spans="2:20" ht="12.75" hidden="1" x14ac:dyDescent="0.25">
      <c r="B2931" s="32">
        <v>10</v>
      </c>
      <c r="F2931" s="32" t="s">
        <v>76</v>
      </c>
      <c r="J2931" s="32">
        <v>1</v>
      </c>
      <c r="P2931" s="32">
        <v>600</v>
      </c>
      <c r="R2931" s="32">
        <v>600</v>
      </c>
      <c r="T2931" s="32">
        <v>0</v>
      </c>
    </row>
    <row r="2932" spans="2:20" ht="12.75" hidden="1" x14ac:dyDescent="0.25">
      <c r="B2932" s="32">
        <v>11</v>
      </c>
      <c r="F2932" s="32" t="s">
        <v>156</v>
      </c>
      <c r="J2932" s="32">
        <v>1</v>
      </c>
      <c r="P2932" s="32">
        <v>190</v>
      </c>
      <c r="R2932" s="32">
        <v>70</v>
      </c>
      <c r="T2932" s="32">
        <v>120</v>
      </c>
    </row>
    <row r="2933" spans="2:20" ht="12.75" hidden="1" x14ac:dyDescent="0.25">
      <c r="B2933" s="32">
        <v>12</v>
      </c>
      <c r="F2933" s="32" t="s">
        <v>155</v>
      </c>
      <c r="J2933" s="32">
        <v>24</v>
      </c>
      <c r="P2933" s="32">
        <v>6000</v>
      </c>
      <c r="R2933" s="32">
        <v>2310</v>
      </c>
      <c r="T2933" s="32">
        <v>3690</v>
      </c>
    </row>
    <row r="2934" spans="2:20" ht="12.75" hidden="1" x14ac:dyDescent="0.25">
      <c r="B2934" s="32">
        <v>13</v>
      </c>
      <c r="F2934" s="32" t="s">
        <v>239</v>
      </c>
      <c r="J2934" s="32">
        <v>1</v>
      </c>
      <c r="P2934" s="32">
        <v>1090</v>
      </c>
      <c r="R2934" s="32">
        <v>0</v>
      </c>
      <c r="T2934" s="32">
        <v>1090</v>
      </c>
    </row>
    <row r="2935" spans="2:20" ht="12.75" hidden="1" x14ac:dyDescent="0.25">
      <c r="B2935" s="32">
        <v>14</v>
      </c>
      <c r="F2935" s="32" t="s">
        <v>152</v>
      </c>
      <c r="J2935" s="32">
        <v>6</v>
      </c>
      <c r="P2935" s="32">
        <v>3540</v>
      </c>
      <c r="R2935" s="32">
        <v>1080</v>
      </c>
      <c r="T2935" s="32">
        <v>2460</v>
      </c>
    </row>
    <row r="2936" spans="2:20" ht="12.75" hidden="1" x14ac:dyDescent="0.25">
      <c r="B2936" s="32">
        <v>15</v>
      </c>
      <c r="F2936" s="32" t="s">
        <v>151</v>
      </c>
      <c r="J2936" s="32">
        <v>35</v>
      </c>
      <c r="P2936" s="32">
        <v>8050</v>
      </c>
      <c r="R2936" s="32">
        <v>2790</v>
      </c>
      <c r="T2936" s="32">
        <v>5260</v>
      </c>
    </row>
    <row r="2937" spans="2:20" ht="12.75" hidden="1" x14ac:dyDescent="0.25">
      <c r="B2937" s="32">
        <v>16</v>
      </c>
      <c r="F2937" s="32" t="s">
        <v>149</v>
      </c>
      <c r="J2937" s="32">
        <v>12</v>
      </c>
      <c r="P2937" s="32">
        <v>600</v>
      </c>
      <c r="R2937" s="32">
        <v>120</v>
      </c>
      <c r="T2937" s="32">
        <v>480</v>
      </c>
    </row>
    <row r="2938" spans="2:20" ht="12.75" hidden="1" x14ac:dyDescent="0.25">
      <c r="B2938" s="32">
        <v>17</v>
      </c>
      <c r="F2938" s="32" t="s">
        <v>75</v>
      </c>
      <c r="J2938" s="32">
        <v>1374</v>
      </c>
      <c r="P2938" s="32">
        <v>3435000</v>
      </c>
      <c r="R2938" s="32">
        <v>3435000</v>
      </c>
      <c r="T2938" s="32">
        <v>0</v>
      </c>
    </row>
    <row r="2939" spans="2:20" ht="12.75" hidden="1" x14ac:dyDescent="0.25">
      <c r="B2939" s="32">
        <v>18</v>
      </c>
      <c r="F2939" s="32" t="s">
        <v>373</v>
      </c>
      <c r="J2939" s="32">
        <v>1</v>
      </c>
      <c r="P2939" s="32">
        <v>960</v>
      </c>
      <c r="R2939" s="32">
        <v>360</v>
      </c>
      <c r="T2939" s="32">
        <v>600</v>
      </c>
    </row>
    <row r="2940" spans="2:20" ht="12.75" hidden="1" x14ac:dyDescent="0.25">
      <c r="B2940" s="32">
        <v>19</v>
      </c>
      <c r="F2940" s="32" t="s">
        <v>136</v>
      </c>
      <c r="J2940" s="32">
        <v>41</v>
      </c>
      <c r="P2940" s="32">
        <v>34850</v>
      </c>
      <c r="R2940" s="32">
        <v>8580</v>
      </c>
      <c r="T2940" s="32">
        <v>26270</v>
      </c>
    </row>
    <row r="2941" spans="2:20" ht="12.75" hidden="1" x14ac:dyDescent="0.25">
      <c r="B2941" s="32">
        <v>20</v>
      </c>
      <c r="F2941" s="32" t="s">
        <v>74</v>
      </c>
      <c r="J2941" s="32">
        <v>18</v>
      </c>
      <c r="P2941" s="32">
        <v>15300</v>
      </c>
      <c r="R2941" s="32">
        <v>15300</v>
      </c>
      <c r="T2941" s="32">
        <v>0</v>
      </c>
    </row>
    <row r="2942" spans="2:20" ht="12.75" hidden="1" x14ac:dyDescent="0.25">
      <c r="B2942" s="32">
        <v>21</v>
      </c>
      <c r="F2942" s="32" t="s">
        <v>190</v>
      </c>
      <c r="J2942" s="32">
        <v>1</v>
      </c>
      <c r="P2942" s="32">
        <v>1570</v>
      </c>
      <c r="R2942" s="32">
        <v>240</v>
      </c>
      <c r="T2942" s="32">
        <v>1330</v>
      </c>
    </row>
    <row r="2943" spans="2:20" ht="12.75" hidden="1" x14ac:dyDescent="0.25">
      <c r="B2943" s="32">
        <v>22</v>
      </c>
      <c r="F2943" s="32" t="s">
        <v>135</v>
      </c>
      <c r="J2943" s="32">
        <v>12</v>
      </c>
      <c r="P2943" s="32">
        <v>11400</v>
      </c>
      <c r="R2943" s="32">
        <v>3360</v>
      </c>
      <c r="T2943" s="32">
        <v>8040</v>
      </c>
    </row>
    <row r="2944" spans="2:20" ht="12.75" hidden="1" x14ac:dyDescent="0.25">
      <c r="B2944" s="32">
        <v>23</v>
      </c>
      <c r="F2944" s="32" t="s">
        <v>229</v>
      </c>
      <c r="J2944" s="32">
        <v>2</v>
      </c>
      <c r="P2944" s="32">
        <v>14000</v>
      </c>
      <c r="R2944" s="32">
        <v>14000</v>
      </c>
      <c r="T2944" s="32">
        <v>0</v>
      </c>
    </row>
    <row r="2945" spans="2:20" ht="12.75" hidden="1" x14ac:dyDescent="0.25">
      <c r="B2945" s="32">
        <v>24</v>
      </c>
      <c r="F2945" s="32" t="s">
        <v>132</v>
      </c>
      <c r="J2945" s="32">
        <v>12</v>
      </c>
      <c r="P2945" s="32">
        <v>14880</v>
      </c>
      <c r="R2945" s="32">
        <v>4440</v>
      </c>
      <c r="T2945" s="32">
        <v>10440</v>
      </c>
    </row>
    <row r="2946" spans="2:20" ht="12.75" hidden="1" x14ac:dyDescent="0.25">
      <c r="B2946" s="32">
        <v>25</v>
      </c>
      <c r="F2946" s="32" t="s">
        <v>131</v>
      </c>
      <c r="J2946" s="32">
        <v>1</v>
      </c>
      <c r="P2946" s="32">
        <v>3700</v>
      </c>
      <c r="R2946" s="32">
        <v>0</v>
      </c>
      <c r="T2946" s="32">
        <v>3700</v>
      </c>
    </row>
    <row r="2947" spans="2:20" ht="12.75" hidden="1" x14ac:dyDescent="0.25">
      <c r="B2947" s="32">
        <v>26</v>
      </c>
      <c r="F2947" s="32" t="s">
        <v>284</v>
      </c>
      <c r="J2947" s="32">
        <v>1</v>
      </c>
      <c r="P2947" s="32">
        <v>3700</v>
      </c>
      <c r="R2947" s="32">
        <v>1850</v>
      </c>
      <c r="T2947" s="32">
        <v>1850</v>
      </c>
    </row>
    <row r="2948" spans="2:20" ht="12.75" hidden="1" x14ac:dyDescent="0.25">
      <c r="T2948" s="32"/>
    </row>
    <row r="2949" spans="2:20" ht="12.75" hidden="1" x14ac:dyDescent="0.25">
      <c r="B2949" s="32">
        <v>27</v>
      </c>
      <c r="F2949" s="32" t="s">
        <v>130</v>
      </c>
      <c r="J2949" s="32">
        <v>3</v>
      </c>
      <c r="P2949" s="32">
        <v>24000</v>
      </c>
      <c r="R2949" s="32">
        <v>24000</v>
      </c>
      <c r="T2949" s="32">
        <v>0</v>
      </c>
    </row>
    <row r="2950" spans="2:20" ht="12.75" hidden="1" x14ac:dyDescent="0.25">
      <c r="B2950" s="32">
        <v>28</v>
      </c>
      <c r="F2950" s="32" t="s">
        <v>127</v>
      </c>
      <c r="J2950" s="32">
        <v>77</v>
      </c>
      <c r="P2950" s="32">
        <v>23100</v>
      </c>
      <c r="R2950" s="32">
        <v>6930</v>
      </c>
      <c r="T2950" s="32">
        <v>16170</v>
      </c>
    </row>
    <row r="2951" spans="2:20" ht="12.75" hidden="1" x14ac:dyDescent="0.25">
      <c r="B2951" s="32">
        <v>29</v>
      </c>
      <c r="F2951" s="32" t="s">
        <v>126</v>
      </c>
      <c r="J2951" s="32">
        <v>77</v>
      </c>
      <c r="P2951" s="32">
        <v>15400</v>
      </c>
      <c r="R2951" s="32">
        <v>4620</v>
      </c>
      <c r="T2951" s="32">
        <v>10780</v>
      </c>
    </row>
    <row r="2952" spans="2:20" ht="12.75" hidden="1" x14ac:dyDescent="0.25">
      <c r="B2952" s="32">
        <v>30</v>
      </c>
      <c r="F2952" s="32" t="s">
        <v>125</v>
      </c>
      <c r="J2952" s="32">
        <v>1</v>
      </c>
      <c r="P2952" s="32">
        <v>400</v>
      </c>
      <c r="R2952" s="32">
        <v>120</v>
      </c>
      <c r="T2952" s="32">
        <v>280</v>
      </c>
    </row>
    <row r="2953" spans="2:20" ht="12.75" hidden="1" x14ac:dyDescent="0.25">
      <c r="B2953" s="32">
        <v>31</v>
      </c>
      <c r="F2953" s="32" t="s">
        <v>124</v>
      </c>
      <c r="J2953" s="32">
        <v>4</v>
      </c>
      <c r="P2953" s="32">
        <v>1980</v>
      </c>
      <c r="R2953" s="32">
        <v>590</v>
      </c>
      <c r="T2953" s="32">
        <v>1390</v>
      </c>
    </row>
    <row r="2954" spans="2:20" ht="12.75" hidden="1" x14ac:dyDescent="0.25">
      <c r="B2954" s="32">
        <v>32</v>
      </c>
      <c r="F2954" s="32" t="s">
        <v>120</v>
      </c>
      <c r="J2954" s="32">
        <v>1</v>
      </c>
      <c r="P2954" s="32">
        <v>350</v>
      </c>
      <c r="R2954" s="32">
        <v>60</v>
      </c>
      <c r="T2954" s="32">
        <v>290</v>
      </c>
    </row>
    <row r="2955" spans="2:20" ht="12.75" hidden="1" x14ac:dyDescent="0.25">
      <c r="B2955" s="32">
        <v>33</v>
      </c>
      <c r="F2955" s="32" t="s">
        <v>119</v>
      </c>
      <c r="J2955" s="32">
        <v>10</v>
      </c>
      <c r="P2955" s="32">
        <v>8900</v>
      </c>
      <c r="R2955" s="32">
        <v>2880</v>
      </c>
      <c r="T2955" s="32">
        <v>6020</v>
      </c>
    </row>
    <row r="2956" spans="2:20" ht="12.75" hidden="1" x14ac:dyDescent="0.25">
      <c r="B2956" s="32">
        <v>34</v>
      </c>
      <c r="F2956" s="32" t="s">
        <v>118</v>
      </c>
      <c r="J2956" s="32">
        <v>54</v>
      </c>
      <c r="P2956" s="32">
        <v>53460</v>
      </c>
      <c r="R2956" s="32">
        <v>22310</v>
      </c>
      <c r="T2956" s="32">
        <v>31150</v>
      </c>
    </row>
    <row r="2957" spans="2:20" ht="12.75" hidden="1" x14ac:dyDescent="0.25">
      <c r="B2957" s="32">
        <v>35</v>
      </c>
      <c r="F2957" s="32" t="s">
        <v>115</v>
      </c>
      <c r="J2957" s="32">
        <v>39</v>
      </c>
      <c r="P2957" s="32">
        <v>11310</v>
      </c>
      <c r="R2957" s="32">
        <v>4087</v>
      </c>
      <c r="T2957" s="32">
        <v>7223</v>
      </c>
    </row>
    <row r="2958" spans="2:20" ht="12.75" hidden="1" x14ac:dyDescent="0.25">
      <c r="B2958" s="32">
        <v>36</v>
      </c>
      <c r="F2958" s="32" t="s">
        <v>300</v>
      </c>
      <c r="J2958" s="32">
        <v>1</v>
      </c>
      <c r="P2958" s="32">
        <v>330</v>
      </c>
      <c r="R2958" s="32">
        <v>100</v>
      </c>
      <c r="T2958" s="32">
        <v>230</v>
      </c>
    </row>
    <row r="2959" spans="2:20" ht="12.75" hidden="1" x14ac:dyDescent="0.25">
      <c r="B2959" s="32">
        <v>37</v>
      </c>
      <c r="F2959" s="32" t="s">
        <v>171</v>
      </c>
      <c r="J2959" s="32">
        <v>1</v>
      </c>
      <c r="P2959" s="32">
        <v>530</v>
      </c>
      <c r="R2959" s="32">
        <v>160</v>
      </c>
      <c r="T2959" s="32">
        <v>370</v>
      </c>
    </row>
    <row r="2960" spans="2:20" ht="12.75" hidden="1" x14ac:dyDescent="0.25">
      <c r="B2960" s="32">
        <v>38</v>
      </c>
      <c r="F2960" s="32" t="s">
        <v>111</v>
      </c>
      <c r="J2960" s="32">
        <v>2</v>
      </c>
      <c r="P2960" s="32">
        <v>860</v>
      </c>
      <c r="R2960" s="32">
        <v>260</v>
      </c>
      <c r="T2960" s="32">
        <v>600</v>
      </c>
    </row>
    <row r="2961" spans="1:36" ht="12.75" hidden="1" x14ac:dyDescent="0.25">
      <c r="B2961" s="32">
        <v>39</v>
      </c>
      <c r="F2961" s="32" t="s">
        <v>109</v>
      </c>
      <c r="J2961" s="32">
        <v>5</v>
      </c>
      <c r="P2961" s="32">
        <v>3900</v>
      </c>
      <c r="R2961" s="32">
        <v>1150</v>
      </c>
      <c r="T2961" s="32">
        <v>2750</v>
      </c>
    </row>
    <row r="2962" spans="1:36" ht="12.75" hidden="1" x14ac:dyDescent="0.25">
      <c r="B2962" s="32">
        <v>40</v>
      </c>
      <c r="F2962" s="32" t="s">
        <v>107</v>
      </c>
      <c r="J2962" s="32">
        <v>85</v>
      </c>
      <c r="P2962" s="32">
        <v>14450</v>
      </c>
      <c r="R2962" s="32">
        <v>4250</v>
      </c>
      <c r="T2962" s="32">
        <v>10200</v>
      </c>
    </row>
    <row r="2963" spans="1:36" ht="12.75" hidden="1" x14ac:dyDescent="0.25">
      <c r="B2963" s="32">
        <v>41</v>
      </c>
      <c r="F2963" s="32" t="s">
        <v>102</v>
      </c>
      <c r="J2963" s="32">
        <v>3</v>
      </c>
      <c r="P2963" s="32">
        <v>2640</v>
      </c>
      <c r="R2963" s="32">
        <v>390</v>
      </c>
      <c r="T2963" s="32">
        <v>2250</v>
      </c>
    </row>
    <row r="2964" spans="1:36" ht="12.75" hidden="1" x14ac:dyDescent="0.25">
      <c r="B2964" s="32">
        <v>42</v>
      </c>
      <c r="F2964" s="32" t="s">
        <v>97</v>
      </c>
      <c r="J2964" s="32">
        <v>5</v>
      </c>
      <c r="P2964" s="32">
        <v>7950</v>
      </c>
      <c r="R2964" s="32">
        <v>1200</v>
      </c>
      <c r="T2964" s="32">
        <v>6750</v>
      </c>
    </row>
    <row r="2965" spans="1:36" ht="12.75" hidden="1" x14ac:dyDescent="0.25">
      <c r="B2965" s="32">
        <v>43</v>
      </c>
      <c r="F2965" s="32" t="s">
        <v>95</v>
      </c>
      <c r="J2965" s="32">
        <v>12</v>
      </c>
      <c r="P2965" s="32">
        <v>3480</v>
      </c>
      <c r="R2965" s="32">
        <v>960</v>
      </c>
      <c r="T2965" s="32">
        <v>2520</v>
      </c>
    </row>
    <row r="2966" spans="1:36" ht="12.75" hidden="1" x14ac:dyDescent="0.25">
      <c r="B2966" s="32">
        <v>44</v>
      </c>
      <c r="F2966" s="32" t="s">
        <v>93</v>
      </c>
      <c r="J2966" s="32">
        <v>10</v>
      </c>
      <c r="P2966" s="32">
        <v>5900</v>
      </c>
      <c r="R2966" s="32">
        <v>900</v>
      </c>
      <c r="T2966" s="32">
        <v>5000</v>
      </c>
    </row>
    <row r="2967" spans="1:36" ht="12.75" hidden="1" x14ac:dyDescent="0.25">
      <c r="B2967" s="32">
        <v>45</v>
      </c>
      <c r="F2967" s="32" t="s">
        <v>92</v>
      </c>
      <c r="J2967" s="32">
        <v>9</v>
      </c>
      <c r="P2967" s="32">
        <v>7680</v>
      </c>
      <c r="R2967" s="32">
        <v>2280</v>
      </c>
      <c r="T2967" s="32">
        <v>5400</v>
      </c>
    </row>
    <row r="2968" spans="1:36" ht="12.75" hidden="1" x14ac:dyDescent="0.25">
      <c r="B2968" s="32">
        <v>46</v>
      </c>
      <c r="F2968" s="32" t="s">
        <v>91</v>
      </c>
      <c r="J2968" s="32">
        <v>8</v>
      </c>
      <c r="P2968" s="32">
        <v>2000</v>
      </c>
      <c r="R2968" s="32">
        <v>560</v>
      </c>
      <c r="T2968" s="32">
        <v>1440</v>
      </c>
    </row>
    <row r="2969" spans="1:36" ht="12.75" hidden="1" x14ac:dyDescent="0.25">
      <c r="B2969" s="32">
        <v>47</v>
      </c>
      <c r="F2969" s="32" t="s">
        <v>90</v>
      </c>
      <c r="J2969" s="32">
        <v>10</v>
      </c>
      <c r="P2969" s="32">
        <v>2900</v>
      </c>
      <c r="R2969" s="32">
        <v>800</v>
      </c>
      <c r="T2969" s="32">
        <v>2100</v>
      </c>
    </row>
    <row r="2970" spans="1:36" ht="12.75" hidden="1" x14ac:dyDescent="0.25">
      <c r="B2970" s="32">
        <v>48</v>
      </c>
      <c r="F2970" s="32" t="s">
        <v>88</v>
      </c>
      <c r="J2970" s="32">
        <v>14</v>
      </c>
      <c r="P2970" s="32">
        <v>2520</v>
      </c>
      <c r="R2970" s="32">
        <v>804</v>
      </c>
      <c r="T2970" s="32">
        <v>1716</v>
      </c>
    </row>
    <row r="2971" spans="1:36" ht="12.75" hidden="1" x14ac:dyDescent="0.25">
      <c r="B2971" s="32">
        <v>49</v>
      </c>
      <c r="F2971" s="32" t="s">
        <v>85</v>
      </c>
      <c r="J2971" s="32">
        <v>2</v>
      </c>
      <c r="P2971" s="32">
        <v>4160</v>
      </c>
      <c r="R2971" s="32">
        <v>620</v>
      </c>
      <c r="T2971" s="32">
        <v>3540</v>
      </c>
    </row>
    <row r="2972" spans="1:36" ht="12.75" hidden="1" x14ac:dyDescent="0.25">
      <c r="B2972" s="32">
        <v>50</v>
      </c>
      <c r="F2972" s="32" t="s">
        <v>84</v>
      </c>
      <c r="J2972" s="32">
        <v>6</v>
      </c>
      <c r="P2972" s="32">
        <v>3540</v>
      </c>
      <c r="R2972" s="32">
        <v>1080</v>
      </c>
      <c r="T2972" s="32">
        <v>2460</v>
      </c>
    </row>
    <row r="2973" spans="1:36" ht="12.75" hidden="1" x14ac:dyDescent="0.25">
      <c r="B2973" s="32">
        <v>51</v>
      </c>
      <c r="F2973" s="32" t="s">
        <v>82</v>
      </c>
      <c r="J2973" s="32">
        <v>1</v>
      </c>
      <c r="P2973" s="32">
        <v>290</v>
      </c>
      <c r="R2973" s="32">
        <v>290</v>
      </c>
      <c r="T2973" s="32">
        <v>0</v>
      </c>
    </row>
    <row r="2974" spans="1:36" s="48" customFormat="1" ht="12.75" x14ac:dyDescent="0.25">
      <c r="A2974" s="48" t="s">
        <v>66</v>
      </c>
      <c r="J2974" s="48">
        <v>19258</v>
      </c>
      <c r="P2974" s="48">
        <v>17496700</v>
      </c>
      <c r="R2974" s="48">
        <v>14318713</v>
      </c>
      <c r="T2974" s="51">
        <v>3177987</v>
      </c>
      <c r="V2974" s="50">
        <f>T2974/Y2974</f>
        <v>411.54972804972806</v>
      </c>
      <c r="Y2974" s="48">
        <f>J2974-J2979-J3002-J3028-J3034-J3128</f>
        <v>7722</v>
      </c>
      <c r="Z2974" s="48">
        <f t="shared" ref="Z2974:AJ2974" si="2">K2974-K2980-K3001-K3004-K3028-K3142</f>
        <v>0</v>
      </c>
      <c r="AA2974" s="48">
        <f t="shared" si="2"/>
        <v>0</v>
      </c>
      <c r="AB2974" s="48">
        <f t="shared" si="2"/>
        <v>0</v>
      </c>
      <c r="AC2974" s="48">
        <f t="shared" si="2"/>
        <v>0</v>
      </c>
      <c r="AD2974" s="48">
        <f t="shared" si="2"/>
        <v>0</v>
      </c>
      <c r="AE2974" s="48">
        <f t="shared" si="2"/>
        <v>7044600</v>
      </c>
      <c r="AF2974" s="48">
        <f t="shared" si="2"/>
        <v>0</v>
      </c>
      <c r="AG2974" s="48">
        <f t="shared" si="2"/>
        <v>3867823</v>
      </c>
      <c r="AH2974" s="48">
        <f t="shared" si="2"/>
        <v>0</v>
      </c>
      <c r="AI2974" s="49">
        <f t="shared" si="2"/>
        <v>3176777</v>
      </c>
      <c r="AJ2974" s="48">
        <f t="shared" si="2"/>
        <v>0</v>
      </c>
    </row>
    <row r="2975" spans="1:36" ht="12.75" hidden="1" x14ac:dyDescent="0.25">
      <c r="B2975" s="32">
        <v>1</v>
      </c>
      <c r="F2975" s="32" t="s">
        <v>200</v>
      </c>
      <c r="J2975" s="32">
        <v>7</v>
      </c>
      <c r="P2975" s="32">
        <v>3900</v>
      </c>
      <c r="R2975" s="32">
        <v>900</v>
      </c>
      <c r="T2975" s="32">
        <v>3000</v>
      </c>
    </row>
    <row r="2976" spans="1:36" ht="12.75" hidden="1" x14ac:dyDescent="0.25">
      <c r="B2976" s="32">
        <v>2</v>
      </c>
      <c r="F2976" s="32" t="s">
        <v>250</v>
      </c>
      <c r="J2976" s="32">
        <v>6</v>
      </c>
      <c r="P2976" s="32">
        <v>3000</v>
      </c>
      <c r="R2976" s="32">
        <v>300</v>
      </c>
      <c r="T2976" s="32">
        <v>2700</v>
      </c>
    </row>
    <row r="2977" spans="2:20" ht="12.75" hidden="1" x14ac:dyDescent="0.25">
      <c r="B2977" s="32">
        <v>3</v>
      </c>
      <c r="F2977" s="32" t="s">
        <v>79</v>
      </c>
      <c r="J2977" s="32">
        <v>4</v>
      </c>
      <c r="P2977" s="32">
        <v>2000</v>
      </c>
      <c r="R2977" s="32">
        <v>600</v>
      </c>
      <c r="T2977" s="32">
        <v>1400</v>
      </c>
    </row>
    <row r="2978" spans="2:20" ht="12.75" hidden="1" x14ac:dyDescent="0.25">
      <c r="B2978" s="32">
        <v>4</v>
      </c>
      <c r="F2978" s="32" t="s">
        <v>168</v>
      </c>
      <c r="J2978" s="32">
        <v>21</v>
      </c>
      <c r="P2978" s="32">
        <v>46200</v>
      </c>
      <c r="R2978" s="32">
        <v>4950</v>
      </c>
      <c r="T2978" s="32">
        <v>41250</v>
      </c>
    </row>
    <row r="2979" spans="2:20" ht="12.75" hidden="1" x14ac:dyDescent="0.25">
      <c r="B2979" s="32">
        <v>5</v>
      </c>
      <c r="F2979" s="32" t="s">
        <v>78</v>
      </c>
      <c r="J2979" s="32">
        <v>867</v>
      </c>
      <c r="P2979" s="32">
        <v>251430</v>
      </c>
      <c r="R2979" s="32">
        <v>251430</v>
      </c>
      <c r="T2979" s="32">
        <v>0</v>
      </c>
    </row>
    <row r="2980" spans="2:20" ht="12.75" hidden="1" x14ac:dyDescent="0.25">
      <c r="B2980" s="32">
        <v>6</v>
      </c>
      <c r="F2980" s="32" t="s">
        <v>268</v>
      </c>
      <c r="J2980" s="32">
        <v>4</v>
      </c>
      <c r="P2980" s="32">
        <v>1000</v>
      </c>
      <c r="R2980" s="32">
        <v>280</v>
      </c>
      <c r="T2980" s="32">
        <v>720</v>
      </c>
    </row>
    <row r="2981" spans="2:20" ht="12.75" hidden="1" x14ac:dyDescent="0.25">
      <c r="B2981" s="32">
        <v>7</v>
      </c>
      <c r="F2981" s="32" t="s">
        <v>199</v>
      </c>
      <c r="J2981" s="32">
        <v>3</v>
      </c>
      <c r="P2981" s="32">
        <v>870</v>
      </c>
      <c r="R2981" s="32">
        <v>180</v>
      </c>
      <c r="T2981" s="32">
        <v>690</v>
      </c>
    </row>
    <row r="2982" spans="2:20" ht="12.75" hidden="1" x14ac:dyDescent="0.25">
      <c r="B2982" s="32">
        <v>8</v>
      </c>
      <c r="F2982" s="32" t="s">
        <v>310</v>
      </c>
      <c r="J2982" s="32">
        <v>1</v>
      </c>
      <c r="P2982" s="32">
        <v>2900</v>
      </c>
      <c r="R2982" s="32">
        <v>430</v>
      </c>
      <c r="T2982" s="32">
        <v>2470</v>
      </c>
    </row>
    <row r="2983" spans="2:20" ht="12.75" hidden="1" x14ac:dyDescent="0.25">
      <c r="B2983" s="32">
        <v>9</v>
      </c>
      <c r="F2983" s="32" t="s">
        <v>167</v>
      </c>
      <c r="J2983" s="32">
        <v>2</v>
      </c>
      <c r="P2983" s="32">
        <v>1140</v>
      </c>
      <c r="R2983" s="32">
        <v>340</v>
      </c>
      <c r="T2983" s="32">
        <v>800</v>
      </c>
    </row>
    <row r="2984" spans="2:20" ht="12.75" hidden="1" x14ac:dyDescent="0.25">
      <c r="B2984" s="32">
        <v>10</v>
      </c>
      <c r="F2984" s="32" t="s">
        <v>249</v>
      </c>
      <c r="J2984" s="32">
        <v>2</v>
      </c>
      <c r="P2984" s="32">
        <v>2600</v>
      </c>
      <c r="R2984" s="32">
        <v>400</v>
      </c>
      <c r="T2984" s="32">
        <v>2200</v>
      </c>
    </row>
    <row r="2985" spans="2:20" ht="12.75" hidden="1" x14ac:dyDescent="0.25">
      <c r="B2985" s="32">
        <v>11</v>
      </c>
      <c r="F2985" s="32" t="s">
        <v>294</v>
      </c>
      <c r="J2985" s="32">
        <v>5</v>
      </c>
      <c r="P2985" s="32">
        <v>2500</v>
      </c>
      <c r="R2985" s="32">
        <v>600</v>
      </c>
      <c r="T2985" s="32">
        <v>1900</v>
      </c>
    </row>
    <row r="2986" spans="2:20" ht="12.75" hidden="1" x14ac:dyDescent="0.25">
      <c r="B2986" s="32">
        <v>12</v>
      </c>
      <c r="F2986" s="32" t="s">
        <v>345</v>
      </c>
      <c r="J2986" s="32">
        <v>1</v>
      </c>
      <c r="P2986" s="32">
        <v>1880</v>
      </c>
      <c r="R2986" s="32">
        <v>280</v>
      </c>
      <c r="T2986" s="32">
        <v>1600</v>
      </c>
    </row>
    <row r="2987" spans="2:20" ht="12.75" hidden="1" x14ac:dyDescent="0.25">
      <c r="B2987" s="32">
        <v>13</v>
      </c>
      <c r="F2987" s="32" t="s">
        <v>165</v>
      </c>
      <c r="J2987" s="32">
        <v>14</v>
      </c>
      <c r="P2987" s="32">
        <v>8260</v>
      </c>
      <c r="R2987" s="32">
        <v>1800</v>
      </c>
      <c r="T2987" s="32">
        <v>6460</v>
      </c>
    </row>
    <row r="2988" spans="2:20" ht="12.75" hidden="1" x14ac:dyDescent="0.25">
      <c r="B2988" s="32">
        <v>14</v>
      </c>
      <c r="F2988" s="32" t="s">
        <v>246</v>
      </c>
      <c r="J2988" s="32">
        <v>1</v>
      </c>
      <c r="P2988" s="32">
        <v>990</v>
      </c>
      <c r="R2988" s="32">
        <v>0</v>
      </c>
      <c r="T2988" s="32">
        <v>990</v>
      </c>
    </row>
    <row r="2989" spans="2:20" ht="12.75" hidden="1" x14ac:dyDescent="0.25">
      <c r="B2989" s="32">
        <v>15</v>
      </c>
      <c r="F2989" s="32" t="s">
        <v>344</v>
      </c>
      <c r="J2989" s="32">
        <v>2</v>
      </c>
      <c r="P2989" s="32">
        <v>700</v>
      </c>
      <c r="R2989" s="32">
        <v>138</v>
      </c>
      <c r="T2989" s="32">
        <v>562</v>
      </c>
    </row>
    <row r="2990" spans="2:20" ht="12.75" hidden="1" x14ac:dyDescent="0.25">
      <c r="B2990" s="32">
        <v>16</v>
      </c>
      <c r="F2990" s="32" t="s">
        <v>164</v>
      </c>
      <c r="J2990" s="32">
        <v>2</v>
      </c>
      <c r="P2990" s="32">
        <v>1290</v>
      </c>
      <c r="R2990" s="32">
        <v>383</v>
      </c>
      <c r="T2990" s="32">
        <v>907</v>
      </c>
    </row>
    <row r="2991" spans="2:20" ht="12.75" hidden="1" x14ac:dyDescent="0.25">
      <c r="B2991" s="32">
        <v>17</v>
      </c>
      <c r="F2991" s="32" t="s">
        <v>245</v>
      </c>
      <c r="J2991" s="32">
        <v>2</v>
      </c>
      <c r="P2991" s="32">
        <v>6000</v>
      </c>
      <c r="R2991" s="32">
        <v>1500</v>
      </c>
      <c r="T2991" s="32">
        <v>4500</v>
      </c>
    </row>
    <row r="2992" spans="2:20" ht="12.75" hidden="1" x14ac:dyDescent="0.25">
      <c r="B2992" s="32">
        <v>18</v>
      </c>
      <c r="F2992" s="32" t="s">
        <v>163</v>
      </c>
      <c r="J2992" s="32">
        <v>17</v>
      </c>
      <c r="P2992" s="32">
        <v>20230</v>
      </c>
      <c r="R2992" s="32">
        <v>2520</v>
      </c>
      <c r="T2992" s="32">
        <v>17710</v>
      </c>
    </row>
    <row r="2993" spans="2:20" ht="12.75" hidden="1" x14ac:dyDescent="0.25">
      <c r="B2993" s="32">
        <v>19</v>
      </c>
      <c r="F2993" s="32" t="s">
        <v>162</v>
      </c>
      <c r="J2993" s="32">
        <v>24</v>
      </c>
      <c r="P2993" s="32">
        <v>10320</v>
      </c>
      <c r="R2993" s="32">
        <v>4691</v>
      </c>
      <c r="T2993" s="32">
        <v>5629</v>
      </c>
    </row>
    <row r="2994" spans="2:20" ht="12.75" hidden="1" x14ac:dyDescent="0.25">
      <c r="B2994" s="32">
        <v>20</v>
      </c>
      <c r="F2994" s="32" t="s">
        <v>160</v>
      </c>
      <c r="J2994" s="32">
        <v>17</v>
      </c>
      <c r="P2994" s="32">
        <v>4930</v>
      </c>
      <c r="R2994" s="32">
        <v>1120</v>
      </c>
      <c r="T2994" s="32">
        <v>3810</v>
      </c>
    </row>
    <row r="2995" spans="2:20" ht="12.75" hidden="1" x14ac:dyDescent="0.25">
      <c r="B2995" s="32">
        <v>21</v>
      </c>
      <c r="F2995" s="32" t="s">
        <v>159</v>
      </c>
      <c r="J2995" s="32">
        <v>5</v>
      </c>
      <c r="P2995" s="32">
        <v>0</v>
      </c>
      <c r="R2995" s="32">
        <v>0</v>
      </c>
      <c r="T2995" s="32">
        <v>0</v>
      </c>
    </row>
    <row r="2996" spans="2:20" ht="12.75" hidden="1" x14ac:dyDescent="0.25">
      <c r="B2996" s="32">
        <v>22</v>
      </c>
      <c r="F2996" s="32" t="s">
        <v>266</v>
      </c>
      <c r="J2996" s="32">
        <v>1</v>
      </c>
      <c r="P2996" s="32">
        <v>1350</v>
      </c>
      <c r="R2996" s="32">
        <v>400</v>
      </c>
      <c r="T2996" s="32">
        <v>950</v>
      </c>
    </row>
    <row r="2997" spans="2:20" ht="12.75" hidden="1" x14ac:dyDescent="0.25">
      <c r="B2997" s="32">
        <v>23</v>
      </c>
      <c r="F2997" s="32" t="s">
        <v>158</v>
      </c>
      <c r="J2997" s="32">
        <v>2304</v>
      </c>
      <c r="P2997" s="32">
        <v>1267200</v>
      </c>
      <c r="R2997" s="32">
        <v>311092</v>
      </c>
      <c r="T2997" s="32">
        <v>956108</v>
      </c>
    </row>
    <row r="2998" spans="2:20" ht="12.75" hidden="1" x14ac:dyDescent="0.25">
      <c r="B2998" s="32">
        <v>24</v>
      </c>
      <c r="F2998" s="32" t="s">
        <v>157</v>
      </c>
      <c r="J2998" s="32">
        <v>149</v>
      </c>
      <c r="P2998" s="32">
        <v>73010</v>
      </c>
      <c r="R2998" s="32">
        <v>27976</v>
      </c>
      <c r="T2998" s="32">
        <v>45034</v>
      </c>
    </row>
    <row r="2999" spans="2:20" ht="12.75" hidden="1" x14ac:dyDescent="0.25">
      <c r="B2999" s="32">
        <v>25</v>
      </c>
      <c r="F2999" s="32" t="s">
        <v>293</v>
      </c>
      <c r="J2999" s="32">
        <v>1</v>
      </c>
      <c r="P2999" s="32">
        <v>700</v>
      </c>
      <c r="R2999" s="32">
        <v>180</v>
      </c>
      <c r="T2999" s="32">
        <v>520</v>
      </c>
    </row>
    <row r="3000" spans="2:20" ht="12.75" hidden="1" x14ac:dyDescent="0.25">
      <c r="B3000" s="32">
        <v>26</v>
      </c>
      <c r="F3000" s="32" t="s">
        <v>196</v>
      </c>
      <c r="J3000" s="32">
        <v>26</v>
      </c>
      <c r="P3000" s="32">
        <v>18400</v>
      </c>
      <c r="R3000" s="32">
        <v>7718</v>
      </c>
      <c r="T3000" s="32">
        <v>10682</v>
      </c>
    </row>
    <row r="3001" spans="2:20" ht="12.75" hidden="1" x14ac:dyDescent="0.25">
      <c r="B3001" s="32">
        <v>27</v>
      </c>
      <c r="F3001" s="32" t="s">
        <v>328</v>
      </c>
      <c r="J3001" s="32">
        <v>1</v>
      </c>
      <c r="P3001" s="32">
        <v>700</v>
      </c>
      <c r="R3001" s="32">
        <v>350</v>
      </c>
      <c r="T3001" s="32">
        <v>350</v>
      </c>
    </row>
    <row r="3002" spans="2:20" ht="12.75" hidden="1" x14ac:dyDescent="0.25">
      <c r="B3002" s="32">
        <v>28</v>
      </c>
      <c r="F3002" s="32" t="s">
        <v>77</v>
      </c>
      <c r="J3002" s="32">
        <v>5636</v>
      </c>
      <c r="P3002" s="32">
        <v>2258700</v>
      </c>
      <c r="R3002" s="32">
        <v>2258700</v>
      </c>
      <c r="T3002" s="32">
        <v>0</v>
      </c>
    </row>
    <row r="3003" spans="2:20" ht="12.75" hidden="1" x14ac:dyDescent="0.25">
      <c r="B3003" s="32">
        <v>29</v>
      </c>
      <c r="F3003" s="32" t="s">
        <v>242</v>
      </c>
      <c r="J3003" s="32">
        <v>1</v>
      </c>
      <c r="P3003" s="32">
        <v>500</v>
      </c>
      <c r="R3003" s="32">
        <v>500</v>
      </c>
      <c r="T3003" s="32">
        <v>0</v>
      </c>
    </row>
    <row r="3004" spans="2:20" ht="12.75" hidden="1" x14ac:dyDescent="0.25">
      <c r="B3004" s="32">
        <v>30</v>
      </c>
      <c r="F3004" s="32" t="s">
        <v>76</v>
      </c>
      <c r="J3004" s="32">
        <v>9</v>
      </c>
      <c r="P3004" s="32">
        <v>5400</v>
      </c>
      <c r="R3004" s="32">
        <v>5400</v>
      </c>
      <c r="T3004" s="32">
        <v>0</v>
      </c>
    </row>
    <row r="3005" spans="2:20" ht="12.75" hidden="1" x14ac:dyDescent="0.25">
      <c r="B3005" s="32">
        <v>31</v>
      </c>
      <c r="F3005" s="32" t="s">
        <v>156</v>
      </c>
      <c r="J3005" s="32">
        <v>21</v>
      </c>
      <c r="P3005" s="32">
        <v>3990</v>
      </c>
      <c r="R3005" s="32">
        <v>1510</v>
      </c>
      <c r="T3005" s="32">
        <v>2480</v>
      </c>
    </row>
    <row r="3006" spans="2:20" ht="12.75" hidden="1" x14ac:dyDescent="0.25">
      <c r="B3006" s="32">
        <v>32</v>
      </c>
      <c r="F3006" s="32" t="s">
        <v>155</v>
      </c>
      <c r="J3006" s="32">
        <v>428</v>
      </c>
      <c r="P3006" s="32">
        <v>107000</v>
      </c>
      <c r="R3006" s="32">
        <v>33838</v>
      </c>
      <c r="T3006" s="32">
        <v>73162</v>
      </c>
    </row>
    <row r="3007" spans="2:20" ht="12.75" hidden="1" x14ac:dyDescent="0.25">
      <c r="B3007" s="32">
        <v>33</v>
      </c>
      <c r="F3007" s="32" t="s">
        <v>154</v>
      </c>
      <c r="J3007" s="32">
        <v>3</v>
      </c>
      <c r="P3007" s="32">
        <v>2670</v>
      </c>
      <c r="R3007" s="32">
        <v>260</v>
      </c>
      <c r="T3007" s="32">
        <v>2410</v>
      </c>
    </row>
    <row r="3008" spans="2:20" ht="12.75" hidden="1" x14ac:dyDescent="0.25">
      <c r="B3008" s="32">
        <v>34</v>
      </c>
      <c r="F3008" s="32" t="s">
        <v>239</v>
      </c>
      <c r="J3008" s="32">
        <v>8</v>
      </c>
      <c r="P3008" s="32">
        <v>8720</v>
      </c>
      <c r="R3008" s="32">
        <v>0</v>
      </c>
      <c r="T3008" s="32">
        <v>8720</v>
      </c>
    </row>
    <row r="3009" spans="2:20" ht="12.75" hidden="1" x14ac:dyDescent="0.25">
      <c r="B3009" s="32">
        <v>35</v>
      </c>
      <c r="F3009" s="32" t="s">
        <v>153</v>
      </c>
      <c r="J3009" s="32">
        <v>2</v>
      </c>
      <c r="P3009" s="32">
        <v>2360</v>
      </c>
      <c r="R3009" s="32">
        <v>360</v>
      </c>
      <c r="T3009" s="32">
        <v>2000</v>
      </c>
    </row>
    <row r="3010" spans="2:20" ht="12.75" hidden="1" x14ac:dyDescent="0.25">
      <c r="B3010" s="32">
        <v>36</v>
      </c>
      <c r="F3010" s="32" t="s">
        <v>322</v>
      </c>
      <c r="J3010" s="32">
        <v>1</v>
      </c>
      <c r="P3010" s="32">
        <v>1180</v>
      </c>
      <c r="R3010" s="32">
        <v>180</v>
      </c>
      <c r="T3010" s="32">
        <v>1000</v>
      </c>
    </row>
    <row r="3011" spans="2:20" ht="12.75" hidden="1" x14ac:dyDescent="0.25">
      <c r="B3011" s="32">
        <v>37</v>
      </c>
      <c r="F3011" s="32" t="s">
        <v>195</v>
      </c>
      <c r="J3011" s="32">
        <v>2</v>
      </c>
      <c r="P3011" s="32">
        <v>2000</v>
      </c>
      <c r="R3011" s="32">
        <v>350</v>
      </c>
      <c r="T3011" s="32">
        <v>1650</v>
      </c>
    </row>
    <row r="3012" spans="2:20" ht="12.75" hidden="1" x14ac:dyDescent="0.25">
      <c r="B3012" s="32">
        <v>38</v>
      </c>
      <c r="F3012" s="32" t="s">
        <v>194</v>
      </c>
      <c r="J3012" s="32">
        <v>1</v>
      </c>
      <c r="P3012" s="32">
        <v>700</v>
      </c>
      <c r="R3012" s="32">
        <v>180</v>
      </c>
      <c r="T3012" s="32">
        <v>520</v>
      </c>
    </row>
    <row r="3013" spans="2:20" ht="12.75" hidden="1" x14ac:dyDescent="0.25">
      <c r="B3013" s="32">
        <v>39</v>
      </c>
      <c r="F3013" s="32" t="s">
        <v>265</v>
      </c>
      <c r="J3013" s="32">
        <v>1</v>
      </c>
      <c r="P3013" s="32">
        <v>300</v>
      </c>
      <c r="R3013" s="32">
        <v>0</v>
      </c>
      <c r="T3013" s="32">
        <v>300</v>
      </c>
    </row>
    <row r="3014" spans="2:20" ht="12.75" hidden="1" x14ac:dyDescent="0.25">
      <c r="B3014" s="32">
        <v>40</v>
      </c>
      <c r="F3014" s="32" t="s">
        <v>289</v>
      </c>
      <c r="J3014" s="32">
        <v>8</v>
      </c>
      <c r="P3014" s="32">
        <v>4000</v>
      </c>
      <c r="R3014" s="32">
        <v>1150</v>
      </c>
      <c r="T3014" s="32">
        <v>2850</v>
      </c>
    </row>
    <row r="3015" spans="2:20" ht="12.75" hidden="1" x14ac:dyDescent="0.25">
      <c r="B3015" s="32">
        <v>41</v>
      </c>
      <c r="F3015" s="32" t="s">
        <v>320</v>
      </c>
      <c r="J3015" s="32">
        <v>4</v>
      </c>
      <c r="P3015" s="32">
        <v>2000</v>
      </c>
      <c r="R3015" s="32">
        <v>600</v>
      </c>
      <c r="T3015" s="32">
        <v>1400</v>
      </c>
    </row>
    <row r="3016" spans="2:20" ht="12.75" hidden="1" x14ac:dyDescent="0.25">
      <c r="B3016" s="32">
        <v>42</v>
      </c>
      <c r="F3016" s="32" t="s">
        <v>152</v>
      </c>
      <c r="J3016" s="32">
        <v>354</v>
      </c>
      <c r="P3016" s="32">
        <v>208860</v>
      </c>
      <c r="R3016" s="32">
        <v>62013</v>
      </c>
      <c r="T3016" s="32">
        <v>146847</v>
      </c>
    </row>
    <row r="3017" spans="2:20" ht="12.75" hidden="1" x14ac:dyDescent="0.25">
      <c r="B3017" s="32">
        <v>43</v>
      </c>
      <c r="F3017" s="32" t="s">
        <v>151</v>
      </c>
      <c r="J3017" s="32">
        <v>62</v>
      </c>
      <c r="P3017" s="32">
        <v>14260</v>
      </c>
      <c r="R3017" s="32">
        <v>3980</v>
      </c>
      <c r="T3017" s="32">
        <v>10280</v>
      </c>
    </row>
    <row r="3018" spans="2:20" ht="12.75" hidden="1" x14ac:dyDescent="0.25">
      <c r="B3018" s="32">
        <v>44</v>
      </c>
      <c r="F3018" s="32" t="s">
        <v>150</v>
      </c>
      <c r="J3018" s="32">
        <v>47</v>
      </c>
      <c r="P3018" s="32">
        <v>7990</v>
      </c>
      <c r="R3018" s="32">
        <v>2000</v>
      </c>
      <c r="T3018" s="32">
        <v>5990</v>
      </c>
    </row>
    <row r="3019" spans="2:20" ht="12.75" hidden="1" x14ac:dyDescent="0.25">
      <c r="B3019" s="32">
        <v>45</v>
      </c>
      <c r="F3019" s="32" t="s">
        <v>149</v>
      </c>
      <c r="J3019" s="32">
        <v>3</v>
      </c>
      <c r="P3019" s="32">
        <v>150</v>
      </c>
      <c r="R3019" s="32">
        <v>10</v>
      </c>
      <c r="T3019" s="32">
        <v>140</v>
      </c>
    </row>
    <row r="3020" spans="2:20" ht="12.75" hidden="1" x14ac:dyDescent="0.25">
      <c r="B3020" s="32">
        <v>46</v>
      </c>
      <c r="F3020" s="32" t="s">
        <v>237</v>
      </c>
      <c r="J3020" s="32">
        <v>1</v>
      </c>
      <c r="P3020" s="32">
        <v>800</v>
      </c>
      <c r="R3020" s="32">
        <v>200</v>
      </c>
      <c r="T3020" s="32">
        <v>600</v>
      </c>
    </row>
    <row r="3021" spans="2:20" ht="12.75" hidden="1" x14ac:dyDescent="0.25">
      <c r="B3021" s="32">
        <v>47</v>
      </c>
      <c r="F3021" s="32" t="s">
        <v>288</v>
      </c>
      <c r="J3021" s="32">
        <v>6</v>
      </c>
      <c r="P3021" s="32">
        <v>4900</v>
      </c>
      <c r="R3021" s="32">
        <v>2520</v>
      </c>
      <c r="T3021" s="32">
        <v>2380</v>
      </c>
    </row>
    <row r="3022" spans="2:20" ht="12.75" hidden="1" x14ac:dyDescent="0.25">
      <c r="B3022" s="32">
        <v>48</v>
      </c>
      <c r="F3022" s="32" t="s">
        <v>234</v>
      </c>
      <c r="J3022" s="32">
        <v>4</v>
      </c>
      <c r="P3022" s="32">
        <v>3200</v>
      </c>
      <c r="R3022" s="32">
        <v>1800</v>
      </c>
      <c r="T3022" s="32">
        <v>1400</v>
      </c>
    </row>
    <row r="3023" spans="2:20" ht="12.75" hidden="1" x14ac:dyDescent="0.25">
      <c r="B3023" s="32">
        <v>49</v>
      </c>
      <c r="F3023" s="32" t="s">
        <v>287</v>
      </c>
      <c r="J3023" s="32">
        <v>4</v>
      </c>
      <c r="P3023" s="32">
        <v>3200</v>
      </c>
      <c r="R3023" s="32">
        <v>1484</v>
      </c>
      <c r="T3023" s="32">
        <v>1716</v>
      </c>
    </row>
    <row r="3024" spans="2:20" ht="12.75" hidden="1" x14ac:dyDescent="0.25">
      <c r="B3024" s="32">
        <v>50</v>
      </c>
      <c r="F3024" s="32" t="s">
        <v>286</v>
      </c>
      <c r="J3024" s="32">
        <v>1</v>
      </c>
      <c r="P3024" s="32">
        <v>900</v>
      </c>
      <c r="R3024" s="32">
        <v>0</v>
      </c>
      <c r="T3024" s="32">
        <v>900</v>
      </c>
    </row>
    <row r="3025" spans="2:20" ht="12.75" hidden="1" x14ac:dyDescent="0.25">
      <c r="B3025" s="32">
        <v>51</v>
      </c>
      <c r="F3025" s="32" t="s">
        <v>232</v>
      </c>
      <c r="J3025" s="32">
        <v>1</v>
      </c>
      <c r="P3025" s="32">
        <v>980</v>
      </c>
      <c r="R3025" s="32">
        <v>150</v>
      </c>
      <c r="T3025" s="32">
        <v>830</v>
      </c>
    </row>
    <row r="3026" spans="2:20" ht="12.75" hidden="1" x14ac:dyDescent="0.25">
      <c r="B3026" s="32">
        <v>52</v>
      </c>
      <c r="F3026" s="32" t="s">
        <v>193</v>
      </c>
      <c r="J3026" s="32">
        <v>2</v>
      </c>
      <c r="P3026" s="32">
        <v>1780</v>
      </c>
      <c r="R3026" s="32">
        <v>260</v>
      </c>
      <c r="T3026" s="32">
        <v>1520</v>
      </c>
    </row>
    <row r="3027" spans="2:20" ht="12.75" hidden="1" x14ac:dyDescent="0.25">
      <c r="B3027" s="32">
        <v>53</v>
      </c>
      <c r="F3027" s="32" t="s">
        <v>142</v>
      </c>
      <c r="J3027" s="32">
        <v>15</v>
      </c>
      <c r="P3027" s="32">
        <v>5250</v>
      </c>
      <c r="R3027" s="32">
        <v>2250</v>
      </c>
      <c r="T3027" s="32">
        <v>3000</v>
      </c>
    </row>
    <row r="3028" spans="2:20" ht="12.75" hidden="1" x14ac:dyDescent="0.25">
      <c r="B3028" s="32">
        <v>54</v>
      </c>
      <c r="F3028" s="32" t="s">
        <v>75</v>
      </c>
      <c r="J3028" s="32">
        <v>4178</v>
      </c>
      <c r="P3028" s="32">
        <v>10445000</v>
      </c>
      <c r="R3028" s="32">
        <v>10444860</v>
      </c>
      <c r="T3028" s="32">
        <v>140</v>
      </c>
    </row>
    <row r="3029" spans="2:20" ht="12.75" hidden="1" x14ac:dyDescent="0.25">
      <c r="B3029" s="32">
        <v>55</v>
      </c>
      <c r="F3029" s="32" t="s">
        <v>140</v>
      </c>
      <c r="J3029" s="32">
        <v>1</v>
      </c>
      <c r="P3029" s="32">
        <v>290</v>
      </c>
      <c r="R3029" s="32">
        <v>80</v>
      </c>
      <c r="T3029" s="32">
        <v>210</v>
      </c>
    </row>
    <row r="3030" spans="2:20" ht="12.75" hidden="1" x14ac:dyDescent="0.25">
      <c r="B3030" s="32">
        <v>56</v>
      </c>
      <c r="F3030" s="32" t="s">
        <v>302</v>
      </c>
      <c r="J3030" s="32">
        <v>9</v>
      </c>
      <c r="P3030" s="32">
        <v>7200</v>
      </c>
      <c r="R3030" s="32">
        <v>3501</v>
      </c>
      <c r="T3030" s="32">
        <v>3699</v>
      </c>
    </row>
    <row r="3031" spans="2:20" ht="12.75" hidden="1" x14ac:dyDescent="0.25">
      <c r="B3031" s="32">
        <v>57</v>
      </c>
      <c r="F3031" s="32" t="s">
        <v>138</v>
      </c>
      <c r="J3031" s="32">
        <v>4</v>
      </c>
      <c r="P3031" s="32">
        <v>3200</v>
      </c>
      <c r="R3031" s="32">
        <v>1800</v>
      </c>
      <c r="T3031" s="32">
        <v>1400</v>
      </c>
    </row>
    <row r="3032" spans="2:20" ht="12.75" hidden="1" x14ac:dyDescent="0.25">
      <c r="B3032" s="32">
        <v>58</v>
      </c>
      <c r="F3032" s="32" t="s">
        <v>137</v>
      </c>
      <c r="J3032" s="32">
        <v>6</v>
      </c>
      <c r="P3032" s="32">
        <v>4800</v>
      </c>
      <c r="R3032" s="32">
        <v>2400</v>
      </c>
      <c r="T3032" s="32">
        <v>2400</v>
      </c>
    </row>
    <row r="3033" spans="2:20" ht="12.75" hidden="1" x14ac:dyDescent="0.25">
      <c r="B3033" s="32">
        <v>59</v>
      </c>
      <c r="F3033" s="32" t="s">
        <v>136</v>
      </c>
      <c r="J3033" s="32">
        <v>130</v>
      </c>
      <c r="P3033" s="32">
        <v>110500</v>
      </c>
      <c r="R3033" s="32">
        <v>20356</v>
      </c>
      <c r="T3033" s="32">
        <v>90144</v>
      </c>
    </row>
    <row r="3034" spans="2:20" ht="12.75" hidden="1" x14ac:dyDescent="0.25">
      <c r="B3034" s="32">
        <v>60</v>
      </c>
      <c r="F3034" s="32" t="s">
        <v>74</v>
      </c>
      <c r="J3034" s="32">
        <v>377</v>
      </c>
      <c r="P3034" s="32">
        <v>320450</v>
      </c>
      <c r="R3034" s="32">
        <v>320450</v>
      </c>
      <c r="T3034" s="32">
        <v>0</v>
      </c>
    </row>
    <row r="3035" spans="2:20" ht="12.75" hidden="1" x14ac:dyDescent="0.25">
      <c r="B3035" s="32">
        <v>61</v>
      </c>
      <c r="F3035" s="32" t="s">
        <v>352</v>
      </c>
      <c r="J3035" s="32">
        <v>1</v>
      </c>
      <c r="P3035" s="32">
        <v>800</v>
      </c>
      <c r="R3035" s="32">
        <v>450</v>
      </c>
      <c r="T3035" s="32">
        <v>350</v>
      </c>
    </row>
    <row r="3036" spans="2:20" ht="12.75" hidden="1" x14ac:dyDescent="0.25">
      <c r="B3036" s="32">
        <v>62</v>
      </c>
      <c r="F3036" s="32" t="s">
        <v>190</v>
      </c>
      <c r="J3036" s="32">
        <v>18</v>
      </c>
      <c r="P3036" s="32">
        <v>28260</v>
      </c>
      <c r="R3036" s="32">
        <v>3600</v>
      </c>
      <c r="T3036" s="32">
        <v>24660</v>
      </c>
    </row>
    <row r="3037" spans="2:20" ht="12.75" hidden="1" x14ac:dyDescent="0.25">
      <c r="B3037" s="32">
        <v>63</v>
      </c>
      <c r="F3037" s="32" t="s">
        <v>230</v>
      </c>
      <c r="J3037" s="32">
        <v>2</v>
      </c>
      <c r="P3037" s="32">
        <v>1900</v>
      </c>
      <c r="R3037" s="32">
        <v>280</v>
      </c>
      <c r="T3037" s="32">
        <v>1620</v>
      </c>
    </row>
    <row r="3038" spans="2:20" ht="12.75" hidden="1" x14ac:dyDescent="0.25">
      <c r="B3038" s="32">
        <v>64</v>
      </c>
      <c r="F3038" s="32" t="s">
        <v>135</v>
      </c>
      <c r="J3038" s="32">
        <v>44</v>
      </c>
      <c r="P3038" s="32">
        <v>41800</v>
      </c>
      <c r="R3038" s="32">
        <v>12093</v>
      </c>
      <c r="T3038" s="32">
        <v>29707</v>
      </c>
    </row>
    <row r="3039" spans="2:20" ht="12.75" hidden="1" x14ac:dyDescent="0.25">
      <c r="B3039" s="32">
        <v>65</v>
      </c>
      <c r="F3039" s="32" t="s">
        <v>229</v>
      </c>
      <c r="J3039" s="32">
        <v>4</v>
      </c>
      <c r="P3039" s="32">
        <v>28000</v>
      </c>
      <c r="R3039" s="32">
        <v>9300</v>
      </c>
      <c r="T3039" s="32">
        <v>18700</v>
      </c>
    </row>
    <row r="3040" spans="2:20" ht="12.75" hidden="1" x14ac:dyDescent="0.25">
      <c r="B3040" s="32">
        <v>66</v>
      </c>
      <c r="F3040" s="32" t="s">
        <v>132</v>
      </c>
      <c r="J3040" s="32">
        <v>41</v>
      </c>
      <c r="P3040" s="32">
        <v>50840</v>
      </c>
      <c r="R3040" s="32">
        <v>14864</v>
      </c>
      <c r="T3040" s="32">
        <v>35976</v>
      </c>
    </row>
    <row r="3041" spans="2:20" ht="12.75" hidden="1" x14ac:dyDescent="0.25">
      <c r="B3041" s="32">
        <v>67</v>
      </c>
      <c r="F3041" s="32" t="s">
        <v>131</v>
      </c>
      <c r="J3041" s="32">
        <v>8</v>
      </c>
      <c r="P3041" s="32">
        <v>29600</v>
      </c>
      <c r="R3041" s="32">
        <v>5600</v>
      </c>
      <c r="T3041" s="32">
        <v>24000</v>
      </c>
    </row>
    <row r="3042" spans="2:20" ht="12.75" hidden="1" x14ac:dyDescent="0.25">
      <c r="B3042" s="32">
        <v>68</v>
      </c>
      <c r="F3042" s="32" t="s">
        <v>130</v>
      </c>
      <c r="J3042" s="32">
        <v>7</v>
      </c>
      <c r="P3042" s="32">
        <v>56000</v>
      </c>
      <c r="R3042" s="32">
        <v>28700</v>
      </c>
      <c r="T3042" s="32">
        <v>27300</v>
      </c>
    </row>
    <row r="3043" spans="2:20" ht="12.75" hidden="1" x14ac:dyDescent="0.25">
      <c r="B3043" s="32">
        <v>69</v>
      </c>
      <c r="F3043" s="32" t="s">
        <v>185</v>
      </c>
      <c r="J3043" s="32">
        <v>3</v>
      </c>
      <c r="P3043" s="32">
        <v>2400</v>
      </c>
      <c r="R3043" s="32">
        <v>1350</v>
      </c>
      <c r="T3043" s="32">
        <v>1050</v>
      </c>
    </row>
    <row r="3044" spans="2:20" ht="12.75" hidden="1" x14ac:dyDescent="0.25">
      <c r="B3044" s="32">
        <v>70</v>
      </c>
      <c r="F3044" s="32" t="s">
        <v>283</v>
      </c>
      <c r="J3044" s="32">
        <v>5</v>
      </c>
      <c r="P3044" s="32">
        <v>4000</v>
      </c>
      <c r="R3044" s="32">
        <v>1790</v>
      </c>
      <c r="T3044" s="32">
        <v>2210</v>
      </c>
    </row>
    <row r="3045" spans="2:20" ht="12.75" hidden="1" x14ac:dyDescent="0.25">
      <c r="B3045" s="32">
        <v>71</v>
      </c>
      <c r="F3045" s="32" t="s">
        <v>128</v>
      </c>
      <c r="J3045" s="32">
        <v>6</v>
      </c>
      <c r="P3045" s="32">
        <v>6900</v>
      </c>
      <c r="R3045" s="32">
        <v>1020</v>
      </c>
      <c r="T3045" s="32">
        <v>5880</v>
      </c>
    </row>
    <row r="3046" spans="2:20" ht="12.75" hidden="1" x14ac:dyDescent="0.25">
      <c r="B3046" s="32">
        <v>72</v>
      </c>
      <c r="F3046" s="32" t="s">
        <v>127</v>
      </c>
      <c r="J3046" s="32">
        <v>47</v>
      </c>
      <c r="P3046" s="32">
        <v>14100</v>
      </c>
      <c r="R3046" s="32">
        <v>3813</v>
      </c>
      <c r="T3046" s="32">
        <v>10287</v>
      </c>
    </row>
    <row r="3047" spans="2:20" ht="12.75" hidden="1" x14ac:dyDescent="0.25">
      <c r="B3047" s="32">
        <v>73</v>
      </c>
      <c r="F3047" s="32" t="s">
        <v>126</v>
      </c>
      <c r="J3047" s="32">
        <v>46</v>
      </c>
      <c r="P3047" s="32">
        <v>9200</v>
      </c>
      <c r="R3047" s="32">
        <v>2541</v>
      </c>
      <c r="T3047" s="32">
        <v>6659</v>
      </c>
    </row>
    <row r="3048" spans="2:20" ht="12.75" hidden="1" x14ac:dyDescent="0.25">
      <c r="B3048" s="32">
        <v>74</v>
      </c>
      <c r="F3048" s="32" t="s">
        <v>125</v>
      </c>
      <c r="J3048" s="32">
        <v>3</v>
      </c>
      <c r="P3048" s="32">
        <v>1200</v>
      </c>
      <c r="R3048" s="32">
        <v>360</v>
      </c>
      <c r="T3048" s="32">
        <v>840</v>
      </c>
    </row>
    <row r="3049" spans="2:20" ht="12.75" hidden="1" x14ac:dyDescent="0.25">
      <c r="B3049" s="32">
        <v>75</v>
      </c>
      <c r="F3049" s="32" t="s">
        <v>124</v>
      </c>
      <c r="J3049" s="32">
        <v>8</v>
      </c>
      <c r="P3049" s="32">
        <v>5480</v>
      </c>
      <c r="R3049" s="32">
        <v>1500</v>
      </c>
      <c r="T3049" s="32">
        <v>3980</v>
      </c>
    </row>
    <row r="3050" spans="2:20" ht="12.75" hidden="1" x14ac:dyDescent="0.25">
      <c r="B3050" s="32">
        <v>76</v>
      </c>
      <c r="F3050" s="32" t="s">
        <v>123</v>
      </c>
      <c r="J3050" s="32">
        <v>31</v>
      </c>
      <c r="P3050" s="32">
        <v>24180</v>
      </c>
      <c r="R3050" s="32">
        <v>7130</v>
      </c>
      <c r="T3050" s="32">
        <v>17050</v>
      </c>
    </row>
    <row r="3051" spans="2:20" ht="12.75" hidden="1" x14ac:dyDescent="0.25">
      <c r="B3051" s="32">
        <v>77</v>
      </c>
      <c r="F3051" s="32" t="s">
        <v>184</v>
      </c>
      <c r="J3051" s="32">
        <v>3</v>
      </c>
      <c r="P3051" s="32">
        <v>3240</v>
      </c>
      <c r="R3051" s="32">
        <v>480</v>
      </c>
      <c r="T3051" s="32">
        <v>2760</v>
      </c>
    </row>
    <row r="3052" spans="2:20" ht="12.75" hidden="1" x14ac:dyDescent="0.25">
      <c r="B3052" s="32">
        <v>78</v>
      </c>
      <c r="F3052" s="32" t="s">
        <v>183</v>
      </c>
      <c r="J3052" s="32">
        <v>6</v>
      </c>
      <c r="P3052" s="32">
        <v>2640</v>
      </c>
      <c r="R3052" s="32">
        <v>520</v>
      </c>
      <c r="T3052" s="32">
        <v>2120</v>
      </c>
    </row>
    <row r="3053" spans="2:20" ht="12.75" hidden="1" x14ac:dyDescent="0.25">
      <c r="B3053" s="32">
        <v>79</v>
      </c>
      <c r="F3053" s="32" t="s">
        <v>227</v>
      </c>
      <c r="J3053" s="32">
        <v>4</v>
      </c>
      <c r="P3053" s="32">
        <v>2000</v>
      </c>
      <c r="R3053" s="32">
        <v>500</v>
      </c>
      <c r="T3053" s="32">
        <v>1500</v>
      </c>
    </row>
    <row r="3054" spans="2:20" ht="12.75" hidden="1" x14ac:dyDescent="0.25">
      <c r="B3054" s="32">
        <v>80</v>
      </c>
      <c r="F3054" s="32" t="s">
        <v>122</v>
      </c>
      <c r="J3054" s="32">
        <v>17</v>
      </c>
      <c r="P3054" s="32">
        <v>8900</v>
      </c>
      <c r="R3054" s="32">
        <v>2470</v>
      </c>
      <c r="T3054" s="32">
        <v>6430</v>
      </c>
    </row>
    <row r="3055" spans="2:20" ht="12.75" hidden="1" x14ac:dyDescent="0.25">
      <c r="B3055" s="32">
        <v>81</v>
      </c>
      <c r="F3055" s="32" t="s">
        <v>121</v>
      </c>
      <c r="J3055" s="32">
        <v>18</v>
      </c>
      <c r="P3055" s="32">
        <v>9000</v>
      </c>
      <c r="R3055" s="32">
        <v>2045</v>
      </c>
      <c r="T3055" s="32">
        <v>6955</v>
      </c>
    </row>
    <row r="3056" spans="2:20" ht="12.75" hidden="1" x14ac:dyDescent="0.25">
      <c r="B3056" s="32">
        <v>82</v>
      </c>
      <c r="F3056" s="32" t="s">
        <v>120</v>
      </c>
      <c r="J3056" s="32">
        <v>1</v>
      </c>
      <c r="P3056" s="32">
        <v>350</v>
      </c>
      <c r="R3056" s="32">
        <v>60</v>
      </c>
      <c r="T3056" s="32">
        <v>290</v>
      </c>
    </row>
    <row r="3057" spans="2:20" ht="12.75" hidden="1" x14ac:dyDescent="0.25">
      <c r="B3057" s="32">
        <v>83</v>
      </c>
      <c r="F3057" s="32" t="s">
        <v>282</v>
      </c>
      <c r="J3057" s="32">
        <v>3</v>
      </c>
      <c r="P3057" s="32">
        <v>1500</v>
      </c>
      <c r="R3057" s="32">
        <v>300</v>
      </c>
      <c r="T3057" s="32">
        <v>1200</v>
      </c>
    </row>
    <row r="3058" spans="2:20" ht="12.75" hidden="1" x14ac:dyDescent="0.25">
      <c r="B3058" s="32">
        <v>84</v>
      </c>
      <c r="F3058" s="32" t="s">
        <v>226</v>
      </c>
      <c r="J3058" s="32">
        <v>1</v>
      </c>
      <c r="P3058" s="32">
        <v>500</v>
      </c>
      <c r="R3058" s="32">
        <v>150</v>
      </c>
      <c r="T3058" s="32">
        <v>350</v>
      </c>
    </row>
    <row r="3059" spans="2:20" ht="12.75" hidden="1" x14ac:dyDescent="0.25">
      <c r="B3059" s="32">
        <v>85</v>
      </c>
      <c r="F3059" s="32" t="s">
        <v>182</v>
      </c>
      <c r="J3059" s="32">
        <v>2</v>
      </c>
      <c r="P3059" s="32">
        <v>1580</v>
      </c>
      <c r="R3059" s="32">
        <v>240</v>
      </c>
      <c r="T3059" s="32">
        <v>1340</v>
      </c>
    </row>
    <row r="3060" spans="2:20" ht="12.75" hidden="1" x14ac:dyDescent="0.25">
      <c r="B3060" s="32">
        <v>86</v>
      </c>
      <c r="F3060" s="32" t="s">
        <v>119</v>
      </c>
      <c r="J3060" s="32">
        <v>81</v>
      </c>
      <c r="P3060" s="32">
        <v>72090</v>
      </c>
      <c r="R3060" s="32">
        <v>20907</v>
      </c>
      <c r="T3060" s="32">
        <v>51183</v>
      </c>
    </row>
    <row r="3061" spans="2:20" ht="12.75" hidden="1" x14ac:dyDescent="0.25">
      <c r="B3061" s="32">
        <v>87</v>
      </c>
      <c r="F3061" s="32" t="s">
        <v>118</v>
      </c>
      <c r="J3061" s="32">
        <v>644</v>
      </c>
      <c r="P3061" s="32">
        <v>637560</v>
      </c>
      <c r="R3061" s="32">
        <v>196437</v>
      </c>
      <c r="T3061" s="32">
        <v>441123</v>
      </c>
    </row>
    <row r="3062" spans="2:20" ht="12.75" hidden="1" x14ac:dyDescent="0.25">
      <c r="B3062" s="32">
        <v>88</v>
      </c>
      <c r="F3062" s="32" t="s">
        <v>117</v>
      </c>
      <c r="J3062" s="32">
        <v>42</v>
      </c>
      <c r="P3062" s="32">
        <v>34100</v>
      </c>
      <c r="R3062" s="32">
        <v>7350</v>
      </c>
      <c r="T3062" s="32">
        <v>26750</v>
      </c>
    </row>
    <row r="3063" spans="2:20" ht="12.75" hidden="1" x14ac:dyDescent="0.25">
      <c r="B3063" s="32">
        <v>89</v>
      </c>
      <c r="F3063" s="32" t="s">
        <v>262</v>
      </c>
      <c r="J3063" s="32">
        <v>1</v>
      </c>
      <c r="P3063" s="32">
        <v>450</v>
      </c>
      <c r="R3063" s="32">
        <v>70</v>
      </c>
      <c r="T3063" s="32">
        <v>380</v>
      </c>
    </row>
    <row r="3064" spans="2:20" ht="12.75" hidden="1" x14ac:dyDescent="0.25">
      <c r="B3064" s="32">
        <v>90</v>
      </c>
      <c r="F3064" s="32" t="s">
        <v>115</v>
      </c>
      <c r="J3064" s="32">
        <v>28</v>
      </c>
      <c r="P3064" s="32">
        <v>8120</v>
      </c>
      <c r="R3064" s="32">
        <v>2270</v>
      </c>
      <c r="T3064" s="32">
        <v>5850</v>
      </c>
    </row>
    <row r="3065" spans="2:20" ht="12.75" hidden="1" x14ac:dyDescent="0.25">
      <c r="B3065" s="32">
        <v>91</v>
      </c>
      <c r="F3065" s="32" t="s">
        <v>279</v>
      </c>
      <c r="J3065" s="32">
        <v>3</v>
      </c>
      <c r="P3065" s="32">
        <v>1500</v>
      </c>
      <c r="R3065" s="32">
        <v>300</v>
      </c>
      <c r="T3065" s="32">
        <v>1200</v>
      </c>
    </row>
    <row r="3066" spans="2:20" ht="12.75" hidden="1" x14ac:dyDescent="0.25">
      <c r="B3066" s="32">
        <v>92</v>
      </c>
      <c r="F3066" s="32" t="s">
        <v>222</v>
      </c>
      <c r="J3066" s="32">
        <v>1</v>
      </c>
      <c r="P3066" s="32">
        <v>500</v>
      </c>
      <c r="R3066" s="32">
        <v>100</v>
      </c>
      <c r="T3066" s="32">
        <v>400</v>
      </c>
    </row>
    <row r="3067" spans="2:20" ht="12.75" hidden="1" x14ac:dyDescent="0.25">
      <c r="B3067" s="32">
        <v>93</v>
      </c>
      <c r="F3067" s="32" t="s">
        <v>301</v>
      </c>
      <c r="J3067" s="32">
        <v>2</v>
      </c>
      <c r="P3067" s="32">
        <v>1600</v>
      </c>
      <c r="R3067" s="32">
        <v>200</v>
      </c>
      <c r="T3067" s="32">
        <v>1400</v>
      </c>
    </row>
    <row r="3068" spans="2:20" ht="12.75" hidden="1" x14ac:dyDescent="0.25">
      <c r="B3068" s="32">
        <v>94</v>
      </c>
      <c r="F3068" s="32" t="s">
        <v>221</v>
      </c>
      <c r="J3068" s="32">
        <v>26</v>
      </c>
      <c r="P3068" s="32">
        <v>25740</v>
      </c>
      <c r="R3068" s="32">
        <v>5947</v>
      </c>
      <c r="T3068" s="32">
        <v>19793</v>
      </c>
    </row>
    <row r="3069" spans="2:20" ht="12.75" hidden="1" x14ac:dyDescent="0.25">
      <c r="B3069" s="32">
        <v>95</v>
      </c>
      <c r="F3069" s="32" t="s">
        <v>327</v>
      </c>
      <c r="J3069" s="32">
        <v>15</v>
      </c>
      <c r="P3069" s="32">
        <v>13200</v>
      </c>
      <c r="R3069" s="32">
        <v>1498</v>
      </c>
      <c r="T3069" s="32">
        <v>11702</v>
      </c>
    </row>
    <row r="3070" spans="2:20" ht="12.75" hidden="1" x14ac:dyDescent="0.25">
      <c r="B3070" s="32">
        <v>96</v>
      </c>
      <c r="F3070" s="32" t="s">
        <v>220</v>
      </c>
      <c r="J3070" s="32">
        <v>3</v>
      </c>
      <c r="P3070" s="32">
        <v>1050</v>
      </c>
      <c r="R3070" s="32">
        <v>200</v>
      </c>
      <c r="T3070" s="32">
        <v>850</v>
      </c>
    </row>
    <row r="3071" spans="2:20" ht="12.75" hidden="1" x14ac:dyDescent="0.25">
      <c r="B3071" s="32">
        <v>97</v>
      </c>
      <c r="F3071" s="32" t="s">
        <v>219</v>
      </c>
      <c r="J3071" s="32">
        <v>23</v>
      </c>
      <c r="P3071" s="32">
        <v>11500</v>
      </c>
      <c r="R3071" s="32">
        <v>1750</v>
      </c>
      <c r="T3071" s="32">
        <v>9750</v>
      </c>
    </row>
    <row r="3072" spans="2:20" ht="12.75" hidden="1" x14ac:dyDescent="0.25">
      <c r="B3072" s="32">
        <v>98</v>
      </c>
      <c r="F3072" s="32" t="s">
        <v>258</v>
      </c>
      <c r="J3072" s="32">
        <v>1</v>
      </c>
      <c r="P3072" s="32">
        <v>330</v>
      </c>
      <c r="R3072" s="32">
        <v>100</v>
      </c>
      <c r="T3072" s="32">
        <v>230</v>
      </c>
    </row>
    <row r="3073" spans="2:20" ht="12.75" hidden="1" x14ac:dyDescent="0.25">
      <c r="B3073" s="32">
        <v>99</v>
      </c>
      <c r="F3073" s="32" t="s">
        <v>181</v>
      </c>
      <c r="J3073" s="32">
        <v>3</v>
      </c>
      <c r="P3073" s="32">
        <v>2370</v>
      </c>
      <c r="R3073" s="32">
        <v>360</v>
      </c>
      <c r="T3073" s="32">
        <v>2010</v>
      </c>
    </row>
    <row r="3074" spans="2:20" ht="12.75" hidden="1" x14ac:dyDescent="0.25">
      <c r="B3074" s="32">
        <v>100</v>
      </c>
      <c r="F3074" s="32" t="s">
        <v>171</v>
      </c>
      <c r="J3074" s="32">
        <v>2</v>
      </c>
      <c r="P3074" s="32">
        <v>1060</v>
      </c>
      <c r="R3074" s="32">
        <v>320</v>
      </c>
      <c r="T3074" s="32">
        <v>740</v>
      </c>
    </row>
    <row r="3075" spans="2:20" ht="12.75" hidden="1" x14ac:dyDescent="0.25">
      <c r="B3075" s="32">
        <v>101</v>
      </c>
      <c r="F3075" s="32" t="s">
        <v>111</v>
      </c>
      <c r="J3075" s="32">
        <v>18</v>
      </c>
      <c r="P3075" s="32">
        <v>7740</v>
      </c>
      <c r="R3075" s="32">
        <v>1950</v>
      </c>
      <c r="T3075" s="32">
        <v>5790</v>
      </c>
    </row>
    <row r="3076" spans="2:20" ht="12.75" hidden="1" x14ac:dyDescent="0.25">
      <c r="B3076" s="32">
        <v>102</v>
      </c>
      <c r="F3076" s="32" t="s">
        <v>110</v>
      </c>
      <c r="J3076" s="32">
        <v>1</v>
      </c>
      <c r="P3076" s="32">
        <v>1080</v>
      </c>
      <c r="R3076" s="32">
        <v>160</v>
      </c>
      <c r="T3076" s="32">
        <v>920</v>
      </c>
    </row>
    <row r="3077" spans="2:20" ht="12.75" hidden="1" x14ac:dyDescent="0.25">
      <c r="B3077" s="32">
        <v>103</v>
      </c>
      <c r="F3077" s="32" t="s">
        <v>257</v>
      </c>
      <c r="J3077" s="32">
        <v>1</v>
      </c>
      <c r="P3077" s="32">
        <v>990</v>
      </c>
      <c r="R3077" s="32">
        <v>150</v>
      </c>
      <c r="T3077" s="32">
        <v>840</v>
      </c>
    </row>
    <row r="3078" spans="2:20" ht="12.75" hidden="1" x14ac:dyDescent="0.25">
      <c r="B3078" s="32">
        <v>104</v>
      </c>
      <c r="F3078" s="32" t="s">
        <v>109</v>
      </c>
      <c r="J3078" s="32">
        <v>11</v>
      </c>
      <c r="P3078" s="32">
        <v>8580</v>
      </c>
      <c r="R3078" s="32">
        <v>2530</v>
      </c>
      <c r="T3078" s="32">
        <v>6050</v>
      </c>
    </row>
    <row r="3079" spans="2:20" ht="12.75" hidden="1" x14ac:dyDescent="0.25">
      <c r="B3079" s="32">
        <v>105</v>
      </c>
      <c r="F3079" s="32" t="s">
        <v>108</v>
      </c>
      <c r="J3079" s="32">
        <v>1075</v>
      </c>
      <c r="P3079" s="32">
        <v>107500</v>
      </c>
      <c r="R3079" s="32">
        <v>9180</v>
      </c>
      <c r="T3079" s="32">
        <v>98320</v>
      </c>
    </row>
    <row r="3080" spans="2:20" ht="12.75" hidden="1" x14ac:dyDescent="0.25">
      <c r="B3080" s="32">
        <v>106</v>
      </c>
      <c r="F3080" s="32" t="s">
        <v>107</v>
      </c>
      <c r="J3080" s="32">
        <v>136</v>
      </c>
      <c r="P3080" s="32">
        <v>23120</v>
      </c>
      <c r="R3080" s="32">
        <v>6072</v>
      </c>
      <c r="T3080" s="32">
        <v>17048</v>
      </c>
    </row>
    <row r="3081" spans="2:20" ht="12.75" hidden="1" x14ac:dyDescent="0.25">
      <c r="B3081" s="32">
        <v>107</v>
      </c>
      <c r="F3081" s="32" t="s">
        <v>216</v>
      </c>
      <c r="J3081" s="32">
        <v>4</v>
      </c>
      <c r="P3081" s="32">
        <v>4320</v>
      </c>
      <c r="R3081" s="32">
        <v>495</v>
      </c>
      <c r="T3081" s="32">
        <v>3825</v>
      </c>
    </row>
    <row r="3082" spans="2:20" ht="12.75" hidden="1" x14ac:dyDescent="0.25">
      <c r="B3082" s="32">
        <v>108</v>
      </c>
      <c r="F3082" s="32" t="s">
        <v>105</v>
      </c>
      <c r="J3082" s="32">
        <v>51</v>
      </c>
      <c r="P3082" s="32">
        <v>58650</v>
      </c>
      <c r="R3082" s="32">
        <v>0</v>
      </c>
      <c r="T3082" s="32">
        <v>58650</v>
      </c>
    </row>
    <row r="3083" spans="2:20" ht="12.75" hidden="1" x14ac:dyDescent="0.25">
      <c r="B3083" s="32">
        <v>109</v>
      </c>
      <c r="F3083" s="32" t="s">
        <v>103</v>
      </c>
      <c r="J3083" s="32">
        <v>33</v>
      </c>
      <c r="P3083" s="32">
        <v>10890</v>
      </c>
      <c r="R3083" s="32">
        <v>4400</v>
      </c>
      <c r="T3083" s="32">
        <v>6490</v>
      </c>
    </row>
    <row r="3084" spans="2:20" ht="12.75" hidden="1" x14ac:dyDescent="0.25">
      <c r="B3084" s="32">
        <v>110</v>
      </c>
      <c r="F3084" s="32" t="s">
        <v>213</v>
      </c>
      <c r="J3084" s="32">
        <v>1</v>
      </c>
      <c r="P3084" s="32">
        <v>700</v>
      </c>
      <c r="R3084" s="32">
        <v>203</v>
      </c>
      <c r="T3084" s="32">
        <v>497</v>
      </c>
    </row>
    <row r="3085" spans="2:20" ht="12.75" hidden="1" x14ac:dyDescent="0.25">
      <c r="B3085" s="32">
        <v>111</v>
      </c>
      <c r="F3085" s="32" t="s">
        <v>212</v>
      </c>
      <c r="J3085" s="32">
        <v>1</v>
      </c>
      <c r="P3085" s="32">
        <v>500</v>
      </c>
      <c r="R3085" s="32">
        <v>150</v>
      </c>
      <c r="T3085" s="32">
        <v>350</v>
      </c>
    </row>
    <row r="3086" spans="2:20" ht="12.75" hidden="1" x14ac:dyDescent="0.25">
      <c r="B3086" s="32">
        <v>112</v>
      </c>
      <c r="F3086" s="32" t="s">
        <v>211</v>
      </c>
      <c r="J3086" s="32">
        <v>2</v>
      </c>
      <c r="P3086" s="32">
        <v>1000</v>
      </c>
      <c r="R3086" s="32">
        <v>280</v>
      </c>
      <c r="T3086" s="32">
        <v>720</v>
      </c>
    </row>
    <row r="3087" spans="2:20" ht="12.75" hidden="1" x14ac:dyDescent="0.25">
      <c r="B3087" s="32">
        <v>113</v>
      </c>
      <c r="F3087" s="32" t="s">
        <v>276</v>
      </c>
      <c r="J3087" s="32">
        <v>8</v>
      </c>
      <c r="P3087" s="32">
        <v>4000</v>
      </c>
      <c r="R3087" s="32">
        <v>1200</v>
      </c>
      <c r="T3087" s="32">
        <v>2800</v>
      </c>
    </row>
    <row r="3088" spans="2:20" ht="12.75" hidden="1" x14ac:dyDescent="0.25">
      <c r="B3088" s="32">
        <v>114</v>
      </c>
      <c r="F3088" s="32" t="s">
        <v>275</v>
      </c>
      <c r="J3088" s="32">
        <v>2</v>
      </c>
      <c r="P3088" s="32">
        <v>1400</v>
      </c>
      <c r="R3088" s="32">
        <v>546</v>
      </c>
      <c r="T3088" s="32">
        <v>854</v>
      </c>
    </row>
    <row r="3089" spans="2:20" ht="12.75" hidden="1" x14ac:dyDescent="0.25">
      <c r="B3089" s="32">
        <v>115</v>
      </c>
      <c r="F3089" s="32" t="s">
        <v>307</v>
      </c>
      <c r="J3089" s="32">
        <v>3</v>
      </c>
      <c r="P3089" s="32">
        <v>2100</v>
      </c>
      <c r="R3089" s="32">
        <v>1050</v>
      </c>
      <c r="T3089" s="32">
        <v>1050</v>
      </c>
    </row>
    <row r="3090" spans="2:20" ht="12.75" hidden="1" x14ac:dyDescent="0.25">
      <c r="B3090" s="32">
        <v>116</v>
      </c>
      <c r="F3090" s="32" t="s">
        <v>102</v>
      </c>
      <c r="J3090" s="32">
        <v>306</v>
      </c>
      <c r="P3090" s="32">
        <v>269280</v>
      </c>
      <c r="R3090" s="32">
        <v>33923</v>
      </c>
      <c r="T3090" s="32">
        <v>235357</v>
      </c>
    </row>
    <row r="3091" spans="2:20" ht="12.75" hidden="1" x14ac:dyDescent="0.25">
      <c r="B3091" s="32">
        <v>117</v>
      </c>
      <c r="F3091" s="32" t="s">
        <v>101</v>
      </c>
      <c r="J3091" s="32">
        <v>282</v>
      </c>
      <c r="P3091" s="32">
        <v>129720</v>
      </c>
      <c r="R3091" s="32">
        <v>33700</v>
      </c>
      <c r="T3091" s="32">
        <v>96020</v>
      </c>
    </row>
    <row r="3092" spans="2:20" ht="12.75" hidden="1" x14ac:dyDescent="0.25">
      <c r="B3092" s="32">
        <v>118</v>
      </c>
      <c r="F3092" s="32" t="s">
        <v>254</v>
      </c>
      <c r="J3092" s="32">
        <v>5</v>
      </c>
      <c r="P3092" s="32">
        <v>1450</v>
      </c>
      <c r="R3092" s="32">
        <v>160</v>
      </c>
      <c r="T3092" s="32">
        <v>1290</v>
      </c>
    </row>
    <row r="3093" spans="2:20" ht="12.75" hidden="1" x14ac:dyDescent="0.25">
      <c r="B3093" s="32">
        <v>119</v>
      </c>
      <c r="F3093" s="32" t="s">
        <v>179</v>
      </c>
      <c r="J3093" s="32">
        <v>1</v>
      </c>
      <c r="P3093" s="32">
        <v>880</v>
      </c>
      <c r="R3093" s="32">
        <v>0</v>
      </c>
      <c r="T3093" s="32">
        <v>880</v>
      </c>
    </row>
    <row r="3094" spans="2:20" ht="12.75" hidden="1" x14ac:dyDescent="0.25">
      <c r="B3094" s="32">
        <v>120</v>
      </c>
      <c r="F3094" s="32" t="s">
        <v>100</v>
      </c>
      <c r="J3094" s="32">
        <v>7</v>
      </c>
      <c r="P3094" s="32">
        <v>1260</v>
      </c>
      <c r="R3094" s="32">
        <v>350</v>
      </c>
      <c r="T3094" s="32">
        <v>910</v>
      </c>
    </row>
    <row r="3095" spans="2:20" ht="12.75" hidden="1" x14ac:dyDescent="0.25">
      <c r="B3095" s="32">
        <v>121</v>
      </c>
      <c r="F3095" s="32" t="s">
        <v>178</v>
      </c>
      <c r="J3095" s="32">
        <v>3</v>
      </c>
      <c r="P3095" s="32">
        <v>4950</v>
      </c>
      <c r="R3095" s="32">
        <v>0</v>
      </c>
      <c r="T3095" s="32">
        <v>4950</v>
      </c>
    </row>
    <row r="3096" spans="2:20" ht="12.75" hidden="1" x14ac:dyDescent="0.25">
      <c r="B3096" s="32">
        <v>122</v>
      </c>
      <c r="F3096" s="32" t="s">
        <v>274</v>
      </c>
      <c r="J3096" s="32">
        <v>1</v>
      </c>
      <c r="P3096" s="32">
        <v>180</v>
      </c>
      <c r="R3096" s="32">
        <v>0</v>
      </c>
      <c r="T3096" s="32">
        <v>180</v>
      </c>
    </row>
    <row r="3097" spans="2:20" ht="12.75" hidden="1" x14ac:dyDescent="0.25">
      <c r="B3097" s="32">
        <v>123</v>
      </c>
      <c r="F3097" s="32" t="s">
        <v>177</v>
      </c>
      <c r="J3097" s="32">
        <v>1</v>
      </c>
      <c r="P3097" s="32">
        <v>960</v>
      </c>
      <c r="R3097" s="32">
        <v>290</v>
      </c>
      <c r="T3097" s="32">
        <v>670</v>
      </c>
    </row>
    <row r="3098" spans="2:20" ht="12.75" hidden="1" x14ac:dyDescent="0.25">
      <c r="B3098" s="32">
        <v>124</v>
      </c>
      <c r="F3098" s="32" t="s">
        <v>99</v>
      </c>
      <c r="J3098" s="32">
        <v>4</v>
      </c>
      <c r="P3098" s="32">
        <v>2360</v>
      </c>
      <c r="R3098" s="32">
        <v>360</v>
      </c>
      <c r="T3098" s="32">
        <v>2000</v>
      </c>
    </row>
    <row r="3099" spans="2:20" ht="12.75" hidden="1" x14ac:dyDescent="0.25">
      <c r="B3099" s="32">
        <v>125</v>
      </c>
      <c r="F3099" s="32" t="s">
        <v>98</v>
      </c>
      <c r="J3099" s="32">
        <v>4</v>
      </c>
      <c r="P3099" s="32">
        <v>2280</v>
      </c>
      <c r="R3099" s="32">
        <v>320</v>
      </c>
      <c r="T3099" s="32">
        <v>1960</v>
      </c>
    </row>
    <row r="3100" spans="2:20" ht="12.75" hidden="1" x14ac:dyDescent="0.25">
      <c r="B3100" s="32">
        <v>126</v>
      </c>
      <c r="F3100" s="32" t="s">
        <v>97</v>
      </c>
      <c r="J3100" s="32">
        <v>7</v>
      </c>
      <c r="P3100" s="32">
        <v>11130</v>
      </c>
      <c r="R3100" s="32">
        <v>1680</v>
      </c>
      <c r="T3100" s="32">
        <v>9450</v>
      </c>
    </row>
    <row r="3101" spans="2:20" ht="12.75" hidden="1" x14ac:dyDescent="0.25">
      <c r="B3101" s="32">
        <v>127</v>
      </c>
      <c r="F3101" s="32" t="s">
        <v>95</v>
      </c>
      <c r="J3101" s="32">
        <v>4</v>
      </c>
      <c r="P3101" s="32">
        <v>1400</v>
      </c>
      <c r="R3101" s="32">
        <v>426</v>
      </c>
      <c r="T3101" s="32">
        <v>974</v>
      </c>
    </row>
    <row r="3102" spans="2:20" ht="12.75" hidden="1" x14ac:dyDescent="0.25">
      <c r="B3102" s="32">
        <v>128</v>
      </c>
      <c r="F3102" s="32" t="s">
        <v>93</v>
      </c>
      <c r="J3102" s="32">
        <v>25</v>
      </c>
      <c r="P3102" s="32">
        <v>14750</v>
      </c>
      <c r="R3102" s="32">
        <v>1980</v>
      </c>
      <c r="T3102" s="32">
        <v>12770</v>
      </c>
    </row>
    <row r="3103" spans="2:20" ht="12.75" hidden="1" x14ac:dyDescent="0.25">
      <c r="B3103" s="32">
        <v>129</v>
      </c>
      <c r="F3103" s="32" t="s">
        <v>92</v>
      </c>
      <c r="J3103" s="32">
        <v>38</v>
      </c>
      <c r="P3103" s="32">
        <v>25400</v>
      </c>
      <c r="R3103" s="32">
        <v>7320</v>
      </c>
      <c r="T3103" s="32">
        <v>18080</v>
      </c>
    </row>
    <row r="3104" spans="2:20" ht="12.75" hidden="1" x14ac:dyDescent="0.25">
      <c r="B3104" s="32">
        <v>130</v>
      </c>
      <c r="F3104" s="32" t="s">
        <v>297</v>
      </c>
      <c r="J3104" s="32">
        <v>1</v>
      </c>
      <c r="P3104" s="32">
        <v>400</v>
      </c>
      <c r="R3104" s="32">
        <v>100</v>
      </c>
      <c r="T3104" s="32">
        <v>300</v>
      </c>
    </row>
    <row r="3105" spans="2:20" ht="12.75" hidden="1" x14ac:dyDescent="0.25">
      <c r="B3105" s="32">
        <v>131</v>
      </c>
      <c r="F3105" s="32" t="s">
        <v>175</v>
      </c>
      <c r="J3105" s="32">
        <v>10</v>
      </c>
      <c r="P3105" s="32">
        <v>6000</v>
      </c>
      <c r="R3105" s="32">
        <v>1182</v>
      </c>
      <c r="T3105" s="32">
        <v>4818</v>
      </c>
    </row>
    <row r="3106" spans="2:20" ht="12.75" hidden="1" x14ac:dyDescent="0.25">
      <c r="B3106" s="32">
        <v>132</v>
      </c>
      <c r="F3106" s="32" t="s">
        <v>174</v>
      </c>
      <c r="J3106" s="32">
        <v>9</v>
      </c>
      <c r="P3106" s="32">
        <v>3600</v>
      </c>
      <c r="R3106" s="32">
        <v>120</v>
      </c>
      <c r="T3106" s="32">
        <v>3480</v>
      </c>
    </row>
    <row r="3107" spans="2:20" ht="12.75" hidden="1" x14ac:dyDescent="0.25">
      <c r="B3107" s="32">
        <v>133</v>
      </c>
      <c r="F3107" s="32" t="s">
        <v>356</v>
      </c>
      <c r="J3107" s="32">
        <v>2</v>
      </c>
      <c r="P3107" s="32">
        <v>1600</v>
      </c>
      <c r="R3107" s="32">
        <v>480</v>
      </c>
      <c r="T3107" s="32">
        <v>1120</v>
      </c>
    </row>
    <row r="3108" spans="2:20" ht="12.75" hidden="1" x14ac:dyDescent="0.25">
      <c r="B3108" s="32">
        <v>134</v>
      </c>
      <c r="F3108" s="32" t="s">
        <v>355</v>
      </c>
      <c r="J3108" s="32">
        <v>1</v>
      </c>
      <c r="P3108" s="32">
        <v>600</v>
      </c>
      <c r="R3108" s="32">
        <v>180</v>
      </c>
      <c r="T3108" s="32">
        <v>420</v>
      </c>
    </row>
    <row r="3109" spans="2:20" ht="12.75" hidden="1" x14ac:dyDescent="0.25">
      <c r="B3109" s="32">
        <v>135</v>
      </c>
      <c r="F3109" s="32" t="s">
        <v>173</v>
      </c>
      <c r="J3109" s="32">
        <v>19</v>
      </c>
      <c r="P3109" s="32">
        <v>19000</v>
      </c>
      <c r="R3109" s="32">
        <v>4400</v>
      </c>
      <c r="T3109" s="32">
        <v>14600</v>
      </c>
    </row>
    <row r="3110" spans="2:20" ht="12.75" hidden="1" x14ac:dyDescent="0.25">
      <c r="B3110" s="32">
        <v>136</v>
      </c>
      <c r="F3110" s="32" t="s">
        <v>91</v>
      </c>
      <c r="J3110" s="32">
        <v>411</v>
      </c>
      <c r="P3110" s="32">
        <v>102750</v>
      </c>
      <c r="R3110" s="32">
        <v>27605</v>
      </c>
      <c r="T3110" s="32">
        <v>75145</v>
      </c>
    </row>
    <row r="3111" spans="2:20" ht="12.75" hidden="1" x14ac:dyDescent="0.25">
      <c r="B3111" s="32">
        <v>137</v>
      </c>
      <c r="F3111" s="32" t="s">
        <v>90</v>
      </c>
      <c r="J3111" s="32">
        <v>33</v>
      </c>
      <c r="P3111" s="32">
        <v>9570</v>
      </c>
      <c r="R3111" s="32">
        <v>2160</v>
      </c>
      <c r="T3111" s="32">
        <v>7410</v>
      </c>
    </row>
    <row r="3112" spans="2:20" ht="12.75" hidden="1" x14ac:dyDescent="0.25">
      <c r="B3112" s="32">
        <v>138</v>
      </c>
      <c r="F3112" s="32" t="s">
        <v>89</v>
      </c>
      <c r="J3112" s="32">
        <v>7</v>
      </c>
      <c r="P3112" s="32">
        <v>6160</v>
      </c>
      <c r="R3112" s="32">
        <v>780</v>
      </c>
      <c r="T3112" s="32">
        <v>5380</v>
      </c>
    </row>
    <row r="3113" spans="2:20" ht="12.75" hidden="1" x14ac:dyDescent="0.25">
      <c r="B3113" s="32">
        <v>139</v>
      </c>
      <c r="F3113" s="32" t="s">
        <v>88</v>
      </c>
      <c r="J3113" s="32">
        <v>165</v>
      </c>
      <c r="P3113" s="32">
        <v>29700</v>
      </c>
      <c r="R3113" s="32">
        <v>8442</v>
      </c>
      <c r="T3113" s="32">
        <v>21258</v>
      </c>
    </row>
    <row r="3114" spans="2:20" ht="12.75" hidden="1" x14ac:dyDescent="0.25">
      <c r="B3114" s="32">
        <v>140</v>
      </c>
      <c r="F3114" s="32" t="s">
        <v>87</v>
      </c>
      <c r="J3114" s="32">
        <v>2</v>
      </c>
      <c r="P3114" s="32">
        <v>580</v>
      </c>
      <c r="R3114" s="32">
        <v>80</v>
      </c>
      <c r="T3114" s="32">
        <v>500</v>
      </c>
    </row>
    <row r="3115" spans="2:20" ht="12.75" hidden="1" x14ac:dyDescent="0.25">
      <c r="B3115" s="32">
        <v>141</v>
      </c>
      <c r="F3115" s="32" t="s">
        <v>86</v>
      </c>
      <c r="J3115" s="32">
        <v>3</v>
      </c>
      <c r="P3115" s="32">
        <v>3420</v>
      </c>
      <c r="R3115" s="32">
        <v>510</v>
      </c>
      <c r="T3115" s="32">
        <v>2910</v>
      </c>
    </row>
    <row r="3116" spans="2:20" ht="12.75" hidden="1" x14ac:dyDescent="0.25">
      <c r="B3116" s="32">
        <v>142</v>
      </c>
      <c r="F3116" s="32" t="s">
        <v>85</v>
      </c>
      <c r="J3116" s="32">
        <v>15</v>
      </c>
      <c r="P3116" s="32">
        <v>31200</v>
      </c>
      <c r="R3116" s="32">
        <v>4650</v>
      </c>
      <c r="T3116" s="32">
        <v>26550</v>
      </c>
    </row>
    <row r="3117" spans="2:20" ht="12.75" hidden="1" x14ac:dyDescent="0.25">
      <c r="B3117" s="32">
        <v>143</v>
      </c>
      <c r="F3117" s="32" t="s">
        <v>84</v>
      </c>
      <c r="J3117" s="32">
        <v>12</v>
      </c>
      <c r="P3117" s="32">
        <v>7080</v>
      </c>
      <c r="R3117" s="32">
        <v>1980</v>
      </c>
      <c r="T3117" s="32">
        <v>5100</v>
      </c>
    </row>
    <row r="3118" spans="2:20" ht="12.75" hidden="1" x14ac:dyDescent="0.25">
      <c r="B3118" s="32">
        <v>144</v>
      </c>
      <c r="F3118" s="32" t="s">
        <v>331</v>
      </c>
      <c r="J3118" s="32">
        <v>1</v>
      </c>
      <c r="P3118" s="32">
        <v>500</v>
      </c>
      <c r="R3118" s="32">
        <v>150</v>
      </c>
      <c r="T3118" s="32">
        <v>350</v>
      </c>
    </row>
    <row r="3119" spans="2:20" ht="12.75" hidden="1" x14ac:dyDescent="0.25">
      <c r="B3119" s="32">
        <v>145</v>
      </c>
      <c r="F3119" s="32" t="s">
        <v>208</v>
      </c>
      <c r="J3119" s="32">
        <v>3</v>
      </c>
      <c r="P3119" s="32">
        <v>1500</v>
      </c>
      <c r="R3119" s="32">
        <v>300</v>
      </c>
      <c r="T3119" s="32">
        <v>1200</v>
      </c>
    </row>
    <row r="3120" spans="2:20" ht="12.75" hidden="1" x14ac:dyDescent="0.25">
      <c r="B3120" s="32">
        <v>146</v>
      </c>
      <c r="F3120" s="32" t="s">
        <v>273</v>
      </c>
      <c r="J3120" s="32">
        <v>4</v>
      </c>
      <c r="P3120" s="32">
        <v>2000</v>
      </c>
      <c r="R3120" s="32">
        <v>450</v>
      </c>
      <c r="T3120" s="32">
        <v>1550</v>
      </c>
    </row>
    <row r="3121" spans="1:20" ht="12.75" hidden="1" x14ac:dyDescent="0.25">
      <c r="B3121" s="32">
        <v>147</v>
      </c>
      <c r="F3121" s="32" t="s">
        <v>272</v>
      </c>
      <c r="J3121" s="32">
        <v>1</v>
      </c>
      <c r="P3121" s="32">
        <v>500</v>
      </c>
      <c r="R3121" s="32">
        <v>150</v>
      </c>
      <c r="T3121" s="32">
        <v>350</v>
      </c>
    </row>
    <row r="3122" spans="1:20" ht="12.75" hidden="1" x14ac:dyDescent="0.25">
      <c r="B3122" s="32">
        <v>148</v>
      </c>
      <c r="F3122" s="32" t="s">
        <v>205</v>
      </c>
      <c r="J3122" s="32">
        <v>12</v>
      </c>
      <c r="P3122" s="32">
        <v>6000</v>
      </c>
      <c r="R3122" s="32">
        <v>1300</v>
      </c>
      <c r="T3122" s="32">
        <v>4700</v>
      </c>
    </row>
    <row r="3123" spans="1:20" ht="12.75" hidden="1" x14ac:dyDescent="0.25">
      <c r="B3123" s="32">
        <v>149</v>
      </c>
      <c r="F3123" s="32" t="s">
        <v>204</v>
      </c>
      <c r="J3123" s="32">
        <v>1</v>
      </c>
      <c r="P3123" s="32">
        <v>500</v>
      </c>
      <c r="R3123" s="32">
        <v>150</v>
      </c>
      <c r="T3123" s="32">
        <v>350</v>
      </c>
    </row>
    <row r="3124" spans="1:20" ht="12.75" hidden="1" x14ac:dyDescent="0.25">
      <c r="B3124" s="32">
        <v>150</v>
      </c>
      <c r="F3124" s="32" t="s">
        <v>83</v>
      </c>
      <c r="J3124" s="32">
        <v>2</v>
      </c>
      <c r="P3124" s="32">
        <v>1000</v>
      </c>
      <c r="R3124" s="32">
        <v>150</v>
      </c>
      <c r="T3124" s="32">
        <v>850</v>
      </c>
    </row>
    <row r="3125" spans="1:20" ht="12.75" hidden="1" x14ac:dyDescent="0.25">
      <c r="B3125" s="32">
        <v>151</v>
      </c>
      <c r="F3125" s="32" t="s">
        <v>271</v>
      </c>
      <c r="J3125" s="32">
        <v>3</v>
      </c>
      <c r="P3125" s="32">
        <v>1500</v>
      </c>
      <c r="R3125" s="32">
        <v>195</v>
      </c>
      <c r="T3125" s="32">
        <v>1305</v>
      </c>
    </row>
    <row r="3126" spans="1:20" ht="12.75" hidden="1" x14ac:dyDescent="0.25">
      <c r="B3126" s="32">
        <v>152</v>
      </c>
      <c r="F3126" s="32" t="s">
        <v>363</v>
      </c>
      <c r="J3126" s="32">
        <v>3</v>
      </c>
      <c r="P3126" s="32">
        <v>1500</v>
      </c>
      <c r="R3126" s="32">
        <v>400</v>
      </c>
      <c r="T3126" s="32">
        <v>1100</v>
      </c>
    </row>
    <row r="3127" spans="1:20" ht="12.75" hidden="1" x14ac:dyDescent="0.25">
      <c r="B3127" s="32">
        <v>153</v>
      </c>
      <c r="F3127" s="32" t="s">
        <v>82</v>
      </c>
      <c r="J3127" s="32">
        <v>2</v>
      </c>
      <c r="P3127" s="32">
        <v>580</v>
      </c>
      <c r="R3127" s="32">
        <v>290</v>
      </c>
      <c r="T3127" s="32">
        <v>290</v>
      </c>
    </row>
    <row r="3128" spans="1:20" ht="12.75" hidden="1" x14ac:dyDescent="0.25">
      <c r="B3128" s="32">
        <v>154</v>
      </c>
      <c r="F3128" s="32" t="s">
        <v>81</v>
      </c>
      <c r="J3128" s="32">
        <v>478</v>
      </c>
      <c r="P3128" s="32">
        <v>138620</v>
      </c>
      <c r="R3128" s="32">
        <v>20969</v>
      </c>
      <c r="T3128" s="32">
        <v>117651</v>
      </c>
    </row>
    <row r="3129" spans="1:20" ht="12.75" hidden="1" x14ac:dyDescent="0.25">
      <c r="A3129" s="32" t="s">
        <v>372</v>
      </c>
      <c r="K3129" s="32">
        <v>7500</v>
      </c>
      <c r="P3129" s="32">
        <v>6652135</v>
      </c>
      <c r="R3129" s="32">
        <v>5790390</v>
      </c>
      <c r="T3129" s="32">
        <v>861745</v>
      </c>
    </row>
    <row r="3130" spans="1:20" ht="12.75" hidden="1" x14ac:dyDescent="0.25">
      <c r="B3130" s="32">
        <v>1</v>
      </c>
      <c r="F3130" s="32" t="s">
        <v>371</v>
      </c>
      <c r="J3130" s="32">
        <v>1</v>
      </c>
      <c r="P3130" s="32">
        <v>390</v>
      </c>
      <c r="R3130" s="32">
        <v>120</v>
      </c>
      <c r="T3130" s="32">
        <v>270</v>
      </c>
    </row>
    <row r="3131" spans="1:20" ht="12.75" hidden="1" x14ac:dyDescent="0.25">
      <c r="B3131" s="32">
        <v>2</v>
      </c>
      <c r="F3131" s="32" t="s">
        <v>251</v>
      </c>
      <c r="J3131" s="32">
        <v>1</v>
      </c>
      <c r="P3131" s="32">
        <v>800</v>
      </c>
      <c r="R3131" s="32">
        <v>0</v>
      </c>
      <c r="T3131" s="32">
        <v>800</v>
      </c>
    </row>
    <row r="3132" spans="1:20" ht="12.75" hidden="1" x14ac:dyDescent="0.25">
      <c r="B3132" s="32">
        <v>3</v>
      </c>
      <c r="F3132" s="32" t="s">
        <v>79</v>
      </c>
      <c r="J3132" s="32">
        <v>1</v>
      </c>
      <c r="P3132" s="32">
        <v>500</v>
      </c>
      <c r="R3132" s="32">
        <v>150</v>
      </c>
      <c r="T3132" s="32">
        <v>350</v>
      </c>
    </row>
    <row r="3133" spans="1:20" ht="12.75" hidden="1" x14ac:dyDescent="0.25">
      <c r="B3133" s="32">
        <v>4</v>
      </c>
      <c r="F3133" s="32" t="s">
        <v>168</v>
      </c>
      <c r="J3133" s="32">
        <v>1</v>
      </c>
      <c r="P3133" s="32">
        <v>2200</v>
      </c>
      <c r="R3133" s="32">
        <v>330</v>
      </c>
      <c r="T3133" s="32">
        <v>1870</v>
      </c>
    </row>
    <row r="3134" spans="1:20" ht="12.75" hidden="1" x14ac:dyDescent="0.25">
      <c r="B3134" s="32">
        <v>5</v>
      </c>
      <c r="F3134" s="32" t="s">
        <v>78</v>
      </c>
      <c r="J3134" s="32">
        <v>356</v>
      </c>
      <c r="P3134" s="32">
        <v>103240</v>
      </c>
      <c r="R3134" s="32">
        <v>103240</v>
      </c>
      <c r="T3134" s="32">
        <v>0</v>
      </c>
    </row>
    <row r="3135" spans="1:20" ht="12.75" hidden="1" x14ac:dyDescent="0.25">
      <c r="B3135" s="32">
        <v>6</v>
      </c>
      <c r="F3135" s="32" t="s">
        <v>294</v>
      </c>
      <c r="J3135" s="32">
        <v>1</v>
      </c>
      <c r="P3135" s="32">
        <v>500</v>
      </c>
      <c r="R3135" s="32">
        <v>150</v>
      </c>
      <c r="T3135" s="32">
        <v>350</v>
      </c>
    </row>
    <row r="3136" spans="1:20" ht="12.75" hidden="1" x14ac:dyDescent="0.25">
      <c r="B3136" s="32">
        <v>7</v>
      </c>
      <c r="F3136" s="32" t="s">
        <v>165</v>
      </c>
      <c r="J3136" s="32">
        <v>1</v>
      </c>
      <c r="P3136" s="32">
        <v>590</v>
      </c>
      <c r="R3136" s="32">
        <v>180</v>
      </c>
      <c r="T3136" s="32">
        <v>410</v>
      </c>
    </row>
    <row r="3137" spans="2:20" ht="12.75" hidden="1" x14ac:dyDescent="0.25">
      <c r="B3137" s="32">
        <v>8</v>
      </c>
      <c r="F3137" s="32" t="s">
        <v>163</v>
      </c>
      <c r="J3137" s="32">
        <v>2</v>
      </c>
      <c r="P3137" s="32">
        <v>2380</v>
      </c>
      <c r="R3137" s="32">
        <v>360</v>
      </c>
      <c r="T3137" s="32">
        <v>2020</v>
      </c>
    </row>
    <row r="3138" spans="2:20" ht="12.75" hidden="1" x14ac:dyDescent="0.25">
      <c r="B3138" s="32">
        <v>9</v>
      </c>
      <c r="F3138" s="32" t="s">
        <v>162</v>
      </c>
      <c r="J3138" s="32">
        <v>19</v>
      </c>
      <c r="P3138" s="32">
        <v>8170</v>
      </c>
      <c r="R3138" s="32">
        <v>3481</v>
      </c>
      <c r="T3138" s="32">
        <v>4689</v>
      </c>
    </row>
    <row r="3139" spans="2:20" ht="12.75" hidden="1" x14ac:dyDescent="0.25">
      <c r="B3139" s="32">
        <v>10</v>
      </c>
      <c r="F3139" s="32" t="s">
        <v>198</v>
      </c>
      <c r="J3139" s="32">
        <v>1</v>
      </c>
      <c r="P3139" s="32">
        <v>290</v>
      </c>
      <c r="R3139" s="32">
        <v>80</v>
      </c>
      <c r="T3139" s="32">
        <v>210</v>
      </c>
    </row>
    <row r="3140" spans="2:20" ht="12.75" hidden="1" x14ac:dyDescent="0.25">
      <c r="B3140" s="32">
        <v>11</v>
      </c>
      <c r="F3140" s="32" t="s">
        <v>161</v>
      </c>
      <c r="J3140" s="32">
        <v>5</v>
      </c>
      <c r="P3140" s="32">
        <v>125</v>
      </c>
      <c r="R3140" s="32">
        <v>25</v>
      </c>
      <c r="T3140" s="32">
        <v>100</v>
      </c>
    </row>
    <row r="3141" spans="2:20" ht="12.75" hidden="1" x14ac:dyDescent="0.25">
      <c r="B3141" s="32">
        <v>12</v>
      </c>
      <c r="F3141" s="32" t="s">
        <v>160</v>
      </c>
      <c r="J3141" s="32">
        <v>23</v>
      </c>
      <c r="P3141" s="32">
        <v>6670</v>
      </c>
      <c r="R3141" s="32">
        <v>1840</v>
      </c>
      <c r="T3141" s="32">
        <v>4830</v>
      </c>
    </row>
    <row r="3142" spans="2:20" ht="12.75" hidden="1" x14ac:dyDescent="0.25">
      <c r="B3142" s="32">
        <v>13</v>
      </c>
      <c r="F3142" s="32" t="s">
        <v>159</v>
      </c>
      <c r="J3142" s="32">
        <v>249</v>
      </c>
      <c r="P3142" s="32">
        <v>0</v>
      </c>
      <c r="R3142" s="32">
        <v>0</v>
      </c>
      <c r="T3142" s="32">
        <v>0</v>
      </c>
    </row>
    <row r="3143" spans="2:20" ht="12.75" hidden="1" x14ac:dyDescent="0.25">
      <c r="B3143" s="32">
        <v>14</v>
      </c>
      <c r="F3143" s="32" t="s">
        <v>158</v>
      </c>
      <c r="J3143" s="32">
        <v>812</v>
      </c>
      <c r="P3143" s="32">
        <v>446600</v>
      </c>
      <c r="R3143" s="32">
        <v>131310</v>
      </c>
      <c r="T3143" s="32">
        <v>315290</v>
      </c>
    </row>
    <row r="3144" spans="2:20" ht="12.75" hidden="1" x14ac:dyDescent="0.25">
      <c r="B3144" s="32">
        <v>15</v>
      </c>
      <c r="F3144" s="32" t="s">
        <v>157</v>
      </c>
      <c r="J3144" s="32">
        <v>133</v>
      </c>
      <c r="P3144" s="32">
        <v>65170</v>
      </c>
      <c r="R3144" s="32">
        <v>24969</v>
      </c>
      <c r="T3144" s="32">
        <v>40201</v>
      </c>
    </row>
    <row r="3145" spans="2:20" ht="12.75" hidden="1" x14ac:dyDescent="0.25">
      <c r="B3145" s="32">
        <v>16</v>
      </c>
      <c r="F3145" s="32" t="s">
        <v>196</v>
      </c>
      <c r="J3145" s="32">
        <v>2</v>
      </c>
      <c r="P3145" s="32">
        <v>1400</v>
      </c>
      <c r="R3145" s="32">
        <v>700</v>
      </c>
      <c r="T3145" s="32">
        <v>700</v>
      </c>
    </row>
    <row r="3146" spans="2:20" ht="12.75" hidden="1" x14ac:dyDescent="0.25">
      <c r="B3146" s="32">
        <v>17</v>
      </c>
      <c r="F3146" s="32" t="s">
        <v>292</v>
      </c>
      <c r="J3146" s="32">
        <v>1</v>
      </c>
      <c r="P3146" s="32">
        <v>700</v>
      </c>
      <c r="R3146" s="32">
        <v>700</v>
      </c>
      <c r="T3146" s="32">
        <v>0</v>
      </c>
    </row>
    <row r="3147" spans="2:20" ht="12.75" hidden="1" x14ac:dyDescent="0.25">
      <c r="B3147" s="32">
        <v>18</v>
      </c>
      <c r="F3147" s="32" t="s">
        <v>77</v>
      </c>
      <c r="J3147" s="32">
        <v>2389</v>
      </c>
      <c r="P3147" s="32">
        <v>962400</v>
      </c>
      <c r="R3147" s="32">
        <v>962400</v>
      </c>
      <c r="T3147" s="32">
        <v>0</v>
      </c>
    </row>
    <row r="3148" spans="2:20" ht="12.75" hidden="1" x14ac:dyDescent="0.25">
      <c r="B3148" s="32">
        <v>19</v>
      </c>
      <c r="F3148" s="32" t="s">
        <v>76</v>
      </c>
      <c r="J3148" s="32">
        <v>4</v>
      </c>
      <c r="P3148" s="32">
        <v>2400</v>
      </c>
      <c r="R3148" s="32">
        <v>2400</v>
      </c>
      <c r="T3148" s="32">
        <v>0</v>
      </c>
    </row>
    <row r="3149" spans="2:20" ht="12.75" hidden="1" x14ac:dyDescent="0.25">
      <c r="B3149" s="32">
        <v>20</v>
      </c>
      <c r="F3149" s="32" t="s">
        <v>156</v>
      </c>
      <c r="J3149" s="32">
        <v>8</v>
      </c>
      <c r="P3149" s="32">
        <v>1520</v>
      </c>
      <c r="R3149" s="32">
        <v>540</v>
      </c>
      <c r="T3149" s="32">
        <v>980</v>
      </c>
    </row>
    <row r="3150" spans="2:20" ht="12.75" hidden="1" x14ac:dyDescent="0.25">
      <c r="B3150" s="32">
        <v>21</v>
      </c>
      <c r="F3150" s="32" t="s">
        <v>155</v>
      </c>
      <c r="J3150" s="32">
        <v>57</v>
      </c>
      <c r="P3150" s="32">
        <v>14250</v>
      </c>
      <c r="R3150" s="32">
        <v>4540</v>
      </c>
      <c r="T3150" s="32">
        <v>9710</v>
      </c>
    </row>
    <row r="3151" spans="2:20" ht="12.75" hidden="1" x14ac:dyDescent="0.25">
      <c r="B3151" s="32">
        <v>22</v>
      </c>
      <c r="F3151" s="32" t="s">
        <v>154</v>
      </c>
      <c r="J3151" s="32">
        <v>3</v>
      </c>
      <c r="P3151" s="32">
        <v>2670</v>
      </c>
      <c r="R3151" s="32">
        <v>390</v>
      </c>
      <c r="T3151" s="32">
        <v>2280</v>
      </c>
    </row>
    <row r="3152" spans="2:20" ht="12.75" hidden="1" x14ac:dyDescent="0.25">
      <c r="B3152" s="32">
        <v>23</v>
      </c>
      <c r="F3152" s="32" t="s">
        <v>308</v>
      </c>
      <c r="J3152" s="32">
        <v>1</v>
      </c>
      <c r="P3152" s="32">
        <v>10000</v>
      </c>
      <c r="R3152" s="32">
        <v>9700</v>
      </c>
      <c r="T3152" s="32">
        <v>300</v>
      </c>
    </row>
    <row r="3153" spans="2:20" ht="12.75" hidden="1" x14ac:dyDescent="0.25">
      <c r="B3153" s="32">
        <v>24</v>
      </c>
      <c r="F3153" s="32" t="s">
        <v>152</v>
      </c>
      <c r="J3153" s="32">
        <v>23</v>
      </c>
      <c r="P3153" s="32">
        <v>13570</v>
      </c>
      <c r="R3153" s="32">
        <v>4020</v>
      </c>
      <c r="T3153" s="32">
        <v>9550</v>
      </c>
    </row>
    <row r="3154" spans="2:20" ht="12.75" hidden="1" x14ac:dyDescent="0.25">
      <c r="B3154" s="32">
        <v>25</v>
      </c>
      <c r="F3154" s="32" t="s">
        <v>151</v>
      </c>
      <c r="J3154" s="32">
        <v>26</v>
      </c>
      <c r="P3154" s="32">
        <v>5980</v>
      </c>
      <c r="R3154" s="32">
        <v>1830</v>
      </c>
      <c r="T3154" s="32">
        <v>4150</v>
      </c>
    </row>
    <row r="3155" spans="2:20" ht="12.75" hidden="1" x14ac:dyDescent="0.25">
      <c r="B3155" s="32">
        <v>26</v>
      </c>
      <c r="F3155" s="32" t="s">
        <v>150</v>
      </c>
      <c r="J3155" s="32">
        <v>24</v>
      </c>
      <c r="P3155" s="32">
        <v>4080</v>
      </c>
      <c r="R3155" s="32">
        <v>1050</v>
      </c>
      <c r="T3155" s="32">
        <v>3030</v>
      </c>
    </row>
    <row r="3156" spans="2:20" ht="12.75" hidden="1" x14ac:dyDescent="0.25">
      <c r="B3156" s="32">
        <v>27</v>
      </c>
      <c r="F3156" s="32" t="s">
        <v>149</v>
      </c>
      <c r="J3156" s="32">
        <v>1</v>
      </c>
      <c r="P3156" s="32">
        <v>50</v>
      </c>
      <c r="R3156" s="32">
        <v>10</v>
      </c>
      <c r="T3156" s="32">
        <v>40</v>
      </c>
    </row>
    <row r="3157" spans="2:20" ht="12.75" hidden="1" x14ac:dyDescent="0.25">
      <c r="B3157" s="32">
        <v>28</v>
      </c>
      <c r="F3157" s="32" t="s">
        <v>148</v>
      </c>
      <c r="J3157" s="32">
        <v>1</v>
      </c>
      <c r="P3157" s="32">
        <v>980</v>
      </c>
      <c r="R3157" s="32">
        <v>0</v>
      </c>
      <c r="T3157" s="32">
        <v>980</v>
      </c>
    </row>
    <row r="3158" spans="2:20" ht="12.75" hidden="1" x14ac:dyDescent="0.25">
      <c r="B3158" s="32">
        <v>29</v>
      </c>
      <c r="F3158" s="32" t="s">
        <v>146</v>
      </c>
      <c r="J3158" s="32">
        <v>1</v>
      </c>
      <c r="P3158" s="32">
        <v>50</v>
      </c>
      <c r="R3158" s="32">
        <v>0</v>
      </c>
      <c r="T3158" s="32">
        <v>50</v>
      </c>
    </row>
    <row r="3159" spans="2:20" ht="12.75" hidden="1" x14ac:dyDescent="0.25">
      <c r="B3159" s="32">
        <v>30</v>
      </c>
      <c r="F3159" s="32" t="s">
        <v>288</v>
      </c>
      <c r="J3159" s="32">
        <v>1</v>
      </c>
      <c r="P3159" s="32">
        <v>800</v>
      </c>
      <c r="R3159" s="32">
        <v>450</v>
      </c>
      <c r="T3159" s="32">
        <v>350</v>
      </c>
    </row>
    <row r="3160" spans="2:20" ht="12.75" hidden="1" x14ac:dyDescent="0.25">
      <c r="B3160" s="32">
        <v>31</v>
      </c>
      <c r="F3160" s="32" t="s">
        <v>234</v>
      </c>
      <c r="J3160" s="32">
        <v>1</v>
      </c>
      <c r="P3160" s="32">
        <v>800</v>
      </c>
      <c r="R3160" s="32">
        <v>450</v>
      </c>
      <c r="T3160" s="32">
        <v>350</v>
      </c>
    </row>
    <row r="3161" spans="2:20" ht="12.75" hidden="1" x14ac:dyDescent="0.25">
      <c r="B3161" s="32">
        <v>32</v>
      </c>
      <c r="F3161" s="32" t="s">
        <v>232</v>
      </c>
      <c r="J3161" s="32">
        <v>1</v>
      </c>
      <c r="P3161" s="32">
        <v>980</v>
      </c>
      <c r="R3161" s="32">
        <v>150</v>
      </c>
      <c r="T3161" s="32">
        <v>830</v>
      </c>
    </row>
    <row r="3162" spans="2:20" ht="12.75" hidden="1" x14ac:dyDescent="0.25">
      <c r="B3162" s="32">
        <v>33</v>
      </c>
      <c r="F3162" s="32" t="s">
        <v>193</v>
      </c>
      <c r="J3162" s="32">
        <v>1</v>
      </c>
      <c r="P3162" s="32">
        <v>890</v>
      </c>
      <c r="R3162" s="32">
        <v>130</v>
      </c>
      <c r="T3162" s="32">
        <v>760</v>
      </c>
    </row>
    <row r="3163" spans="2:20" ht="12.75" hidden="1" x14ac:dyDescent="0.25">
      <c r="B3163" s="32">
        <v>34</v>
      </c>
      <c r="F3163" s="32" t="s">
        <v>142</v>
      </c>
      <c r="J3163" s="32">
        <v>2</v>
      </c>
      <c r="P3163" s="32">
        <v>700</v>
      </c>
      <c r="R3163" s="32">
        <v>300</v>
      </c>
      <c r="T3163" s="32">
        <v>400</v>
      </c>
    </row>
    <row r="3164" spans="2:20" ht="12.75" hidden="1" x14ac:dyDescent="0.25">
      <c r="B3164" s="32">
        <v>35</v>
      </c>
      <c r="F3164" s="32" t="s">
        <v>75</v>
      </c>
      <c r="J3164" s="32">
        <v>1725</v>
      </c>
      <c r="P3164" s="32">
        <v>4312500</v>
      </c>
      <c r="R3164" s="32">
        <v>4312500</v>
      </c>
      <c r="T3164" s="32">
        <v>0</v>
      </c>
    </row>
    <row r="3165" spans="2:20" ht="12.75" hidden="1" x14ac:dyDescent="0.25">
      <c r="B3165" s="32">
        <v>36</v>
      </c>
      <c r="F3165" s="32" t="s">
        <v>139</v>
      </c>
      <c r="J3165" s="32">
        <v>4</v>
      </c>
      <c r="P3165" s="32">
        <v>1080</v>
      </c>
      <c r="R3165" s="32">
        <v>320</v>
      </c>
      <c r="T3165" s="32">
        <v>760</v>
      </c>
    </row>
    <row r="3166" spans="2:20" ht="12.75" hidden="1" x14ac:dyDescent="0.25">
      <c r="B3166" s="32">
        <v>37</v>
      </c>
      <c r="F3166" s="32" t="s">
        <v>138</v>
      </c>
      <c r="J3166" s="32">
        <v>1</v>
      </c>
      <c r="P3166" s="32">
        <v>800</v>
      </c>
      <c r="R3166" s="32">
        <v>450</v>
      </c>
      <c r="T3166" s="32">
        <v>350</v>
      </c>
    </row>
    <row r="3167" spans="2:20" ht="12.75" hidden="1" x14ac:dyDescent="0.25">
      <c r="B3167" s="32">
        <v>38</v>
      </c>
      <c r="F3167" s="32" t="s">
        <v>137</v>
      </c>
      <c r="J3167" s="32">
        <v>2</v>
      </c>
      <c r="P3167" s="32">
        <v>1600</v>
      </c>
      <c r="R3167" s="32">
        <v>900</v>
      </c>
      <c r="T3167" s="32">
        <v>700</v>
      </c>
    </row>
    <row r="3168" spans="2:20" ht="12.75" hidden="1" x14ac:dyDescent="0.25">
      <c r="B3168" s="32">
        <v>39</v>
      </c>
      <c r="F3168" s="32" t="s">
        <v>313</v>
      </c>
      <c r="J3168" s="32">
        <v>1</v>
      </c>
      <c r="P3168" s="32">
        <v>800</v>
      </c>
      <c r="R3168" s="32">
        <v>450</v>
      </c>
      <c r="T3168" s="32">
        <v>350</v>
      </c>
    </row>
    <row r="3169" spans="2:20" ht="12.75" hidden="1" x14ac:dyDescent="0.25">
      <c r="B3169" s="32">
        <v>40</v>
      </c>
      <c r="F3169" s="32" t="s">
        <v>136</v>
      </c>
      <c r="J3169" s="32">
        <v>85</v>
      </c>
      <c r="P3169" s="32">
        <v>72250</v>
      </c>
      <c r="R3169" s="32">
        <v>13000</v>
      </c>
      <c r="T3169" s="32">
        <v>59250</v>
      </c>
    </row>
    <row r="3170" spans="2:20" ht="12.75" hidden="1" x14ac:dyDescent="0.25">
      <c r="B3170" s="32">
        <v>41</v>
      </c>
      <c r="F3170" s="32" t="s">
        <v>74</v>
      </c>
      <c r="J3170" s="32">
        <v>94</v>
      </c>
      <c r="P3170" s="32">
        <v>79900</v>
      </c>
      <c r="R3170" s="32">
        <v>79900</v>
      </c>
      <c r="T3170" s="32">
        <v>0</v>
      </c>
    </row>
    <row r="3171" spans="2:20" ht="12.75" hidden="1" x14ac:dyDescent="0.25">
      <c r="B3171" s="32">
        <v>42</v>
      </c>
      <c r="F3171" s="32" t="s">
        <v>352</v>
      </c>
      <c r="J3171" s="32">
        <v>1</v>
      </c>
      <c r="P3171" s="32">
        <v>800</v>
      </c>
      <c r="R3171" s="32">
        <v>450</v>
      </c>
      <c r="T3171" s="32">
        <v>350</v>
      </c>
    </row>
    <row r="3172" spans="2:20" ht="12.75" hidden="1" x14ac:dyDescent="0.25">
      <c r="B3172" s="32">
        <v>43</v>
      </c>
      <c r="F3172" s="32" t="s">
        <v>351</v>
      </c>
      <c r="J3172" s="32">
        <v>1</v>
      </c>
      <c r="P3172" s="32">
        <v>800</v>
      </c>
      <c r="R3172" s="32">
        <v>450</v>
      </c>
      <c r="T3172" s="32">
        <v>350</v>
      </c>
    </row>
    <row r="3173" spans="2:20" ht="12.75" hidden="1" x14ac:dyDescent="0.25">
      <c r="B3173" s="32">
        <v>44</v>
      </c>
      <c r="F3173" s="32" t="s">
        <v>190</v>
      </c>
      <c r="J3173" s="32">
        <v>9</v>
      </c>
      <c r="P3173" s="32">
        <v>14130</v>
      </c>
      <c r="R3173" s="32">
        <v>2160</v>
      </c>
      <c r="T3173" s="32">
        <v>11970</v>
      </c>
    </row>
    <row r="3174" spans="2:20" ht="12.75" hidden="1" x14ac:dyDescent="0.25">
      <c r="B3174" s="32">
        <v>45</v>
      </c>
      <c r="F3174" s="32" t="s">
        <v>135</v>
      </c>
      <c r="J3174" s="32">
        <v>8</v>
      </c>
      <c r="P3174" s="32">
        <v>7600</v>
      </c>
      <c r="R3174" s="32">
        <v>2240</v>
      </c>
      <c r="T3174" s="32">
        <v>5360</v>
      </c>
    </row>
    <row r="3175" spans="2:20" ht="12.75" hidden="1" x14ac:dyDescent="0.25">
      <c r="B3175" s="32">
        <v>46</v>
      </c>
      <c r="F3175" s="32" t="s">
        <v>132</v>
      </c>
      <c r="J3175" s="32">
        <v>3</v>
      </c>
      <c r="P3175" s="32">
        <v>3720</v>
      </c>
      <c r="R3175" s="32">
        <v>1110</v>
      </c>
      <c r="T3175" s="32">
        <v>2610</v>
      </c>
    </row>
    <row r="3176" spans="2:20" ht="12.75" hidden="1" x14ac:dyDescent="0.25">
      <c r="B3176" s="32">
        <v>47</v>
      </c>
      <c r="F3176" s="32" t="s">
        <v>131</v>
      </c>
      <c r="J3176" s="32">
        <v>2</v>
      </c>
      <c r="P3176" s="32">
        <v>7400</v>
      </c>
      <c r="R3176" s="32">
        <v>1600</v>
      </c>
      <c r="T3176" s="32">
        <v>5800</v>
      </c>
    </row>
    <row r="3177" spans="2:20" ht="12.75" hidden="1" x14ac:dyDescent="0.25">
      <c r="B3177" s="32">
        <v>48</v>
      </c>
      <c r="F3177" s="32" t="s">
        <v>130</v>
      </c>
      <c r="J3177" s="32">
        <v>1</v>
      </c>
      <c r="P3177" s="32">
        <v>8000</v>
      </c>
      <c r="R3177" s="32">
        <v>4100</v>
      </c>
      <c r="T3177" s="32">
        <v>3900</v>
      </c>
    </row>
    <row r="3178" spans="2:20" ht="12.75" hidden="1" x14ac:dyDescent="0.25">
      <c r="B3178" s="32">
        <v>49</v>
      </c>
      <c r="F3178" s="32" t="s">
        <v>127</v>
      </c>
      <c r="J3178" s="32">
        <v>32</v>
      </c>
      <c r="P3178" s="32">
        <v>9600</v>
      </c>
      <c r="R3178" s="32">
        <v>3323</v>
      </c>
      <c r="T3178" s="32">
        <v>6277</v>
      </c>
    </row>
    <row r="3179" spans="2:20" ht="12.75" hidden="1" x14ac:dyDescent="0.25">
      <c r="B3179" s="32">
        <v>50</v>
      </c>
      <c r="F3179" s="32" t="s">
        <v>126</v>
      </c>
      <c r="J3179" s="32">
        <v>25</v>
      </c>
      <c r="P3179" s="32">
        <v>5000</v>
      </c>
      <c r="R3179" s="32">
        <v>1791</v>
      </c>
      <c r="T3179" s="32">
        <v>3209</v>
      </c>
    </row>
    <row r="3180" spans="2:20" ht="12.75" hidden="1" x14ac:dyDescent="0.25">
      <c r="B3180" s="32">
        <v>51</v>
      </c>
      <c r="F3180" s="32" t="s">
        <v>125</v>
      </c>
      <c r="J3180" s="32">
        <v>9</v>
      </c>
      <c r="P3180" s="32">
        <v>3600</v>
      </c>
      <c r="R3180" s="32">
        <v>840</v>
      </c>
      <c r="T3180" s="32">
        <v>2760</v>
      </c>
    </row>
    <row r="3181" spans="2:20" ht="12.75" hidden="1" x14ac:dyDescent="0.25">
      <c r="B3181" s="32">
        <v>52</v>
      </c>
      <c r="F3181" s="32" t="s">
        <v>124</v>
      </c>
      <c r="J3181" s="32">
        <v>3</v>
      </c>
      <c r="P3181" s="32">
        <v>1580</v>
      </c>
      <c r="R3181" s="32">
        <v>470</v>
      </c>
      <c r="T3181" s="32">
        <v>1110</v>
      </c>
    </row>
    <row r="3182" spans="2:20" ht="12.75" hidden="1" x14ac:dyDescent="0.25">
      <c r="B3182" s="32">
        <v>53</v>
      </c>
      <c r="F3182" s="32" t="s">
        <v>123</v>
      </c>
      <c r="J3182" s="32">
        <v>2</v>
      </c>
      <c r="P3182" s="32">
        <v>1560</v>
      </c>
      <c r="R3182" s="32">
        <v>460</v>
      </c>
      <c r="T3182" s="32">
        <v>1100</v>
      </c>
    </row>
    <row r="3183" spans="2:20" ht="12.75" hidden="1" x14ac:dyDescent="0.25">
      <c r="B3183" s="32">
        <v>54</v>
      </c>
      <c r="F3183" s="32" t="s">
        <v>227</v>
      </c>
      <c r="J3183" s="32">
        <v>2</v>
      </c>
      <c r="P3183" s="32">
        <v>1000</v>
      </c>
      <c r="R3183" s="32">
        <v>171</v>
      </c>
      <c r="T3183" s="32">
        <v>829</v>
      </c>
    </row>
    <row r="3184" spans="2:20" ht="12.75" hidden="1" x14ac:dyDescent="0.25">
      <c r="B3184" s="32">
        <v>55</v>
      </c>
      <c r="F3184" s="32" t="s">
        <v>122</v>
      </c>
      <c r="J3184" s="32">
        <v>2</v>
      </c>
      <c r="P3184" s="32">
        <v>1000</v>
      </c>
      <c r="R3184" s="32">
        <v>300</v>
      </c>
      <c r="T3184" s="32">
        <v>700</v>
      </c>
    </row>
    <row r="3185" spans="2:20" ht="12.75" hidden="1" x14ac:dyDescent="0.25">
      <c r="B3185" s="32">
        <v>56</v>
      </c>
      <c r="F3185" s="32" t="s">
        <v>121</v>
      </c>
      <c r="J3185" s="32">
        <v>2</v>
      </c>
      <c r="P3185" s="32">
        <v>1000</v>
      </c>
      <c r="R3185" s="32">
        <v>300</v>
      </c>
      <c r="T3185" s="32">
        <v>700</v>
      </c>
    </row>
    <row r="3186" spans="2:20" ht="12.75" hidden="1" x14ac:dyDescent="0.25">
      <c r="B3186" s="32">
        <v>57</v>
      </c>
      <c r="F3186" s="32" t="s">
        <v>226</v>
      </c>
      <c r="J3186" s="32">
        <v>1</v>
      </c>
      <c r="P3186" s="32">
        <v>500</v>
      </c>
      <c r="R3186" s="32">
        <v>150</v>
      </c>
      <c r="T3186" s="32">
        <v>350</v>
      </c>
    </row>
    <row r="3187" spans="2:20" ht="12.75" hidden="1" x14ac:dyDescent="0.25">
      <c r="B3187" s="32">
        <v>58</v>
      </c>
      <c r="F3187" s="32" t="s">
        <v>119</v>
      </c>
      <c r="J3187" s="32">
        <v>30</v>
      </c>
      <c r="P3187" s="32">
        <v>26700</v>
      </c>
      <c r="R3187" s="32">
        <v>7980</v>
      </c>
      <c r="T3187" s="32">
        <v>18720</v>
      </c>
    </row>
    <row r="3188" spans="2:20" ht="12.75" hidden="1" x14ac:dyDescent="0.25">
      <c r="B3188" s="32">
        <v>59</v>
      </c>
      <c r="F3188" s="32" t="s">
        <v>118</v>
      </c>
      <c r="J3188" s="32">
        <v>140</v>
      </c>
      <c r="P3188" s="32">
        <v>138600</v>
      </c>
      <c r="R3188" s="32">
        <v>43190</v>
      </c>
      <c r="T3188" s="32">
        <v>95410</v>
      </c>
    </row>
    <row r="3189" spans="2:20" ht="12.75" hidden="1" x14ac:dyDescent="0.25">
      <c r="B3189" s="32">
        <v>60</v>
      </c>
      <c r="F3189" s="32" t="s">
        <v>117</v>
      </c>
      <c r="J3189" s="32">
        <v>6</v>
      </c>
      <c r="P3189" s="32">
        <v>4800</v>
      </c>
      <c r="R3189" s="32">
        <v>1200</v>
      </c>
      <c r="T3189" s="32">
        <v>3600</v>
      </c>
    </row>
    <row r="3190" spans="2:20" ht="12.75" hidden="1" x14ac:dyDescent="0.25">
      <c r="B3190" s="32">
        <v>61</v>
      </c>
      <c r="F3190" s="32" t="s">
        <v>115</v>
      </c>
      <c r="J3190" s="32">
        <v>15</v>
      </c>
      <c r="P3190" s="32">
        <v>4350</v>
      </c>
      <c r="R3190" s="32">
        <v>1280</v>
      </c>
      <c r="T3190" s="32">
        <v>3070</v>
      </c>
    </row>
    <row r="3191" spans="2:20" ht="12.75" hidden="1" x14ac:dyDescent="0.25">
      <c r="B3191" s="32">
        <v>62</v>
      </c>
      <c r="F3191" s="32" t="s">
        <v>279</v>
      </c>
      <c r="J3191" s="32">
        <v>1</v>
      </c>
      <c r="P3191" s="32">
        <v>500</v>
      </c>
      <c r="R3191" s="32">
        <v>150</v>
      </c>
      <c r="T3191" s="32">
        <v>350</v>
      </c>
    </row>
    <row r="3192" spans="2:20" ht="12.75" hidden="1" x14ac:dyDescent="0.25">
      <c r="B3192" s="32">
        <v>63</v>
      </c>
      <c r="F3192" s="32" t="s">
        <v>370</v>
      </c>
      <c r="J3192" s="32">
        <v>1</v>
      </c>
      <c r="P3192" s="32">
        <v>90</v>
      </c>
      <c r="R3192" s="32">
        <v>0</v>
      </c>
      <c r="T3192" s="32">
        <v>90</v>
      </c>
    </row>
    <row r="3193" spans="2:20" ht="12.75" hidden="1" x14ac:dyDescent="0.25">
      <c r="B3193" s="32">
        <v>64</v>
      </c>
      <c r="F3193" s="32" t="s">
        <v>219</v>
      </c>
      <c r="J3193" s="32">
        <v>2</v>
      </c>
      <c r="P3193" s="32">
        <v>1000</v>
      </c>
      <c r="R3193" s="32">
        <v>150</v>
      </c>
      <c r="T3193" s="32">
        <v>850</v>
      </c>
    </row>
    <row r="3194" spans="2:20" ht="12.75" hidden="1" x14ac:dyDescent="0.25">
      <c r="B3194" s="32">
        <v>65</v>
      </c>
      <c r="F3194" s="32" t="s">
        <v>111</v>
      </c>
      <c r="J3194" s="32">
        <v>1</v>
      </c>
      <c r="P3194" s="32">
        <v>430</v>
      </c>
      <c r="R3194" s="32">
        <v>130</v>
      </c>
      <c r="T3194" s="32">
        <v>300</v>
      </c>
    </row>
    <row r="3195" spans="2:20" ht="12.75" hidden="1" x14ac:dyDescent="0.25">
      <c r="B3195" s="32">
        <v>66</v>
      </c>
      <c r="F3195" s="32" t="s">
        <v>108</v>
      </c>
      <c r="J3195" s="32">
        <v>359</v>
      </c>
      <c r="P3195" s="32">
        <v>35900</v>
      </c>
      <c r="R3195" s="32">
        <v>150</v>
      </c>
      <c r="T3195" s="32">
        <v>35750</v>
      </c>
    </row>
    <row r="3196" spans="2:20" ht="12.75" hidden="1" x14ac:dyDescent="0.25">
      <c r="B3196" s="32">
        <v>67</v>
      </c>
      <c r="F3196" s="32" t="s">
        <v>107</v>
      </c>
      <c r="J3196" s="32">
        <v>58</v>
      </c>
      <c r="P3196" s="32">
        <v>9860</v>
      </c>
      <c r="R3196" s="32">
        <v>3102</v>
      </c>
      <c r="T3196" s="32">
        <v>6758</v>
      </c>
    </row>
    <row r="3197" spans="2:20" ht="12.75" hidden="1" x14ac:dyDescent="0.25">
      <c r="B3197" s="32">
        <v>68</v>
      </c>
      <c r="F3197" s="32" t="s">
        <v>106</v>
      </c>
      <c r="J3197" s="32">
        <v>389</v>
      </c>
      <c r="P3197" s="32">
        <v>38900</v>
      </c>
      <c r="R3197" s="32">
        <v>11580</v>
      </c>
      <c r="T3197" s="32">
        <v>27320</v>
      </c>
    </row>
    <row r="3198" spans="2:20" ht="12.75" hidden="1" x14ac:dyDescent="0.25">
      <c r="B3198" s="32">
        <v>69</v>
      </c>
      <c r="F3198" s="32" t="s">
        <v>255</v>
      </c>
      <c r="J3198" s="32">
        <v>1</v>
      </c>
      <c r="P3198" s="32">
        <v>950</v>
      </c>
      <c r="R3198" s="32">
        <v>140</v>
      </c>
      <c r="T3198" s="32">
        <v>810</v>
      </c>
    </row>
    <row r="3199" spans="2:20" ht="12.75" hidden="1" x14ac:dyDescent="0.25">
      <c r="B3199" s="32">
        <v>70</v>
      </c>
      <c r="F3199" s="32" t="s">
        <v>216</v>
      </c>
      <c r="J3199" s="32">
        <v>1</v>
      </c>
      <c r="P3199" s="32">
        <v>1080</v>
      </c>
      <c r="R3199" s="32">
        <v>165</v>
      </c>
      <c r="T3199" s="32">
        <v>915</v>
      </c>
    </row>
    <row r="3200" spans="2:20" ht="12.75" hidden="1" x14ac:dyDescent="0.25">
      <c r="B3200" s="32">
        <v>71</v>
      </c>
      <c r="F3200" s="32" t="s">
        <v>105</v>
      </c>
      <c r="J3200" s="32">
        <v>8</v>
      </c>
      <c r="P3200" s="32">
        <v>9200</v>
      </c>
      <c r="R3200" s="32">
        <v>0</v>
      </c>
      <c r="T3200" s="32">
        <v>9200</v>
      </c>
    </row>
    <row r="3201" spans="2:20" ht="12.75" hidden="1" x14ac:dyDescent="0.25">
      <c r="B3201" s="32">
        <v>72</v>
      </c>
      <c r="F3201" s="32" t="s">
        <v>369</v>
      </c>
      <c r="J3201" s="32">
        <v>1</v>
      </c>
      <c r="P3201" s="32">
        <v>1150</v>
      </c>
      <c r="R3201" s="32">
        <v>0</v>
      </c>
      <c r="T3201" s="32">
        <v>1150</v>
      </c>
    </row>
    <row r="3202" spans="2:20" ht="12.75" hidden="1" x14ac:dyDescent="0.25">
      <c r="B3202" s="32">
        <v>73</v>
      </c>
      <c r="F3202" s="32" t="s">
        <v>103</v>
      </c>
      <c r="J3202" s="32">
        <v>11</v>
      </c>
      <c r="P3202" s="32">
        <v>3630</v>
      </c>
      <c r="R3202" s="32">
        <v>1180</v>
      </c>
      <c r="T3202" s="32">
        <v>2450</v>
      </c>
    </row>
    <row r="3203" spans="2:20" ht="12.75" hidden="1" x14ac:dyDescent="0.25">
      <c r="B3203" s="32">
        <v>74</v>
      </c>
      <c r="F3203" s="32" t="s">
        <v>213</v>
      </c>
      <c r="J3203" s="32">
        <v>1</v>
      </c>
      <c r="P3203" s="32">
        <v>700</v>
      </c>
      <c r="R3203" s="32">
        <v>350</v>
      </c>
      <c r="T3203" s="32">
        <v>350</v>
      </c>
    </row>
    <row r="3204" spans="2:20" ht="12.75" hidden="1" x14ac:dyDescent="0.25">
      <c r="B3204" s="32">
        <v>75</v>
      </c>
      <c r="F3204" s="32" t="s">
        <v>211</v>
      </c>
      <c r="J3204" s="32">
        <v>1</v>
      </c>
      <c r="P3204" s="32">
        <v>500</v>
      </c>
      <c r="R3204" s="32">
        <v>150</v>
      </c>
      <c r="T3204" s="32">
        <v>350</v>
      </c>
    </row>
    <row r="3205" spans="2:20" ht="12.75" hidden="1" x14ac:dyDescent="0.25">
      <c r="B3205" s="32">
        <v>76</v>
      </c>
      <c r="F3205" s="32" t="s">
        <v>102</v>
      </c>
      <c r="J3205" s="32">
        <v>16</v>
      </c>
      <c r="P3205" s="32">
        <v>14080</v>
      </c>
      <c r="R3205" s="32">
        <v>1980</v>
      </c>
      <c r="T3205" s="32">
        <v>12100</v>
      </c>
    </row>
    <row r="3206" spans="2:20" ht="12.75" hidden="1" x14ac:dyDescent="0.25">
      <c r="B3206" s="32">
        <v>77</v>
      </c>
      <c r="F3206" s="32" t="s">
        <v>101</v>
      </c>
      <c r="J3206" s="32">
        <v>2</v>
      </c>
      <c r="P3206" s="32">
        <v>920</v>
      </c>
      <c r="R3206" s="32">
        <v>280</v>
      </c>
      <c r="T3206" s="32">
        <v>640</v>
      </c>
    </row>
    <row r="3207" spans="2:20" ht="12.75" hidden="1" x14ac:dyDescent="0.25">
      <c r="B3207" s="32">
        <v>78</v>
      </c>
      <c r="F3207" s="32" t="s">
        <v>254</v>
      </c>
      <c r="J3207" s="32">
        <v>1</v>
      </c>
      <c r="P3207" s="32">
        <v>290</v>
      </c>
      <c r="R3207" s="32">
        <v>80</v>
      </c>
      <c r="T3207" s="32">
        <v>210</v>
      </c>
    </row>
    <row r="3208" spans="2:20" ht="12.75" hidden="1" x14ac:dyDescent="0.25">
      <c r="B3208" s="32">
        <v>79</v>
      </c>
      <c r="F3208" s="32" t="s">
        <v>100</v>
      </c>
      <c r="J3208" s="32">
        <v>4</v>
      </c>
      <c r="P3208" s="32">
        <v>720</v>
      </c>
      <c r="R3208" s="32">
        <v>200</v>
      </c>
      <c r="T3208" s="32">
        <v>520</v>
      </c>
    </row>
    <row r="3209" spans="2:20" ht="12.75" hidden="1" x14ac:dyDescent="0.25">
      <c r="B3209" s="32">
        <v>80</v>
      </c>
      <c r="F3209" s="32" t="s">
        <v>178</v>
      </c>
      <c r="J3209" s="32">
        <v>2</v>
      </c>
      <c r="P3209" s="32">
        <v>3300</v>
      </c>
      <c r="R3209" s="32">
        <v>0</v>
      </c>
      <c r="T3209" s="32">
        <v>3300</v>
      </c>
    </row>
    <row r="3210" spans="2:20" ht="12.75" hidden="1" x14ac:dyDescent="0.25">
      <c r="B3210" s="32">
        <v>81</v>
      </c>
      <c r="F3210" s="32" t="s">
        <v>99</v>
      </c>
      <c r="J3210" s="32">
        <v>1</v>
      </c>
      <c r="P3210" s="32">
        <v>590</v>
      </c>
      <c r="R3210" s="32">
        <v>90</v>
      </c>
      <c r="T3210" s="32">
        <v>500</v>
      </c>
    </row>
    <row r="3211" spans="2:20" ht="12.75" hidden="1" x14ac:dyDescent="0.25">
      <c r="B3211" s="32">
        <v>82</v>
      </c>
      <c r="F3211" s="32" t="s">
        <v>98</v>
      </c>
      <c r="J3211" s="32">
        <v>1</v>
      </c>
      <c r="P3211" s="32">
        <v>570</v>
      </c>
      <c r="R3211" s="32">
        <v>80</v>
      </c>
      <c r="T3211" s="32">
        <v>490</v>
      </c>
    </row>
    <row r="3212" spans="2:20" ht="12.75" hidden="1" x14ac:dyDescent="0.25">
      <c r="B3212" s="32">
        <v>83</v>
      </c>
      <c r="F3212" s="32" t="s">
        <v>97</v>
      </c>
      <c r="J3212" s="32">
        <v>6</v>
      </c>
      <c r="P3212" s="32">
        <v>9540</v>
      </c>
      <c r="R3212" s="32">
        <v>1440</v>
      </c>
      <c r="T3212" s="32">
        <v>8100</v>
      </c>
    </row>
    <row r="3213" spans="2:20" ht="12.75" hidden="1" x14ac:dyDescent="0.25">
      <c r="B3213" s="32">
        <v>84</v>
      </c>
      <c r="F3213" s="32" t="s">
        <v>93</v>
      </c>
      <c r="J3213" s="32">
        <v>7</v>
      </c>
      <c r="P3213" s="32">
        <v>4130</v>
      </c>
      <c r="R3213" s="32">
        <v>630</v>
      </c>
      <c r="T3213" s="32">
        <v>3500</v>
      </c>
    </row>
    <row r="3214" spans="2:20" ht="12.75" hidden="1" x14ac:dyDescent="0.25">
      <c r="B3214" s="32">
        <v>85</v>
      </c>
      <c r="F3214" s="32" t="s">
        <v>92</v>
      </c>
      <c r="J3214" s="32">
        <v>18</v>
      </c>
      <c r="P3214" s="32">
        <v>13320</v>
      </c>
      <c r="R3214" s="32">
        <v>3960</v>
      </c>
      <c r="T3214" s="32">
        <v>9360</v>
      </c>
    </row>
    <row r="3215" spans="2:20" ht="12.75" hidden="1" x14ac:dyDescent="0.25">
      <c r="B3215" s="32">
        <v>86</v>
      </c>
      <c r="F3215" s="32" t="s">
        <v>91</v>
      </c>
      <c r="J3215" s="32">
        <v>53</v>
      </c>
      <c r="P3215" s="32">
        <v>13250</v>
      </c>
      <c r="R3215" s="32">
        <v>3600</v>
      </c>
      <c r="T3215" s="32">
        <v>9650</v>
      </c>
    </row>
    <row r="3216" spans="2:20" ht="12.75" hidden="1" x14ac:dyDescent="0.25">
      <c r="B3216" s="32">
        <v>87</v>
      </c>
      <c r="F3216" s="32" t="s">
        <v>90</v>
      </c>
      <c r="J3216" s="32">
        <v>17</v>
      </c>
      <c r="P3216" s="32">
        <v>4930</v>
      </c>
      <c r="R3216" s="32">
        <v>1280</v>
      </c>
      <c r="T3216" s="32">
        <v>3650</v>
      </c>
    </row>
    <row r="3217" spans="1:20" ht="12.75" hidden="1" x14ac:dyDescent="0.25">
      <c r="B3217" s="32">
        <v>88</v>
      </c>
      <c r="F3217" s="32" t="s">
        <v>89</v>
      </c>
      <c r="J3217" s="32">
        <v>1</v>
      </c>
      <c r="P3217" s="32">
        <v>880</v>
      </c>
      <c r="R3217" s="32">
        <v>130</v>
      </c>
      <c r="T3217" s="32">
        <v>750</v>
      </c>
    </row>
    <row r="3218" spans="1:20" ht="12.75" hidden="1" x14ac:dyDescent="0.25">
      <c r="B3218" s="32">
        <v>89</v>
      </c>
      <c r="F3218" s="32" t="s">
        <v>88</v>
      </c>
      <c r="J3218" s="32">
        <v>86</v>
      </c>
      <c r="P3218" s="32">
        <v>15480</v>
      </c>
      <c r="R3218" s="32">
        <v>4683</v>
      </c>
      <c r="T3218" s="32">
        <v>10797</v>
      </c>
    </row>
    <row r="3219" spans="1:20" ht="12.75" hidden="1" x14ac:dyDescent="0.25">
      <c r="B3219" s="32">
        <v>90</v>
      </c>
      <c r="F3219" s="32" t="s">
        <v>86</v>
      </c>
      <c r="J3219" s="32">
        <v>1</v>
      </c>
      <c r="P3219" s="32">
        <v>1140</v>
      </c>
      <c r="R3219" s="32">
        <v>170</v>
      </c>
      <c r="T3219" s="32">
        <v>970</v>
      </c>
    </row>
    <row r="3220" spans="1:20" ht="12.75" hidden="1" x14ac:dyDescent="0.25">
      <c r="B3220" s="32">
        <v>91</v>
      </c>
      <c r="F3220" s="32" t="s">
        <v>85</v>
      </c>
      <c r="J3220" s="32">
        <v>35</v>
      </c>
      <c r="P3220" s="32">
        <v>72800</v>
      </c>
      <c r="R3220" s="32">
        <v>10850</v>
      </c>
      <c r="T3220" s="32">
        <v>61950</v>
      </c>
    </row>
    <row r="3221" spans="1:20" ht="12.75" hidden="1" x14ac:dyDescent="0.25">
      <c r="B3221" s="32">
        <v>92</v>
      </c>
      <c r="F3221" s="32" t="s">
        <v>84</v>
      </c>
      <c r="J3221" s="32">
        <v>10</v>
      </c>
      <c r="P3221" s="32">
        <v>5900</v>
      </c>
      <c r="R3221" s="32">
        <v>1260</v>
      </c>
      <c r="T3221" s="32">
        <v>4640</v>
      </c>
    </row>
    <row r="3222" spans="1:20" ht="12.75" hidden="1" x14ac:dyDescent="0.25">
      <c r="B3222" s="32">
        <v>93</v>
      </c>
      <c r="F3222" s="32" t="s">
        <v>331</v>
      </c>
      <c r="J3222" s="32">
        <v>1</v>
      </c>
      <c r="P3222" s="32">
        <v>500</v>
      </c>
      <c r="R3222" s="32">
        <v>150</v>
      </c>
      <c r="T3222" s="32">
        <v>350</v>
      </c>
    </row>
    <row r="3223" spans="1:20" ht="12.75" hidden="1" x14ac:dyDescent="0.25">
      <c r="B3223" s="32">
        <v>94</v>
      </c>
      <c r="F3223" s="32" t="s">
        <v>208</v>
      </c>
      <c r="J3223" s="32">
        <v>1</v>
      </c>
      <c r="P3223" s="32">
        <v>500</v>
      </c>
      <c r="R3223" s="32">
        <v>150</v>
      </c>
      <c r="T3223" s="32">
        <v>350</v>
      </c>
    </row>
    <row r="3224" spans="1:20" ht="12.75" hidden="1" x14ac:dyDescent="0.25">
      <c r="B3224" s="32">
        <v>95</v>
      </c>
      <c r="F3224" s="32" t="s">
        <v>205</v>
      </c>
      <c r="J3224" s="32">
        <v>1</v>
      </c>
      <c r="P3224" s="32">
        <v>500</v>
      </c>
      <c r="R3224" s="32">
        <v>150</v>
      </c>
      <c r="T3224" s="32">
        <v>350</v>
      </c>
    </row>
    <row r="3225" spans="1:20" ht="12.75" hidden="1" x14ac:dyDescent="0.25">
      <c r="B3225" s="32">
        <v>96</v>
      </c>
      <c r="F3225" s="32" t="s">
        <v>271</v>
      </c>
      <c r="J3225" s="32">
        <v>1</v>
      </c>
      <c r="P3225" s="32">
        <v>500</v>
      </c>
      <c r="R3225" s="32">
        <v>150</v>
      </c>
      <c r="T3225" s="32">
        <v>350</v>
      </c>
    </row>
    <row r="3226" spans="1:20" ht="12.75" hidden="1" x14ac:dyDescent="0.25">
      <c r="B3226" s="32">
        <v>97</v>
      </c>
      <c r="F3226" s="32" t="s">
        <v>82</v>
      </c>
      <c r="J3226" s="32">
        <v>6</v>
      </c>
      <c r="P3226" s="32">
        <v>1740</v>
      </c>
      <c r="R3226" s="32">
        <v>1740</v>
      </c>
      <c r="T3226" s="32">
        <v>0</v>
      </c>
    </row>
    <row r="3227" spans="1:20" ht="12.75" hidden="1" x14ac:dyDescent="0.25">
      <c r="B3227" s="32">
        <v>98</v>
      </c>
      <c r="F3227" s="32" t="s">
        <v>81</v>
      </c>
      <c r="J3227" s="32">
        <v>35</v>
      </c>
      <c r="P3227" s="32">
        <v>10150</v>
      </c>
      <c r="R3227" s="32">
        <v>3010</v>
      </c>
      <c r="T3227" s="32">
        <v>7140</v>
      </c>
    </row>
    <row r="3228" spans="1:20" ht="12.75" hidden="1" x14ac:dyDescent="0.25">
      <c r="A3228" s="32" t="s">
        <v>368</v>
      </c>
      <c r="K3228" s="32">
        <v>6491</v>
      </c>
      <c r="P3228" s="32">
        <v>6272070</v>
      </c>
      <c r="R3228" s="32">
        <v>5498985</v>
      </c>
      <c r="T3228" s="32">
        <v>773085</v>
      </c>
    </row>
    <row r="3229" spans="1:20" ht="12.75" hidden="1" x14ac:dyDescent="0.25">
      <c r="B3229" s="32">
        <v>1</v>
      </c>
      <c r="F3229" s="32" t="s">
        <v>200</v>
      </c>
      <c r="J3229" s="32">
        <v>3</v>
      </c>
      <c r="P3229" s="32">
        <v>1500</v>
      </c>
      <c r="R3229" s="32">
        <v>450</v>
      </c>
      <c r="T3229" s="32">
        <v>1050</v>
      </c>
    </row>
    <row r="3230" spans="1:20" ht="12.75" hidden="1" x14ac:dyDescent="0.25">
      <c r="B3230" s="32">
        <v>2</v>
      </c>
      <c r="F3230" s="32" t="s">
        <v>250</v>
      </c>
      <c r="J3230" s="32">
        <v>3</v>
      </c>
      <c r="P3230" s="32">
        <v>1500</v>
      </c>
      <c r="R3230" s="32">
        <v>450</v>
      </c>
      <c r="T3230" s="32">
        <v>1050</v>
      </c>
    </row>
    <row r="3231" spans="1:20" ht="12.75" hidden="1" x14ac:dyDescent="0.25">
      <c r="B3231" s="32">
        <v>3</v>
      </c>
      <c r="F3231" s="32" t="s">
        <v>79</v>
      </c>
      <c r="J3231" s="32">
        <v>4</v>
      </c>
      <c r="P3231" s="32">
        <v>2000</v>
      </c>
      <c r="R3231" s="32">
        <v>600</v>
      </c>
      <c r="T3231" s="32">
        <v>1400</v>
      </c>
    </row>
    <row r="3232" spans="1:20" ht="12.75" hidden="1" x14ac:dyDescent="0.25">
      <c r="B3232" s="32">
        <v>4</v>
      </c>
      <c r="F3232" s="32" t="s">
        <v>367</v>
      </c>
      <c r="J3232" s="32">
        <v>1</v>
      </c>
      <c r="P3232" s="32">
        <v>100</v>
      </c>
      <c r="R3232" s="32">
        <v>0</v>
      </c>
      <c r="T3232" s="32">
        <v>100</v>
      </c>
    </row>
    <row r="3233" spans="2:20" ht="12.75" hidden="1" x14ac:dyDescent="0.25">
      <c r="B3233" s="32">
        <v>5</v>
      </c>
      <c r="F3233" s="32" t="s">
        <v>78</v>
      </c>
      <c r="J3233" s="32">
        <v>211</v>
      </c>
      <c r="P3233" s="32">
        <v>61190</v>
      </c>
      <c r="R3233" s="32">
        <v>61190</v>
      </c>
      <c r="T3233" s="32">
        <v>0</v>
      </c>
    </row>
    <row r="3234" spans="2:20" ht="12.75" hidden="1" x14ac:dyDescent="0.25">
      <c r="B3234" s="32">
        <v>6</v>
      </c>
      <c r="F3234" s="32" t="s">
        <v>268</v>
      </c>
      <c r="J3234" s="32">
        <v>1</v>
      </c>
      <c r="P3234" s="32">
        <v>250</v>
      </c>
      <c r="R3234" s="32">
        <v>70</v>
      </c>
      <c r="T3234" s="32">
        <v>180</v>
      </c>
    </row>
    <row r="3235" spans="2:20" ht="12.75" hidden="1" x14ac:dyDescent="0.25">
      <c r="B3235" s="32">
        <v>7</v>
      </c>
      <c r="F3235" s="32" t="s">
        <v>199</v>
      </c>
      <c r="J3235" s="32">
        <v>8</v>
      </c>
      <c r="P3235" s="32">
        <v>2320</v>
      </c>
      <c r="R3235" s="32">
        <v>760</v>
      </c>
      <c r="T3235" s="32">
        <v>1560</v>
      </c>
    </row>
    <row r="3236" spans="2:20" ht="12.75" hidden="1" x14ac:dyDescent="0.25">
      <c r="B3236" s="32">
        <v>8</v>
      </c>
      <c r="F3236" s="32" t="s">
        <v>166</v>
      </c>
      <c r="J3236" s="32">
        <v>1</v>
      </c>
      <c r="P3236" s="32">
        <v>1900</v>
      </c>
      <c r="R3236" s="32">
        <v>280</v>
      </c>
      <c r="T3236" s="32">
        <v>1620</v>
      </c>
    </row>
    <row r="3237" spans="2:20" ht="12.75" hidden="1" x14ac:dyDescent="0.25">
      <c r="B3237" s="32">
        <v>9</v>
      </c>
      <c r="F3237" s="32" t="s">
        <v>294</v>
      </c>
      <c r="J3237" s="32">
        <v>1</v>
      </c>
      <c r="P3237" s="32">
        <v>500</v>
      </c>
      <c r="R3237" s="32">
        <v>150</v>
      </c>
      <c r="T3237" s="32">
        <v>350</v>
      </c>
    </row>
    <row r="3238" spans="2:20" ht="12.75" hidden="1" x14ac:dyDescent="0.25">
      <c r="B3238" s="32">
        <v>10</v>
      </c>
      <c r="F3238" s="32" t="s">
        <v>164</v>
      </c>
      <c r="J3238" s="32">
        <v>2</v>
      </c>
      <c r="P3238" s="32">
        <v>1180</v>
      </c>
      <c r="R3238" s="32">
        <v>360</v>
      </c>
      <c r="T3238" s="32">
        <v>820</v>
      </c>
    </row>
    <row r="3239" spans="2:20" ht="12.75" hidden="1" x14ac:dyDescent="0.25">
      <c r="B3239" s="32">
        <v>11</v>
      </c>
      <c r="F3239" s="32" t="s">
        <v>163</v>
      </c>
      <c r="J3239" s="32">
        <v>4</v>
      </c>
      <c r="P3239" s="32">
        <v>4760</v>
      </c>
      <c r="R3239" s="32">
        <v>720</v>
      </c>
      <c r="T3239" s="32">
        <v>4040</v>
      </c>
    </row>
    <row r="3240" spans="2:20" ht="12.75" hidden="1" x14ac:dyDescent="0.25">
      <c r="B3240" s="32">
        <v>12</v>
      </c>
      <c r="F3240" s="32" t="s">
        <v>162</v>
      </c>
      <c r="J3240" s="32">
        <v>5</v>
      </c>
      <c r="P3240" s="32">
        <v>2150</v>
      </c>
      <c r="R3240" s="32">
        <v>1067</v>
      </c>
      <c r="T3240" s="32">
        <v>1083</v>
      </c>
    </row>
    <row r="3241" spans="2:20" ht="12.75" hidden="1" x14ac:dyDescent="0.25">
      <c r="B3241" s="32">
        <v>13</v>
      </c>
      <c r="F3241" s="32" t="s">
        <v>160</v>
      </c>
      <c r="J3241" s="32">
        <v>16</v>
      </c>
      <c r="P3241" s="32">
        <v>4640</v>
      </c>
      <c r="R3241" s="32">
        <v>1280</v>
      </c>
      <c r="T3241" s="32">
        <v>3360</v>
      </c>
    </row>
    <row r="3242" spans="2:20" ht="12.75" hidden="1" x14ac:dyDescent="0.25">
      <c r="B3242" s="32">
        <v>14</v>
      </c>
      <c r="F3242" s="32" t="s">
        <v>159</v>
      </c>
      <c r="J3242" s="32">
        <v>300</v>
      </c>
      <c r="P3242" s="32">
        <v>0</v>
      </c>
      <c r="R3242" s="32">
        <v>0</v>
      </c>
      <c r="T3242" s="32">
        <v>0</v>
      </c>
    </row>
    <row r="3243" spans="2:20" ht="12.75" hidden="1" x14ac:dyDescent="0.25">
      <c r="B3243" s="32">
        <v>15</v>
      </c>
      <c r="F3243" s="32" t="s">
        <v>158</v>
      </c>
      <c r="J3243" s="32">
        <v>998</v>
      </c>
      <c r="P3243" s="32">
        <v>548900</v>
      </c>
      <c r="R3243" s="32">
        <v>165552</v>
      </c>
      <c r="T3243" s="32">
        <v>383348</v>
      </c>
    </row>
    <row r="3244" spans="2:20" ht="12.75" hidden="1" x14ac:dyDescent="0.25">
      <c r="B3244" s="32">
        <v>16</v>
      </c>
      <c r="F3244" s="32" t="s">
        <v>157</v>
      </c>
      <c r="J3244" s="32">
        <v>219</v>
      </c>
      <c r="P3244" s="32">
        <v>107310</v>
      </c>
      <c r="R3244" s="32">
        <v>46803</v>
      </c>
      <c r="T3244" s="32">
        <v>60507</v>
      </c>
    </row>
    <row r="3245" spans="2:20" ht="12.75" hidden="1" x14ac:dyDescent="0.25">
      <c r="B3245" s="32">
        <v>17</v>
      </c>
      <c r="F3245" s="32" t="s">
        <v>77</v>
      </c>
      <c r="J3245" s="32">
        <v>1688</v>
      </c>
      <c r="P3245" s="32">
        <v>681400</v>
      </c>
      <c r="R3245" s="32">
        <v>681400</v>
      </c>
      <c r="T3245" s="32">
        <v>0</v>
      </c>
    </row>
    <row r="3246" spans="2:20" ht="12.75" hidden="1" x14ac:dyDescent="0.25">
      <c r="B3246" s="32">
        <v>18</v>
      </c>
      <c r="F3246" s="32" t="s">
        <v>76</v>
      </c>
      <c r="J3246" s="32">
        <v>1</v>
      </c>
      <c r="P3246" s="32">
        <v>600</v>
      </c>
      <c r="R3246" s="32">
        <v>600</v>
      </c>
      <c r="T3246" s="32">
        <v>0</v>
      </c>
    </row>
    <row r="3247" spans="2:20" ht="12.75" hidden="1" x14ac:dyDescent="0.25">
      <c r="B3247" s="32">
        <v>19</v>
      </c>
      <c r="F3247" s="32" t="s">
        <v>156</v>
      </c>
      <c r="J3247" s="32">
        <v>4</v>
      </c>
      <c r="P3247" s="32">
        <v>760</v>
      </c>
      <c r="R3247" s="32">
        <v>182</v>
      </c>
      <c r="T3247" s="32">
        <v>578</v>
      </c>
    </row>
    <row r="3248" spans="2:20" ht="12.75" hidden="1" x14ac:dyDescent="0.25">
      <c r="B3248" s="32">
        <v>20</v>
      </c>
      <c r="F3248" s="32" t="s">
        <v>155</v>
      </c>
      <c r="J3248" s="32">
        <v>37</v>
      </c>
      <c r="P3248" s="32">
        <v>9250</v>
      </c>
      <c r="R3248" s="32">
        <v>3148</v>
      </c>
      <c r="T3248" s="32">
        <v>6102</v>
      </c>
    </row>
    <row r="3249" spans="2:20" ht="12.75" hidden="1" x14ac:dyDescent="0.25">
      <c r="B3249" s="32">
        <v>21</v>
      </c>
      <c r="F3249" s="32" t="s">
        <v>154</v>
      </c>
      <c r="J3249" s="32">
        <v>2</v>
      </c>
      <c r="P3249" s="32">
        <v>1780</v>
      </c>
      <c r="R3249" s="32">
        <v>260</v>
      </c>
      <c r="T3249" s="32">
        <v>1520</v>
      </c>
    </row>
    <row r="3250" spans="2:20" ht="12.75" hidden="1" x14ac:dyDescent="0.25">
      <c r="B3250" s="32">
        <v>22</v>
      </c>
      <c r="F3250" s="32" t="s">
        <v>194</v>
      </c>
      <c r="J3250" s="32">
        <v>1</v>
      </c>
      <c r="P3250" s="32">
        <v>700</v>
      </c>
      <c r="R3250" s="32">
        <v>180</v>
      </c>
      <c r="T3250" s="32">
        <v>520</v>
      </c>
    </row>
    <row r="3251" spans="2:20" ht="12.75" hidden="1" x14ac:dyDescent="0.25">
      <c r="B3251" s="32">
        <v>23</v>
      </c>
      <c r="F3251" s="32" t="s">
        <v>289</v>
      </c>
      <c r="J3251" s="32">
        <v>2</v>
      </c>
      <c r="P3251" s="32">
        <v>1000</v>
      </c>
      <c r="R3251" s="32">
        <v>300</v>
      </c>
      <c r="T3251" s="32">
        <v>700</v>
      </c>
    </row>
    <row r="3252" spans="2:20" ht="12.75" hidden="1" x14ac:dyDescent="0.25">
      <c r="B3252" s="32">
        <v>24</v>
      </c>
      <c r="F3252" s="32" t="s">
        <v>152</v>
      </c>
      <c r="J3252" s="32">
        <v>19</v>
      </c>
      <c r="P3252" s="32">
        <v>11210</v>
      </c>
      <c r="R3252" s="32">
        <v>3328</v>
      </c>
      <c r="T3252" s="32">
        <v>7882</v>
      </c>
    </row>
    <row r="3253" spans="2:20" ht="12.75" hidden="1" x14ac:dyDescent="0.25">
      <c r="B3253" s="32">
        <v>25</v>
      </c>
      <c r="F3253" s="32" t="s">
        <v>151</v>
      </c>
      <c r="J3253" s="32">
        <v>19</v>
      </c>
      <c r="P3253" s="32">
        <v>4370</v>
      </c>
      <c r="R3253" s="32">
        <v>1400</v>
      </c>
      <c r="T3253" s="32">
        <v>2970</v>
      </c>
    </row>
    <row r="3254" spans="2:20" ht="12.75" hidden="1" x14ac:dyDescent="0.25">
      <c r="B3254" s="32">
        <v>26</v>
      </c>
      <c r="F3254" s="32" t="s">
        <v>150</v>
      </c>
      <c r="J3254" s="32">
        <v>13</v>
      </c>
      <c r="P3254" s="32">
        <v>2210</v>
      </c>
      <c r="R3254" s="32">
        <v>650</v>
      </c>
      <c r="T3254" s="32">
        <v>1560</v>
      </c>
    </row>
    <row r="3255" spans="2:20" ht="12.75" hidden="1" x14ac:dyDescent="0.25">
      <c r="B3255" s="32">
        <v>27</v>
      </c>
      <c r="F3255" s="32" t="s">
        <v>149</v>
      </c>
      <c r="J3255" s="32">
        <v>1</v>
      </c>
      <c r="P3255" s="32">
        <v>50</v>
      </c>
      <c r="R3255" s="32">
        <v>10</v>
      </c>
      <c r="T3255" s="32">
        <v>40</v>
      </c>
    </row>
    <row r="3256" spans="2:20" ht="12.75" hidden="1" x14ac:dyDescent="0.25">
      <c r="B3256" s="32">
        <v>28</v>
      </c>
      <c r="F3256" s="32" t="s">
        <v>235</v>
      </c>
      <c r="J3256" s="32">
        <v>1</v>
      </c>
      <c r="P3256" s="32">
        <v>950</v>
      </c>
      <c r="R3256" s="32">
        <v>140</v>
      </c>
      <c r="T3256" s="32">
        <v>810</v>
      </c>
    </row>
    <row r="3257" spans="2:20" ht="12.75" hidden="1" x14ac:dyDescent="0.25">
      <c r="B3257" s="32">
        <v>29</v>
      </c>
      <c r="F3257" s="32" t="s">
        <v>193</v>
      </c>
      <c r="J3257" s="32">
        <v>1</v>
      </c>
      <c r="P3257" s="32">
        <v>890</v>
      </c>
      <c r="R3257" s="32">
        <v>130</v>
      </c>
      <c r="T3257" s="32">
        <v>760</v>
      </c>
    </row>
    <row r="3258" spans="2:20" ht="12.75" hidden="1" x14ac:dyDescent="0.25">
      <c r="B3258" s="32">
        <v>30</v>
      </c>
      <c r="F3258" s="32" t="s">
        <v>75</v>
      </c>
      <c r="J3258" s="32">
        <v>1725</v>
      </c>
      <c r="P3258" s="32">
        <v>4312500</v>
      </c>
      <c r="R3258" s="32">
        <v>4312500</v>
      </c>
      <c r="T3258" s="32">
        <v>0</v>
      </c>
    </row>
    <row r="3259" spans="2:20" ht="12.75" hidden="1" x14ac:dyDescent="0.25">
      <c r="B3259" s="32">
        <v>31</v>
      </c>
      <c r="F3259" s="32" t="s">
        <v>138</v>
      </c>
      <c r="J3259" s="32">
        <v>1</v>
      </c>
      <c r="P3259" s="32">
        <v>800</v>
      </c>
      <c r="R3259" s="32">
        <v>450</v>
      </c>
      <c r="T3259" s="32">
        <v>350</v>
      </c>
    </row>
    <row r="3260" spans="2:20" ht="12.75" hidden="1" x14ac:dyDescent="0.25">
      <c r="B3260" s="32">
        <v>32</v>
      </c>
      <c r="F3260" s="32" t="s">
        <v>137</v>
      </c>
      <c r="J3260" s="32">
        <v>2</v>
      </c>
      <c r="P3260" s="32">
        <v>1600</v>
      </c>
      <c r="R3260" s="32">
        <v>900</v>
      </c>
      <c r="T3260" s="32">
        <v>700</v>
      </c>
    </row>
    <row r="3261" spans="2:20" ht="12.75" hidden="1" x14ac:dyDescent="0.25">
      <c r="B3261" s="32">
        <v>33</v>
      </c>
      <c r="F3261" s="32" t="s">
        <v>136</v>
      </c>
      <c r="J3261" s="32">
        <v>18</v>
      </c>
      <c r="P3261" s="32">
        <v>15300</v>
      </c>
      <c r="R3261" s="32">
        <v>3640</v>
      </c>
      <c r="T3261" s="32">
        <v>11660</v>
      </c>
    </row>
    <row r="3262" spans="2:20" ht="12.75" hidden="1" x14ac:dyDescent="0.25">
      <c r="B3262" s="32">
        <v>34</v>
      </c>
      <c r="F3262" s="32" t="s">
        <v>74</v>
      </c>
      <c r="J3262" s="32">
        <v>113</v>
      </c>
      <c r="P3262" s="32">
        <v>96050</v>
      </c>
      <c r="R3262" s="32">
        <v>96050</v>
      </c>
      <c r="T3262" s="32">
        <v>0</v>
      </c>
    </row>
    <row r="3263" spans="2:20" ht="12.75" hidden="1" x14ac:dyDescent="0.25">
      <c r="B3263" s="32">
        <v>35</v>
      </c>
      <c r="F3263" s="32" t="s">
        <v>190</v>
      </c>
      <c r="J3263" s="32">
        <v>3</v>
      </c>
      <c r="P3263" s="32">
        <v>4710</v>
      </c>
      <c r="R3263" s="32">
        <v>480</v>
      </c>
      <c r="T3263" s="32">
        <v>4230</v>
      </c>
    </row>
    <row r="3264" spans="2:20" ht="12.75" hidden="1" x14ac:dyDescent="0.25">
      <c r="B3264" s="32">
        <v>36</v>
      </c>
      <c r="F3264" s="32" t="s">
        <v>134</v>
      </c>
      <c r="J3264" s="32">
        <v>2</v>
      </c>
      <c r="P3264" s="32">
        <v>7400</v>
      </c>
      <c r="R3264" s="32">
        <v>1600</v>
      </c>
      <c r="T3264" s="32">
        <v>5800</v>
      </c>
    </row>
    <row r="3265" spans="2:20" ht="12.75" hidden="1" x14ac:dyDescent="0.25">
      <c r="B3265" s="32">
        <v>37</v>
      </c>
      <c r="F3265" s="32" t="s">
        <v>130</v>
      </c>
      <c r="J3265" s="32">
        <v>1</v>
      </c>
      <c r="P3265" s="32">
        <v>8000</v>
      </c>
      <c r="R3265" s="32">
        <v>4100</v>
      </c>
      <c r="T3265" s="32">
        <v>3900</v>
      </c>
    </row>
    <row r="3266" spans="2:20" ht="12.75" hidden="1" x14ac:dyDescent="0.25">
      <c r="B3266" s="32">
        <v>38</v>
      </c>
      <c r="F3266" s="32" t="s">
        <v>366</v>
      </c>
      <c r="J3266" s="32">
        <v>1</v>
      </c>
      <c r="P3266" s="32">
        <v>800</v>
      </c>
      <c r="R3266" s="32">
        <v>450</v>
      </c>
      <c r="T3266" s="32">
        <v>350</v>
      </c>
    </row>
    <row r="3267" spans="2:20" ht="12.75" hidden="1" x14ac:dyDescent="0.25">
      <c r="B3267" s="32">
        <v>39</v>
      </c>
      <c r="F3267" s="32" t="s">
        <v>127</v>
      </c>
      <c r="J3267" s="32">
        <v>4</v>
      </c>
      <c r="P3267" s="32">
        <v>1200</v>
      </c>
      <c r="R3267" s="32">
        <v>401</v>
      </c>
      <c r="T3267" s="32">
        <v>799</v>
      </c>
    </row>
    <row r="3268" spans="2:20" ht="12.75" hidden="1" x14ac:dyDescent="0.25">
      <c r="B3268" s="32">
        <v>40</v>
      </c>
      <c r="F3268" s="32" t="s">
        <v>126</v>
      </c>
      <c r="J3268" s="32">
        <v>7</v>
      </c>
      <c r="P3268" s="32">
        <v>1400</v>
      </c>
      <c r="R3268" s="32">
        <v>447</v>
      </c>
      <c r="T3268" s="32">
        <v>953</v>
      </c>
    </row>
    <row r="3269" spans="2:20" ht="12.75" hidden="1" x14ac:dyDescent="0.25">
      <c r="B3269" s="32">
        <v>41</v>
      </c>
      <c r="F3269" s="32" t="s">
        <v>125</v>
      </c>
      <c r="J3269" s="32">
        <v>2</v>
      </c>
      <c r="P3269" s="32">
        <v>800</v>
      </c>
      <c r="R3269" s="32">
        <v>240</v>
      </c>
      <c r="T3269" s="32">
        <v>560</v>
      </c>
    </row>
    <row r="3270" spans="2:20" ht="12.75" hidden="1" x14ac:dyDescent="0.25">
      <c r="B3270" s="32">
        <v>42</v>
      </c>
      <c r="F3270" s="32" t="s">
        <v>124</v>
      </c>
      <c r="J3270" s="32">
        <v>9</v>
      </c>
      <c r="P3270" s="32">
        <v>6260</v>
      </c>
      <c r="R3270" s="32">
        <v>1850</v>
      </c>
      <c r="T3270" s="32">
        <v>4410</v>
      </c>
    </row>
    <row r="3271" spans="2:20" ht="12.75" hidden="1" x14ac:dyDescent="0.25">
      <c r="B3271" s="32">
        <v>43</v>
      </c>
      <c r="F3271" s="32" t="s">
        <v>123</v>
      </c>
      <c r="J3271" s="32">
        <v>13</v>
      </c>
      <c r="P3271" s="32">
        <v>10140</v>
      </c>
      <c r="R3271" s="32">
        <v>2990</v>
      </c>
      <c r="T3271" s="32">
        <v>7150</v>
      </c>
    </row>
    <row r="3272" spans="2:20" ht="12.75" hidden="1" x14ac:dyDescent="0.25">
      <c r="B3272" s="32">
        <v>44</v>
      </c>
      <c r="F3272" s="32" t="s">
        <v>227</v>
      </c>
      <c r="J3272" s="32">
        <v>1</v>
      </c>
      <c r="P3272" s="32">
        <v>500</v>
      </c>
      <c r="R3272" s="32">
        <v>150</v>
      </c>
      <c r="T3272" s="32">
        <v>350</v>
      </c>
    </row>
    <row r="3273" spans="2:20" ht="12.75" hidden="1" x14ac:dyDescent="0.25">
      <c r="B3273" s="32">
        <v>45</v>
      </c>
      <c r="F3273" s="32" t="s">
        <v>122</v>
      </c>
      <c r="J3273" s="32">
        <v>5</v>
      </c>
      <c r="P3273" s="32">
        <v>2500</v>
      </c>
      <c r="R3273" s="32">
        <v>750</v>
      </c>
      <c r="T3273" s="32">
        <v>1750</v>
      </c>
    </row>
    <row r="3274" spans="2:20" ht="12.75" hidden="1" x14ac:dyDescent="0.25">
      <c r="B3274" s="32">
        <v>46</v>
      </c>
      <c r="F3274" s="32" t="s">
        <v>182</v>
      </c>
      <c r="J3274" s="32">
        <v>1</v>
      </c>
      <c r="P3274" s="32">
        <v>790</v>
      </c>
      <c r="R3274" s="32">
        <v>120</v>
      </c>
      <c r="T3274" s="32">
        <v>670</v>
      </c>
    </row>
    <row r="3275" spans="2:20" ht="12.75" hidden="1" x14ac:dyDescent="0.25">
      <c r="B3275" s="32">
        <v>47</v>
      </c>
      <c r="F3275" s="32" t="s">
        <v>119</v>
      </c>
      <c r="J3275" s="32">
        <v>26</v>
      </c>
      <c r="P3275" s="32">
        <v>23140</v>
      </c>
      <c r="R3275" s="32">
        <v>7560</v>
      </c>
      <c r="T3275" s="32">
        <v>15580</v>
      </c>
    </row>
    <row r="3276" spans="2:20" ht="12.75" hidden="1" x14ac:dyDescent="0.25">
      <c r="B3276" s="32">
        <v>48</v>
      </c>
      <c r="F3276" s="32" t="s">
        <v>118</v>
      </c>
      <c r="J3276" s="32">
        <v>106</v>
      </c>
      <c r="P3276" s="32">
        <v>104940</v>
      </c>
      <c r="R3276" s="32">
        <v>35463</v>
      </c>
      <c r="T3276" s="32">
        <v>69477</v>
      </c>
    </row>
    <row r="3277" spans="2:20" ht="12.75" hidden="1" x14ac:dyDescent="0.25">
      <c r="B3277" s="32">
        <v>49</v>
      </c>
      <c r="F3277" s="32" t="s">
        <v>117</v>
      </c>
      <c r="J3277" s="32">
        <v>8</v>
      </c>
      <c r="P3277" s="32">
        <v>6400</v>
      </c>
      <c r="R3277" s="32">
        <v>1600</v>
      </c>
      <c r="T3277" s="32">
        <v>4800</v>
      </c>
    </row>
    <row r="3278" spans="2:20" ht="12.75" hidden="1" x14ac:dyDescent="0.25">
      <c r="B3278" s="32">
        <v>50</v>
      </c>
      <c r="F3278" s="32" t="s">
        <v>116</v>
      </c>
      <c r="J3278" s="32">
        <v>1</v>
      </c>
      <c r="P3278" s="32">
        <v>800</v>
      </c>
      <c r="R3278" s="32">
        <v>200</v>
      </c>
      <c r="T3278" s="32">
        <v>600</v>
      </c>
    </row>
    <row r="3279" spans="2:20" ht="12.75" hidden="1" x14ac:dyDescent="0.25">
      <c r="T3279" s="32"/>
    </row>
    <row r="3280" spans="2:20" ht="12.75" hidden="1" x14ac:dyDescent="0.25">
      <c r="B3280" s="32">
        <v>51</v>
      </c>
      <c r="F3280" s="32" t="s">
        <v>262</v>
      </c>
      <c r="J3280" s="32">
        <v>1</v>
      </c>
      <c r="P3280" s="32">
        <v>450</v>
      </c>
      <c r="R3280" s="32">
        <v>70</v>
      </c>
      <c r="T3280" s="32">
        <v>380</v>
      </c>
    </row>
    <row r="3281" spans="2:20" ht="12.75" hidden="1" x14ac:dyDescent="0.25">
      <c r="B3281" s="32">
        <v>52</v>
      </c>
      <c r="F3281" s="32" t="s">
        <v>115</v>
      </c>
      <c r="J3281" s="32">
        <v>12</v>
      </c>
      <c r="P3281" s="32">
        <v>3480</v>
      </c>
      <c r="R3281" s="32">
        <v>1070</v>
      </c>
      <c r="T3281" s="32">
        <v>2410</v>
      </c>
    </row>
    <row r="3282" spans="2:20" ht="12.75" hidden="1" x14ac:dyDescent="0.25">
      <c r="B3282" s="32">
        <v>53</v>
      </c>
      <c r="F3282" s="32" t="s">
        <v>114</v>
      </c>
      <c r="J3282" s="32">
        <v>2</v>
      </c>
      <c r="P3282" s="32">
        <v>1100</v>
      </c>
      <c r="R3282" s="32">
        <v>160</v>
      </c>
      <c r="T3282" s="32">
        <v>940</v>
      </c>
    </row>
    <row r="3283" spans="2:20" ht="12.75" hidden="1" x14ac:dyDescent="0.25">
      <c r="B3283" s="32">
        <v>54</v>
      </c>
      <c r="F3283" s="32" t="s">
        <v>222</v>
      </c>
      <c r="J3283" s="32">
        <v>1</v>
      </c>
      <c r="P3283" s="32">
        <v>500</v>
      </c>
      <c r="R3283" s="32">
        <v>150</v>
      </c>
      <c r="T3283" s="32">
        <v>350</v>
      </c>
    </row>
    <row r="3284" spans="2:20" ht="12.75" hidden="1" x14ac:dyDescent="0.25">
      <c r="B3284" s="32">
        <v>55</v>
      </c>
      <c r="F3284" s="32" t="s">
        <v>219</v>
      </c>
      <c r="J3284" s="32">
        <v>2</v>
      </c>
      <c r="P3284" s="32">
        <v>1000</v>
      </c>
      <c r="R3284" s="32">
        <v>300</v>
      </c>
      <c r="T3284" s="32">
        <v>700</v>
      </c>
    </row>
    <row r="3285" spans="2:20" ht="12.75" hidden="1" x14ac:dyDescent="0.25">
      <c r="B3285" s="32">
        <v>56</v>
      </c>
      <c r="F3285" s="32" t="s">
        <v>109</v>
      </c>
      <c r="J3285" s="32">
        <v>5</v>
      </c>
      <c r="P3285" s="32">
        <v>3900</v>
      </c>
      <c r="R3285" s="32">
        <v>1150</v>
      </c>
      <c r="T3285" s="32">
        <v>2750</v>
      </c>
    </row>
    <row r="3286" spans="2:20" ht="12.75" hidden="1" x14ac:dyDescent="0.25">
      <c r="B3286" s="32">
        <v>57</v>
      </c>
      <c r="F3286" s="32" t="s">
        <v>108</v>
      </c>
      <c r="J3286" s="32">
        <v>413</v>
      </c>
      <c r="P3286" s="32">
        <v>41300</v>
      </c>
      <c r="R3286" s="32">
        <v>9180</v>
      </c>
      <c r="T3286" s="32">
        <v>32120</v>
      </c>
    </row>
    <row r="3287" spans="2:20" ht="12.75" hidden="1" x14ac:dyDescent="0.25">
      <c r="B3287" s="32">
        <v>58</v>
      </c>
      <c r="F3287" s="32" t="s">
        <v>107</v>
      </c>
      <c r="J3287" s="32">
        <v>35</v>
      </c>
      <c r="P3287" s="32">
        <v>5950</v>
      </c>
      <c r="R3287" s="32">
        <v>1774</v>
      </c>
      <c r="T3287" s="32">
        <v>4176</v>
      </c>
    </row>
    <row r="3288" spans="2:20" ht="12.75" hidden="1" x14ac:dyDescent="0.25">
      <c r="B3288" s="32">
        <v>59</v>
      </c>
      <c r="F3288" s="32" t="s">
        <v>106</v>
      </c>
      <c r="J3288" s="32">
        <v>5</v>
      </c>
      <c r="P3288" s="32">
        <v>500</v>
      </c>
      <c r="R3288" s="32">
        <v>150</v>
      </c>
      <c r="T3288" s="32">
        <v>350</v>
      </c>
    </row>
    <row r="3289" spans="2:20" ht="12.75" hidden="1" x14ac:dyDescent="0.25">
      <c r="B3289" s="32">
        <v>60</v>
      </c>
      <c r="F3289" s="32" t="s">
        <v>365</v>
      </c>
      <c r="J3289" s="32">
        <v>1</v>
      </c>
      <c r="P3289" s="32">
        <v>-5000</v>
      </c>
      <c r="R3289" s="32">
        <v>-4250</v>
      </c>
      <c r="T3289" s="32">
        <v>-750</v>
      </c>
    </row>
    <row r="3290" spans="2:20" ht="12.75" hidden="1" x14ac:dyDescent="0.25">
      <c r="B3290" s="32">
        <v>61</v>
      </c>
      <c r="F3290" s="32" t="s">
        <v>180</v>
      </c>
      <c r="J3290" s="32">
        <v>1</v>
      </c>
      <c r="P3290" s="32">
        <v>590</v>
      </c>
      <c r="R3290" s="32">
        <v>180</v>
      </c>
      <c r="T3290" s="32">
        <v>410</v>
      </c>
    </row>
    <row r="3291" spans="2:20" ht="12.75" hidden="1" x14ac:dyDescent="0.25">
      <c r="B3291" s="32">
        <v>62</v>
      </c>
      <c r="F3291" s="32" t="s">
        <v>364</v>
      </c>
      <c r="J3291" s="32">
        <v>1</v>
      </c>
      <c r="P3291" s="32">
        <v>500</v>
      </c>
      <c r="R3291" s="32">
        <v>150</v>
      </c>
      <c r="T3291" s="32">
        <v>350</v>
      </c>
    </row>
    <row r="3292" spans="2:20" ht="12.75" hidden="1" x14ac:dyDescent="0.25">
      <c r="B3292" s="32">
        <v>63</v>
      </c>
      <c r="F3292" s="32" t="s">
        <v>105</v>
      </c>
      <c r="J3292" s="32">
        <v>2</v>
      </c>
      <c r="P3292" s="32">
        <v>2300</v>
      </c>
      <c r="R3292" s="32">
        <v>0</v>
      </c>
      <c r="T3292" s="32">
        <v>2300</v>
      </c>
    </row>
    <row r="3293" spans="2:20" ht="12.75" hidden="1" x14ac:dyDescent="0.25">
      <c r="B3293" s="32">
        <v>64</v>
      </c>
      <c r="F3293" s="32" t="s">
        <v>103</v>
      </c>
      <c r="J3293" s="32">
        <v>177</v>
      </c>
      <c r="P3293" s="32">
        <v>58410</v>
      </c>
      <c r="R3293" s="32">
        <v>20320</v>
      </c>
      <c r="T3293" s="32">
        <v>38090</v>
      </c>
    </row>
    <row r="3294" spans="2:20" ht="12.75" hidden="1" x14ac:dyDescent="0.25">
      <c r="B3294" s="32">
        <v>65</v>
      </c>
      <c r="F3294" s="32" t="s">
        <v>213</v>
      </c>
      <c r="J3294" s="32">
        <v>1</v>
      </c>
      <c r="P3294" s="32">
        <v>700</v>
      </c>
      <c r="R3294" s="32">
        <v>350</v>
      </c>
      <c r="T3294" s="32">
        <v>350</v>
      </c>
    </row>
    <row r="3295" spans="2:20" ht="12.75" hidden="1" x14ac:dyDescent="0.25">
      <c r="B3295" s="32">
        <v>66</v>
      </c>
      <c r="F3295" s="32" t="s">
        <v>211</v>
      </c>
      <c r="J3295" s="32">
        <v>2</v>
      </c>
      <c r="P3295" s="32">
        <v>1000</v>
      </c>
      <c r="R3295" s="32">
        <v>300</v>
      </c>
      <c r="T3295" s="32">
        <v>700</v>
      </c>
    </row>
    <row r="3296" spans="2:20" ht="12.75" hidden="1" x14ac:dyDescent="0.25">
      <c r="B3296" s="32">
        <v>67</v>
      </c>
      <c r="F3296" s="32" t="s">
        <v>275</v>
      </c>
      <c r="J3296" s="32">
        <v>1</v>
      </c>
      <c r="P3296" s="32">
        <v>700</v>
      </c>
      <c r="R3296" s="32">
        <v>350</v>
      </c>
      <c r="T3296" s="32">
        <v>350</v>
      </c>
    </row>
    <row r="3297" spans="2:20" ht="12.75" hidden="1" x14ac:dyDescent="0.25">
      <c r="B3297" s="32">
        <v>68</v>
      </c>
      <c r="F3297" s="32" t="s">
        <v>307</v>
      </c>
      <c r="J3297" s="32">
        <v>1</v>
      </c>
      <c r="P3297" s="32">
        <v>700</v>
      </c>
      <c r="R3297" s="32">
        <v>350</v>
      </c>
      <c r="T3297" s="32">
        <v>350</v>
      </c>
    </row>
    <row r="3298" spans="2:20" ht="12.75" hidden="1" x14ac:dyDescent="0.25">
      <c r="B3298" s="32">
        <v>69</v>
      </c>
      <c r="F3298" s="32" t="s">
        <v>102</v>
      </c>
      <c r="J3298" s="32">
        <v>4</v>
      </c>
      <c r="P3298" s="32">
        <v>3520</v>
      </c>
      <c r="R3298" s="32">
        <v>520</v>
      </c>
      <c r="T3298" s="32">
        <v>3000</v>
      </c>
    </row>
    <row r="3299" spans="2:20" ht="12.75" hidden="1" x14ac:dyDescent="0.25">
      <c r="B3299" s="32">
        <v>70</v>
      </c>
      <c r="F3299" s="32" t="s">
        <v>254</v>
      </c>
      <c r="J3299" s="32">
        <v>2</v>
      </c>
      <c r="P3299" s="32">
        <v>580</v>
      </c>
      <c r="R3299" s="32">
        <v>160</v>
      </c>
      <c r="T3299" s="32">
        <v>420</v>
      </c>
    </row>
    <row r="3300" spans="2:20" ht="12.75" hidden="1" x14ac:dyDescent="0.25">
      <c r="B3300" s="32">
        <v>71</v>
      </c>
      <c r="F3300" s="32" t="s">
        <v>100</v>
      </c>
      <c r="J3300" s="32">
        <v>4</v>
      </c>
      <c r="P3300" s="32">
        <v>720</v>
      </c>
      <c r="R3300" s="32">
        <v>127</v>
      </c>
      <c r="T3300" s="32">
        <v>593</v>
      </c>
    </row>
    <row r="3301" spans="2:20" ht="12.75" hidden="1" x14ac:dyDescent="0.25">
      <c r="B3301" s="32">
        <v>72</v>
      </c>
      <c r="F3301" s="32" t="s">
        <v>178</v>
      </c>
      <c r="J3301" s="32">
        <v>1</v>
      </c>
      <c r="P3301" s="32">
        <v>1650</v>
      </c>
      <c r="R3301" s="32">
        <v>0</v>
      </c>
      <c r="T3301" s="32">
        <v>1650</v>
      </c>
    </row>
    <row r="3302" spans="2:20" ht="12.75" hidden="1" x14ac:dyDescent="0.25">
      <c r="B3302" s="32">
        <v>73</v>
      </c>
      <c r="F3302" s="32" t="s">
        <v>97</v>
      </c>
      <c r="J3302" s="32">
        <v>1</v>
      </c>
      <c r="P3302" s="32">
        <v>1590</v>
      </c>
      <c r="R3302" s="32">
        <v>240</v>
      </c>
      <c r="T3302" s="32">
        <v>1350</v>
      </c>
    </row>
    <row r="3303" spans="2:20" ht="12.75" hidden="1" x14ac:dyDescent="0.25">
      <c r="B3303" s="32">
        <v>74</v>
      </c>
      <c r="F3303" s="32" t="s">
        <v>96</v>
      </c>
      <c r="J3303" s="32">
        <v>2</v>
      </c>
      <c r="P3303" s="32">
        <v>880</v>
      </c>
      <c r="R3303" s="32">
        <v>260</v>
      </c>
      <c r="T3303" s="32">
        <v>620</v>
      </c>
    </row>
    <row r="3304" spans="2:20" ht="12.75" hidden="1" x14ac:dyDescent="0.25">
      <c r="B3304" s="32">
        <v>75</v>
      </c>
      <c r="F3304" s="32" t="s">
        <v>324</v>
      </c>
      <c r="J3304" s="32">
        <v>1</v>
      </c>
      <c r="P3304" s="32">
        <v>350</v>
      </c>
      <c r="R3304" s="32">
        <v>160</v>
      </c>
      <c r="T3304" s="32">
        <v>190</v>
      </c>
    </row>
    <row r="3305" spans="2:20" ht="12.75" hidden="1" x14ac:dyDescent="0.25">
      <c r="B3305" s="32">
        <v>76</v>
      </c>
      <c r="F3305" s="32" t="s">
        <v>93</v>
      </c>
      <c r="J3305" s="32">
        <v>1</v>
      </c>
      <c r="P3305" s="32">
        <v>590</v>
      </c>
      <c r="R3305" s="32">
        <v>90</v>
      </c>
      <c r="T3305" s="32">
        <v>500</v>
      </c>
    </row>
    <row r="3306" spans="2:20" ht="12.75" hidden="1" x14ac:dyDescent="0.25">
      <c r="B3306" s="32">
        <v>77</v>
      </c>
      <c r="F3306" s="32" t="s">
        <v>92</v>
      </c>
      <c r="J3306" s="32">
        <v>17</v>
      </c>
      <c r="P3306" s="32">
        <v>14280</v>
      </c>
      <c r="R3306" s="32">
        <v>4240</v>
      </c>
      <c r="T3306" s="32">
        <v>10040</v>
      </c>
    </row>
    <row r="3307" spans="2:20" ht="12.75" hidden="1" x14ac:dyDescent="0.25">
      <c r="B3307" s="32">
        <v>78</v>
      </c>
      <c r="F3307" s="32" t="s">
        <v>175</v>
      </c>
      <c r="J3307" s="32">
        <v>1</v>
      </c>
      <c r="P3307" s="32">
        <v>600</v>
      </c>
      <c r="R3307" s="32">
        <v>180</v>
      </c>
      <c r="T3307" s="32">
        <v>420</v>
      </c>
    </row>
    <row r="3308" spans="2:20" ht="12.75" hidden="1" x14ac:dyDescent="0.25">
      <c r="B3308" s="32">
        <v>79</v>
      </c>
      <c r="F3308" s="32" t="s">
        <v>173</v>
      </c>
      <c r="J3308" s="32">
        <v>6</v>
      </c>
      <c r="P3308" s="32">
        <v>6000</v>
      </c>
      <c r="R3308" s="32">
        <v>1800</v>
      </c>
      <c r="T3308" s="32">
        <v>4200</v>
      </c>
    </row>
    <row r="3309" spans="2:20" ht="12.75" hidden="1" x14ac:dyDescent="0.25">
      <c r="B3309" s="32">
        <v>80</v>
      </c>
      <c r="F3309" s="32" t="s">
        <v>296</v>
      </c>
      <c r="J3309" s="32">
        <v>1</v>
      </c>
      <c r="P3309" s="32">
        <v>1200</v>
      </c>
      <c r="R3309" s="32">
        <v>360</v>
      </c>
      <c r="T3309" s="32">
        <v>840</v>
      </c>
    </row>
    <row r="3310" spans="2:20" ht="12.75" hidden="1" x14ac:dyDescent="0.25">
      <c r="B3310" s="32">
        <v>81</v>
      </c>
      <c r="F3310" s="32" t="s">
        <v>91</v>
      </c>
      <c r="J3310" s="32">
        <v>34</v>
      </c>
      <c r="P3310" s="32">
        <v>8500</v>
      </c>
      <c r="R3310" s="32">
        <v>2278</v>
      </c>
      <c r="T3310" s="32">
        <v>6222</v>
      </c>
    </row>
    <row r="3311" spans="2:20" ht="12.75" hidden="1" x14ac:dyDescent="0.25">
      <c r="B3311" s="32">
        <v>82</v>
      </c>
      <c r="F3311" s="32" t="s">
        <v>90</v>
      </c>
      <c r="J3311" s="32">
        <v>10</v>
      </c>
      <c r="P3311" s="32">
        <v>2900</v>
      </c>
      <c r="R3311" s="32">
        <v>800</v>
      </c>
      <c r="T3311" s="32">
        <v>2100</v>
      </c>
    </row>
    <row r="3312" spans="2:20" ht="12.75" hidden="1" x14ac:dyDescent="0.25">
      <c r="B3312" s="32">
        <v>83</v>
      </c>
      <c r="F3312" s="32" t="s">
        <v>89</v>
      </c>
      <c r="J3312" s="32">
        <v>1</v>
      </c>
      <c r="P3312" s="32">
        <v>880</v>
      </c>
      <c r="R3312" s="32">
        <v>130</v>
      </c>
      <c r="T3312" s="32">
        <v>750</v>
      </c>
    </row>
    <row r="3313" spans="1:20" ht="12.75" hidden="1" x14ac:dyDescent="0.25">
      <c r="B3313" s="32">
        <v>84</v>
      </c>
      <c r="F3313" s="32" t="s">
        <v>88</v>
      </c>
      <c r="J3313" s="32">
        <v>74</v>
      </c>
      <c r="P3313" s="32">
        <v>13320</v>
      </c>
      <c r="R3313" s="32">
        <v>3995</v>
      </c>
      <c r="T3313" s="32">
        <v>9325</v>
      </c>
    </row>
    <row r="3314" spans="1:20" ht="12.75" hidden="1" x14ac:dyDescent="0.25">
      <c r="B3314" s="32">
        <v>85</v>
      </c>
      <c r="F3314" s="32" t="s">
        <v>86</v>
      </c>
      <c r="J3314" s="32">
        <v>1</v>
      </c>
      <c r="P3314" s="32">
        <v>1140</v>
      </c>
      <c r="R3314" s="32">
        <v>170</v>
      </c>
      <c r="T3314" s="32">
        <v>970</v>
      </c>
    </row>
    <row r="3315" spans="1:20" ht="12.75" hidden="1" x14ac:dyDescent="0.25">
      <c r="B3315" s="32">
        <v>86</v>
      </c>
      <c r="F3315" s="32" t="s">
        <v>85</v>
      </c>
      <c r="J3315" s="32">
        <v>6</v>
      </c>
      <c r="P3315" s="32">
        <v>12480</v>
      </c>
      <c r="R3315" s="32">
        <v>1860</v>
      </c>
      <c r="T3315" s="32">
        <v>10620</v>
      </c>
    </row>
    <row r="3316" spans="1:20" ht="12.75" hidden="1" x14ac:dyDescent="0.25">
      <c r="B3316" s="32">
        <v>87</v>
      </c>
      <c r="F3316" s="32" t="s">
        <v>84</v>
      </c>
      <c r="J3316" s="32">
        <v>22</v>
      </c>
      <c r="P3316" s="32">
        <v>12980</v>
      </c>
      <c r="R3316" s="32">
        <v>3420</v>
      </c>
      <c r="T3316" s="32">
        <v>9560</v>
      </c>
    </row>
    <row r="3317" spans="1:20" ht="12.75" hidden="1" x14ac:dyDescent="0.25">
      <c r="B3317" s="32">
        <v>88</v>
      </c>
      <c r="F3317" s="32" t="s">
        <v>273</v>
      </c>
      <c r="J3317" s="32">
        <v>1</v>
      </c>
      <c r="P3317" s="32">
        <v>500</v>
      </c>
      <c r="R3317" s="32">
        <v>150</v>
      </c>
      <c r="T3317" s="32">
        <v>350</v>
      </c>
    </row>
    <row r="3318" spans="1:20" ht="12.75" hidden="1" x14ac:dyDescent="0.25">
      <c r="B3318" s="32">
        <v>89</v>
      </c>
      <c r="F3318" s="32" t="s">
        <v>205</v>
      </c>
      <c r="J3318" s="32">
        <v>1</v>
      </c>
      <c r="P3318" s="32">
        <v>500</v>
      </c>
      <c r="R3318" s="32">
        <v>150</v>
      </c>
      <c r="T3318" s="32">
        <v>350</v>
      </c>
    </row>
    <row r="3319" spans="1:20" ht="12.75" hidden="1" x14ac:dyDescent="0.25">
      <c r="B3319" s="32">
        <v>90</v>
      </c>
      <c r="F3319" s="32" t="s">
        <v>83</v>
      </c>
      <c r="J3319" s="32">
        <v>4</v>
      </c>
      <c r="P3319" s="32">
        <v>2000</v>
      </c>
      <c r="R3319" s="32">
        <v>600</v>
      </c>
      <c r="T3319" s="32">
        <v>1400</v>
      </c>
    </row>
    <row r="3320" spans="1:20" ht="12.75" hidden="1" x14ac:dyDescent="0.25">
      <c r="B3320" s="32">
        <v>91</v>
      </c>
      <c r="F3320" s="32" t="s">
        <v>363</v>
      </c>
      <c r="J3320" s="32">
        <v>1</v>
      </c>
      <c r="P3320" s="32">
        <v>500</v>
      </c>
      <c r="R3320" s="32">
        <v>150</v>
      </c>
      <c r="T3320" s="32">
        <v>350</v>
      </c>
    </row>
    <row r="3321" spans="1:20" ht="12.75" hidden="1" x14ac:dyDescent="0.25">
      <c r="B3321" s="32">
        <v>92</v>
      </c>
      <c r="F3321" s="32" t="s">
        <v>81</v>
      </c>
      <c r="J3321" s="32">
        <v>17</v>
      </c>
      <c r="P3321" s="32">
        <v>4930</v>
      </c>
      <c r="R3321" s="32">
        <v>1990</v>
      </c>
      <c r="T3321" s="32">
        <v>2940</v>
      </c>
    </row>
    <row r="3322" spans="1:20" ht="12.75" hidden="1" x14ac:dyDescent="0.25">
      <c r="A3322" s="32" t="s">
        <v>362</v>
      </c>
      <c r="K3322" s="32">
        <v>8533</v>
      </c>
      <c r="P3322" s="32">
        <v>7597820</v>
      </c>
      <c r="R3322" s="32">
        <v>6414913</v>
      </c>
      <c r="T3322" s="32">
        <v>1182907</v>
      </c>
    </row>
    <row r="3323" spans="1:20" ht="12.75" hidden="1" x14ac:dyDescent="0.25">
      <c r="B3323" s="32">
        <v>1</v>
      </c>
      <c r="F3323" s="32" t="s">
        <v>200</v>
      </c>
      <c r="J3323" s="32">
        <v>3</v>
      </c>
      <c r="P3323" s="32">
        <v>1500</v>
      </c>
      <c r="R3323" s="32">
        <v>450</v>
      </c>
      <c r="T3323" s="32">
        <v>1050</v>
      </c>
    </row>
    <row r="3324" spans="1:20" ht="12.75" hidden="1" x14ac:dyDescent="0.25">
      <c r="B3324" s="32">
        <v>2</v>
      </c>
      <c r="F3324" s="32" t="s">
        <v>251</v>
      </c>
      <c r="J3324" s="32">
        <v>1</v>
      </c>
      <c r="P3324" s="32">
        <v>800</v>
      </c>
      <c r="R3324" s="32">
        <v>200</v>
      </c>
      <c r="T3324" s="32">
        <v>600</v>
      </c>
    </row>
    <row r="3325" spans="1:20" ht="12.75" hidden="1" x14ac:dyDescent="0.25">
      <c r="B3325" s="32">
        <v>3</v>
      </c>
      <c r="F3325" s="32" t="s">
        <v>250</v>
      </c>
      <c r="J3325" s="32">
        <v>6</v>
      </c>
      <c r="P3325" s="32">
        <v>3000</v>
      </c>
      <c r="R3325" s="32">
        <v>750</v>
      </c>
      <c r="T3325" s="32">
        <v>2250</v>
      </c>
    </row>
    <row r="3326" spans="1:20" ht="12.75" hidden="1" x14ac:dyDescent="0.25">
      <c r="B3326" s="32">
        <v>4</v>
      </c>
      <c r="F3326" s="32" t="s">
        <v>78</v>
      </c>
      <c r="J3326" s="32">
        <v>317</v>
      </c>
      <c r="P3326" s="32">
        <v>91930</v>
      </c>
      <c r="R3326" s="32">
        <v>91930</v>
      </c>
      <c r="T3326" s="32">
        <v>0</v>
      </c>
    </row>
    <row r="3327" spans="1:20" ht="12.75" hidden="1" x14ac:dyDescent="0.25">
      <c r="B3327" s="32">
        <v>5</v>
      </c>
      <c r="F3327" s="32" t="s">
        <v>268</v>
      </c>
      <c r="J3327" s="32">
        <v>1</v>
      </c>
      <c r="P3327" s="32">
        <v>250</v>
      </c>
      <c r="R3327" s="32">
        <v>70</v>
      </c>
      <c r="T3327" s="32">
        <v>180</v>
      </c>
    </row>
    <row r="3328" spans="1:20" ht="12.75" hidden="1" x14ac:dyDescent="0.25">
      <c r="B3328" s="32">
        <v>6</v>
      </c>
      <c r="F3328" s="32" t="s">
        <v>199</v>
      </c>
      <c r="J3328" s="32">
        <v>1</v>
      </c>
      <c r="P3328" s="32">
        <v>290</v>
      </c>
      <c r="R3328" s="32">
        <v>100</v>
      </c>
      <c r="T3328" s="32">
        <v>190</v>
      </c>
    </row>
    <row r="3329" spans="2:20" ht="12.75" hidden="1" x14ac:dyDescent="0.25">
      <c r="B3329" s="32">
        <v>7</v>
      </c>
      <c r="F3329" s="32" t="s">
        <v>164</v>
      </c>
      <c r="J3329" s="32">
        <v>4</v>
      </c>
      <c r="P3329" s="32">
        <v>2360</v>
      </c>
      <c r="R3329" s="32">
        <v>628</v>
      </c>
      <c r="T3329" s="32">
        <v>1732</v>
      </c>
    </row>
    <row r="3330" spans="2:20" ht="12.75" hidden="1" x14ac:dyDescent="0.25">
      <c r="B3330" s="32">
        <v>8</v>
      </c>
      <c r="F3330" s="32" t="s">
        <v>163</v>
      </c>
      <c r="J3330" s="32">
        <v>3</v>
      </c>
      <c r="P3330" s="32">
        <v>3570</v>
      </c>
      <c r="R3330" s="32">
        <v>540</v>
      </c>
      <c r="T3330" s="32">
        <v>3030</v>
      </c>
    </row>
    <row r="3331" spans="2:20" ht="12.75" hidden="1" x14ac:dyDescent="0.25">
      <c r="B3331" s="32">
        <v>9</v>
      </c>
      <c r="F3331" s="32" t="s">
        <v>162</v>
      </c>
      <c r="J3331" s="32">
        <v>6</v>
      </c>
      <c r="P3331" s="32">
        <v>2580</v>
      </c>
      <c r="R3331" s="32">
        <v>1230</v>
      </c>
      <c r="T3331" s="32">
        <v>1350</v>
      </c>
    </row>
    <row r="3332" spans="2:20" ht="12.75" hidden="1" x14ac:dyDescent="0.25">
      <c r="B3332" s="32">
        <v>10</v>
      </c>
      <c r="F3332" s="32" t="s">
        <v>198</v>
      </c>
      <c r="J3332" s="32">
        <v>4</v>
      </c>
      <c r="P3332" s="32">
        <v>1160</v>
      </c>
      <c r="R3332" s="32">
        <v>320</v>
      </c>
      <c r="T3332" s="32">
        <v>840</v>
      </c>
    </row>
    <row r="3333" spans="2:20" ht="12.75" hidden="1" x14ac:dyDescent="0.25">
      <c r="B3333" s="32">
        <v>11</v>
      </c>
      <c r="F3333" s="32" t="s">
        <v>160</v>
      </c>
      <c r="J3333" s="32">
        <v>24</v>
      </c>
      <c r="P3333" s="32">
        <v>6960</v>
      </c>
      <c r="R3333" s="32">
        <v>1860</v>
      </c>
      <c r="T3333" s="32">
        <v>5100</v>
      </c>
    </row>
    <row r="3334" spans="2:20" ht="12.75" hidden="1" x14ac:dyDescent="0.25">
      <c r="B3334" s="32">
        <v>12</v>
      </c>
      <c r="F3334" s="32" t="s">
        <v>159</v>
      </c>
      <c r="J3334" s="32">
        <v>267</v>
      </c>
      <c r="P3334" s="32">
        <v>0</v>
      </c>
      <c r="R3334" s="32">
        <v>0</v>
      </c>
      <c r="T3334" s="32">
        <v>0</v>
      </c>
    </row>
    <row r="3335" spans="2:20" ht="12.75" hidden="1" x14ac:dyDescent="0.25">
      <c r="B3335" s="32">
        <v>13</v>
      </c>
      <c r="F3335" s="32" t="s">
        <v>158</v>
      </c>
      <c r="J3335" s="32">
        <v>533</v>
      </c>
      <c r="P3335" s="32">
        <v>293150</v>
      </c>
      <c r="R3335" s="32">
        <v>89821</v>
      </c>
      <c r="T3335" s="32">
        <v>203329</v>
      </c>
    </row>
    <row r="3336" spans="2:20" ht="12.75" hidden="1" x14ac:dyDescent="0.25">
      <c r="B3336" s="32">
        <v>14</v>
      </c>
      <c r="F3336" s="32" t="s">
        <v>157</v>
      </c>
      <c r="J3336" s="32">
        <v>908</v>
      </c>
      <c r="P3336" s="32">
        <v>444920</v>
      </c>
      <c r="R3336" s="32">
        <v>195155</v>
      </c>
      <c r="T3336" s="32">
        <v>249765</v>
      </c>
    </row>
    <row r="3337" spans="2:20" ht="12.75" hidden="1" x14ac:dyDescent="0.25">
      <c r="B3337" s="32">
        <v>15</v>
      </c>
      <c r="F3337" s="32" t="s">
        <v>197</v>
      </c>
      <c r="J3337" s="32">
        <v>10</v>
      </c>
      <c r="P3337" s="32">
        <v>5000</v>
      </c>
      <c r="R3337" s="32">
        <v>1350</v>
      </c>
      <c r="T3337" s="32">
        <v>3650</v>
      </c>
    </row>
    <row r="3338" spans="2:20" ht="12.75" hidden="1" x14ac:dyDescent="0.25">
      <c r="B3338" s="32">
        <v>16</v>
      </c>
      <c r="F3338" s="32" t="s">
        <v>196</v>
      </c>
      <c r="J3338" s="32">
        <v>12</v>
      </c>
      <c r="P3338" s="32">
        <v>8400</v>
      </c>
      <c r="R3338" s="32">
        <v>3997</v>
      </c>
      <c r="T3338" s="32">
        <v>4403</v>
      </c>
    </row>
    <row r="3339" spans="2:20" ht="12.75" hidden="1" x14ac:dyDescent="0.25">
      <c r="B3339" s="32">
        <v>17</v>
      </c>
      <c r="F3339" s="32" t="s">
        <v>77</v>
      </c>
      <c r="J3339" s="32">
        <v>2356</v>
      </c>
      <c r="P3339" s="32">
        <v>959100</v>
      </c>
      <c r="R3339" s="32">
        <v>959100</v>
      </c>
      <c r="T3339" s="32">
        <v>0</v>
      </c>
    </row>
    <row r="3340" spans="2:20" ht="12.75" hidden="1" x14ac:dyDescent="0.25">
      <c r="B3340" s="32">
        <v>18</v>
      </c>
      <c r="F3340" s="32" t="s">
        <v>156</v>
      </c>
      <c r="J3340" s="32">
        <v>3</v>
      </c>
      <c r="P3340" s="32">
        <v>570</v>
      </c>
      <c r="R3340" s="32">
        <v>110</v>
      </c>
      <c r="T3340" s="32">
        <v>460</v>
      </c>
    </row>
    <row r="3341" spans="2:20" ht="12.75" hidden="1" x14ac:dyDescent="0.25">
      <c r="B3341" s="32">
        <v>19</v>
      </c>
      <c r="F3341" s="32" t="s">
        <v>155</v>
      </c>
      <c r="J3341" s="32">
        <v>76</v>
      </c>
      <c r="P3341" s="32">
        <v>19000</v>
      </c>
      <c r="R3341" s="32">
        <v>6478</v>
      </c>
      <c r="T3341" s="32">
        <v>12522</v>
      </c>
    </row>
    <row r="3342" spans="2:20" ht="12.75" hidden="1" x14ac:dyDescent="0.25">
      <c r="B3342" s="32">
        <v>20</v>
      </c>
      <c r="F3342" s="32" t="s">
        <v>154</v>
      </c>
      <c r="J3342" s="32">
        <v>5</v>
      </c>
      <c r="P3342" s="32">
        <v>4450</v>
      </c>
      <c r="R3342" s="32">
        <v>650</v>
      </c>
      <c r="T3342" s="32">
        <v>3800</v>
      </c>
    </row>
    <row r="3343" spans="2:20" ht="12.75" hidden="1" x14ac:dyDescent="0.25">
      <c r="B3343" s="32">
        <v>21</v>
      </c>
      <c r="F3343" s="32" t="s">
        <v>289</v>
      </c>
      <c r="J3343" s="32">
        <v>1</v>
      </c>
      <c r="P3343" s="32">
        <v>500</v>
      </c>
      <c r="R3343" s="32">
        <v>150</v>
      </c>
      <c r="T3343" s="32">
        <v>350</v>
      </c>
    </row>
    <row r="3344" spans="2:20" ht="12.75" hidden="1" x14ac:dyDescent="0.25">
      <c r="B3344" s="32">
        <v>22</v>
      </c>
      <c r="F3344" s="32" t="s">
        <v>320</v>
      </c>
      <c r="J3344" s="32">
        <v>3</v>
      </c>
      <c r="P3344" s="32">
        <v>1500</v>
      </c>
      <c r="R3344" s="32">
        <v>300</v>
      </c>
      <c r="T3344" s="32">
        <v>1200</v>
      </c>
    </row>
    <row r="3345" spans="2:20" ht="12.75" hidden="1" x14ac:dyDescent="0.25">
      <c r="B3345" s="32">
        <v>23</v>
      </c>
      <c r="F3345" s="32" t="s">
        <v>152</v>
      </c>
      <c r="J3345" s="32">
        <v>18</v>
      </c>
      <c r="P3345" s="32">
        <v>10620</v>
      </c>
      <c r="R3345" s="32">
        <v>3240</v>
      </c>
      <c r="T3345" s="32">
        <v>7380</v>
      </c>
    </row>
    <row r="3346" spans="2:20" ht="12.75" hidden="1" x14ac:dyDescent="0.25">
      <c r="B3346" s="32">
        <v>24</v>
      </c>
      <c r="F3346" s="32" t="s">
        <v>151</v>
      </c>
      <c r="J3346" s="32">
        <v>182</v>
      </c>
      <c r="P3346" s="32">
        <v>41860</v>
      </c>
      <c r="R3346" s="32">
        <v>13040</v>
      </c>
      <c r="T3346" s="32">
        <v>28820</v>
      </c>
    </row>
    <row r="3347" spans="2:20" ht="12.75" hidden="1" x14ac:dyDescent="0.25">
      <c r="B3347" s="32">
        <v>25</v>
      </c>
      <c r="F3347" s="32" t="s">
        <v>150</v>
      </c>
      <c r="J3347" s="32">
        <v>24</v>
      </c>
      <c r="P3347" s="32">
        <v>4080</v>
      </c>
      <c r="R3347" s="32">
        <v>1200</v>
      </c>
      <c r="T3347" s="32">
        <v>2880</v>
      </c>
    </row>
    <row r="3348" spans="2:20" ht="12.75" hidden="1" x14ac:dyDescent="0.25">
      <c r="B3348" s="32">
        <v>26</v>
      </c>
      <c r="F3348" s="32" t="s">
        <v>149</v>
      </c>
      <c r="J3348" s="32">
        <v>1</v>
      </c>
      <c r="P3348" s="32">
        <v>50</v>
      </c>
      <c r="R3348" s="32">
        <v>10</v>
      </c>
      <c r="T3348" s="32">
        <v>40</v>
      </c>
    </row>
    <row r="3349" spans="2:20" ht="12.75" hidden="1" x14ac:dyDescent="0.25">
      <c r="B3349" s="32">
        <v>27</v>
      </c>
      <c r="F3349" s="32" t="s">
        <v>288</v>
      </c>
      <c r="J3349" s="32">
        <v>8</v>
      </c>
      <c r="P3349" s="32">
        <v>6400</v>
      </c>
      <c r="R3349" s="32">
        <v>3600</v>
      </c>
      <c r="T3349" s="32">
        <v>2800</v>
      </c>
    </row>
    <row r="3350" spans="2:20" ht="12.75" hidden="1" x14ac:dyDescent="0.25">
      <c r="B3350" s="32">
        <v>28</v>
      </c>
      <c r="F3350" s="32" t="s">
        <v>234</v>
      </c>
      <c r="J3350" s="32">
        <v>2</v>
      </c>
      <c r="P3350" s="32">
        <v>1600</v>
      </c>
      <c r="R3350" s="32">
        <v>850</v>
      </c>
      <c r="T3350" s="32">
        <v>750</v>
      </c>
    </row>
    <row r="3351" spans="2:20" ht="12.75" hidden="1" x14ac:dyDescent="0.25">
      <c r="B3351" s="32">
        <v>29</v>
      </c>
      <c r="F3351" s="32" t="s">
        <v>287</v>
      </c>
      <c r="J3351" s="32">
        <v>2</v>
      </c>
      <c r="P3351" s="32">
        <v>1600</v>
      </c>
      <c r="R3351" s="32">
        <v>608</v>
      </c>
      <c r="T3351" s="32">
        <v>992</v>
      </c>
    </row>
    <row r="3352" spans="2:20" ht="12.75" hidden="1" x14ac:dyDescent="0.25">
      <c r="B3352" s="32">
        <v>30</v>
      </c>
      <c r="F3352" s="32" t="s">
        <v>233</v>
      </c>
      <c r="J3352" s="32">
        <v>1</v>
      </c>
      <c r="P3352" s="32">
        <v>980</v>
      </c>
      <c r="R3352" s="32">
        <v>150</v>
      </c>
      <c r="T3352" s="32">
        <v>830</v>
      </c>
    </row>
    <row r="3353" spans="2:20" ht="12.75" hidden="1" x14ac:dyDescent="0.25">
      <c r="B3353" s="32">
        <v>31</v>
      </c>
      <c r="F3353" s="32" t="s">
        <v>232</v>
      </c>
      <c r="J3353" s="32">
        <v>1</v>
      </c>
      <c r="P3353" s="32">
        <v>980</v>
      </c>
      <c r="R3353" s="32">
        <v>150</v>
      </c>
      <c r="T3353" s="32">
        <v>830</v>
      </c>
    </row>
    <row r="3354" spans="2:20" ht="12.75" hidden="1" x14ac:dyDescent="0.25">
      <c r="B3354" s="32">
        <v>32</v>
      </c>
      <c r="F3354" s="32" t="s">
        <v>193</v>
      </c>
      <c r="J3354" s="32">
        <v>1</v>
      </c>
      <c r="P3354" s="32">
        <v>890</v>
      </c>
      <c r="R3354" s="32">
        <v>130</v>
      </c>
      <c r="T3354" s="32">
        <v>760</v>
      </c>
    </row>
    <row r="3355" spans="2:20" ht="12.75" hidden="1" x14ac:dyDescent="0.25">
      <c r="B3355" s="32">
        <v>33</v>
      </c>
      <c r="F3355" s="32" t="s">
        <v>75</v>
      </c>
      <c r="J3355" s="32">
        <v>1882</v>
      </c>
      <c r="P3355" s="32">
        <v>4702500</v>
      </c>
      <c r="R3355" s="32">
        <v>4702500</v>
      </c>
      <c r="T3355" s="32">
        <v>0</v>
      </c>
    </row>
    <row r="3356" spans="2:20" ht="12.75" hidden="1" x14ac:dyDescent="0.25">
      <c r="B3356" s="32">
        <v>34</v>
      </c>
      <c r="F3356" s="32" t="s">
        <v>231</v>
      </c>
      <c r="J3356" s="32">
        <v>5</v>
      </c>
      <c r="P3356" s="32">
        <v>2500</v>
      </c>
      <c r="R3356" s="32">
        <v>750</v>
      </c>
      <c r="T3356" s="32">
        <v>1750</v>
      </c>
    </row>
    <row r="3357" spans="2:20" ht="12.75" hidden="1" x14ac:dyDescent="0.25">
      <c r="B3357" s="32">
        <v>35</v>
      </c>
      <c r="F3357" s="32" t="s">
        <v>302</v>
      </c>
      <c r="J3357" s="32">
        <v>3</v>
      </c>
      <c r="P3357" s="32">
        <v>2400</v>
      </c>
      <c r="R3357" s="32">
        <v>1350</v>
      </c>
      <c r="T3357" s="32">
        <v>1050</v>
      </c>
    </row>
    <row r="3358" spans="2:20" ht="12.75" hidden="1" x14ac:dyDescent="0.25">
      <c r="B3358" s="32">
        <v>36</v>
      </c>
      <c r="F3358" s="32" t="s">
        <v>138</v>
      </c>
      <c r="J3358" s="32">
        <v>1</v>
      </c>
      <c r="P3358" s="32">
        <v>800</v>
      </c>
      <c r="R3358" s="32">
        <v>400</v>
      </c>
      <c r="T3358" s="32">
        <v>400</v>
      </c>
    </row>
    <row r="3359" spans="2:20" ht="12.75" hidden="1" x14ac:dyDescent="0.25">
      <c r="B3359" s="32">
        <v>37</v>
      </c>
      <c r="F3359" s="32" t="s">
        <v>137</v>
      </c>
      <c r="J3359" s="32">
        <v>4</v>
      </c>
      <c r="P3359" s="32">
        <v>3200</v>
      </c>
      <c r="R3359" s="32">
        <v>1800</v>
      </c>
      <c r="T3359" s="32">
        <v>1400</v>
      </c>
    </row>
    <row r="3360" spans="2:20" ht="12.75" hidden="1" x14ac:dyDescent="0.25">
      <c r="B3360" s="32">
        <v>38</v>
      </c>
      <c r="F3360" s="32" t="s">
        <v>313</v>
      </c>
      <c r="J3360" s="32">
        <v>2</v>
      </c>
      <c r="P3360" s="32">
        <v>1600</v>
      </c>
      <c r="R3360" s="32">
        <v>900</v>
      </c>
      <c r="T3360" s="32">
        <v>700</v>
      </c>
    </row>
    <row r="3361" spans="2:20" ht="12.75" hidden="1" x14ac:dyDescent="0.25">
      <c r="B3361" s="32">
        <v>39</v>
      </c>
      <c r="F3361" s="32" t="s">
        <v>192</v>
      </c>
      <c r="J3361" s="32">
        <v>1</v>
      </c>
      <c r="P3361" s="32">
        <v>1550</v>
      </c>
      <c r="R3361" s="32">
        <v>0</v>
      </c>
      <c r="T3361" s="32">
        <v>1550</v>
      </c>
    </row>
    <row r="3362" spans="2:20" ht="12.75" hidden="1" x14ac:dyDescent="0.25">
      <c r="B3362" s="32">
        <v>40</v>
      </c>
      <c r="F3362" s="32" t="s">
        <v>136</v>
      </c>
      <c r="J3362" s="32">
        <v>23</v>
      </c>
      <c r="P3362" s="32">
        <v>19550</v>
      </c>
      <c r="R3362" s="32">
        <v>4325</v>
      </c>
      <c r="T3362" s="32">
        <v>15225</v>
      </c>
    </row>
    <row r="3363" spans="2:20" ht="12.75" hidden="1" x14ac:dyDescent="0.25">
      <c r="B3363" s="32">
        <v>41</v>
      </c>
      <c r="F3363" s="32" t="s">
        <v>74</v>
      </c>
      <c r="J3363" s="32">
        <v>122</v>
      </c>
      <c r="P3363" s="32">
        <v>103700</v>
      </c>
      <c r="R3363" s="32">
        <v>103700</v>
      </c>
      <c r="T3363" s="32">
        <v>0</v>
      </c>
    </row>
    <row r="3364" spans="2:20" ht="12.75" hidden="1" x14ac:dyDescent="0.25">
      <c r="B3364" s="32">
        <v>42</v>
      </c>
      <c r="F3364" s="32" t="s">
        <v>190</v>
      </c>
      <c r="J3364" s="32">
        <v>3</v>
      </c>
      <c r="P3364" s="32">
        <v>4710</v>
      </c>
      <c r="R3364" s="32">
        <v>653</v>
      </c>
      <c r="T3364" s="32">
        <v>4057</v>
      </c>
    </row>
    <row r="3365" spans="2:20" ht="12.75" hidden="1" x14ac:dyDescent="0.25">
      <c r="B3365" s="32">
        <v>43</v>
      </c>
      <c r="F3365" s="32" t="s">
        <v>230</v>
      </c>
      <c r="J3365" s="32">
        <v>1</v>
      </c>
      <c r="P3365" s="32">
        <v>950</v>
      </c>
      <c r="R3365" s="32">
        <v>140</v>
      </c>
      <c r="T3365" s="32">
        <v>810</v>
      </c>
    </row>
    <row r="3366" spans="2:20" ht="12.75" hidden="1" x14ac:dyDescent="0.25">
      <c r="B3366" s="32">
        <v>44</v>
      </c>
      <c r="F3366" s="32" t="s">
        <v>135</v>
      </c>
      <c r="J3366" s="32">
        <v>1</v>
      </c>
      <c r="P3366" s="32">
        <v>950</v>
      </c>
      <c r="R3366" s="32">
        <v>280</v>
      </c>
      <c r="T3366" s="32">
        <v>670</v>
      </c>
    </row>
    <row r="3367" spans="2:20" ht="12.75" hidden="1" x14ac:dyDescent="0.25">
      <c r="B3367" s="32">
        <v>45</v>
      </c>
      <c r="F3367" s="32" t="s">
        <v>134</v>
      </c>
      <c r="J3367" s="32">
        <v>7</v>
      </c>
      <c r="P3367" s="32">
        <v>25900</v>
      </c>
      <c r="R3367" s="32">
        <v>5600</v>
      </c>
      <c r="T3367" s="32">
        <v>20300</v>
      </c>
    </row>
    <row r="3368" spans="2:20" ht="12.75" hidden="1" x14ac:dyDescent="0.25">
      <c r="B3368" s="32">
        <v>46</v>
      </c>
      <c r="F3368" s="32" t="s">
        <v>133</v>
      </c>
      <c r="J3368" s="32">
        <v>1</v>
      </c>
      <c r="P3368" s="32">
        <v>1090</v>
      </c>
      <c r="R3368" s="32">
        <v>0</v>
      </c>
      <c r="T3368" s="32">
        <v>1090</v>
      </c>
    </row>
    <row r="3369" spans="2:20" ht="12.75" hidden="1" x14ac:dyDescent="0.25">
      <c r="B3369" s="32">
        <v>47</v>
      </c>
      <c r="F3369" s="32" t="s">
        <v>132</v>
      </c>
      <c r="J3369" s="32">
        <v>3</v>
      </c>
      <c r="P3369" s="32">
        <v>3720</v>
      </c>
      <c r="R3369" s="32">
        <v>1110</v>
      </c>
      <c r="T3369" s="32">
        <v>2610</v>
      </c>
    </row>
    <row r="3370" spans="2:20" ht="12.75" hidden="1" x14ac:dyDescent="0.25">
      <c r="B3370" s="32">
        <v>48</v>
      </c>
      <c r="F3370" s="32" t="s">
        <v>131</v>
      </c>
      <c r="J3370" s="32">
        <v>6</v>
      </c>
      <c r="P3370" s="32">
        <v>22200</v>
      </c>
      <c r="R3370" s="32">
        <v>4800</v>
      </c>
      <c r="T3370" s="32">
        <v>17400</v>
      </c>
    </row>
    <row r="3371" spans="2:20" ht="12.75" hidden="1" x14ac:dyDescent="0.25">
      <c r="B3371" s="32">
        <v>49</v>
      </c>
      <c r="F3371" s="32" t="s">
        <v>130</v>
      </c>
      <c r="J3371" s="32">
        <v>2</v>
      </c>
      <c r="P3371" s="32">
        <v>16000</v>
      </c>
      <c r="R3371" s="32">
        <v>8200</v>
      </c>
      <c r="T3371" s="32">
        <v>7800</v>
      </c>
    </row>
    <row r="3372" spans="2:20" ht="12.75" hidden="1" x14ac:dyDescent="0.25">
      <c r="B3372" s="32">
        <v>50</v>
      </c>
      <c r="F3372" s="32" t="s">
        <v>361</v>
      </c>
      <c r="J3372" s="32">
        <v>1</v>
      </c>
      <c r="P3372" s="32">
        <v>2790</v>
      </c>
      <c r="R3372" s="32">
        <v>0</v>
      </c>
      <c r="T3372" s="32">
        <v>2790</v>
      </c>
    </row>
    <row r="3373" spans="2:20" ht="12.75" hidden="1" x14ac:dyDescent="0.25">
      <c r="B3373" s="32">
        <v>51</v>
      </c>
      <c r="F3373" s="32" t="s">
        <v>185</v>
      </c>
      <c r="J3373" s="32">
        <v>2</v>
      </c>
      <c r="P3373" s="32">
        <v>1600</v>
      </c>
      <c r="R3373" s="32">
        <v>900</v>
      </c>
      <c r="T3373" s="32">
        <v>700</v>
      </c>
    </row>
    <row r="3374" spans="2:20" ht="12.75" hidden="1" x14ac:dyDescent="0.25">
      <c r="B3374" s="32">
        <v>52</v>
      </c>
      <c r="F3374" s="32" t="s">
        <v>283</v>
      </c>
      <c r="J3374" s="32">
        <v>1</v>
      </c>
      <c r="P3374" s="32">
        <v>800</v>
      </c>
      <c r="R3374" s="32">
        <v>450</v>
      </c>
      <c r="T3374" s="32">
        <v>350</v>
      </c>
    </row>
    <row r="3375" spans="2:20" ht="12.75" hidden="1" x14ac:dyDescent="0.25">
      <c r="B3375" s="32">
        <v>53</v>
      </c>
      <c r="F3375" s="32" t="s">
        <v>128</v>
      </c>
      <c r="J3375" s="32">
        <v>2</v>
      </c>
      <c r="P3375" s="32">
        <v>2300</v>
      </c>
      <c r="R3375" s="32">
        <v>340</v>
      </c>
      <c r="T3375" s="32">
        <v>1960</v>
      </c>
    </row>
    <row r="3376" spans="2:20" ht="12.75" hidden="1" x14ac:dyDescent="0.25">
      <c r="B3376" s="32">
        <v>54</v>
      </c>
      <c r="F3376" s="32" t="s">
        <v>127</v>
      </c>
      <c r="J3376" s="32">
        <v>31</v>
      </c>
      <c r="P3376" s="32">
        <v>9300</v>
      </c>
      <c r="R3376" s="32">
        <v>2613</v>
      </c>
      <c r="T3376" s="32">
        <v>6687</v>
      </c>
    </row>
    <row r="3377" spans="2:20" ht="12.75" hidden="1" x14ac:dyDescent="0.25">
      <c r="B3377" s="32">
        <v>55</v>
      </c>
      <c r="F3377" s="32" t="s">
        <v>126</v>
      </c>
      <c r="J3377" s="32">
        <v>16</v>
      </c>
      <c r="P3377" s="32">
        <v>3200</v>
      </c>
      <c r="R3377" s="32">
        <v>596</v>
      </c>
      <c r="T3377" s="32">
        <v>2604</v>
      </c>
    </row>
    <row r="3378" spans="2:20" ht="12.75" hidden="1" x14ac:dyDescent="0.25">
      <c r="B3378" s="32">
        <v>56</v>
      </c>
      <c r="F3378" s="32" t="s">
        <v>124</v>
      </c>
      <c r="J3378" s="32">
        <v>11</v>
      </c>
      <c r="P3378" s="32">
        <v>5920</v>
      </c>
      <c r="R3378" s="32">
        <v>1760</v>
      </c>
      <c r="T3378" s="32">
        <v>4160</v>
      </c>
    </row>
    <row r="3379" spans="2:20" ht="12.75" hidden="1" x14ac:dyDescent="0.25">
      <c r="B3379" s="32">
        <v>57</v>
      </c>
      <c r="F3379" s="32" t="s">
        <v>123</v>
      </c>
      <c r="J3379" s="32">
        <v>96</v>
      </c>
      <c r="P3379" s="32">
        <v>74880</v>
      </c>
      <c r="R3379" s="32">
        <v>14081</v>
      </c>
      <c r="T3379" s="32">
        <v>60799</v>
      </c>
    </row>
    <row r="3380" spans="2:20" ht="12.75" hidden="1" x14ac:dyDescent="0.25">
      <c r="B3380" s="32">
        <v>58</v>
      </c>
      <c r="F3380" s="32" t="s">
        <v>227</v>
      </c>
      <c r="J3380" s="32">
        <v>9</v>
      </c>
      <c r="P3380" s="32">
        <v>4500</v>
      </c>
      <c r="R3380" s="32">
        <v>800</v>
      </c>
      <c r="T3380" s="32">
        <v>3700</v>
      </c>
    </row>
    <row r="3381" spans="2:20" ht="12.75" hidden="1" x14ac:dyDescent="0.25">
      <c r="B3381" s="32">
        <v>59</v>
      </c>
      <c r="F3381" s="32" t="s">
        <v>122</v>
      </c>
      <c r="J3381" s="32">
        <v>4</v>
      </c>
      <c r="P3381" s="32">
        <v>2000</v>
      </c>
      <c r="R3381" s="32">
        <v>600</v>
      </c>
      <c r="T3381" s="32">
        <v>1400</v>
      </c>
    </row>
    <row r="3382" spans="2:20" ht="12.75" hidden="1" x14ac:dyDescent="0.25">
      <c r="B3382" s="32">
        <v>60</v>
      </c>
      <c r="F3382" s="32" t="s">
        <v>121</v>
      </c>
      <c r="J3382" s="32">
        <v>8</v>
      </c>
      <c r="P3382" s="32">
        <v>4000</v>
      </c>
      <c r="R3382" s="32">
        <v>1100</v>
      </c>
      <c r="T3382" s="32">
        <v>2900</v>
      </c>
    </row>
    <row r="3383" spans="2:20" ht="12.75" hidden="1" x14ac:dyDescent="0.25">
      <c r="B3383" s="32">
        <v>61</v>
      </c>
      <c r="F3383" s="32" t="s">
        <v>282</v>
      </c>
      <c r="J3383" s="32">
        <v>3</v>
      </c>
      <c r="P3383" s="32">
        <v>1500</v>
      </c>
      <c r="R3383" s="32">
        <v>450</v>
      </c>
      <c r="T3383" s="32">
        <v>1050</v>
      </c>
    </row>
    <row r="3384" spans="2:20" ht="12.75" hidden="1" x14ac:dyDescent="0.25">
      <c r="B3384" s="32">
        <v>62</v>
      </c>
      <c r="F3384" s="32" t="s">
        <v>226</v>
      </c>
      <c r="J3384" s="32">
        <v>1</v>
      </c>
      <c r="P3384" s="32">
        <v>500</v>
      </c>
      <c r="R3384" s="32">
        <v>150</v>
      </c>
      <c r="T3384" s="32">
        <v>350</v>
      </c>
    </row>
    <row r="3385" spans="2:20" ht="12.75" hidden="1" x14ac:dyDescent="0.25">
      <c r="B3385" s="32">
        <v>63</v>
      </c>
      <c r="F3385" s="32" t="s">
        <v>182</v>
      </c>
      <c r="J3385" s="32">
        <v>1</v>
      </c>
      <c r="P3385" s="32">
        <v>790</v>
      </c>
      <c r="R3385" s="32">
        <v>120</v>
      </c>
      <c r="T3385" s="32">
        <v>670</v>
      </c>
    </row>
    <row r="3386" spans="2:20" ht="12.75" hidden="1" x14ac:dyDescent="0.25">
      <c r="B3386" s="32">
        <v>64</v>
      </c>
      <c r="F3386" s="32" t="s">
        <v>119</v>
      </c>
      <c r="J3386" s="32">
        <v>22</v>
      </c>
      <c r="P3386" s="32">
        <v>19580</v>
      </c>
      <c r="R3386" s="32">
        <v>6210</v>
      </c>
      <c r="T3386" s="32">
        <v>13370</v>
      </c>
    </row>
    <row r="3387" spans="2:20" ht="12.75" hidden="1" x14ac:dyDescent="0.25">
      <c r="B3387" s="32">
        <v>65</v>
      </c>
      <c r="F3387" s="32" t="s">
        <v>118</v>
      </c>
      <c r="J3387" s="32">
        <v>223</v>
      </c>
      <c r="P3387" s="32">
        <v>220770</v>
      </c>
      <c r="R3387" s="32">
        <v>74515</v>
      </c>
      <c r="T3387" s="32">
        <v>146255</v>
      </c>
    </row>
    <row r="3388" spans="2:20" ht="12.75" hidden="1" x14ac:dyDescent="0.25">
      <c r="B3388" s="32">
        <v>66</v>
      </c>
      <c r="F3388" s="32" t="s">
        <v>117</v>
      </c>
      <c r="J3388" s="32">
        <v>29</v>
      </c>
      <c r="P3388" s="32">
        <v>23300</v>
      </c>
      <c r="R3388" s="32">
        <v>5670</v>
      </c>
      <c r="T3388" s="32">
        <v>17630</v>
      </c>
    </row>
    <row r="3389" spans="2:20" ht="12.75" hidden="1" x14ac:dyDescent="0.25">
      <c r="B3389" s="32">
        <v>67</v>
      </c>
      <c r="F3389" s="32" t="s">
        <v>116</v>
      </c>
      <c r="J3389" s="32">
        <v>1</v>
      </c>
      <c r="P3389" s="32">
        <v>800</v>
      </c>
      <c r="R3389" s="32">
        <v>200</v>
      </c>
      <c r="T3389" s="32">
        <v>600</v>
      </c>
    </row>
    <row r="3390" spans="2:20" ht="12.75" hidden="1" x14ac:dyDescent="0.25">
      <c r="T3390" s="32"/>
    </row>
    <row r="3391" spans="2:20" ht="12.75" hidden="1" x14ac:dyDescent="0.25">
      <c r="B3391" s="32">
        <v>68</v>
      </c>
      <c r="F3391" s="32" t="s">
        <v>115</v>
      </c>
      <c r="J3391" s="32">
        <v>45</v>
      </c>
      <c r="P3391" s="32">
        <v>13050</v>
      </c>
      <c r="R3391" s="32">
        <v>4135</v>
      </c>
      <c r="T3391" s="32">
        <v>8915</v>
      </c>
    </row>
    <row r="3392" spans="2:20" ht="12.75" hidden="1" x14ac:dyDescent="0.25">
      <c r="B3392" s="32">
        <v>69</v>
      </c>
      <c r="F3392" s="32" t="s">
        <v>360</v>
      </c>
      <c r="J3392" s="32">
        <v>1</v>
      </c>
      <c r="P3392" s="32">
        <v>500</v>
      </c>
      <c r="R3392" s="32">
        <v>150</v>
      </c>
      <c r="T3392" s="32">
        <v>350</v>
      </c>
    </row>
    <row r="3393" spans="2:20" ht="12.75" hidden="1" x14ac:dyDescent="0.25">
      <c r="B3393" s="32">
        <v>70</v>
      </c>
      <c r="F3393" s="32" t="s">
        <v>359</v>
      </c>
      <c r="J3393" s="32">
        <v>1</v>
      </c>
      <c r="P3393" s="32">
        <v>700</v>
      </c>
      <c r="R3393" s="32">
        <v>350</v>
      </c>
      <c r="T3393" s="32">
        <v>350</v>
      </c>
    </row>
    <row r="3394" spans="2:20" ht="12.75" hidden="1" x14ac:dyDescent="0.25">
      <c r="B3394" s="32">
        <v>71</v>
      </c>
      <c r="F3394" s="32" t="s">
        <v>279</v>
      </c>
      <c r="J3394" s="32">
        <v>4</v>
      </c>
      <c r="P3394" s="32">
        <v>2000</v>
      </c>
      <c r="R3394" s="32">
        <v>400</v>
      </c>
      <c r="T3394" s="32">
        <v>1600</v>
      </c>
    </row>
    <row r="3395" spans="2:20" ht="12.75" hidden="1" x14ac:dyDescent="0.25">
      <c r="B3395" s="32">
        <v>72</v>
      </c>
      <c r="F3395" s="32" t="s">
        <v>222</v>
      </c>
      <c r="J3395" s="32">
        <v>2</v>
      </c>
      <c r="P3395" s="32">
        <v>1000</v>
      </c>
      <c r="R3395" s="32">
        <v>300</v>
      </c>
      <c r="T3395" s="32">
        <v>700</v>
      </c>
    </row>
    <row r="3396" spans="2:20" ht="12.75" hidden="1" x14ac:dyDescent="0.25">
      <c r="B3396" s="32">
        <v>73</v>
      </c>
      <c r="F3396" s="32" t="s">
        <v>278</v>
      </c>
      <c r="J3396" s="32">
        <v>1</v>
      </c>
      <c r="P3396" s="32">
        <v>330</v>
      </c>
      <c r="R3396" s="32">
        <v>100</v>
      </c>
      <c r="T3396" s="32">
        <v>230</v>
      </c>
    </row>
    <row r="3397" spans="2:20" ht="12.75" hidden="1" x14ac:dyDescent="0.25">
      <c r="B3397" s="32">
        <v>74</v>
      </c>
      <c r="F3397" s="32" t="s">
        <v>221</v>
      </c>
      <c r="J3397" s="32">
        <v>3</v>
      </c>
      <c r="P3397" s="32">
        <v>2970</v>
      </c>
      <c r="R3397" s="32">
        <v>900</v>
      </c>
      <c r="T3397" s="32">
        <v>2070</v>
      </c>
    </row>
    <row r="3398" spans="2:20" ht="12.75" hidden="1" x14ac:dyDescent="0.25">
      <c r="B3398" s="32">
        <v>75</v>
      </c>
      <c r="F3398" s="32" t="s">
        <v>327</v>
      </c>
      <c r="J3398" s="32">
        <v>1</v>
      </c>
      <c r="P3398" s="32">
        <v>880</v>
      </c>
      <c r="R3398" s="32">
        <v>130</v>
      </c>
      <c r="T3398" s="32">
        <v>750</v>
      </c>
    </row>
    <row r="3399" spans="2:20" ht="12.75" hidden="1" x14ac:dyDescent="0.25">
      <c r="B3399" s="32">
        <v>76</v>
      </c>
      <c r="F3399" s="32" t="s">
        <v>219</v>
      </c>
      <c r="J3399" s="32">
        <v>12</v>
      </c>
      <c r="P3399" s="32">
        <v>6000</v>
      </c>
      <c r="R3399" s="32">
        <v>1400</v>
      </c>
      <c r="T3399" s="32">
        <v>4600</v>
      </c>
    </row>
    <row r="3400" spans="2:20" ht="12.75" hidden="1" x14ac:dyDescent="0.25">
      <c r="B3400" s="32">
        <v>77</v>
      </c>
      <c r="F3400" s="32" t="s">
        <v>181</v>
      </c>
      <c r="J3400" s="32">
        <v>2</v>
      </c>
      <c r="P3400" s="32">
        <v>1580</v>
      </c>
      <c r="R3400" s="32">
        <v>240</v>
      </c>
      <c r="T3400" s="32">
        <v>1340</v>
      </c>
    </row>
    <row r="3401" spans="2:20" ht="12.75" hidden="1" x14ac:dyDescent="0.25">
      <c r="B3401" s="32">
        <v>78</v>
      </c>
      <c r="F3401" s="32" t="s">
        <v>171</v>
      </c>
      <c r="J3401" s="32">
        <v>2</v>
      </c>
      <c r="P3401" s="32">
        <v>1060</v>
      </c>
      <c r="R3401" s="32">
        <v>320</v>
      </c>
      <c r="T3401" s="32">
        <v>740</v>
      </c>
    </row>
    <row r="3402" spans="2:20" ht="12.75" hidden="1" x14ac:dyDescent="0.25">
      <c r="B3402" s="32">
        <v>79</v>
      </c>
      <c r="F3402" s="32" t="s">
        <v>111</v>
      </c>
      <c r="J3402" s="32">
        <v>1</v>
      </c>
      <c r="P3402" s="32">
        <v>430</v>
      </c>
      <c r="R3402" s="32">
        <v>130</v>
      </c>
      <c r="T3402" s="32">
        <v>300</v>
      </c>
    </row>
    <row r="3403" spans="2:20" ht="12.75" hidden="1" x14ac:dyDescent="0.25">
      <c r="B3403" s="32">
        <v>80</v>
      </c>
      <c r="F3403" s="32" t="s">
        <v>109</v>
      </c>
      <c r="J3403" s="32">
        <v>5</v>
      </c>
      <c r="P3403" s="32">
        <v>3900</v>
      </c>
      <c r="R3403" s="32">
        <v>1150</v>
      </c>
      <c r="T3403" s="32">
        <v>2750</v>
      </c>
    </row>
    <row r="3404" spans="2:20" ht="12.75" hidden="1" x14ac:dyDescent="0.25">
      <c r="B3404" s="32">
        <v>81</v>
      </c>
      <c r="F3404" s="32" t="s">
        <v>108</v>
      </c>
      <c r="J3404" s="32">
        <v>408</v>
      </c>
      <c r="P3404" s="32">
        <v>40800</v>
      </c>
      <c r="R3404" s="32">
        <v>8960</v>
      </c>
      <c r="T3404" s="32">
        <v>31840</v>
      </c>
    </row>
    <row r="3405" spans="2:20" ht="12.75" hidden="1" x14ac:dyDescent="0.25">
      <c r="B3405" s="32">
        <v>82</v>
      </c>
      <c r="F3405" s="32" t="s">
        <v>107</v>
      </c>
      <c r="J3405" s="32">
        <v>28</v>
      </c>
      <c r="P3405" s="32">
        <v>4760</v>
      </c>
      <c r="R3405" s="32">
        <v>1400</v>
      </c>
      <c r="T3405" s="32">
        <v>3360</v>
      </c>
    </row>
    <row r="3406" spans="2:20" ht="12.75" hidden="1" x14ac:dyDescent="0.25">
      <c r="B3406" s="32">
        <v>83</v>
      </c>
      <c r="F3406" s="32" t="s">
        <v>255</v>
      </c>
      <c r="J3406" s="32">
        <v>1</v>
      </c>
      <c r="P3406" s="32">
        <v>950</v>
      </c>
      <c r="R3406" s="32">
        <v>140</v>
      </c>
      <c r="T3406" s="32">
        <v>810</v>
      </c>
    </row>
    <row r="3407" spans="2:20" ht="12.75" hidden="1" x14ac:dyDescent="0.25">
      <c r="B3407" s="32">
        <v>84</v>
      </c>
      <c r="F3407" s="32" t="s">
        <v>105</v>
      </c>
      <c r="J3407" s="32">
        <v>1</v>
      </c>
      <c r="P3407" s="32">
        <v>1150</v>
      </c>
      <c r="R3407" s="32">
        <v>0</v>
      </c>
      <c r="T3407" s="32">
        <v>1150</v>
      </c>
    </row>
    <row r="3408" spans="2:20" ht="12.75" hidden="1" x14ac:dyDescent="0.25">
      <c r="B3408" s="32">
        <v>85</v>
      </c>
      <c r="F3408" s="32" t="s">
        <v>103</v>
      </c>
      <c r="J3408" s="32">
        <v>211</v>
      </c>
      <c r="P3408" s="32">
        <v>69630</v>
      </c>
      <c r="R3408" s="32">
        <v>14119</v>
      </c>
      <c r="T3408" s="32">
        <v>55511</v>
      </c>
    </row>
    <row r="3409" spans="2:20" ht="12.75" hidden="1" x14ac:dyDescent="0.25">
      <c r="B3409" s="32">
        <v>86</v>
      </c>
      <c r="F3409" s="32" t="s">
        <v>212</v>
      </c>
      <c r="J3409" s="32">
        <v>3</v>
      </c>
      <c r="P3409" s="32">
        <v>1500</v>
      </c>
      <c r="R3409" s="32">
        <v>300</v>
      </c>
      <c r="T3409" s="32">
        <v>1200</v>
      </c>
    </row>
    <row r="3410" spans="2:20" ht="12.75" hidden="1" x14ac:dyDescent="0.25">
      <c r="B3410" s="32">
        <v>87</v>
      </c>
      <c r="F3410" s="32" t="s">
        <v>211</v>
      </c>
      <c r="J3410" s="32">
        <v>2</v>
      </c>
      <c r="P3410" s="32">
        <v>1000</v>
      </c>
      <c r="R3410" s="32">
        <v>300</v>
      </c>
      <c r="T3410" s="32">
        <v>700</v>
      </c>
    </row>
    <row r="3411" spans="2:20" ht="12.75" hidden="1" x14ac:dyDescent="0.25">
      <c r="B3411" s="32">
        <v>88</v>
      </c>
      <c r="F3411" s="32" t="s">
        <v>275</v>
      </c>
      <c r="J3411" s="32">
        <v>1</v>
      </c>
      <c r="P3411" s="32">
        <v>500</v>
      </c>
      <c r="R3411" s="32">
        <v>150</v>
      </c>
      <c r="T3411" s="32">
        <v>350</v>
      </c>
    </row>
    <row r="3412" spans="2:20" ht="12.75" hidden="1" x14ac:dyDescent="0.25">
      <c r="B3412" s="32">
        <v>89</v>
      </c>
      <c r="F3412" s="32" t="s">
        <v>307</v>
      </c>
      <c r="J3412" s="32">
        <v>5</v>
      </c>
      <c r="P3412" s="32">
        <v>3700</v>
      </c>
      <c r="R3412" s="32">
        <v>1621</v>
      </c>
      <c r="T3412" s="32">
        <v>2079</v>
      </c>
    </row>
    <row r="3413" spans="2:20" ht="12.75" hidden="1" x14ac:dyDescent="0.25">
      <c r="B3413" s="32">
        <v>90</v>
      </c>
      <c r="F3413" s="32" t="s">
        <v>358</v>
      </c>
      <c r="J3413" s="32">
        <v>1</v>
      </c>
      <c r="P3413" s="32">
        <v>390</v>
      </c>
      <c r="R3413" s="32">
        <v>200</v>
      </c>
      <c r="T3413" s="32">
        <v>190</v>
      </c>
    </row>
    <row r="3414" spans="2:20" ht="12.75" hidden="1" x14ac:dyDescent="0.25">
      <c r="B3414" s="32">
        <v>91</v>
      </c>
      <c r="F3414" s="32" t="s">
        <v>102</v>
      </c>
      <c r="J3414" s="32">
        <v>7</v>
      </c>
      <c r="P3414" s="32">
        <v>6160</v>
      </c>
      <c r="R3414" s="32">
        <v>910</v>
      </c>
      <c r="T3414" s="32">
        <v>5250</v>
      </c>
    </row>
    <row r="3415" spans="2:20" ht="12.75" hidden="1" x14ac:dyDescent="0.25">
      <c r="B3415" s="32">
        <v>92</v>
      </c>
      <c r="F3415" s="32" t="s">
        <v>101</v>
      </c>
      <c r="J3415" s="32">
        <v>2</v>
      </c>
      <c r="P3415" s="32">
        <v>920</v>
      </c>
      <c r="R3415" s="32">
        <v>280</v>
      </c>
      <c r="T3415" s="32">
        <v>640</v>
      </c>
    </row>
    <row r="3416" spans="2:20" ht="12.75" hidden="1" x14ac:dyDescent="0.25">
      <c r="B3416" s="32">
        <v>93</v>
      </c>
      <c r="F3416" s="32" t="s">
        <v>254</v>
      </c>
      <c r="J3416" s="32">
        <v>2</v>
      </c>
      <c r="P3416" s="32">
        <v>580</v>
      </c>
      <c r="R3416" s="32">
        <v>160</v>
      </c>
      <c r="T3416" s="32">
        <v>420</v>
      </c>
    </row>
    <row r="3417" spans="2:20" ht="12.75" hidden="1" x14ac:dyDescent="0.25">
      <c r="B3417" s="32">
        <v>94</v>
      </c>
      <c r="F3417" s="32" t="s">
        <v>100</v>
      </c>
      <c r="J3417" s="32">
        <v>4</v>
      </c>
      <c r="P3417" s="32">
        <v>720</v>
      </c>
      <c r="R3417" s="32">
        <v>200</v>
      </c>
      <c r="T3417" s="32">
        <v>520</v>
      </c>
    </row>
    <row r="3418" spans="2:20" ht="12.75" hidden="1" x14ac:dyDescent="0.25">
      <c r="B3418" s="32">
        <v>95</v>
      </c>
      <c r="F3418" s="32" t="s">
        <v>178</v>
      </c>
      <c r="J3418" s="32">
        <v>4</v>
      </c>
      <c r="P3418" s="32">
        <v>6600</v>
      </c>
      <c r="R3418" s="32">
        <v>0</v>
      </c>
      <c r="T3418" s="32">
        <v>6600</v>
      </c>
    </row>
    <row r="3419" spans="2:20" ht="12.75" hidden="1" x14ac:dyDescent="0.25">
      <c r="B3419" s="32">
        <v>96</v>
      </c>
      <c r="F3419" s="32" t="s">
        <v>99</v>
      </c>
      <c r="J3419" s="32">
        <v>2</v>
      </c>
      <c r="P3419" s="32">
        <v>1180</v>
      </c>
      <c r="R3419" s="32">
        <v>180</v>
      </c>
      <c r="T3419" s="32">
        <v>1000</v>
      </c>
    </row>
    <row r="3420" spans="2:20" ht="12.75" hidden="1" x14ac:dyDescent="0.25">
      <c r="B3420" s="32">
        <v>97</v>
      </c>
      <c r="F3420" s="32" t="s">
        <v>98</v>
      </c>
      <c r="J3420" s="32">
        <v>2</v>
      </c>
      <c r="P3420" s="32">
        <v>1140</v>
      </c>
      <c r="R3420" s="32">
        <v>160</v>
      </c>
      <c r="T3420" s="32">
        <v>980</v>
      </c>
    </row>
    <row r="3421" spans="2:20" ht="12.75" hidden="1" x14ac:dyDescent="0.25">
      <c r="B3421" s="32">
        <v>98</v>
      </c>
      <c r="F3421" s="32" t="s">
        <v>97</v>
      </c>
      <c r="J3421" s="32">
        <v>3</v>
      </c>
      <c r="P3421" s="32">
        <v>4770</v>
      </c>
      <c r="R3421" s="32">
        <v>720</v>
      </c>
      <c r="T3421" s="32">
        <v>4050</v>
      </c>
    </row>
    <row r="3422" spans="2:20" ht="12.75" hidden="1" x14ac:dyDescent="0.25">
      <c r="B3422" s="32">
        <v>99</v>
      </c>
      <c r="F3422" s="32" t="s">
        <v>93</v>
      </c>
      <c r="J3422" s="32">
        <v>13</v>
      </c>
      <c r="P3422" s="32">
        <v>7670</v>
      </c>
      <c r="R3422" s="32">
        <v>1170</v>
      </c>
      <c r="T3422" s="32">
        <v>6500</v>
      </c>
    </row>
    <row r="3423" spans="2:20" ht="12.75" hidden="1" x14ac:dyDescent="0.25">
      <c r="B3423" s="32">
        <v>100</v>
      </c>
      <c r="F3423" s="32" t="s">
        <v>92</v>
      </c>
      <c r="J3423" s="32">
        <v>67</v>
      </c>
      <c r="P3423" s="32">
        <v>41760</v>
      </c>
      <c r="R3423" s="32">
        <v>11808</v>
      </c>
      <c r="T3423" s="32">
        <v>29952</v>
      </c>
    </row>
    <row r="3424" spans="2:20" ht="12.75" hidden="1" x14ac:dyDescent="0.25">
      <c r="B3424" s="32">
        <v>101</v>
      </c>
      <c r="F3424" s="32" t="s">
        <v>175</v>
      </c>
      <c r="J3424" s="32">
        <v>13</v>
      </c>
      <c r="P3424" s="32">
        <v>7800</v>
      </c>
      <c r="R3424" s="32">
        <v>1032</v>
      </c>
      <c r="T3424" s="32">
        <v>6768</v>
      </c>
    </row>
    <row r="3425" spans="2:20" ht="12.75" hidden="1" x14ac:dyDescent="0.25">
      <c r="B3425" s="32">
        <v>102</v>
      </c>
      <c r="F3425" s="32" t="s">
        <v>357</v>
      </c>
      <c r="J3425" s="32">
        <v>1</v>
      </c>
      <c r="P3425" s="32">
        <v>500</v>
      </c>
      <c r="R3425" s="32">
        <v>150</v>
      </c>
      <c r="T3425" s="32">
        <v>350</v>
      </c>
    </row>
    <row r="3426" spans="2:20" ht="12.75" hidden="1" x14ac:dyDescent="0.25">
      <c r="B3426" s="32">
        <v>103</v>
      </c>
      <c r="F3426" s="32" t="s">
        <v>174</v>
      </c>
      <c r="J3426" s="32">
        <v>20</v>
      </c>
      <c r="P3426" s="32">
        <v>8000</v>
      </c>
      <c r="R3426" s="32">
        <v>1976</v>
      </c>
      <c r="T3426" s="32">
        <v>6024</v>
      </c>
    </row>
    <row r="3427" spans="2:20" ht="12.75" hidden="1" x14ac:dyDescent="0.25">
      <c r="B3427" s="32">
        <v>104</v>
      </c>
      <c r="F3427" s="32" t="s">
        <v>356</v>
      </c>
      <c r="J3427" s="32">
        <v>1</v>
      </c>
      <c r="P3427" s="32">
        <v>800</v>
      </c>
      <c r="R3427" s="32">
        <v>240</v>
      </c>
      <c r="T3427" s="32">
        <v>560</v>
      </c>
    </row>
    <row r="3428" spans="2:20" ht="12.75" hidden="1" x14ac:dyDescent="0.25">
      <c r="B3428" s="32">
        <v>105</v>
      </c>
      <c r="F3428" s="32" t="s">
        <v>355</v>
      </c>
      <c r="J3428" s="32">
        <v>4</v>
      </c>
      <c r="P3428" s="32">
        <v>2400</v>
      </c>
      <c r="R3428" s="32">
        <v>462</v>
      </c>
      <c r="T3428" s="32">
        <v>1938</v>
      </c>
    </row>
    <row r="3429" spans="2:20" ht="12.75" hidden="1" x14ac:dyDescent="0.25">
      <c r="B3429" s="32">
        <v>106</v>
      </c>
      <c r="F3429" s="32" t="s">
        <v>173</v>
      </c>
      <c r="J3429" s="32">
        <v>18</v>
      </c>
      <c r="P3429" s="32">
        <v>18000</v>
      </c>
      <c r="R3429" s="32">
        <v>3400</v>
      </c>
      <c r="T3429" s="32">
        <v>14600</v>
      </c>
    </row>
    <row r="3430" spans="2:20" ht="12.75" hidden="1" x14ac:dyDescent="0.25">
      <c r="B3430" s="32">
        <v>107</v>
      </c>
      <c r="F3430" s="32" t="s">
        <v>296</v>
      </c>
      <c r="J3430" s="32">
        <v>1</v>
      </c>
      <c r="P3430" s="32">
        <v>1200</v>
      </c>
      <c r="R3430" s="32">
        <v>204</v>
      </c>
      <c r="T3430" s="32">
        <v>996</v>
      </c>
    </row>
    <row r="3431" spans="2:20" ht="12.75" hidden="1" x14ac:dyDescent="0.25">
      <c r="B3431" s="32">
        <v>108</v>
      </c>
      <c r="F3431" s="32" t="s">
        <v>91</v>
      </c>
      <c r="J3431" s="32">
        <v>66</v>
      </c>
      <c r="P3431" s="32">
        <v>16500</v>
      </c>
      <c r="R3431" s="32">
        <v>4420</v>
      </c>
      <c r="T3431" s="32">
        <v>12080</v>
      </c>
    </row>
    <row r="3432" spans="2:20" ht="12.75" hidden="1" x14ac:dyDescent="0.25">
      <c r="B3432" s="32">
        <v>109</v>
      </c>
      <c r="F3432" s="32" t="s">
        <v>90</v>
      </c>
      <c r="J3432" s="32">
        <v>31</v>
      </c>
      <c r="P3432" s="32">
        <v>8990</v>
      </c>
      <c r="R3432" s="32">
        <v>2400</v>
      </c>
      <c r="T3432" s="32">
        <v>6590</v>
      </c>
    </row>
    <row r="3433" spans="2:20" ht="12.75" hidden="1" x14ac:dyDescent="0.25">
      <c r="B3433" s="32">
        <v>110</v>
      </c>
      <c r="F3433" s="32" t="s">
        <v>89</v>
      </c>
      <c r="J3433" s="32">
        <v>10</v>
      </c>
      <c r="P3433" s="32">
        <v>8800</v>
      </c>
      <c r="R3433" s="32">
        <v>1300</v>
      </c>
      <c r="T3433" s="32">
        <v>7500</v>
      </c>
    </row>
    <row r="3434" spans="2:20" ht="12.75" hidden="1" x14ac:dyDescent="0.25">
      <c r="B3434" s="32">
        <v>111</v>
      </c>
      <c r="F3434" s="32" t="s">
        <v>88</v>
      </c>
      <c r="J3434" s="32">
        <v>69</v>
      </c>
      <c r="P3434" s="32">
        <v>12420</v>
      </c>
      <c r="R3434" s="32">
        <v>3860</v>
      </c>
      <c r="T3434" s="32">
        <v>8560</v>
      </c>
    </row>
    <row r="3435" spans="2:20" ht="12.75" hidden="1" x14ac:dyDescent="0.25">
      <c r="B3435" s="32">
        <v>112</v>
      </c>
      <c r="F3435" s="32" t="s">
        <v>85</v>
      </c>
      <c r="J3435" s="32">
        <v>7</v>
      </c>
      <c r="P3435" s="32">
        <v>14560</v>
      </c>
      <c r="R3435" s="32">
        <v>2170</v>
      </c>
      <c r="T3435" s="32">
        <v>12390</v>
      </c>
    </row>
    <row r="3436" spans="2:20" ht="12.75" hidden="1" x14ac:dyDescent="0.25">
      <c r="B3436" s="32">
        <v>113</v>
      </c>
      <c r="F3436" s="32" t="s">
        <v>84</v>
      </c>
      <c r="J3436" s="32">
        <v>36</v>
      </c>
      <c r="P3436" s="32">
        <v>21240</v>
      </c>
      <c r="R3436" s="32">
        <v>6116</v>
      </c>
      <c r="T3436" s="32">
        <v>15124</v>
      </c>
    </row>
    <row r="3437" spans="2:20" ht="12.75" hidden="1" x14ac:dyDescent="0.25">
      <c r="B3437" s="32">
        <v>114</v>
      </c>
      <c r="F3437" s="32" t="s">
        <v>331</v>
      </c>
      <c r="J3437" s="32">
        <v>1</v>
      </c>
      <c r="P3437" s="32">
        <v>500</v>
      </c>
      <c r="R3437" s="32">
        <v>150</v>
      </c>
      <c r="T3437" s="32">
        <v>350</v>
      </c>
    </row>
    <row r="3438" spans="2:20" ht="12.75" hidden="1" x14ac:dyDescent="0.25">
      <c r="B3438" s="32">
        <v>115</v>
      </c>
      <c r="F3438" s="32" t="s">
        <v>208</v>
      </c>
      <c r="J3438" s="32">
        <v>1</v>
      </c>
      <c r="P3438" s="32">
        <v>500</v>
      </c>
      <c r="R3438" s="32">
        <v>150</v>
      </c>
      <c r="T3438" s="32">
        <v>350</v>
      </c>
    </row>
    <row r="3439" spans="2:20" ht="12.75" hidden="1" x14ac:dyDescent="0.25">
      <c r="B3439" s="32">
        <v>116</v>
      </c>
      <c r="F3439" s="32" t="s">
        <v>273</v>
      </c>
      <c r="J3439" s="32">
        <v>1</v>
      </c>
      <c r="P3439" s="32">
        <v>500</v>
      </c>
      <c r="R3439" s="32">
        <v>150</v>
      </c>
      <c r="T3439" s="32">
        <v>350</v>
      </c>
    </row>
    <row r="3440" spans="2:20" ht="12.75" hidden="1" x14ac:dyDescent="0.25">
      <c r="B3440" s="32">
        <v>117</v>
      </c>
      <c r="F3440" s="32" t="s">
        <v>206</v>
      </c>
      <c r="J3440" s="32">
        <v>4</v>
      </c>
      <c r="P3440" s="32">
        <v>2000</v>
      </c>
      <c r="R3440" s="32">
        <v>600</v>
      </c>
      <c r="T3440" s="32">
        <v>1400</v>
      </c>
    </row>
    <row r="3441" spans="1:20" ht="12.75" hidden="1" x14ac:dyDescent="0.25">
      <c r="B3441" s="32">
        <v>118</v>
      </c>
      <c r="F3441" s="32" t="s">
        <v>272</v>
      </c>
      <c r="J3441" s="32">
        <v>6</v>
      </c>
      <c r="P3441" s="32">
        <v>3000</v>
      </c>
      <c r="R3441" s="32">
        <v>900</v>
      </c>
      <c r="T3441" s="32">
        <v>2100</v>
      </c>
    </row>
    <row r="3442" spans="1:20" ht="12.75" hidden="1" x14ac:dyDescent="0.25">
      <c r="B3442" s="32">
        <v>119</v>
      </c>
      <c r="F3442" s="32" t="s">
        <v>205</v>
      </c>
      <c r="J3442" s="32">
        <v>4</v>
      </c>
      <c r="P3442" s="32">
        <v>2000</v>
      </c>
      <c r="R3442" s="32">
        <v>600</v>
      </c>
      <c r="T3442" s="32">
        <v>1400</v>
      </c>
    </row>
    <row r="3443" spans="1:20" ht="12.75" hidden="1" x14ac:dyDescent="0.25">
      <c r="B3443" s="32">
        <v>120</v>
      </c>
      <c r="F3443" s="32" t="s">
        <v>204</v>
      </c>
      <c r="J3443" s="32">
        <v>2</v>
      </c>
      <c r="P3443" s="32">
        <v>1000</v>
      </c>
      <c r="R3443" s="32">
        <v>300</v>
      </c>
      <c r="T3443" s="32">
        <v>700</v>
      </c>
    </row>
    <row r="3444" spans="1:20" ht="12.75" hidden="1" x14ac:dyDescent="0.25">
      <c r="B3444" s="32">
        <v>121</v>
      </c>
      <c r="F3444" s="32" t="s">
        <v>83</v>
      </c>
      <c r="J3444" s="32">
        <v>6</v>
      </c>
      <c r="P3444" s="32">
        <v>3000</v>
      </c>
      <c r="R3444" s="32">
        <v>750</v>
      </c>
      <c r="T3444" s="32">
        <v>2250</v>
      </c>
    </row>
    <row r="3445" spans="1:20" ht="12.75" hidden="1" x14ac:dyDescent="0.25">
      <c r="B3445" s="32">
        <v>122</v>
      </c>
      <c r="F3445" s="32" t="s">
        <v>271</v>
      </c>
      <c r="J3445" s="32">
        <v>4</v>
      </c>
      <c r="P3445" s="32">
        <v>2000</v>
      </c>
      <c r="R3445" s="32">
        <v>600</v>
      </c>
      <c r="T3445" s="32">
        <v>1400</v>
      </c>
    </row>
    <row r="3446" spans="1:20" ht="12.75" hidden="1" x14ac:dyDescent="0.25">
      <c r="B3446" s="32">
        <v>123</v>
      </c>
      <c r="F3446" s="32" t="s">
        <v>203</v>
      </c>
      <c r="J3446" s="32">
        <v>1</v>
      </c>
      <c r="P3446" s="32">
        <v>500</v>
      </c>
      <c r="R3446" s="32">
        <v>150</v>
      </c>
      <c r="T3446" s="32">
        <v>350</v>
      </c>
    </row>
    <row r="3447" spans="1:20" ht="12.75" hidden="1" x14ac:dyDescent="0.25">
      <c r="B3447" s="32">
        <v>124</v>
      </c>
      <c r="F3447" s="32" t="s">
        <v>81</v>
      </c>
      <c r="J3447" s="32">
        <v>67</v>
      </c>
      <c r="P3447" s="32">
        <v>19430</v>
      </c>
      <c r="R3447" s="32">
        <v>5120</v>
      </c>
      <c r="T3447" s="32">
        <v>14310</v>
      </c>
    </row>
    <row r="3448" spans="1:20" ht="12.75" hidden="1" x14ac:dyDescent="0.25">
      <c r="A3448" s="32" t="s">
        <v>354</v>
      </c>
      <c r="K3448" s="32">
        <v>7379</v>
      </c>
      <c r="P3448" s="32">
        <v>6921100</v>
      </c>
      <c r="R3448" s="32">
        <v>6201688</v>
      </c>
      <c r="T3448" s="32">
        <v>719412</v>
      </c>
    </row>
    <row r="3449" spans="1:20" ht="12.75" hidden="1" x14ac:dyDescent="0.25">
      <c r="B3449" s="32">
        <v>1</v>
      </c>
      <c r="F3449" s="32" t="s">
        <v>78</v>
      </c>
      <c r="J3449" s="32">
        <v>258</v>
      </c>
      <c r="P3449" s="32">
        <v>74820</v>
      </c>
      <c r="R3449" s="32">
        <v>74820</v>
      </c>
      <c r="T3449" s="32">
        <v>0</v>
      </c>
    </row>
    <row r="3450" spans="1:20" ht="12.75" hidden="1" x14ac:dyDescent="0.25">
      <c r="B3450" s="32">
        <v>2</v>
      </c>
      <c r="F3450" s="32" t="s">
        <v>165</v>
      </c>
      <c r="J3450" s="32">
        <v>2</v>
      </c>
      <c r="P3450" s="32">
        <v>1180</v>
      </c>
      <c r="R3450" s="32">
        <v>360</v>
      </c>
      <c r="T3450" s="32">
        <v>820</v>
      </c>
    </row>
    <row r="3451" spans="1:20" ht="12.75" hidden="1" x14ac:dyDescent="0.25">
      <c r="B3451" s="32">
        <v>3</v>
      </c>
      <c r="F3451" s="32" t="s">
        <v>163</v>
      </c>
      <c r="J3451" s="32">
        <v>3</v>
      </c>
      <c r="P3451" s="32">
        <v>3570</v>
      </c>
      <c r="R3451" s="32">
        <v>540</v>
      </c>
      <c r="T3451" s="32">
        <v>3030</v>
      </c>
    </row>
    <row r="3452" spans="1:20" ht="12.75" hidden="1" x14ac:dyDescent="0.25">
      <c r="B3452" s="32">
        <v>4</v>
      </c>
      <c r="F3452" s="32" t="s">
        <v>162</v>
      </c>
      <c r="J3452" s="32">
        <v>168</v>
      </c>
      <c r="P3452" s="32">
        <v>72240</v>
      </c>
      <c r="R3452" s="32">
        <v>31216</v>
      </c>
      <c r="T3452" s="32">
        <v>41024</v>
      </c>
    </row>
    <row r="3453" spans="1:20" ht="12.75" hidden="1" x14ac:dyDescent="0.25">
      <c r="B3453" s="32">
        <v>5</v>
      </c>
      <c r="F3453" s="32" t="s">
        <v>160</v>
      </c>
      <c r="J3453" s="32">
        <v>11</v>
      </c>
      <c r="P3453" s="32">
        <v>3190</v>
      </c>
      <c r="R3453" s="32">
        <v>800</v>
      </c>
      <c r="T3453" s="32">
        <v>2390</v>
      </c>
    </row>
    <row r="3454" spans="1:20" ht="12.75" hidden="1" x14ac:dyDescent="0.25">
      <c r="B3454" s="32">
        <v>6</v>
      </c>
      <c r="F3454" s="32" t="s">
        <v>158</v>
      </c>
      <c r="J3454" s="32">
        <v>203</v>
      </c>
      <c r="P3454" s="32">
        <v>111650</v>
      </c>
      <c r="R3454" s="32">
        <v>24150</v>
      </c>
      <c r="T3454" s="32">
        <v>87500</v>
      </c>
    </row>
    <row r="3455" spans="1:20" ht="12.75" hidden="1" x14ac:dyDescent="0.25">
      <c r="B3455" s="32">
        <v>7</v>
      </c>
      <c r="F3455" s="32" t="s">
        <v>157</v>
      </c>
      <c r="J3455" s="32">
        <v>285</v>
      </c>
      <c r="P3455" s="32">
        <v>139650</v>
      </c>
      <c r="R3455" s="32">
        <v>59454</v>
      </c>
      <c r="T3455" s="32">
        <v>80196</v>
      </c>
    </row>
    <row r="3456" spans="1:20" ht="12.75" hidden="1" x14ac:dyDescent="0.25">
      <c r="B3456" s="32">
        <v>8</v>
      </c>
      <c r="F3456" s="32" t="s">
        <v>196</v>
      </c>
      <c r="J3456" s="32">
        <v>2</v>
      </c>
      <c r="P3456" s="32">
        <v>1400</v>
      </c>
      <c r="R3456" s="32">
        <v>700</v>
      </c>
      <c r="T3456" s="32">
        <v>700</v>
      </c>
    </row>
    <row r="3457" spans="2:20" ht="12.75" hidden="1" x14ac:dyDescent="0.25">
      <c r="B3457" s="32">
        <v>9</v>
      </c>
      <c r="F3457" s="32" t="s">
        <v>328</v>
      </c>
      <c r="J3457" s="32">
        <v>1</v>
      </c>
      <c r="P3457" s="32">
        <v>500</v>
      </c>
      <c r="R3457" s="32">
        <v>150</v>
      </c>
      <c r="T3457" s="32">
        <v>350</v>
      </c>
    </row>
    <row r="3458" spans="2:20" ht="12.75" hidden="1" x14ac:dyDescent="0.25">
      <c r="B3458" s="32">
        <v>10</v>
      </c>
      <c r="F3458" s="32" t="s">
        <v>244</v>
      </c>
      <c r="J3458" s="32">
        <v>1</v>
      </c>
      <c r="P3458" s="32">
        <v>500</v>
      </c>
      <c r="R3458" s="32">
        <v>500</v>
      </c>
      <c r="T3458" s="32">
        <v>0</v>
      </c>
    </row>
    <row r="3459" spans="2:20" ht="12.75" hidden="1" x14ac:dyDescent="0.25">
      <c r="B3459" s="32">
        <v>11</v>
      </c>
      <c r="F3459" s="32" t="s">
        <v>77</v>
      </c>
      <c r="J3459" s="32">
        <v>1444</v>
      </c>
      <c r="P3459" s="32">
        <v>577800</v>
      </c>
      <c r="R3459" s="32">
        <v>577800</v>
      </c>
      <c r="T3459" s="32">
        <v>0</v>
      </c>
    </row>
    <row r="3460" spans="2:20" ht="12.75" hidden="1" x14ac:dyDescent="0.25">
      <c r="B3460" s="32">
        <v>12</v>
      </c>
      <c r="F3460" s="32" t="s">
        <v>76</v>
      </c>
      <c r="J3460" s="32">
        <v>2</v>
      </c>
      <c r="P3460" s="32">
        <v>1200</v>
      </c>
      <c r="R3460" s="32">
        <v>1200</v>
      </c>
      <c r="T3460" s="32">
        <v>0</v>
      </c>
    </row>
    <row r="3461" spans="2:20" ht="12.75" hidden="1" x14ac:dyDescent="0.25">
      <c r="B3461" s="32">
        <v>13</v>
      </c>
      <c r="F3461" s="32" t="s">
        <v>156</v>
      </c>
      <c r="J3461" s="32">
        <v>7</v>
      </c>
      <c r="P3461" s="32">
        <v>1330</v>
      </c>
      <c r="R3461" s="32">
        <v>250</v>
      </c>
      <c r="T3461" s="32">
        <v>1080</v>
      </c>
    </row>
    <row r="3462" spans="2:20" ht="12.75" hidden="1" x14ac:dyDescent="0.25">
      <c r="B3462" s="32">
        <v>14</v>
      </c>
      <c r="F3462" s="32" t="s">
        <v>155</v>
      </c>
      <c r="J3462" s="32">
        <v>27</v>
      </c>
      <c r="P3462" s="32">
        <v>6750</v>
      </c>
      <c r="R3462" s="32">
        <v>1680</v>
      </c>
      <c r="T3462" s="32">
        <v>5070</v>
      </c>
    </row>
    <row r="3463" spans="2:20" ht="12.75" hidden="1" x14ac:dyDescent="0.25">
      <c r="B3463" s="32">
        <v>15</v>
      </c>
      <c r="F3463" s="32" t="s">
        <v>154</v>
      </c>
      <c r="J3463" s="32">
        <v>1</v>
      </c>
      <c r="P3463" s="32">
        <v>890</v>
      </c>
      <c r="R3463" s="32">
        <v>130</v>
      </c>
      <c r="T3463" s="32">
        <v>760</v>
      </c>
    </row>
    <row r="3464" spans="2:20" ht="12.75" hidden="1" x14ac:dyDescent="0.25">
      <c r="B3464" s="32">
        <v>16</v>
      </c>
      <c r="F3464" s="32" t="s">
        <v>239</v>
      </c>
      <c r="J3464" s="32">
        <v>1</v>
      </c>
      <c r="P3464" s="32">
        <v>1090</v>
      </c>
      <c r="R3464" s="32">
        <v>0</v>
      </c>
      <c r="T3464" s="32">
        <v>1090</v>
      </c>
    </row>
    <row r="3465" spans="2:20" ht="12.75" hidden="1" x14ac:dyDescent="0.25">
      <c r="B3465" s="32">
        <v>17</v>
      </c>
      <c r="F3465" s="32" t="s">
        <v>153</v>
      </c>
      <c r="J3465" s="32">
        <v>2</v>
      </c>
      <c r="P3465" s="32">
        <v>2360</v>
      </c>
      <c r="R3465" s="32">
        <v>360</v>
      </c>
      <c r="T3465" s="32">
        <v>2000</v>
      </c>
    </row>
    <row r="3466" spans="2:20" ht="12.75" hidden="1" x14ac:dyDescent="0.25">
      <c r="B3466" s="32">
        <v>18</v>
      </c>
      <c r="F3466" s="32" t="s">
        <v>152</v>
      </c>
      <c r="J3466" s="32">
        <v>4</v>
      </c>
      <c r="P3466" s="32">
        <v>2360</v>
      </c>
      <c r="R3466" s="32">
        <v>540</v>
      </c>
      <c r="T3466" s="32">
        <v>1820</v>
      </c>
    </row>
    <row r="3467" spans="2:20" ht="12.75" hidden="1" x14ac:dyDescent="0.25">
      <c r="B3467" s="32">
        <v>19</v>
      </c>
      <c r="F3467" s="32" t="s">
        <v>151</v>
      </c>
      <c r="J3467" s="32">
        <v>70</v>
      </c>
      <c r="P3467" s="32">
        <v>16100</v>
      </c>
      <c r="R3467" s="32">
        <v>4350</v>
      </c>
      <c r="T3467" s="32">
        <v>11750</v>
      </c>
    </row>
    <row r="3468" spans="2:20" ht="12.75" hidden="1" x14ac:dyDescent="0.25">
      <c r="B3468" s="32">
        <v>20</v>
      </c>
      <c r="F3468" s="32" t="s">
        <v>150</v>
      </c>
      <c r="J3468" s="32">
        <v>31</v>
      </c>
      <c r="P3468" s="32">
        <v>5270</v>
      </c>
      <c r="R3468" s="32">
        <v>1450</v>
      </c>
      <c r="T3468" s="32">
        <v>3820</v>
      </c>
    </row>
    <row r="3469" spans="2:20" ht="12.75" hidden="1" x14ac:dyDescent="0.25">
      <c r="B3469" s="32">
        <v>21</v>
      </c>
      <c r="F3469" s="32" t="s">
        <v>288</v>
      </c>
      <c r="J3469" s="32">
        <v>1</v>
      </c>
      <c r="P3469" s="32">
        <v>800</v>
      </c>
      <c r="R3469" s="32">
        <v>450</v>
      </c>
      <c r="T3469" s="32">
        <v>350</v>
      </c>
    </row>
    <row r="3470" spans="2:20" ht="12.75" hidden="1" x14ac:dyDescent="0.25">
      <c r="B3470" s="32">
        <v>22</v>
      </c>
      <c r="F3470" s="32" t="s">
        <v>234</v>
      </c>
      <c r="J3470" s="32">
        <v>1</v>
      </c>
      <c r="P3470" s="32">
        <v>800</v>
      </c>
      <c r="R3470" s="32">
        <v>450</v>
      </c>
      <c r="T3470" s="32">
        <v>350</v>
      </c>
    </row>
    <row r="3471" spans="2:20" ht="12.75" hidden="1" x14ac:dyDescent="0.25">
      <c r="B3471" s="32">
        <v>23</v>
      </c>
      <c r="F3471" s="32" t="s">
        <v>193</v>
      </c>
      <c r="J3471" s="32">
        <v>2</v>
      </c>
      <c r="P3471" s="32">
        <v>1780</v>
      </c>
      <c r="R3471" s="32">
        <v>130</v>
      </c>
      <c r="T3471" s="32">
        <v>1650</v>
      </c>
    </row>
    <row r="3472" spans="2:20" ht="12.75" hidden="1" x14ac:dyDescent="0.25">
      <c r="B3472" s="32">
        <v>24</v>
      </c>
      <c r="F3472" s="32" t="s">
        <v>353</v>
      </c>
      <c r="J3472" s="32">
        <v>1</v>
      </c>
      <c r="P3472" s="32">
        <v>350</v>
      </c>
      <c r="R3472" s="32">
        <v>150</v>
      </c>
      <c r="T3472" s="32">
        <v>200</v>
      </c>
    </row>
    <row r="3473" spans="2:20" ht="12.75" hidden="1" x14ac:dyDescent="0.25">
      <c r="B3473" s="32">
        <v>25</v>
      </c>
      <c r="F3473" s="32" t="s">
        <v>75</v>
      </c>
      <c r="J3473" s="32">
        <v>2011</v>
      </c>
      <c r="P3473" s="32">
        <v>5027500</v>
      </c>
      <c r="R3473" s="32">
        <v>5027500</v>
      </c>
      <c r="T3473" s="32">
        <v>0</v>
      </c>
    </row>
    <row r="3474" spans="2:20" ht="12.75" hidden="1" x14ac:dyDescent="0.25">
      <c r="B3474" s="32">
        <v>26</v>
      </c>
      <c r="F3474" s="32" t="s">
        <v>139</v>
      </c>
      <c r="J3474" s="32">
        <v>6</v>
      </c>
      <c r="P3474" s="32">
        <v>1620</v>
      </c>
      <c r="R3474" s="32">
        <v>240</v>
      </c>
      <c r="T3474" s="32">
        <v>1380</v>
      </c>
    </row>
    <row r="3475" spans="2:20" ht="12.75" hidden="1" x14ac:dyDescent="0.25">
      <c r="B3475" s="32">
        <v>27</v>
      </c>
      <c r="F3475" s="32" t="s">
        <v>231</v>
      </c>
      <c r="J3475" s="32">
        <v>2</v>
      </c>
      <c r="P3475" s="32">
        <v>1000</v>
      </c>
      <c r="R3475" s="32">
        <v>300</v>
      </c>
      <c r="T3475" s="32">
        <v>700</v>
      </c>
    </row>
    <row r="3476" spans="2:20" ht="12.75" hidden="1" x14ac:dyDescent="0.25">
      <c r="B3476" s="32">
        <v>28</v>
      </c>
      <c r="F3476" s="32" t="s">
        <v>137</v>
      </c>
      <c r="J3476" s="32">
        <v>2</v>
      </c>
      <c r="P3476" s="32">
        <v>1600</v>
      </c>
      <c r="R3476" s="32">
        <v>900</v>
      </c>
      <c r="T3476" s="32">
        <v>700</v>
      </c>
    </row>
    <row r="3477" spans="2:20" ht="12.75" hidden="1" x14ac:dyDescent="0.25">
      <c r="B3477" s="32">
        <v>29</v>
      </c>
      <c r="F3477" s="32" t="s">
        <v>136</v>
      </c>
      <c r="J3477" s="32">
        <v>32</v>
      </c>
      <c r="P3477" s="32">
        <v>27200</v>
      </c>
      <c r="R3477" s="32">
        <v>7150</v>
      </c>
      <c r="T3477" s="32">
        <v>20050</v>
      </c>
    </row>
    <row r="3478" spans="2:20" ht="12.75" hidden="1" x14ac:dyDescent="0.25">
      <c r="B3478" s="32">
        <v>30</v>
      </c>
      <c r="F3478" s="32" t="s">
        <v>74</v>
      </c>
      <c r="J3478" s="32">
        <v>235</v>
      </c>
      <c r="P3478" s="32">
        <v>199750</v>
      </c>
      <c r="R3478" s="32">
        <v>199750</v>
      </c>
      <c r="T3478" s="32">
        <v>0</v>
      </c>
    </row>
    <row r="3479" spans="2:20" ht="12.75" hidden="1" x14ac:dyDescent="0.25">
      <c r="B3479" s="32">
        <v>31</v>
      </c>
      <c r="F3479" s="32" t="s">
        <v>352</v>
      </c>
      <c r="J3479" s="32">
        <v>1</v>
      </c>
      <c r="P3479" s="32">
        <v>800</v>
      </c>
      <c r="R3479" s="32">
        <v>450</v>
      </c>
      <c r="T3479" s="32">
        <v>350</v>
      </c>
    </row>
    <row r="3480" spans="2:20" ht="12.75" hidden="1" x14ac:dyDescent="0.25">
      <c r="B3480" s="32">
        <v>32</v>
      </c>
      <c r="F3480" s="32" t="s">
        <v>351</v>
      </c>
      <c r="J3480" s="32">
        <v>1</v>
      </c>
      <c r="P3480" s="32">
        <v>800</v>
      </c>
      <c r="R3480" s="32">
        <v>450</v>
      </c>
      <c r="T3480" s="32">
        <v>350</v>
      </c>
    </row>
    <row r="3481" spans="2:20" ht="12.75" hidden="1" x14ac:dyDescent="0.25">
      <c r="B3481" s="32">
        <v>33</v>
      </c>
      <c r="F3481" s="32" t="s">
        <v>190</v>
      </c>
      <c r="J3481" s="32">
        <v>3</v>
      </c>
      <c r="P3481" s="32">
        <v>4710</v>
      </c>
      <c r="R3481" s="32">
        <v>480</v>
      </c>
      <c r="T3481" s="32">
        <v>4230</v>
      </c>
    </row>
    <row r="3482" spans="2:20" ht="12.75" hidden="1" x14ac:dyDescent="0.25">
      <c r="B3482" s="32">
        <v>34</v>
      </c>
      <c r="F3482" s="32" t="s">
        <v>134</v>
      </c>
      <c r="J3482" s="32">
        <v>3</v>
      </c>
      <c r="P3482" s="32">
        <v>11100</v>
      </c>
      <c r="R3482" s="32">
        <v>2400</v>
      </c>
      <c r="T3482" s="32">
        <v>8700</v>
      </c>
    </row>
    <row r="3483" spans="2:20" ht="12.75" hidden="1" x14ac:dyDescent="0.25">
      <c r="B3483" s="32">
        <v>35</v>
      </c>
      <c r="F3483" s="32" t="s">
        <v>132</v>
      </c>
      <c r="J3483" s="32">
        <v>3</v>
      </c>
      <c r="P3483" s="32">
        <v>3720</v>
      </c>
      <c r="R3483" s="32">
        <v>1110</v>
      </c>
      <c r="T3483" s="32">
        <v>2610</v>
      </c>
    </row>
    <row r="3484" spans="2:20" ht="12.75" hidden="1" x14ac:dyDescent="0.25">
      <c r="B3484" s="32">
        <v>36</v>
      </c>
      <c r="F3484" s="32" t="s">
        <v>131</v>
      </c>
      <c r="J3484" s="32">
        <v>8</v>
      </c>
      <c r="P3484" s="32">
        <v>29600</v>
      </c>
      <c r="R3484" s="32">
        <v>5600</v>
      </c>
      <c r="T3484" s="32">
        <v>24000</v>
      </c>
    </row>
    <row r="3485" spans="2:20" ht="12.75" hidden="1" x14ac:dyDescent="0.25">
      <c r="B3485" s="32">
        <v>37</v>
      </c>
      <c r="F3485" s="32" t="s">
        <v>130</v>
      </c>
      <c r="J3485" s="32">
        <v>9</v>
      </c>
      <c r="P3485" s="32">
        <v>72000</v>
      </c>
      <c r="R3485" s="32">
        <v>36900</v>
      </c>
      <c r="T3485" s="32">
        <v>35100</v>
      </c>
    </row>
    <row r="3486" spans="2:20" ht="12.75" hidden="1" x14ac:dyDescent="0.25">
      <c r="B3486" s="32">
        <v>38</v>
      </c>
      <c r="F3486" s="32" t="s">
        <v>319</v>
      </c>
      <c r="J3486" s="32">
        <v>1</v>
      </c>
      <c r="P3486" s="32">
        <v>100</v>
      </c>
      <c r="R3486" s="32">
        <v>0</v>
      </c>
      <c r="T3486" s="32">
        <v>100</v>
      </c>
    </row>
    <row r="3487" spans="2:20" ht="12.75" hidden="1" x14ac:dyDescent="0.25">
      <c r="B3487" s="32">
        <v>39</v>
      </c>
      <c r="F3487" s="32" t="s">
        <v>128</v>
      </c>
      <c r="J3487" s="32">
        <v>2</v>
      </c>
      <c r="P3487" s="32">
        <v>2300</v>
      </c>
      <c r="R3487" s="32">
        <v>340</v>
      </c>
      <c r="T3487" s="32">
        <v>1960</v>
      </c>
    </row>
    <row r="3488" spans="2:20" ht="12.75" hidden="1" x14ac:dyDescent="0.25">
      <c r="B3488" s="32">
        <v>40</v>
      </c>
      <c r="F3488" s="32" t="s">
        <v>127</v>
      </c>
      <c r="J3488" s="32">
        <v>214</v>
      </c>
      <c r="P3488" s="32">
        <v>64200</v>
      </c>
      <c r="R3488" s="32">
        <v>24028</v>
      </c>
      <c r="T3488" s="32">
        <v>40172</v>
      </c>
    </row>
    <row r="3489" spans="2:20" ht="12.75" hidden="1" x14ac:dyDescent="0.25">
      <c r="B3489" s="32">
        <v>41</v>
      </c>
      <c r="F3489" s="32" t="s">
        <v>126</v>
      </c>
      <c r="J3489" s="32">
        <v>211</v>
      </c>
      <c r="P3489" s="32">
        <v>42200</v>
      </c>
      <c r="R3489" s="32">
        <v>15846</v>
      </c>
      <c r="T3489" s="32">
        <v>26354</v>
      </c>
    </row>
    <row r="3490" spans="2:20" ht="12.75" hidden="1" x14ac:dyDescent="0.25">
      <c r="B3490" s="32">
        <v>42</v>
      </c>
      <c r="F3490" s="32" t="s">
        <v>125</v>
      </c>
      <c r="J3490" s="32">
        <v>9</v>
      </c>
      <c r="P3490" s="32">
        <v>3600</v>
      </c>
      <c r="R3490" s="32">
        <v>720</v>
      </c>
      <c r="T3490" s="32">
        <v>2880</v>
      </c>
    </row>
    <row r="3491" spans="2:20" ht="12.75" hidden="1" x14ac:dyDescent="0.25">
      <c r="B3491" s="32">
        <v>43</v>
      </c>
      <c r="F3491" s="32" t="s">
        <v>124</v>
      </c>
      <c r="J3491" s="32">
        <v>2</v>
      </c>
      <c r="P3491" s="32">
        <v>1560</v>
      </c>
      <c r="R3491" s="32">
        <v>230</v>
      </c>
      <c r="T3491" s="32">
        <v>1330</v>
      </c>
    </row>
    <row r="3492" spans="2:20" ht="12.75" hidden="1" x14ac:dyDescent="0.25">
      <c r="B3492" s="32">
        <v>44</v>
      </c>
      <c r="F3492" s="32" t="s">
        <v>350</v>
      </c>
      <c r="J3492" s="32">
        <v>1</v>
      </c>
      <c r="P3492" s="32">
        <v>780</v>
      </c>
      <c r="R3492" s="32">
        <v>230</v>
      </c>
      <c r="T3492" s="32">
        <v>550</v>
      </c>
    </row>
    <row r="3493" spans="2:20" ht="12.75" hidden="1" x14ac:dyDescent="0.25">
      <c r="B3493" s="32">
        <v>45</v>
      </c>
      <c r="F3493" s="32" t="s">
        <v>123</v>
      </c>
      <c r="J3493" s="32">
        <v>5</v>
      </c>
      <c r="P3493" s="32">
        <v>3900</v>
      </c>
      <c r="R3493" s="32">
        <v>1150</v>
      </c>
      <c r="T3493" s="32">
        <v>2750</v>
      </c>
    </row>
    <row r="3494" spans="2:20" ht="12.75" hidden="1" x14ac:dyDescent="0.25">
      <c r="B3494" s="32">
        <v>46</v>
      </c>
      <c r="F3494" s="32" t="s">
        <v>227</v>
      </c>
      <c r="J3494" s="32">
        <v>2</v>
      </c>
      <c r="P3494" s="32">
        <v>1000</v>
      </c>
      <c r="R3494" s="32">
        <v>300</v>
      </c>
      <c r="T3494" s="32">
        <v>700</v>
      </c>
    </row>
    <row r="3495" spans="2:20" ht="12.75" hidden="1" x14ac:dyDescent="0.25">
      <c r="B3495" s="32">
        <v>47</v>
      </c>
      <c r="F3495" s="32" t="s">
        <v>122</v>
      </c>
      <c r="J3495" s="32">
        <v>2</v>
      </c>
      <c r="P3495" s="32">
        <v>1000</v>
      </c>
      <c r="R3495" s="32">
        <v>300</v>
      </c>
      <c r="T3495" s="32">
        <v>700</v>
      </c>
    </row>
    <row r="3496" spans="2:20" ht="12.75" hidden="1" x14ac:dyDescent="0.25">
      <c r="B3496" s="32">
        <v>48</v>
      </c>
      <c r="F3496" s="32" t="s">
        <v>121</v>
      </c>
      <c r="J3496" s="32">
        <v>4</v>
      </c>
      <c r="P3496" s="32">
        <v>2000</v>
      </c>
      <c r="R3496" s="32">
        <v>600</v>
      </c>
      <c r="T3496" s="32">
        <v>1400</v>
      </c>
    </row>
    <row r="3497" spans="2:20" ht="12.75" hidden="1" x14ac:dyDescent="0.25">
      <c r="B3497" s="32">
        <v>49</v>
      </c>
      <c r="F3497" s="32" t="s">
        <v>349</v>
      </c>
      <c r="J3497" s="32">
        <v>1</v>
      </c>
      <c r="P3497" s="32">
        <v>500</v>
      </c>
      <c r="R3497" s="32">
        <v>150</v>
      </c>
      <c r="T3497" s="32">
        <v>350</v>
      </c>
    </row>
    <row r="3498" spans="2:20" ht="12.75" hidden="1" x14ac:dyDescent="0.25">
      <c r="B3498" s="32">
        <v>50</v>
      </c>
      <c r="F3498" s="32" t="s">
        <v>120</v>
      </c>
      <c r="J3498" s="32">
        <v>2</v>
      </c>
      <c r="P3498" s="32">
        <v>700</v>
      </c>
      <c r="R3498" s="32">
        <v>200</v>
      </c>
      <c r="T3498" s="32">
        <v>500</v>
      </c>
    </row>
    <row r="3499" spans="2:20" ht="12.75" hidden="1" x14ac:dyDescent="0.25">
      <c r="B3499" s="32">
        <v>51</v>
      </c>
      <c r="F3499" s="32" t="s">
        <v>282</v>
      </c>
      <c r="J3499" s="32">
        <v>2</v>
      </c>
      <c r="P3499" s="32">
        <v>1000</v>
      </c>
      <c r="R3499" s="32">
        <v>300</v>
      </c>
      <c r="T3499" s="32">
        <v>700</v>
      </c>
    </row>
    <row r="3500" spans="2:20" ht="12.75" hidden="1" x14ac:dyDescent="0.25">
      <c r="B3500" s="32">
        <v>52</v>
      </c>
      <c r="F3500" s="32" t="s">
        <v>182</v>
      </c>
      <c r="J3500" s="32">
        <v>1</v>
      </c>
      <c r="P3500" s="32">
        <v>790</v>
      </c>
      <c r="R3500" s="32">
        <v>120</v>
      </c>
      <c r="T3500" s="32">
        <v>670</v>
      </c>
    </row>
    <row r="3501" spans="2:20" ht="12.75" hidden="1" x14ac:dyDescent="0.25">
      <c r="B3501" s="32">
        <v>53</v>
      </c>
      <c r="F3501" s="32" t="s">
        <v>119</v>
      </c>
      <c r="J3501" s="32">
        <v>10</v>
      </c>
      <c r="P3501" s="32">
        <v>8900</v>
      </c>
      <c r="R3501" s="32">
        <v>2280</v>
      </c>
      <c r="T3501" s="32">
        <v>6620</v>
      </c>
    </row>
    <row r="3502" spans="2:20" ht="12.75" hidden="1" x14ac:dyDescent="0.25">
      <c r="B3502" s="32">
        <v>54</v>
      </c>
      <c r="F3502" s="32" t="s">
        <v>118</v>
      </c>
      <c r="J3502" s="32">
        <v>48</v>
      </c>
      <c r="P3502" s="32">
        <v>47520</v>
      </c>
      <c r="R3502" s="32">
        <v>14128</v>
      </c>
      <c r="T3502" s="32">
        <v>33392</v>
      </c>
    </row>
    <row r="3503" spans="2:20" ht="12.75" hidden="1" x14ac:dyDescent="0.25">
      <c r="B3503" s="32">
        <v>55</v>
      </c>
      <c r="F3503" s="32" t="s">
        <v>117</v>
      </c>
      <c r="J3503" s="32">
        <v>2</v>
      </c>
      <c r="P3503" s="32">
        <v>1600</v>
      </c>
      <c r="R3503" s="32">
        <v>400</v>
      </c>
      <c r="T3503" s="32">
        <v>1200</v>
      </c>
    </row>
    <row r="3504" spans="2:20" ht="12.75" hidden="1" x14ac:dyDescent="0.25">
      <c r="B3504" s="32">
        <v>56</v>
      </c>
      <c r="F3504" s="32" t="s">
        <v>115</v>
      </c>
      <c r="J3504" s="32">
        <v>35</v>
      </c>
      <c r="P3504" s="32">
        <v>10150</v>
      </c>
      <c r="R3504" s="32">
        <v>3140</v>
      </c>
      <c r="T3504" s="32">
        <v>7010</v>
      </c>
    </row>
    <row r="3505" spans="2:20" ht="12.75" hidden="1" x14ac:dyDescent="0.25">
      <c r="B3505" s="32">
        <v>57</v>
      </c>
      <c r="F3505" s="32" t="s">
        <v>114</v>
      </c>
      <c r="J3505" s="32">
        <v>1</v>
      </c>
      <c r="P3505" s="32">
        <v>550</v>
      </c>
      <c r="R3505" s="32">
        <v>80</v>
      </c>
      <c r="T3505" s="32">
        <v>470</v>
      </c>
    </row>
    <row r="3506" spans="2:20" ht="12.75" hidden="1" x14ac:dyDescent="0.25">
      <c r="B3506" s="32">
        <v>58</v>
      </c>
      <c r="F3506" s="32" t="s">
        <v>348</v>
      </c>
      <c r="J3506" s="32">
        <v>8</v>
      </c>
      <c r="P3506" s="32">
        <v>840</v>
      </c>
      <c r="R3506" s="32">
        <v>0</v>
      </c>
      <c r="T3506" s="32">
        <v>840</v>
      </c>
    </row>
    <row r="3507" spans="2:20" ht="12.75" hidden="1" x14ac:dyDescent="0.25">
      <c r="T3507" s="32"/>
    </row>
    <row r="3508" spans="2:20" ht="12.75" hidden="1" x14ac:dyDescent="0.25">
      <c r="B3508" s="32">
        <v>59</v>
      </c>
      <c r="F3508" s="32" t="s">
        <v>221</v>
      </c>
      <c r="J3508" s="32">
        <v>1</v>
      </c>
      <c r="P3508" s="32">
        <v>990</v>
      </c>
      <c r="R3508" s="32">
        <v>300</v>
      </c>
      <c r="T3508" s="32">
        <v>690</v>
      </c>
    </row>
    <row r="3509" spans="2:20" ht="12.75" hidden="1" x14ac:dyDescent="0.25">
      <c r="B3509" s="32">
        <v>60</v>
      </c>
      <c r="F3509" s="32" t="s">
        <v>181</v>
      </c>
      <c r="J3509" s="32">
        <v>1</v>
      </c>
      <c r="P3509" s="32">
        <v>790</v>
      </c>
      <c r="R3509" s="32">
        <v>120</v>
      </c>
      <c r="T3509" s="32">
        <v>670</v>
      </c>
    </row>
    <row r="3510" spans="2:20" ht="12.75" hidden="1" x14ac:dyDescent="0.25">
      <c r="B3510" s="32">
        <v>61</v>
      </c>
      <c r="F3510" s="32" t="s">
        <v>111</v>
      </c>
      <c r="J3510" s="32">
        <v>4</v>
      </c>
      <c r="P3510" s="32">
        <v>1720</v>
      </c>
      <c r="R3510" s="32">
        <v>390</v>
      </c>
      <c r="T3510" s="32">
        <v>1330</v>
      </c>
    </row>
    <row r="3511" spans="2:20" ht="12.75" hidden="1" x14ac:dyDescent="0.25">
      <c r="B3511" s="32">
        <v>62</v>
      </c>
      <c r="F3511" s="32" t="s">
        <v>109</v>
      </c>
      <c r="J3511" s="32">
        <v>2</v>
      </c>
      <c r="P3511" s="32">
        <v>1560</v>
      </c>
      <c r="R3511" s="32">
        <v>460</v>
      </c>
      <c r="T3511" s="32">
        <v>1100</v>
      </c>
    </row>
    <row r="3512" spans="2:20" ht="12.75" hidden="1" x14ac:dyDescent="0.25">
      <c r="B3512" s="32">
        <v>63</v>
      </c>
      <c r="F3512" s="32" t="s">
        <v>108</v>
      </c>
      <c r="J3512" s="32">
        <v>260</v>
      </c>
      <c r="P3512" s="32">
        <v>26000</v>
      </c>
      <c r="R3512" s="32">
        <v>150</v>
      </c>
      <c r="T3512" s="32">
        <v>25850</v>
      </c>
    </row>
    <row r="3513" spans="2:20" ht="12.75" hidden="1" x14ac:dyDescent="0.25">
      <c r="B3513" s="32">
        <v>64</v>
      </c>
      <c r="F3513" s="32" t="s">
        <v>107</v>
      </c>
      <c r="J3513" s="32">
        <v>209</v>
      </c>
      <c r="P3513" s="32">
        <v>35530</v>
      </c>
      <c r="R3513" s="32">
        <v>13742</v>
      </c>
      <c r="T3513" s="32">
        <v>21788</v>
      </c>
    </row>
    <row r="3514" spans="2:20" ht="12.75" hidden="1" x14ac:dyDescent="0.25">
      <c r="B3514" s="32">
        <v>65</v>
      </c>
      <c r="F3514" s="32" t="s">
        <v>106</v>
      </c>
      <c r="J3514" s="32">
        <v>1088</v>
      </c>
      <c r="P3514" s="32">
        <v>108800</v>
      </c>
      <c r="R3514" s="32">
        <v>21720</v>
      </c>
      <c r="T3514" s="32">
        <v>87080</v>
      </c>
    </row>
    <row r="3515" spans="2:20" ht="12.75" hidden="1" x14ac:dyDescent="0.25">
      <c r="B3515" s="32">
        <v>66</v>
      </c>
      <c r="F3515" s="32" t="s">
        <v>105</v>
      </c>
      <c r="J3515" s="32">
        <v>1</v>
      </c>
      <c r="P3515" s="32">
        <v>1150</v>
      </c>
      <c r="R3515" s="32">
        <v>0</v>
      </c>
      <c r="T3515" s="32">
        <v>1150</v>
      </c>
    </row>
    <row r="3516" spans="2:20" ht="12.75" hidden="1" x14ac:dyDescent="0.25">
      <c r="B3516" s="32">
        <v>67</v>
      </c>
      <c r="F3516" s="32" t="s">
        <v>103</v>
      </c>
      <c r="J3516" s="32">
        <v>17</v>
      </c>
      <c r="P3516" s="32">
        <v>5610</v>
      </c>
      <c r="R3516" s="32">
        <v>2100</v>
      </c>
      <c r="T3516" s="32">
        <v>3510</v>
      </c>
    </row>
    <row r="3517" spans="2:20" ht="12.75" hidden="1" x14ac:dyDescent="0.25">
      <c r="B3517" s="32">
        <v>68</v>
      </c>
      <c r="F3517" s="32" t="s">
        <v>276</v>
      </c>
      <c r="J3517" s="32">
        <v>4</v>
      </c>
      <c r="P3517" s="32">
        <v>2400</v>
      </c>
      <c r="R3517" s="32">
        <v>720</v>
      </c>
      <c r="T3517" s="32">
        <v>1680</v>
      </c>
    </row>
    <row r="3518" spans="2:20" ht="12.75" hidden="1" x14ac:dyDescent="0.25">
      <c r="B3518" s="32">
        <v>69</v>
      </c>
      <c r="F3518" s="32" t="s">
        <v>102</v>
      </c>
      <c r="J3518" s="32">
        <v>3</v>
      </c>
      <c r="P3518" s="32">
        <v>2640</v>
      </c>
      <c r="R3518" s="32">
        <v>260</v>
      </c>
      <c r="T3518" s="32">
        <v>2380</v>
      </c>
    </row>
    <row r="3519" spans="2:20" ht="12.75" hidden="1" x14ac:dyDescent="0.25">
      <c r="B3519" s="32">
        <v>70</v>
      </c>
      <c r="F3519" s="32" t="s">
        <v>254</v>
      </c>
      <c r="J3519" s="32">
        <v>1</v>
      </c>
      <c r="P3519" s="32">
        <v>290</v>
      </c>
      <c r="R3519" s="32">
        <v>0</v>
      </c>
      <c r="T3519" s="32">
        <v>290</v>
      </c>
    </row>
    <row r="3520" spans="2:20" ht="12.75" hidden="1" x14ac:dyDescent="0.25">
      <c r="B3520" s="32">
        <v>71</v>
      </c>
      <c r="F3520" s="32" t="s">
        <v>179</v>
      </c>
      <c r="J3520" s="32">
        <v>1</v>
      </c>
      <c r="P3520" s="32">
        <v>880</v>
      </c>
      <c r="R3520" s="32">
        <v>130</v>
      </c>
      <c r="T3520" s="32">
        <v>750</v>
      </c>
    </row>
    <row r="3521" spans="2:20" ht="12.75" hidden="1" x14ac:dyDescent="0.25">
      <c r="B3521" s="32">
        <v>72</v>
      </c>
      <c r="F3521" s="32" t="s">
        <v>100</v>
      </c>
      <c r="J3521" s="32">
        <v>3</v>
      </c>
      <c r="P3521" s="32">
        <v>540</v>
      </c>
      <c r="R3521" s="32">
        <v>150</v>
      </c>
      <c r="T3521" s="32">
        <v>390</v>
      </c>
    </row>
    <row r="3522" spans="2:20" ht="12.75" hidden="1" x14ac:dyDescent="0.25">
      <c r="B3522" s="32">
        <v>73</v>
      </c>
      <c r="F3522" s="32" t="s">
        <v>274</v>
      </c>
      <c r="J3522" s="32">
        <v>2</v>
      </c>
      <c r="P3522" s="32">
        <v>360</v>
      </c>
      <c r="R3522" s="32">
        <v>100</v>
      </c>
      <c r="T3522" s="32">
        <v>260</v>
      </c>
    </row>
    <row r="3523" spans="2:20" ht="12.75" hidden="1" x14ac:dyDescent="0.25">
      <c r="B3523" s="32">
        <v>74</v>
      </c>
      <c r="F3523" s="32" t="s">
        <v>176</v>
      </c>
      <c r="J3523" s="32">
        <v>1</v>
      </c>
      <c r="P3523" s="32">
        <v>1060</v>
      </c>
      <c r="R3523" s="32">
        <v>0</v>
      </c>
      <c r="T3523" s="32">
        <v>1060</v>
      </c>
    </row>
    <row r="3524" spans="2:20" ht="12.75" hidden="1" x14ac:dyDescent="0.25">
      <c r="B3524" s="32">
        <v>75</v>
      </c>
      <c r="F3524" s="32" t="s">
        <v>325</v>
      </c>
      <c r="J3524" s="32">
        <v>1</v>
      </c>
      <c r="P3524" s="32">
        <v>700</v>
      </c>
      <c r="R3524" s="32">
        <v>350</v>
      </c>
      <c r="T3524" s="32">
        <v>350</v>
      </c>
    </row>
    <row r="3525" spans="2:20" ht="12.75" hidden="1" x14ac:dyDescent="0.25">
      <c r="B3525" s="32">
        <v>76</v>
      </c>
      <c r="F3525" s="32" t="s">
        <v>97</v>
      </c>
      <c r="J3525" s="32">
        <v>2</v>
      </c>
      <c r="P3525" s="32">
        <v>3180</v>
      </c>
      <c r="R3525" s="32">
        <v>480</v>
      </c>
      <c r="T3525" s="32">
        <v>2700</v>
      </c>
    </row>
    <row r="3526" spans="2:20" ht="12.75" hidden="1" x14ac:dyDescent="0.25">
      <c r="B3526" s="32">
        <v>77</v>
      </c>
      <c r="F3526" s="32" t="s">
        <v>93</v>
      </c>
      <c r="J3526" s="32">
        <v>4</v>
      </c>
      <c r="P3526" s="32">
        <v>2360</v>
      </c>
      <c r="R3526" s="32">
        <v>360</v>
      </c>
      <c r="T3526" s="32">
        <v>2000</v>
      </c>
    </row>
    <row r="3527" spans="2:20" ht="12.75" hidden="1" x14ac:dyDescent="0.25">
      <c r="B3527" s="32">
        <v>78</v>
      </c>
      <c r="F3527" s="32" t="s">
        <v>92</v>
      </c>
      <c r="J3527" s="32">
        <v>33</v>
      </c>
      <c r="P3527" s="32">
        <v>24760</v>
      </c>
      <c r="R3527" s="32">
        <v>6280</v>
      </c>
      <c r="T3527" s="32">
        <v>18480</v>
      </c>
    </row>
    <row r="3528" spans="2:20" ht="12.75" hidden="1" x14ac:dyDescent="0.25">
      <c r="B3528" s="32">
        <v>79</v>
      </c>
      <c r="F3528" s="32" t="s">
        <v>173</v>
      </c>
      <c r="J3528" s="32">
        <v>3</v>
      </c>
      <c r="P3528" s="32">
        <v>3000</v>
      </c>
      <c r="R3528" s="32">
        <v>600</v>
      </c>
      <c r="T3528" s="32">
        <v>2400</v>
      </c>
    </row>
    <row r="3529" spans="2:20" ht="12.75" hidden="1" x14ac:dyDescent="0.25">
      <c r="B3529" s="32">
        <v>80</v>
      </c>
      <c r="F3529" s="32" t="s">
        <v>91</v>
      </c>
      <c r="J3529" s="32">
        <v>21</v>
      </c>
      <c r="P3529" s="32">
        <v>5250</v>
      </c>
      <c r="R3529" s="32">
        <v>1260</v>
      </c>
      <c r="T3529" s="32">
        <v>3990</v>
      </c>
    </row>
    <row r="3530" spans="2:20" ht="12.75" hidden="1" x14ac:dyDescent="0.25">
      <c r="B3530" s="32">
        <v>81</v>
      </c>
      <c r="F3530" s="32" t="s">
        <v>90</v>
      </c>
      <c r="J3530" s="32">
        <v>9</v>
      </c>
      <c r="P3530" s="32">
        <v>2610</v>
      </c>
      <c r="R3530" s="32">
        <v>480</v>
      </c>
      <c r="T3530" s="32">
        <v>2130</v>
      </c>
    </row>
    <row r="3531" spans="2:20" ht="12.75" hidden="1" x14ac:dyDescent="0.25">
      <c r="B3531" s="32">
        <v>82</v>
      </c>
      <c r="F3531" s="32" t="s">
        <v>88</v>
      </c>
      <c r="J3531" s="32">
        <v>194</v>
      </c>
      <c r="P3531" s="32">
        <v>34920</v>
      </c>
      <c r="R3531" s="32">
        <v>13884</v>
      </c>
      <c r="T3531" s="32">
        <v>21036</v>
      </c>
    </row>
    <row r="3532" spans="2:20" ht="12.75" hidden="1" x14ac:dyDescent="0.25">
      <c r="B3532" s="32">
        <v>83</v>
      </c>
      <c r="F3532" s="32" t="s">
        <v>87</v>
      </c>
      <c r="J3532" s="32">
        <v>2</v>
      </c>
      <c r="P3532" s="32">
        <v>580</v>
      </c>
      <c r="R3532" s="32">
        <v>160</v>
      </c>
      <c r="T3532" s="32">
        <v>420</v>
      </c>
    </row>
    <row r="3533" spans="2:20" ht="12.75" hidden="1" x14ac:dyDescent="0.25">
      <c r="B3533" s="32">
        <v>84</v>
      </c>
      <c r="F3533" s="32" t="s">
        <v>85</v>
      </c>
      <c r="J3533" s="32">
        <v>7</v>
      </c>
      <c r="P3533" s="32">
        <v>14560</v>
      </c>
      <c r="R3533" s="32">
        <v>1860</v>
      </c>
      <c r="T3533" s="32">
        <v>12700</v>
      </c>
    </row>
    <row r="3534" spans="2:20" ht="12.75" hidden="1" x14ac:dyDescent="0.25">
      <c r="B3534" s="32">
        <v>85</v>
      </c>
      <c r="F3534" s="32" t="s">
        <v>84</v>
      </c>
      <c r="J3534" s="32">
        <v>16</v>
      </c>
      <c r="P3534" s="32">
        <v>9440</v>
      </c>
      <c r="R3534" s="32">
        <v>1980</v>
      </c>
      <c r="T3534" s="32">
        <v>7460</v>
      </c>
    </row>
    <row r="3535" spans="2:20" ht="12.75" hidden="1" x14ac:dyDescent="0.25">
      <c r="B3535" s="32">
        <v>86</v>
      </c>
      <c r="F3535" s="32" t="s">
        <v>331</v>
      </c>
      <c r="J3535" s="32">
        <v>1</v>
      </c>
      <c r="P3535" s="32">
        <v>500</v>
      </c>
      <c r="R3535" s="32">
        <v>150</v>
      </c>
      <c r="T3535" s="32">
        <v>350</v>
      </c>
    </row>
    <row r="3536" spans="2:20" ht="12.75" hidden="1" x14ac:dyDescent="0.25">
      <c r="B3536" s="32">
        <v>87</v>
      </c>
      <c r="F3536" s="32" t="s">
        <v>273</v>
      </c>
      <c r="J3536" s="32">
        <v>2</v>
      </c>
      <c r="P3536" s="32">
        <v>1000</v>
      </c>
      <c r="R3536" s="32">
        <v>300</v>
      </c>
      <c r="T3536" s="32">
        <v>700</v>
      </c>
    </row>
    <row r="3537" spans="1:20" ht="12.75" hidden="1" x14ac:dyDescent="0.25">
      <c r="B3537" s="32">
        <v>88</v>
      </c>
      <c r="F3537" s="32" t="s">
        <v>206</v>
      </c>
      <c r="J3537" s="32">
        <v>1</v>
      </c>
      <c r="P3537" s="32">
        <v>500</v>
      </c>
      <c r="R3537" s="32">
        <v>150</v>
      </c>
      <c r="T3537" s="32">
        <v>350</v>
      </c>
    </row>
    <row r="3538" spans="1:20" ht="12.75" hidden="1" x14ac:dyDescent="0.25">
      <c r="B3538" s="32">
        <v>89</v>
      </c>
      <c r="F3538" s="32" t="s">
        <v>204</v>
      </c>
      <c r="J3538" s="32">
        <v>2</v>
      </c>
      <c r="P3538" s="32">
        <v>1000</v>
      </c>
      <c r="R3538" s="32">
        <v>300</v>
      </c>
      <c r="T3538" s="32">
        <v>700</v>
      </c>
    </row>
    <row r="3539" spans="1:20" ht="12.75" hidden="1" x14ac:dyDescent="0.25">
      <c r="B3539" s="32">
        <v>90</v>
      </c>
      <c r="F3539" s="32" t="s">
        <v>203</v>
      </c>
      <c r="J3539" s="32">
        <v>1</v>
      </c>
      <c r="P3539" s="32">
        <v>500</v>
      </c>
      <c r="R3539" s="32">
        <v>150</v>
      </c>
      <c r="T3539" s="32">
        <v>350</v>
      </c>
    </row>
    <row r="3540" spans="1:20" ht="12.75" hidden="1" x14ac:dyDescent="0.25">
      <c r="B3540" s="32">
        <v>91</v>
      </c>
      <c r="F3540" s="32" t="s">
        <v>81</v>
      </c>
      <c r="J3540" s="32">
        <v>75</v>
      </c>
      <c r="P3540" s="32">
        <v>21750</v>
      </c>
      <c r="R3540" s="32">
        <v>3200</v>
      </c>
      <c r="T3540" s="32">
        <v>18550</v>
      </c>
    </row>
    <row r="3541" spans="1:20" ht="12.75" hidden="1" x14ac:dyDescent="0.25">
      <c r="A3541" s="32" t="s">
        <v>347</v>
      </c>
      <c r="K3541" s="32">
        <v>7021</v>
      </c>
      <c r="P3541" s="32">
        <v>7756705</v>
      </c>
      <c r="R3541" s="32">
        <v>6987056</v>
      </c>
      <c r="T3541" s="32">
        <v>769649</v>
      </c>
    </row>
    <row r="3542" spans="1:20" ht="12.75" hidden="1" x14ac:dyDescent="0.25">
      <c r="B3542" s="32">
        <v>1</v>
      </c>
      <c r="F3542" s="32" t="s">
        <v>316</v>
      </c>
      <c r="J3542" s="32">
        <v>1</v>
      </c>
      <c r="P3542" s="32">
        <v>390</v>
      </c>
      <c r="R3542" s="32">
        <v>120</v>
      </c>
      <c r="T3542" s="32">
        <v>270</v>
      </c>
    </row>
    <row r="3543" spans="1:20" ht="12.75" hidden="1" x14ac:dyDescent="0.25">
      <c r="B3543" s="32">
        <v>2</v>
      </c>
      <c r="F3543" s="32" t="s">
        <v>346</v>
      </c>
      <c r="J3543" s="32">
        <v>2</v>
      </c>
      <c r="P3543" s="32">
        <v>1000</v>
      </c>
      <c r="R3543" s="32">
        <v>300</v>
      </c>
      <c r="T3543" s="32">
        <v>700</v>
      </c>
    </row>
    <row r="3544" spans="1:20" ht="12.75" hidden="1" x14ac:dyDescent="0.25">
      <c r="B3544" s="32">
        <v>3</v>
      </c>
      <c r="F3544" s="32" t="s">
        <v>78</v>
      </c>
      <c r="J3544" s="32">
        <v>532</v>
      </c>
      <c r="P3544" s="32">
        <v>154280</v>
      </c>
      <c r="R3544" s="32">
        <v>154280</v>
      </c>
      <c r="T3544" s="32">
        <v>0</v>
      </c>
    </row>
    <row r="3545" spans="1:20" ht="12.75" hidden="1" x14ac:dyDescent="0.25">
      <c r="B3545" s="32">
        <v>4</v>
      </c>
      <c r="F3545" s="32" t="s">
        <v>268</v>
      </c>
      <c r="J3545" s="32">
        <v>1</v>
      </c>
      <c r="P3545" s="32">
        <v>250</v>
      </c>
      <c r="R3545" s="32">
        <v>70</v>
      </c>
      <c r="T3545" s="32">
        <v>180</v>
      </c>
    </row>
    <row r="3546" spans="1:20" ht="12.75" hidden="1" x14ac:dyDescent="0.25">
      <c r="B3546" s="32">
        <v>5</v>
      </c>
      <c r="F3546" s="32" t="s">
        <v>249</v>
      </c>
      <c r="J3546" s="32">
        <v>1</v>
      </c>
      <c r="P3546" s="32">
        <v>1300</v>
      </c>
      <c r="R3546" s="32">
        <v>200</v>
      </c>
      <c r="T3546" s="32">
        <v>1100</v>
      </c>
    </row>
    <row r="3547" spans="1:20" ht="12.75" hidden="1" x14ac:dyDescent="0.25">
      <c r="B3547" s="32">
        <v>6</v>
      </c>
      <c r="F3547" s="32" t="s">
        <v>294</v>
      </c>
      <c r="J3547" s="32">
        <v>1</v>
      </c>
      <c r="P3547" s="32">
        <v>500</v>
      </c>
      <c r="R3547" s="32">
        <v>150</v>
      </c>
      <c r="T3547" s="32">
        <v>350</v>
      </c>
    </row>
    <row r="3548" spans="1:20" ht="12.75" hidden="1" x14ac:dyDescent="0.25">
      <c r="B3548" s="32">
        <v>7</v>
      </c>
      <c r="F3548" s="32" t="s">
        <v>345</v>
      </c>
      <c r="J3548" s="32">
        <v>1</v>
      </c>
      <c r="P3548" s="32">
        <v>1880</v>
      </c>
      <c r="R3548" s="32">
        <v>280</v>
      </c>
      <c r="T3548" s="32">
        <v>1600</v>
      </c>
    </row>
    <row r="3549" spans="1:20" ht="12.75" hidden="1" x14ac:dyDescent="0.25">
      <c r="B3549" s="32">
        <v>8</v>
      </c>
      <c r="F3549" s="32" t="s">
        <v>165</v>
      </c>
      <c r="J3549" s="32">
        <v>1</v>
      </c>
      <c r="P3549" s="32">
        <v>590</v>
      </c>
      <c r="R3549" s="32">
        <v>180</v>
      </c>
      <c r="T3549" s="32">
        <v>410</v>
      </c>
    </row>
    <row r="3550" spans="1:20" ht="12.75" hidden="1" x14ac:dyDescent="0.25">
      <c r="B3550" s="32">
        <v>9</v>
      </c>
      <c r="F3550" s="32" t="s">
        <v>344</v>
      </c>
      <c r="J3550" s="32">
        <v>1</v>
      </c>
      <c r="P3550" s="32">
        <v>350</v>
      </c>
      <c r="R3550" s="32">
        <v>100</v>
      </c>
      <c r="T3550" s="32">
        <v>250</v>
      </c>
    </row>
    <row r="3551" spans="1:20" ht="12.75" hidden="1" x14ac:dyDescent="0.25">
      <c r="B3551" s="32">
        <v>10</v>
      </c>
      <c r="F3551" s="32" t="s">
        <v>162</v>
      </c>
      <c r="J3551" s="32">
        <v>12</v>
      </c>
      <c r="P3551" s="32">
        <v>5160</v>
      </c>
      <c r="R3551" s="32">
        <v>2208</v>
      </c>
      <c r="T3551" s="32">
        <v>2952</v>
      </c>
    </row>
    <row r="3552" spans="1:20" ht="12.75" hidden="1" x14ac:dyDescent="0.25">
      <c r="B3552" s="32">
        <v>11</v>
      </c>
      <c r="F3552" s="32" t="s">
        <v>198</v>
      </c>
      <c r="J3552" s="32">
        <v>21</v>
      </c>
      <c r="P3552" s="32">
        <v>6090</v>
      </c>
      <c r="R3552" s="32">
        <v>1520</v>
      </c>
      <c r="T3552" s="32">
        <v>4570</v>
      </c>
    </row>
    <row r="3553" spans="2:20" ht="12.75" hidden="1" x14ac:dyDescent="0.25">
      <c r="B3553" s="32">
        <v>12</v>
      </c>
      <c r="F3553" s="32" t="s">
        <v>161</v>
      </c>
      <c r="J3553" s="32">
        <v>1</v>
      </c>
      <c r="P3553" s="32">
        <v>25</v>
      </c>
      <c r="R3553" s="32">
        <v>5</v>
      </c>
      <c r="T3553" s="32">
        <v>20</v>
      </c>
    </row>
    <row r="3554" spans="2:20" ht="12.75" hidden="1" x14ac:dyDescent="0.25">
      <c r="B3554" s="32">
        <v>13</v>
      </c>
      <c r="F3554" s="32" t="s">
        <v>158</v>
      </c>
      <c r="J3554" s="32">
        <v>474</v>
      </c>
      <c r="P3554" s="32">
        <v>260700</v>
      </c>
      <c r="R3554" s="32">
        <v>72811</v>
      </c>
      <c r="T3554" s="32">
        <v>187889</v>
      </c>
    </row>
    <row r="3555" spans="2:20" ht="12.75" hidden="1" x14ac:dyDescent="0.25">
      <c r="B3555" s="32">
        <v>14</v>
      </c>
      <c r="F3555" s="32" t="s">
        <v>157</v>
      </c>
      <c r="J3555" s="32">
        <v>25</v>
      </c>
      <c r="P3555" s="32">
        <v>12250</v>
      </c>
      <c r="R3555" s="32">
        <v>5083</v>
      </c>
      <c r="T3555" s="32">
        <v>7167</v>
      </c>
    </row>
    <row r="3556" spans="2:20" ht="12.75" hidden="1" x14ac:dyDescent="0.25">
      <c r="B3556" s="32">
        <v>15</v>
      </c>
      <c r="F3556" s="32" t="s">
        <v>197</v>
      </c>
      <c r="J3556" s="32">
        <v>4</v>
      </c>
      <c r="P3556" s="32">
        <v>2000</v>
      </c>
      <c r="R3556" s="32">
        <v>300</v>
      </c>
      <c r="T3556" s="32">
        <v>1700</v>
      </c>
    </row>
    <row r="3557" spans="2:20" ht="12.75" hidden="1" x14ac:dyDescent="0.25">
      <c r="B3557" s="32">
        <v>16</v>
      </c>
      <c r="F3557" s="32" t="s">
        <v>293</v>
      </c>
      <c r="J3557" s="32">
        <v>17</v>
      </c>
      <c r="P3557" s="32">
        <v>11900</v>
      </c>
      <c r="R3557" s="32">
        <v>1040</v>
      </c>
      <c r="T3557" s="32">
        <v>10860</v>
      </c>
    </row>
    <row r="3558" spans="2:20" ht="12.75" hidden="1" x14ac:dyDescent="0.25">
      <c r="B3558" s="32">
        <v>17</v>
      </c>
      <c r="F3558" s="32" t="s">
        <v>196</v>
      </c>
      <c r="J3558" s="32">
        <v>39</v>
      </c>
      <c r="P3558" s="32">
        <v>27300</v>
      </c>
      <c r="R3558" s="32">
        <v>3031</v>
      </c>
      <c r="T3558" s="32">
        <v>24269</v>
      </c>
    </row>
    <row r="3559" spans="2:20" ht="12.75" hidden="1" x14ac:dyDescent="0.25">
      <c r="B3559" s="32">
        <v>18</v>
      </c>
      <c r="F3559" s="32" t="s">
        <v>292</v>
      </c>
      <c r="J3559" s="32">
        <v>1</v>
      </c>
      <c r="P3559" s="32">
        <v>700</v>
      </c>
      <c r="R3559" s="32">
        <v>700</v>
      </c>
      <c r="T3559" s="32">
        <v>0</v>
      </c>
    </row>
    <row r="3560" spans="2:20" ht="12.75" hidden="1" x14ac:dyDescent="0.25">
      <c r="B3560" s="32">
        <v>19</v>
      </c>
      <c r="F3560" s="32" t="s">
        <v>77</v>
      </c>
      <c r="J3560" s="32">
        <v>2506</v>
      </c>
      <c r="P3560" s="32">
        <v>1013800</v>
      </c>
      <c r="R3560" s="32">
        <v>1013800</v>
      </c>
      <c r="T3560" s="32">
        <v>0</v>
      </c>
    </row>
    <row r="3561" spans="2:20" ht="12.75" hidden="1" x14ac:dyDescent="0.25">
      <c r="B3561" s="32">
        <v>20</v>
      </c>
      <c r="F3561" s="32" t="s">
        <v>343</v>
      </c>
      <c r="J3561" s="32">
        <v>1</v>
      </c>
      <c r="P3561" s="32">
        <v>210</v>
      </c>
      <c r="R3561" s="32">
        <v>63</v>
      </c>
      <c r="T3561" s="32">
        <v>147</v>
      </c>
    </row>
    <row r="3562" spans="2:20" ht="12.75" hidden="1" x14ac:dyDescent="0.25">
      <c r="B3562" s="32">
        <v>21</v>
      </c>
      <c r="F3562" s="32" t="s">
        <v>76</v>
      </c>
      <c r="J3562" s="32">
        <v>6</v>
      </c>
      <c r="P3562" s="32">
        <v>3500</v>
      </c>
      <c r="R3562" s="32">
        <v>3500</v>
      </c>
      <c r="T3562" s="32">
        <v>0</v>
      </c>
    </row>
    <row r="3563" spans="2:20" ht="12.75" hidden="1" x14ac:dyDescent="0.25">
      <c r="B3563" s="32">
        <v>22</v>
      </c>
      <c r="F3563" s="32" t="s">
        <v>156</v>
      </c>
      <c r="J3563" s="32">
        <v>17</v>
      </c>
      <c r="P3563" s="32">
        <v>3230</v>
      </c>
      <c r="R3563" s="32">
        <v>1068</v>
      </c>
      <c r="T3563" s="32">
        <v>2162</v>
      </c>
    </row>
    <row r="3564" spans="2:20" ht="12.75" hidden="1" x14ac:dyDescent="0.25">
      <c r="B3564" s="32">
        <v>23</v>
      </c>
      <c r="F3564" s="32" t="s">
        <v>342</v>
      </c>
      <c r="J3564" s="32">
        <v>1</v>
      </c>
      <c r="P3564" s="32">
        <v>500</v>
      </c>
      <c r="R3564" s="32">
        <v>0</v>
      </c>
      <c r="T3564" s="32">
        <v>500</v>
      </c>
    </row>
    <row r="3565" spans="2:20" ht="12.75" hidden="1" x14ac:dyDescent="0.25">
      <c r="B3565" s="32">
        <v>24</v>
      </c>
      <c r="F3565" s="32" t="s">
        <v>341</v>
      </c>
      <c r="J3565" s="32">
        <v>2</v>
      </c>
      <c r="P3565" s="32">
        <v>900</v>
      </c>
      <c r="R3565" s="32">
        <v>260</v>
      </c>
      <c r="T3565" s="32">
        <v>640</v>
      </c>
    </row>
    <row r="3566" spans="2:20" ht="12.75" hidden="1" x14ac:dyDescent="0.25">
      <c r="B3566" s="32">
        <v>25</v>
      </c>
      <c r="F3566" s="32" t="s">
        <v>155</v>
      </c>
      <c r="J3566" s="32">
        <v>63</v>
      </c>
      <c r="P3566" s="32">
        <v>15750</v>
      </c>
      <c r="R3566" s="32">
        <v>5741</v>
      </c>
      <c r="T3566" s="32">
        <v>10009</v>
      </c>
    </row>
    <row r="3567" spans="2:20" ht="12.75" hidden="1" x14ac:dyDescent="0.25">
      <c r="B3567" s="32">
        <v>26</v>
      </c>
      <c r="F3567" s="32" t="s">
        <v>340</v>
      </c>
      <c r="J3567" s="32">
        <v>2</v>
      </c>
      <c r="P3567" s="32">
        <v>1760</v>
      </c>
      <c r="R3567" s="32">
        <v>0</v>
      </c>
      <c r="T3567" s="32">
        <v>1760</v>
      </c>
    </row>
    <row r="3568" spans="2:20" ht="12.75" hidden="1" x14ac:dyDescent="0.25">
      <c r="B3568" s="32">
        <v>27</v>
      </c>
      <c r="F3568" s="32" t="s">
        <v>339</v>
      </c>
      <c r="J3568" s="32">
        <v>1</v>
      </c>
      <c r="P3568" s="32">
        <v>350</v>
      </c>
      <c r="R3568" s="32">
        <v>100</v>
      </c>
      <c r="T3568" s="32">
        <v>250</v>
      </c>
    </row>
    <row r="3569" spans="2:20" ht="12.75" hidden="1" x14ac:dyDescent="0.25">
      <c r="B3569" s="32">
        <v>28</v>
      </c>
      <c r="F3569" s="32" t="s">
        <v>338</v>
      </c>
      <c r="J3569" s="32">
        <v>2</v>
      </c>
      <c r="P3569" s="32">
        <v>580</v>
      </c>
      <c r="R3569" s="32">
        <v>160</v>
      </c>
      <c r="T3569" s="32">
        <v>420</v>
      </c>
    </row>
    <row r="3570" spans="2:20" ht="12.75" hidden="1" x14ac:dyDescent="0.25">
      <c r="B3570" s="32">
        <v>29</v>
      </c>
      <c r="F3570" s="32" t="s">
        <v>195</v>
      </c>
      <c r="J3570" s="32">
        <v>11</v>
      </c>
      <c r="P3570" s="32">
        <v>11000</v>
      </c>
      <c r="R3570" s="32">
        <v>500</v>
      </c>
      <c r="T3570" s="32">
        <v>10500</v>
      </c>
    </row>
    <row r="3571" spans="2:20" ht="12.75" hidden="1" x14ac:dyDescent="0.25">
      <c r="B3571" s="32">
        <v>30</v>
      </c>
      <c r="F3571" s="32" t="s">
        <v>194</v>
      </c>
      <c r="J3571" s="32">
        <v>1</v>
      </c>
      <c r="P3571" s="32">
        <v>700</v>
      </c>
      <c r="R3571" s="32">
        <v>0</v>
      </c>
      <c r="T3571" s="32">
        <v>700</v>
      </c>
    </row>
    <row r="3572" spans="2:20" ht="12.75" hidden="1" x14ac:dyDescent="0.25">
      <c r="B3572" s="32">
        <v>31</v>
      </c>
      <c r="F3572" s="32" t="s">
        <v>289</v>
      </c>
      <c r="J3572" s="32">
        <v>1</v>
      </c>
      <c r="P3572" s="32">
        <v>500</v>
      </c>
      <c r="R3572" s="32">
        <v>150</v>
      </c>
      <c r="T3572" s="32">
        <v>350</v>
      </c>
    </row>
    <row r="3573" spans="2:20" ht="12.75" hidden="1" x14ac:dyDescent="0.25">
      <c r="B3573" s="32">
        <v>32</v>
      </c>
      <c r="F3573" s="32" t="s">
        <v>320</v>
      </c>
      <c r="J3573" s="32">
        <v>1</v>
      </c>
      <c r="P3573" s="32">
        <v>500</v>
      </c>
      <c r="R3573" s="32">
        <v>0</v>
      </c>
      <c r="T3573" s="32">
        <v>500</v>
      </c>
    </row>
    <row r="3574" spans="2:20" ht="12.75" hidden="1" x14ac:dyDescent="0.25">
      <c r="B3574" s="32">
        <v>33</v>
      </c>
      <c r="F3574" s="32" t="s">
        <v>152</v>
      </c>
      <c r="J3574" s="32">
        <v>3</v>
      </c>
      <c r="P3574" s="32">
        <v>1770</v>
      </c>
      <c r="R3574" s="32">
        <v>630</v>
      </c>
      <c r="T3574" s="32">
        <v>1140</v>
      </c>
    </row>
    <row r="3575" spans="2:20" ht="12.75" hidden="1" x14ac:dyDescent="0.25">
      <c r="B3575" s="32">
        <v>34</v>
      </c>
      <c r="F3575" s="32" t="s">
        <v>151</v>
      </c>
      <c r="J3575" s="32">
        <v>32</v>
      </c>
      <c r="P3575" s="32">
        <v>7360</v>
      </c>
      <c r="R3575" s="32">
        <v>2300</v>
      </c>
      <c r="T3575" s="32">
        <v>5060</v>
      </c>
    </row>
    <row r="3576" spans="2:20" ht="12.75" hidden="1" x14ac:dyDescent="0.25">
      <c r="B3576" s="32">
        <v>35</v>
      </c>
      <c r="F3576" s="32" t="s">
        <v>337</v>
      </c>
      <c r="J3576" s="32">
        <v>1</v>
      </c>
      <c r="P3576" s="32">
        <v>1380</v>
      </c>
      <c r="R3576" s="32">
        <v>210</v>
      </c>
      <c r="T3576" s="32">
        <v>1170</v>
      </c>
    </row>
    <row r="3577" spans="2:20" ht="12.75" hidden="1" x14ac:dyDescent="0.25">
      <c r="B3577" s="32">
        <v>36</v>
      </c>
      <c r="F3577" s="32" t="s">
        <v>150</v>
      </c>
      <c r="J3577" s="32">
        <v>10</v>
      </c>
      <c r="P3577" s="32">
        <v>1700</v>
      </c>
      <c r="R3577" s="32">
        <v>360</v>
      </c>
      <c r="T3577" s="32">
        <v>1340</v>
      </c>
    </row>
    <row r="3578" spans="2:20" ht="12.75" hidden="1" x14ac:dyDescent="0.25">
      <c r="B3578" s="32">
        <v>37</v>
      </c>
      <c r="F3578" s="32" t="s">
        <v>149</v>
      </c>
      <c r="J3578" s="32">
        <v>2</v>
      </c>
      <c r="P3578" s="32">
        <v>100</v>
      </c>
      <c r="R3578" s="32">
        <v>20</v>
      </c>
      <c r="T3578" s="32">
        <v>80</v>
      </c>
    </row>
    <row r="3579" spans="2:20" ht="12.75" hidden="1" x14ac:dyDescent="0.25">
      <c r="B3579" s="32">
        <v>38</v>
      </c>
      <c r="F3579" s="32" t="s">
        <v>288</v>
      </c>
      <c r="J3579" s="32">
        <v>2</v>
      </c>
      <c r="P3579" s="32">
        <v>1600</v>
      </c>
      <c r="R3579" s="32">
        <v>900</v>
      </c>
      <c r="T3579" s="32">
        <v>700</v>
      </c>
    </row>
    <row r="3580" spans="2:20" ht="12.75" hidden="1" x14ac:dyDescent="0.25">
      <c r="B3580" s="32">
        <v>39</v>
      </c>
      <c r="F3580" s="32" t="s">
        <v>234</v>
      </c>
      <c r="J3580" s="32">
        <v>4</v>
      </c>
      <c r="P3580" s="32">
        <v>3200</v>
      </c>
      <c r="R3580" s="32">
        <v>1800</v>
      </c>
      <c r="T3580" s="32">
        <v>1400</v>
      </c>
    </row>
    <row r="3581" spans="2:20" ht="12.75" hidden="1" x14ac:dyDescent="0.25">
      <c r="B3581" s="32">
        <v>40</v>
      </c>
      <c r="F3581" s="32" t="s">
        <v>287</v>
      </c>
      <c r="J3581" s="32">
        <v>5</v>
      </c>
      <c r="P3581" s="32">
        <v>4000</v>
      </c>
      <c r="R3581" s="32">
        <v>1620</v>
      </c>
      <c r="T3581" s="32">
        <v>2380</v>
      </c>
    </row>
    <row r="3582" spans="2:20" ht="12.75" hidden="1" x14ac:dyDescent="0.25">
      <c r="B3582" s="32">
        <v>41</v>
      </c>
      <c r="F3582" s="32" t="s">
        <v>286</v>
      </c>
      <c r="J3582" s="32">
        <v>2</v>
      </c>
      <c r="P3582" s="32">
        <v>1600</v>
      </c>
      <c r="R3582" s="32">
        <v>900</v>
      </c>
      <c r="T3582" s="32">
        <v>700</v>
      </c>
    </row>
    <row r="3583" spans="2:20" ht="12.75" hidden="1" x14ac:dyDescent="0.25">
      <c r="B3583" s="32">
        <v>42</v>
      </c>
      <c r="F3583" s="32" t="s">
        <v>233</v>
      </c>
      <c r="J3583" s="32">
        <v>5</v>
      </c>
      <c r="P3583" s="32">
        <v>4900</v>
      </c>
      <c r="R3583" s="32">
        <v>750</v>
      </c>
      <c r="T3583" s="32">
        <v>4150</v>
      </c>
    </row>
    <row r="3584" spans="2:20" ht="12.75" hidden="1" x14ac:dyDescent="0.25">
      <c r="B3584" s="32">
        <v>43</v>
      </c>
      <c r="F3584" s="32" t="s">
        <v>232</v>
      </c>
      <c r="J3584" s="32">
        <v>6</v>
      </c>
      <c r="P3584" s="32">
        <v>5880</v>
      </c>
      <c r="R3584" s="32">
        <v>900</v>
      </c>
      <c r="T3584" s="32">
        <v>4980</v>
      </c>
    </row>
    <row r="3585" spans="2:20" ht="12.75" hidden="1" x14ac:dyDescent="0.25">
      <c r="B3585" s="32">
        <v>44</v>
      </c>
      <c r="F3585" s="32" t="s">
        <v>142</v>
      </c>
      <c r="J3585" s="32">
        <v>3</v>
      </c>
      <c r="P3585" s="32">
        <v>1050</v>
      </c>
      <c r="R3585" s="32">
        <v>450</v>
      </c>
      <c r="T3585" s="32">
        <v>600</v>
      </c>
    </row>
    <row r="3586" spans="2:20" ht="12.75" hidden="1" x14ac:dyDescent="0.25">
      <c r="B3586" s="32">
        <v>45</v>
      </c>
      <c r="F3586" s="32" t="s">
        <v>75</v>
      </c>
      <c r="J3586" s="32">
        <v>2196</v>
      </c>
      <c r="P3586" s="32">
        <v>5490000</v>
      </c>
      <c r="R3586" s="32">
        <v>5490000</v>
      </c>
      <c r="T3586" s="32">
        <v>0</v>
      </c>
    </row>
    <row r="3587" spans="2:20" ht="12.75" hidden="1" x14ac:dyDescent="0.25">
      <c r="B3587" s="32">
        <v>46</v>
      </c>
      <c r="F3587" s="32" t="s">
        <v>139</v>
      </c>
      <c r="J3587" s="32">
        <v>23</v>
      </c>
      <c r="P3587" s="32">
        <v>6210</v>
      </c>
      <c r="R3587" s="32">
        <v>1520</v>
      </c>
      <c r="T3587" s="32">
        <v>4690</v>
      </c>
    </row>
    <row r="3588" spans="2:20" ht="12.75" hidden="1" x14ac:dyDescent="0.25">
      <c r="B3588" s="32">
        <v>47</v>
      </c>
      <c r="F3588" s="32" t="s">
        <v>231</v>
      </c>
      <c r="J3588" s="32">
        <v>1</v>
      </c>
      <c r="P3588" s="32">
        <v>500</v>
      </c>
      <c r="R3588" s="32">
        <v>0</v>
      </c>
      <c r="T3588" s="32">
        <v>500</v>
      </c>
    </row>
    <row r="3589" spans="2:20" ht="12.75" hidden="1" x14ac:dyDescent="0.25">
      <c r="B3589" s="32">
        <v>48</v>
      </c>
      <c r="F3589" s="32" t="s">
        <v>302</v>
      </c>
      <c r="J3589" s="32">
        <v>3</v>
      </c>
      <c r="P3589" s="32">
        <v>2400</v>
      </c>
      <c r="R3589" s="32">
        <v>1020</v>
      </c>
      <c r="T3589" s="32">
        <v>1380</v>
      </c>
    </row>
    <row r="3590" spans="2:20" ht="12.75" hidden="1" x14ac:dyDescent="0.25">
      <c r="B3590" s="32">
        <v>49</v>
      </c>
      <c r="F3590" s="32" t="s">
        <v>137</v>
      </c>
      <c r="J3590" s="32">
        <v>1</v>
      </c>
      <c r="P3590" s="32">
        <v>800</v>
      </c>
      <c r="R3590" s="32">
        <v>360</v>
      </c>
      <c r="T3590" s="32">
        <v>440</v>
      </c>
    </row>
    <row r="3591" spans="2:20" ht="12.75" hidden="1" x14ac:dyDescent="0.25">
      <c r="B3591" s="32">
        <v>50</v>
      </c>
      <c r="F3591" s="32" t="s">
        <v>136</v>
      </c>
      <c r="J3591" s="32">
        <v>27</v>
      </c>
      <c r="P3591" s="32">
        <v>22950</v>
      </c>
      <c r="R3591" s="32">
        <v>5177</v>
      </c>
      <c r="T3591" s="32">
        <v>17773</v>
      </c>
    </row>
    <row r="3592" spans="2:20" ht="12.75" hidden="1" x14ac:dyDescent="0.25">
      <c r="B3592" s="32">
        <v>51</v>
      </c>
      <c r="F3592" s="32" t="s">
        <v>74</v>
      </c>
      <c r="J3592" s="32">
        <v>10</v>
      </c>
      <c r="P3592" s="32">
        <v>8500</v>
      </c>
      <c r="R3592" s="32">
        <v>8500</v>
      </c>
      <c r="T3592" s="32">
        <v>0</v>
      </c>
    </row>
    <row r="3593" spans="2:20" ht="12.75" hidden="1" x14ac:dyDescent="0.25">
      <c r="B3593" s="32">
        <v>52</v>
      </c>
      <c r="F3593" s="32" t="s">
        <v>191</v>
      </c>
      <c r="J3593" s="32">
        <v>3</v>
      </c>
      <c r="P3593" s="32">
        <v>1050</v>
      </c>
      <c r="R3593" s="32">
        <v>360</v>
      </c>
      <c r="T3593" s="32">
        <v>690</v>
      </c>
    </row>
    <row r="3594" spans="2:20" ht="12.75" hidden="1" x14ac:dyDescent="0.25">
      <c r="B3594" s="32">
        <v>53</v>
      </c>
      <c r="F3594" s="32" t="s">
        <v>190</v>
      </c>
      <c r="J3594" s="32">
        <v>15</v>
      </c>
      <c r="P3594" s="32">
        <v>23550</v>
      </c>
      <c r="R3594" s="32">
        <v>3120</v>
      </c>
      <c r="T3594" s="32">
        <v>20430</v>
      </c>
    </row>
    <row r="3595" spans="2:20" ht="12.75" hidden="1" x14ac:dyDescent="0.25">
      <c r="B3595" s="32">
        <v>54</v>
      </c>
      <c r="F3595" s="32" t="s">
        <v>230</v>
      </c>
      <c r="J3595" s="32">
        <v>2</v>
      </c>
      <c r="P3595" s="32">
        <v>1900</v>
      </c>
      <c r="R3595" s="32">
        <v>280</v>
      </c>
      <c r="T3595" s="32">
        <v>1620</v>
      </c>
    </row>
    <row r="3596" spans="2:20" ht="12.75" hidden="1" x14ac:dyDescent="0.25">
      <c r="B3596" s="32">
        <v>55</v>
      </c>
      <c r="F3596" s="32" t="s">
        <v>135</v>
      </c>
      <c r="J3596" s="32">
        <v>9</v>
      </c>
      <c r="P3596" s="32">
        <v>8550</v>
      </c>
      <c r="R3596" s="32">
        <v>2430</v>
      </c>
      <c r="T3596" s="32">
        <v>6120</v>
      </c>
    </row>
    <row r="3597" spans="2:20" ht="12.75" hidden="1" x14ac:dyDescent="0.25">
      <c r="B3597" s="32">
        <v>56</v>
      </c>
      <c r="F3597" s="32" t="s">
        <v>285</v>
      </c>
      <c r="J3597" s="32">
        <v>2</v>
      </c>
      <c r="P3597" s="32">
        <v>7400</v>
      </c>
      <c r="R3597" s="32">
        <v>3700</v>
      </c>
      <c r="T3597" s="32">
        <v>3700</v>
      </c>
    </row>
    <row r="3598" spans="2:20" ht="12.75" hidden="1" x14ac:dyDescent="0.25">
      <c r="B3598" s="32">
        <v>57</v>
      </c>
      <c r="F3598" s="32" t="s">
        <v>132</v>
      </c>
      <c r="J3598" s="32">
        <v>14</v>
      </c>
      <c r="P3598" s="32">
        <v>17360</v>
      </c>
      <c r="R3598" s="32">
        <v>5180</v>
      </c>
      <c r="T3598" s="32">
        <v>12180</v>
      </c>
    </row>
    <row r="3599" spans="2:20" ht="12.75" hidden="1" x14ac:dyDescent="0.25">
      <c r="B3599" s="32">
        <v>58</v>
      </c>
      <c r="F3599" s="32" t="s">
        <v>131</v>
      </c>
      <c r="J3599" s="32">
        <v>1</v>
      </c>
      <c r="P3599" s="32">
        <v>3700</v>
      </c>
      <c r="R3599" s="32">
        <v>800</v>
      </c>
      <c r="T3599" s="32">
        <v>2900</v>
      </c>
    </row>
    <row r="3600" spans="2:20" ht="12.75" hidden="1" x14ac:dyDescent="0.25">
      <c r="B3600" s="32">
        <v>59</v>
      </c>
      <c r="F3600" s="32" t="s">
        <v>284</v>
      </c>
      <c r="J3600" s="32">
        <v>3</v>
      </c>
      <c r="P3600" s="32">
        <v>11100</v>
      </c>
      <c r="R3600" s="32">
        <v>5550</v>
      </c>
      <c r="T3600" s="32">
        <v>5550</v>
      </c>
    </row>
    <row r="3601" spans="2:20" ht="12.75" hidden="1" x14ac:dyDescent="0.25">
      <c r="T3601" s="32"/>
    </row>
    <row r="3602" spans="2:20" ht="12.75" hidden="1" x14ac:dyDescent="0.25">
      <c r="B3602" s="32">
        <v>60</v>
      </c>
      <c r="F3602" s="32" t="s">
        <v>130</v>
      </c>
      <c r="J3602" s="32">
        <v>2</v>
      </c>
      <c r="P3602" s="32">
        <v>16000</v>
      </c>
      <c r="R3602" s="32">
        <v>8200</v>
      </c>
      <c r="T3602" s="32">
        <v>7800</v>
      </c>
    </row>
    <row r="3603" spans="2:20" ht="12.75" hidden="1" x14ac:dyDescent="0.25">
      <c r="B3603" s="32">
        <v>61</v>
      </c>
      <c r="F3603" s="32" t="s">
        <v>188</v>
      </c>
      <c r="J3603" s="32">
        <v>2</v>
      </c>
      <c r="P3603" s="32">
        <v>16000</v>
      </c>
      <c r="R3603" s="32">
        <v>8000</v>
      </c>
      <c r="T3603" s="32">
        <v>8000</v>
      </c>
    </row>
    <row r="3604" spans="2:20" ht="12.75" hidden="1" x14ac:dyDescent="0.25">
      <c r="T3604" s="32"/>
    </row>
    <row r="3605" spans="2:20" ht="12.75" hidden="1" x14ac:dyDescent="0.25">
      <c r="B3605" s="32">
        <v>62</v>
      </c>
      <c r="F3605" s="32" t="s">
        <v>185</v>
      </c>
      <c r="J3605" s="32">
        <v>3</v>
      </c>
      <c r="P3605" s="32">
        <v>2400</v>
      </c>
      <c r="R3605" s="32">
        <v>898</v>
      </c>
      <c r="T3605" s="32">
        <v>1502</v>
      </c>
    </row>
    <row r="3606" spans="2:20" ht="12.75" hidden="1" x14ac:dyDescent="0.25">
      <c r="B3606" s="32">
        <v>63</v>
      </c>
      <c r="F3606" s="32" t="s">
        <v>283</v>
      </c>
      <c r="J3606" s="32">
        <v>2</v>
      </c>
      <c r="P3606" s="32">
        <v>1600</v>
      </c>
      <c r="R3606" s="32">
        <v>450</v>
      </c>
      <c r="T3606" s="32">
        <v>1150</v>
      </c>
    </row>
    <row r="3607" spans="2:20" ht="12.75" hidden="1" x14ac:dyDescent="0.25">
      <c r="B3607" s="32">
        <v>64</v>
      </c>
      <c r="F3607" s="32" t="s">
        <v>127</v>
      </c>
      <c r="J3607" s="32">
        <v>30</v>
      </c>
      <c r="P3607" s="32">
        <v>9000</v>
      </c>
      <c r="R3607" s="32">
        <v>2598</v>
      </c>
      <c r="T3607" s="32">
        <v>6402</v>
      </c>
    </row>
    <row r="3608" spans="2:20" ht="12.75" hidden="1" x14ac:dyDescent="0.25">
      <c r="B3608" s="32">
        <v>65</v>
      </c>
      <c r="F3608" s="32" t="s">
        <v>126</v>
      </c>
      <c r="J3608" s="32">
        <v>90</v>
      </c>
      <c r="P3608" s="32">
        <v>18000</v>
      </c>
      <c r="R3608" s="32">
        <v>5394</v>
      </c>
      <c r="T3608" s="32">
        <v>12606</v>
      </c>
    </row>
    <row r="3609" spans="2:20" ht="12.75" hidden="1" x14ac:dyDescent="0.25">
      <c r="B3609" s="32">
        <v>66</v>
      </c>
      <c r="F3609" s="32" t="s">
        <v>123</v>
      </c>
      <c r="J3609" s="32">
        <v>2</v>
      </c>
      <c r="P3609" s="32">
        <v>1560</v>
      </c>
      <c r="R3609" s="32">
        <v>230</v>
      </c>
      <c r="T3609" s="32">
        <v>1330</v>
      </c>
    </row>
    <row r="3610" spans="2:20" ht="12.75" hidden="1" x14ac:dyDescent="0.25">
      <c r="B3610" s="32">
        <v>67</v>
      </c>
      <c r="F3610" s="32" t="s">
        <v>227</v>
      </c>
      <c r="J3610" s="32">
        <v>9</v>
      </c>
      <c r="P3610" s="32">
        <v>4500</v>
      </c>
      <c r="R3610" s="32">
        <v>975</v>
      </c>
      <c r="T3610" s="32">
        <v>3525</v>
      </c>
    </row>
    <row r="3611" spans="2:20" ht="12.75" hidden="1" x14ac:dyDescent="0.25">
      <c r="B3611" s="32">
        <v>68</v>
      </c>
      <c r="F3611" s="32" t="s">
        <v>336</v>
      </c>
      <c r="J3611" s="32">
        <v>3</v>
      </c>
      <c r="P3611" s="32">
        <v>1800</v>
      </c>
      <c r="R3611" s="32">
        <v>250</v>
      </c>
      <c r="T3611" s="32">
        <v>1550</v>
      </c>
    </row>
    <row r="3612" spans="2:20" ht="12.75" hidden="1" x14ac:dyDescent="0.25">
      <c r="B3612" s="32">
        <v>69</v>
      </c>
      <c r="F3612" s="32" t="s">
        <v>122</v>
      </c>
      <c r="J3612" s="32">
        <v>11</v>
      </c>
      <c r="P3612" s="32">
        <v>5900</v>
      </c>
      <c r="R3612" s="32">
        <v>1450</v>
      </c>
      <c r="T3612" s="32">
        <v>4450</v>
      </c>
    </row>
    <row r="3613" spans="2:20" ht="12.75" hidden="1" x14ac:dyDescent="0.25">
      <c r="B3613" s="32">
        <v>70</v>
      </c>
      <c r="F3613" s="32" t="s">
        <v>121</v>
      </c>
      <c r="J3613" s="32">
        <v>5</v>
      </c>
      <c r="P3613" s="32">
        <v>2500</v>
      </c>
      <c r="R3613" s="32">
        <v>580</v>
      </c>
      <c r="T3613" s="32">
        <v>1920</v>
      </c>
    </row>
    <row r="3614" spans="2:20" ht="12.75" hidden="1" x14ac:dyDescent="0.25">
      <c r="B3614" s="32">
        <v>71</v>
      </c>
      <c r="F3614" s="32" t="s">
        <v>120</v>
      </c>
      <c r="J3614" s="32">
        <v>6</v>
      </c>
      <c r="P3614" s="32">
        <v>2100</v>
      </c>
      <c r="R3614" s="32">
        <v>600</v>
      </c>
      <c r="T3614" s="32">
        <v>1500</v>
      </c>
    </row>
    <row r="3615" spans="2:20" ht="12.75" hidden="1" x14ac:dyDescent="0.25">
      <c r="B3615" s="32">
        <v>72</v>
      </c>
      <c r="F3615" s="32" t="s">
        <v>282</v>
      </c>
      <c r="J3615" s="32">
        <v>3</v>
      </c>
      <c r="P3615" s="32">
        <v>1500</v>
      </c>
      <c r="R3615" s="32">
        <v>150</v>
      </c>
      <c r="T3615" s="32">
        <v>1350</v>
      </c>
    </row>
    <row r="3616" spans="2:20" ht="12.75" hidden="1" x14ac:dyDescent="0.25">
      <c r="B3616" s="32">
        <v>73</v>
      </c>
      <c r="F3616" s="32" t="s">
        <v>226</v>
      </c>
      <c r="J3616" s="32">
        <v>3</v>
      </c>
      <c r="P3616" s="32">
        <v>1500</v>
      </c>
      <c r="R3616" s="32">
        <v>0</v>
      </c>
      <c r="T3616" s="32">
        <v>1500</v>
      </c>
    </row>
    <row r="3617" spans="2:20" ht="12.75" hidden="1" x14ac:dyDescent="0.25">
      <c r="B3617" s="32">
        <v>74</v>
      </c>
      <c r="F3617" s="32" t="s">
        <v>119</v>
      </c>
      <c r="J3617" s="32">
        <v>145</v>
      </c>
      <c r="P3617" s="32">
        <v>129050</v>
      </c>
      <c r="R3617" s="32">
        <v>41048</v>
      </c>
      <c r="T3617" s="32">
        <v>88002</v>
      </c>
    </row>
    <row r="3618" spans="2:20" ht="12.75" hidden="1" x14ac:dyDescent="0.25">
      <c r="B3618" s="32">
        <v>75</v>
      </c>
      <c r="F3618" s="32" t="s">
        <v>118</v>
      </c>
      <c r="J3618" s="32">
        <v>231</v>
      </c>
      <c r="P3618" s="32">
        <v>228690</v>
      </c>
      <c r="R3618" s="32">
        <v>79211</v>
      </c>
      <c r="T3618" s="32">
        <v>149479</v>
      </c>
    </row>
    <row r="3619" spans="2:20" ht="12.75" hidden="1" x14ac:dyDescent="0.25">
      <c r="B3619" s="32">
        <v>76</v>
      </c>
      <c r="F3619" s="32" t="s">
        <v>117</v>
      </c>
      <c r="J3619" s="32">
        <v>26</v>
      </c>
      <c r="P3619" s="32">
        <v>20800</v>
      </c>
      <c r="R3619" s="32">
        <v>2120</v>
      </c>
      <c r="T3619" s="32">
        <v>18680</v>
      </c>
    </row>
    <row r="3620" spans="2:20" ht="12.75" hidden="1" x14ac:dyDescent="0.25">
      <c r="B3620" s="32">
        <v>77</v>
      </c>
      <c r="F3620" s="32" t="s">
        <v>116</v>
      </c>
      <c r="J3620" s="32">
        <v>10</v>
      </c>
      <c r="P3620" s="32">
        <v>8000</v>
      </c>
      <c r="R3620" s="32">
        <v>640</v>
      </c>
      <c r="T3620" s="32">
        <v>7360</v>
      </c>
    </row>
    <row r="3621" spans="2:20" ht="12.75" hidden="1" x14ac:dyDescent="0.25">
      <c r="T3621" s="32"/>
    </row>
    <row r="3622" spans="2:20" ht="12.75" hidden="1" x14ac:dyDescent="0.25">
      <c r="B3622" s="32">
        <v>78</v>
      </c>
      <c r="F3622" s="32" t="s">
        <v>115</v>
      </c>
      <c r="J3622" s="32">
        <v>4</v>
      </c>
      <c r="P3622" s="32">
        <v>1160</v>
      </c>
      <c r="R3622" s="32">
        <v>410</v>
      </c>
      <c r="T3622" s="32">
        <v>750</v>
      </c>
    </row>
    <row r="3623" spans="2:20" ht="12.75" hidden="1" x14ac:dyDescent="0.25">
      <c r="B3623" s="32">
        <v>79</v>
      </c>
      <c r="F3623" s="32" t="s">
        <v>280</v>
      </c>
      <c r="J3623" s="32">
        <v>4</v>
      </c>
      <c r="P3623" s="32">
        <v>2800</v>
      </c>
      <c r="R3623" s="32">
        <v>1246</v>
      </c>
      <c r="T3623" s="32">
        <v>1554</v>
      </c>
    </row>
    <row r="3624" spans="2:20" ht="12.75" hidden="1" x14ac:dyDescent="0.25">
      <c r="B3624" s="32">
        <v>80</v>
      </c>
      <c r="F3624" s="32" t="s">
        <v>335</v>
      </c>
      <c r="J3624" s="32">
        <v>4</v>
      </c>
      <c r="P3624" s="32">
        <v>2000</v>
      </c>
      <c r="R3624" s="32">
        <v>450</v>
      </c>
      <c r="T3624" s="32">
        <v>1550</v>
      </c>
    </row>
    <row r="3625" spans="2:20" ht="12.75" hidden="1" x14ac:dyDescent="0.25">
      <c r="B3625" s="32">
        <v>81</v>
      </c>
      <c r="F3625" s="32" t="s">
        <v>279</v>
      </c>
      <c r="J3625" s="32">
        <v>4</v>
      </c>
      <c r="P3625" s="32">
        <v>2000</v>
      </c>
      <c r="R3625" s="32">
        <v>430</v>
      </c>
      <c r="T3625" s="32">
        <v>1570</v>
      </c>
    </row>
    <row r="3626" spans="2:20" ht="12.75" hidden="1" x14ac:dyDescent="0.25">
      <c r="B3626" s="32">
        <v>82</v>
      </c>
      <c r="F3626" s="32" t="s">
        <v>222</v>
      </c>
      <c r="J3626" s="32">
        <v>2</v>
      </c>
      <c r="P3626" s="32">
        <v>1000</v>
      </c>
      <c r="R3626" s="32">
        <v>150</v>
      </c>
      <c r="T3626" s="32">
        <v>850</v>
      </c>
    </row>
    <row r="3627" spans="2:20" ht="12.75" hidden="1" x14ac:dyDescent="0.25">
      <c r="B3627" s="32">
        <v>83</v>
      </c>
      <c r="F3627" s="32" t="s">
        <v>278</v>
      </c>
      <c r="J3627" s="32">
        <v>1</v>
      </c>
      <c r="P3627" s="32">
        <v>330</v>
      </c>
      <c r="R3627" s="32">
        <v>100</v>
      </c>
      <c r="T3627" s="32">
        <v>230</v>
      </c>
    </row>
    <row r="3628" spans="2:20" ht="12.75" hidden="1" x14ac:dyDescent="0.25">
      <c r="B3628" s="32">
        <v>84</v>
      </c>
      <c r="F3628" s="32" t="s">
        <v>219</v>
      </c>
      <c r="J3628" s="32">
        <v>3</v>
      </c>
      <c r="P3628" s="32">
        <v>1500</v>
      </c>
      <c r="R3628" s="32">
        <v>0</v>
      </c>
      <c r="T3628" s="32">
        <v>1500</v>
      </c>
    </row>
    <row r="3629" spans="2:20" ht="12.75" hidden="1" x14ac:dyDescent="0.25">
      <c r="B3629" s="32">
        <v>85</v>
      </c>
      <c r="F3629" s="32" t="s">
        <v>334</v>
      </c>
      <c r="J3629" s="32">
        <v>1</v>
      </c>
      <c r="P3629" s="32">
        <v>790</v>
      </c>
      <c r="R3629" s="32">
        <v>120</v>
      </c>
      <c r="T3629" s="32">
        <v>670</v>
      </c>
    </row>
    <row r="3630" spans="2:20" ht="12.75" hidden="1" x14ac:dyDescent="0.25">
      <c r="B3630" s="32">
        <v>86</v>
      </c>
      <c r="F3630" s="32" t="s">
        <v>171</v>
      </c>
      <c r="J3630" s="32">
        <v>2</v>
      </c>
      <c r="P3630" s="32">
        <v>1060</v>
      </c>
      <c r="R3630" s="32">
        <v>320</v>
      </c>
      <c r="T3630" s="32">
        <v>740</v>
      </c>
    </row>
    <row r="3631" spans="2:20" ht="12.75" hidden="1" x14ac:dyDescent="0.25">
      <c r="B3631" s="32">
        <v>87</v>
      </c>
      <c r="F3631" s="32" t="s">
        <v>257</v>
      </c>
      <c r="J3631" s="32">
        <v>1</v>
      </c>
      <c r="P3631" s="32">
        <v>990</v>
      </c>
      <c r="R3631" s="32">
        <v>0</v>
      </c>
      <c r="T3631" s="32">
        <v>990</v>
      </c>
    </row>
    <row r="3632" spans="2:20" ht="12.75" hidden="1" x14ac:dyDescent="0.25">
      <c r="B3632" s="32">
        <v>88</v>
      </c>
      <c r="F3632" s="32" t="s">
        <v>109</v>
      </c>
      <c r="J3632" s="32">
        <v>1</v>
      </c>
      <c r="P3632" s="32">
        <v>780</v>
      </c>
      <c r="R3632" s="32">
        <v>230</v>
      </c>
      <c r="T3632" s="32">
        <v>550</v>
      </c>
    </row>
    <row r="3633" spans="2:20" ht="12.75" hidden="1" x14ac:dyDescent="0.25">
      <c r="B3633" s="32">
        <v>89</v>
      </c>
      <c r="F3633" s="32" t="s">
        <v>107</v>
      </c>
      <c r="J3633" s="32">
        <v>83</v>
      </c>
      <c r="P3633" s="32">
        <v>14110</v>
      </c>
      <c r="R3633" s="32">
        <v>3811</v>
      </c>
      <c r="T3633" s="32">
        <v>10299</v>
      </c>
    </row>
    <row r="3634" spans="2:20" ht="12.75" hidden="1" x14ac:dyDescent="0.25">
      <c r="B3634" s="32">
        <v>90</v>
      </c>
      <c r="F3634" s="32" t="s">
        <v>106</v>
      </c>
      <c r="J3634" s="32">
        <v>11</v>
      </c>
      <c r="P3634" s="32">
        <v>1100</v>
      </c>
      <c r="R3634" s="32">
        <v>90</v>
      </c>
      <c r="T3634" s="32">
        <v>1010</v>
      </c>
    </row>
    <row r="3635" spans="2:20" ht="12.75" hidden="1" x14ac:dyDescent="0.25">
      <c r="B3635" s="32">
        <v>91</v>
      </c>
      <c r="F3635" s="32" t="s">
        <v>218</v>
      </c>
      <c r="J3635" s="32">
        <v>1</v>
      </c>
      <c r="P3635" s="32">
        <v>290</v>
      </c>
      <c r="R3635" s="32">
        <v>100</v>
      </c>
      <c r="T3635" s="32">
        <v>190</v>
      </c>
    </row>
    <row r="3636" spans="2:20" ht="12.75" hidden="1" x14ac:dyDescent="0.25">
      <c r="B3636" s="32">
        <v>92</v>
      </c>
      <c r="F3636" s="32" t="s">
        <v>333</v>
      </c>
      <c r="J3636" s="32">
        <v>1</v>
      </c>
      <c r="P3636" s="32">
        <v>790</v>
      </c>
      <c r="R3636" s="32">
        <v>240</v>
      </c>
      <c r="T3636" s="32">
        <v>550</v>
      </c>
    </row>
    <row r="3637" spans="2:20" ht="12.75" hidden="1" x14ac:dyDescent="0.25">
      <c r="B3637" s="32">
        <v>93</v>
      </c>
      <c r="F3637" s="32" t="s">
        <v>105</v>
      </c>
      <c r="J3637" s="32">
        <v>2</v>
      </c>
      <c r="P3637" s="32">
        <v>2300</v>
      </c>
      <c r="R3637" s="32">
        <v>0</v>
      </c>
      <c r="T3637" s="32">
        <v>2300</v>
      </c>
    </row>
    <row r="3638" spans="2:20" ht="12.75" hidden="1" x14ac:dyDescent="0.25">
      <c r="B3638" s="32">
        <v>94</v>
      </c>
      <c r="F3638" s="32" t="s">
        <v>104</v>
      </c>
      <c r="J3638" s="32">
        <v>5</v>
      </c>
      <c r="P3638" s="32">
        <v>1650</v>
      </c>
      <c r="R3638" s="32">
        <v>668</v>
      </c>
      <c r="T3638" s="32">
        <v>982</v>
      </c>
    </row>
    <row r="3639" spans="2:20" ht="12.75" hidden="1" x14ac:dyDescent="0.25">
      <c r="B3639" s="32">
        <v>95</v>
      </c>
      <c r="F3639" s="32" t="s">
        <v>103</v>
      </c>
      <c r="J3639" s="32">
        <v>28</v>
      </c>
      <c r="P3639" s="32">
        <v>9240</v>
      </c>
      <c r="R3639" s="32">
        <v>3489</v>
      </c>
      <c r="T3639" s="32">
        <v>5751</v>
      </c>
    </row>
    <row r="3640" spans="2:20" ht="12.75" hidden="1" x14ac:dyDescent="0.25">
      <c r="B3640" s="32">
        <v>96</v>
      </c>
      <c r="F3640" s="32" t="s">
        <v>213</v>
      </c>
      <c r="J3640" s="32">
        <v>2</v>
      </c>
      <c r="P3640" s="32">
        <v>1400</v>
      </c>
      <c r="R3640" s="32">
        <v>245</v>
      </c>
      <c r="T3640" s="32">
        <v>1155</v>
      </c>
    </row>
    <row r="3641" spans="2:20" ht="12.75" hidden="1" x14ac:dyDescent="0.25">
      <c r="B3641" s="32">
        <v>97</v>
      </c>
      <c r="F3641" s="32" t="s">
        <v>211</v>
      </c>
      <c r="J3641" s="32">
        <v>1</v>
      </c>
      <c r="P3641" s="32">
        <v>500</v>
      </c>
      <c r="R3641" s="32">
        <v>150</v>
      </c>
      <c r="T3641" s="32">
        <v>350</v>
      </c>
    </row>
    <row r="3642" spans="2:20" ht="12.75" hidden="1" x14ac:dyDescent="0.25">
      <c r="B3642" s="32">
        <v>98</v>
      </c>
      <c r="F3642" s="32" t="s">
        <v>276</v>
      </c>
      <c r="J3642" s="32">
        <v>4</v>
      </c>
      <c r="P3642" s="32">
        <v>2000</v>
      </c>
      <c r="R3642" s="32">
        <v>150</v>
      </c>
      <c r="T3642" s="32">
        <v>1850</v>
      </c>
    </row>
    <row r="3643" spans="2:20" ht="12.75" hidden="1" x14ac:dyDescent="0.25">
      <c r="B3643" s="32">
        <v>99</v>
      </c>
      <c r="F3643" s="32" t="s">
        <v>99</v>
      </c>
      <c r="J3643" s="32">
        <v>2</v>
      </c>
      <c r="P3643" s="32">
        <v>1180</v>
      </c>
      <c r="R3643" s="32">
        <v>180</v>
      </c>
      <c r="T3643" s="32">
        <v>1000</v>
      </c>
    </row>
    <row r="3644" spans="2:20" ht="12.75" hidden="1" x14ac:dyDescent="0.25">
      <c r="B3644" s="32">
        <v>100</v>
      </c>
      <c r="F3644" s="32" t="s">
        <v>98</v>
      </c>
      <c r="J3644" s="32">
        <v>2</v>
      </c>
      <c r="P3644" s="32">
        <v>1140</v>
      </c>
      <c r="R3644" s="32">
        <v>160</v>
      </c>
      <c r="T3644" s="32">
        <v>980</v>
      </c>
    </row>
    <row r="3645" spans="2:20" ht="12.75" hidden="1" x14ac:dyDescent="0.25">
      <c r="B3645" s="32">
        <v>101</v>
      </c>
      <c r="F3645" s="32" t="s">
        <v>325</v>
      </c>
      <c r="J3645" s="32">
        <v>1</v>
      </c>
      <c r="P3645" s="32">
        <v>700</v>
      </c>
      <c r="R3645" s="32">
        <v>350</v>
      </c>
      <c r="T3645" s="32">
        <v>350</v>
      </c>
    </row>
    <row r="3646" spans="2:20" ht="12.75" hidden="1" x14ac:dyDescent="0.25">
      <c r="B3646" s="32">
        <v>102</v>
      </c>
      <c r="F3646" s="32" t="s">
        <v>332</v>
      </c>
      <c r="J3646" s="32">
        <v>2</v>
      </c>
      <c r="P3646" s="32">
        <v>580</v>
      </c>
      <c r="R3646" s="32">
        <v>180</v>
      </c>
      <c r="T3646" s="32">
        <v>400</v>
      </c>
    </row>
    <row r="3647" spans="2:20" ht="12.75" hidden="1" x14ac:dyDescent="0.25">
      <c r="B3647" s="32">
        <v>103</v>
      </c>
      <c r="F3647" s="32" t="s">
        <v>324</v>
      </c>
      <c r="J3647" s="32">
        <v>3</v>
      </c>
      <c r="P3647" s="32">
        <v>1050</v>
      </c>
      <c r="R3647" s="32">
        <v>360</v>
      </c>
      <c r="T3647" s="32">
        <v>690</v>
      </c>
    </row>
    <row r="3648" spans="2:20" ht="12.75" hidden="1" x14ac:dyDescent="0.25">
      <c r="B3648" s="32">
        <v>104</v>
      </c>
      <c r="F3648" s="32" t="s">
        <v>253</v>
      </c>
      <c r="J3648" s="32">
        <v>2</v>
      </c>
      <c r="P3648" s="32">
        <v>580</v>
      </c>
      <c r="R3648" s="32">
        <v>160</v>
      </c>
      <c r="T3648" s="32">
        <v>420</v>
      </c>
    </row>
    <row r="3649" spans="1:20" ht="12.75" hidden="1" x14ac:dyDescent="0.25">
      <c r="B3649" s="32">
        <v>105</v>
      </c>
      <c r="F3649" s="32" t="s">
        <v>93</v>
      </c>
      <c r="J3649" s="32">
        <v>11</v>
      </c>
      <c r="P3649" s="32">
        <v>6490</v>
      </c>
      <c r="R3649" s="32">
        <v>900</v>
      </c>
      <c r="T3649" s="32">
        <v>5590</v>
      </c>
    </row>
    <row r="3650" spans="1:20" ht="12.75" hidden="1" x14ac:dyDescent="0.25">
      <c r="B3650" s="32">
        <v>106</v>
      </c>
      <c r="F3650" s="32" t="s">
        <v>92</v>
      </c>
      <c r="J3650" s="32">
        <v>4</v>
      </c>
      <c r="P3650" s="32">
        <v>3640</v>
      </c>
      <c r="R3650" s="32">
        <v>1080</v>
      </c>
      <c r="T3650" s="32">
        <v>2560</v>
      </c>
    </row>
    <row r="3651" spans="1:20" ht="12.75" hidden="1" x14ac:dyDescent="0.25">
      <c r="B3651" s="32">
        <v>107</v>
      </c>
      <c r="F3651" s="32" t="s">
        <v>91</v>
      </c>
      <c r="J3651" s="32">
        <v>11</v>
      </c>
      <c r="P3651" s="32">
        <v>2750</v>
      </c>
      <c r="R3651" s="32">
        <v>1271</v>
      </c>
      <c r="T3651" s="32">
        <v>1479</v>
      </c>
    </row>
    <row r="3652" spans="1:20" ht="12.75" hidden="1" x14ac:dyDescent="0.25">
      <c r="B3652" s="32">
        <v>108</v>
      </c>
      <c r="F3652" s="32" t="s">
        <v>90</v>
      </c>
      <c r="J3652" s="32">
        <v>38</v>
      </c>
      <c r="P3652" s="32">
        <v>11020</v>
      </c>
      <c r="R3652" s="32">
        <v>2916</v>
      </c>
      <c r="T3652" s="32">
        <v>8104</v>
      </c>
    </row>
    <row r="3653" spans="1:20" ht="12.75" hidden="1" x14ac:dyDescent="0.25">
      <c r="B3653" s="32">
        <v>109</v>
      </c>
      <c r="F3653" s="32" t="s">
        <v>89</v>
      </c>
      <c r="J3653" s="32">
        <v>2</v>
      </c>
      <c r="P3653" s="32">
        <v>1760</v>
      </c>
      <c r="R3653" s="32">
        <v>260</v>
      </c>
      <c r="T3653" s="32">
        <v>1500</v>
      </c>
    </row>
    <row r="3654" spans="1:20" ht="12.75" hidden="1" x14ac:dyDescent="0.25">
      <c r="B3654" s="32">
        <v>110</v>
      </c>
      <c r="F3654" s="32" t="s">
        <v>88</v>
      </c>
      <c r="J3654" s="32">
        <v>18</v>
      </c>
      <c r="P3654" s="32">
        <v>3240</v>
      </c>
      <c r="R3654" s="32">
        <v>1049</v>
      </c>
      <c r="T3654" s="32">
        <v>2191</v>
      </c>
    </row>
    <row r="3655" spans="1:20" ht="12.75" hidden="1" x14ac:dyDescent="0.25">
      <c r="B3655" s="32">
        <v>111</v>
      </c>
      <c r="F3655" s="32" t="s">
        <v>84</v>
      </c>
      <c r="J3655" s="32">
        <v>27</v>
      </c>
      <c r="P3655" s="32">
        <v>15930</v>
      </c>
      <c r="R3655" s="32">
        <v>4860</v>
      </c>
      <c r="T3655" s="32">
        <v>11070</v>
      </c>
    </row>
    <row r="3656" spans="1:20" ht="12.75" hidden="1" x14ac:dyDescent="0.25">
      <c r="B3656" s="32">
        <v>112</v>
      </c>
      <c r="F3656" s="32" t="s">
        <v>331</v>
      </c>
      <c r="J3656" s="32">
        <v>1</v>
      </c>
      <c r="P3656" s="32">
        <v>500</v>
      </c>
      <c r="R3656" s="32">
        <v>150</v>
      </c>
      <c r="T3656" s="32">
        <v>350</v>
      </c>
    </row>
    <row r="3657" spans="1:20" ht="12.75" hidden="1" x14ac:dyDescent="0.25">
      <c r="B3657" s="32">
        <v>113</v>
      </c>
      <c r="F3657" s="32" t="s">
        <v>208</v>
      </c>
      <c r="J3657" s="32">
        <v>1</v>
      </c>
      <c r="P3657" s="32">
        <v>500</v>
      </c>
      <c r="R3657" s="32">
        <v>150</v>
      </c>
      <c r="T3657" s="32">
        <v>350</v>
      </c>
    </row>
    <row r="3658" spans="1:20" ht="12.75" hidden="1" x14ac:dyDescent="0.25">
      <c r="B3658" s="32">
        <v>114</v>
      </c>
      <c r="F3658" s="32" t="s">
        <v>273</v>
      </c>
      <c r="J3658" s="32">
        <v>2</v>
      </c>
      <c r="P3658" s="32">
        <v>1000</v>
      </c>
      <c r="R3658" s="32">
        <v>300</v>
      </c>
      <c r="T3658" s="32">
        <v>700</v>
      </c>
    </row>
    <row r="3659" spans="1:20" ht="12.75" hidden="1" x14ac:dyDescent="0.25">
      <c r="B3659" s="32">
        <v>115</v>
      </c>
      <c r="F3659" s="32" t="s">
        <v>206</v>
      </c>
      <c r="J3659" s="32">
        <v>4</v>
      </c>
      <c r="P3659" s="32">
        <v>2000</v>
      </c>
      <c r="R3659" s="32">
        <v>250</v>
      </c>
      <c r="T3659" s="32">
        <v>1750</v>
      </c>
    </row>
    <row r="3660" spans="1:20" ht="12.75" hidden="1" x14ac:dyDescent="0.25">
      <c r="B3660" s="32">
        <v>116</v>
      </c>
      <c r="F3660" s="32" t="s">
        <v>272</v>
      </c>
      <c r="J3660" s="32">
        <v>3</v>
      </c>
      <c r="P3660" s="32">
        <v>1500</v>
      </c>
      <c r="R3660" s="32">
        <v>430</v>
      </c>
      <c r="T3660" s="32">
        <v>1070</v>
      </c>
    </row>
    <row r="3661" spans="1:20" ht="12.75" hidden="1" x14ac:dyDescent="0.25">
      <c r="B3661" s="32">
        <v>117</v>
      </c>
      <c r="F3661" s="32" t="s">
        <v>205</v>
      </c>
      <c r="J3661" s="32">
        <v>2</v>
      </c>
      <c r="P3661" s="32">
        <v>1000</v>
      </c>
      <c r="R3661" s="32">
        <v>0</v>
      </c>
      <c r="T3661" s="32">
        <v>1000</v>
      </c>
    </row>
    <row r="3662" spans="1:20" ht="12.75" hidden="1" x14ac:dyDescent="0.25">
      <c r="B3662" s="32">
        <v>118</v>
      </c>
      <c r="F3662" s="32" t="s">
        <v>204</v>
      </c>
      <c r="J3662" s="32">
        <v>1</v>
      </c>
      <c r="P3662" s="32">
        <v>500</v>
      </c>
      <c r="R3662" s="32">
        <v>150</v>
      </c>
      <c r="T3662" s="32">
        <v>350</v>
      </c>
    </row>
    <row r="3663" spans="1:20" ht="12.75" hidden="1" x14ac:dyDescent="0.25">
      <c r="B3663" s="32">
        <v>119</v>
      </c>
      <c r="F3663" s="32" t="s">
        <v>271</v>
      </c>
      <c r="J3663" s="32">
        <v>1</v>
      </c>
      <c r="P3663" s="32">
        <v>500</v>
      </c>
      <c r="R3663" s="32">
        <v>150</v>
      </c>
      <c r="T3663" s="32">
        <v>350</v>
      </c>
    </row>
    <row r="3664" spans="1:20" ht="12.75" hidden="1" x14ac:dyDescent="0.25">
      <c r="A3664" s="32" t="s">
        <v>330</v>
      </c>
      <c r="K3664" s="32">
        <v>1880</v>
      </c>
      <c r="P3664" s="32">
        <v>1765100</v>
      </c>
      <c r="R3664" s="32">
        <v>1417008</v>
      </c>
      <c r="T3664" s="32">
        <v>348092</v>
      </c>
    </row>
    <row r="3665" spans="2:20" ht="12.75" hidden="1" x14ac:dyDescent="0.25">
      <c r="B3665" s="32">
        <v>1</v>
      </c>
      <c r="F3665" s="32" t="s">
        <v>311</v>
      </c>
      <c r="J3665" s="32">
        <v>2</v>
      </c>
      <c r="P3665" s="32">
        <v>1380</v>
      </c>
      <c r="R3665" s="32">
        <v>276</v>
      </c>
      <c r="T3665" s="32">
        <v>1104</v>
      </c>
    </row>
    <row r="3666" spans="2:20" ht="12.75" hidden="1" x14ac:dyDescent="0.25">
      <c r="B3666" s="32">
        <v>2</v>
      </c>
      <c r="F3666" s="32" t="s">
        <v>168</v>
      </c>
      <c r="J3666" s="32">
        <v>2</v>
      </c>
      <c r="P3666" s="32">
        <v>4400</v>
      </c>
      <c r="R3666" s="32">
        <v>220</v>
      </c>
      <c r="T3666" s="32">
        <v>4180</v>
      </c>
    </row>
    <row r="3667" spans="2:20" ht="12.75" hidden="1" x14ac:dyDescent="0.25">
      <c r="B3667" s="32">
        <v>3</v>
      </c>
      <c r="F3667" s="32" t="s">
        <v>78</v>
      </c>
      <c r="J3667" s="32">
        <v>233</v>
      </c>
      <c r="P3667" s="32">
        <v>67570</v>
      </c>
      <c r="R3667" s="32">
        <v>67570</v>
      </c>
      <c r="T3667" s="32">
        <v>0</v>
      </c>
    </row>
    <row r="3668" spans="2:20" ht="12.75" hidden="1" x14ac:dyDescent="0.25">
      <c r="B3668" s="32">
        <v>4</v>
      </c>
      <c r="F3668" s="32" t="s">
        <v>167</v>
      </c>
      <c r="J3668" s="32">
        <v>2</v>
      </c>
      <c r="P3668" s="32">
        <v>1140</v>
      </c>
      <c r="R3668" s="32">
        <v>170</v>
      </c>
      <c r="T3668" s="32">
        <v>970</v>
      </c>
    </row>
    <row r="3669" spans="2:20" ht="12.75" hidden="1" x14ac:dyDescent="0.25">
      <c r="B3669" s="32">
        <v>5</v>
      </c>
      <c r="F3669" s="32" t="s">
        <v>329</v>
      </c>
      <c r="J3669" s="32">
        <v>1</v>
      </c>
      <c r="P3669" s="32">
        <v>1200</v>
      </c>
      <c r="R3669" s="32">
        <v>180</v>
      </c>
      <c r="T3669" s="32">
        <v>1020</v>
      </c>
    </row>
    <row r="3670" spans="2:20" ht="12.75" hidden="1" x14ac:dyDescent="0.25">
      <c r="B3670" s="32">
        <v>6</v>
      </c>
      <c r="F3670" s="32" t="s">
        <v>248</v>
      </c>
      <c r="J3670" s="32">
        <v>2</v>
      </c>
      <c r="P3670" s="32">
        <v>2400</v>
      </c>
      <c r="R3670" s="32">
        <v>360</v>
      </c>
      <c r="T3670" s="32">
        <v>2040</v>
      </c>
    </row>
    <row r="3671" spans="2:20" ht="12.75" hidden="1" x14ac:dyDescent="0.25">
      <c r="B3671" s="32">
        <v>7</v>
      </c>
      <c r="F3671" s="32" t="s">
        <v>165</v>
      </c>
      <c r="J3671" s="32">
        <v>1</v>
      </c>
      <c r="P3671" s="32">
        <v>590</v>
      </c>
      <c r="R3671" s="32">
        <v>180</v>
      </c>
      <c r="T3671" s="32">
        <v>410</v>
      </c>
    </row>
    <row r="3672" spans="2:20" ht="12.75" hidden="1" x14ac:dyDescent="0.25">
      <c r="B3672" s="32">
        <v>8</v>
      </c>
      <c r="F3672" s="32" t="s">
        <v>162</v>
      </c>
      <c r="J3672" s="32">
        <v>5</v>
      </c>
      <c r="P3672" s="32">
        <v>2150</v>
      </c>
      <c r="R3672" s="32">
        <v>938</v>
      </c>
      <c r="T3672" s="32">
        <v>1212</v>
      </c>
    </row>
    <row r="3673" spans="2:20" ht="12.75" hidden="1" x14ac:dyDescent="0.25">
      <c r="B3673" s="32">
        <v>9</v>
      </c>
      <c r="F3673" s="32" t="s">
        <v>266</v>
      </c>
      <c r="J3673" s="32">
        <v>1</v>
      </c>
      <c r="P3673" s="32">
        <v>1350</v>
      </c>
      <c r="R3673" s="32">
        <v>392</v>
      </c>
      <c r="T3673" s="32">
        <v>958</v>
      </c>
    </row>
    <row r="3674" spans="2:20" ht="12.75" hidden="1" x14ac:dyDescent="0.25">
      <c r="B3674" s="32">
        <v>10</v>
      </c>
      <c r="F3674" s="32" t="s">
        <v>158</v>
      </c>
      <c r="J3674" s="32">
        <v>252</v>
      </c>
      <c r="P3674" s="32">
        <v>138600</v>
      </c>
      <c r="R3674" s="32">
        <v>28172</v>
      </c>
      <c r="T3674" s="32">
        <v>110428</v>
      </c>
    </row>
    <row r="3675" spans="2:20" ht="12.75" hidden="1" x14ac:dyDescent="0.25">
      <c r="B3675" s="32">
        <v>11</v>
      </c>
      <c r="F3675" s="32" t="s">
        <v>157</v>
      </c>
      <c r="J3675" s="32">
        <v>43</v>
      </c>
      <c r="P3675" s="32">
        <v>21070</v>
      </c>
      <c r="R3675" s="32">
        <v>8249</v>
      </c>
      <c r="T3675" s="32">
        <v>12821</v>
      </c>
    </row>
    <row r="3676" spans="2:20" ht="12.75" hidden="1" x14ac:dyDescent="0.25">
      <c r="B3676" s="32">
        <v>12</v>
      </c>
      <c r="F3676" s="32" t="s">
        <v>196</v>
      </c>
      <c r="J3676" s="32">
        <v>2</v>
      </c>
      <c r="P3676" s="32">
        <v>1400</v>
      </c>
      <c r="R3676" s="32">
        <v>546</v>
      </c>
      <c r="T3676" s="32">
        <v>854</v>
      </c>
    </row>
    <row r="3677" spans="2:20" ht="12.75" hidden="1" x14ac:dyDescent="0.25">
      <c r="B3677" s="32">
        <v>13</v>
      </c>
      <c r="F3677" s="32" t="s">
        <v>309</v>
      </c>
      <c r="J3677" s="32">
        <v>3</v>
      </c>
      <c r="P3677" s="32">
        <v>1500</v>
      </c>
      <c r="R3677" s="32">
        <v>150</v>
      </c>
      <c r="T3677" s="32">
        <v>1350</v>
      </c>
    </row>
    <row r="3678" spans="2:20" ht="12.75" hidden="1" x14ac:dyDescent="0.25">
      <c r="B3678" s="32">
        <v>14</v>
      </c>
      <c r="F3678" s="32" t="s">
        <v>328</v>
      </c>
      <c r="J3678" s="32">
        <v>1</v>
      </c>
      <c r="P3678" s="32">
        <v>700</v>
      </c>
      <c r="R3678" s="32">
        <v>350</v>
      </c>
      <c r="T3678" s="32">
        <v>350</v>
      </c>
    </row>
    <row r="3679" spans="2:20" ht="12.75" hidden="1" x14ac:dyDescent="0.25">
      <c r="B3679" s="32">
        <v>15</v>
      </c>
      <c r="F3679" s="32" t="s">
        <v>77</v>
      </c>
      <c r="J3679" s="32">
        <v>429</v>
      </c>
      <c r="P3679" s="32">
        <v>175200</v>
      </c>
      <c r="R3679" s="32">
        <v>175200</v>
      </c>
      <c r="T3679" s="32">
        <v>0</v>
      </c>
    </row>
    <row r="3680" spans="2:20" ht="12.75" hidden="1" x14ac:dyDescent="0.25">
      <c r="B3680" s="32">
        <v>16</v>
      </c>
      <c r="F3680" s="32" t="s">
        <v>156</v>
      </c>
      <c r="J3680" s="32">
        <v>11</v>
      </c>
      <c r="P3680" s="32">
        <v>2090</v>
      </c>
      <c r="R3680" s="32">
        <v>518</v>
      </c>
      <c r="T3680" s="32">
        <v>1572</v>
      </c>
    </row>
    <row r="3681" spans="2:20" ht="12.75" hidden="1" x14ac:dyDescent="0.25">
      <c r="B3681" s="32">
        <v>17</v>
      </c>
      <c r="F3681" s="32" t="s">
        <v>155</v>
      </c>
      <c r="J3681" s="32">
        <v>20</v>
      </c>
      <c r="P3681" s="32">
        <v>5000</v>
      </c>
      <c r="R3681" s="32">
        <v>1684</v>
      </c>
      <c r="T3681" s="32">
        <v>3316</v>
      </c>
    </row>
    <row r="3682" spans="2:20" ht="12.75" hidden="1" x14ac:dyDescent="0.25">
      <c r="B3682" s="32">
        <v>18</v>
      </c>
      <c r="F3682" s="32" t="s">
        <v>320</v>
      </c>
      <c r="J3682" s="32">
        <v>1</v>
      </c>
      <c r="P3682" s="32">
        <v>500</v>
      </c>
      <c r="R3682" s="32">
        <v>100</v>
      </c>
      <c r="T3682" s="32">
        <v>400</v>
      </c>
    </row>
    <row r="3683" spans="2:20" ht="12.75" hidden="1" x14ac:dyDescent="0.25">
      <c r="B3683" s="32">
        <v>19</v>
      </c>
      <c r="F3683" s="32" t="s">
        <v>150</v>
      </c>
      <c r="J3683" s="32">
        <v>3</v>
      </c>
      <c r="P3683" s="32">
        <v>510</v>
      </c>
      <c r="R3683" s="32">
        <v>58</v>
      </c>
      <c r="T3683" s="32">
        <v>452</v>
      </c>
    </row>
    <row r="3684" spans="2:20" ht="12.75" hidden="1" x14ac:dyDescent="0.25">
      <c r="B3684" s="32">
        <v>20</v>
      </c>
      <c r="F3684" s="32" t="s">
        <v>148</v>
      </c>
      <c r="J3684" s="32">
        <v>27</v>
      </c>
      <c r="P3684" s="32">
        <v>26460</v>
      </c>
      <c r="R3684" s="32">
        <v>4050</v>
      </c>
      <c r="T3684" s="32">
        <v>22410</v>
      </c>
    </row>
    <row r="3685" spans="2:20" ht="12.75" hidden="1" x14ac:dyDescent="0.25">
      <c r="B3685" s="32">
        <v>21</v>
      </c>
      <c r="F3685" s="32" t="s">
        <v>287</v>
      </c>
      <c r="J3685" s="32">
        <v>1</v>
      </c>
      <c r="P3685" s="32">
        <v>800</v>
      </c>
      <c r="R3685" s="32">
        <v>280</v>
      </c>
      <c r="T3685" s="32">
        <v>520</v>
      </c>
    </row>
    <row r="3686" spans="2:20" ht="12.75" hidden="1" x14ac:dyDescent="0.25">
      <c r="B3686" s="32">
        <v>22</v>
      </c>
      <c r="F3686" s="32" t="s">
        <v>286</v>
      </c>
      <c r="J3686" s="32">
        <v>1</v>
      </c>
      <c r="P3686" s="32">
        <v>800</v>
      </c>
      <c r="R3686" s="32">
        <v>280</v>
      </c>
      <c r="T3686" s="32">
        <v>520</v>
      </c>
    </row>
    <row r="3687" spans="2:20" ht="12.75" hidden="1" x14ac:dyDescent="0.25">
      <c r="B3687" s="32">
        <v>23</v>
      </c>
      <c r="F3687" s="32" t="s">
        <v>232</v>
      </c>
      <c r="J3687" s="32">
        <v>1</v>
      </c>
      <c r="P3687" s="32">
        <v>980</v>
      </c>
      <c r="R3687" s="32">
        <v>150</v>
      </c>
      <c r="T3687" s="32">
        <v>830</v>
      </c>
    </row>
    <row r="3688" spans="2:20" ht="12.75" hidden="1" x14ac:dyDescent="0.25">
      <c r="B3688" s="32">
        <v>24</v>
      </c>
      <c r="F3688" s="32" t="s">
        <v>75</v>
      </c>
      <c r="J3688" s="32">
        <v>423</v>
      </c>
      <c r="P3688" s="32">
        <v>1057500</v>
      </c>
      <c r="R3688" s="32">
        <v>1057500</v>
      </c>
      <c r="T3688" s="32">
        <v>0</v>
      </c>
    </row>
    <row r="3689" spans="2:20" ht="12.75" hidden="1" x14ac:dyDescent="0.25">
      <c r="B3689" s="32">
        <v>25</v>
      </c>
      <c r="F3689" s="32" t="s">
        <v>139</v>
      </c>
      <c r="J3689" s="32">
        <v>11</v>
      </c>
      <c r="P3689" s="32">
        <v>2970</v>
      </c>
      <c r="R3689" s="32">
        <v>828</v>
      </c>
      <c r="T3689" s="32">
        <v>2142</v>
      </c>
    </row>
    <row r="3690" spans="2:20" ht="12.75" hidden="1" x14ac:dyDescent="0.25">
      <c r="B3690" s="32">
        <v>26</v>
      </c>
      <c r="F3690" s="32" t="s">
        <v>302</v>
      </c>
      <c r="J3690" s="32">
        <v>1</v>
      </c>
      <c r="P3690" s="32">
        <v>800</v>
      </c>
      <c r="R3690" s="32">
        <v>320</v>
      </c>
      <c r="T3690" s="32">
        <v>480</v>
      </c>
    </row>
    <row r="3691" spans="2:20" ht="12.75" hidden="1" x14ac:dyDescent="0.25">
      <c r="B3691" s="32">
        <v>27</v>
      </c>
      <c r="F3691" s="32" t="s">
        <v>138</v>
      </c>
      <c r="J3691" s="32">
        <v>1</v>
      </c>
      <c r="P3691" s="32">
        <v>800</v>
      </c>
      <c r="R3691" s="32">
        <v>0</v>
      </c>
      <c r="T3691" s="32">
        <v>800</v>
      </c>
    </row>
    <row r="3692" spans="2:20" ht="12.75" hidden="1" x14ac:dyDescent="0.25">
      <c r="B3692" s="32">
        <v>28</v>
      </c>
      <c r="F3692" s="32" t="s">
        <v>137</v>
      </c>
      <c r="J3692" s="32">
        <v>3</v>
      </c>
      <c r="P3692" s="32">
        <v>2400</v>
      </c>
      <c r="R3692" s="32">
        <v>1058</v>
      </c>
      <c r="T3692" s="32">
        <v>1342</v>
      </c>
    </row>
    <row r="3693" spans="2:20" ht="12.75" hidden="1" x14ac:dyDescent="0.25">
      <c r="B3693" s="32">
        <v>29</v>
      </c>
      <c r="F3693" s="32" t="s">
        <v>136</v>
      </c>
      <c r="J3693" s="32">
        <v>5</v>
      </c>
      <c r="P3693" s="32">
        <v>4250</v>
      </c>
      <c r="R3693" s="32">
        <v>735</v>
      </c>
      <c r="T3693" s="32">
        <v>3515</v>
      </c>
    </row>
    <row r="3694" spans="2:20" ht="12.75" hidden="1" x14ac:dyDescent="0.25">
      <c r="B3694" s="32">
        <v>30</v>
      </c>
      <c r="F3694" s="32" t="s">
        <v>74</v>
      </c>
      <c r="J3694" s="32">
        <v>1</v>
      </c>
      <c r="P3694" s="32">
        <v>850</v>
      </c>
      <c r="R3694" s="32">
        <v>850</v>
      </c>
      <c r="T3694" s="32">
        <v>0</v>
      </c>
    </row>
    <row r="3695" spans="2:20" ht="12.75" hidden="1" x14ac:dyDescent="0.25">
      <c r="B3695" s="32">
        <v>31</v>
      </c>
      <c r="F3695" s="32" t="s">
        <v>190</v>
      </c>
      <c r="J3695" s="32">
        <v>5</v>
      </c>
      <c r="P3695" s="32">
        <v>7850</v>
      </c>
      <c r="R3695" s="32">
        <v>1065</v>
      </c>
      <c r="T3695" s="32">
        <v>6785</v>
      </c>
    </row>
    <row r="3696" spans="2:20" ht="12.75" hidden="1" x14ac:dyDescent="0.25">
      <c r="B3696" s="32">
        <v>32</v>
      </c>
      <c r="F3696" s="32" t="s">
        <v>230</v>
      </c>
      <c r="J3696" s="32">
        <v>1</v>
      </c>
      <c r="P3696" s="32">
        <v>950</v>
      </c>
      <c r="R3696" s="32">
        <v>140</v>
      </c>
      <c r="T3696" s="32">
        <v>810</v>
      </c>
    </row>
    <row r="3697" spans="2:20" ht="12.75" hidden="1" x14ac:dyDescent="0.25">
      <c r="B3697" s="32">
        <v>33</v>
      </c>
      <c r="F3697" s="32" t="s">
        <v>135</v>
      </c>
      <c r="J3697" s="32">
        <v>1</v>
      </c>
      <c r="P3697" s="32">
        <v>950</v>
      </c>
      <c r="R3697" s="32">
        <v>280</v>
      </c>
      <c r="T3697" s="32">
        <v>670</v>
      </c>
    </row>
    <row r="3698" spans="2:20" ht="12.75" hidden="1" x14ac:dyDescent="0.25">
      <c r="B3698" s="32">
        <v>34</v>
      </c>
      <c r="F3698" s="32" t="s">
        <v>285</v>
      </c>
      <c r="J3698" s="32">
        <v>1</v>
      </c>
      <c r="P3698" s="32">
        <v>3700</v>
      </c>
      <c r="R3698" s="32">
        <v>1850</v>
      </c>
      <c r="T3698" s="32">
        <v>1850</v>
      </c>
    </row>
    <row r="3699" spans="2:20" ht="12.75" hidden="1" x14ac:dyDescent="0.25">
      <c r="B3699" s="32">
        <v>35</v>
      </c>
      <c r="F3699" s="32" t="s">
        <v>133</v>
      </c>
      <c r="J3699" s="32">
        <v>2</v>
      </c>
      <c r="P3699" s="32">
        <v>2180</v>
      </c>
      <c r="R3699" s="32">
        <v>0</v>
      </c>
      <c r="T3699" s="32">
        <v>2180</v>
      </c>
    </row>
    <row r="3700" spans="2:20" ht="12.75" hidden="1" x14ac:dyDescent="0.25">
      <c r="B3700" s="32">
        <v>36</v>
      </c>
      <c r="F3700" s="32" t="s">
        <v>132</v>
      </c>
      <c r="J3700" s="32">
        <v>3</v>
      </c>
      <c r="P3700" s="32">
        <v>3720</v>
      </c>
      <c r="R3700" s="32">
        <v>1110</v>
      </c>
      <c r="T3700" s="32">
        <v>2610</v>
      </c>
    </row>
    <row r="3701" spans="2:20" ht="12.75" hidden="1" x14ac:dyDescent="0.25">
      <c r="B3701" s="32">
        <v>37</v>
      </c>
      <c r="F3701" s="32" t="s">
        <v>284</v>
      </c>
      <c r="J3701" s="32">
        <v>8</v>
      </c>
      <c r="P3701" s="32">
        <v>29600</v>
      </c>
      <c r="R3701" s="32">
        <v>11433</v>
      </c>
      <c r="T3701" s="32">
        <v>18167</v>
      </c>
    </row>
    <row r="3702" spans="2:20" ht="12.75" hidden="1" x14ac:dyDescent="0.25">
      <c r="T3702" s="32"/>
    </row>
    <row r="3703" spans="2:20" ht="12.75" hidden="1" x14ac:dyDescent="0.25">
      <c r="B3703" s="32">
        <v>38</v>
      </c>
      <c r="F3703" s="32" t="s">
        <v>130</v>
      </c>
      <c r="J3703" s="32">
        <v>1</v>
      </c>
      <c r="P3703" s="32">
        <v>8000</v>
      </c>
      <c r="R3703" s="32">
        <v>4100</v>
      </c>
      <c r="T3703" s="32">
        <v>3900</v>
      </c>
    </row>
    <row r="3704" spans="2:20" ht="12.75" hidden="1" x14ac:dyDescent="0.25">
      <c r="B3704" s="32">
        <v>39</v>
      </c>
      <c r="F3704" s="32" t="s">
        <v>185</v>
      </c>
      <c r="J3704" s="32">
        <v>1</v>
      </c>
      <c r="P3704" s="32">
        <v>800</v>
      </c>
      <c r="R3704" s="32">
        <v>450</v>
      </c>
      <c r="T3704" s="32">
        <v>350</v>
      </c>
    </row>
    <row r="3705" spans="2:20" ht="12.75" hidden="1" x14ac:dyDescent="0.25">
      <c r="B3705" s="32">
        <v>40</v>
      </c>
      <c r="F3705" s="32" t="s">
        <v>129</v>
      </c>
      <c r="J3705" s="32">
        <v>1</v>
      </c>
      <c r="P3705" s="32">
        <v>30</v>
      </c>
      <c r="R3705" s="32">
        <v>30</v>
      </c>
      <c r="T3705" s="32">
        <v>0</v>
      </c>
    </row>
    <row r="3706" spans="2:20" ht="12.75" hidden="1" x14ac:dyDescent="0.25">
      <c r="B3706" s="32">
        <v>41</v>
      </c>
      <c r="F3706" s="32" t="s">
        <v>128</v>
      </c>
      <c r="J3706" s="32">
        <v>3</v>
      </c>
      <c r="P3706" s="32">
        <v>3450</v>
      </c>
      <c r="R3706" s="32">
        <v>510</v>
      </c>
      <c r="T3706" s="32">
        <v>2940</v>
      </c>
    </row>
    <row r="3707" spans="2:20" ht="12.75" hidden="1" x14ac:dyDescent="0.25">
      <c r="B3707" s="32">
        <v>42</v>
      </c>
      <c r="F3707" s="32" t="s">
        <v>127</v>
      </c>
      <c r="J3707" s="32">
        <v>17</v>
      </c>
      <c r="P3707" s="32">
        <v>5100</v>
      </c>
      <c r="R3707" s="32">
        <v>1273</v>
      </c>
      <c r="T3707" s="32">
        <v>3827</v>
      </c>
    </row>
    <row r="3708" spans="2:20" ht="12.75" hidden="1" x14ac:dyDescent="0.25">
      <c r="B3708" s="32">
        <v>43</v>
      </c>
      <c r="F3708" s="32" t="s">
        <v>126</v>
      </c>
      <c r="J3708" s="32">
        <v>16</v>
      </c>
      <c r="P3708" s="32">
        <v>3200</v>
      </c>
      <c r="R3708" s="32">
        <v>789</v>
      </c>
      <c r="T3708" s="32">
        <v>2411</v>
      </c>
    </row>
    <row r="3709" spans="2:20" ht="12.75" hidden="1" x14ac:dyDescent="0.25">
      <c r="B3709" s="32">
        <v>44</v>
      </c>
      <c r="F3709" s="32" t="s">
        <v>124</v>
      </c>
      <c r="J3709" s="32">
        <v>5</v>
      </c>
      <c r="P3709" s="32">
        <v>2000</v>
      </c>
      <c r="R3709" s="32">
        <v>480</v>
      </c>
      <c r="T3709" s="32">
        <v>1520</v>
      </c>
    </row>
    <row r="3710" spans="2:20" ht="12.75" hidden="1" x14ac:dyDescent="0.25">
      <c r="B3710" s="32">
        <v>45</v>
      </c>
      <c r="F3710" s="32" t="s">
        <v>123</v>
      </c>
      <c r="J3710" s="32">
        <v>3</v>
      </c>
      <c r="P3710" s="32">
        <v>2340</v>
      </c>
      <c r="R3710" s="32">
        <v>273</v>
      </c>
      <c r="T3710" s="32">
        <v>2067</v>
      </c>
    </row>
    <row r="3711" spans="2:20" ht="12.75" hidden="1" x14ac:dyDescent="0.25">
      <c r="B3711" s="32">
        <v>46</v>
      </c>
      <c r="F3711" s="32" t="s">
        <v>183</v>
      </c>
      <c r="J3711" s="32">
        <v>2</v>
      </c>
      <c r="P3711" s="32">
        <v>880</v>
      </c>
      <c r="R3711" s="32">
        <v>260</v>
      </c>
      <c r="T3711" s="32">
        <v>620</v>
      </c>
    </row>
    <row r="3712" spans="2:20" ht="12.75" hidden="1" x14ac:dyDescent="0.25">
      <c r="B3712" s="32">
        <v>47</v>
      </c>
      <c r="F3712" s="32" t="s">
        <v>122</v>
      </c>
      <c r="J3712" s="32">
        <v>2</v>
      </c>
      <c r="P3712" s="32">
        <v>1000</v>
      </c>
      <c r="R3712" s="32">
        <v>100</v>
      </c>
      <c r="T3712" s="32">
        <v>900</v>
      </c>
    </row>
    <row r="3713" spans="2:20" ht="12.75" hidden="1" x14ac:dyDescent="0.25">
      <c r="B3713" s="32">
        <v>48</v>
      </c>
      <c r="F3713" s="32" t="s">
        <v>226</v>
      </c>
      <c r="J3713" s="32">
        <v>2</v>
      </c>
      <c r="P3713" s="32">
        <v>1000</v>
      </c>
      <c r="R3713" s="32">
        <v>150</v>
      </c>
      <c r="T3713" s="32">
        <v>850</v>
      </c>
    </row>
    <row r="3714" spans="2:20" ht="12.75" hidden="1" x14ac:dyDescent="0.25">
      <c r="B3714" s="32">
        <v>49</v>
      </c>
      <c r="F3714" s="32" t="s">
        <v>119</v>
      </c>
      <c r="J3714" s="32">
        <v>7</v>
      </c>
      <c r="P3714" s="32">
        <v>6230</v>
      </c>
      <c r="R3714" s="32">
        <v>1677</v>
      </c>
      <c r="T3714" s="32">
        <v>4553</v>
      </c>
    </row>
    <row r="3715" spans="2:20" ht="12.75" hidden="1" x14ac:dyDescent="0.25">
      <c r="B3715" s="32">
        <v>50</v>
      </c>
      <c r="F3715" s="32" t="s">
        <v>118</v>
      </c>
      <c r="J3715" s="32">
        <v>68</v>
      </c>
      <c r="P3715" s="32">
        <v>67320</v>
      </c>
      <c r="R3715" s="32">
        <v>20020</v>
      </c>
      <c r="T3715" s="32">
        <v>47300</v>
      </c>
    </row>
    <row r="3716" spans="2:20" ht="12.75" hidden="1" x14ac:dyDescent="0.25">
      <c r="B3716" s="32">
        <v>51</v>
      </c>
      <c r="F3716" s="32" t="s">
        <v>117</v>
      </c>
      <c r="J3716" s="32">
        <v>3</v>
      </c>
      <c r="P3716" s="32">
        <v>2400</v>
      </c>
      <c r="R3716" s="32">
        <v>304</v>
      </c>
      <c r="T3716" s="32">
        <v>2096</v>
      </c>
    </row>
    <row r="3717" spans="2:20" ht="12.75" hidden="1" x14ac:dyDescent="0.25">
      <c r="B3717" s="32">
        <v>52</v>
      </c>
      <c r="F3717" s="32" t="s">
        <v>116</v>
      </c>
      <c r="J3717" s="32">
        <v>1</v>
      </c>
      <c r="P3717" s="32">
        <v>800</v>
      </c>
      <c r="R3717" s="32">
        <v>0</v>
      </c>
      <c r="T3717" s="32">
        <v>800</v>
      </c>
    </row>
    <row r="3718" spans="2:20" ht="12.75" hidden="1" x14ac:dyDescent="0.25">
      <c r="T3718" s="32"/>
    </row>
    <row r="3719" spans="2:20" ht="12.75" hidden="1" x14ac:dyDescent="0.25">
      <c r="B3719" s="32">
        <v>53</v>
      </c>
      <c r="F3719" s="32" t="s">
        <v>115</v>
      </c>
      <c r="J3719" s="32">
        <v>6</v>
      </c>
      <c r="P3719" s="32">
        <v>1740</v>
      </c>
      <c r="R3719" s="32">
        <v>351</v>
      </c>
      <c r="T3719" s="32">
        <v>1389</v>
      </c>
    </row>
    <row r="3720" spans="2:20" ht="12.75" hidden="1" x14ac:dyDescent="0.25">
      <c r="B3720" s="32">
        <v>54</v>
      </c>
      <c r="F3720" s="32" t="s">
        <v>300</v>
      </c>
      <c r="J3720" s="32">
        <v>4</v>
      </c>
      <c r="P3720" s="32">
        <v>1320</v>
      </c>
      <c r="R3720" s="32">
        <v>246</v>
      </c>
      <c r="T3720" s="32">
        <v>1074</v>
      </c>
    </row>
    <row r="3721" spans="2:20" ht="12.75" hidden="1" x14ac:dyDescent="0.25">
      <c r="B3721" s="32">
        <v>55</v>
      </c>
      <c r="F3721" s="32" t="s">
        <v>327</v>
      </c>
      <c r="J3721" s="32">
        <v>1</v>
      </c>
      <c r="P3721" s="32">
        <v>880</v>
      </c>
      <c r="R3721" s="32">
        <v>0</v>
      </c>
      <c r="T3721" s="32">
        <v>880</v>
      </c>
    </row>
    <row r="3722" spans="2:20" ht="12.75" hidden="1" x14ac:dyDescent="0.25">
      <c r="B3722" s="32">
        <v>56</v>
      </c>
      <c r="F3722" s="32" t="s">
        <v>220</v>
      </c>
      <c r="J3722" s="32">
        <v>1</v>
      </c>
      <c r="P3722" s="32">
        <v>350</v>
      </c>
      <c r="R3722" s="32">
        <v>0</v>
      </c>
      <c r="T3722" s="32">
        <v>350</v>
      </c>
    </row>
    <row r="3723" spans="2:20" ht="12.75" hidden="1" x14ac:dyDescent="0.25">
      <c r="B3723" s="32">
        <v>57</v>
      </c>
      <c r="F3723" s="32" t="s">
        <v>219</v>
      </c>
      <c r="J3723" s="32">
        <v>1</v>
      </c>
      <c r="P3723" s="32">
        <v>500</v>
      </c>
      <c r="R3723" s="32">
        <v>0</v>
      </c>
      <c r="T3723" s="32">
        <v>500</v>
      </c>
    </row>
    <row r="3724" spans="2:20" ht="12.75" hidden="1" x14ac:dyDescent="0.25">
      <c r="B3724" s="32">
        <v>58</v>
      </c>
      <c r="F3724" s="32" t="s">
        <v>111</v>
      </c>
      <c r="J3724" s="32">
        <v>2</v>
      </c>
      <c r="P3724" s="32">
        <v>860</v>
      </c>
      <c r="R3724" s="32">
        <v>246</v>
      </c>
      <c r="T3724" s="32">
        <v>614</v>
      </c>
    </row>
    <row r="3725" spans="2:20" ht="12.75" hidden="1" x14ac:dyDescent="0.25">
      <c r="B3725" s="32">
        <v>59</v>
      </c>
      <c r="F3725" s="32" t="s">
        <v>109</v>
      </c>
      <c r="J3725" s="32">
        <v>9</v>
      </c>
      <c r="P3725" s="32">
        <v>7020</v>
      </c>
      <c r="R3725" s="32">
        <v>1719</v>
      </c>
      <c r="T3725" s="32">
        <v>5301</v>
      </c>
    </row>
    <row r="3726" spans="2:20" ht="12.75" hidden="1" x14ac:dyDescent="0.25">
      <c r="B3726" s="32">
        <v>60</v>
      </c>
      <c r="F3726" s="32" t="s">
        <v>107</v>
      </c>
      <c r="J3726" s="32">
        <v>39</v>
      </c>
      <c r="P3726" s="32">
        <v>6630</v>
      </c>
      <c r="R3726" s="32">
        <v>1224</v>
      </c>
      <c r="T3726" s="32">
        <v>5406</v>
      </c>
    </row>
    <row r="3727" spans="2:20" ht="12.75" hidden="1" x14ac:dyDescent="0.25">
      <c r="B3727" s="32">
        <v>61</v>
      </c>
      <c r="F3727" s="32" t="s">
        <v>180</v>
      </c>
      <c r="J3727" s="32">
        <v>1</v>
      </c>
      <c r="P3727" s="32">
        <v>590</v>
      </c>
      <c r="R3727" s="32">
        <v>180</v>
      </c>
      <c r="T3727" s="32">
        <v>410</v>
      </c>
    </row>
    <row r="3728" spans="2:20" ht="12.75" hidden="1" x14ac:dyDescent="0.25">
      <c r="B3728" s="32">
        <v>62</v>
      </c>
      <c r="F3728" s="32" t="s">
        <v>104</v>
      </c>
      <c r="J3728" s="32">
        <v>1</v>
      </c>
      <c r="P3728" s="32">
        <v>330</v>
      </c>
      <c r="R3728" s="32">
        <v>132</v>
      </c>
      <c r="T3728" s="32">
        <v>198</v>
      </c>
    </row>
    <row r="3729" spans="2:20" ht="12.75" hidden="1" x14ac:dyDescent="0.25">
      <c r="B3729" s="32">
        <v>63</v>
      </c>
      <c r="F3729" s="32" t="s">
        <v>103</v>
      </c>
      <c r="J3729" s="32">
        <v>23</v>
      </c>
      <c r="P3729" s="32">
        <v>7590</v>
      </c>
      <c r="R3729" s="32">
        <v>1731</v>
      </c>
      <c r="T3729" s="32">
        <v>5859</v>
      </c>
    </row>
    <row r="3730" spans="2:20" ht="12.75" hidden="1" x14ac:dyDescent="0.25">
      <c r="B3730" s="32">
        <v>64</v>
      </c>
      <c r="F3730" s="32" t="s">
        <v>212</v>
      </c>
      <c r="J3730" s="32">
        <v>1</v>
      </c>
      <c r="P3730" s="32">
        <v>500</v>
      </c>
      <c r="R3730" s="32">
        <v>100</v>
      </c>
      <c r="T3730" s="32">
        <v>400</v>
      </c>
    </row>
    <row r="3731" spans="2:20" ht="12.75" hidden="1" x14ac:dyDescent="0.25">
      <c r="B3731" s="32">
        <v>65</v>
      </c>
      <c r="F3731" s="32" t="s">
        <v>211</v>
      </c>
      <c r="J3731" s="32">
        <v>2</v>
      </c>
      <c r="P3731" s="32">
        <v>1000</v>
      </c>
      <c r="R3731" s="32">
        <v>150</v>
      </c>
      <c r="T3731" s="32">
        <v>850</v>
      </c>
    </row>
    <row r="3732" spans="2:20" ht="12.75" hidden="1" x14ac:dyDescent="0.25">
      <c r="B3732" s="32">
        <v>66</v>
      </c>
      <c r="F3732" s="32" t="s">
        <v>275</v>
      </c>
      <c r="J3732" s="32">
        <v>1</v>
      </c>
      <c r="P3732" s="32">
        <v>700</v>
      </c>
      <c r="R3732" s="32">
        <v>350</v>
      </c>
      <c r="T3732" s="32">
        <v>350</v>
      </c>
    </row>
    <row r="3733" spans="2:20" ht="12.75" hidden="1" x14ac:dyDescent="0.25">
      <c r="B3733" s="32">
        <v>67</v>
      </c>
      <c r="F3733" s="32" t="s">
        <v>210</v>
      </c>
      <c r="J3733" s="32">
        <v>1</v>
      </c>
      <c r="P3733" s="32">
        <v>390</v>
      </c>
      <c r="R3733" s="32">
        <v>120</v>
      </c>
      <c r="T3733" s="32">
        <v>270</v>
      </c>
    </row>
    <row r="3734" spans="2:20" ht="12.75" hidden="1" x14ac:dyDescent="0.25">
      <c r="B3734" s="32">
        <v>68</v>
      </c>
      <c r="F3734" s="32" t="s">
        <v>326</v>
      </c>
      <c r="J3734" s="32">
        <v>1</v>
      </c>
      <c r="P3734" s="32">
        <v>330</v>
      </c>
      <c r="R3734" s="32">
        <v>33</v>
      </c>
      <c r="T3734" s="32">
        <v>297</v>
      </c>
    </row>
    <row r="3735" spans="2:20" ht="12.75" hidden="1" x14ac:dyDescent="0.25">
      <c r="B3735" s="32">
        <v>69</v>
      </c>
      <c r="F3735" s="32" t="s">
        <v>102</v>
      </c>
      <c r="J3735" s="32">
        <v>3</v>
      </c>
      <c r="P3735" s="32">
        <v>2640</v>
      </c>
      <c r="R3735" s="32">
        <v>260</v>
      </c>
      <c r="T3735" s="32">
        <v>2380</v>
      </c>
    </row>
    <row r="3736" spans="2:20" ht="12.75" hidden="1" x14ac:dyDescent="0.25">
      <c r="B3736" s="32">
        <v>70</v>
      </c>
      <c r="F3736" s="32" t="s">
        <v>99</v>
      </c>
      <c r="J3736" s="32">
        <v>3</v>
      </c>
      <c r="P3736" s="32">
        <v>1770</v>
      </c>
      <c r="R3736" s="32">
        <v>149</v>
      </c>
      <c r="T3736" s="32">
        <v>1621</v>
      </c>
    </row>
    <row r="3737" spans="2:20" ht="12.75" hidden="1" x14ac:dyDescent="0.25">
      <c r="B3737" s="32">
        <v>71</v>
      </c>
      <c r="F3737" s="32" t="s">
        <v>98</v>
      </c>
      <c r="J3737" s="32">
        <v>3</v>
      </c>
      <c r="P3737" s="32">
        <v>1710</v>
      </c>
      <c r="R3737" s="32">
        <v>160</v>
      </c>
      <c r="T3737" s="32">
        <v>1550</v>
      </c>
    </row>
    <row r="3738" spans="2:20" ht="12.75" hidden="1" x14ac:dyDescent="0.25">
      <c r="B3738" s="32">
        <v>72</v>
      </c>
      <c r="F3738" s="32" t="s">
        <v>325</v>
      </c>
      <c r="J3738" s="32">
        <v>1</v>
      </c>
      <c r="P3738" s="32">
        <v>700</v>
      </c>
      <c r="R3738" s="32">
        <v>203</v>
      </c>
      <c r="T3738" s="32">
        <v>497</v>
      </c>
    </row>
    <row r="3739" spans="2:20" ht="12.75" hidden="1" x14ac:dyDescent="0.25">
      <c r="B3739" s="32">
        <v>73</v>
      </c>
      <c r="F3739" s="32" t="s">
        <v>324</v>
      </c>
      <c r="J3739" s="32">
        <v>1</v>
      </c>
      <c r="P3739" s="32">
        <v>350</v>
      </c>
      <c r="R3739" s="32">
        <v>105</v>
      </c>
      <c r="T3739" s="32">
        <v>245</v>
      </c>
    </row>
    <row r="3740" spans="2:20" ht="12.75" hidden="1" x14ac:dyDescent="0.25">
      <c r="B3740" s="32">
        <v>74</v>
      </c>
      <c r="F3740" s="32" t="s">
        <v>93</v>
      </c>
      <c r="J3740" s="32">
        <v>5</v>
      </c>
      <c r="P3740" s="32">
        <v>2950</v>
      </c>
      <c r="R3740" s="32">
        <v>329</v>
      </c>
      <c r="T3740" s="32">
        <v>2621</v>
      </c>
    </row>
    <row r="3741" spans="2:20" ht="12.75" hidden="1" x14ac:dyDescent="0.25">
      <c r="B3741" s="32">
        <v>75</v>
      </c>
      <c r="F3741" s="32" t="s">
        <v>92</v>
      </c>
      <c r="J3741" s="32">
        <v>6</v>
      </c>
      <c r="P3741" s="32">
        <v>3080</v>
      </c>
      <c r="R3741" s="32">
        <v>620</v>
      </c>
      <c r="T3741" s="32">
        <v>2460</v>
      </c>
    </row>
    <row r="3742" spans="2:20" ht="12.75" hidden="1" x14ac:dyDescent="0.25">
      <c r="B3742" s="32">
        <v>76</v>
      </c>
      <c r="F3742" s="32" t="s">
        <v>91</v>
      </c>
      <c r="J3742" s="32">
        <v>8</v>
      </c>
      <c r="P3742" s="32">
        <v>2000</v>
      </c>
      <c r="R3742" s="32">
        <v>654</v>
      </c>
      <c r="T3742" s="32">
        <v>1346</v>
      </c>
    </row>
    <row r="3743" spans="2:20" ht="12.75" hidden="1" x14ac:dyDescent="0.25">
      <c r="B3743" s="32">
        <v>77</v>
      </c>
      <c r="F3743" s="32" t="s">
        <v>90</v>
      </c>
      <c r="J3743" s="32">
        <v>34</v>
      </c>
      <c r="P3743" s="32">
        <v>9860</v>
      </c>
      <c r="R3743" s="32">
        <v>2119</v>
      </c>
      <c r="T3743" s="32">
        <v>7741</v>
      </c>
    </row>
    <row r="3744" spans="2:20" ht="12.75" hidden="1" x14ac:dyDescent="0.25">
      <c r="B3744" s="32">
        <v>78</v>
      </c>
      <c r="F3744" s="32" t="s">
        <v>89</v>
      </c>
      <c r="J3744" s="32">
        <v>2</v>
      </c>
      <c r="P3744" s="32">
        <v>1760</v>
      </c>
      <c r="R3744" s="32">
        <v>130</v>
      </c>
      <c r="T3744" s="32">
        <v>1630</v>
      </c>
    </row>
    <row r="3745" spans="1:20" ht="12.75" hidden="1" x14ac:dyDescent="0.25">
      <c r="B3745" s="32">
        <v>79</v>
      </c>
      <c r="F3745" s="32" t="s">
        <v>88</v>
      </c>
      <c r="J3745" s="32">
        <v>45</v>
      </c>
      <c r="P3745" s="32">
        <v>8100</v>
      </c>
      <c r="R3745" s="32">
        <v>2034</v>
      </c>
      <c r="T3745" s="32">
        <v>6066</v>
      </c>
    </row>
    <row r="3746" spans="1:20" ht="12.75" hidden="1" x14ac:dyDescent="0.25">
      <c r="B3746" s="32">
        <v>80</v>
      </c>
      <c r="F3746" s="32" t="s">
        <v>85</v>
      </c>
      <c r="J3746" s="32">
        <v>1</v>
      </c>
      <c r="P3746" s="32">
        <v>2080</v>
      </c>
      <c r="R3746" s="32">
        <v>104</v>
      </c>
      <c r="T3746" s="32">
        <v>1976</v>
      </c>
    </row>
    <row r="3747" spans="1:20" ht="12.75" hidden="1" x14ac:dyDescent="0.25">
      <c r="B3747" s="32">
        <v>81</v>
      </c>
      <c r="F3747" s="32" t="s">
        <v>84</v>
      </c>
      <c r="J3747" s="32">
        <v>22</v>
      </c>
      <c r="P3747" s="32">
        <v>12980</v>
      </c>
      <c r="R3747" s="32">
        <v>3471</v>
      </c>
      <c r="T3747" s="32">
        <v>9509</v>
      </c>
    </row>
    <row r="3748" spans="1:20" ht="12.75" hidden="1" x14ac:dyDescent="0.25">
      <c r="B3748" s="32">
        <v>82</v>
      </c>
      <c r="F3748" s="32" t="s">
        <v>206</v>
      </c>
      <c r="J3748" s="32">
        <v>1</v>
      </c>
      <c r="P3748" s="32">
        <v>500</v>
      </c>
      <c r="R3748" s="32">
        <v>150</v>
      </c>
      <c r="T3748" s="32">
        <v>350</v>
      </c>
    </row>
    <row r="3749" spans="1:20" ht="12.75" hidden="1" x14ac:dyDescent="0.25">
      <c r="B3749" s="32">
        <v>83</v>
      </c>
      <c r="F3749" s="32" t="s">
        <v>205</v>
      </c>
      <c r="J3749" s="32">
        <v>1</v>
      </c>
      <c r="P3749" s="32">
        <v>500</v>
      </c>
      <c r="R3749" s="32">
        <v>100</v>
      </c>
      <c r="T3749" s="32">
        <v>400</v>
      </c>
    </row>
    <row r="3750" spans="1:20" ht="12.75" hidden="1" x14ac:dyDescent="0.25">
      <c r="B3750" s="32">
        <v>84</v>
      </c>
      <c r="F3750" s="32" t="s">
        <v>204</v>
      </c>
      <c r="J3750" s="32">
        <v>1</v>
      </c>
      <c r="P3750" s="32">
        <v>500</v>
      </c>
      <c r="R3750" s="32">
        <v>150</v>
      </c>
      <c r="T3750" s="32">
        <v>350</v>
      </c>
    </row>
    <row r="3751" spans="1:20" ht="12.75" hidden="1" x14ac:dyDescent="0.25">
      <c r="B3751" s="32">
        <v>85</v>
      </c>
      <c r="F3751" s="32" t="s">
        <v>82</v>
      </c>
      <c r="J3751" s="32">
        <v>7</v>
      </c>
      <c r="P3751" s="32">
        <v>2030</v>
      </c>
      <c r="R3751" s="32">
        <v>2030</v>
      </c>
      <c r="T3751" s="32">
        <v>0</v>
      </c>
    </row>
    <row r="3752" spans="1:20" ht="12.75" hidden="1" x14ac:dyDescent="0.25">
      <c r="A3752" s="32" t="s">
        <v>323</v>
      </c>
      <c r="K3752" s="32">
        <v>3825</v>
      </c>
      <c r="P3752" s="32">
        <v>3868995</v>
      </c>
      <c r="R3752" s="32">
        <v>3415324</v>
      </c>
      <c r="T3752" s="32">
        <v>453671</v>
      </c>
    </row>
    <row r="3753" spans="1:20" ht="12.75" hidden="1" x14ac:dyDescent="0.25">
      <c r="B3753" s="32">
        <v>1</v>
      </c>
      <c r="F3753" s="32" t="s">
        <v>200</v>
      </c>
      <c r="J3753" s="32">
        <v>1</v>
      </c>
      <c r="P3753" s="32">
        <v>500</v>
      </c>
      <c r="R3753" s="32">
        <v>150</v>
      </c>
      <c r="T3753" s="32">
        <v>350</v>
      </c>
    </row>
    <row r="3754" spans="1:20" ht="12.75" hidden="1" x14ac:dyDescent="0.25">
      <c r="B3754" s="32">
        <v>2</v>
      </c>
      <c r="F3754" s="32" t="s">
        <v>78</v>
      </c>
      <c r="J3754" s="32">
        <v>147</v>
      </c>
      <c r="P3754" s="32">
        <v>42630</v>
      </c>
      <c r="R3754" s="32">
        <v>42630</v>
      </c>
      <c r="T3754" s="32">
        <v>0</v>
      </c>
    </row>
    <row r="3755" spans="1:20" ht="12.75" hidden="1" x14ac:dyDescent="0.25">
      <c r="B3755" s="32">
        <v>3</v>
      </c>
      <c r="F3755" s="32" t="s">
        <v>268</v>
      </c>
      <c r="J3755" s="32">
        <v>2</v>
      </c>
      <c r="P3755" s="32">
        <v>500</v>
      </c>
      <c r="R3755" s="32">
        <v>140</v>
      </c>
      <c r="T3755" s="32">
        <v>360</v>
      </c>
    </row>
    <row r="3756" spans="1:20" ht="12.75" hidden="1" x14ac:dyDescent="0.25">
      <c r="B3756" s="32">
        <v>4</v>
      </c>
      <c r="F3756" s="32" t="s">
        <v>199</v>
      </c>
      <c r="J3756" s="32">
        <v>1</v>
      </c>
      <c r="P3756" s="32">
        <v>290</v>
      </c>
      <c r="R3756" s="32">
        <v>100</v>
      </c>
      <c r="T3756" s="32">
        <v>190</v>
      </c>
    </row>
    <row r="3757" spans="1:20" ht="12.75" hidden="1" x14ac:dyDescent="0.25">
      <c r="B3757" s="32">
        <v>5</v>
      </c>
      <c r="F3757" s="32" t="s">
        <v>294</v>
      </c>
      <c r="J3757" s="32">
        <v>2</v>
      </c>
      <c r="P3757" s="32">
        <v>1000</v>
      </c>
      <c r="R3757" s="32">
        <v>150</v>
      </c>
      <c r="T3757" s="32">
        <v>850</v>
      </c>
    </row>
    <row r="3758" spans="1:20" ht="12.75" hidden="1" x14ac:dyDescent="0.25">
      <c r="B3758" s="32">
        <v>6</v>
      </c>
      <c r="F3758" s="32" t="s">
        <v>165</v>
      </c>
      <c r="J3758" s="32">
        <v>1</v>
      </c>
      <c r="P3758" s="32">
        <v>590</v>
      </c>
      <c r="R3758" s="32">
        <v>180</v>
      </c>
      <c r="T3758" s="32">
        <v>410</v>
      </c>
    </row>
    <row r="3759" spans="1:20" ht="12.75" hidden="1" x14ac:dyDescent="0.25">
      <c r="B3759" s="32">
        <v>7</v>
      </c>
      <c r="F3759" s="32" t="s">
        <v>164</v>
      </c>
      <c r="J3759" s="32">
        <v>1</v>
      </c>
      <c r="P3759" s="32">
        <v>590</v>
      </c>
      <c r="R3759" s="32">
        <v>0</v>
      </c>
      <c r="T3759" s="32">
        <v>590</v>
      </c>
    </row>
    <row r="3760" spans="1:20" ht="12.75" hidden="1" x14ac:dyDescent="0.25">
      <c r="B3760" s="32">
        <v>8</v>
      </c>
      <c r="F3760" s="32" t="s">
        <v>163</v>
      </c>
      <c r="J3760" s="32">
        <v>21</v>
      </c>
      <c r="P3760" s="32">
        <v>24990</v>
      </c>
      <c r="R3760" s="32">
        <v>3780</v>
      </c>
      <c r="T3760" s="32">
        <v>21210</v>
      </c>
    </row>
    <row r="3761" spans="2:20" ht="12.75" hidden="1" x14ac:dyDescent="0.25">
      <c r="B3761" s="32">
        <v>9</v>
      </c>
      <c r="F3761" s="32" t="s">
        <v>162</v>
      </c>
      <c r="J3761" s="32">
        <v>33</v>
      </c>
      <c r="P3761" s="32">
        <v>14190</v>
      </c>
      <c r="R3761" s="32">
        <v>6519</v>
      </c>
      <c r="T3761" s="32">
        <v>7671</v>
      </c>
    </row>
    <row r="3762" spans="2:20" ht="12.75" hidden="1" x14ac:dyDescent="0.25">
      <c r="B3762" s="32">
        <v>10</v>
      </c>
      <c r="F3762" s="32" t="s">
        <v>160</v>
      </c>
      <c r="J3762" s="32">
        <v>20</v>
      </c>
      <c r="P3762" s="32">
        <v>5800</v>
      </c>
      <c r="R3762" s="32">
        <v>1280</v>
      </c>
      <c r="T3762" s="32">
        <v>4520</v>
      </c>
    </row>
    <row r="3763" spans="2:20" ht="12.75" hidden="1" x14ac:dyDescent="0.25">
      <c r="B3763" s="32">
        <v>11</v>
      </c>
      <c r="F3763" s="32" t="s">
        <v>158</v>
      </c>
      <c r="J3763" s="32">
        <v>176</v>
      </c>
      <c r="P3763" s="32">
        <v>96800</v>
      </c>
      <c r="R3763" s="32">
        <v>28140</v>
      </c>
      <c r="T3763" s="32">
        <v>68660</v>
      </c>
    </row>
    <row r="3764" spans="2:20" ht="12.75" hidden="1" x14ac:dyDescent="0.25">
      <c r="B3764" s="32">
        <v>12</v>
      </c>
      <c r="F3764" s="32" t="s">
        <v>157</v>
      </c>
      <c r="J3764" s="32">
        <v>205</v>
      </c>
      <c r="P3764" s="32">
        <v>100450</v>
      </c>
      <c r="R3764" s="32">
        <v>43116</v>
      </c>
      <c r="T3764" s="32">
        <v>57334</v>
      </c>
    </row>
    <row r="3765" spans="2:20" ht="12.75" hidden="1" x14ac:dyDescent="0.25">
      <c r="B3765" s="32">
        <v>13</v>
      </c>
      <c r="F3765" s="32" t="s">
        <v>197</v>
      </c>
      <c r="J3765" s="32">
        <v>1</v>
      </c>
      <c r="P3765" s="32">
        <v>500</v>
      </c>
      <c r="R3765" s="32">
        <v>150</v>
      </c>
      <c r="T3765" s="32">
        <v>350</v>
      </c>
    </row>
    <row r="3766" spans="2:20" ht="12.75" hidden="1" x14ac:dyDescent="0.25">
      <c r="B3766" s="32">
        <v>14</v>
      </c>
      <c r="F3766" s="32" t="s">
        <v>293</v>
      </c>
      <c r="J3766" s="32">
        <v>1</v>
      </c>
      <c r="P3766" s="32">
        <v>700</v>
      </c>
      <c r="R3766" s="32">
        <v>180</v>
      </c>
      <c r="T3766" s="32">
        <v>520</v>
      </c>
    </row>
    <row r="3767" spans="2:20" ht="12.75" hidden="1" x14ac:dyDescent="0.25">
      <c r="B3767" s="32">
        <v>15</v>
      </c>
      <c r="F3767" s="32" t="s">
        <v>196</v>
      </c>
      <c r="J3767" s="32">
        <v>5</v>
      </c>
      <c r="P3767" s="32">
        <v>3700</v>
      </c>
      <c r="R3767" s="32">
        <v>1670</v>
      </c>
      <c r="T3767" s="32">
        <v>2030</v>
      </c>
    </row>
    <row r="3768" spans="2:20" ht="12.75" hidden="1" x14ac:dyDescent="0.25">
      <c r="B3768" s="32">
        <v>16</v>
      </c>
      <c r="F3768" s="32" t="s">
        <v>77</v>
      </c>
      <c r="J3768" s="32">
        <v>930</v>
      </c>
      <c r="P3768" s="32">
        <v>375200</v>
      </c>
      <c r="R3768" s="32">
        <v>375200</v>
      </c>
      <c r="T3768" s="32">
        <v>0</v>
      </c>
    </row>
    <row r="3769" spans="2:20" ht="12.75" hidden="1" x14ac:dyDescent="0.25">
      <c r="B3769" s="32">
        <v>17</v>
      </c>
      <c r="F3769" s="32" t="s">
        <v>156</v>
      </c>
      <c r="J3769" s="32">
        <v>5</v>
      </c>
      <c r="P3769" s="32">
        <v>950</v>
      </c>
      <c r="R3769" s="32">
        <v>170</v>
      </c>
      <c r="T3769" s="32">
        <v>780</v>
      </c>
    </row>
    <row r="3770" spans="2:20" ht="12.75" hidden="1" x14ac:dyDescent="0.25">
      <c r="B3770" s="32">
        <v>18</v>
      </c>
      <c r="F3770" s="32" t="s">
        <v>155</v>
      </c>
      <c r="J3770" s="32">
        <v>16</v>
      </c>
      <c r="P3770" s="32">
        <v>4000</v>
      </c>
      <c r="R3770" s="32">
        <v>1100</v>
      </c>
      <c r="T3770" s="32">
        <v>2900</v>
      </c>
    </row>
    <row r="3771" spans="2:20" ht="12.75" hidden="1" x14ac:dyDescent="0.25">
      <c r="B3771" s="32">
        <v>19</v>
      </c>
      <c r="F3771" s="32" t="s">
        <v>154</v>
      </c>
      <c r="J3771" s="32">
        <v>3</v>
      </c>
      <c r="P3771" s="32">
        <v>2670</v>
      </c>
      <c r="R3771" s="32">
        <v>390</v>
      </c>
      <c r="T3771" s="32">
        <v>2280</v>
      </c>
    </row>
    <row r="3772" spans="2:20" ht="12.75" hidden="1" x14ac:dyDescent="0.25">
      <c r="B3772" s="32">
        <v>20</v>
      </c>
      <c r="F3772" s="32" t="s">
        <v>153</v>
      </c>
      <c r="J3772" s="32">
        <v>1</v>
      </c>
      <c r="P3772" s="32">
        <v>1180</v>
      </c>
      <c r="R3772" s="32">
        <v>180</v>
      </c>
      <c r="T3772" s="32">
        <v>1000</v>
      </c>
    </row>
    <row r="3773" spans="2:20" ht="12.75" hidden="1" x14ac:dyDescent="0.25">
      <c r="B3773" s="32">
        <v>21</v>
      </c>
      <c r="F3773" s="32" t="s">
        <v>322</v>
      </c>
      <c r="J3773" s="32">
        <v>1</v>
      </c>
      <c r="P3773" s="32">
        <v>1180</v>
      </c>
      <c r="R3773" s="32">
        <v>180</v>
      </c>
      <c r="T3773" s="32">
        <v>1000</v>
      </c>
    </row>
    <row r="3774" spans="2:20" ht="12.75" hidden="1" x14ac:dyDescent="0.25">
      <c r="B3774" s="32">
        <v>22</v>
      </c>
      <c r="F3774" s="32" t="s">
        <v>321</v>
      </c>
      <c r="J3774" s="32">
        <v>1</v>
      </c>
      <c r="P3774" s="32">
        <v>500</v>
      </c>
      <c r="R3774" s="32">
        <v>150</v>
      </c>
      <c r="T3774" s="32">
        <v>350</v>
      </c>
    </row>
    <row r="3775" spans="2:20" ht="12.75" hidden="1" x14ac:dyDescent="0.25">
      <c r="B3775" s="32">
        <v>23</v>
      </c>
      <c r="F3775" s="32" t="s">
        <v>289</v>
      </c>
      <c r="J3775" s="32">
        <v>2</v>
      </c>
      <c r="P3775" s="32">
        <v>1000</v>
      </c>
      <c r="R3775" s="32">
        <v>300</v>
      </c>
      <c r="T3775" s="32">
        <v>700</v>
      </c>
    </row>
    <row r="3776" spans="2:20" ht="12.75" hidden="1" x14ac:dyDescent="0.25">
      <c r="B3776" s="32">
        <v>24</v>
      </c>
      <c r="F3776" s="32" t="s">
        <v>320</v>
      </c>
      <c r="J3776" s="32">
        <v>1</v>
      </c>
      <c r="P3776" s="32">
        <v>500</v>
      </c>
      <c r="R3776" s="32">
        <v>150</v>
      </c>
      <c r="T3776" s="32">
        <v>350</v>
      </c>
    </row>
    <row r="3777" spans="2:20" ht="12.75" hidden="1" x14ac:dyDescent="0.25">
      <c r="B3777" s="32">
        <v>25</v>
      </c>
      <c r="F3777" s="32" t="s">
        <v>152</v>
      </c>
      <c r="J3777" s="32">
        <v>2</v>
      </c>
      <c r="P3777" s="32">
        <v>1180</v>
      </c>
      <c r="R3777" s="32">
        <v>360</v>
      </c>
      <c r="T3777" s="32">
        <v>820</v>
      </c>
    </row>
    <row r="3778" spans="2:20" ht="12.75" hidden="1" x14ac:dyDescent="0.25">
      <c r="B3778" s="32">
        <v>26</v>
      </c>
      <c r="F3778" s="32" t="s">
        <v>151</v>
      </c>
      <c r="J3778" s="32">
        <v>40</v>
      </c>
      <c r="P3778" s="32">
        <v>9200</v>
      </c>
      <c r="R3778" s="32">
        <v>2450</v>
      </c>
      <c r="T3778" s="32">
        <v>6750</v>
      </c>
    </row>
    <row r="3779" spans="2:20" ht="12.75" hidden="1" x14ac:dyDescent="0.25">
      <c r="B3779" s="32">
        <v>27</v>
      </c>
      <c r="F3779" s="32" t="s">
        <v>150</v>
      </c>
      <c r="J3779" s="32">
        <v>27</v>
      </c>
      <c r="P3779" s="32">
        <v>4590</v>
      </c>
      <c r="R3779" s="32">
        <v>1150</v>
      </c>
      <c r="T3779" s="32">
        <v>3440</v>
      </c>
    </row>
    <row r="3780" spans="2:20" ht="12.75" hidden="1" x14ac:dyDescent="0.25">
      <c r="B3780" s="32">
        <v>28</v>
      </c>
      <c r="F3780" s="32" t="s">
        <v>234</v>
      </c>
      <c r="J3780" s="32">
        <v>2</v>
      </c>
      <c r="P3780" s="32">
        <v>1600</v>
      </c>
      <c r="R3780" s="32">
        <v>900</v>
      </c>
      <c r="T3780" s="32">
        <v>700</v>
      </c>
    </row>
    <row r="3781" spans="2:20" ht="12.75" hidden="1" x14ac:dyDescent="0.25">
      <c r="B3781" s="32">
        <v>29</v>
      </c>
      <c r="F3781" s="32" t="s">
        <v>286</v>
      </c>
      <c r="J3781" s="32">
        <v>1</v>
      </c>
      <c r="P3781" s="32">
        <v>800</v>
      </c>
      <c r="R3781" s="32">
        <v>450</v>
      </c>
      <c r="T3781" s="32">
        <v>350</v>
      </c>
    </row>
    <row r="3782" spans="2:20" ht="12.75" hidden="1" x14ac:dyDescent="0.25">
      <c r="B3782" s="32">
        <v>30</v>
      </c>
      <c r="F3782" s="32" t="s">
        <v>193</v>
      </c>
      <c r="J3782" s="32">
        <v>14</v>
      </c>
      <c r="P3782" s="32">
        <v>12460</v>
      </c>
      <c r="R3782" s="32">
        <v>1820</v>
      </c>
      <c r="T3782" s="32">
        <v>10640</v>
      </c>
    </row>
    <row r="3783" spans="2:20" ht="12.75" hidden="1" x14ac:dyDescent="0.25">
      <c r="B3783" s="32">
        <v>31</v>
      </c>
      <c r="F3783" s="32" t="s">
        <v>75</v>
      </c>
      <c r="J3783" s="32">
        <v>1125</v>
      </c>
      <c r="P3783" s="32">
        <v>2812500</v>
      </c>
      <c r="R3783" s="32">
        <v>2812500</v>
      </c>
      <c r="T3783" s="32">
        <v>0</v>
      </c>
    </row>
    <row r="3784" spans="2:20" ht="12.75" hidden="1" x14ac:dyDescent="0.25">
      <c r="B3784" s="32">
        <v>32</v>
      </c>
      <c r="F3784" s="32" t="s">
        <v>139</v>
      </c>
      <c r="J3784" s="32">
        <v>4</v>
      </c>
      <c r="P3784" s="32">
        <v>1080</v>
      </c>
      <c r="R3784" s="32">
        <v>240</v>
      </c>
      <c r="T3784" s="32">
        <v>840</v>
      </c>
    </row>
    <row r="3785" spans="2:20" ht="12.75" hidden="1" x14ac:dyDescent="0.25">
      <c r="B3785" s="32">
        <v>33</v>
      </c>
      <c r="F3785" s="32" t="s">
        <v>138</v>
      </c>
      <c r="J3785" s="32">
        <v>1</v>
      </c>
      <c r="P3785" s="32">
        <v>800</v>
      </c>
      <c r="R3785" s="32">
        <v>450</v>
      </c>
      <c r="T3785" s="32">
        <v>350</v>
      </c>
    </row>
    <row r="3786" spans="2:20" ht="12.75" hidden="1" x14ac:dyDescent="0.25">
      <c r="B3786" s="32">
        <v>34</v>
      </c>
      <c r="F3786" s="32" t="s">
        <v>136</v>
      </c>
      <c r="J3786" s="32">
        <v>9</v>
      </c>
      <c r="P3786" s="32">
        <v>7650</v>
      </c>
      <c r="R3786" s="32">
        <v>1430</v>
      </c>
      <c r="T3786" s="32">
        <v>6220</v>
      </c>
    </row>
    <row r="3787" spans="2:20" ht="12.75" hidden="1" x14ac:dyDescent="0.25">
      <c r="B3787" s="32">
        <v>35</v>
      </c>
      <c r="F3787" s="32" t="s">
        <v>74</v>
      </c>
      <c r="J3787" s="32">
        <v>11</v>
      </c>
      <c r="P3787" s="32">
        <v>9350</v>
      </c>
      <c r="R3787" s="32">
        <v>9350</v>
      </c>
      <c r="T3787" s="32">
        <v>0</v>
      </c>
    </row>
    <row r="3788" spans="2:20" ht="12.75" hidden="1" x14ac:dyDescent="0.25">
      <c r="B3788" s="32">
        <v>36</v>
      </c>
      <c r="F3788" s="32" t="s">
        <v>190</v>
      </c>
      <c r="J3788" s="32">
        <v>1</v>
      </c>
      <c r="P3788" s="32">
        <v>1570</v>
      </c>
      <c r="R3788" s="32">
        <v>240</v>
      </c>
      <c r="T3788" s="32">
        <v>1330</v>
      </c>
    </row>
    <row r="3789" spans="2:20" ht="12.75" hidden="1" x14ac:dyDescent="0.25">
      <c r="B3789" s="32">
        <v>37</v>
      </c>
      <c r="F3789" s="32" t="s">
        <v>135</v>
      </c>
      <c r="J3789" s="32">
        <v>5</v>
      </c>
      <c r="P3789" s="32">
        <v>4750</v>
      </c>
      <c r="R3789" s="32">
        <v>1400</v>
      </c>
      <c r="T3789" s="32">
        <v>3350</v>
      </c>
    </row>
    <row r="3790" spans="2:20" ht="12.75" hidden="1" x14ac:dyDescent="0.25">
      <c r="B3790" s="32">
        <v>38</v>
      </c>
      <c r="F3790" s="32" t="s">
        <v>229</v>
      </c>
      <c r="J3790" s="32">
        <v>2</v>
      </c>
      <c r="P3790" s="32">
        <v>14000</v>
      </c>
      <c r="R3790" s="32">
        <v>6200</v>
      </c>
      <c r="T3790" s="32">
        <v>7800</v>
      </c>
    </row>
    <row r="3791" spans="2:20" ht="12.75" hidden="1" x14ac:dyDescent="0.25">
      <c r="B3791" s="32">
        <v>39</v>
      </c>
      <c r="F3791" s="32" t="s">
        <v>132</v>
      </c>
      <c r="J3791" s="32">
        <v>5</v>
      </c>
      <c r="P3791" s="32">
        <v>6200</v>
      </c>
      <c r="R3791" s="32">
        <v>1850</v>
      </c>
      <c r="T3791" s="32">
        <v>4350</v>
      </c>
    </row>
    <row r="3792" spans="2:20" ht="12.75" hidden="1" x14ac:dyDescent="0.25">
      <c r="B3792" s="32">
        <v>40</v>
      </c>
      <c r="F3792" s="32" t="s">
        <v>131</v>
      </c>
      <c r="J3792" s="32">
        <v>1</v>
      </c>
      <c r="P3792" s="32">
        <v>3700</v>
      </c>
      <c r="R3792" s="32">
        <v>800</v>
      </c>
      <c r="T3792" s="32">
        <v>2900</v>
      </c>
    </row>
    <row r="3793" spans="2:20" ht="12.75" hidden="1" x14ac:dyDescent="0.25">
      <c r="B3793" s="32">
        <v>41</v>
      </c>
      <c r="F3793" s="32" t="s">
        <v>130</v>
      </c>
      <c r="J3793" s="32">
        <v>1</v>
      </c>
      <c r="P3793" s="32">
        <v>8000</v>
      </c>
      <c r="R3793" s="32">
        <v>4100</v>
      </c>
      <c r="T3793" s="32">
        <v>3900</v>
      </c>
    </row>
    <row r="3794" spans="2:20" ht="12.75" hidden="1" x14ac:dyDescent="0.25">
      <c r="B3794" s="32">
        <v>42</v>
      </c>
      <c r="F3794" s="32" t="s">
        <v>319</v>
      </c>
      <c r="J3794" s="32">
        <v>81</v>
      </c>
      <c r="P3794" s="32">
        <v>8100</v>
      </c>
      <c r="R3794" s="32">
        <v>0</v>
      </c>
      <c r="T3794" s="32">
        <v>8100</v>
      </c>
    </row>
    <row r="3795" spans="2:20" ht="12.75" hidden="1" x14ac:dyDescent="0.25">
      <c r="B3795" s="32">
        <v>43</v>
      </c>
      <c r="F3795" s="32" t="s">
        <v>128</v>
      </c>
      <c r="J3795" s="32">
        <v>2</v>
      </c>
      <c r="P3795" s="32">
        <v>2300</v>
      </c>
      <c r="R3795" s="32">
        <v>340</v>
      </c>
      <c r="T3795" s="32">
        <v>1960</v>
      </c>
    </row>
    <row r="3796" spans="2:20" ht="12.75" hidden="1" x14ac:dyDescent="0.25">
      <c r="B3796" s="32">
        <v>44</v>
      </c>
      <c r="F3796" s="32" t="s">
        <v>127</v>
      </c>
      <c r="J3796" s="32">
        <v>38</v>
      </c>
      <c r="P3796" s="32">
        <v>11400</v>
      </c>
      <c r="R3796" s="32">
        <v>4027</v>
      </c>
      <c r="T3796" s="32">
        <v>7373</v>
      </c>
    </row>
    <row r="3797" spans="2:20" ht="12.75" hidden="1" x14ac:dyDescent="0.25">
      <c r="B3797" s="32">
        <v>45</v>
      </c>
      <c r="F3797" s="32" t="s">
        <v>126</v>
      </c>
      <c r="J3797" s="32">
        <v>37</v>
      </c>
      <c r="P3797" s="32">
        <v>7400</v>
      </c>
      <c r="R3797" s="32">
        <v>2619</v>
      </c>
      <c r="T3797" s="32">
        <v>4781</v>
      </c>
    </row>
    <row r="3798" spans="2:20" ht="12.75" hidden="1" x14ac:dyDescent="0.25">
      <c r="B3798" s="32">
        <v>46</v>
      </c>
      <c r="F3798" s="32" t="s">
        <v>125</v>
      </c>
      <c r="J3798" s="32">
        <v>2</v>
      </c>
      <c r="P3798" s="32">
        <v>800</v>
      </c>
      <c r="R3798" s="32">
        <v>240</v>
      </c>
      <c r="T3798" s="32">
        <v>560</v>
      </c>
    </row>
    <row r="3799" spans="2:20" ht="12.75" hidden="1" x14ac:dyDescent="0.25">
      <c r="B3799" s="32">
        <v>47</v>
      </c>
      <c r="F3799" s="32" t="s">
        <v>124</v>
      </c>
      <c r="J3799" s="32">
        <v>2</v>
      </c>
      <c r="P3799" s="32">
        <v>1180</v>
      </c>
      <c r="R3799" s="32">
        <v>120</v>
      </c>
      <c r="T3799" s="32">
        <v>1060</v>
      </c>
    </row>
    <row r="3800" spans="2:20" ht="12.75" hidden="1" x14ac:dyDescent="0.25">
      <c r="B3800" s="32">
        <v>48</v>
      </c>
      <c r="F3800" s="32" t="s">
        <v>184</v>
      </c>
      <c r="J3800" s="32">
        <v>1</v>
      </c>
      <c r="P3800" s="32">
        <v>1080</v>
      </c>
      <c r="R3800" s="32">
        <v>160</v>
      </c>
      <c r="T3800" s="32">
        <v>920</v>
      </c>
    </row>
    <row r="3801" spans="2:20" ht="12.75" hidden="1" x14ac:dyDescent="0.25">
      <c r="B3801" s="32">
        <v>49</v>
      </c>
      <c r="F3801" s="32" t="s">
        <v>121</v>
      </c>
      <c r="J3801" s="32">
        <v>2</v>
      </c>
      <c r="P3801" s="32">
        <v>1000</v>
      </c>
      <c r="R3801" s="32">
        <v>300</v>
      </c>
      <c r="T3801" s="32">
        <v>700</v>
      </c>
    </row>
    <row r="3802" spans="2:20" ht="12.75" hidden="1" x14ac:dyDescent="0.25">
      <c r="B3802" s="32">
        <v>50</v>
      </c>
      <c r="F3802" s="32" t="s">
        <v>182</v>
      </c>
      <c r="J3802" s="32">
        <v>1</v>
      </c>
      <c r="P3802" s="32">
        <v>790</v>
      </c>
      <c r="R3802" s="32">
        <v>120</v>
      </c>
      <c r="T3802" s="32">
        <v>670</v>
      </c>
    </row>
    <row r="3803" spans="2:20" ht="12.75" hidden="1" x14ac:dyDescent="0.25">
      <c r="B3803" s="32">
        <v>51</v>
      </c>
      <c r="F3803" s="32" t="s">
        <v>119</v>
      </c>
      <c r="J3803" s="32">
        <v>15</v>
      </c>
      <c r="P3803" s="32">
        <v>13350</v>
      </c>
      <c r="R3803" s="32">
        <v>2550</v>
      </c>
      <c r="T3803" s="32">
        <v>10800</v>
      </c>
    </row>
    <row r="3804" spans="2:20" ht="12.75" hidden="1" x14ac:dyDescent="0.25">
      <c r="B3804" s="32">
        <v>52</v>
      </c>
      <c r="F3804" s="32" t="s">
        <v>118</v>
      </c>
      <c r="J3804" s="32">
        <v>49</v>
      </c>
      <c r="P3804" s="32">
        <v>48510</v>
      </c>
      <c r="R3804" s="32">
        <v>15040</v>
      </c>
      <c r="T3804" s="32">
        <v>33470</v>
      </c>
    </row>
    <row r="3805" spans="2:20" ht="12.75" hidden="1" x14ac:dyDescent="0.25">
      <c r="B3805" s="32">
        <v>53</v>
      </c>
      <c r="F3805" s="32" t="s">
        <v>117</v>
      </c>
      <c r="J3805" s="32">
        <v>6</v>
      </c>
      <c r="P3805" s="32">
        <v>4800</v>
      </c>
      <c r="R3805" s="32">
        <v>1200</v>
      </c>
      <c r="T3805" s="32">
        <v>3600</v>
      </c>
    </row>
    <row r="3806" spans="2:20" ht="12.75" hidden="1" x14ac:dyDescent="0.25">
      <c r="B3806" s="32">
        <v>54</v>
      </c>
      <c r="F3806" s="32" t="s">
        <v>116</v>
      </c>
      <c r="J3806" s="32">
        <v>2</v>
      </c>
      <c r="P3806" s="32">
        <v>1600</v>
      </c>
      <c r="R3806" s="32">
        <v>400</v>
      </c>
      <c r="T3806" s="32">
        <v>1200</v>
      </c>
    </row>
    <row r="3807" spans="2:20" ht="12.75" hidden="1" x14ac:dyDescent="0.25">
      <c r="T3807" s="32"/>
    </row>
    <row r="3808" spans="2:20" ht="12.75" hidden="1" x14ac:dyDescent="0.25">
      <c r="B3808" s="32">
        <v>55</v>
      </c>
      <c r="F3808" s="32" t="s">
        <v>115</v>
      </c>
      <c r="J3808" s="32">
        <v>20</v>
      </c>
      <c r="P3808" s="32">
        <v>5800</v>
      </c>
      <c r="R3808" s="32">
        <v>1570</v>
      </c>
      <c r="T3808" s="32">
        <v>4230</v>
      </c>
    </row>
    <row r="3809" spans="2:20" ht="12.75" hidden="1" x14ac:dyDescent="0.25">
      <c r="B3809" s="32">
        <v>56</v>
      </c>
      <c r="F3809" s="32" t="s">
        <v>281</v>
      </c>
      <c r="J3809" s="32">
        <v>1</v>
      </c>
      <c r="P3809" s="32">
        <v>700</v>
      </c>
      <c r="R3809" s="32">
        <v>350</v>
      </c>
      <c r="T3809" s="32">
        <v>350</v>
      </c>
    </row>
    <row r="3810" spans="2:20" ht="12.75" hidden="1" x14ac:dyDescent="0.25">
      <c r="B3810" s="32">
        <v>57</v>
      </c>
      <c r="F3810" s="32" t="s">
        <v>318</v>
      </c>
      <c r="J3810" s="32">
        <v>21</v>
      </c>
      <c r="P3810" s="32">
        <v>1575</v>
      </c>
      <c r="R3810" s="32">
        <v>0</v>
      </c>
      <c r="T3810" s="32">
        <v>1575</v>
      </c>
    </row>
    <row r="3811" spans="2:20" ht="12.75" hidden="1" x14ac:dyDescent="0.25">
      <c r="T3811" s="32"/>
    </row>
    <row r="3812" spans="2:20" ht="12.75" hidden="1" x14ac:dyDescent="0.25">
      <c r="B3812" s="32">
        <v>58</v>
      </c>
      <c r="F3812" s="32" t="s">
        <v>300</v>
      </c>
      <c r="J3812" s="32">
        <v>5</v>
      </c>
      <c r="P3812" s="32">
        <v>1650</v>
      </c>
      <c r="R3812" s="32">
        <v>580</v>
      </c>
      <c r="T3812" s="32">
        <v>1070</v>
      </c>
    </row>
    <row r="3813" spans="2:20" ht="12.75" hidden="1" x14ac:dyDescent="0.25">
      <c r="B3813" s="32">
        <v>59</v>
      </c>
      <c r="F3813" s="32" t="s">
        <v>219</v>
      </c>
      <c r="J3813" s="32">
        <v>3</v>
      </c>
      <c r="P3813" s="32">
        <v>1500</v>
      </c>
      <c r="R3813" s="32">
        <v>450</v>
      </c>
      <c r="T3813" s="32">
        <v>1050</v>
      </c>
    </row>
    <row r="3814" spans="2:20" ht="12.75" hidden="1" x14ac:dyDescent="0.25">
      <c r="B3814" s="32">
        <v>60</v>
      </c>
      <c r="F3814" s="32" t="s">
        <v>181</v>
      </c>
      <c r="J3814" s="32">
        <v>1</v>
      </c>
      <c r="P3814" s="32">
        <v>790</v>
      </c>
      <c r="R3814" s="32">
        <v>120</v>
      </c>
      <c r="T3814" s="32">
        <v>670</v>
      </c>
    </row>
    <row r="3815" spans="2:20" ht="12.75" hidden="1" x14ac:dyDescent="0.25">
      <c r="B3815" s="32">
        <v>61</v>
      </c>
      <c r="F3815" s="32" t="s">
        <v>171</v>
      </c>
      <c r="J3815" s="32">
        <v>1</v>
      </c>
      <c r="P3815" s="32">
        <v>530</v>
      </c>
      <c r="R3815" s="32">
        <v>160</v>
      </c>
      <c r="T3815" s="32">
        <v>370</v>
      </c>
    </row>
    <row r="3816" spans="2:20" ht="12.75" hidden="1" x14ac:dyDescent="0.25">
      <c r="B3816" s="32">
        <v>62</v>
      </c>
      <c r="F3816" s="32" t="s">
        <v>111</v>
      </c>
      <c r="J3816" s="32">
        <v>2</v>
      </c>
      <c r="P3816" s="32">
        <v>860</v>
      </c>
      <c r="R3816" s="32">
        <v>260</v>
      </c>
      <c r="T3816" s="32">
        <v>600</v>
      </c>
    </row>
    <row r="3817" spans="2:20" ht="12.75" hidden="1" x14ac:dyDescent="0.25">
      <c r="B3817" s="32">
        <v>63</v>
      </c>
      <c r="F3817" s="32" t="s">
        <v>109</v>
      </c>
      <c r="J3817" s="32">
        <v>3</v>
      </c>
      <c r="P3817" s="32">
        <v>2340</v>
      </c>
      <c r="R3817" s="32">
        <v>690</v>
      </c>
      <c r="T3817" s="32">
        <v>1650</v>
      </c>
    </row>
    <row r="3818" spans="2:20" ht="12.75" hidden="1" x14ac:dyDescent="0.25">
      <c r="B3818" s="32">
        <v>64</v>
      </c>
      <c r="F3818" s="32" t="s">
        <v>108</v>
      </c>
      <c r="J3818" s="32">
        <v>251</v>
      </c>
      <c r="P3818" s="32">
        <v>25100</v>
      </c>
      <c r="R3818" s="32">
        <v>210</v>
      </c>
      <c r="T3818" s="32">
        <v>24890</v>
      </c>
    </row>
    <row r="3819" spans="2:20" ht="12.75" hidden="1" x14ac:dyDescent="0.25">
      <c r="B3819" s="32">
        <v>65</v>
      </c>
      <c r="F3819" s="32" t="s">
        <v>107</v>
      </c>
      <c r="J3819" s="32">
        <v>56</v>
      </c>
      <c r="P3819" s="32">
        <v>9520</v>
      </c>
      <c r="R3819" s="32">
        <v>2858</v>
      </c>
      <c r="T3819" s="32">
        <v>6662</v>
      </c>
    </row>
    <row r="3820" spans="2:20" ht="12.75" hidden="1" x14ac:dyDescent="0.25">
      <c r="B3820" s="32">
        <v>66</v>
      </c>
      <c r="F3820" s="32" t="s">
        <v>106</v>
      </c>
      <c r="J3820" s="32">
        <v>104</v>
      </c>
      <c r="P3820" s="32">
        <v>10400</v>
      </c>
      <c r="R3820" s="32">
        <v>3120</v>
      </c>
      <c r="T3820" s="32">
        <v>7280</v>
      </c>
    </row>
    <row r="3821" spans="2:20" ht="12.75" hidden="1" x14ac:dyDescent="0.25">
      <c r="B3821" s="32">
        <v>67</v>
      </c>
      <c r="F3821" s="32" t="s">
        <v>105</v>
      </c>
      <c r="J3821" s="32">
        <v>12</v>
      </c>
      <c r="P3821" s="32">
        <v>13800</v>
      </c>
      <c r="R3821" s="32">
        <v>0</v>
      </c>
      <c r="T3821" s="32">
        <v>13800</v>
      </c>
    </row>
    <row r="3822" spans="2:20" ht="12.75" hidden="1" x14ac:dyDescent="0.25">
      <c r="B3822" s="32">
        <v>68</v>
      </c>
      <c r="F3822" s="32" t="s">
        <v>103</v>
      </c>
      <c r="J3822" s="32">
        <v>14</v>
      </c>
      <c r="P3822" s="32">
        <v>4620</v>
      </c>
      <c r="R3822" s="32">
        <v>1720</v>
      </c>
      <c r="T3822" s="32">
        <v>2900</v>
      </c>
    </row>
    <row r="3823" spans="2:20" ht="12.75" hidden="1" x14ac:dyDescent="0.25">
      <c r="B3823" s="32">
        <v>69</v>
      </c>
      <c r="F3823" s="32" t="s">
        <v>213</v>
      </c>
      <c r="J3823" s="32">
        <v>1</v>
      </c>
      <c r="P3823" s="32">
        <v>700</v>
      </c>
      <c r="R3823" s="32">
        <v>350</v>
      </c>
      <c r="T3823" s="32">
        <v>350</v>
      </c>
    </row>
    <row r="3824" spans="2:20" ht="12.75" hidden="1" x14ac:dyDescent="0.25">
      <c r="B3824" s="32">
        <v>70</v>
      </c>
      <c r="F3824" s="32" t="s">
        <v>211</v>
      </c>
      <c r="J3824" s="32">
        <v>2</v>
      </c>
      <c r="P3824" s="32">
        <v>1000</v>
      </c>
      <c r="R3824" s="32">
        <v>300</v>
      </c>
      <c r="T3824" s="32">
        <v>700</v>
      </c>
    </row>
    <row r="3825" spans="2:20" ht="12.75" hidden="1" x14ac:dyDescent="0.25">
      <c r="B3825" s="32">
        <v>71</v>
      </c>
      <c r="F3825" s="32" t="s">
        <v>276</v>
      </c>
      <c r="J3825" s="32">
        <v>2</v>
      </c>
      <c r="P3825" s="32">
        <v>1000</v>
      </c>
      <c r="R3825" s="32">
        <v>300</v>
      </c>
      <c r="T3825" s="32">
        <v>700</v>
      </c>
    </row>
    <row r="3826" spans="2:20" ht="12.75" hidden="1" x14ac:dyDescent="0.25">
      <c r="B3826" s="32">
        <v>72</v>
      </c>
      <c r="F3826" s="32" t="s">
        <v>102</v>
      </c>
      <c r="J3826" s="32">
        <v>1</v>
      </c>
      <c r="P3826" s="32">
        <v>880</v>
      </c>
      <c r="R3826" s="32">
        <v>130</v>
      </c>
      <c r="T3826" s="32">
        <v>750</v>
      </c>
    </row>
    <row r="3827" spans="2:20" ht="12.75" hidden="1" x14ac:dyDescent="0.25">
      <c r="B3827" s="32">
        <v>73</v>
      </c>
      <c r="F3827" s="32" t="s">
        <v>254</v>
      </c>
      <c r="J3827" s="32">
        <v>2</v>
      </c>
      <c r="P3827" s="32">
        <v>580</v>
      </c>
      <c r="R3827" s="32">
        <v>160</v>
      </c>
      <c r="T3827" s="32">
        <v>420</v>
      </c>
    </row>
    <row r="3828" spans="2:20" ht="12.75" hidden="1" x14ac:dyDescent="0.25">
      <c r="B3828" s="32">
        <v>74</v>
      </c>
      <c r="F3828" s="32" t="s">
        <v>179</v>
      </c>
      <c r="J3828" s="32">
        <v>1</v>
      </c>
      <c r="P3828" s="32">
        <v>880</v>
      </c>
      <c r="R3828" s="32">
        <v>130</v>
      </c>
      <c r="T3828" s="32">
        <v>750</v>
      </c>
    </row>
    <row r="3829" spans="2:20" ht="12.75" hidden="1" x14ac:dyDescent="0.25">
      <c r="B3829" s="32">
        <v>75</v>
      </c>
      <c r="F3829" s="32" t="s">
        <v>100</v>
      </c>
      <c r="J3829" s="32">
        <v>5</v>
      </c>
      <c r="P3829" s="32">
        <v>900</v>
      </c>
      <c r="R3829" s="32">
        <v>250</v>
      </c>
      <c r="T3829" s="32">
        <v>650</v>
      </c>
    </row>
    <row r="3830" spans="2:20" ht="12.75" hidden="1" x14ac:dyDescent="0.25">
      <c r="B3830" s="32">
        <v>76</v>
      </c>
      <c r="F3830" s="32" t="s">
        <v>178</v>
      </c>
      <c r="J3830" s="32">
        <v>1</v>
      </c>
      <c r="P3830" s="32">
        <v>1650</v>
      </c>
      <c r="R3830" s="32">
        <v>0</v>
      </c>
      <c r="T3830" s="32">
        <v>1650</v>
      </c>
    </row>
    <row r="3831" spans="2:20" ht="12.75" hidden="1" x14ac:dyDescent="0.25">
      <c r="B3831" s="32">
        <v>77</v>
      </c>
      <c r="F3831" s="32" t="s">
        <v>97</v>
      </c>
      <c r="J3831" s="32">
        <v>3</v>
      </c>
      <c r="P3831" s="32">
        <v>4770</v>
      </c>
      <c r="R3831" s="32">
        <v>480</v>
      </c>
      <c r="T3831" s="32">
        <v>4290</v>
      </c>
    </row>
    <row r="3832" spans="2:20" ht="12.75" hidden="1" x14ac:dyDescent="0.25">
      <c r="B3832" s="32">
        <v>78</v>
      </c>
      <c r="F3832" s="32" t="s">
        <v>93</v>
      </c>
      <c r="J3832" s="32">
        <v>5</v>
      </c>
      <c r="P3832" s="32">
        <v>2950</v>
      </c>
      <c r="R3832" s="32">
        <v>360</v>
      </c>
      <c r="T3832" s="32">
        <v>2590</v>
      </c>
    </row>
    <row r="3833" spans="2:20" ht="12.75" hidden="1" x14ac:dyDescent="0.25">
      <c r="B3833" s="32">
        <v>79</v>
      </c>
      <c r="F3833" s="32" t="s">
        <v>92</v>
      </c>
      <c r="J3833" s="32">
        <v>35</v>
      </c>
      <c r="P3833" s="32">
        <v>18080</v>
      </c>
      <c r="R3833" s="32">
        <v>4960</v>
      </c>
      <c r="T3833" s="32">
        <v>13120</v>
      </c>
    </row>
    <row r="3834" spans="2:20" ht="12.75" hidden="1" x14ac:dyDescent="0.25">
      <c r="B3834" s="32">
        <v>80</v>
      </c>
      <c r="F3834" s="32" t="s">
        <v>175</v>
      </c>
      <c r="J3834" s="32">
        <v>4</v>
      </c>
      <c r="P3834" s="32">
        <v>2400</v>
      </c>
      <c r="R3834" s="32">
        <v>660</v>
      </c>
      <c r="T3834" s="32">
        <v>1740</v>
      </c>
    </row>
    <row r="3835" spans="2:20" ht="12.75" hidden="1" x14ac:dyDescent="0.25">
      <c r="B3835" s="32">
        <v>81</v>
      </c>
      <c r="F3835" s="32" t="s">
        <v>173</v>
      </c>
      <c r="J3835" s="32">
        <v>4</v>
      </c>
      <c r="P3835" s="32">
        <v>4000</v>
      </c>
      <c r="R3835" s="32">
        <v>1200</v>
      </c>
      <c r="T3835" s="32">
        <v>2800</v>
      </c>
    </row>
    <row r="3836" spans="2:20" ht="12.75" hidden="1" x14ac:dyDescent="0.25">
      <c r="B3836" s="32">
        <v>82</v>
      </c>
      <c r="F3836" s="32" t="s">
        <v>91</v>
      </c>
      <c r="J3836" s="32">
        <v>6</v>
      </c>
      <c r="P3836" s="32">
        <v>1500</v>
      </c>
      <c r="R3836" s="32">
        <v>350</v>
      </c>
      <c r="T3836" s="32">
        <v>1150</v>
      </c>
    </row>
    <row r="3837" spans="2:20" ht="12.75" hidden="1" x14ac:dyDescent="0.25">
      <c r="B3837" s="32">
        <v>83</v>
      </c>
      <c r="F3837" s="32" t="s">
        <v>90</v>
      </c>
      <c r="J3837" s="32">
        <v>23</v>
      </c>
      <c r="P3837" s="32">
        <v>6670</v>
      </c>
      <c r="R3837" s="32">
        <v>1200</v>
      </c>
      <c r="T3837" s="32">
        <v>5470</v>
      </c>
    </row>
    <row r="3838" spans="2:20" ht="12.75" hidden="1" x14ac:dyDescent="0.25">
      <c r="B3838" s="32">
        <v>84</v>
      </c>
      <c r="F3838" s="32" t="s">
        <v>89</v>
      </c>
      <c r="J3838" s="32">
        <v>9</v>
      </c>
      <c r="P3838" s="32">
        <v>7920</v>
      </c>
      <c r="R3838" s="32">
        <v>1040</v>
      </c>
      <c r="T3838" s="32">
        <v>6880</v>
      </c>
    </row>
    <row r="3839" spans="2:20" ht="12.75" hidden="1" x14ac:dyDescent="0.25">
      <c r="B3839" s="32">
        <v>85</v>
      </c>
      <c r="F3839" s="32" t="s">
        <v>88</v>
      </c>
      <c r="J3839" s="32">
        <v>134</v>
      </c>
      <c r="P3839" s="32">
        <v>24120</v>
      </c>
      <c r="R3839" s="32">
        <v>7575</v>
      </c>
      <c r="T3839" s="32">
        <v>16545</v>
      </c>
    </row>
    <row r="3840" spans="2:20" ht="12.75" hidden="1" x14ac:dyDescent="0.25">
      <c r="B3840" s="32">
        <v>86</v>
      </c>
      <c r="F3840" s="32" t="s">
        <v>87</v>
      </c>
      <c r="J3840" s="32">
        <v>3</v>
      </c>
      <c r="P3840" s="32">
        <v>870</v>
      </c>
      <c r="R3840" s="32">
        <v>240</v>
      </c>
      <c r="T3840" s="32">
        <v>630</v>
      </c>
    </row>
    <row r="3841" spans="1:20" ht="12.75" hidden="1" x14ac:dyDescent="0.25">
      <c r="B3841" s="32">
        <v>87</v>
      </c>
      <c r="F3841" s="32" t="s">
        <v>85</v>
      </c>
      <c r="J3841" s="32">
        <v>9</v>
      </c>
      <c r="P3841" s="32">
        <v>18720</v>
      </c>
      <c r="R3841" s="32">
        <v>2480</v>
      </c>
      <c r="T3841" s="32">
        <v>16240</v>
      </c>
    </row>
    <row r="3842" spans="1:20" ht="12.75" hidden="1" x14ac:dyDescent="0.25">
      <c r="B3842" s="32">
        <v>88</v>
      </c>
      <c r="F3842" s="32" t="s">
        <v>84</v>
      </c>
      <c r="J3842" s="32">
        <v>11</v>
      </c>
      <c r="P3842" s="32">
        <v>6490</v>
      </c>
      <c r="R3842" s="32">
        <v>1800</v>
      </c>
      <c r="T3842" s="32">
        <v>4690</v>
      </c>
    </row>
    <row r="3843" spans="1:20" ht="12.75" hidden="1" x14ac:dyDescent="0.25">
      <c r="B3843" s="32">
        <v>89</v>
      </c>
      <c r="F3843" s="32" t="s">
        <v>273</v>
      </c>
      <c r="J3843" s="32">
        <v>1</v>
      </c>
      <c r="P3843" s="32">
        <v>500</v>
      </c>
      <c r="R3843" s="32">
        <v>150</v>
      </c>
      <c r="T3843" s="32">
        <v>350</v>
      </c>
    </row>
    <row r="3844" spans="1:20" ht="12.75" hidden="1" x14ac:dyDescent="0.25">
      <c r="B3844" s="32">
        <v>90</v>
      </c>
      <c r="F3844" s="32" t="s">
        <v>271</v>
      </c>
      <c r="J3844" s="32">
        <v>1</v>
      </c>
      <c r="P3844" s="32">
        <v>500</v>
      </c>
      <c r="R3844" s="32">
        <v>150</v>
      </c>
      <c r="T3844" s="32">
        <v>350</v>
      </c>
    </row>
    <row r="3845" spans="1:20" ht="12.75" hidden="1" x14ac:dyDescent="0.25">
      <c r="B3845" s="32">
        <v>91</v>
      </c>
      <c r="F3845" s="32" t="s">
        <v>81</v>
      </c>
      <c r="J3845" s="32">
        <v>2</v>
      </c>
      <c r="P3845" s="32">
        <v>580</v>
      </c>
      <c r="R3845" s="32">
        <v>160</v>
      </c>
      <c r="T3845" s="32">
        <v>420</v>
      </c>
    </row>
    <row r="3846" spans="1:20" ht="12.75" hidden="1" x14ac:dyDescent="0.25">
      <c r="A3846" s="32" t="s">
        <v>317</v>
      </c>
      <c r="K3846" s="32">
        <v>1788</v>
      </c>
      <c r="P3846" s="32">
        <v>1878130</v>
      </c>
      <c r="R3846" s="32">
        <v>1724970</v>
      </c>
      <c r="T3846" s="32">
        <v>153160</v>
      </c>
    </row>
    <row r="3847" spans="1:20" ht="12.75" hidden="1" x14ac:dyDescent="0.25">
      <c r="B3847" s="32">
        <v>1</v>
      </c>
      <c r="F3847" s="32" t="s">
        <v>316</v>
      </c>
      <c r="J3847" s="32">
        <v>1</v>
      </c>
      <c r="P3847" s="32">
        <v>390</v>
      </c>
      <c r="R3847" s="32">
        <v>120</v>
      </c>
      <c r="T3847" s="32">
        <v>270</v>
      </c>
    </row>
    <row r="3848" spans="1:20" ht="12.75" hidden="1" x14ac:dyDescent="0.25">
      <c r="B3848" s="32">
        <v>2</v>
      </c>
      <c r="F3848" s="32" t="s">
        <v>78</v>
      </c>
      <c r="J3848" s="32">
        <v>73</v>
      </c>
      <c r="P3848" s="32">
        <v>21170</v>
      </c>
      <c r="R3848" s="32">
        <v>21170</v>
      </c>
      <c r="T3848" s="32">
        <v>0</v>
      </c>
    </row>
    <row r="3849" spans="1:20" ht="12.75" hidden="1" x14ac:dyDescent="0.25">
      <c r="B3849" s="32">
        <v>3</v>
      </c>
      <c r="F3849" s="32" t="s">
        <v>162</v>
      </c>
      <c r="J3849" s="32">
        <v>6</v>
      </c>
      <c r="P3849" s="32">
        <v>2580</v>
      </c>
      <c r="R3849" s="32">
        <v>1014</v>
      </c>
      <c r="T3849" s="32">
        <v>1566</v>
      </c>
    </row>
    <row r="3850" spans="1:20" ht="12.75" hidden="1" x14ac:dyDescent="0.25">
      <c r="B3850" s="32">
        <v>4</v>
      </c>
      <c r="F3850" s="32" t="s">
        <v>160</v>
      </c>
      <c r="J3850" s="32">
        <v>13</v>
      </c>
      <c r="P3850" s="32">
        <v>3770</v>
      </c>
      <c r="R3850" s="32">
        <v>1040</v>
      </c>
      <c r="T3850" s="32">
        <v>2730</v>
      </c>
    </row>
    <row r="3851" spans="1:20" ht="12.75" hidden="1" x14ac:dyDescent="0.25">
      <c r="B3851" s="32">
        <v>5</v>
      </c>
      <c r="F3851" s="32" t="s">
        <v>158</v>
      </c>
      <c r="J3851" s="32">
        <v>238</v>
      </c>
      <c r="P3851" s="32">
        <v>130900</v>
      </c>
      <c r="R3851" s="32">
        <v>45908</v>
      </c>
      <c r="T3851" s="32">
        <v>84992</v>
      </c>
    </row>
    <row r="3852" spans="1:20" ht="12.75" hidden="1" x14ac:dyDescent="0.25">
      <c r="B3852" s="32">
        <v>6</v>
      </c>
      <c r="F3852" s="32" t="s">
        <v>157</v>
      </c>
      <c r="J3852" s="32">
        <v>11</v>
      </c>
      <c r="P3852" s="32">
        <v>5390</v>
      </c>
      <c r="R3852" s="32">
        <v>2300</v>
      </c>
      <c r="T3852" s="32">
        <v>3090</v>
      </c>
    </row>
    <row r="3853" spans="1:20" ht="12.75" hidden="1" x14ac:dyDescent="0.25">
      <c r="B3853" s="32">
        <v>7</v>
      </c>
      <c r="F3853" s="32" t="s">
        <v>77</v>
      </c>
      <c r="J3853" s="32">
        <v>640</v>
      </c>
      <c r="P3853" s="32">
        <v>257900</v>
      </c>
      <c r="R3853" s="32">
        <v>257900</v>
      </c>
      <c r="T3853" s="32">
        <v>0</v>
      </c>
    </row>
    <row r="3854" spans="1:20" ht="12.75" hidden="1" x14ac:dyDescent="0.25">
      <c r="B3854" s="32">
        <v>8</v>
      </c>
      <c r="F3854" s="32" t="s">
        <v>76</v>
      </c>
      <c r="J3854" s="32">
        <v>1</v>
      </c>
      <c r="P3854" s="32">
        <v>600</v>
      </c>
      <c r="R3854" s="32">
        <v>600</v>
      </c>
      <c r="T3854" s="32">
        <v>0</v>
      </c>
    </row>
    <row r="3855" spans="1:20" ht="12.75" hidden="1" x14ac:dyDescent="0.25">
      <c r="B3855" s="32">
        <v>9</v>
      </c>
      <c r="F3855" s="32" t="s">
        <v>156</v>
      </c>
      <c r="J3855" s="32">
        <v>2</v>
      </c>
      <c r="P3855" s="32">
        <v>380</v>
      </c>
      <c r="R3855" s="32">
        <v>150</v>
      </c>
      <c r="T3855" s="32">
        <v>230</v>
      </c>
    </row>
    <row r="3856" spans="1:20" ht="12.75" hidden="1" x14ac:dyDescent="0.25">
      <c r="B3856" s="32">
        <v>10</v>
      </c>
      <c r="F3856" s="32" t="s">
        <v>155</v>
      </c>
      <c r="J3856" s="32">
        <v>53</v>
      </c>
      <c r="P3856" s="32">
        <v>13250</v>
      </c>
      <c r="R3856" s="32">
        <v>6697</v>
      </c>
      <c r="T3856" s="32">
        <v>6553</v>
      </c>
    </row>
    <row r="3857" spans="2:20" ht="12.75" hidden="1" x14ac:dyDescent="0.25">
      <c r="B3857" s="32">
        <v>11</v>
      </c>
      <c r="F3857" s="32" t="s">
        <v>152</v>
      </c>
      <c r="J3857" s="32">
        <v>1</v>
      </c>
      <c r="P3857" s="32">
        <v>590</v>
      </c>
      <c r="R3857" s="32">
        <v>210</v>
      </c>
      <c r="T3857" s="32">
        <v>380</v>
      </c>
    </row>
    <row r="3858" spans="2:20" ht="12.75" hidden="1" x14ac:dyDescent="0.25">
      <c r="B3858" s="32">
        <v>12</v>
      </c>
      <c r="F3858" s="32" t="s">
        <v>151</v>
      </c>
      <c r="J3858" s="32">
        <v>28</v>
      </c>
      <c r="P3858" s="32">
        <v>6440</v>
      </c>
      <c r="R3858" s="32">
        <v>2190</v>
      </c>
      <c r="T3858" s="32">
        <v>4250</v>
      </c>
    </row>
    <row r="3859" spans="2:20" ht="12.75" hidden="1" x14ac:dyDescent="0.25">
      <c r="B3859" s="32">
        <v>13</v>
      </c>
      <c r="F3859" s="32" t="s">
        <v>234</v>
      </c>
      <c r="J3859" s="32">
        <v>1</v>
      </c>
      <c r="P3859" s="32">
        <v>800</v>
      </c>
      <c r="R3859" s="32">
        <v>450</v>
      </c>
      <c r="T3859" s="32">
        <v>350</v>
      </c>
    </row>
    <row r="3860" spans="2:20" ht="12.75" hidden="1" x14ac:dyDescent="0.25">
      <c r="B3860" s="32">
        <v>14</v>
      </c>
      <c r="F3860" s="32" t="s">
        <v>193</v>
      </c>
      <c r="J3860" s="32">
        <v>1</v>
      </c>
      <c r="P3860" s="32">
        <v>890</v>
      </c>
      <c r="R3860" s="32">
        <v>130</v>
      </c>
      <c r="T3860" s="32">
        <v>760</v>
      </c>
    </row>
    <row r="3861" spans="2:20" ht="12.75" hidden="1" x14ac:dyDescent="0.25">
      <c r="B3861" s="32">
        <v>15</v>
      </c>
      <c r="F3861" s="32" t="s">
        <v>142</v>
      </c>
      <c r="J3861" s="32">
        <v>1</v>
      </c>
      <c r="P3861" s="32">
        <v>350</v>
      </c>
      <c r="R3861" s="32">
        <v>150</v>
      </c>
      <c r="T3861" s="32">
        <v>200</v>
      </c>
    </row>
    <row r="3862" spans="2:20" ht="12.75" hidden="1" x14ac:dyDescent="0.25">
      <c r="B3862" s="32">
        <v>16</v>
      </c>
      <c r="F3862" s="32" t="s">
        <v>75</v>
      </c>
      <c r="J3862" s="32">
        <v>537</v>
      </c>
      <c r="P3862" s="32">
        <v>1342500</v>
      </c>
      <c r="R3862" s="32">
        <v>1342500</v>
      </c>
      <c r="T3862" s="32">
        <v>0</v>
      </c>
    </row>
    <row r="3863" spans="2:20" ht="12.75" hidden="1" x14ac:dyDescent="0.25">
      <c r="B3863" s="32">
        <v>17</v>
      </c>
      <c r="F3863" s="32" t="s">
        <v>74</v>
      </c>
      <c r="J3863" s="32">
        <v>4</v>
      </c>
      <c r="P3863" s="32">
        <v>3400</v>
      </c>
      <c r="R3863" s="32">
        <v>3400</v>
      </c>
      <c r="T3863" s="32">
        <v>0</v>
      </c>
    </row>
    <row r="3864" spans="2:20" ht="12.75" hidden="1" x14ac:dyDescent="0.25">
      <c r="B3864" s="32">
        <v>18</v>
      </c>
      <c r="F3864" s="32" t="s">
        <v>135</v>
      </c>
      <c r="J3864" s="32">
        <v>1</v>
      </c>
      <c r="P3864" s="32">
        <v>950</v>
      </c>
      <c r="R3864" s="32">
        <v>280</v>
      </c>
      <c r="T3864" s="32">
        <v>670</v>
      </c>
    </row>
    <row r="3865" spans="2:20" ht="12.75" hidden="1" x14ac:dyDescent="0.25">
      <c r="B3865" s="32">
        <v>19</v>
      </c>
      <c r="F3865" s="32" t="s">
        <v>315</v>
      </c>
      <c r="J3865" s="32">
        <v>1</v>
      </c>
      <c r="P3865" s="32">
        <v>500</v>
      </c>
      <c r="R3865" s="32">
        <v>130</v>
      </c>
      <c r="T3865" s="32">
        <v>370</v>
      </c>
    </row>
    <row r="3866" spans="2:20" ht="12.75" hidden="1" x14ac:dyDescent="0.25">
      <c r="B3866" s="32">
        <v>20</v>
      </c>
      <c r="F3866" s="32" t="s">
        <v>132</v>
      </c>
      <c r="J3866" s="32">
        <v>1</v>
      </c>
      <c r="P3866" s="32">
        <v>1240</v>
      </c>
      <c r="R3866" s="32">
        <v>370</v>
      </c>
      <c r="T3866" s="32">
        <v>870</v>
      </c>
    </row>
    <row r="3867" spans="2:20" ht="12.75" hidden="1" x14ac:dyDescent="0.25">
      <c r="B3867" s="32">
        <v>21</v>
      </c>
      <c r="F3867" s="32" t="s">
        <v>127</v>
      </c>
      <c r="J3867" s="32">
        <v>7</v>
      </c>
      <c r="P3867" s="32">
        <v>2100</v>
      </c>
      <c r="R3867" s="32">
        <v>669</v>
      </c>
      <c r="T3867" s="32">
        <v>1431</v>
      </c>
    </row>
    <row r="3868" spans="2:20" ht="12.75" hidden="1" x14ac:dyDescent="0.25">
      <c r="B3868" s="32">
        <v>22</v>
      </c>
      <c r="F3868" s="32" t="s">
        <v>126</v>
      </c>
      <c r="J3868" s="32">
        <v>6</v>
      </c>
      <c r="P3868" s="32">
        <v>1200</v>
      </c>
      <c r="R3868" s="32">
        <v>387</v>
      </c>
      <c r="T3868" s="32">
        <v>813</v>
      </c>
    </row>
    <row r="3869" spans="2:20" ht="12.75" hidden="1" x14ac:dyDescent="0.25">
      <c r="B3869" s="32">
        <v>23</v>
      </c>
      <c r="F3869" s="32" t="s">
        <v>226</v>
      </c>
      <c r="J3869" s="32">
        <v>1</v>
      </c>
      <c r="P3869" s="32">
        <v>500</v>
      </c>
      <c r="R3869" s="32">
        <v>150</v>
      </c>
      <c r="T3869" s="32">
        <v>350</v>
      </c>
    </row>
    <row r="3870" spans="2:20" ht="12.75" hidden="1" x14ac:dyDescent="0.25">
      <c r="B3870" s="32">
        <v>24</v>
      </c>
      <c r="F3870" s="32" t="s">
        <v>182</v>
      </c>
      <c r="J3870" s="32">
        <v>1</v>
      </c>
      <c r="P3870" s="32">
        <v>790</v>
      </c>
      <c r="R3870" s="32">
        <v>120</v>
      </c>
      <c r="T3870" s="32">
        <v>670</v>
      </c>
    </row>
    <row r="3871" spans="2:20" ht="12.75" hidden="1" x14ac:dyDescent="0.25">
      <c r="B3871" s="32">
        <v>25</v>
      </c>
      <c r="F3871" s="32" t="s">
        <v>118</v>
      </c>
      <c r="J3871" s="32">
        <v>53</v>
      </c>
      <c r="P3871" s="32">
        <v>52470</v>
      </c>
      <c r="R3871" s="32">
        <v>26495</v>
      </c>
      <c r="T3871" s="32">
        <v>25975</v>
      </c>
    </row>
    <row r="3872" spans="2:20" ht="12.75" hidden="1" x14ac:dyDescent="0.25">
      <c r="B3872" s="32">
        <v>26</v>
      </c>
      <c r="F3872" s="32" t="s">
        <v>181</v>
      </c>
      <c r="J3872" s="32">
        <v>1</v>
      </c>
      <c r="P3872" s="32">
        <v>790</v>
      </c>
      <c r="R3872" s="32">
        <v>120</v>
      </c>
      <c r="T3872" s="32">
        <v>670</v>
      </c>
    </row>
    <row r="3873" spans="1:20" ht="12.75" hidden="1" x14ac:dyDescent="0.25">
      <c r="B3873" s="32">
        <v>27</v>
      </c>
      <c r="F3873" s="32" t="s">
        <v>109</v>
      </c>
      <c r="J3873" s="32">
        <v>1</v>
      </c>
      <c r="P3873" s="32">
        <v>780</v>
      </c>
      <c r="R3873" s="32">
        <v>230</v>
      </c>
      <c r="T3873" s="32">
        <v>550</v>
      </c>
    </row>
    <row r="3874" spans="1:20" ht="12.75" hidden="1" x14ac:dyDescent="0.25">
      <c r="B3874" s="32">
        <v>28</v>
      </c>
      <c r="F3874" s="32" t="s">
        <v>108</v>
      </c>
      <c r="J3874" s="32">
        <v>24</v>
      </c>
      <c r="P3874" s="32">
        <v>2400</v>
      </c>
      <c r="R3874" s="32">
        <v>720</v>
      </c>
      <c r="T3874" s="32">
        <v>1680</v>
      </c>
    </row>
    <row r="3875" spans="1:20" ht="12.75" hidden="1" x14ac:dyDescent="0.25">
      <c r="B3875" s="32">
        <v>29</v>
      </c>
      <c r="F3875" s="32" t="s">
        <v>107</v>
      </c>
      <c r="J3875" s="32">
        <v>5</v>
      </c>
      <c r="P3875" s="32">
        <v>850</v>
      </c>
      <c r="R3875" s="32">
        <v>297</v>
      </c>
      <c r="T3875" s="32">
        <v>553</v>
      </c>
    </row>
    <row r="3876" spans="1:20" ht="12.75" hidden="1" x14ac:dyDescent="0.25">
      <c r="B3876" s="32">
        <v>30</v>
      </c>
      <c r="F3876" s="32" t="s">
        <v>103</v>
      </c>
      <c r="J3876" s="32">
        <v>1</v>
      </c>
      <c r="P3876" s="32">
        <v>330</v>
      </c>
      <c r="R3876" s="32">
        <v>160</v>
      </c>
      <c r="T3876" s="32">
        <v>170</v>
      </c>
    </row>
    <row r="3877" spans="1:20" ht="12.75" hidden="1" x14ac:dyDescent="0.25">
      <c r="B3877" s="32">
        <v>31</v>
      </c>
      <c r="F3877" s="32" t="s">
        <v>276</v>
      </c>
      <c r="J3877" s="32">
        <v>1</v>
      </c>
      <c r="P3877" s="32">
        <v>500</v>
      </c>
      <c r="R3877" s="32">
        <v>150</v>
      </c>
      <c r="T3877" s="32">
        <v>350</v>
      </c>
    </row>
    <row r="3878" spans="1:20" ht="12.75" hidden="1" x14ac:dyDescent="0.25">
      <c r="B3878" s="32">
        <v>32</v>
      </c>
      <c r="F3878" s="32" t="s">
        <v>95</v>
      </c>
      <c r="J3878" s="32">
        <v>2</v>
      </c>
      <c r="P3878" s="32">
        <v>580</v>
      </c>
      <c r="R3878" s="32">
        <v>160</v>
      </c>
      <c r="T3878" s="32">
        <v>420</v>
      </c>
    </row>
    <row r="3879" spans="1:20" ht="12.75" hidden="1" x14ac:dyDescent="0.25">
      <c r="B3879" s="32">
        <v>33</v>
      </c>
      <c r="F3879" s="32" t="s">
        <v>92</v>
      </c>
      <c r="J3879" s="32">
        <v>2</v>
      </c>
      <c r="P3879" s="32">
        <v>800</v>
      </c>
      <c r="R3879" s="32">
        <v>240</v>
      </c>
      <c r="T3879" s="32">
        <v>560</v>
      </c>
    </row>
    <row r="3880" spans="1:20" ht="12.75" hidden="1" x14ac:dyDescent="0.25">
      <c r="B3880" s="32">
        <v>34</v>
      </c>
      <c r="F3880" s="32" t="s">
        <v>91</v>
      </c>
      <c r="J3880" s="32">
        <v>53</v>
      </c>
      <c r="P3880" s="32">
        <v>13250</v>
      </c>
      <c r="R3880" s="32">
        <v>6632</v>
      </c>
      <c r="T3880" s="32">
        <v>6618</v>
      </c>
    </row>
    <row r="3881" spans="1:20" ht="12.75" hidden="1" x14ac:dyDescent="0.25">
      <c r="B3881" s="32">
        <v>35</v>
      </c>
      <c r="F3881" s="32" t="s">
        <v>90</v>
      </c>
      <c r="J3881" s="32">
        <v>8</v>
      </c>
      <c r="P3881" s="32">
        <v>2320</v>
      </c>
      <c r="R3881" s="32">
        <v>640</v>
      </c>
      <c r="T3881" s="32">
        <v>1680</v>
      </c>
    </row>
    <row r="3882" spans="1:20" ht="12.75" hidden="1" x14ac:dyDescent="0.25">
      <c r="B3882" s="32">
        <v>36</v>
      </c>
      <c r="F3882" s="32" t="s">
        <v>88</v>
      </c>
      <c r="J3882" s="32">
        <v>4</v>
      </c>
      <c r="P3882" s="32">
        <v>720</v>
      </c>
      <c r="R3882" s="32">
        <v>271</v>
      </c>
      <c r="T3882" s="32">
        <v>449</v>
      </c>
    </row>
    <row r="3883" spans="1:20" ht="12.75" hidden="1" x14ac:dyDescent="0.25">
      <c r="B3883" s="32">
        <v>37</v>
      </c>
      <c r="F3883" s="32" t="s">
        <v>85</v>
      </c>
      <c r="J3883" s="32">
        <v>1</v>
      </c>
      <c r="P3883" s="32">
        <v>2080</v>
      </c>
      <c r="R3883" s="32">
        <v>310</v>
      </c>
      <c r="T3883" s="32">
        <v>1770</v>
      </c>
    </row>
    <row r="3884" spans="1:20" ht="12.75" hidden="1" x14ac:dyDescent="0.25">
      <c r="B3884" s="32">
        <v>38</v>
      </c>
      <c r="F3884" s="32" t="s">
        <v>84</v>
      </c>
      <c r="J3884" s="32">
        <v>2</v>
      </c>
      <c r="P3884" s="32">
        <v>1180</v>
      </c>
      <c r="R3884" s="32">
        <v>360</v>
      </c>
      <c r="T3884" s="32">
        <v>820</v>
      </c>
    </row>
    <row r="3885" spans="1:20" ht="12.75" hidden="1" x14ac:dyDescent="0.25">
      <c r="B3885" s="32">
        <v>39</v>
      </c>
      <c r="F3885" s="32" t="s">
        <v>271</v>
      </c>
      <c r="J3885" s="32">
        <v>1</v>
      </c>
      <c r="P3885" s="32">
        <v>500</v>
      </c>
      <c r="R3885" s="32">
        <v>150</v>
      </c>
      <c r="T3885" s="32">
        <v>350</v>
      </c>
    </row>
    <row r="3886" spans="1:20" ht="12.75" hidden="1" x14ac:dyDescent="0.25">
      <c r="A3886" s="32" t="s">
        <v>314</v>
      </c>
      <c r="K3886" s="32">
        <v>2945</v>
      </c>
      <c r="P3886" s="32">
        <v>3375460</v>
      </c>
      <c r="R3886" s="32">
        <v>3065545</v>
      </c>
      <c r="T3886" s="32">
        <v>309915</v>
      </c>
    </row>
    <row r="3887" spans="1:20" ht="12.75" hidden="1" x14ac:dyDescent="0.25">
      <c r="B3887" s="32">
        <v>1</v>
      </c>
      <c r="F3887" s="32" t="s">
        <v>78</v>
      </c>
      <c r="J3887" s="32">
        <v>93</v>
      </c>
      <c r="P3887" s="32">
        <v>26970</v>
      </c>
      <c r="R3887" s="32">
        <v>26970</v>
      </c>
      <c r="T3887" s="32">
        <v>0</v>
      </c>
    </row>
    <row r="3888" spans="1:20" ht="12.75" hidden="1" x14ac:dyDescent="0.25">
      <c r="B3888" s="32">
        <v>2</v>
      </c>
      <c r="F3888" s="32" t="s">
        <v>162</v>
      </c>
      <c r="J3888" s="32">
        <v>9</v>
      </c>
      <c r="P3888" s="32">
        <v>3870</v>
      </c>
      <c r="R3888" s="32">
        <v>1758</v>
      </c>
      <c r="T3888" s="32">
        <v>2112</v>
      </c>
    </row>
    <row r="3889" spans="2:20" ht="12.75" hidden="1" x14ac:dyDescent="0.25">
      <c r="B3889" s="32">
        <v>3</v>
      </c>
      <c r="F3889" s="32" t="s">
        <v>160</v>
      </c>
      <c r="J3889" s="32">
        <v>2</v>
      </c>
      <c r="P3889" s="32">
        <v>580</v>
      </c>
      <c r="R3889" s="32">
        <v>160</v>
      </c>
      <c r="T3889" s="32">
        <v>420</v>
      </c>
    </row>
    <row r="3890" spans="2:20" ht="12.75" hidden="1" x14ac:dyDescent="0.25">
      <c r="B3890" s="32">
        <v>4</v>
      </c>
      <c r="F3890" s="32" t="s">
        <v>159</v>
      </c>
      <c r="J3890" s="32">
        <v>94</v>
      </c>
      <c r="P3890" s="32">
        <v>0</v>
      </c>
      <c r="R3890" s="32">
        <v>0</v>
      </c>
      <c r="T3890" s="32">
        <v>0</v>
      </c>
    </row>
    <row r="3891" spans="2:20" ht="12.75" hidden="1" x14ac:dyDescent="0.25">
      <c r="B3891" s="32">
        <v>5</v>
      </c>
      <c r="F3891" s="32" t="s">
        <v>266</v>
      </c>
      <c r="J3891" s="32">
        <v>1</v>
      </c>
      <c r="P3891" s="32">
        <v>1350</v>
      </c>
      <c r="R3891" s="32">
        <v>400</v>
      </c>
      <c r="T3891" s="32">
        <v>950</v>
      </c>
    </row>
    <row r="3892" spans="2:20" ht="12.75" hidden="1" x14ac:dyDescent="0.25">
      <c r="B3892" s="32">
        <v>6</v>
      </c>
      <c r="F3892" s="32" t="s">
        <v>158</v>
      </c>
      <c r="J3892" s="32">
        <v>421</v>
      </c>
      <c r="P3892" s="32">
        <v>231550</v>
      </c>
      <c r="R3892" s="32">
        <v>59650</v>
      </c>
      <c r="T3892" s="32">
        <v>171900</v>
      </c>
    </row>
    <row r="3893" spans="2:20" ht="12.75" hidden="1" x14ac:dyDescent="0.25">
      <c r="B3893" s="32">
        <v>7</v>
      </c>
      <c r="F3893" s="32" t="s">
        <v>157</v>
      </c>
      <c r="J3893" s="32">
        <v>33</v>
      </c>
      <c r="P3893" s="32">
        <v>16170</v>
      </c>
      <c r="R3893" s="32">
        <v>7087</v>
      </c>
      <c r="T3893" s="32">
        <v>9083</v>
      </c>
    </row>
    <row r="3894" spans="2:20" ht="12.75" hidden="1" x14ac:dyDescent="0.25">
      <c r="B3894" s="32">
        <v>8</v>
      </c>
      <c r="F3894" s="32" t="s">
        <v>196</v>
      </c>
      <c r="J3894" s="32">
        <v>1</v>
      </c>
      <c r="P3894" s="32">
        <v>700</v>
      </c>
      <c r="R3894" s="32">
        <v>350</v>
      </c>
      <c r="T3894" s="32">
        <v>350</v>
      </c>
    </row>
    <row r="3895" spans="2:20" ht="12.75" hidden="1" x14ac:dyDescent="0.25">
      <c r="B3895" s="32">
        <v>9</v>
      </c>
      <c r="F3895" s="32" t="s">
        <v>77</v>
      </c>
      <c r="J3895" s="32">
        <v>775</v>
      </c>
      <c r="P3895" s="32">
        <v>310000</v>
      </c>
      <c r="R3895" s="32">
        <v>310000</v>
      </c>
      <c r="T3895" s="32">
        <v>0</v>
      </c>
    </row>
    <row r="3896" spans="2:20" ht="12.75" hidden="1" x14ac:dyDescent="0.25">
      <c r="B3896" s="32">
        <v>10</v>
      </c>
      <c r="F3896" s="32" t="s">
        <v>242</v>
      </c>
      <c r="J3896" s="32">
        <v>2</v>
      </c>
      <c r="P3896" s="32">
        <v>1000</v>
      </c>
      <c r="R3896" s="32">
        <v>1000</v>
      </c>
      <c r="T3896" s="32">
        <v>0</v>
      </c>
    </row>
    <row r="3897" spans="2:20" ht="12.75" hidden="1" x14ac:dyDescent="0.25">
      <c r="B3897" s="32">
        <v>11</v>
      </c>
      <c r="F3897" s="32" t="s">
        <v>76</v>
      </c>
      <c r="J3897" s="32">
        <v>1</v>
      </c>
      <c r="P3897" s="32">
        <v>600</v>
      </c>
      <c r="R3897" s="32">
        <v>600</v>
      </c>
      <c r="T3897" s="32">
        <v>0</v>
      </c>
    </row>
    <row r="3898" spans="2:20" ht="12.75" hidden="1" x14ac:dyDescent="0.25">
      <c r="B3898" s="32">
        <v>12</v>
      </c>
      <c r="F3898" s="32" t="s">
        <v>155</v>
      </c>
      <c r="J3898" s="32">
        <v>8</v>
      </c>
      <c r="P3898" s="32">
        <v>2000</v>
      </c>
      <c r="R3898" s="32">
        <v>710</v>
      </c>
      <c r="T3898" s="32">
        <v>1290</v>
      </c>
    </row>
    <row r="3899" spans="2:20" ht="12.75" hidden="1" x14ac:dyDescent="0.25">
      <c r="B3899" s="32">
        <v>13</v>
      </c>
      <c r="F3899" s="32" t="s">
        <v>152</v>
      </c>
      <c r="J3899" s="32">
        <v>1</v>
      </c>
      <c r="P3899" s="32">
        <v>590</v>
      </c>
      <c r="R3899" s="32">
        <v>180</v>
      </c>
      <c r="T3899" s="32">
        <v>410</v>
      </c>
    </row>
    <row r="3900" spans="2:20" ht="12.75" hidden="1" x14ac:dyDescent="0.25">
      <c r="B3900" s="32">
        <v>14</v>
      </c>
      <c r="F3900" s="32" t="s">
        <v>151</v>
      </c>
      <c r="J3900" s="32">
        <v>6</v>
      </c>
      <c r="P3900" s="32">
        <v>1380</v>
      </c>
      <c r="R3900" s="32">
        <v>440</v>
      </c>
      <c r="T3900" s="32">
        <v>940</v>
      </c>
    </row>
    <row r="3901" spans="2:20" ht="12.75" hidden="1" x14ac:dyDescent="0.25">
      <c r="B3901" s="32">
        <v>15</v>
      </c>
      <c r="F3901" s="32" t="s">
        <v>150</v>
      </c>
      <c r="J3901" s="32">
        <v>15</v>
      </c>
      <c r="P3901" s="32">
        <v>2550</v>
      </c>
      <c r="R3901" s="32">
        <v>700</v>
      </c>
      <c r="T3901" s="32">
        <v>1850</v>
      </c>
    </row>
    <row r="3902" spans="2:20" ht="12.75" hidden="1" x14ac:dyDescent="0.25">
      <c r="B3902" s="32">
        <v>16</v>
      </c>
      <c r="F3902" s="32" t="s">
        <v>75</v>
      </c>
      <c r="J3902" s="32">
        <v>1028</v>
      </c>
      <c r="P3902" s="32">
        <v>2570000</v>
      </c>
      <c r="R3902" s="32">
        <v>2570000</v>
      </c>
      <c r="T3902" s="32">
        <v>0</v>
      </c>
    </row>
    <row r="3903" spans="2:20" ht="12.75" hidden="1" x14ac:dyDescent="0.25">
      <c r="B3903" s="32">
        <v>17</v>
      </c>
      <c r="F3903" s="32" t="s">
        <v>313</v>
      </c>
      <c r="J3903" s="32">
        <v>1</v>
      </c>
      <c r="P3903" s="32">
        <v>800</v>
      </c>
      <c r="R3903" s="32">
        <v>450</v>
      </c>
      <c r="T3903" s="32">
        <v>350</v>
      </c>
    </row>
    <row r="3904" spans="2:20" ht="12.75" hidden="1" x14ac:dyDescent="0.25">
      <c r="B3904" s="32">
        <v>18</v>
      </c>
      <c r="F3904" s="32" t="s">
        <v>136</v>
      </c>
      <c r="J3904" s="32">
        <v>4</v>
      </c>
      <c r="P3904" s="32">
        <v>3400</v>
      </c>
      <c r="R3904" s="32">
        <v>650</v>
      </c>
      <c r="T3904" s="32">
        <v>2750</v>
      </c>
    </row>
    <row r="3905" spans="2:20" ht="12.75" hidden="1" x14ac:dyDescent="0.25">
      <c r="B3905" s="32">
        <v>19</v>
      </c>
      <c r="F3905" s="32" t="s">
        <v>74</v>
      </c>
      <c r="J3905" s="32">
        <v>46</v>
      </c>
      <c r="P3905" s="32">
        <v>39100</v>
      </c>
      <c r="R3905" s="32">
        <v>39100</v>
      </c>
      <c r="T3905" s="32">
        <v>0</v>
      </c>
    </row>
    <row r="3906" spans="2:20" ht="12.75" hidden="1" x14ac:dyDescent="0.25">
      <c r="B3906" s="32">
        <v>20</v>
      </c>
      <c r="F3906" s="32" t="s">
        <v>190</v>
      </c>
      <c r="J3906" s="32">
        <v>3</v>
      </c>
      <c r="P3906" s="32">
        <v>4710</v>
      </c>
      <c r="R3906" s="32">
        <v>720</v>
      </c>
      <c r="T3906" s="32">
        <v>3990</v>
      </c>
    </row>
    <row r="3907" spans="2:20" ht="12.75" hidden="1" x14ac:dyDescent="0.25">
      <c r="B3907" s="32">
        <v>21</v>
      </c>
      <c r="F3907" s="32" t="s">
        <v>230</v>
      </c>
      <c r="J3907" s="32">
        <v>6</v>
      </c>
      <c r="P3907" s="32">
        <v>5700</v>
      </c>
      <c r="R3907" s="32">
        <v>840</v>
      </c>
      <c r="T3907" s="32">
        <v>4860</v>
      </c>
    </row>
    <row r="3908" spans="2:20" ht="12.75" hidden="1" x14ac:dyDescent="0.25">
      <c r="B3908" s="32">
        <v>22</v>
      </c>
      <c r="F3908" s="32" t="s">
        <v>132</v>
      </c>
      <c r="J3908" s="32">
        <v>6</v>
      </c>
      <c r="P3908" s="32">
        <v>7440</v>
      </c>
      <c r="R3908" s="32">
        <v>2220</v>
      </c>
      <c r="T3908" s="32">
        <v>5220</v>
      </c>
    </row>
    <row r="3909" spans="2:20" ht="12.75" hidden="1" x14ac:dyDescent="0.25">
      <c r="B3909" s="32">
        <v>23</v>
      </c>
      <c r="F3909" s="32" t="s">
        <v>131</v>
      </c>
      <c r="J3909" s="32">
        <v>2</v>
      </c>
      <c r="P3909" s="32">
        <v>7400</v>
      </c>
      <c r="R3909" s="32">
        <v>1600</v>
      </c>
      <c r="T3909" s="32">
        <v>5800</v>
      </c>
    </row>
    <row r="3910" spans="2:20" ht="12.75" hidden="1" x14ac:dyDescent="0.25">
      <c r="B3910" s="32">
        <v>24</v>
      </c>
      <c r="F3910" s="32" t="s">
        <v>186</v>
      </c>
      <c r="J3910" s="32">
        <v>6</v>
      </c>
      <c r="P3910" s="32">
        <v>360</v>
      </c>
      <c r="R3910" s="32">
        <v>0</v>
      </c>
      <c r="T3910" s="32">
        <v>360</v>
      </c>
    </row>
    <row r="3911" spans="2:20" ht="12.75" hidden="1" x14ac:dyDescent="0.25">
      <c r="T3911" s="32"/>
    </row>
    <row r="3912" spans="2:20" ht="12.75" hidden="1" x14ac:dyDescent="0.25">
      <c r="B3912" s="32">
        <v>25</v>
      </c>
      <c r="F3912" s="32" t="s">
        <v>127</v>
      </c>
      <c r="J3912" s="32">
        <v>12</v>
      </c>
      <c r="P3912" s="32">
        <v>3600</v>
      </c>
      <c r="R3912" s="32">
        <v>1244</v>
      </c>
      <c r="T3912" s="32">
        <v>2356</v>
      </c>
    </row>
    <row r="3913" spans="2:20" ht="12.75" hidden="1" x14ac:dyDescent="0.25">
      <c r="B3913" s="32">
        <v>26</v>
      </c>
      <c r="F3913" s="32" t="s">
        <v>126</v>
      </c>
      <c r="J3913" s="32">
        <v>12</v>
      </c>
      <c r="P3913" s="32">
        <v>2400</v>
      </c>
      <c r="R3913" s="32">
        <v>828</v>
      </c>
      <c r="T3913" s="32">
        <v>1572</v>
      </c>
    </row>
    <row r="3914" spans="2:20" ht="12.75" hidden="1" x14ac:dyDescent="0.25">
      <c r="B3914" s="32">
        <v>27</v>
      </c>
      <c r="F3914" s="32" t="s">
        <v>124</v>
      </c>
      <c r="J3914" s="32">
        <v>3</v>
      </c>
      <c r="P3914" s="32">
        <v>2340</v>
      </c>
      <c r="R3914" s="32">
        <v>690</v>
      </c>
      <c r="T3914" s="32">
        <v>1650</v>
      </c>
    </row>
    <row r="3915" spans="2:20" ht="12.75" hidden="1" x14ac:dyDescent="0.25">
      <c r="B3915" s="32">
        <v>28</v>
      </c>
      <c r="F3915" s="32" t="s">
        <v>123</v>
      </c>
      <c r="J3915" s="32">
        <v>10</v>
      </c>
      <c r="P3915" s="32">
        <v>7800</v>
      </c>
      <c r="R3915" s="32">
        <v>2300</v>
      </c>
      <c r="T3915" s="32">
        <v>5500</v>
      </c>
    </row>
    <row r="3916" spans="2:20" ht="12.75" hidden="1" x14ac:dyDescent="0.25">
      <c r="B3916" s="32">
        <v>29</v>
      </c>
      <c r="F3916" s="32" t="s">
        <v>118</v>
      </c>
      <c r="J3916" s="32">
        <v>68</v>
      </c>
      <c r="P3916" s="32">
        <v>67320</v>
      </c>
      <c r="R3916" s="32">
        <v>23970</v>
      </c>
      <c r="T3916" s="32">
        <v>43350</v>
      </c>
    </row>
    <row r="3917" spans="2:20" ht="12.75" hidden="1" x14ac:dyDescent="0.25">
      <c r="B3917" s="32">
        <v>30</v>
      </c>
      <c r="F3917" s="32" t="s">
        <v>115</v>
      </c>
      <c r="J3917" s="32">
        <v>28</v>
      </c>
      <c r="P3917" s="32">
        <v>8120</v>
      </c>
      <c r="R3917" s="32">
        <v>2420</v>
      </c>
      <c r="T3917" s="32">
        <v>5700</v>
      </c>
    </row>
    <row r="3918" spans="2:20" ht="12.75" hidden="1" x14ac:dyDescent="0.25">
      <c r="B3918" s="32">
        <v>31</v>
      </c>
      <c r="F3918" s="32" t="s">
        <v>108</v>
      </c>
      <c r="J3918" s="32">
        <v>159</v>
      </c>
      <c r="P3918" s="32">
        <v>15900</v>
      </c>
      <c r="R3918" s="32">
        <v>570</v>
      </c>
      <c r="T3918" s="32">
        <v>15330</v>
      </c>
    </row>
    <row r="3919" spans="2:20" ht="12.75" hidden="1" x14ac:dyDescent="0.25">
      <c r="B3919" s="32">
        <v>32</v>
      </c>
      <c r="F3919" s="32" t="s">
        <v>107</v>
      </c>
      <c r="J3919" s="32">
        <v>19</v>
      </c>
      <c r="P3919" s="32">
        <v>3230</v>
      </c>
      <c r="R3919" s="32">
        <v>996</v>
      </c>
      <c r="T3919" s="32">
        <v>2234</v>
      </c>
    </row>
    <row r="3920" spans="2:20" ht="12.75" hidden="1" x14ac:dyDescent="0.25">
      <c r="B3920" s="32">
        <v>33</v>
      </c>
      <c r="F3920" s="32" t="s">
        <v>180</v>
      </c>
      <c r="J3920" s="32">
        <v>1</v>
      </c>
      <c r="P3920" s="32">
        <v>590</v>
      </c>
      <c r="R3920" s="32">
        <v>180</v>
      </c>
      <c r="T3920" s="32">
        <v>410</v>
      </c>
    </row>
    <row r="3921" spans="1:20" ht="12.75" hidden="1" x14ac:dyDescent="0.25">
      <c r="B3921" s="32">
        <v>34</v>
      </c>
      <c r="F3921" s="32" t="s">
        <v>105</v>
      </c>
      <c r="J3921" s="32">
        <v>1</v>
      </c>
      <c r="P3921" s="32">
        <v>1150</v>
      </c>
      <c r="R3921" s="32">
        <v>0</v>
      </c>
      <c r="T3921" s="32">
        <v>1150</v>
      </c>
    </row>
    <row r="3922" spans="1:20" ht="12.75" hidden="1" x14ac:dyDescent="0.25">
      <c r="B3922" s="32">
        <v>35</v>
      </c>
      <c r="F3922" s="32" t="s">
        <v>103</v>
      </c>
      <c r="J3922" s="32">
        <v>5</v>
      </c>
      <c r="P3922" s="32">
        <v>1650</v>
      </c>
      <c r="R3922" s="32">
        <v>620</v>
      </c>
      <c r="T3922" s="32">
        <v>1030</v>
      </c>
    </row>
    <row r="3923" spans="1:20" ht="12.75" hidden="1" x14ac:dyDescent="0.25">
      <c r="B3923" s="32">
        <v>36</v>
      </c>
      <c r="F3923" s="32" t="s">
        <v>102</v>
      </c>
      <c r="J3923" s="32">
        <v>4</v>
      </c>
      <c r="P3923" s="32">
        <v>3520</v>
      </c>
      <c r="R3923" s="32">
        <v>520</v>
      </c>
      <c r="T3923" s="32">
        <v>3000</v>
      </c>
    </row>
    <row r="3924" spans="1:20" ht="12.75" hidden="1" x14ac:dyDescent="0.25">
      <c r="B3924" s="32">
        <v>37</v>
      </c>
      <c r="F3924" s="32" t="s">
        <v>99</v>
      </c>
      <c r="J3924" s="32">
        <v>1</v>
      </c>
      <c r="P3924" s="32">
        <v>590</v>
      </c>
      <c r="R3924" s="32">
        <v>90</v>
      </c>
      <c r="T3924" s="32">
        <v>500</v>
      </c>
    </row>
    <row r="3925" spans="1:20" ht="12.75" hidden="1" x14ac:dyDescent="0.25">
      <c r="B3925" s="32">
        <v>38</v>
      </c>
      <c r="F3925" s="32" t="s">
        <v>98</v>
      </c>
      <c r="J3925" s="32">
        <v>1</v>
      </c>
      <c r="P3925" s="32">
        <v>570</v>
      </c>
      <c r="R3925" s="32">
        <v>80</v>
      </c>
      <c r="T3925" s="32">
        <v>490</v>
      </c>
    </row>
    <row r="3926" spans="1:20" ht="12.75" hidden="1" x14ac:dyDescent="0.25">
      <c r="B3926" s="32">
        <v>39</v>
      </c>
      <c r="F3926" s="32" t="s">
        <v>93</v>
      </c>
      <c r="J3926" s="32">
        <v>1</v>
      </c>
      <c r="P3926" s="32">
        <v>590</v>
      </c>
      <c r="R3926" s="32">
        <v>90</v>
      </c>
      <c r="T3926" s="32">
        <v>500</v>
      </c>
    </row>
    <row r="3927" spans="1:20" ht="12.75" hidden="1" x14ac:dyDescent="0.25">
      <c r="B3927" s="32">
        <v>40</v>
      </c>
      <c r="F3927" s="32" t="s">
        <v>92</v>
      </c>
      <c r="J3927" s="32">
        <v>8</v>
      </c>
      <c r="P3927" s="32">
        <v>5240</v>
      </c>
      <c r="R3927" s="32">
        <v>1560</v>
      </c>
      <c r="T3927" s="32">
        <v>3680</v>
      </c>
    </row>
    <row r="3928" spans="1:20" ht="12.75" hidden="1" x14ac:dyDescent="0.25">
      <c r="B3928" s="32">
        <v>41</v>
      </c>
      <c r="F3928" s="32" t="s">
        <v>91</v>
      </c>
      <c r="J3928" s="32">
        <v>7</v>
      </c>
      <c r="P3928" s="32">
        <v>1750</v>
      </c>
      <c r="R3928" s="32">
        <v>490</v>
      </c>
      <c r="T3928" s="32">
        <v>1260</v>
      </c>
    </row>
    <row r="3929" spans="1:20" ht="12.75" hidden="1" x14ac:dyDescent="0.25">
      <c r="B3929" s="32">
        <v>42</v>
      </c>
      <c r="F3929" s="32" t="s">
        <v>90</v>
      </c>
      <c r="J3929" s="32">
        <v>6</v>
      </c>
      <c r="P3929" s="32">
        <v>1740</v>
      </c>
      <c r="R3929" s="32">
        <v>480</v>
      </c>
      <c r="T3929" s="32">
        <v>1260</v>
      </c>
    </row>
    <row r="3930" spans="1:20" ht="12.75" hidden="1" x14ac:dyDescent="0.25">
      <c r="B3930" s="32">
        <v>43</v>
      </c>
      <c r="F3930" s="32" t="s">
        <v>88</v>
      </c>
      <c r="J3930" s="32">
        <v>22</v>
      </c>
      <c r="P3930" s="32">
        <v>3960</v>
      </c>
      <c r="R3930" s="32">
        <v>1322</v>
      </c>
      <c r="T3930" s="32">
        <v>2638</v>
      </c>
    </row>
    <row r="3931" spans="1:20" ht="12.75" hidden="1" x14ac:dyDescent="0.25">
      <c r="B3931" s="32">
        <v>44</v>
      </c>
      <c r="F3931" s="32" t="s">
        <v>84</v>
      </c>
      <c r="J3931" s="32">
        <v>4</v>
      </c>
      <c r="P3931" s="32">
        <v>2360</v>
      </c>
      <c r="R3931" s="32">
        <v>720</v>
      </c>
      <c r="T3931" s="32">
        <v>1640</v>
      </c>
    </row>
    <row r="3932" spans="1:20" ht="12.75" hidden="1" x14ac:dyDescent="0.25">
      <c r="B3932" s="32">
        <v>45</v>
      </c>
      <c r="F3932" s="32" t="s">
        <v>205</v>
      </c>
      <c r="J3932" s="32">
        <v>1</v>
      </c>
      <c r="P3932" s="32">
        <v>500</v>
      </c>
      <c r="R3932" s="32">
        <v>150</v>
      </c>
      <c r="T3932" s="32">
        <v>350</v>
      </c>
    </row>
    <row r="3933" spans="1:20" ht="12.75" hidden="1" x14ac:dyDescent="0.25">
      <c r="B3933" s="32">
        <v>46</v>
      </c>
      <c r="F3933" s="32" t="s">
        <v>81</v>
      </c>
      <c r="J3933" s="32">
        <v>8</v>
      </c>
      <c r="P3933" s="32">
        <v>2320</v>
      </c>
      <c r="R3933" s="32">
        <v>640</v>
      </c>
      <c r="T3933" s="32">
        <v>1680</v>
      </c>
    </row>
    <row r="3934" spans="1:20" ht="12.75" hidden="1" x14ac:dyDescent="0.25">
      <c r="A3934" s="32" t="s">
        <v>312</v>
      </c>
      <c r="K3934" s="32">
        <v>5793</v>
      </c>
      <c r="P3934" s="32">
        <v>3425840</v>
      </c>
      <c r="R3934" s="32">
        <v>2509090</v>
      </c>
      <c r="T3934" s="32">
        <v>916750</v>
      </c>
    </row>
    <row r="3935" spans="1:20" ht="12.75" hidden="1" x14ac:dyDescent="0.25">
      <c r="B3935" s="32">
        <v>1</v>
      </c>
      <c r="F3935" s="32" t="s">
        <v>200</v>
      </c>
      <c r="J3935" s="32">
        <v>1</v>
      </c>
      <c r="P3935" s="32">
        <v>500</v>
      </c>
      <c r="R3935" s="32">
        <v>150</v>
      </c>
      <c r="T3935" s="32">
        <v>350</v>
      </c>
    </row>
    <row r="3936" spans="1:20" ht="12.75" hidden="1" x14ac:dyDescent="0.25">
      <c r="B3936" s="32">
        <v>2</v>
      </c>
      <c r="F3936" s="32" t="s">
        <v>311</v>
      </c>
      <c r="J3936" s="32">
        <v>1</v>
      </c>
      <c r="P3936" s="32">
        <v>690</v>
      </c>
      <c r="R3936" s="32">
        <v>210</v>
      </c>
      <c r="T3936" s="32">
        <v>480</v>
      </c>
    </row>
    <row r="3937" spans="2:20" ht="12.75" hidden="1" x14ac:dyDescent="0.25">
      <c r="B3937" s="32">
        <v>3</v>
      </c>
      <c r="F3937" s="32" t="s">
        <v>78</v>
      </c>
      <c r="J3937" s="32">
        <v>852</v>
      </c>
      <c r="P3937" s="32">
        <v>247080</v>
      </c>
      <c r="R3937" s="32">
        <v>247080</v>
      </c>
      <c r="T3937" s="32">
        <v>0</v>
      </c>
    </row>
    <row r="3938" spans="2:20" ht="12.75" hidden="1" x14ac:dyDescent="0.25">
      <c r="B3938" s="32">
        <v>4</v>
      </c>
      <c r="F3938" s="32" t="s">
        <v>310</v>
      </c>
      <c r="J3938" s="32">
        <v>1</v>
      </c>
      <c r="P3938" s="32">
        <v>2900</v>
      </c>
      <c r="R3938" s="32">
        <v>430</v>
      </c>
      <c r="T3938" s="32">
        <v>2470</v>
      </c>
    </row>
    <row r="3939" spans="2:20" ht="12.75" hidden="1" x14ac:dyDescent="0.25">
      <c r="B3939" s="32">
        <v>5</v>
      </c>
      <c r="F3939" s="32" t="s">
        <v>249</v>
      </c>
      <c r="J3939" s="32">
        <v>1</v>
      </c>
      <c r="P3939" s="32">
        <v>1300</v>
      </c>
      <c r="R3939" s="32">
        <v>200</v>
      </c>
      <c r="T3939" s="32">
        <v>1100</v>
      </c>
    </row>
    <row r="3940" spans="2:20" ht="12.75" hidden="1" x14ac:dyDescent="0.25">
      <c r="B3940" s="32">
        <v>6</v>
      </c>
      <c r="F3940" s="32" t="s">
        <v>162</v>
      </c>
      <c r="J3940" s="32">
        <v>3</v>
      </c>
      <c r="P3940" s="32">
        <v>1290</v>
      </c>
      <c r="R3940" s="32">
        <v>570</v>
      </c>
      <c r="T3940" s="32">
        <v>720</v>
      </c>
    </row>
    <row r="3941" spans="2:20" ht="12.75" hidden="1" x14ac:dyDescent="0.25">
      <c r="B3941" s="32">
        <v>7</v>
      </c>
      <c r="F3941" s="32" t="s">
        <v>158</v>
      </c>
      <c r="J3941" s="32">
        <v>906</v>
      </c>
      <c r="P3941" s="32">
        <v>498300</v>
      </c>
      <c r="R3941" s="32">
        <v>192597</v>
      </c>
      <c r="T3941" s="32">
        <v>305703</v>
      </c>
    </row>
    <row r="3942" spans="2:20" ht="12.75" hidden="1" x14ac:dyDescent="0.25">
      <c r="B3942" s="32">
        <v>8</v>
      </c>
      <c r="F3942" s="32" t="s">
        <v>157</v>
      </c>
      <c r="J3942" s="32">
        <v>2</v>
      </c>
      <c r="P3942" s="32">
        <v>980</v>
      </c>
      <c r="R3942" s="32">
        <v>365</v>
      </c>
      <c r="T3942" s="32">
        <v>615</v>
      </c>
    </row>
    <row r="3943" spans="2:20" ht="12.75" hidden="1" x14ac:dyDescent="0.25">
      <c r="B3943" s="32">
        <v>9</v>
      </c>
      <c r="F3943" s="32" t="s">
        <v>309</v>
      </c>
      <c r="J3943" s="32">
        <v>1</v>
      </c>
      <c r="P3943" s="32">
        <v>500</v>
      </c>
      <c r="R3943" s="32">
        <v>150</v>
      </c>
      <c r="T3943" s="32">
        <v>350</v>
      </c>
    </row>
    <row r="3944" spans="2:20" ht="12.75" hidden="1" x14ac:dyDescent="0.25">
      <c r="B3944" s="32">
        <v>10</v>
      </c>
      <c r="F3944" s="32" t="s">
        <v>77</v>
      </c>
      <c r="J3944" s="32">
        <v>1545</v>
      </c>
      <c r="P3944" s="32">
        <v>628600</v>
      </c>
      <c r="R3944" s="32">
        <v>628600</v>
      </c>
      <c r="T3944" s="32">
        <v>0</v>
      </c>
    </row>
    <row r="3945" spans="2:20" ht="12.75" hidden="1" x14ac:dyDescent="0.25">
      <c r="B3945" s="32">
        <v>11</v>
      </c>
      <c r="F3945" s="32" t="s">
        <v>156</v>
      </c>
      <c r="J3945" s="32">
        <v>3</v>
      </c>
      <c r="P3945" s="32">
        <v>570</v>
      </c>
      <c r="R3945" s="32">
        <v>210</v>
      </c>
      <c r="T3945" s="32">
        <v>360</v>
      </c>
    </row>
    <row r="3946" spans="2:20" ht="12.75" hidden="1" x14ac:dyDescent="0.25">
      <c r="B3946" s="32">
        <v>12</v>
      </c>
      <c r="F3946" s="32" t="s">
        <v>155</v>
      </c>
      <c r="J3946" s="32">
        <v>407</v>
      </c>
      <c r="P3946" s="32">
        <v>101750</v>
      </c>
      <c r="R3946" s="32">
        <v>49509</v>
      </c>
      <c r="T3946" s="32">
        <v>52241</v>
      </c>
    </row>
    <row r="3947" spans="2:20" ht="12.75" hidden="1" x14ac:dyDescent="0.25">
      <c r="B3947" s="32">
        <v>13</v>
      </c>
      <c r="F3947" s="32" t="s">
        <v>154</v>
      </c>
      <c r="J3947" s="32">
        <v>2</v>
      </c>
      <c r="P3947" s="32">
        <v>1780</v>
      </c>
      <c r="R3947" s="32">
        <v>260</v>
      </c>
      <c r="T3947" s="32">
        <v>1520</v>
      </c>
    </row>
    <row r="3948" spans="2:20" ht="12.75" hidden="1" x14ac:dyDescent="0.25">
      <c r="B3948" s="32">
        <v>14</v>
      </c>
      <c r="F3948" s="32" t="s">
        <v>308</v>
      </c>
      <c r="J3948" s="32">
        <v>1</v>
      </c>
      <c r="P3948" s="32">
        <v>10000</v>
      </c>
      <c r="R3948" s="32">
        <v>4000</v>
      </c>
      <c r="T3948" s="32">
        <v>6000</v>
      </c>
    </row>
    <row r="3949" spans="2:20" ht="12.75" hidden="1" x14ac:dyDescent="0.25">
      <c r="B3949" s="32">
        <v>15</v>
      </c>
      <c r="F3949" s="32" t="s">
        <v>289</v>
      </c>
      <c r="J3949" s="32">
        <v>1</v>
      </c>
      <c r="P3949" s="32">
        <v>500</v>
      </c>
      <c r="R3949" s="32">
        <v>150</v>
      </c>
      <c r="T3949" s="32">
        <v>350</v>
      </c>
    </row>
    <row r="3950" spans="2:20" ht="12.75" hidden="1" x14ac:dyDescent="0.25">
      <c r="B3950" s="32">
        <v>16</v>
      </c>
      <c r="F3950" s="32" t="s">
        <v>152</v>
      </c>
      <c r="J3950" s="32">
        <v>4</v>
      </c>
      <c r="P3950" s="32">
        <v>2360</v>
      </c>
      <c r="R3950" s="32">
        <v>780</v>
      </c>
      <c r="T3950" s="32">
        <v>1580</v>
      </c>
    </row>
    <row r="3951" spans="2:20" ht="12.75" hidden="1" x14ac:dyDescent="0.25">
      <c r="B3951" s="32">
        <v>17</v>
      </c>
      <c r="F3951" s="32" t="s">
        <v>151</v>
      </c>
      <c r="J3951" s="32">
        <v>4</v>
      </c>
      <c r="P3951" s="32">
        <v>920</v>
      </c>
      <c r="R3951" s="32">
        <v>320</v>
      </c>
      <c r="T3951" s="32">
        <v>600</v>
      </c>
    </row>
    <row r="3952" spans="2:20" ht="12.75" hidden="1" x14ac:dyDescent="0.25">
      <c r="B3952" s="32">
        <v>18</v>
      </c>
      <c r="F3952" s="32" t="s">
        <v>149</v>
      </c>
      <c r="J3952" s="32">
        <v>7</v>
      </c>
      <c r="P3952" s="32">
        <v>350</v>
      </c>
      <c r="R3952" s="32">
        <v>70</v>
      </c>
      <c r="T3952" s="32">
        <v>280</v>
      </c>
    </row>
    <row r="3953" spans="2:20" ht="12.75" hidden="1" x14ac:dyDescent="0.25">
      <c r="B3953" s="32">
        <v>19</v>
      </c>
      <c r="F3953" s="32" t="s">
        <v>288</v>
      </c>
      <c r="J3953" s="32">
        <v>1</v>
      </c>
      <c r="P3953" s="32">
        <v>800</v>
      </c>
      <c r="R3953" s="32">
        <v>450</v>
      </c>
      <c r="T3953" s="32">
        <v>350</v>
      </c>
    </row>
    <row r="3954" spans="2:20" ht="12.75" hidden="1" x14ac:dyDescent="0.25">
      <c r="B3954" s="32">
        <v>20</v>
      </c>
      <c r="F3954" s="32" t="s">
        <v>286</v>
      </c>
      <c r="J3954" s="32">
        <v>1</v>
      </c>
      <c r="P3954" s="32">
        <v>800</v>
      </c>
      <c r="R3954" s="32">
        <v>450</v>
      </c>
      <c r="T3954" s="32">
        <v>350</v>
      </c>
    </row>
    <row r="3955" spans="2:20" ht="12.75" hidden="1" x14ac:dyDescent="0.25">
      <c r="B3955" s="32">
        <v>21</v>
      </c>
      <c r="F3955" s="32" t="s">
        <v>193</v>
      </c>
      <c r="J3955" s="32">
        <v>2</v>
      </c>
      <c r="P3955" s="32">
        <v>1780</v>
      </c>
      <c r="R3955" s="32">
        <v>260</v>
      </c>
      <c r="T3955" s="32">
        <v>1520</v>
      </c>
    </row>
    <row r="3956" spans="2:20" ht="12.75" hidden="1" x14ac:dyDescent="0.25">
      <c r="B3956" s="32">
        <v>22</v>
      </c>
      <c r="F3956" s="32" t="s">
        <v>142</v>
      </c>
      <c r="J3956" s="32">
        <v>2</v>
      </c>
      <c r="P3956" s="32">
        <v>700</v>
      </c>
      <c r="R3956" s="32">
        <v>300</v>
      </c>
      <c r="T3956" s="32">
        <v>400</v>
      </c>
    </row>
    <row r="3957" spans="2:20" ht="12.75" hidden="1" x14ac:dyDescent="0.25">
      <c r="B3957" s="32">
        <v>23</v>
      </c>
      <c r="F3957" s="32" t="s">
        <v>75</v>
      </c>
      <c r="J3957" s="32">
        <v>407</v>
      </c>
      <c r="P3957" s="32">
        <v>1017500</v>
      </c>
      <c r="R3957" s="32">
        <v>1017500</v>
      </c>
      <c r="T3957" s="32">
        <v>0</v>
      </c>
    </row>
    <row r="3958" spans="2:20" ht="12.75" hidden="1" x14ac:dyDescent="0.25">
      <c r="B3958" s="32">
        <v>24</v>
      </c>
      <c r="F3958" s="32" t="s">
        <v>136</v>
      </c>
      <c r="J3958" s="32">
        <v>86</v>
      </c>
      <c r="P3958" s="32">
        <v>73100</v>
      </c>
      <c r="R3958" s="32">
        <v>14945</v>
      </c>
      <c r="T3958" s="32">
        <v>58155</v>
      </c>
    </row>
    <row r="3959" spans="2:20" ht="12.75" hidden="1" x14ac:dyDescent="0.25">
      <c r="B3959" s="32">
        <v>25</v>
      </c>
      <c r="F3959" s="32" t="s">
        <v>190</v>
      </c>
      <c r="J3959" s="32">
        <v>6</v>
      </c>
      <c r="P3959" s="32">
        <v>9420</v>
      </c>
      <c r="R3959" s="32">
        <v>1440</v>
      </c>
      <c r="T3959" s="32">
        <v>7980</v>
      </c>
    </row>
    <row r="3960" spans="2:20" ht="12.75" hidden="1" x14ac:dyDescent="0.25">
      <c r="B3960" s="32">
        <v>26</v>
      </c>
      <c r="F3960" s="32" t="s">
        <v>230</v>
      </c>
      <c r="J3960" s="32">
        <v>3</v>
      </c>
      <c r="P3960" s="32">
        <v>2850</v>
      </c>
      <c r="R3960" s="32">
        <v>420</v>
      </c>
      <c r="T3960" s="32">
        <v>2430</v>
      </c>
    </row>
    <row r="3961" spans="2:20" ht="12.75" hidden="1" x14ac:dyDescent="0.25">
      <c r="B3961" s="32">
        <v>27</v>
      </c>
      <c r="F3961" s="32" t="s">
        <v>135</v>
      </c>
      <c r="J3961" s="32">
        <v>2</v>
      </c>
      <c r="P3961" s="32">
        <v>1900</v>
      </c>
      <c r="R3961" s="32">
        <v>560</v>
      </c>
      <c r="T3961" s="32">
        <v>1340</v>
      </c>
    </row>
    <row r="3962" spans="2:20" ht="12.75" hidden="1" x14ac:dyDescent="0.25">
      <c r="B3962" s="32">
        <v>28</v>
      </c>
      <c r="F3962" s="32" t="s">
        <v>134</v>
      </c>
      <c r="J3962" s="32">
        <v>1</v>
      </c>
      <c r="P3962" s="32">
        <v>3700</v>
      </c>
      <c r="R3962" s="32">
        <v>0</v>
      </c>
      <c r="T3962" s="32">
        <v>3700</v>
      </c>
    </row>
    <row r="3963" spans="2:20" ht="12.75" hidden="1" x14ac:dyDescent="0.25">
      <c r="B3963" s="32">
        <v>29</v>
      </c>
      <c r="F3963" s="32" t="s">
        <v>285</v>
      </c>
      <c r="J3963" s="32">
        <v>1</v>
      </c>
      <c r="P3963" s="32">
        <v>3700</v>
      </c>
      <c r="R3963" s="32">
        <v>1850</v>
      </c>
      <c r="T3963" s="32">
        <v>1850</v>
      </c>
    </row>
    <row r="3964" spans="2:20" ht="12.75" hidden="1" x14ac:dyDescent="0.25">
      <c r="B3964" s="32">
        <v>30</v>
      </c>
      <c r="F3964" s="32" t="s">
        <v>132</v>
      </c>
      <c r="J3964" s="32">
        <v>8</v>
      </c>
      <c r="P3964" s="32">
        <v>9920</v>
      </c>
      <c r="R3964" s="32">
        <v>2960</v>
      </c>
      <c r="T3964" s="32">
        <v>6960</v>
      </c>
    </row>
    <row r="3965" spans="2:20" ht="12.75" hidden="1" x14ac:dyDescent="0.25">
      <c r="B3965" s="32">
        <v>31</v>
      </c>
      <c r="F3965" s="32" t="s">
        <v>284</v>
      </c>
      <c r="J3965" s="32">
        <v>2</v>
      </c>
      <c r="P3965" s="32">
        <v>7400</v>
      </c>
      <c r="R3965" s="32">
        <v>3700</v>
      </c>
      <c r="T3965" s="32">
        <v>3700</v>
      </c>
    </row>
    <row r="3966" spans="2:20" ht="12.75" hidden="1" x14ac:dyDescent="0.25">
      <c r="T3966" s="32"/>
    </row>
    <row r="3967" spans="2:20" ht="12.75" hidden="1" x14ac:dyDescent="0.25">
      <c r="B3967" s="32">
        <v>32</v>
      </c>
      <c r="F3967" s="32" t="s">
        <v>130</v>
      </c>
      <c r="J3967" s="32">
        <v>4</v>
      </c>
      <c r="P3967" s="32">
        <v>32000</v>
      </c>
      <c r="R3967" s="32">
        <v>16400</v>
      </c>
      <c r="T3967" s="32">
        <v>15600</v>
      </c>
    </row>
    <row r="3968" spans="2:20" ht="12.75" hidden="1" x14ac:dyDescent="0.25">
      <c r="B3968" s="32">
        <v>33</v>
      </c>
      <c r="F3968" s="32" t="s">
        <v>188</v>
      </c>
      <c r="J3968" s="32">
        <v>1</v>
      </c>
      <c r="P3968" s="32">
        <v>8000</v>
      </c>
      <c r="R3968" s="32">
        <v>4000</v>
      </c>
      <c r="T3968" s="32">
        <v>4000</v>
      </c>
    </row>
    <row r="3969" spans="2:20" ht="12.75" hidden="1" x14ac:dyDescent="0.25">
      <c r="T3969" s="32"/>
    </row>
    <row r="3970" spans="2:20" ht="12.75" hidden="1" x14ac:dyDescent="0.25">
      <c r="B3970" s="32">
        <v>34</v>
      </c>
      <c r="F3970" s="32" t="s">
        <v>185</v>
      </c>
      <c r="J3970" s="32">
        <v>1</v>
      </c>
      <c r="P3970" s="32">
        <v>800</v>
      </c>
      <c r="R3970" s="32">
        <v>450</v>
      </c>
      <c r="T3970" s="32">
        <v>350</v>
      </c>
    </row>
    <row r="3971" spans="2:20" ht="12.75" hidden="1" x14ac:dyDescent="0.25">
      <c r="B3971" s="32">
        <v>35</v>
      </c>
      <c r="F3971" s="32" t="s">
        <v>283</v>
      </c>
      <c r="J3971" s="32">
        <v>2</v>
      </c>
      <c r="P3971" s="32">
        <v>1600</v>
      </c>
      <c r="R3971" s="32">
        <v>900</v>
      </c>
      <c r="T3971" s="32">
        <v>700</v>
      </c>
    </row>
    <row r="3972" spans="2:20" ht="12.75" hidden="1" x14ac:dyDescent="0.25">
      <c r="B3972" s="32">
        <v>36</v>
      </c>
      <c r="F3972" s="32" t="s">
        <v>128</v>
      </c>
      <c r="J3972" s="32">
        <v>1</v>
      </c>
      <c r="P3972" s="32">
        <v>1150</v>
      </c>
      <c r="R3972" s="32">
        <v>170</v>
      </c>
      <c r="T3972" s="32">
        <v>980</v>
      </c>
    </row>
    <row r="3973" spans="2:20" ht="12.75" hidden="1" x14ac:dyDescent="0.25">
      <c r="B3973" s="32">
        <v>37</v>
      </c>
      <c r="F3973" s="32" t="s">
        <v>127</v>
      </c>
      <c r="J3973" s="32">
        <v>145</v>
      </c>
      <c r="P3973" s="32">
        <v>43500</v>
      </c>
      <c r="R3973" s="32">
        <v>13050</v>
      </c>
      <c r="T3973" s="32">
        <v>30450</v>
      </c>
    </row>
    <row r="3974" spans="2:20" ht="12.75" hidden="1" x14ac:dyDescent="0.25">
      <c r="B3974" s="32">
        <v>38</v>
      </c>
      <c r="F3974" s="32" t="s">
        <v>126</v>
      </c>
      <c r="J3974" s="32">
        <v>98</v>
      </c>
      <c r="P3974" s="32">
        <v>19600</v>
      </c>
      <c r="R3974" s="32">
        <v>5880</v>
      </c>
      <c r="T3974" s="32">
        <v>13720</v>
      </c>
    </row>
    <row r="3975" spans="2:20" ht="12.75" hidden="1" x14ac:dyDescent="0.25">
      <c r="B3975" s="32">
        <v>39</v>
      </c>
      <c r="F3975" s="32" t="s">
        <v>227</v>
      </c>
      <c r="J3975" s="32">
        <v>1</v>
      </c>
      <c r="P3975" s="32">
        <v>500</v>
      </c>
      <c r="R3975" s="32">
        <v>150</v>
      </c>
      <c r="T3975" s="32">
        <v>350</v>
      </c>
    </row>
    <row r="3976" spans="2:20" ht="12.75" hidden="1" x14ac:dyDescent="0.25">
      <c r="B3976" s="32">
        <v>40</v>
      </c>
      <c r="F3976" s="32" t="s">
        <v>282</v>
      </c>
      <c r="J3976" s="32">
        <v>1</v>
      </c>
      <c r="P3976" s="32">
        <v>500</v>
      </c>
      <c r="R3976" s="32">
        <v>150</v>
      </c>
      <c r="T3976" s="32">
        <v>350</v>
      </c>
    </row>
    <row r="3977" spans="2:20" ht="12.75" hidden="1" x14ac:dyDescent="0.25">
      <c r="B3977" s="32">
        <v>41</v>
      </c>
      <c r="F3977" s="32" t="s">
        <v>226</v>
      </c>
      <c r="J3977" s="32">
        <v>2</v>
      </c>
      <c r="P3977" s="32">
        <v>1400</v>
      </c>
      <c r="R3977" s="32">
        <v>420</v>
      </c>
      <c r="T3977" s="32">
        <v>980</v>
      </c>
    </row>
    <row r="3978" spans="2:20" ht="12.75" hidden="1" x14ac:dyDescent="0.25">
      <c r="B3978" s="32">
        <v>42</v>
      </c>
      <c r="F3978" s="32" t="s">
        <v>182</v>
      </c>
      <c r="J3978" s="32">
        <v>2</v>
      </c>
      <c r="P3978" s="32">
        <v>1580</v>
      </c>
      <c r="R3978" s="32">
        <v>240</v>
      </c>
      <c r="T3978" s="32">
        <v>1340</v>
      </c>
    </row>
    <row r="3979" spans="2:20" ht="12.75" hidden="1" x14ac:dyDescent="0.25">
      <c r="B3979" s="32">
        <v>43</v>
      </c>
      <c r="F3979" s="32" t="s">
        <v>119</v>
      </c>
      <c r="J3979" s="32">
        <v>24</v>
      </c>
      <c r="P3979" s="32">
        <v>21360</v>
      </c>
      <c r="R3979" s="32">
        <v>6930</v>
      </c>
      <c r="T3979" s="32">
        <v>14430</v>
      </c>
    </row>
    <row r="3980" spans="2:20" ht="12.75" hidden="1" x14ac:dyDescent="0.25">
      <c r="B3980" s="32">
        <v>44</v>
      </c>
      <c r="F3980" s="32" t="s">
        <v>118</v>
      </c>
      <c r="J3980" s="32">
        <v>430</v>
      </c>
      <c r="P3980" s="32">
        <v>425700</v>
      </c>
      <c r="R3980" s="32">
        <v>204755</v>
      </c>
      <c r="T3980" s="32">
        <v>220945</v>
      </c>
    </row>
    <row r="3981" spans="2:20" ht="12.75" hidden="1" x14ac:dyDescent="0.25">
      <c r="B3981" s="32">
        <v>45</v>
      </c>
      <c r="F3981" s="32" t="s">
        <v>117</v>
      </c>
      <c r="J3981" s="32">
        <v>2</v>
      </c>
      <c r="P3981" s="32">
        <v>1600</v>
      </c>
      <c r="R3981" s="32">
        <v>400</v>
      </c>
      <c r="T3981" s="32">
        <v>1200</v>
      </c>
    </row>
    <row r="3982" spans="2:20" ht="12.75" hidden="1" x14ac:dyDescent="0.25">
      <c r="B3982" s="32">
        <v>46</v>
      </c>
      <c r="F3982" s="32" t="s">
        <v>115</v>
      </c>
      <c r="J3982" s="32">
        <v>11</v>
      </c>
      <c r="P3982" s="32">
        <v>3190</v>
      </c>
      <c r="R3982" s="32">
        <v>1030</v>
      </c>
      <c r="T3982" s="32">
        <v>2160</v>
      </c>
    </row>
    <row r="3983" spans="2:20" ht="12.75" hidden="1" x14ac:dyDescent="0.25">
      <c r="B3983" s="32">
        <v>47</v>
      </c>
      <c r="F3983" s="32" t="s">
        <v>219</v>
      </c>
      <c r="J3983" s="32">
        <v>1</v>
      </c>
      <c r="P3983" s="32">
        <v>500</v>
      </c>
      <c r="R3983" s="32">
        <v>150</v>
      </c>
      <c r="T3983" s="32">
        <v>350</v>
      </c>
    </row>
    <row r="3984" spans="2:20" ht="12.75" hidden="1" x14ac:dyDescent="0.25">
      <c r="B3984" s="32">
        <v>48</v>
      </c>
      <c r="F3984" s="32" t="s">
        <v>181</v>
      </c>
      <c r="J3984" s="32">
        <v>2</v>
      </c>
      <c r="P3984" s="32">
        <v>1580</v>
      </c>
      <c r="R3984" s="32">
        <v>240</v>
      </c>
      <c r="T3984" s="32">
        <v>1340</v>
      </c>
    </row>
    <row r="3985" spans="2:20" ht="12.75" hidden="1" x14ac:dyDescent="0.25">
      <c r="B3985" s="32">
        <v>49</v>
      </c>
      <c r="F3985" s="32" t="s">
        <v>109</v>
      </c>
      <c r="J3985" s="32">
        <v>2</v>
      </c>
      <c r="P3985" s="32">
        <v>1560</v>
      </c>
      <c r="R3985" s="32">
        <v>460</v>
      </c>
      <c r="T3985" s="32">
        <v>1100</v>
      </c>
    </row>
    <row r="3986" spans="2:20" ht="12.75" hidden="1" x14ac:dyDescent="0.25">
      <c r="B3986" s="32">
        <v>50</v>
      </c>
      <c r="F3986" s="32" t="s">
        <v>108</v>
      </c>
      <c r="J3986" s="32">
        <v>158</v>
      </c>
      <c r="P3986" s="32">
        <v>15800</v>
      </c>
      <c r="R3986" s="32">
        <v>4680</v>
      </c>
      <c r="T3986" s="32">
        <v>11120</v>
      </c>
    </row>
    <row r="3987" spans="2:20" ht="12.75" hidden="1" x14ac:dyDescent="0.25">
      <c r="B3987" s="32">
        <v>51</v>
      </c>
      <c r="F3987" s="32" t="s">
        <v>107</v>
      </c>
      <c r="J3987" s="32">
        <v>2</v>
      </c>
      <c r="P3987" s="32">
        <v>340</v>
      </c>
      <c r="R3987" s="32">
        <v>140</v>
      </c>
      <c r="T3987" s="32">
        <v>200</v>
      </c>
    </row>
    <row r="3988" spans="2:20" ht="12.75" hidden="1" x14ac:dyDescent="0.25">
      <c r="B3988" s="32">
        <v>52</v>
      </c>
      <c r="F3988" s="32" t="s">
        <v>103</v>
      </c>
      <c r="J3988" s="32">
        <v>3</v>
      </c>
      <c r="P3988" s="32">
        <v>990</v>
      </c>
      <c r="R3988" s="32">
        <v>420</v>
      </c>
      <c r="T3988" s="32">
        <v>570</v>
      </c>
    </row>
    <row r="3989" spans="2:20" ht="12.75" hidden="1" x14ac:dyDescent="0.25">
      <c r="B3989" s="32">
        <v>53</v>
      </c>
      <c r="F3989" s="32" t="s">
        <v>276</v>
      </c>
      <c r="J3989" s="32">
        <v>1</v>
      </c>
      <c r="P3989" s="32">
        <v>900</v>
      </c>
      <c r="R3989" s="32">
        <v>270</v>
      </c>
      <c r="T3989" s="32">
        <v>630</v>
      </c>
    </row>
    <row r="3990" spans="2:20" ht="12.75" hidden="1" x14ac:dyDescent="0.25">
      <c r="B3990" s="32">
        <v>54</v>
      </c>
      <c r="F3990" s="32" t="s">
        <v>307</v>
      </c>
      <c r="J3990" s="32">
        <v>1</v>
      </c>
      <c r="P3990" s="32">
        <v>900</v>
      </c>
      <c r="R3990" s="32">
        <v>270</v>
      </c>
      <c r="T3990" s="32">
        <v>630</v>
      </c>
    </row>
    <row r="3991" spans="2:20" ht="12.75" hidden="1" x14ac:dyDescent="0.25">
      <c r="B3991" s="32">
        <v>55</v>
      </c>
      <c r="F3991" s="32" t="s">
        <v>210</v>
      </c>
      <c r="J3991" s="32">
        <v>2</v>
      </c>
      <c r="P3991" s="32">
        <v>780</v>
      </c>
      <c r="R3991" s="32">
        <v>240</v>
      </c>
      <c r="T3991" s="32">
        <v>540</v>
      </c>
    </row>
    <row r="3992" spans="2:20" ht="12.75" hidden="1" x14ac:dyDescent="0.25">
      <c r="B3992" s="32">
        <v>56</v>
      </c>
      <c r="F3992" s="32" t="s">
        <v>99</v>
      </c>
      <c r="J3992" s="32">
        <v>6</v>
      </c>
      <c r="P3992" s="32">
        <v>3540</v>
      </c>
      <c r="R3992" s="32">
        <v>540</v>
      </c>
      <c r="T3992" s="32">
        <v>3000</v>
      </c>
    </row>
    <row r="3993" spans="2:20" ht="12.75" hidden="1" x14ac:dyDescent="0.25">
      <c r="B3993" s="32">
        <v>57</v>
      </c>
      <c r="F3993" s="32" t="s">
        <v>98</v>
      </c>
      <c r="J3993" s="32">
        <v>6</v>
      </c>
      <c r="P3993" s="32">
        <v>3420</v>
      </c>
      <c r="R3993" s="32">
        <v>480</v>
      </c>
      <c r="T3993" s="32">
        <v>2940</v>
      </c>
    </row>
    <row r="3994" spans="2:20" ht="12.75" hidden="1" x14ac:dyDescent="0.25">
      <c r="B3994" s="32">
        <v>58</v>
      </c>
      <c r="F3994" s="32" t="s">
        <v>176</v>
      </c>
      <c r="J3994" s="32">
        <v>2</v>
      </c>
      <c r="P3994" s="32">
        <v>2120</v>
      </c>
      <c r="R3994" s="32">
        <v>320</v>
      </c>
      <c r="T3994" s="32">
        <v>1800</v>
      </c>
    </row>
    <row r="3995" spans="2:20" ht="12.75" hidden="1" x14ac:dyDescent="0.25">
      <c r="B3995" s="32">
        <v>59</v>
      </c>
      <c r="F3995" s="32" t="s">
        <v>95</v>
      </c>
      <c r="J3995" s="32">
        <v>3</v>
      </c>
      <c r="P3995" s="32">
        <v>870</v>
      </c>
      <c r="R3995" s="32">
        <v>240</v>
      </c>
      <c r="T3995" s="32">
        <v>630</v>
      </c>
    </row>
    <row r="3996" spans="2:20" ht="12.75" hidden="1" x14ac:dyDescent="0.25">
      <c r="B3996" s="32">
        <v>60</v>
      </c>
      <c r="F3996" s="32" t="s">
        <v>93</v>
      </c>
      <c r="J3996" s="32">
        <v>7</v>
      </c>
      <c r="P3996" s="32">
        <v>4130</v>
      </c>
      <c r="R3996" s="32">
        <v>630</v>
      </c>
      <c r="T3996" s="32">
        <v>3500</v>
      </c>
    </row>
    <row r="3997" spans="2:20" ht="12.75" hidden="1" x14ac:dyDescent="0.25">
      <c r="B3997" s="32">
        <v>61</v>
      </c>
      <c r="F3997" s="32" t="s">
        <v>92</v>
      </c>
      <c r="J3997" s="32">
        <v>85</v>
      </c>
      <c r="P3997" s="32">
        <v>49640</v>
      </c>
      <c r="R3997" s="32">
        <v>14800</v>
      </c>
      <c r="T3997" s="32">
        <v>34840</v>
      </c>
    </row>
    <row r="3998" spans="2:20" ht="12.75" hidden="1" x14ac:dyDescent="0.25">
      <c r="B3998" s="32">
        <v>62</v>
      </c>
      <c r="F3998" s="32" t="s">
        <v>306</v>
      </c>
      <c r="J3998" s="32">
        <v>7</v>
      </c>
      <c r="P3998" s="32">
        <v>7560</v>
      </c>
      <c r="R3998" s="32">
        <v>2240</v>
      </c>
      <c r="T3998" s="32">
        <v>5320</v>
      </c>
    </row>
    <row r="3999" spans="2:20" ht="12.75" hidden="1" x14ac:dyDescent="0.25">
      <c r="B3999" s="32">
        <v>63</v>
      </c>
      <c r="F3999" s="32" t="s">
        <v>305</v>
      </c>
      <c r="J3999" s="32">
        <v>4</v>
      </c>
      <c r="P3999" s="32">
        <v>2400</v>
      </c>
      <c r="R3999" s="32">
        <v>720</v>
      </c>
      <c r="T3999" s="32">
        <v>1680</v>
      </c>
    </row>
    <row r="4000" spans="2:20" ht="12.75" hidden="1" x14ac:dyDescent="0.25">
      <c r="B4000" s="32">
        <v>64</v>
      </c>
      <c r="F4000" s="32" t="s">
        <v>91</v>
      </c>
      <c r="J4000" s="32">
        <v>407</v>
      </c>
      <c r="P4000" s="32">
        <v>101750</v>
      </c>
      <c r="R4000" s="32">
        <v>48299</v>
      </c>
      <c r="T4000" s="32">
        <v>53451</v>
      </c>
    </row>
    <row r="4001" spans="1:20" ht="12.75" hidden="1" x14ac:dyDescent="0.25">
      <c r="B4001" s="32">
        <v>65</v>
      </c>
      <c r="F4001" s="32" t="s">
        <v>90</v>
      </c>
      <c r="J4001" s="32">
        <v>98</v>
      </c>
      <c r="P4001" s="32">
        <v>28420</v>
      </c>
      <c r="R4001" s="32">
        <v>7840</v>
      </c>
      <c r="T4001" s="32">
        <v>20580</v>
      </c>
    </row>
    <row r="4002" spans="1:20" ht="12.75" hidden="1" x14ac:dyDescent="0.25">
      <c r="B4002" s="32">
        <v>66</v>
      </c>
      <c r="F4002" s="32" t="s">
        <v>88</v>
      </c>
      <c r="J4002" s="32">
        <v>4</v>
      </c>
      <c r="P4002" s="32">
        <v>720</v>
      </c>
      <c r="R4002" s="32">
        <v>270</v>
      </c>
      <c r="T4002" s="32">
        <v>450</v>
      </c>
    </row>
    <row r="4003" spans="1:20" ht="12.75" hidden="1" x14ac:dyDescent="0.25">
      <c r="B4003" s="32">
        <v>67</v>
      </c>
      <c r="F4003" s="32" t="s">
        <v>208</v>
      </c>
      <c r="J4003" s="32">
        <v>1</v>
      </c>
      <c r="P4003" s="32">
        <v>500</v>
      </c>
      <c r="R4003" s="32">
        <v>150</v>
      </c>
      <c r="T4003" s="32">
        <v>350</v>
      </c>
    </row>
    <row r="4004" spans="1:20" ht="12.75" hidden="1" x14ac:dyDescent="0.25">
      <c r="B4004" s="32">
        <v>68</v>
      </c>
      <c r="F4004" s="32" t="s">
        <v>83</v>
      </c>
      <c r="J4004" s="32">
        <v>1</v>
      </c>
      <c r="P4004" s="32">
        <v>500</v>
      </c>
      <c r="R4004" s="32">
        <v>150</v>
      </c>
      <c r="T4004" s="32">
        <v>350</v>
      </c>
    </row>
    <row r="4005" spans="1:20" ht="12.75" hidden="1" x14ac:dyDescent="0.25">
      <c r="B4005" s="32">
        <v>69</v>
      </c>
      <c r="F4005" s="32" t="s">
        <v>202</v>
      </c>
      <c r="J4005" s="32">
        <v>1</v>
      </c>
      <c r="P4005" s="32">
        <v>500</v>
      </c>
      <c r="R4005" s="32">
        <v>130</v>
      </c>
      <c r="T4005" s="32">
        <v>370</v>
      </c>
    </row>
    <row r="4006" spans="1:20" ht="12.75" hidden="1" x14ac:dyDescent="0.25">
      <c r="A4006" s="32" t="s">
        <v>304</v>
      </c>
      <c r="K4006" s="32">
        <v>632</v>
      </c>
      <c r="P4006" s="32">
        <v>1226240</v>
      </c>
      <c r="R4006" s="32">
        <v>1225290</v>
      </c>
      <c r="T4006" s="32">
        <v>950</v>
      </c>
    </row>
    <row r="4007" spans="1:20" ht="12.75" hidden="1" x14ac:dyDescent="0.25">
      <c r="B4007" s="32">
        <v>1</v>
      </c>
      <c r="F4007" s="32" t="s">
        <v>78</v>
      </c>
      <c r="J4007" s="32">
        <v>16</v>
      </c>
      <c r="P4007" s="32">
        <v>4640</v>
      </c>
      <c r="R4007" s="32">
        <v>4640</v>
      </c>
      <c r="T4007" s="32">
        <v>0</v>
      </c>
    </row>
    <row r="4008" spans="1:20" ht="12.75" hidden="1" x14ac:dyDescent="0.25">
      <c r="B4008" s="32">
        <v>2</v>
      </c>
      <c r="F4008" s="32" t="s">
        <v>77</v>
      </c>
      <c r="J4008" s="32">
        <v>156</v>
      </c>
      <c r="P4008" s="32">
        <v>75300</v>
      </c>
      <c r="R4008" s="32">
        <v>75300</v>
      </c>
      <c r="T4008" s="32">
        <v>0</v>
      </c>
    </row>
    <row r="4009" spans="1:20" ht="12.75" hidden="1" x14ac:dyDescent="0.25">
      <c r="B4009" s="32">
        <v>3</v>
      </c>
      <c r="F4009" s="32" t="s">
        <v>75</v>
      </c>
      <c r="J4009" s="32">
        <v>458</v>
      </c>
      <c r="P4009" s="32">
        <v>1145000</v>
      </c>
      <c r="R4009" s="32">
        <v>1145000</v>
      </c>
      <c r="T4009" s="32">
        <v>0</v>
      </c>
    </row>
    <row r="4010" spans="1:20" ht="12.75" hidden="1" x14ac:dyDescent="0.25">
      <c r="B4010" s="32">
        <v>4</v>
      </c>
      <c r="F4010" s="32" t="s">
        <v>117</v>
      </c>
      <c r="J4010" s="32">
        <v>1</v>
      </c>
      <c r="P4010" s="32">
        <v>800</v>
      </c>
      <c r="R4010" s="32">
        <v>200</v>
      </c>
      <c r="T4010" s="32">
        <v>600</v>
      </c>
    </row>
    <row r="4011" spans="1:20" ht="12.75" hidden="1" x14ac:dyDescent="0.25">
      <c r="B4011" s="32">
        <v>5</v>
      </c>
      <c r="F4011" s="32" t="s">
        <v>206</v>
      </c>
      <c r="J4011" s="32">
        <v>1</v>
      </c>
      <c r="P4011" s="32">
        <v>500</v>
      </c>
      <c r="R4011" s="32">
        <v>150</v>
      </c>
      <c r="T4011" s="32">
        <v>350</v>
      </c>
    </row>
    <row r="4012" spans="1:20" ht="12.75" hidden="1" x14ac:dyDescent="0.25">
      <c r="A4012" s="32" t="s">
        <v>303</v>
      </c>
      <c r="K4012" s="32">
        <v>4620</v>
      </c>
      <c r="P4012" s="32">
        <v>4837190</v>
      </c>
      <c r="R4012" s="32">
        <v>3845030</v>
      </c>
      <c r="T4012" s="32">
        <v>992160</v>
      </c>
    </row>
    <row r="4013" spans="1:20" ht="12.75" hidden="1" x14ac:dyDescent="0.25">
      <c r="B4013" s="32">
        <v>1</v>
      </c>
      <c r="F4013" s="32" t="s">
        <v>78</v>
      </c>
      <c r="J4013" s="32">
        <v>163</v>
      </c>
      <c r="P4013" s="32">
        <v>47270</v>
      </c>
      <c r="R4013" s="32">
        <v>47270</v>
      </c>
      <c r="T4013" s="32">
        <v>0</v>
      </c>
    </row>
    <row r="4014" spans="1:20" ht="12.75" hidden="1" x14ac:dyDescent="0.25">
      <c r="B4014" s="32">
        <v>2</v>
      </c>
      <c r="F4014" s="32" t="s">
        <v>268</v>
      </c>
      <c r="J4014" s="32">
        <v>1</v>
      </c>
      <c r="P4014" s="32">
        <v>250</v>
      </c>
      <c r="R4014" s="32">
        <v>70</v>
      </c>
      <c r="T4014" s="32">
        <v>180</v>
      </c>
    </row>
    <row r="4015" spans="1:20" ht="12.75" hidden="1" x14ac:dyDescent="0.25">
      <c r="B4015" s="32">
        <v>3</v>
      </c>
      <c r="F4015" s="32" t="s">
        <v>199</v>
      </c>
      <c r="J4015" s="32">
        <v>1</v>
      </c>
      <c r="P4015" s="32">
        <v>290</v>
      </c>
      <c r="R4015" s="32">
        <v>100</v>
      </c>
      <c r="T4015" s="32">
        <v>190</v>
      </c>
    </row>
    <row r="4016" spans="1:20" ht="12.75" hidden="1" x14ac:dyDescent="0.25">
      <c r="B4016" s="32">
        <v>4</v>
      </c>
      <c r="F4016" s="32" t="s">
        <v>165</v>
      </c>
      <c r="J4016" s="32">
        <v>2</v>
      </c>
      <c r="P4016" s="32">
        <v>1180</v>
      </c>
      <c r="R4016" s="32">
        <v>360</v>
      </c>
      <c r="T4016" s="32">
        <v>820</v>
      </c>
    </row>
    <row r="4017" spans="2:20" ht="12.75" hidden="1" x14ac:dyDescent="0.25">
      <c r="B4017" s="32">
        <v>5</v>
      </c>
      <c r="F4017" s="32" t="s">
        <v>163</v>
      </c>
      <c r="J4017" s="32">
        <v>19</v>
      </c>
      <c r="P4017" s="32">
        <v>22610</v>
      </c>
      <c r="R4017" s="32">
        <v>3420</v>
      </c>
      <c r="T4017" s="32">
        <v>19190</v>
      </c>
    </row>
    <row r="4018" spans="2:20" ht="12.75" hidden="1" x14ac:dyDescent="0.25">
      <c r="B4018" s="32">
        <v>6</v>
      </c>
      <c r="F4018" s="32" t="s">
        <v>162</v>
      </c>
      <c r="J4018" s="32">
        <v>45</v>
      </c>
      <c r="P4018" s="32">
        <v>19350</v>
      </c>
      <c r="R4018" s="32">
        <v>8832</v>
      </c>
      <c r="T4018" s="32">
        <v>10518</v>
      </c>
    </row>
    <row r="4019" spans="2:20" ht="12.75" hidden="1" x14ac:dyDescent="0.25">
      <c r="B4019" s="32">
        <v>7</v>
      </c>
      <c r="F4019" s="32" t="s">
        <v>160</v>
      </c>
      <c r="J4019" s="32">
        <v>31</v>
      </c>
      <c r="P4019" s="32">
        <v>8990</v>
      </c>
      <c r="R4019" s="32">
        <v>2400</v>
      </c>
      <c r="T4019" s="32">
        <v>6590</v>
      </c>
    </row>
    <row r="4020" spans="2:20" ht="12.75" hidden="1" x14ac:dyDescent="0.25">
      <c r="B4020" s="32">
        <v>8</v>
      </c>
      <c r="F4020" s="32" t="s">
        <v>158</v>
      </c>
      <c r="J4020" s="32">
        <v>519</v>
      </c>
      <c r="P4020" s="32">
        <v>285450</v>
      </c>
      <c r="R4020" s="32">
        <v>88140</v>
      </c>
      <c r="T4020" s="32">
        <v>197310</v>
      </c>
    </row>
    <row r="4021" spans="2:20" ht="12.75" hidden="1" x14ac:dyDescent="0.25">
      <c r="B4021" s="32">
        <v>9</v>
      </c>
      <c r="F4021" s="32" t="s">
        <v>157</v>
      </c>
      <c r="J4021" s="32">
        <v>339</v>
      </c>
      <c r="P4021" s="32">
        <v>166110</v>
      </c>
      <c r="R4021" s="32">
        <v>72853</v>
      </c>
      <c r="T4021" s="32">
        <v>93257</v>
      </c>
    </row>
    <row r="4022" spans="2:20" ht="12.75" hidden="1" x14ac:dyDescent="0.25">
      <c r="B4022" s="32">
        <v>10</v>
      </c>
      <c r="F4022" s="32" t="s">
        <v>196</v>
      </c>
      <c r="J4022" s="32">
        <v>1</v>
      </c>
      <c r="P4022" s="32">
        <v>700</v>
      </c>
      <c r="R4022" s="32">
        <v>350</v>
      </c>
      <c r="T4022" s="32">
        <v>350</v>
      </c>
    </row>
    <row r="4023" spans="2:20" ht="12.75" hidden="1" x14ac:dyDescent="0.25">
      <c r="B4023" s="32">
        <v>11</v>
      </c>
      <c r="F4023" s="32" t="s">
        <v>292</v>
      </c>
      <c r="J4023" s="32">
        <v>1</v>
      </c>
      <c r="P4023" s="32">
        <v>700</v>
      </c>
      <c r="R4023" s="32">
        <v>700</v>
      </c>
      <c r="T4023" s="32">
        <v>0</v>
      </c>
    </row>
    <row r="4024" spans="2:20" ht="12.75" hidden="1" x14ac:dyDescent="0.25">
      <c r="B4024" s="32">
        <v>12</v>
      </c>
      <c r="F4024" s="32" t="s">
        <v>77</v>
      </c>
      <c r="J4024" s="32">
        <v>520</v>
      </c>
      <c r="P4024" s="32">
        <v>213500</v>
      </c>
      <c r="R4024" s="32">
        <v>213500</v>
      </c>
      <c r="T4024" s="32">
        <v>0</v>
      </c>
    </row>
    <row r="4025" spans="2:20" ht="12.75" hidden="1" x14ac:dyDescent="0.25">
      <c r="B4025" s="32">
        <v>13</v>
      </c>
      <c r="F4025" s="32" t="s">
        <v>76</v>
      </c>
      <c r="J4025" s="32">
        <v>1</v>
      </c>
      <c r="P4025" s="32">
        <v>600</v>
      </c>
      <c r="R4025" s="32">
        <v>600</v>
      </c>
      <c r="T4025" s="32">
        <v>0</v>
      </c>
    </row>
    <row r="4026" spans="2:20" ht="12.75" hidden="1" x14ac:dyDescent="0.25">
      <c r="B4026" s="32">
        <v>14</v>
      </c>
      <c r="F4026" s="32" t="s">
        <v>156</v>
      </c>
      <c r="J4026" s="32">
        <v>36</v>
      </c>
      <c r="P4026" s="32">
        <v>6840</v>
      </c>
      <c r="R4026" s="32">
        <v>2060</v>
      </c>
      <c r="T4026" s="32">
        <v>4780</v>
      </c>
    </row>
    <row r="4027" spans="2:20" ht="12.75" hidden="1" x14ac:dyDescent="0.25">
      <c r="B4027" s="32">
        <v>15</v>
      </c>
      <c r="F4027" s="32" t="s">
        <v>155</v>
      </c>
      <c r="J4027" s="32">
        <v>71</v>
      </c>
      <c r="P4027" s="32">
        <v>17750</v>
      </c>
      <c r="R4027" s="32">
        <v>6190</v>
      </c>
      <c r="T4027" s="32">
        <v>11560</v>
      </c>
    </row>
    <row r="4028" spans="2:20" ht="12.75" hidden="1" x14ac:dyDescent="0.25">
      <c r="B4028" s="32">
        <v>16</v>
      </c>
      <c r="F4028" s="32" t="s">
        <v>154</v>
      </c>
      <c r="J4028" s="32">
        <v>3</v>
      </c>
      <c r="P4028" s="32">
        <v>2670</v>
      </c>
      <c r="R4028" s="32">
        <v>390</v>
      </c>
      <c r="T4028" s="32">
        <v>2280</v>
      </c>
    </row>
    <row r="4029" spans="2:20" ht="12.75" hidden="1" x14ac:dyDescent="0.25">
      <c r="B4029" s="32">
        <v>17</v>
      </c>
      <c r="F4029" s="32" t="s">
        <v>194</v>
      </c>
      <c r="J4029" s="32">
        <v>2</v>
      </c>
      <c r="P4029" s="32">
        <v>1400</v>
      </c>
      <c r="R4029" s="32">
        <v>360</v>
      </c>
      <c r="T4029" s="32">
        <v>1040</v>
      </c>
    </row>
    <row r="4030" spans="2:20" ht="12.75" hidden="1" x14ac:dyDescent="0.25">
      <c r="B4030" s="32">
        <v>18</v>
      </c>
      <c r="F4030" s="32" t="s">
        <v>152</v>
      </c>
      <c r="J4030" s="32">
        <v>22</v>
      </c>
      <c r="P4030" s="32">
        <v>12980</v>
      </c>
      <c r="R4030" s="32">
        <v>3990</v>
      </c>
      <c r="T4030" s="32">
        <v>8990</v>
      </c>
    </row>
    <row r="4031" spans="2:20" ht="12.75" hidden="1" x14ac:dyDescent="0.25">
      <c r="B4031" s="32">
        <v>19</v>
      </c>
      <c r="F4031" s="32" t="s">
        <v>151</v>
      </c>
      <c r="J4031" s="32">
        <v>28</v>
      </c>
      <c r="P4031" s="32">
        <v>6440</v>
      </c>
      <c r="R4031" s="32">
        <v>2040</v>
      </c>
      <c r="T4031" s="32">
        <v>4400</v>
      </c>
    </row>
    <row r="4032" spans="2:20" ht="12.75" hidden="1" x14ac:dyDescent="0.25">
      <c r="B4032" s="32">
        <v>20</v>
      </c>
      <c r="F4032" s="32" t="s">
        <v>150</v>
      </c>
      <c r="J4032" s="32">
        <v>97</v>
      </c>
      <c r="P4032" s="32">
        <v>16490</v>
      </c>
      <c r="R4032" s="32">
        <v>4850</v>
      </c>
      <c r="T4032" s="32">
        <v>11640</v>
      </c>
    </row>
    <row r="4033" spans="2:20" ht="12.75" hidden="1" x14ac:dyDescent="0.25">
      <c r="B4033" s="32">
        <v>21</v>
      </c>
      <c r="F4033" s="32" t="s">
        <v>148</v>
      </c>
      <c r="J4033" s="32">
        <v>1</v>
      </c>
      <c r="P4033" s="32">
        <v>980</v>
      </c>
      <c r="R4033" s="32">
        <v>150</v>
      </c>
      <c r="T4033" s="32">
        <v>830</v>
      </c>
    </row>
    <row r="4034" spans="2:20" ht="12.75" hidden="1" x14ac:dyDescent="0.25">
      <c r="B4034" s="32">
        <v>22</v>
      </c>
      <c r="F4034" s="32" t="s">
        <v>234</v>
      </c>
      <c r="J4034" s="32">
        <v>1</v>
      </c>
      <c r="P4034" s="32">
        <v>800</v>
      </c>
      <c r="R4034" s="32">
        <v>450</v>
      </c>
      <c r="T4034" s="32">
        <v>350</v>
      </c>
    </row>
    <row r="4035" spans="2:20" ht="12.75" hidden="1" x14ac:dyDescent="0.25">
      <c r="B4035" s="32">
        <v>23</v>
      </c>
      <c r="F4035" s="32" t="s">
        <v>233</v>
      </c>
      <c r="J4035" s="32">
        <v>2</v>
      </c>
      <c r="P4035" s="32">
        <v>1960</v>
      </c>
      <c r="R4035" s="32">
        <v>300</v>
      </c>
      <c r="T4035" s="32">
        <v>1660</v>
      </c>
    </row>
    <row r="4036" spans="2:20" ht="12.75" hidden="1" x14ac:dyDescent="0.25">
      <c r="B4036" s="32">
        <v>24</v>
      </c>
      <c r="F4036" s="32" t="s">
        <v>232</v>
      </c>
      <c r="J4036" s="32">
        <v>2</v>
      </c>
      <c r="P4036" s="32">
        <v>1960</v>
      </c>
      <c r="R4036" s="32">
        <v>300</v>
      </c>
      <c r="T4036" s="32">
        <v>1660</v>
      </c>
    </row>
    <row r="4037" spans="2:20" ht="12.75" hidden="1" x14ac:dyDescent="0.25">
      <c r="B4037" s="32">
        <v>25</v>
      </c>
      <c r="F4037" s="32" t="s">
        <v>193</v>
      </c>
      <c r="J4037" s="32">
        <v>4</v>
      </c>
      <c r="P4037" s="32">
        <v>3560</v>
      </c>
      <c r="R4037" s="32">
        <v>520</v>
      </c>
      <c r="T4037" s="32">
        <v>3040</v>
      </c>
    </row>
    <row r="4038" spans="2:20" ht="12.75" hidden="1" x14ac:dyDescent="0.25">
      <c r="B4038" s="32">
        <v>26</v>
      </c>
      <c r="F4038" s="32" t="s">
        <v>142</v>
      </c>
      <c r="J4038" s="32">
        <v>1</v>
      </c>
      <c r="P4038" s="32">
        <v>350</v>
      </c>
      <c r="R4038" s="32">
        <v>150</v>
      </c>
      <c r="T4038" s="32">
        <v>200</v>
      </c>
    </row>
    <row r="4039" spans="2:20" ht="12.75" hidden="1" x14ac:dyDescent="0.25">
      <c r="B4039" s="32">
        <v>27</v>
      </c>
      <c r="F4039" s="32" t="s">
        <v>75</v>
      </c>
      <c r="J4039" s="32">
        <v>1226</v>
      </c>
      <c r="P4039" s="32">
        <v>3065000</v>
      </c>
      <c r="R4039" s="32">
        <v>3065000</v>
      </c>
      <c r="T4039" s="32">
        <v>0</v>
      </c>
    </row>
    <row r="4040" spans="2:20" ht="12.75" hidden="1" x14ac:dyDescent="0.25">
      <c r="B4040" s="32">
        <v>28</v>
      </c>
      <c r="F4040" s="32" t="s">
        <v>139</v>
      </c>
      <c r="J4040" s="32">
        <v>3</v>
      </c>
      <c r="P4040" s="32">
        <v>810</v>
      </c>
      <c r="R4040" s="32">
        <v>240</v>
      </c>
      <c r="T4040" s="32">
        <v>570</v>
      </c>
    </row>
    <row r="4041" spans="2:20" ht="12.75" hidden="1" x14ac:dyDescent="0.25">
      <c r="B4041" s="32">
        <v>29</v>
      </c>
      <c r="F4041" s="32" t="s">
        <v>302</v>
      </c>
      <c r="J4041" s="32">
        <v>1</v>
      </c>
      <c r="P4041" s="32">
        <v>800</v>
      </c>
      <c r="R4041" s="32">
        <v>450</v>
      </c>
      <c r="T4041" s="32">
        <v>350</v>
      </c>
    </row>
    <row r="4042" spans="2:20" ht="12.75" hidden="1" x14ac:dyDescent="0.25">
      <c r="B4042" s="32">
        <v>30</v>
      </c>
      <c r="F4042" s="32" t="s">
        <v>136</v>
      </c>
      <c r="J4042" s="32">
        <v>49</v>
      </c>
      <c r="P4042" s="32">
        <v>41650</v>
      </c>
      <c r="R4042" s="32">
        <v>8970</v>
      </c>
      <c r="T4042" s="32">
        <v>32680</v>
      </c>
    </row>
    <row r="4043" spans="2:20" ht="12.75" hidden="1" x14ac:dyDescent="0.25">
      <c r="B4043" s="32">
        <v>31</v>
      </c>
      <c r="F4043" s="32" t="s">
        <v>74</v>
      </c>
      <c r="J4043" s="32">
        <v>77</v>
      </c>
      <c r="P4043" s="32">
        <v>65450</v>
      </c>
      <c r="R4043" s="32">
        <v>65450</v>
      </c>
      <c r="T4043" s="32">
        <v>0</v>
      </c>
    </row>
    <row r="4044" spans="2:20" ht="12.75" hidden="1" x14ac:dyDescent="0.25">
      <c r="B4044" s="32">
        <v>32</v>
      </c>
      <c r="F4044" s="32" t="s">
        <v>190</v>
      </c>
      <c r="J4044" s="32">
        <v>22</v>
      </c>
      <c r="P4044" s="32">
        <v>34540</v>
      </c>
      <c r="R4044" s="32">
        <v>5280</v>
      </c>
      <c r="T4044" s="32">
        <v>29260</v>
      </c>
    </row>
    <row r="4045" spans="2:20" ht="12.75" hidden="1" x14ac:dyDescent="0.25">
      <c r="B4045" s="32">
        <v>33</v>
      </c>
      <c r="F4045" s="32" t="s">
        <v>135</v>
      </c>
      <c r="J4045" s="32">
        <v>31</v>
      </c>
      <c r="P4045" s="32">
        <v>29450</v>
      </c>
      <c r="R4045" s="32">
        <v>8680</v>
      </c>
      <c r="T4045" s="32">
        <v>20770</v>
      </c>
    </row>
    <row r="4046" spans="2:20" ht="12.75" hidden="1" x14ac:dyDescent="0.25">
      <c r="B4046" s="32">
        <v>34</v>
      </c>
      <c r="F4046" s="32" t="s">
        <v>229</v>
      </c>
      <c r="J4046" s="32">
        <v>2</v>
      </c>
      <c r="P4046" s="32">
        <v>14000</v>
      </c>
      <c r="R4046" s="32">
        <v>6200</v>
      </c>
      <c r="T4046" s="32">
        <v>7800</v>
      </c>
    </row>
    <row r="4047" spans="2:20" ht="12.75" hidden="1" x14ac:dyDescent="0.25">
      <c r="B4047" s="32">
        <v>35</v>
      </c>
      <c r="F4047" s="32" t="s">
        <v>132</v>
      </c>
      <c r="J4047" s="32">
        <v>35</v>
      </c>
      <c r="P4047" s="32">
        <v>43400</v>
      </c>
      <c r="R4047" s="32">
        <v>12950</v>
      </c>
      <c r="T4047" s="32">
        <v>30450</v>
      </c>
    </row>
    <row r="4048" spans="2:20" ht="12.75" hidden="1" x14ac:dyDescent="0.25">
      <c r="B4048" s="32">
        <v>36</v>
      </c>
      <c r="F4048" s="32" t="s">
        <v>131</v>
      </c>
      <c r="J4048" s="32">
        <v>5</v>
      </c>
      <c r="P4048" s="32">
        <v>18500</v>
      </c>
      <c r="R4048" s="32">
        <v>4000</v>
      </c>
      <c r="T4048" s="32">
        <v>14500</v>
      </c>
    </row>
    <row r="4049" spans="2:20" ht="12.75" hidden="1" x14ac:dyDescent="0.25">
      <c r="B4049" s="32">
        <v>37</v>
      </c>
      <c r="F4049" s="32" t="s">
        <v>130</v>
      </c>
      <c r="J4049" s="32">
        <v>8</v>
      </c>
      <c r="P4049" s="32">
        <v>64000</v>
      </c>
      <c r="R4049" s="32">
        <v>32800</v>
      </c>
      <c r="T4049" s="32">
        <v>31200</v>
      </c>
    </row>
    <row r="4050" spans="2:20" ht="12.75" hidden="1" x14ac:dyDescent="0.25">
      <c r="B4050" s="32">
        <v>38</v>
      </c>
      <c r="F4050" s="32" t="s">
        <v>128</v>
      </c>
      <c r="J4050" s="32">
        <v>3</v>
      </c>
      <c r="P4050" s="32">
        <v>3450</v>
      </c>
      <c r="R4050" s="32">
        <v>510</v>
      </c>
      <c r="T4050" s="32">
        <v>2940</v>
      </c>
    </row>
    <row r="4051" spans="2:20" ht="12.75" hidden="1" x14ac:dyDescent="0.25">
      <c r="B4051" s="32">
        <v>39</v>
      </c>
      <c r="F4051" s="32" t="s">
        <v>127</v>
      </c>
      <c r="J4051" s="32">
        <v>76</v>
      </c>
      <c r="P4051" s="32">
        <v>22800</v>
      </c>
      <c r="R4051" s="32">
        <v>7316</v>
      </c>
      <c r="T4051" s="32">
        <v>15484</v>
      </c>
    </row>
    <row r="4052" spans="2:20" ht="12.75" hidden="1" x14ac:dyDescent="0.25">
      <c r="B4052" s="32">
        <v>40</v>
      </c>
      <c r="F4052" s="32" t="s">
        <v>126</v>
      </c>
      <c r="J4052" s="32">
        <v>65</v>
      </c>
      <c r="P4052" s="32">
        <v>13000</v>
      </c>
      <c r="R4052" s="32">
        <v>4212</v>
      </c>
      <c r="T4052" s="32">
        <v>8788</v>
      </c>
    </row>
    <row r="4053" spans="2:20" ht="12.75" hidden="1" x14ac:dyDescent="0.25">
      <c r="B4053" s="32">
        <v>41</v>
      </c>
      <c r="F4053" s="32" t="s">
        <v>125</v>
      </c>
      <c r="J4053" s="32">
        <v>8</v>
      </c>
      <c r="P4053" s="32">
        <v>3200</v>
      </c>
      <c r="R4053" s="32">
        <v>960</v>
      </c>
      <c r="T4053" s="32">
        <v>2240</v>
      </c>
    </row>
    <row r="4054" spans="2:20" ht="12.75" hidden="1" x14ac:dyDescent="0.25">
      <c r="B4054" s="32">
        <v>42</v>
      </c>
      <c r="F4054" s="32" t="s">
        <v>124</v>
      </c>
      <c r="J4054" s="32">
        <v>15</v>
      </c>
      <c r="P4054" s="32">
        <v>8280</v>
      </c>
      <c r="R4054" s="32">
        <v>2460</v>
      </c>
      <c r="T4054" s="32">
        <v>5820</v>
      </c>
    </row>
    <row r="4055" spans="2:20" ht="12.75" hidden="1" x14ac:dyDescent="0.25">
      <c r="B4055" s="32">
        <v>43</v>
      </c>
      <c r="F4055" s="32" t="s">
        <v>123</v>
      </c>
      <c r="J4055" s="32">
        <v>4</v>
      </c>
      <c r="P4055" s="32">
        <v>3120</v>
      </c>
      <c r="R4055" s="32">
        <v>920</v>
      </c>
      <c r="T4055" s="32">
        <v>2200</v>
      </c>
    </row>
    <row r="4056" spans="2:20" ht="12.75" hidden="1" x14ac:dyDescent="0.25">
      <c r="B4056" s="32">
        <v>44</v>
      </c>
      <c r="F4056" s="32" t="s">
        <v>184</v>
      </c>
      <c r="J4056" s="32">
        <v>4</v>
      </c>
      <c r="P4056" s="32">
        <v>4320</v>
      </c>
      <c r="R4056" s="32">
        <v>640</v>
      </c>
      <c r="T4056" s="32">
        <v>3680</v>
      </c>
    </row>
    <row r="4057" spans="2:20" ht="12.75" hidden="1" x14ac:dyDescent="0.25">
      <c r="B4057" s="32">
        <v>45</v>
      </c>
      <c r="F4057" s="32" t="s">
        <v>183</v>
      </c>
      <c r="J4057" s="32">
        <v>1</v>
      </c>
      <c r="P4057" s="32">
        <v>440</v>
      </c>
      <c r="R4057" s="32">
        <v>130</v>
      </c>
      <c r="T4057" s="32">
        <v>310</v>
      </c>
    </row>
    <row r="4058" spans="2:20" ht="12.75" hidden="1" x14ac:dyDescent="0.25">
      <c r="B4058" s="32">
        <v>46</v>
      </c>
      <c r="F4058" s="32" t="s">
        <v>227</v>
      </c>
      <c r="J4058" s="32">
        <v>1</v>
      </c>
      <c r="P4058" s="32">
        <v>500</v>
      </c>
      <c r="R4058" s="32">
        <v>150</v>
      </c>
      <c r="T4058" s="32">
        <v>350</v>
      </c>
    </row>
    <row r="4059" spans="2:20" ht="12.75" hidden="1" x14ac:dyDescent="0.25">
      <c r="B4059" s="32">
        <v>47</v>
      </c>
      <c r="F4059" s="32" t="s">
        <v>120</v>
      </c>
      <c r="J4059" s="32">
        <v>14</v>
      </c>
      <c r="P4059" s="32">
        <v>4900</v>
      </c>
      <c r="R4059" s="32">
        <v>1120</v>
      </c>
      <c r="T4059" s="32">
        <v>3780</v>
      </c>
    </row>
    <row r="4060" spans="2:20" ht="12.75" hidden="1" x14ac:dyDescent="0.25">
      <c r="B4060" s="32">
        <v>48</v>
      </c>
      <c r="F4060" s="32" t="s">
        <v>182</v>
      </c>
      <c r="J4060" s="32">
        <v>4</v>
      </c>
      <c r="P4060" s="32">
        <v>3160</v>
      </c>
      <c r="R4060" s="32">
        <v>480</v>
      </c>
      <c r="T4060" s="32">
        <v>2680</v>
      </c>
    </row>
    <row r="4061" spans="2:20" ht="12.75" hidden="1" x14ac:dyDescent="0.25">
      <c r="B4061" s="32">
        <v>49</v>
      </c>
      <c r="F4061" s="32" t="s">
        <v>119</v>
      </c>
      <c r="J4061" s="32">
        <v>61</v>
      </c>
      <c r="P4061" s="32">
        <v>54290</v>
      </c>
      <c r="R4061" s="32">
        <v>17550</v>
      </c>
      <c r="T4061" s="32">
        <v>36740</v>
      </c>
    </row>
    <row r="4062" spans="2:20" ht="12.75" hidden="1" x14ac:dyDescent="0.25">
      <c r="B4062" s="32">
        <v>50</v>
      </c>
      <c r="F4062" s="32" t="s">
        <v>118</v>
      </c>
      <c r="J4062" s="32">
        <v>120</v>
      </c>
      <c r="P4062" s="32">
        <v>118800</v>
      </c>
      <c r="R4062" s="32">
        <v>41950</v>
      </c>
      <c r="T4062" s="32">
        <v>76850</v>
      </c>
    </row>
    <row r="4063" spans="2:20" ht="12.75" hidden="1" x14ac:dyDescent="0.25">
      <c r="B4063" s="32">
        <v>51</v>
      </c>
      <c r="F4063" s="32" t="s">
        <v>117</v>
      </c>
      <c r="J4063" s="32">
        <v>8</v>
      </c>
      <c r="P4063" s="32">
        <v>6400</v>
      </c>
      <c r="R4063" s="32">
        <v>1600</v>
      </c>
      <c r="T4063" s="32">
        <v>4800</v>
      </c>
    </row>
    <row r="4064" spans="2:20" ht="12.75" hidden="1" x14ac:dyDescent="0.25">
      <c r="B4064" s="32">
        <v>52</v>
      </c>
      <c r="F4064" s="32" t="s">
        <v>116</v>
      </c>
      <c r="J4064" s="32">
        <v>2</v>
      </c>
      <c r="P4064" s="32">
        <v>1600</v>
      </c>
      <c r="R4064" s="32">
        <v>400</v>
      </c>
      <c r="T4064" s="32">
        <v>1200</v>
      </c>
    </row>
    <row r="4065" spans="2:20" ht="12.75" hidden="1" x14ac:dyDescent="0.25">
      <c r="T4065" s="32"/>
    </row>
    <row r="4066" spans="2:20" ht="12.75" hidden="1" x14ac:dyDescent="0.25">
      <c r="B4066" s="32">
        <v>53</v>
      </c>
      <c r="F4066" s="32" t="s">
        <v>115</v>
      </c>
      <c r="J4066" s="32">
        <v>55</v>
      </c>
      <c r="P4066" s="32">
        <v>15950</v>
      </c>
      <c r="R4066" s="32">
        <v>5120</v>
      </c>
      <c r="T4066" s="32">
        <v>10830</v>
      </c>
    </row>
    <row r="4067" spans="2:20" ht="12.75" hidden="1" x14ac:dyDescent="0.25">
      <c r="B4067" s="32">
        <v>54</v>
      </c>
      <c r="F4067" s="32" t="s">
        <v>114</v>
      </c>
      <c r="J4067" s="32">
        <v>1</v>
      </c>
      <c r="P4067" s="32">
        <v>550</v>
      </c>
      <c r="R4067" s="32">
        <v>80</v>
      </c>
      <c r="T4067" s="32">
        <v>470</v>
      </c>
    </row>
    <row r="4068" spans="2:20" ht="12.75" hidden="1" x14ac:dyDescent="0.25">
      <c r="B4068" s="32">
        <v>55</v>
      </c>
      <c r="F4068" s="32" t="s">
        <v>301</v>
      </c>
      <c r="J4068" s="32">
        <v>1</v>
      </c>
      <c r="P4068" s="32">
        <v>800</v>
      </c>
      <c r="R4068" s="32">
        <v>200</v>
      </c>
      <c r="T4068" s="32">
        <v>600</v>
      </c>
    </row>
    <row r="4069" spans="2:20" ht="12.75" hidden="1" x14ac:dyDescent="0.25">
      <c r="B4069" s="32">
        <v>56</v>
      </c>
      <c r="F4069" s="32" t="s">
        <v>300</v>
      </c>
      <c r="J4069" s="32">
        <v>2</v>
      </c>
      <c r="P4069" s="32">
        <v>660</v>
      </c>
      <c r="R4069" s="32">
        <v>280</v>
      </c>
      <c r="T4069" s="32">
        <v>380</v>
      </c>
    </row>
    <row r="4070" spans="2:20" ht="12.75" hidden="1" x14ac:dyDescent="0.25">
      <c r="B4070" s="32">
        <v>57</v>
      </c>
      <c r="F4070" s="32" t="s">
        <v>258</v>
      </c>
      <c r="J4070" s="32">
        <v>2</v>
      </c>
      <c r="P4070" s="32">
        <v>660</v>
      </c>
      <c r="R4070" s="32">
        <v>280</v>
      </c>
      <c r="T4070" s="32">
        <v>380</v>
      </c>
    </row>
    <row r="4071" spans="2:20" ht="12.75" hidden="1" x14ac:dyDescent="0.25">
      <c r="B4071" s="32">
        <v>58</v>
      </c>
      <c r="F4071" s="32" t="s">
        <v>181</v>
      </c>
      <c r="J4071" s="32">
        <v>5</v>
      </c>
      <c r="P4071" s="32">
        <v>3950</v>
      </c>
      <c r="R4071" s="32">
        <v>600</v>
      </c>
      <c r="T4071" s="32">
        <v>3350</v>
      </c>
    </row>
    <row r="4072" spans="2:20" ht="12.75" hidden="1" x14ac:dyDescent="0.25">
      <c r="B4072" s="32">
        <v>59</v>
      </c>
      <c r="F4072" s="32" t="s">
        <v>111</v>
      </c>
      <c r="J4072" s="32">
        <v>8</v>
      </c>
      <c r="P4072" s="32">
        <v>3440</v>
      </c>
      <c r="R4072" s="32">
        <v>1040</v>
      </c>
      <c r="T4072" s="32">
        <v>2400</v>
      </c>
    </row>
    <row r="4073" spans="2:20" ht="12.75" hidden="1" x14ac:dyDescent="0.25">
      <c r="B4073" s="32">
        <v>60</v>
      </c>
      <c r="F4073" s="32" t="s">
        <v>257</v>
      </c>
      <c r="J4073" s="32">
        <v>1</v>
      </c>
      <c r="P4073" s="32">
        <v>990</v>
      </c>
      <c r="R4073" s="32">
        <v>150</v>
      </c>
      <c r="T4073" s="32">
        <v>840</v>
      </c>
    </row>
    <row r="4074" spans="2:20" ht="12.75" hidden="1" x14ac:dyDescent="0.25">
      <c r="B4074" s="32">
        <v>61</v>
      </c>
      <c r="F4074" s="32" t="s">
        <v>109</v>
      </c>
      <c r="J4074" s="32">
        <v>8</v>
      </c>
      <c r="P4074" s="32">
        <v>6240</v>
      </c>
      <c r="R4074" s="32">
        <v>1840</v>
      </c>
      <c r="T4074" s="32">
        <v>4400</v>
      </c>
    </row>
    <row r="4075" spans="2:20" ht="12.75" hidden="1" x14ac:dyDescent="0.25">
      <c r="B4075" s="32">
        <v>62</v>
      </c>
      <c r="F4075" s="32" t="s">
        <v>108</v>
      </c>
      <c r="J4075" s="32">
        <v>1</v>
      </c>
      <c r="P4075" s="32">
        <v>100</v>
      </c>
      <c r="R4075" s="32">
        <v>30</v>
      </c>
      <c r="T4075" s="32">
        <v>70</v>
      </c>
    </row>
    <row r="4076" spans="2:20" ht="12.75" hidden="1" x14ac:dyDescent="0.25">
      <c r="B4076" s="32">
        <v>63</v>
      </c>
      <c r="F4076" s="32" t="s">
        <v>107</v>
      </c>
      <c r="J4076" s="32">
        <v>94</v>
      </c>
      <c r="P4076" s="32">
        <v>15980</v>
      </c>
      <c r="R4076" s="32">
        <v>5104</v>
      </c>
      <c r="T4076" s="32">
        <v>10876</v>
      </c>
    </row>
    <row r="4077" spans="2:20" ht="12.75" hidden="1" x14ac:dyDescent="0.25">
      <c r="B4077" s="32">
        <v>64</v>
      </c>
      <c r="F4077" s="32" t="s">
        <v>106</v>
      </c>
      <c r="J4077" s="32">
        <v>2</v>
      </c>
      <c r="P4077" s="32">
        <v>200</v>
      </c>
      <c r="R4077" s="32">
        <v>60</v>
      </c>
      <c r="T4077" s="32">
        <v>140</v>
      </c>
    </row>
    <row r="4078" spans="2:20" ht="12.75" hidden="1" x14ac:dyDescent="0.25">
      <c r="B4078" s="32">
        <v>65</v>
      </c>
      <c r="F4078" s="32" t="s">
        <v>180</v>
      </c>
      <c r="J4078" s="32">
        <v>2</v>
      </c>
      <c r="P4078" s="32">
        <v>1180</v>
      </c>
      <c r="R4078" s="32">
        <v>360</v>
      </c>
      <c r="T4078" s="32">
        <v>820</v>
      </c>
    </row>
    <row r="4079" spans="2:20" ht="12.75" hidden="1" x14ac:dyDescent="0.25">
      <c r="B4079" s="32">
        <v>66</v>
      </c>
      <c r="F4079" s="32" t="s">
        <v>255</v>
      </c>
      <c r="J4079" s="32">
        <v>1</v>
      </c>
      <c r="P4079" s="32">
        <v>950</v>
      </c>
      <c r="R4079" s="32">
        <v>140</v>
      </c>
      <c r="T4079" s="32">
        <v>810</v>
      </c>
    </row>
    <row r="4080" spans="2:20" ht="12.75" hidden="1" x14ac:dyDescent="0.25">
      <c r="B4080" s="32">
        <v>67</v>
      </c>
      <c r="F4080" s="32" t="s">
        <v>299</v>
      </c>
      <c r="J4080" s="32">
        <v>1</v>
      </c>
      <c r="P4080" s="32">
        <v>990</v>
      </c>
      <c r="R4080" s="32">
        <v>150</v>
      </c>
      <c r="T4080" s="32">
        <v>840</v>
      </c>
    </row>
    <row r="4081" spans="2:20" ht="12.75" hidden="1" x14ac:dyDescent="0.25">
      <c r="B4081" s="32">
        <v>68</v>
      </c>
      <c r="F4081" s="32" t="s">
        <v>216</v>
      </c>
      <c r="J4081" s="32">
        <v>5</v>
      </c>
      <c r="P4081" s="32">
        <v>5400</v>
      </c>
      <c r="R4081" s="32">
        <v>825</v>
      </c>
      <c r="T4081" s="32">
        <v>4575</v>
      </c>
    </row>
    <row r="4082" spans="2:20" ht="12.75" hidden="1" x14ac:dyDescent="0.25">
      <c r="B4082" s="32">
        <v>69</v>
      </c>
      <c r="F4082" s="32" t="s">
        <v>105</v>
      </c>
      <c r="J4082" s="32">
        <v>6</v>
      </c>
      <c r="P4082" s="32">
        <v>6900</v>
      </c>
      <c r="R4082" s="32">
        <v>0</v>
      </c>
      <c r="T4082" s="32">
        <v>6900</v>
      </c>
    </row>
    <row r="4083" spans="2:20" ht="12.75" hidden="1" x14ac:dyDescent="0.25">
      <c r="B4083" s="32">
        <v>70</v>
      </c>
      <c r="F4083" s="32" t="s">
        <v>104</v>
      </c>
      <c r="J4083" s="32">
        <v>2</v>
      </c>
      <c r="P4083" s="32">
        <v>660</v>
      </c>
      <c r="R4083" s="32">
        <v>200</v>
      </c>
      <c r="T4083" s="32">
        <v>460</v>
      </c>
    </row>
    <row r="4084" spans="2:20" ht="12.75" hidden="1" x14ac:dyDescent="0.25">
      <c r="B4084" s="32">
        <v>71</v>
      </c>
      <c r="F4084" s="32" t="s">
        <v>103</v>
      </c>
      <c r="J4084" s="32">
        <v>90</v>
      </c>
      <c r="P4084" s="32">
        <v>29700</v>
      </c>
      <c r="R4084" s="32">
        <v>11140</v>
      </c>
      <c r="T4084" s="32">
        <v>18560</v>
      </c>
    </row>
    <row r="4085" spans="2:20" ht="12.75" hidden="1" x14ac:dyDescent="0.25">
      <c r="B4085" s="32">
        <v>72</v>
      </c>
      <c r="F4085" s="32" t="s">
        <v>298</v>
      </c>
      <c r="J4085" s="32">
        <v>2</v>
      </c>
      <c r="P4085" s="32">
        <v>660</v>
      </c>
      <c r="R4085" s="32">
        <v>280</v>
      </c>
      <c r="T4085" s="32">
        <v>380</v>
      </c>
    </row>
    <row r="4086" spans="2:20" ht="12.75" hidden="1" x14ac:dyDescent="0.25">
      <c r="B4086" s="32">
        <v>73</v>
      </c>
      <c r="F4086" s="32" t="s">
        <v>102</v>
      </c>
      <c r="J4086" s="32">
        <v>3</v>
      </c>
      <c r="P4086" s="32">
        <v>2640</v>
      </c>
      <c r="R4086" s="32">
        <v>390</v>
      </c>
      <c r="T4086" s="32">
        <v>2250</v>
      </c>
    </row>
    <row r="4087" spans="2:20" ht="12.75" hidden="1" x14ac:dyDescent="0.25">
      <c r="B4087" s="32">
        <v>74</v>
      </c>
      <c r="F4087" s="32" t="s">
        <v>179</v>
      </c>
      <c r="J4087" s="32">
        <v>2</v>
      </c>
      <c r="P4087" s="32">
        <v>1760</v>
      </c>
      <c r="R4087" s="32">
        <v>260</v>
      </c>
      <c r="T4087" s="32">
        <v>1500</v>
      </c>
    </row>
    <row r="4088" spans="2:20" ht="12.75" hidden="1" x14ac:dyDescent="0.25">
      <c r="B4088" s="32">
        <v>75</v>
      </c>
      <c r="F4088" s="32" t="s">
        <v>100</v>
      </c>
      <c r="J4088" s="32">
        <v>9</v>
      </c>
      <c r="P4088" s="32">
        <v>1620</v>
      </c>
      <c r="R4088" s="32">
        <v>450</v>
      </c>
      <c r="T4088" s="32">
        <v>1170</v>
      </c>
    </row>
    <row r="4089" spans="2:20" ht="12.75" hidden="1" x14ac:dyDescent="0.25">
      <c r="B4089" s="32">
        <v>76</v>
      </c>
      <c r="F4089" s="32" t="s">
        <v>178</v>
      </c>
      <c r="J4089" s="32">
        <v>15</v>
      </c>
      <c r="P4089" s="32">
        <v>24750</v>
      </c>
      <c r="R4089" s="32">
        <v>0</v>
      </c>
      <c r="T4089" s="32">
        <v>24750</v>
      </c>
    </row>
    <row r="4090" spans="2:20" ht="12.75" hidden="1" x14ac:dyDescent="0.25">
      <c r="B4090" s="32">
        <v>77</v>
      </c>
      <c r="F4090" s="32" t="s">
        <v>274</v>
      </c>
      <c r="J4090" s="32">
        <v>1</v>
      </c>
      <c r="P4090" s="32">
        <v>180</v>
      </c>
      <c r="R4090" s="32">
        <v>50</v>
      </c>
      <c r="T4090" s="32">
        <v>130</v>
      </c>
    </row>
    <row r="4091" spans="2:20" ht="12.75" hidden="1" x14ac:dyDescent="0.25">
      <c r="B4091" s="32">
        <v>78</v>
      </c>
      <c r="F4091" s="32" t="s">
        <v>99</v>
      </c>
      <c r="J4091" s="32">
        <v>5</v>
      </c>
      <c r="P4091" s="32">
        <v>2950</v>
      </c>
      <c r="R4091" s="32">
        <v>450</v>
      </c>
      <c r="T4091" s="32">
        <v>2500</v>
      </c>
    </row>
    <row r="4092" spans="2:20" ht="12.75" hidden="1" x14ac:dyDescent="0.25">
      <c r="B4092" s="32">
        <v>79</v>
      </c>
      <c r="F4092" s="32" t="s">
        <v>98</v>
      </c>
      <c r="J4092" s="32">
        <v>5</v>
      </c>
      <c r="P4092" s="32">
        <v>2850</v>
      </c>
      <c r="R4092" s="32">
        <v>400</v>
      </c>
      <c r="T4092" s="32">
        <v>2450</v>
      </c>
    </row>
    <row r="4093" spans="2:20" ht="12.75" hidden="1" x14ac:dyDescent="0.25">
      <c r="B4093" s="32">
        <v>80</v>
      </c>
      <c r="F4093" s="32" t="s">
        <v>176</v>
      </c>
      <c r="J4093" s="32">
        <v>1</v>
      </c>
      <c r="P4093" s="32">
        <v>1060</v>
      </c>
      <c r="R4093" s="32">
        <v>160</v>
      </c>
      <c r="T4093" s="32">
        <v>900</v>
      </c>
    </row>
    <row r="4094" spans="2:20" ht="12.75" hidden="1" x14ac:dyDescent="0.25">
      <c r="B4094" s="32">
        <v>81</v>
      </c>
      <c r="F4094" s="32" t="s">
        <v>97</v>
      </c>
      <c r="J4094" s="32">
        <v>12</v>
      </c>
      <c r="P4094" s="32">
        <v>19080</v>
      </c>
      <c r="R4094" s="32">
        <v>2880</v>
      </c>
      <c r="T4094" s="32">
        <v>16200</v>
      </c>
    </row>
    <row r="4095" spans="2:20" ht="12.75" hidden="1" x14ac:dyDescent="0.25">
      <c r="B4095" s="32">
        <v>82</v>
      </c>
      <c r="F4095" s="32" t="s">
        <v>95</v>
      </c>
      <c r="J4095" s="32">
        <v>1</v>
      </c>
      <c r="P4095" s="32">
        <v>290</v>
      </c>
      <c r="R4095" s="32">
        <v>80</v>
      </c>
      <c r="T4095" s="32">
        <v>210</v>
      </c>
    </row>
    <row r="4096" spans="2:20" ht="12.75" hidden="1" x14ac:dyDescent="0.25">
      <c r="B4096" s="32">
        <v>83</v>
      </c>
      <c r="F4096" s="32" t="s">
        <v>253</v>
      </c>
      <c r="J4096" s="32">
        <v>4</v>
      </c>
      <c r="P4096" s="32">
        <v>1160</v>
      </c>
      <c r="R4096" s="32">
        <v>470</v>
      </c>
      <c r="T4096" s="32">
        <v>690</v>
      </c>
    </row>
    <row r="4097" spans="2:20" ht="12.75" hidden="1" x14ac:dyDescent="0.25">
      <c r="B4097" s="32">
        <v>84</v>
      </c>
      <c r="F4097" s="32" t="s">
        <v>93</v>
      </c>
      <c r="J4097" s="32">
        <v>26</v>
      </c>
      <c r="P4097" s="32">
        <v>15340</v>
      </c>
      <c r="R4097" s="32">
        <v>2340</v>
      </c>
      <c r="T4097" s="32">
        <v>13000</v>
      </c>
    </row>
    <row r="4098" spans="2:20" ht="12.75" hidden="1" x14ac:dyDescent="0.25">
      <c r="B4098" s="32">
        <v>85</v>
      </c>
      <c r="F4098" s="32" t="s">
        <v>92</v>
      </c>
      <c r="J4098" s="32">
        <v>41</v>
      </c>
      <c r="P4098" s="32">
        <v>27960</v>
      </c>
      <c r="R4098" s="32">
        <v>8320</v>
      </c>
      <c r="T4098" s="32">
        <v>19640</v>
      </c>
    </row>
    <row r="4099" spans="2:20" ht="12.75" hidden="1" x14ac:dyDescent="0.25">
      <c r="B4099" s="32">
        <v>86</v>
      </c>
      <c r="F4099" s="32" t="s">
        <v>297</v>
      </c>
      <c r="J4099" s="32">
        <v>1</v>
      </c>
      <c r="P4099" s="32">
        <v>400</v>
      </c>
      <c r="R4099" s="32">
        <v>120</v>
      </c>
      <c r="T4099" s="32">
        <v>280</v>
      </c>
    </row>
    <row r="4100" spans="2:20" ht="12.75" hidden="1" x14ac:dyDescent="0.25">
      <c r="B4100" s="32">
        <v>87</v>
      </c>
      <c r="F4100" s="32" t="s">
        <v>175</v>
      </c>
      <c r="J4100" s="32">
        <v>11</v>
      </c>
      <c r="P4100" s="32">
        <v>6600</v>
      </c>
      <c r="R4100" s="32">
        <v>1980</v>
      </c>
      <c r="T4100" s="32">
        <v>4620</v>
      </c>
    </row>
    <row r="4101" spans="2:20" ht="12.75" hidden="1" x14ac:dyDescent="0.25">
      <c r="B4101" s="32">
        <v>88</v>
      </c>
      <c r="F4101" s="32" t="s">
        <v>174</v>
      </c>
      <c r="J4101" s="32">
        <v>9</v>
      </c>
      <c r="P4101" s="32">
        <v>3600</v>
      </c>
      <c r="R4101" s="32">
        <v>1080</v>
      </c>
      <c r="T4101" s="32">
        <v>2520</v>
      </c>
    </row>
    <row r="4102" spans="2:20" ht="12.75" hidden="1" x14ac:dyDescent="0.25">
      <c r="B4102" s="32">
        <v>89</v>
      </c>
      <c r="F4102" s="32" t="s">
        <v>173</v>
      </c>
      <c r="J4102" s="32">
        <v>20</v>
      </c>
      <c r="P4102" s="32">
        <v>20000</v>
      </c>
      <c r="R4102" s="32">
        <v>6000</v>
      </c>
      <c r="T4102" s="32">
        <v>14000</v>
      </c>
    </row>
    <row r="4103" spans="2:20" ht="12.75" hidden="1" x14ac:dyDescent="0.25">
      <c r="B4103" s="32">
        <v>90</v>
      </c>
      <c r="F4103" s="32" t="s">
        <v>296</v>
      </c>
      <c r="J4103" s="32">
        <v>1</v>
      </c>
      <c r="P4103" s="32">
        <v>1200</v>
      </c>
      <c r="R4103" s="32">
        <v>360</v>
      </c>
      <c r="T4103" s="32">
        <v>840</v>
      </c>
    </row>
    <row r="4104" spans="2:20" ht="12.75" hidden="1" x14ac:dyDescent="0.25">
      <c r="B4104" s="32">
        <v>91</v>
      </c>
      <c r="F4104" s="32" t="s">
        <v>91</v>
      </c>
      <c r="J4104" s="32">
        <v>51</v>
      </c>
      <c r="P4104" s="32">
        <v>12750</v>
      </c>
      <c r="R4104" s="32">
        <v>3585</v>
      </c>
      <c r="T4104" s="32">
        <v>9165</v>
      </c>
    </row>
    <row r="4105" spans="2:20" ht="12.75" hidden="1" x14ac:dyDescent="0.25">
      <c r="B4105" s="32">
        <v>92</v>
      </c>
      <c r="F4105" s="32" t="s">
        <v>90</v>
      </c>
      <c r="J4105" s="32">
        <v>40</v>
      </c>
      <c r="P4105" s="32">
        <v>11600</v>
      </c>
      <c r="R4105" s="32">
        <v>3200</v>
      </c>
      <c r="T4105" s="32">
        <v>8400</v>
      </c>
    </row>
    <row r="4106" spans="2:20" ht="12.75" hidden="1" x14ac:dyDescent="0.25">
      <c r="B4106" s="32">
        <v>93</v>
      </c>
      <c r="F4106" s="32" t="s">
        <v>89</v>
      </c>
      <c r="J4106" s="32">
        <v>14</v>
      </c>
      <c r="P4106" s="32">
        <v>12320</v>
      </c>
      <c r="R4106" s="32">
        <v>1820</v>
      </c>
      <c r="T4106" s="32">
        <v>10500</v>
      </c>
    </row>
    <row r="4107" spans="2:20" ht="12.75" hidden="1" x14ac:dyDescent="0.25">
      <c r="B4107" s="32">
        <v>94</v>
      </c>
      <c r="F4107" s="32" t="s">
        <v>88</v>
      </c>
      <c r="J4107" s="32">
        <v>200</v>
      </c>
      <c r="P4107" s="32">
        <v>36000</v>
      </c>
      <c r="R4107" s="32">
        <v>11613</v>
      </c>
      <c r="T4107" s="32">
        <v>24387</v>
      </c>
    </row>
    <row r="4108" spans="2:20" ht="12.75" hidden="1" x14ac:dyDescent="0.25">
      <c r="B4108" s="32">
        <v>95</v>
      </c>
      <c r="F4108" s="32" t="s">
        <v>86</v>
      </c>
      <c r="J4108" s="32">
        <v>1</v>
      </c>
      <c r="P4108" s="32">
        <v>1140</v>
      </c>
      <c r="R4108" s="32">
        <v>170</v>
      </c>
      <c r="T4108" s="32">
        <v>970</v>
      </c>
    </row>
    <row r="4109" spans="2:20" ht="12.75" hidden="1" x14ac:dyDescent="0.25">
      <c r="B4109" s="32">
        <v>96</v>
      </c>
      <c r="F4109" s="32" t="s">
        <v>85</v>
      </c>
      <c r="J4109" s="32">
        <v>16</v>
      </c>
      <c r="P4109" s="32">
        <v>33280</v>
      </c>
      <c r="R4109" s="32">
        <v>4960</v>
      </c>
      <c r="T4109" s="32">
        <v>28320</v>
      </c>
    </row>
    <row r="4110" spans="2:20" ht="12.75" hidden="1" x14ac:dyDescent="0.25">
      <c r="B4110" s="32">
        <v>97</v>
      </c>
      <c r="F4110" s="32" t="s">
        <v>84</v>
      </c>
      <c r="J4110" s="32">
        <v>31</v>
      </c>
      <c r="P4110" s="32">
        <v>18290</v>
      </c>
      <c r="R4110" s="32">
        <v>5580</v>
      </c>
      <c r="T4110" s="32">
        <v>12710</v>
      </c>
    </row>
    <row r="4111" spans="2:20" ht="12.75" hidden="1" x14ac:dyDescent="0.25">
      <c r="B4111" s="32">
        <v>98</v>
      </c>
      <c r="F4111" s="32" t="s">
        <v>82</v>
      </c>
      <c r="J4111" s="32">
        <v>26</v>
      </c>
      <c r="P4111" s="32">
        <v>7540</v>
      </c>
      <c r="R4111" s="32">
        <v>7540</v>
      </c>
      <c r="T4111" s="32">
        <v>0</v>
      </c>
    </row>
    <row r="4112" spans="2:20" ht="12.75" hidden="1" x14ac:dyDescent="0.25">
      <c r="B4112" s="32">
        <v>99</v>
      </c>
      <c r="F4112" s="32" t="s">
        <v>81</v>
      </c>
      <c r="J4112" s="32">
        <v>27</v>
      </c>
      <c r="P4112" s="32">
        <v>7830</v>
      </c>
      <c r="R4112" s="32">
        <v>2130</v>
      </c>
      <c r="T4112" s="32">
        <v>5700</v>
      </c>
    </row>
    <row r="4113" spans="1:20" ht="12.75" hidden="1" x14ac:dyDescent="0.25">
      <c r="A4113" s="32" t="s">
        <v>295</v>
      </c>
      <c r="K4113" s="32">
        <v>7619</v>
      </c>
      <c r="P4113" s="32">
        <v>6317150</v>
      </c>
      <c r="R4113" s="32">
        <v>5346575</v>
      </c>
      <c r="T4113" s="32">
        <v>970575</v>
      </c>
    </row>
    <row r="4114" spans="1:20" ht="12.75" hidden="1" x14ac:dyDescent="0.25">
      <c r="B4114" s="32">
        <v>1</v>
      </c>
      <c r="F4114" s="32" t="s">
        <v>200</v>
      </c>
      <c r="J4114" s="32">
        <v>1</v>
      </c>
      <c r="P4114" s="32">
        <v>500</v>
      </c>
      <c r="R4114" s="32">
        <v>150</v>
      </c>
      <c r="T4114" s="32">
        <v>350</v>
      </c>
    </row>
    <row r="4115" spans="1:20" ht="12.75" hidden="1" x14ac:dyDescent="0.25">
      <c r="B4115" s="32">
        <v>2</v>
      </c>
      <c r="F4115" s="32" t="s">
        <v>78</v>
      </c>
      <c r="J4115" s="32">
        <v>464</v>
      </c>
      <c r="P4115" s="32">
        <v>134560</v>
      </c>
      <c r="R4115" s="32">
        <v>134560</v>
      </c>
      <c r="T4115" s="32">
        <v>0</v>
      </c>
    </row>
    <row r="4116" spans="1:20" ht="12.75" hidden="1" x14ac:dyDescent="0.25">
      <c r="B4116" s="32">
        <v>3</v>
      </c>
      <c r="F4116" s="32" t="s">
        <v>294</v>
      </c>
      <c r="J4116" s="32">
        <v>1</v>
      </c>
      <c r="P4116" s="32">
        <v>500</v>
      </c>
      <c r="R4116" s="32">
        <v>150</v>
      </c>
      <c r="T4116" s="32">
        <v>350</v>
      </c>
    </row>
    <row r="4117" spans="1:20" ht="12.75" hidden="1" x14ac:dyDescent="0.25">
      <c r="B4117" s="32">
        <v>4</v>
      </c>
      <c r="F4117" s="32" t="s">
        <v>165</v>
      </c>
      <c r="J4117" s="32">
        <v>1</v>
      </c>
      <c r="P4117" s="32">
        <v>590</v>
      </c>
      <c r="R4117" s="32">
        <v>180</v>
      </c>
      <c r="T4117" s="32">
        <v>410</v>
      </c>
    </row>
    <row r="4118" spans="1:20" ht="12.75" hidden="1" x14ac:dyDescent="0.25">
      <c r="B4118" s="32">
        <v>5</v>
      </c>
      <c r="F4118" s="32" t="s">
        <v>164</v>
      </c>
      <c r="J4118" s="32">
        <v>3</v>
      </c>
      <c r="P4118" s="32">
        <v>1770</v>
      </c>
      <c r="R4118" s="32">
        <v>540</v>
      </c>
      <c r="T4118" s="32">
        <v>1230</v>
      </c>
    </row>
    <row r="4119" spans="1:20" ht="12.75" hidden="1" x14ac:dyDescent="0.25">
      <c r="B4119" s="32">
        <v>6</v>
      </c>
      <c r="F4119" s="32" t="s">
        <v>245</v>
      </c>
      <c r="J4119" s="32">
        <v>1</v>
      </c>
      <c r="P4119" s="32">
        <v>3000</v>
      </c>
      <c r="R4119" s="32">
        <v>750</v>
      </c>
      <c r="T4119" s="32">
        <v>2250</v>
      </c>
    </row>
    <row r="4120" spans="1:20" ht="12.75" hidden="1" x14ac:dyDescent="0.25">
      <c r="B4120" s="32">
        <v>7</v>
      </c>
      <c r="F4120" s="32" t="s">
        <v>162</v>
      </c>
      <c r="J4120" s="32">
        <v>4</v>
      </c>
      <c r="P4120" s="32">
        <v>1720</v>
      </c>
      <c r="R4120" s="32">
        <v>700</v>
      </c>
      <c r="T4120" s="32">
        <v>1020</v>
      </c>
    </row>
    <row r="4121" spans="1:20" ht="12.75" hidden="1" x14ac:dyDescent="0.25">
      <c r="B4121" s="32">
        <v>8</v>
      </c>
      <c r="F4121" s="32" t="s">
        <v>198</v>
      </c>
      <c r="J4121" s="32">
        <v>1</v>
      </c>
      <c r="P4121" s="32">
        <v>290</v>
      </c>
      <c r="R4121" s="32">
        <v>80</v>
      </c>
      <c r="T4121" s="32">
        <v>210</v>
      </c>
    </row>
    <row r="4122" spans="1:20" ht="12.75" hidden="1" x14ac:dyDescent="0.25">
      <c r="B4122" s="32">
        <v>9</v>
      </c>
      <c r="F4122" s="32" t="s">
        <v>160</v>
      </c>
      <c r="J4122" s="32">
        <v>3</v>
      </c>
      <c r="P4122" s="32">
        <v>870</v>
      </c>
      <c r="R4122" s="32">
        <v>240</v>
      </c>
      <c r="T4122" s="32">
        <v>630</v>
      </c>
    </row>
    <row r="4123" spans="1:20" ht="12.75" hidden="1" x14ac:dyDescent="0.25">
      <c r="B4123" s="32">
        <v>10</v>
      </c>
      <c r="F4123" s="32" t="s">
        <v>158</v>
      </c>
      <c r="J4123" s="32">
        <v>911</v>
      </c>
      <c r="P4123" s="32">
        <v>501050</v>
      </c>
      <c r="R4123" s="32">
        <v>198137</v>
      </c>
      <c r="T4123" s="32">
        <v>302913</v>
      </c>
    </row>
    <row r="4124" spans="1:20" ht="12.75" hidden="1" x14ac:dyDescent="0.25">
      <c r="B4124" s="32">
        <v>11</v>
      </c>
      <c r="F4124" s="32" t="s">
        <v>157</v>
      </c>
      <c r="J4124" s="32">
        <v>22</v>
      </c>
      <c r="P4124" s="32">
        <v>10780</v>
      </c>
      <c r="R4124" s="32">
        <v>4600</v>
      </c>
      <c r="T4124" s="32">
        <v>6180</v>
      </c>
    </row>
    <row r="4125" spans="1:20" ht="12.75" hidden="1" x14ac:dyDescent="0.25">
      <c r="B4125" s="32">
        <v>12</v>
      </c>
      <c r="F4125" s="32" t="s">
        <v>293</v>
      </c>
      <c r="J4125" s="32">
        <v>1</v>
      </c>
      <c r="P4125" s="32">
        <v>900</v>
      </c>
      <c r="R4125" s="32">
        <v>270</v>
      </c>
      <c r="T4125" s="32">
        <v>630</v>
      </c>
    </row>
    <row r="4126" spans="1:20" ht="12.75" hidden="1" x14ac:dyDescent="0.25">
      <c r="B4126" s="32">
        <v>13</v>
      </c>
      <c r="F4126" s="32" t="s">
        <v>196</v>
      </c>
      <c r="J4126" s="32">
        <v>9</v>
      </c>
      <c r="P4126" s="32">
        <v>6300</v>
      </c>
      <c r="R4126" s="32">
        <v>2030</v>
      </c>
      <c r="T4126" s="32">
        <v>4270</v>
      </c>
    </row>
    <row r="4127" spans="1:20" ht="12.75" hidden="1" x14ac:dyDescent="0.25">
      <c r="B4127" s="32">
        <v>14</v>
      </c>
      <c r="F4127" s="32" t="s">
        <v>292</v>
      </c>
      <c r="J4127" s="32">
        <v>1</v>
      </c>
      <c r="P4127" s="32">
        <v>700</v>
      </c>
      <c r="R4127" s="32">
        <v>700</v>
      </c>
      <c r="T4127" s="32">
        <v>0</v>
      </c>
    </row>
    <row r="4128" spans="1:20" ht="12.75" hidden="1" x14ac:dyDescent="0.25">
      <c r="B4128" s="32">
        <v>15</v>
      </c>
      <c r="F4128" s="32" t="s">
        <v>244</v>
      </c>
      <c r="J4128" s="32">
        <v>1</v>
      </c>
      <c r="P4128" s="32">
        <v>300</v>
      </c>
      <c r="R4128" s="32">
        <v>120</v>
      </c>
      <c r="T4128" s="32">
        <v>180</v>
      </c>
    </row>
    <row r="4129" spans="2:20" ht="12.75" hidden="1" x14ac:dyDescent="0.25">
      <c r="B4129" s="32">
        <v>16</v>
      </c>
      <c r="F4129" s="32" t="s">
        <v>77</v>
      </c>
      <c r="J4129" s="32">
        <v>2843</v>
      </c>
      <c r="P4129" s="32">
        <v>1156700</v>
      </c>
      <c r="R4129" s="32">
        <v>1156300</v>
      </c>
      <c r="T4129" s="32">
        <v>400</v>
      </c>
    </row>
    <row r="4130" spans="2:20" ht="12.75" hidden="1" x14ac:dyDescent="0.25">
      <c r="B4130" s="32">
        <v>17</v>
      </c>
      <c r="F4130" s="32" t="s">
        <v>291</v>
      </c>
      <c r="J4130" s="32">
        <v>2</v>
      </c>
      <c r="P4130" s="32">
        <v>400</v>
      </c>
      <c r="R4130" s="32">
        <v>100</v>
      </c>
      <c r="T4130" s="32">
        <v>300</v>
      </c>
    </row>
    <row r="4131" spans="2:20" ht="12.75" hidden="1" x14ac:dyDescent="0.25">
      <c r="B4131" s="32">
        <v>18</v>
      </c>
      <c r="F4131" s="32" t="s">
        <v>242</v>
      </c>
      <c r="J4131" s="32">
        <v>21</v>
      </c>
      <c r="P4131" s="32">
        <v>10500</v>
      </c>
      <c r="R4131" s="32">
        <v>0</v>
      </c>
      <c r="T4131" s="32">
        <v>10500</v>
      </c>
    </row>
    <row r="4132" spans="2:20" ht="12.75" hidden="1" x14ac:dyDescent="0.25">
      <c r="B4132" s="32">
        <v>19</v>
      </c>
      <c r="F4132" s="32" t="s">
        <v>241</v>
      </c>
      <c r="J4132" s="32">
        <v>1</v>
      </c>
      <c r="P4132" s="32">
        <v>350</v>
      </c>
      <c r="R4132" s="32">
        <v>350</v>
      </c>
      <c r="T4132" s="32">
        <v>0</v>
      </c>
    </row>
    <row r="4133" spans="2:20" ht="12.75" hidden="1" x14ac:dyDescent="0.25">
      <c r="B4133" s="32">
        <v>20</v>
      </c>
      <c r="F4133" s="32" t="s">
        <v>156</v>
      </c>
      <c r="J4133" s="32">
        <v>5</v>
      </c>
      <c r="P4133" s="32">
        <v>950</v>
      </c>
      <c r="R4133" s="32">
        <v>330</v>
      </c>
      <c r="T4133" s="32">
        <v>620</v>
      </c>
    </row>
    <row r="4134" spans="2:20" ht="12.75" hidden="1" x14ac:dyDescent="0.25">
      <c r="B4134" s="32">
        <v>21</v>
      </c>
      <c r="F4134" s="32" t="s">
        <v>290</v>
      </c>
      <c r="J4134" s="32">
        <v>1</v>
      </c>
      <c r="P4134" s="32">
        <v>1790</v>
      </c>
      <c r="R4134" s="32">
        <v>270</v>
      </c>
      <c r="T4134" s="32">
        <v>1520</v>
      </c>
    </row>
    <row r="4135" spans="2:20" ht="12.75" hidden="1" x14ac:dyDescent="0.25">
      <c r="B4135" s="32">
        <v>22</v>
      </c>
      <c r="F4135" s="32" t="s">
        <v>155</v>
      </c>
      <c r="J4135" s="32">
        <v>420</v>
      </c>
      <c r="P4135" s="32">
        <v>105000</v>
      </c>
      <c r="R4135" s="32">
        <v>52319</v>
      </c>
      <c r="T4135" s="32">
        <v>52681</v>
      </c>
    </row>
    <row r="4136" spans="2:20" ht="12.75" hidden="1" x14ac:dyDescent="0.25">
      <c r="B4136" s="32">
        <v>23</v>
      </c>
      <c r="F4136" s="32" t="s">
        <v>154</v>
      </c>
      <c r="J4136" s="32">
        <v>5</v>
      </c>
      <c r="P4136" s="32">
        <v>4450</v>
      </c>
      <c r="R4136" s="32">
        <v>650</v>
      </c>
      <c r="T4136" s="32">
        <v>3800</v>
      </c>
    </row>
    <row r="4137" spans="2:20" ht="12.75" hidden="1" x14ac:dyDescent="0.25">
      <c r="B4137" s="32">
        <v>24</v>
      </c>
      <c r="F4137" s="32" t="s">
        <v>239</v>
      </c>
      <c r="J4137" s="32">
        <v>1</v>
      </c>
      <c r="P4137" s="32">
        <v>1090</v>
      </c>
      <c r="R4137" s="32">
        <v>0</v>
      </c>
      <c r="T4137" s="32">
        <v>1090</v>
      </c>
    </row>
    <row r="4138" spans="2:20" ht="12.75" hidden="1" x14ac:dyDescent="0.25">
      <c r="B4138" s="32">
        <v>25</v>
      </c>
      <c r="F4138" s="32" t="s">
        <v>195</v>
      </c>
      <c r="J4138" s="32">
        <v>1</v>
      </c>
      <c r="P4138" s="32">
        <v>1000</v>
      </c>
      <c r="R4138" s="32">
        <v>0</v>
      </c>
      <c r="T4138" s="32">
        <v>1000</v>
      </c>
    </row>
    <row r="4139" spans="2:20" ht="12.75" hidden="1" x14ac:dyDescent="0.25">
      <c r="B4139" s="32">
        <v>26</v>
      </c>
      <c r="F4139" s="32" t="s">
        <v>194</v>
      </c>
      <c r="J4139" s="32">
        <v>1</v>
      </c>
      <c r="P4139" s="32">
        <v>700</v>
      </c>
      <c r="R4139" s="32">
        <v>180</v>
      </c>
      <c r="T4139" s="32">
        <v>520</v>
      </c>
    </row>
    <row r="4140" spans="2:20" ht="12.75" hidden="1" x14ac:dyDescent="0.25">
      <c r="B4140" s="32">
        <v>27</v>
      </c>
      <c r="F4140" s="32" t="s">
        <v>289</v>
      </c>
      <c r="J4140" s="32">
        <v>2</v>
      </c>
      <c r="P4140" s="32">
        <v>1000</v>
      </c>
      <c r="R4140" s="32">
        <v>300</v>
      </c>
      <c r="T4140" s="32">
        <v>700</v>
      </c>
    </row>
    <row r="4141" spans="2:20" ht="12.75" hidden="1" x14ac:dyDescent="0.25">
      <c r="B4141" s="32">
        <v>28</v>
      </c>
      <c r="F4141" s="32" t="s">
        <v>152</v>
      </c>
      <c r="J4141" s="32">
        <v>1</v>
      </c>
      <c r="P4141" s="32">
        <v>590</v>
      </c>
      <c r="R4141" s="32">
        <v>180</v>
      </c>
      <c r="T4141" s="32">
        <v>410</v>
      </c>
    </row>
    <row r="4142" spans="2:20" ht="12.75" hidden="1" x14ac:dyDescent="0.25">
      <c r="B4142" s="32">
        <v>29</v>
      </c>
      <c r="F4142" s="32" t="s">
        <v>151</v>
      </c>
      <c r="J4142" s="32">
        <v>9</v>
      </c>
      <c r="P4142" s="32">
        <v>2070</v>
      </c>
      <c r="R4142" s="32">
        <v>680</v>
      </c>
      <c r="T4142" s="32">
        <v>1390</v>
      </c>
    </row>
    <row r="4143" spans="2:20" ht="12.75" hidden="1" x14ac:dyDescent="0.25">
      <c r="B4143" s="32">
        <v>30</v>
      </c>
      <c r="F4143" s="32" t="s">
        <v>149</v>
      </c>
      <c r="J4143" s="32">
        <v>1</v>
      </c>
      <c r="P4143" s="32">
        <v>50</v>
      </c>
      <c r="R4143" s="32">
        <v>10</v>
      </c>
      <c r="T4143" s="32">
        <v>40</v>
      </c>
    </row>
    <row r="4144" spans="2:20" ht="12.75" hidden="1" x14ac:dyDescent="0.25">
      <c r="B4144" s="32">
        <v>31</v>
      </c>
      <c r="F4144" s="32" t="s">
        <v>148</v>
      </c>
      <c r="J4144" s="32">
        <v>1</v>
      </c>
      <c r="P4144" s="32">
        <v>980</v>
      </c>
      <c r="R4144" s="32">
        <v>150</v>
      </c>
      <c r="T4144" s="32">
        <v>830</v>
      </c>
    </row>
    <row r="4145" spans="2:20" ht="12.75" hidden="1" x14ac:dyDescent="0.25">
      <c r="B4145" s="32">
        <v>32</v>
      </c>
      <c r="F4145" s="32" t="s">
        <v>235</v>
      </c>
      <c r="J4145" s="32">
        <v>1</v>
      </c>
      <c r="P4145" s="32">
        <v>950</v>
      </c>
      <c r="R4145" s="32">
        <v>140</v>
      </c>
      <c r="T4145" s="32">
        <v>810</v>
      </c>
    </row>
    <row r="4146" spans="2:20" ht="12.75" hidden="1" x14ac:dyDescent="0.25">
      <c r="B4146" s="32">
        <v>33</v>
      </c>
      <c r="F4146" s="32" t="s">
        <v>288</v>
      </c>
      <c r="J4146" s="32">
        <v>3</v>
      </c>
      <c r="P4146" s="32">
        <v>2400</v>
      </c>
      <c r="R4146" s="32">
        <v>1350</v>
      </c>
      <c r="T4146" s="32">
        <v>1050</v>
      </c>
    </row>
    <row r="4147" spans="2:20" ht="12.75" hidden="1" x14ac:dyDescent="0.25">
      <c r="B4147" s="32">
        <v>34</v>
      </c>
      <c r="F4147" s="32" t="s">
        <v>234</v>
      </c>
      <c r="J4147" s="32">
        <v>1</v>
      </c>
      <c r="P4147" s="32">
        <v>800</v>
      </c>
      <c r="R4147" s="32">
        <v>450</v>
      </c>
      <c r="T4147" s="32">
        <v>350</v>
      </c>
    </row>
    <row r="4148" spans="2:20" ht="12.75" hidden="1" x14ac:dyDescent="0.25">
      <c r="B4148" s="32">
        <v>35</v>
      </c>
      <c r="F4148" s="32" t="s">
        <v>287</v>
      </c>
      <c r="J4148" s="32">
        <v>7</v>
      </c>
      <c r="P4148" s="32">
        <v>5900</v>
      </c>
      <c r="R4148" s="32">
        <v>2610</v>
      </c>
      <c r="T4148" s="32">
        <v>3290</v>
      </c>
    </row>
    <row r="4149" spans="2:20" ht="12.75" hidden="1" x14ac:dyDescent="0.25">
      <c r="B4149" s="32">
        <v>36</v>
      </c>
      <c r="F4149" s="32" t="s">
        <v>286</v>
      </c>
      <c r="J4149" s="32">
        <v>4</v>
      </c>
      <c r="P4149" s="32">
        <v>3200</v>
      </c>
      <c r="R4149" s="32">
        <v>1350</v>
      </c>
      <c r="T4149" s="32">
        <v>1850</v>
      </c>
    </row>
    <row r="4150" spans="2:20" ht="12.75" hidden="1" x14ac:dyDescent="0.25">
      <c r="B4150" s="32">
        <v>37</v>
      </c>
      <c r="F4150" s="32" t="s">
        <v>233</v>
      </c>
      <c r="J4150" s="32">
        <v>3</v>
      </c>
      <c r="P4150" s="32">
        <v>2940</v>
      </c>
      <c r="R4150" s="32">
        <v>450</v>
      </c>
      <c r="T4150" s="32">
        <v>2490</v>
      </c>
    </row>
    <row r="4151" spans="2:20" ht="12.75" hidden="1" x14ac:dyDescent="0.25">
      <c r="B4151" s="32">
        <v>38</v>
      </c>
      <c r="F4151" s="32" t="s">
        <v>232</v>
      </c>
      <c r="J4151" s="32">
        <v>2</v>
      </c>
      <c r="P4151" s="32">
        <v>1960</v>
      </c>
      <c r="R4151" s="32">
        <v>300</v>
      </c>
      <c r="T4151" s="32">
        <v>1660</v>
      </c>
    </row>
    <row r="4152" spans="2:20" ht="12.75" hidden="1" x14ac:dyDescent="0.25">
      <c r="B4152" s="32">
        <v>39</v>
      </c>
      <c r="F4152" s="32" t="s">
        <v>193</v>
      </c>
      <c r="J4152" s="32">
        <v>4</v>
      </c>
      <c r="P4152" s="32">
        <v>3560</v>
      </c>
      <c r="R4152" s="32">
        <v>520</v>
      </c>
      <c r="T4152" s="32">
        <v>3040</v>
      </c>
    </row>
    <row r="4153" spans="2:20" ht="12.75" hidden="1" x14ac:dyDescent="0.25">
      <c r="B4153" s="32">
        <v>40</v>
      </c>
      <c r="F4153" s="32" t="s">
        <v>75</v>
      </c>
      <c r="J4153" s="32">
        <v>1360</v>
      </c>
      <c r="P4153" s="32">
        <v>3400000</v>
      </c>
      <c r="R4153" s="32">
        <v>3400000</v>
      </c>
      <c r="T4153" s="32">
        <v>0</v>
      </c>
    </row>
    <row r="4154" spans="2:20" ht="12.75" hidden="1" x14ac:dyDescent="0.25">
      <c r="B4154" s="32">
        <v>41</v>
      </c>
      <c r="F4154" s="32" t="s">
        <v>139</v>
      </c>
      <c r="J4154" s="32">
        <v>1</v>
      </c>
      <c r="P4154" s="32">
        <v>270</v>
      </c>
      <c r="R4154" s="32">
        <v>80</v>
      </c>
      <c r="T4154" s="32">
        <v>190</v>
      </c>
    </row>
    <row r="4155" spans="2:20" ht="12.75" hidden="1" x14ac:dyDescent="0.25">
      <c r="B4155" s="32">
        <v>42</v>
      </c>
      <c r="F4155" s="32" t="s">
        <v>138</v>
      </c>
      <c r="J4155" s="32">
        <v>1</v>
      </c>
      <c r="P4155" s="32">
        <v>800</v>
      </c>
      <c r="R4155" s="32">
        <v>450</v>
      </c>
      <c r="T4155" s="32">
        <v>350</v>
      </c>
    </row>
    <row r="4156" spans="2:20" ht="12.75" hidden="1" x14ac:dyDescent="0.25">
      <c r="B4156" s="32">
        <v>43</v>
      </c>
      <c r="F4156" s="32" t="s">
        <v>137</v>
      </c>
      <c r="J4156" s="32">
        <v>1</v>
      </c>
      <c r="P4156" s="32">
        <v>800</v>
      </c>
      <c r="R4156" s="32">
        <v>450</v>
      </c>
      <c r="T4156" s="32">
        <v>350</v>
      </c>
    </row>
    <row r="4157" spans="2:20" ht="12.75" hidden="1" x14ac:dyDescent="0.25">
      <c r="B4157" s="32">
        <v>44</v>
      </c>
      <c r="F4157" s="32" t="s">
        <v>136</v>
      </c>
      <c r="J4157" s="32">
        <v>38</v>
      </c>
      <c r="P4157" s="32">
        <v>32300</v>
      </c>
      <c r="R4157" s="32">
        <v>8710</v>
      </c>
      <c r="T4157" s="32">
        <v>23590</v>
      </c>
    </row>
    <row r="4158" spans="2:20" ht="12.75" hidden="1" x14ac:dyDescent="0.25">
      <c r="B4158" s="32">
        <v>45</v>
      </c>
      <c r="F4158" s="32" t="s">
        <v>74</v>
      </c>
      <c r="J4158" s="32">
        <v>17</v>
      </c>
      <c r="P4158" s="32">
        <v>14450</v>
      </c>
      <c r="R4158" s="32">
        <v>14450</v>
      </c>
      <c r="T4158" s="32">
        <v>0</v>
      </c>
    </row>
    <row r="4159" spans="2:20" ht="12.75" hidden="1" x14ac:dyDescent="0.25">
      <c r="B4159" s="32">
        <v>46</v>
      </c>
      <c r="F4159" s="32" t="s">
        <v>134</v>
      </c>
      <c r="J4159" s="32">
        <v>2</v>
      </c>
      <c r="P4159" s="32">
        <v>7400</v>
      </c>
      <c r="R4159" s="32">
        <v>800</v>
      </c>
      <c r="T4159" s="32">
        <v>6600</v>
      </c>
    </row>
    <row r="4160" spans="2:20" ht="12.75" hidden="1" x14ac:dyDescent="0.25">
      <c r="B4160" s="32">
        <v>47</v>
      </c>
      <c r="F4160" s="32" t="s">
        <v>285</v>
      </c>
      <c r="J4160" s="32">
        <v>1</v>
      </c>
      <c r="P4160" s="32">
        <v>3700</v>
      </c>
      <c r="R4160" s="32">
        <v>1850</v>
      </c>
      <c r="T4160" s="32">
        <v>1850</v>
      </c>
    </row>
    <row r="4161" spans="2:20" ht="12.75" hidden="1" x14ac:dyDescent="0.25">
      <c r="B4161" s="32">
        <v>48</v>
      </c>
      <c r="F4161" s="32" t="s">
        <v>229</v>
      </c>
      <c r="J4161" s="32">
        <v>1</v>
      </c>
      <c r="P4161" s="32">
        <v>7000</v>
      </c>
      <c r="R4161" s="32">
        <v>3100</v>
      </c>
      <c r="T4161" s="32">
        <v>3900</v>
      </c>
    </row>
    <row r="4162" spans="2:20" ht="12.75" hidden="1" x14ac:dyDescent="0.25">
      <c r="B4162" s="32">
        <v>49</v>
      </c>
      <c r="F4162" s="32" t="s">
        <v>132</v>
      </c>
      <c r="J4162" s="32">
        <v>1</v>
      </c>
      <c r="P4162" s="32">
        <v>1240</v>
      </c>
      <c r="R4162" s="32">
        <v>370</v>
      </c>
      <c r="T4162" s="32">
        <v>870</v>
      </c>
    </row>
    <row r="4163" spans="2:20" ht="12.75" hidden="1" x14ac:dyDescent="0.25">
      <c r="B4163" s="32">
        <v>50</v>
      </c>
      <c r="F4163" s="32" t="s">
        <v>131</v>
      </c>
      <c r="J4163" s="32">
        <v>9</v>
      </c>
      <c r="P4163" s="32">
        <v>33300</v>
      </c>
      <c r="R4163" s="32">
        <v>5600</v>
      </c>
      <c r="T4163" s="32">
        <v>27700</v>
      </c>
    </row>
    <row r="4164" spans="2:20" ht="12.75" hidden="1" x14ac:dyDescent="0.25">
      <c r="B4164" s="32">
        <v>51</v>
      </c>
      <c r="F4164" s="32" t="s">
        <v>284</v>
      </c>
      <c r="J4164" s="32">
        <v>7</v>
      </c>
      <c r="P4164" s="32">
        <v>25900</v>
      </c>
      <c r="R4164" s="32">
        <v>12950</v>
      </c>
      <c r="T4164" s="32">
        <v>12950</v>
      </c>
    </row>
    <row r="4165" spans="2:20" ht="12.75" hidden="1" x14ac:dyDescent="0.25">
      <c r="T4165" s="32"/>
    </row>
    <row r="4166" spans="2:20" ht="12.75" hidden="1" x14ac:dyDescent="0.25">
      <c r="B4166" s="32">
        <v>52</v>
      </c>
      <c r="F4166" s="32" t="s">
        <v>283</v>
      </c>
      <c r="J4166" s="32">
        <v>2</v>
      </c>
      <c r="P4166" s="32">
        <v>1600</v>
      </c>
      <c r="R4166" s="32">
        <v>900</v>
      </c>
      <c r="T4166" s="32">
        <v>700</v>
      </c>
    </row>
    <row r="4167" spans="2:20" ht="12.75" hidden="1" x14ac:dyDescent="0.25">
      <c r="B4167" s="32">
        <v>53</v>
      </c>
      <c r="F4167" s="32" t="s">
        <v>127</v>
      </c>
      <c r="J4167" s="32">
        <v>101</v>
      </c>
      <c r="P4167" s="32">
        <v>30300</v>
      </c>
      <c r="R4167" s="32">
        <v>9000</v>
      </c>
      <c r="T4167" s="32">
        <v>21300</v>
      </c>
    </row>
    <row r="4168" spans="2:20" ht="12.75" hidden="1" x14ac:dyDescent="0.25">
      <c r="B4168" s="32">
        <v>54</v>
      </c>
      <c r="F4168" s="32" t="s">
        <v>126</v>
      </c>
      <c r="J4168" s="32">
        <v>101</v>
      </c>
      <c r="P4168" s="32">
        <v>20200</v>
      </c>
      <c r="R4168" s="32">
        <v>6000</v>
      </c>
      <c r="T4168" s="32">
        <v>14200</v>
      </c>
    </row>
    <row r="4169" spans="2:20" ht="12.75" hidden="1" x14ac:dyDescent="0.25">
      <c r="B4169" s="32">
        <v>55</v>
      </c>
      <c r="F4169" s="32" t="s">
        <v>227</v>
      </c>
      <c r="J4169" s="32">
        <v>3</v>
      </c>
      <c r="P4169" s="32">
        <v>1500</v>
      </c>
      <c r="R4169" s="32">
        <v>450</v>
      </c>
      <c r="T4169" s="32">
        <v>1050</v>
      </c>
    </row>
    <row r="4170" spans="2:20" ht="12.75" hidden="1" x14ac:dyDescent="0.25">
      <c r="B4170" s="32">
        <v>56</v>
      </c>
      <c r="F4170" s="32" t="s">
        <v>122</v>
      </c>
      <c r="J4170" s="32">
        <v>3</v>
      </c>
      <c r="P4170" s="32">
        <v>1900</v>
      </c>
      <c r="R4170" s="32">
        <v>570</v>
      </c>
      <c r="T4170" s="32">
        <v>1330</v>
      </c>
    </row>
    <row r="4171" spans="2:20" ht="12.75" hidden="1" x14ac:dyDescent="0.25">
      <c r="B4171" s="32">
        <v>57</v>
      </c>
      <c r="F4171" s="32" t="s">
        <v>121</v>
      </c>
      <c r="J4171" s="32">
        <v>1</v>
      </c>
      <c r="P4171" s="32">
        <v>500</v>
      </c>
      <c r="R4171" s="32">
        <v>150</v>
      </c>
      <c r="T4171" s="32">
        <v>350</v>
      </c>
    </row>
    <row r="4172" spans="2:20" ht="12.75" hidden="1" x14ac:dyDescent="0.25">
      <c r="B4172" s="32">
        <v>58</v>
      </c>
      <c r="F4172" s="32" t="s">
        <v>282</v>
      </c>
      <c r="J4172" s="32">
        <v>1</v>
      </c>
      <c r="P4172" s="32">
        <v>500</v>
      </c>
      <c r="R4172" s="32">
        <v>150</v>
      </c>
      <c r="T4172" s="32">
        <v>350</v>
      </c>
    </row>
    <row r="4173" spans="2:20" ht="12.75" hidden="1" x14ac:dyDescent="0.25">
      <c r="B4173" s="32">
        <v>59</v>
      </c>
      <c r="F4173" s="32" t="s">
        <v>182</v>
      </c>
      <c r="J4173" s="32">
        <v>3</v>
      </c>
      <c r="P4173" s="32">
        <v>2370</v>
      </c>
      <c r="R4173" s="32">
        <v>360</v>
      </c>
      <c r="T4173" s="32">
        <v>2010</v>
      </c>
    </row>
    <row r="4174" spans="2:20" ht="12.75" hidden="1" x14ac:dyDescent="0.25">
      <c r="B4174" s="32">
        <v>60</v>
      </c>
      <c r="F4174" s="32" t="s">
        <v>119</v>
      </c>
      <c r="J4174" s="32">
        <v>20</v>
      </c>
      <c r="P4174" s="32">
        <v>17800</v>
      </c>
      <c r="R4174" s="32">
        <v>5640</v>
      </c>
      <c r="T4174" s="32">
        <v>12160</v>
      </c>
    </row>
    <row r="4175" spans="2:20" ht="12.75" hidden="1" x14ac:dyDescent="0.25">
      <c r="B4175" s="32">
        <v>61</v>
      </c>
      <c r="F4175" s="32" t="s">
        <v>118</v>
      </c>
      <c r="J4175" s="32">
        <v>462</v>
      </c>
      <c r="P4175" s="32">
        <v>457380</v>
      </c>
      <c r="R4175" s="32">
        <v>220735</v>
      </c>
      <c r="T4175" s="32">
        <v>236645</v>
      </c>
    </row>
    <row r="4176" spans="2:20" ht="12.75" hidden="1" x14ac:dyDescent="0.25">
      <c r="B4176" s="32">
        <v>62</v>
      </c>
      <c r="F4176" s="32" t="s">
        <v>117</v>
      </c>
      <c r="J4176" s="32">
        <v>8</v>
      </c>
      <c r="P4176" s="32">
        <v>6500</v>
      </c>
      <c r="R4176" s="32">
        <v>1470</v>
      </c>
      <c r="T4176" s="32">
        <v>5030</v>
      </c>
    </row>
    <row r="4177" spans="2:20" ht="12.75" hidden="1" x14ac:dyDescent="0.25">
      <c r="B4177" s="32">
        <v>63</v>
      </c>
      <c r="F4177" s="32" t="s">
        <v>116</v>
      </c>
      <c r="J4177" s="32">
        <v>1</v>
      </c>
      <c r="P4177" s="32">
        <v>800</v>
      </c>
      <c r="R4177" s="32">
        <v>200</v>
      </c>
      <c r="T4177" s="32">
        <v>600</v>
      </c>
    </row>
    <row r="4178" spans="2:20" ht="12.75" hidden="1" x14ac:dyDescent="0.25">
      <c r="T4178" s="32"/>
    </row>
    <row r="4179" spans="2:20" ht="12.75" hidden="1" x14ac:dyDescent="0.25">
      <c r="B4179" s="32">
        <v>64</v>
      </c>
      <c r="F4179" s="32" t="s">
        <v>281</v>
      </c>
      <c r="J4179" s="32">
        <v>1</v>
      </c>
      <c r="P4179" s="32">
        <v>700</v>
      </c>
      <c r="R4179" s="32">
        <v>350</v>
      </c>
      <c r="T4179" s="32">
        <v>350</v>
      </c>
    </row>
    <row r="4180" spans="2:20" ht="12.75" hidden="1" x14ac:dyDescent="0.25">
      <c r="B4180" s="32">
        <v>65</v>
      </c>
      <c r="F4180" s="32" t="s">
        <v>280</v>
      </c>
      <c r="J4180" s="32">
        <v>2</v>
      </c>
      <c r="P4180" s="32">
        <v>1400</v>
      </c>
      <c r="R4180" s="32">
        <v>700</v>
      </c>
      <c r="T4180" s="32">
        <v>700</v>
      </c>
    </row>
    <row r="4181" spans="2:20" ht="12.75" hidden="1" x14ac:dyDescent="0.25">
      <c r="B4181" s="32">
        <v>66</v>
      </c>
      <c r="F4181" s="32" t="s">
        <v>279</v>
      </c>
      <c r="J4181" s="32">
        <v>1</v>
      </c>
      <c r="P4181" s="32">
        <v>500</v>
      </c>
      <c r="R4181" s="32">
        <v>150</v>
      </c>
      <c r="T4181" s="32">
        <v>350</v>
      </c>
    </row>
    <row r="4182" spans="2:20" ht="12.75" hidden="1" x14ac:dyDescent="0.25">
      <c r="B4182" s="32">
        <v>67</v>
      </c>
      <c r="F4182" s="32" t="s">
        <v>222</v>
      </c>
      <c r="J4182" s="32">
        <v>3</v>
      </c>
      <c r="P4182" s="32">
        <v>1500</v>
      </c>
      <c r="R4182" s="32">
        <v>450</v>
      </c>
      <c r="T4182" s="32">
        <v>1050</v>
      </c>
    </row>
    <row r="4183" spans="2:20" ht="12.75" hidden="1" x14ac:dyDescent="0.25">
      <c r="B4183" s="32">
        <v>68</v>
      </c>
      <c r="F4183" s="32" t="s">
        <v>278</v>
      </c>
      <c r="J4183" s="32">
        <v>1</v>
      </c>
      <c r="P4183" s="32">
        <v>330</v>
      </c>
      <c r="R4183" s="32">
        <v>100</v>
      </c>
      <c r="T4183" s="32">
        <v>230</v>
      </c>
    </row>
    <row r="4184" spans="2:20" ht="12.75" hidden="1" x14ac:dyDescent="0.25">
      <c r="B4184" s="32">
        <v>69</v>
      </c>
      <c r="F4184" s="32" t="s">
        <v>219</v>
      </c>
      <c r="J4184" s="32">
        <v>6</v>
      </c>
      <c r="P4184" s="32">
        <v>3000</v>
      </c>
      <c r="R4184" s="32">
        <v>900</v>
      </c>
      <c r="T4184" s="32">
        <v>2100</v>
      </c>
    </row>
    <row r="4185" spans="2:20" ht="12.75" hidden="1" x14ac:dyDescent="0.25">
      <c r="B4185" s="32">
        <v>70</v>
      </c>
      <c r="F4185" s="32" t="s">
        <v>181</v>
      </c>
      <c r="J4185" s="32">
        <v>4</v>
      </c>
      <c r="P4185" s="32">
        <v>3160</v>
      </c>
      <c r="R4185" s="32">
        <v>480</v>
      </c>
      <c r="T4185" s="32">
        <v>2680</v>
      </c>
    </row>
    <row r="4186" spans="2:20" ht="12.75" hidden="1" x14ac:dyDescent="0.25">
      <c r="B4186" s="32">
        <v>71</v>
      </c>
      <c r="F4186" s="32" t="s">
        <v>111</v>
      </c>
      <c r="J4186" s="32">
        <v>1</v>
      </c>
      <c r="P4186" s="32">
        <v>430</v>
      </c>
      <c r="R4186" s="32">
        <v>130</v>
      </c>
      <c r="T4186" s="32">
        <v>300</v>
      </c>
    </row>
    <row r="4187" spans="2:20" ht="12.75" hidden="1" x14ac:dyDescent="0.25">
      <c r="B4187" s="32">
        <v>72</v>
      </c>
      <c r="F4187" s="32" t="s">
        <v>277</v>
      </c>
      <c r="J4187" s="32">
        <v>1</v>
      </c>
      <c r="P4187" s="32">
        <v>1570</v>
      </c>
      <c r="R4187" s="32">
        <v>0</v>
      </c>
      <c r="T4187" s="32">
        <v>1570</v>
      </c>
    </row>
    <row r="4188" spans="2:20" ht="12.75" hidden="1" x14ac:dyDescent="0.25">
      <c r="B4188" s="32">
        <v>73</v>
      </c>
      <c r="F4188" s="32" t="s">
        <v>109</v>
      </c>
      <c r="J4188" s="32">
        <v>4</v>
      </c>
      <c r="P4188" s="32">
        <v>3120</v>
      </c>
      <c r="R4188" s="32">
        <v>920</v>
      </c>
      <c r="T4188" s="32">
        <v>2200</v>
      </c>
    </row>
    <row r="4189" spans="2:20" ht="12.75" hidden="1" x14ac:dyDescent="0.25">
      <c r="B4189" s="32">
        <v>74</v>
      </c>
      <c r="F4189" s="32" t="s">
        <v>107</v>
      </c>
      <c r="J4189" s="32">
        <v>13</v>
      </c>
      <c r="P4189" s="32">
        <v>2210</v>
      </c>
      <c r="R4189" s="32">
        <v>650</v>
      </c>
      <c r="T4189" s="32">
        <v>1560</v>
      </c>
    </row>
    <row r="4190" spans="2:20" ht="12.75" hidden="1" x14ac:dyDescent="0.25">
      <c r="B4190" s="32">
        <v>75</v>
      </c>
      <c r="F4190" s="32" t="s">
        <v>105</v>
      </c>
      <c r="J4190" s="32">
        <v>13</v>
      </c>
      <c r="P4190" s="32">
        <v>14950</v>
      </c>
      <c r="R4190" s="32">
        <v>0</v>
      </c>
      <c r="T4190" s="32">
        <v>14950</v>
      </c>
    </row>
    <row r="4191" spans="2:20" ht="12.75" hidden="1" x14ac:dyDescent="0.25">
      <c r="B4191" s="32">
        <v>76</v>
      </c>
      <c r="F4191" s="32" t="s">
        <v>104</v>
      </c>
      <c r="J4191" s="32">
        <v>2</v>
      </c>
      <c r="P4191" s="32">
        <v>660</v>
      </c>
      <c r="R4191" s="32">
        <v>235</v>
      </c>
      <c r="T4191" s="32">
        <v>425</v>
      </c>
    </row>
    <row r="4192" spans="2:20" ht="12.75" hidden="1" x14ac:dyDescent="0.25">
      <c r="B4192" s="32">
        <v>77</v>
      </c>
      <c r="F4192" s="32" t="s">
        <v>103</v>
      </c>
      <c r="J4192" s="32">
        <v>4</v>
      </c>
      <c r="P4192" s="32">
        <v>1320</v>
      </c>
      <c r="R4192" s="32">
        <v>560</v>
      </c>
      <c r="T4192" s="32">
        <v>760</v>
      </c>
    </row>
    <row r="4193" spans="2:20" ht="12.75" hidden="1" x14ac:dyDescent="0.25">
      <c r="B4193" s="32">
        <v>78</v>
      </c>
      <c r="F4193" s="32" t="s">
        <v>213</v>
      </c>
      <c r="J4193" s="32">
        <v>1</v>
      </c>
      <c r="P4193" s="32">
        <v>700</v>
      </c>
      <c r="R4193" s="32">
        <v>350</v>
      </c>
      <c r="T4193" s="32">
        <v>350</v>
      </c>
    </row>
    <row r="4194" spans="2:20" ht="12.75" hidden="1" x14ac:dyDescent="0.25">
      <c r="B4194" s="32">
        <v>79</v>
      </c>
      <c r="F4194" s="32" t="s">
        <v>276</v>
      </c>
      <c r="J4194" s="32">
        <v>2</v>
      </c>
      <c r="P4194" s="32">
        <v>1000</v>
      </c>
      <c r="R4194" s="32">
        <v>150</v>
      </c>
      <c r="T4194" s="32">
        <v>850</v>
      </c>
    </row>
    <row r="4195" spans="2:20" ht="12.75" hidden="1" x14ac:dyDescent="0.25">
      <c r="B4195" s="32">
        <v>80</v>
      </c>
      <c r="F4195" s="32" t="s">
        <v>275</v>
      </c>
      <c r="J4195" s="32">
        <v>2</v>
      </c>
      <c r="P4195" s="32">
        <v>1400</v>
      </c>
      <c r="R4195" s="32">
        <v>560</v>
      </c>
      <c r="T4195" s="32">
        <v>840</v>
      </c>
    </row>
    <row r="4196" spans="2:20" ht="12.75" hidden="1" x14ac:dyDescent="0.25">
      <c r="B4196" s="32">
        <v>81</v>
      </c>
      <c r="F4196" s="32" t="s">
        <v>210</v>
      </c>
      <c r="J4196" s="32">
        <v>1</v>
      </c>
      <c r="P4196" s="32">
        <v>390</v>
      </c>
      <c r="R4196" s="32">
        <v>120</v>
      </c>
      <c r="T4196" s="32">
        <v>270</v>
      </c>
    </row>
    <row r="4197" spans="2:20" ht="12.75" hidden="1" x14ac:dyDescent="0.25">
      <c r="B4197" s="32">
        <v>82</v>
      </c>
      <c r="F4197" s="32" t="s">
        <v>102</v>
      </c>
      <c r="J4197" s="32">
        <v>7</v>
      </c>
      <c r="P4197" s="32">
        <v>6160</v>
      </c>
      <c r="R4197" s="32">
        <v>910</v>
      </c>
      <c r="T4197" s="32">
        <v>5250</v>
      </c>
    </row>
    <row r="4198" spans="2:20" ht="12.75" hidden="1" x14ac:dyDescent="0.25">
      <c r="B4198" s="32">
        <v>83</v>
      </c>
      <c r="F4198" s="32" t="s">
        <v>100</v>
      </c>
      <c r="J4198" s="32">
        <v>2</v>
      </c>
      <c r="P4198" s="32">
        <v>360</v>
      </c>
      <c r="R4198" s="32">
        <v>100</v>
      </c>
      <c r="T4198" s="32">
        <v>260</v>
      </c>
    </row>
    <row r="4199" spans="2:20" ht="12.75" hidden="1" x14ac:dyDescent="0.25">
      <c r="B4199" s="32">
        <v>84</v>
      </c>
      <c r="F4199" s="32" t="s">
        <v>274</v>
      </c>
      <c r="J4199" s="32">
        <v>1</v>
      </c>
      <c r="P4199" s="32">
        <v>180</v>
      </c>
      <c r="R4199" s="32">
        <v>50</v>
      </c>
      <c r="T4199" s="32">
        <v>130</v>
      </c>
    </row>
    <row r="4200" spans="2:20" ht="12.75" hidden="1" x14ac:dyDescent="0.25">
      <c r="B4200" s="32">
        <v>85</v>
      </c>
      <c r="F4200" s="32" t="s">
        <v>98</v>
      </c>
      <c r="J4200" s="32">
        <v>4</v>
      </c>
      <c r="P4200" s="32">
        <v>2280</v>
      </c>
      <c r="R4200" s="32">
        <v>320</v>
      </c>
      <c r="T4200" s="32">
        <v>1960</v>
      </c>
    </row>
    <row r="4201" spans="2:20" ht="12.75" hidden="1" x14ac:dyDescent="0.25">
      <c r="B4201" s="32">
        <v>86</v>
      </c>
      <c r="F4201" s="32" t="s">
        <v>176</v>
      </c>
      <c r="J4201" s="32">
        <v>1</v>
      </c>
      <c r="P4201" s="32">
        <v>1060</v>
      </c>
      <c r="R4201" s="32">
        <v>160</v>
      </c>
      <c r="T4201" s="32">
        <v>900</v>
      </c>
    </row>
    <row r="4202" spans="2:20" ht="12.75" hidden="1" x14ac:dyDescent="0.25">
      <c r="B4202" s="32">
        <v>87</v>
      </c>
      <c r="F4202" s="32" t="s">
        <v>97</v>
      </c>
      <c r="J4202" s="32">
        <v>12</v>
      </c>
      <c r="P4202" s="32">
        <v>19080</v>
      </c>
      <c r="R4202" s="32">
        <v>2880</v>
      </c>
      <c r="T4202" s="32">
        <v>16200</v>
      </c>
    </row>
    <row r="4203" spans="2:20" ht="12.75" hidden="1" x14ac:dyDescent="0.25">
      <c r="B4203" s="32">
        <v>88</v>
      </c>
      <c r="F4203" s="32" t="s">
        <v>93</v>
      </c>
      <c r="J4203" s="32">
        <v>14</v>
      </c>
      <c r="P4203" s="32">
        <v>8260</v>
      </c>
      <c r="R4203" s="32">
        <v>1260</v>
      </c>
      <c r="T4203" s="32">
        <v>7000</v>
      </c>
    </row>
    <row r="4204" spans="2:20" ht="12.75" hidden="1" x14ac:dyDescent="0.25">
      <c r="B4204" s="32">
        <v>89</v>
      </c>
      <c r="F4204" s="32" t="s">
        <v>92</v>
      </c>
      <c r="J4204" s="32">
        <v>65</v>
      </c>
      <c r="P4204" s="32">
        <v>47080</v>
      </c>
      <c r="R4204" s="32">
        <v>13680</v>
      </c>
      <c r="T4204" s="32">
        <v>33400</v>
      </c>
    </row>
    <row r="4205" spans="2:20" ht="12.75" hidden="1" x14ac:dyDescent="0.25">
      <c r="B4205" s="32">
        <v>90</v>
      </c>
      <c r="F4205" s="32" t="s">
        <v>91</v>
      </c>
      <c r="J4205" s="32">
        <v>415</v>
      </c>
      <c r="P4205" s="32">
        <v>103750</v>
      </c>
      <c r="R4205" s="32">
        <v>51609</v>
      </c>
      <c r="T4205" s="32">
        <v>52141</v>
      </c>
    </row>
    <row r="4206" spans="2:20" ht="12.75" hidden="1" x14ac:dyDescent="0.25">
      <c r="B4206" s="32">
        <v>91</v>
      </c>
      <c r="F4206" s="32" t="s">
        <v>90</v>
      </c>
      <c r="J4206" s="32">
        <v>76</v>
      </c>
      <c r="P4206" s="32">
        <v>22040</v>
      </c>
      <c r="R4206" s="32">
        <v>6080</v>
      </c>
      <c r="T4206" s="32">
        <v>15960</v>
      </c>
    </row>
    <row r="4207" spans="2:20" ht="12.75" hidden="1" x14ac:dyDescent="0.25">
      <c r="B4207" s="32">
        <v>92</v>
      </c>
      <c r="F4207" s="32" t="s">
        <v>89</v>
      </c>
      <c r="J4207" s="32">
        <v>2</v>
      </c>
      <c r="P4207" s="32">
        <v>1760</v>
      </c>
      <c r="R4207" s="32">
        <v>260</v>
      </c>
      <c r="T4207" s="32">
        <v>1500</v>
      </c>
    </row>
    <row r="4208" spans="2:20" ht="12.75" hidden="1" x14ac:dyDescent="0.25">
      <c r="B4208" s="32">
        <v>93</v>
      </c>
      <c r="F4208" s="32" t="s">
        <v>88</v>
      </c>
      <c r="J4208" s="32">
        <v>25</v>
      </c>
      <c r="P4208" s="32">
        <v>4500</v>
      </c>
      <c r="R4208" s="32">
        <v>1400</v>
      </c>
      <c r="T4208" s="32">
        <v>3100</v>
      </c>
    </row>
    <row r="4209" spans="1:20" ht="12.75" hidden="1" x14ac:dyDescent="0.25">
      <c r="B4209" s="32">
        <v>94</v>
      </c>
      <c r="F4209" s="32" t="s">
        <v>86</v>
      </c>
      <c r="J4209" s="32">
        <v>1</v>
      </c>
      <c r="P4209" s="32">
        <v>1140</v>
      </c>
      <c r="R4209" s="32">
        <v>170</v>
      </c>
      <c r="T4209" s="32">
        <v>970</v>
      </c>
    </row>
    <row r="4210" spans="1:20" ht="12.75" hidden="1" x14ac:dyDescent="0.25">
      <c r="B4210" s="32">
        <v>95</v>
      </c>
      <c r="F4210" s="32" t="s">
        <v>85</v>
      </c>
      <c r="J4210" s="32">
        <v>5</v>
      </c>
      <c r="P4210" s="32">
        <v>10400</v>
      </c>
      <c r="R4210" s="32">
        <v>1550</v>
      </c>
      <c r="T4210" s="32">
        <v>8850</v>
      </c>
    </row>
    <row r="4211" spans="1:20" ht="12.75" hidden="1" x14ac:dyDescent="0.25">
      <c r="B4211" s="32">
        <v>96</v>
      </c>
      <c r="F4211" s="32" t="s">
        <v>84</v>
      </c>
      <c r="J4211" s="32">
        <v>1</v>
      </c>
      <c r="P4211" s="32">
        <v>590</v>
      </c>
      <c r="R4211" s="32">
        <v>180</v>
      </c>
      <c r="T4211" s="32">
        <v>410</v>
      </c>
    </row>
    <row r="4212" spans="1:20" ht="12.75" hidden="1" x14ac:dyDescent="0.25">
      <c r="B4212" s="32">
        <v>97</v>
      </c>
      <c r="F4212" s="32" t="s">
        <v>208</v>
      </c>
      <c r="J4212" s="32">
        <v>2</v>
      </c>
      <c r="P4212" s="32">
        <v>1000</v>
      </c>
      <c r="R4212" s="32">
        <v>300</v>
      </c>
      <c r="T4212" s="32">
        <v>700</v>
      </c>
    </row>
    <row r="4213" spans="1:20" ht="12.75" hidden="1" x14ac:dyDescent="0.25">
      <c r="B4213" s="32">
        <v>98</v>
      </c>
      <c r="F4213" s="32" t="s">
        <v>273</v>
      </c>
      <c r="J4213" s="32">
        <v>2</v>
      </c>
      <c r="P4213" s="32">
        <v>1000</v>
      </c>
      <c r="R4213" s="32">
        <v>280</v>
      </c>
      <c r="T4213" s="32">
        <v>720</v>
      </c>
    </row>
    <row r="4214" spans="1:20" ht="12.75" hidden="1" x14ac:dyDescent="0.25">
      <c r="B4214" s="32">
        <v>99</v>
      </c>
      <c r="F4214" s="32" t="s">
        <v>206</v>
      </c>
      <c r="J4214" s="32">
        <v>1</v>
      </c>
      <c r="P4214" s="32">
        <v>500</v>
      </c>
      <c r="R4214" s="32">
        <v>150</v>
      </c>
      <c r="T4214" s="32">
        <v>350</v>
      </c>
    </row>
    <row r="4215" spans="1:20" ht="12.75" hidden="1" x14ac:dyDescent="0.25">
      <c r="B4215" s="32">
        <v>100</v>
      </c>
      <c r="F4215" s="32" t="s">
        <v>272</v>
      </c>
      <c r="J4215" s="32">
        <v>1</v>
      </c>
      <c r="P4215" s="32">
        <v>500</v>
      </c>
      <c r="R4215" s="32">
        <v>150</v>
      </c>
      <c r="T4215" s="32">
        <v>350</v>
      </c>
    </row>
    <row r="4216" spans="1:20" ht="12.75" hidden="1" x14ac:dyDescent="0.25">
      <c r="B4216" s="32">
        <v>101</v>
      </c>
      <c r="F4216" s="32" t="s">
        <v>83</v>
      </c>
      <c r="J4216" s="32">
        <v>6</v>
      </c>
      <c r="P4216" s="32">
        <v>3000</v>
      </c>
      <c r="R4216" s="32">
        <v>900</v>
      </c>
      <c r="T4216" s="32">
        <v>2100</v>
      </c>
    </row>
    <row r="4217" spans="1:20" ht="12.75" hidden="1" x14ac:dyDescent="0.25">
      <c r="B4217" s="32">
        <v>102</v>
      </c>
      <c r="F4217" s="32" t="s">
        <v>271</v>
      </c>
      <c r="J4217" s="32">
        <v>5</v>
      </c>
      <c r="P4217" s="32">
        <v>2500</v>
      </c>
      <c r="R4217" s="32">
        <v>750</v>
      </c>
      <c r="T4217" s="32">
        <v>1750</v>
      </c>
    </row>
    <row r="4218" spans="1:20" ht="12.75" hidden="1" x14ac:dyDescent="0.25">
      <c r="A4218" s="32" t="s">
        <v>270</v>
      </c>
      <c r="K4218" s="32">
        <v>4753</v>
      </c>
      <c r="P4218" s="32">
        <v>5121035</v>
      </c>
      <c r="R4218" s="32">
        <v>4308203</v>
      </c>
      <c r="T4218" s="32">
        <v>812832</v>
      </c>
    </row>
    <row r="4219" spans="1:20" ht="12.75" hidden="1" x14ac:dyDescent="0.25">
      <c r="B4219" s="32">
        <v>1</v>
      </c>
      <c r="F4219" s="32" t="s">
        <v>269</v>
      </c>
      <c r="J4219" s="32">
        <v>1</v>
      </c>
      <c r="P4219" s="32">
        <v>920</v>
      </c>
      <c r="R4219" s="32">
        <v>140</v>
      </c>
      <c r="T4219" s="32">
        <v>780</v>
      </c>
    </row>
    <row r="4220" spans="1:20" ht="12.75" hidden="1" x14ac:dyDescent="0.25">
      <c r="B4220" s="32">
        <v>2</v>
      </c>
      <c r="F4220" s="32" t="s">
        <v>168</v>
      </c>
      <c r="J4220" s="32">
        <v>1</v>
      </c>
      <c r="P4220" s="32">
        <v>2200</v>
      </c>
      <c r="R4220" s="32">
        <v>330</v>
      </c>
      <c r="T4220" s="32">
        <v>1870</v>
      </c>
    </row>
    <row r="4221" spans="1:20" ht="12.75" hidden="1" x14ac:dyDescent="0.25">
      <c r="B4221" s="32">
        <v>3</v>
      </c>
      <c r="F4221" s="32" t="s">
        <v>78</v>
      </c>
      <c r="J4221" s="32">
        <v>241</v>
      </c>
      <c r="P4221" s="32">
        <v>69890</v>
      </c>
      <c r="R4221" s="32">
        <v>69890</v>
      </c>
      <c r="T4221" s="32">
        <v>0</v>
      </c>
    </row>
    <row r="4222" spans="1:20" ht="12.75" hidden="1" x14ac:dyDescent="0.25">
      <c r="B4222" s="32">
        <v>4</v>
      </c>
      <c r="F4222" s="32" t="s">
        <v>268</v>
      </c>
      <c r="J4222" s="32">
        <v>3</v>
      </c>
      <c r="P4222" s="32">
        <v>750</v>
      </c>
      <c r="R4222" s="32">
        <v>210</v>
      </c>
      <c r="T4222" s="32">
        <v>540</v>
      </c>
    </row>
    <row r="4223" spans="1:20" ht="12.75" hidden="1" x14ac:dyDescent="0.25">
      <c r="B4223" s="32">
        <v>5</v>
      </c>
      <c r="F4223" s="32" t="s">
        <v>165</v>
      </c>
      <c r="J4223" s="32">
        <v>6</v>
      </c>
      <c r="P4223" s="32">
        <v>3540</v>
      </c>
      <c r="R4223" s="32">
        <v>1080</v>
      </c>
      <c r="T4223" s="32">
        <v>2460</v>
      </c>
    </row>
    <row r="4224" spans="1:20" ht="12.75" hidden="1" x14ac:dyDescent="0.25">
      <c r="B4224" s="32">
        <v>6</v>
      </c>
      <c r="F4224" s="32" t="s">
        <v>164</v>
      </c>
      <c r="J4224" s="32">
        <v>1</v>
      </c>
      <c r="P4224" s="32">
        <v>590</v>
      </c>
      <c r="R4224" s="32">
        <v>180</v>
      </c>
      <c r="T4224" s="32">
        <v>410</v>
      </c>
    </row>
    <row r="4225" spans="2:20" ht="12.75" hidden="1" x14ac:dyDescent="0.25">
      <c r="B4225" s="32">
        <v>7</v>
      </c>
      <c r="F4225" s="32" t="s">
        <v>267</v>
      </c>
      <c r="J4225" s="32">
        <v>1</v>
      </c>
      <c r="P4225" s="32">
        <v>1430</v>
      </c>
      <c r="R4225" s="32">
        <v>215</v>
      </c>
      <c r="T4225" s="32">
        <v>1215</v>
      </c>
    </row>
    <row r="4226" spans="2:20" ht="12.75" hidden="1" x14ac:dyDescent="0.25">
      <c r="B4226" s="32">
        <v>8</v>
      </c>
      <c r="F4226" s="32" t="s">
        <v>163</v>
      </c>
      <c r="J4226" s="32">
        <v>2</v>
      </c>
      <c r="P4226" s="32">
        <v>2380</v>
      </c>
      <c r="R4226" s="32">
        <v>360</v>
      </c>
      <c r="T4226" s="32">
        <v>2020</v>
      </c>
    </row>
    <row r="4227" spans="2:20" ht="12.75" hidden="1" x14ac:dyDescent="0.25">
      <c r="B4227" s="32">
        <v>9</v>
      </c>
      <c r="F4227" s="32" t="s">
        <v>162</v>
      </c>
      <c r="J4227" s="32">
        <v>15</v>
      </c>
      <c r="P4227" s="32">
        <v>6450</v>
      </c>
      <c r="R4227" s="32">
        <v>2940</v>
      </c>
      <c r="T4227" s="32">
        <v>3510</v>
      </c>
    </row>
    <row r="4228" spans="2:20" ht="12.75" hidden="1" x14ac:dyDescent="0.25">
      <c r="B4228" s="32">
        <v>10</v>
      </c>
      <c r="F4228" s="32" t="s">
        <v>160</v>
      </c>
      <c r="J4228" s="32">
        <v>11</v>
      </c>
      <c r="P4228" s="32">
        <v>3190</v>
      </c>
      <c r="R4228" s="32">
        <v>880</v>
      </c>
      <c r="T4228" s="32">
        <v>2310</v>
      </c>
    </row>
    <row r="4229" spans="2:20" ht="12.75" hidden="1" x14ac:dyDescent="0.25">
      <c r="B4229" s="32">
        <v>11</v>
      </c>
      <c r="F4229" s="32" t="s">
        <v>159</v>
      </c>
      <c r="J4229" s="32">
        <v>243</v>
      </c>
      <c r="P4229" s="32">
        <v>0</v>
      </c>
      <c r="R4229" s="32">
        <v>0</v>
      </c>
      <c r="T4229" s="32">
        <v>0</v>
      </c>
    </row>
    <row r="4230" spans="2:20" ht="12.75" hidden="1" x14ac:dyDescent="0.25">
      <c r="B4230" s="32">
        <v>12</v>
      </c>
      <c r="F4230" s="32" t="s">
        <v>266</v>
      </c>
      <c r="J4230" s="32">
        <v>1</v>
      </c>
      <c r="P4230" s="32">
        <v>1350</v>
      </c>
      <c r="R4230" s="32">
        <v>400</v>
      </c>
      <c r="T4230" s="32">
        <v>950</v>
      </c>
    </row>
    <row r="4231" spans="2:20" ht="12.75" hidden="1" x14ac:dyDescent="0.25">
      <c r="B4231" s="32">
        <v>13</v>
      </c>
      <c r="F4231" s="32" t="s">
        <v>158</v>
      </c>
      <c r="J4231" s="32">
        <v>575</v>
      </c>
      <c r="P4231" s="32">
        <v>316250</v>
      </c>
      <c r="R4231" s="32">
        <v>97290</v>
      </c>
      <c r="T4231" s="32">
        <v>218960</v>
      </c>
    </row>
    <row r="4232" spans="2:20" ht="12.75" hidden="1" x14ac:dyDescent="0.25">
      <c r="B4232" s="32">
        <v>14</v>
      </c>
      <c r="F4232" s="32" t="s">
        <v>157</v>
      </c>
      <c r="J4232" s="32">
        <v>74</v>
      </c>
      <c r="P4232" s="32">
        <v>36320</v>
      </c>
      <c r="R4232" s="32">
        <v>15310</v>
      </c>
      <c r="T4232" s="32">
        <v>21010</v>
      </c>
    </row>
    <row r="4233" spans="2:20" ht="12.75" hidden="1" x14ac:dyDescent="0.25">
      <c r="B4233" s="32">
        <v>15</v>
      </c>
      <c r="F4233" s="32" t="s">
        <v>196</v>
      </c>
      <c r="J4233" s="32">
        <v>1</v>
      </c>
      <c r="P4233" s="32">
        <v>700</v>
      </c>
      <c r="R4233" s="32">
        <v>350</v>
      </c>
      <c r="T4233" s="32">
        <v>350</v>
      </c>
    </row>
    <row r="4234" spans="2:20" ht="12.75" hidden="1" x14ac:dyDescent="0.25">
      <c r="B4234" s="32">
        <v>16</v>
      </c>
      <c r="F4234" s="32" t="s">
        <v>77</v>
      </c>
      <c r="J4234" s="32">
        <v>265</v>
      </c>
      <c r="P4234" s="32">
        <v>107600</v>
      </c>
      <c r="R4234" s="32">
        <v>107600</v>
      </c>
      <c r="T4234" s="32">
        <v>0</v>
      </c>
    </row>
    <row r="4235" spans="2:20" ht="12.75" hidden="1" x14ac:dyDescent="0.25">
      <c r="B4235" s="32">
        <v>17</v>
      </c>
      <c r="F4235" s="32" t="s">
        <v>242</v>
      </c>
      <c r="J4235" s="32">
        <v>75</v>
      </c>
      <c r="P4235" s="32">
        <v>37500</v>
      </c>
      <c r="R4235" s="32">
        <v>37500</v>
      </c>
      <c r="T4235" s="32">
        <v>0</v>
      </c>
    </row>
    <row r="4236" spans="2:20" ht="12.75" hidden="1" x14ac:dyDescent="0.25">
      <c r="B4236" s="32">
        <v>18</v>
      </c>
      <c r="F4236" s="32" t="s">
        <v>76</v>
      </c>
      <c r="J4236" s="32">
        <v>6</v>
      </c>
      <c r="P4236" s="32">
        <v>3600</v>
      </c>
      <c r="R4236" s="32">
        <v>3600</v>
      </c>
      <c r="T4236" s="32">
        <v>0</v>
      </c>
    </row>
    <row r="4237" spans="2:20" ht="12.75" hidden="1" x14ac:dyDescent="0.25">
      <c r="B4237" s="32">
        <v>19</v>
      </c>
      <c r="F4237" s="32" t="s">
        <v>156</v>
      </c>
      <c r="J4237" s="32">
        <v>14</v>
      </c>
      <c r="P4237" s="32">
        <v>2660</v>
      </c>
      <c r="R4237" s="32">
        <v>1040</v>
      </c>
      <c r="T4237" s="32">
        <v>1620</v>
      </c>
    </row>
    <row r="4238" spans="2:20" ht="12.75" hidden="1" x14ac:dyDescent="0.25">
      <c r="B4238" s="32">
        <v>20</v>
      </c>
      <c r="F4238" s="32" t="s">
        <v>155</v>
      </c>
      <c r="J4238" s="32">
        <v>106</v>
      </c>
      <c r="P4238" s="32">
        <v>26500</v>
      </c>
      <c r="R4238" s="32">
        <v>9140</v>
      </c>
      <c r="T4238" s="32">
        <v>17360</v>
      </c>
    </row>
    <row r="4239" spans="2:20" ht="12.75" hidden="1" x14ac:dyDescent="0.25">
      <c r="B4239" s="32">
        <v>21</v>
      </c>
      <c r="F4239" s="32" t="s">
        <v>154</v>
      </c>
      <c r="J4239" s="32">
        <v>9</v>
      </c>
      <c r="P4239" s="32">
        <v>8010</v>
      </c>
      <c r="R4239" s="32">
        <v>1170</v>
      </c>
      <c r="T4239" s="32">
        <v>6840</v>
      </c>
    </row>
    <row r="4240" spans="2:20" ht="12.75" hidden="1" x14ac:dyDescent="0.25">
      <c r="B4240" s="32">
        <v>22</v>
      </c>
      <c r="F4240" s="32" t="s">
        <v>153</v>
      </c>
      <c r="J4240" s="32">
        <v>3</v>
      </c>
      <c r="P4240" s="32">
        <v>3540</v>
      </c>
      <c r="R4240" s="32">
        <v>540</v>
      </c>
      <c r="T4240" s="32">
        <v>3000</v>
      </c>
    </row>
    <row r="4241" spans="2:20" ht="12.75" hidden="1" x14ac:dyDescent="0.25">
      <c r="B4241" s="32">
        <v>23</v>
      </c>
      <c r="F4241" s="32" t="s">
        <v>265</v>
      </c>
      <c r="J4241" s="32">
        <v>1</v>
      </c>
      <c r="P4241" s="32">
        <v>300</v>
      </c>
      <c r="R4241" s="32">
        <v>0</v>
      </c>
      <c r="T4241" s="32">
        <v>300</v>
      </c>
    </row>
    <row r="4242" spans="2:20" ht="12.75" hidden="1" x14ac:dyDescent="0.25">
      <c r="B4242" s="32">
        <v>24</v>
      </c>
      <c r="F4242" s="32" t="s">
        <v>152</v>
      </c>
      <c r="J4242" s="32">
        <v>32</v>
      </c>
      <c r="P4242" s="32">
        <v>18880</v>
      </c>
      <c r="R4242" s="32">
        <v>5820</v>
      </c>
      <c r="T4242" s="32">
        <v>13060</v>
      </c>
    </row>
    <row r="4243" spans="2:20" ht="12.75" hidden="1" x14ac:dyDescent="0.25">
      <c r="B4243" s="32">
        <v>25</v>
      </c>
      <c r="F4243" s="32" t="s">
        <v>151</v>
      </c>
      <c r="J4243" s="32">
        <v>59</v>
      </c>
      <c r="P4243" s="32">
        <v>13570</v>
      </c>
      <c r="R4243" s="32">
        <v>4380</v>
      </c>
      <c r="T4243" s="32">
        <v>9190</v>
      </c>
    </row>
    <row r="4244" spans="2:20" ht="12.75" hidden="1" x14ac:dyDescent="0.25">
      <c r="B4244" s="32">
        <v>26</v>
      </c>
      <c r="F4244" s="32" t="s">
        <v>150</v>
      </c>
      <c r="J4244" s="32">
        <v>64</v>
      </c>
      <c r="P4244" s="32">
        <v>10880</v>
      </c>
      <c r="R4244" s="32">
        <v>3270</v>
      </c>
      <c r="T4244" s="32">
        <v>7610</v>
      </c>
    </row>
    <row r="4245" spans="2:20" ht="12.75" hidden="1" x14ac:dyDescent="0.25">
      <c r="B4245" s="32">
        <v>27</v>
      </c>
      <c r="F4245" s="32" t="s">
        <v>149</v>
      </c>
      <c r="J4245" s="32">
        <v>1</v>
      </c>
      <c r="P4245" s="32">
        <v>50</v>
      </c>
      <c r="R4245" s="32">
        <v>0</v>
      </c>
      <c r="T4245" s="32">
        <v>50</v>
      </c>
    </row>
    <row r="4246" spans="2:20" ht="12.75" hidden="1" x14ac:dyDescent="0.25">
      <c r="B4246" s="32">
        <v>28</v>
      </c>
      <c r="F4246" s="32" t="s">
        <v>148</v>
      </c>
      <c r="J4246" s="32">
        <v>1</v>
      </c>
      <c r="P4246" s="32">
        <v>980</v>
      </c>
      <c r="R4246" s="32">
        <v>150</v>
      </c>
      <c r="T4246" s="32">
        <v>830</v>
      </c>
    </row>
    <row r="4247" spans="2:20" ht="12.75" hidden="1" x14ac:dyDescent="0.25">
      <c r="B4247" s="32">
        <v>29</v>
      </c>
      <c r="F4247" s="32" t="s">
        <v>233</v>
      </c>
      <c r="J4247" s="32">
        <v>3</v>
      </c>
      <c r="P4247" s="32">
        <v>2940</v>
      </c>
      <c r="R4247" s="32">
        <v>450</v>
      </c>
      <c r="T4247" s="32">
        <v>2490</v>
      </c>
    </row>
    <row r="4248" spans="2:20" ht="12.75" hidden="1" x14ac:dyDescent="0.25">
      <c r="B4248" s="32">
        <v>30</v>
      </c>
      <c r="F4248" s="32" t="s">
        <v>232</v>
      </c>
      <c r="J4248" s="32">
        <v>6</v>
      </c>
      <c r="P4248" s="32">
        <v>5880</v>
      </c>
      <c r="R4248" s="32">
        <v>900</v>
      </c>
      <c r="T4248" s="32">
        <v>4980</v>
      </c>
    </row>
    <row r="4249" spans="2:20" ht="12.75" hidden="1" x14ac:dyDescent="0.25">
      <c r="B4249" s="32">
        <v>31</v>
      </c>
      <c r="F4249" s="32" t="s">
        <v>193</v>
      </c>
      <c r="J4249" s="32">
        <v>2</v>
      </c>
      <c r="P4249" s="32">
        <v>1780</v>
      </c>
      <c r="R4249" s="32">
        <v>260</v>
      </c>
      <c r="T4249" s="32">
        <v>1520</v>
      </c>
    </row>
    <row r="4250" spans="2:20" ht="12.75" hidden="1" x14ac:dyDescent="0.25">
      <c r="B4250" s="32">
        <v>32</v>
      </c>
      <c r="F4250" s="32" t="s">
        <v>142</v>
      </c>
      <c r="J4250" s="32">
        <v>2</v>
      </c>
      <c r="P4250" s="32">
        <v>700</v>
      </c>
      <c r="R4250" s="32">
        <v>300</v>
      </c>
      <c r="T4250" s="32">
        <v>400</v>
      </c>
    </row>
    <row r="4251" spans="2:20" ht="12.75" hidden="1" x14ac:dyDescent="0.25">
      <c r="B4251" s="32">
        <v>33</v>
      </c>
      <c r="F4251" s="32" t="s">
        <v>75</v>
      </c>
      <c r="J4251" s="32">
        <v>1472</v>
      </c>
      <c r="P4251" s="32">
        <v>3680000</v>
      </c>
      <c r="R4251" s="32">
        <v>3680000</v>
      </c>
      <c r="T4251" s="32">
        <v>0</v>
      </c>
    </row>
    <row r="4252" spans="2:20" ht="12.75" hidden="1" x14ac:dyDescent="0.25">
      <c r="B4252" s="32">
        <v>34</v>
      </c>
      <c r="F4252" s="32" t="s">
        <v>141</v>
      </c>
      <c r="J4252" s="32">
        <v>1</v>
      </c>
      <c r="P4252" s="32">
        <v>75</v>
      </c>
      <c r="R4252" s="32">
        <v>22</v>
      </c>
      <c r="T4252" s="32">
        <v>53</v>
      </c>
    </row>
    <row r="4253" spans="2:20" ht="12.75" hidden="1" x14ac:dyDescent="0.25">
      <c r="B4253" s="32">
        <v>35</v>
      </c>
      <c r="F4253" s="32" t="s">
        <v>139</v>
      </c>
      <c r="J4253" s="32">
        <v>2</v>
      </c>
      <c r="P4253" s="32">
        <v>540</v>
      </c>
      <c r="R4253" s="32">
        <v>160</v>
      </c>
      <c r="T4253" s="32">
        <v>380</v>
      </c>
    </row>
    <row r="4254" spans="2:20" ht="12.75" hidden="1" x14ac:dyDescent="0.25">
      <c r="B4254" s="32">
        <v>36</v>
      </c>
      <c r="F4254" s="32" t="s">
        <v>136</v>
      </c>
      <c r="J4254" s="32">
        <v>41</v>
      </c>
      <c r="P4254" s="32">
        <v>34850</v>
      </c>
      <c r="R4254" s="32">
        <v>8840</v>
      </c>
      <c r="T4254" s="32">
        <v>26010</v>
      </c>
    </row>
    <row r="4255" spans="2:20" ht="12.75" hidden="1" x14ac:dyDescent="0.25">
      <c r="B4255" s="32">
        <v>37</v>
      </c>
      <c r="F4255" s="32" t="s">
        <v>74</v>
      </c>
      <c r="J4255" s="32">
        <v>82</v>
      </c>
      <c r="P4255" s="32">
        <v>69700</v>
      </c>
      <c r="R4255" s="32">
        <v>69700</v>
      </c>
      <c r="T4255" s="32">
        <v>0</v>
      </c>
    </row>
    <row r="4256" spans="2:20" ht="12.75" hidden="1" x14ac:dyDescent="0.25">
      <c r="B4256" s="32">
        <v>38</v>
      </c>
      <c r="F4256" s="32" t="s">
        <v>190</v>
      </c>
      <c r="J4256" s="32">
        <v>3</v>
      </c>
      <c r="P4256" s="32">
        <v>4710</v>
      </c>
      <c r="R4256" s="32">
        <v>720</v>
      </c>
      <c r="T4256" s="32">
        <v>3990</v>
      </c>
    </row>
    <row r="4257" spans="2:20" ht="12.75" hidden="1" x14ac:dyDescent="0.25">
      <c r="B4257" s="32">
        <v>39</v>
      </c>
      <c r="F4257" s="32" t="s">
        <v>264</v>
      </c>
      <c r="J4257" s="32">
        <v>1</v>
      </c>
      <c r="P4257" s="32">
        <v>1290</v>
      </c>
      <c r="R4257" s="32">
        <v>0</v>
      </c>
      <c r="T4257" s="32">
        <v>1290</v>
      </c>
    </row>
    <row r="4258" spans="2:20" ht="12.75" hidden="1" x14ac:dyDescent="0.25">
      <c r="B4258" s="32">
        <v>40</v>
      </c>
      <c r="F4258" s="32" t="s">
        <v>135</v>
      </c>
      <c r="J4258" s="32">
        <v>8</v>
      </c>
      <c r="P4258" s="32">
        <v>7600</v>
      </c>
      <c r="R4258" s="32">
        <v>2240</v>
      </c>
      <c r="T4258" s="32">
        <v>5360</v>
      </c>
    </row>
    <row r="4259" spans="2:20" ht="12.75" hidden="1" x14ac:dyDescent="0.25">
      <c r="B4259" s="32">
        <v>41</v>
      </c>
      <c r="F4259" s="32" t="s">
        <v>132</v>
      </c>
      <c r="J4259" s="32">
        <v>7</v>
      </c>
      <c r="P4259" s="32">
        <v>8680</v>
      </c>
      <c r="R4259" s="32">
        <v>2590</v>
      </c>
      <c r="T4259" s="32">
        <v>6090</v>
      </c>
    </row>
    <row r="4260" spans="2:20" ht="12.75" hidden="1" x14ac:dyDescent="0.25">
      <c r="B4260" s="32">
        <v>42</v>
      </c>
      <c r="F4260" s="32" t="s">
        <v>131</v>
      </c>
      <c r="J4260" s="32">
        <v>2</v>
      </c>
      <c r="P4260" s="32">
        <v>7400</v>
      </c>
      <c r="R4260" s="32">
        <v>0</v>
      </c>
      <c r="T4260" s="32">
        <v>7400</v>
      </c>
    </row>
    <row r="4261" spans="2:20" ht="12.75" hidden="1" x14ac:dyDescent="0.25">
      <c r="B4261" s="32">
        <v>43</v>
      </c>
      <c r="F4261" s="32" t="s">
        <v>263</v>
      </c>
      <c r="J4261" s="32">
        <v>1</v>
      </c>
      <c r="P4261" s="32">
        <v>2480</v>
      </c>
      <c r="R4261" s="32">
        <v>0</v>
      </c>
      <c r="T4261" s="32">
        <v>2480</v>
      </c>
    </row>
    <row r="4262" spans="2:20" ht="12.75" hidden="1" x14ac:dyDescent="0.25">
      <c r="B4262" s="32">
        <v>44</v>
      </c>
      <c r="F4262" s="32" t="s">
        <v>127</v>
      </c>
      <c r="J4262" s="32">
        <v>54</v>
      </c>
      <c r="P4262" s="32">
        <v>16200</v>
      </c>
      <c r="R4262" s="32">
        <v>4770</v>
      </c>
      <c r="T4262" s="32">
        <v>11430</v>
      </c>
    </row>
    <row r="4263" spans="2:20" ht="12.75" hidden="1" x14ac:dyDescent="0.25">
      <c r="B4263" s="32">
        <v>45</v>
      </c>
      <c r="F4263" s="32" t="s">
        <v>126</v>
      </c>
      <c r="J4263" s="32">
        <v>52</v>
      </c>
      <c r="P4263" s="32">
        <v>10400</v>
      </c>
      <c r="R4263" s="32">
        <v>3060</v>
      </c>
      <c r="T4263" s="32">
        <v>7340</v>
      </c>
    </row>
    <row r="4264" spans="2:20" ht="12.75" hidden="1" x14ac:dyDescent="0.25">
      <c r="B4264" s="32">
        <v>46</v>
      </c>
      <c r="F4264" s="32" t="s">
        <v>124</v>
      </c>
      <c r="J4264" s="32">
        <v>10</v>
      </c>
      <c r="P4264" s="32">
        <v>6280</v>
      </c>
      <c r="R4264" s="32">
        <v>1860</v>
      </c>
      <c r="T4264" s="32">
        <v>4420</v>
      </c>
    </row>
    <row r="4265" spans="2:20" ht="12.75" hidden="1" x14ac:dyDescent="0.25">
      <c r="B4265" s="32">
        <v>47</v>
      </c>
      <c r="F4265" s="32" t="s">
        <v>123</v>
      </c>
      <c r="J4265" s="32">
        <v>3</v>
      </c>
      <c r="P4265" s="32">
        <v>2340</v>
      </c>
      <c r="R4265" s="32">
        <v>690</v>
      </c>
      <c r="T4265" s="32">
        <v>1650</v>
      </c>
    </row>
    <row r="4266" spans="2:20" ht="12.75" hidden="1" x14ac:dyDescent="0.25">
      <c r="B4266" s="32">
        <v>48</v>
      </c>
      <c r="F4266" s="32" t="s">
        <v>183</v>
      </c>
      <c r="J4266" s="32">
        <v>2</v>
      </c>
      <c r="P4266" s="32">
        <v>880</v>
      </c>
      <c r="R4266" s="32">
        <v>260</v>
      </c>
      <c r="T4266" s="32">
        <v>620</v>
      </c>
    </row>
    <row r="4267" spans="2:20" ht="12.75" hidden="1" x14ac:dyDescent="0.25">
      <c r="B4267" s="32">
        <v>49</v>
      </c>
      <c r="F4267" s="32" t="s">
        <v>120</v>
      </c>
      <c r="J4267" s="32">
        <v>1</v>
      </c>
      <c r="P4267" s="32">
        <v>350</v>
      </c>
      <c r="R4267" s="32">
        <v>100</v>
      </c>
      <c r="T4267" s="32">
        <v>250</v>
      </c>
    </row>
    <row r="4268" spans="2:20" ht="12.75" hidden="1" x14ac:dyDescent="0.25">
      <c r="B4268" s="32">
        <v>50</v>
      </c>
      <c r="F4268" s="32" t="s">
        <v>182</v>
      </c>
      <c r="J4268" s="32">
        <v>2</v>
      </c>
      <c r="P4268" s="32">
        <v>1580</v>
      </c>
      <c r="R4268" s="32">
        <v>240</v>
      </c>
      <c r="T4268" s="32">
        <v>1340</v>
      </c>
    </row>
    <row r="4269" spans="2:20" ht="12.75" hidden="1" x14ac:dyDescent="0.25">
      <c r="B4269" s="32">
        <v>51</v>
      </c>
      <c r="F4269" s="32" t="s">
        <v>119</v>
      </c>
      <c r="J4269" s="32">
        <v>59</v>
      </c>
      <c r="P4269" s="32">
        <v>52510</v>
      </c>
      <c r="R4269" s="32">
        <v>17190</v>
      </c>
      <c r="T4269" s="32">
        <v>35320</v>
      </c>
    </row>
    <row r="4270" spans="2:20" ht="12.75" hidden="1" x14ac:dyDescent="0.25">
      <c r="B4270" s="32">
        <v>52</v>
      </c>
      <c r="F4270" s="32" t="s">
        <v>118</v>
      </c>
      <c r="J4270" s="32">
        <v>203</v>
      </c>
      <c r="P4270" s="32">
        <v>200970</v>
      </c>
      <c r="R4270" s="32">
        <v>68720</v>
      </c>
      <c r="T4270" s="32">
        <v>132250</v>
      </c>
    </row>
    <row r="4271" spans="2:20" ht="12.75" hidden="1" x14ac:dyDescent="0.25">
      <c r="B4271" s="32">
        <v>53</v>
      </c>
      <c r="F4271" s="32" t="s">
        <v>117</v>
      </c>
      <c r="J4271" s="32">
        <v>1</v>
      </c>
      <c r="P4271" s="32">
        <v>800</v>
      </c>
      <c r="R4271" s="32">
        <v>200</v>
      </c>
      <c r="T4271" s="32">
        <v>600</v>
      </c>
    </row>
    <row r="4272" spans="2:20" ht="12.75" hidden="1" x14ac:dyDescent="0.25">
      <c r="B4272" s="32">
        <v>54</v>
      </c>
      <c r="F4272" s="32" t="s">
        <v>262</v>
      </c>
      <c r="J4272" s="32">
        <v>1</v>
      </c>
      <c r="P4272" s="32">
        <v>450</v>
      </c>
      <c r="R4272" s="32">
        <v>70</v>
      </c>
      <c r="T4272" s="32">
        <v>380</v>
      </c>
    </row>
    <row r="4273" spans="2:20" ht="12.75" hidden="1" x14ac:dyDescent="0.25">
      <c r="B4273" s="32">
        <v>55</v>
      </c>
      <c r="F4273" s="32" t="s">
        <v>115</v>
      </c>
      <c r="J4273" s="32">
        <v>5</v>
      </c>
      <c r="P4273" s="32">
        <v>1450</v>
      </c>
      <c r="R4273" s="32">
        <v>490</v>
      </c>
      <c r="T4273" s="32">
        <v>960</v>
      </c>
    </row>
    <row r="4274" spans="2:20" ht="12.75" hidden="1" x14ac:dyDescent="0.25">
      <c r="B4274" s="32">
        <v>56</v>
      </c>
      <c r="F4274" s="32" t="s">
        <v>114</v>
      </c>
      <c r="J4274" s="32">
        <v>1</v>
      </c>
      <c r="P4274" s="32">
        <v>550</v>
      </c>
      <c r="R4274" s="32">
        <v>80</v>
      </c>
      <c r="T4274" s="32">
        <v>470</v>
      </c>
    </row>
    <row r="4275" spans="2:20" ht="12.75" hidden="1" x14ac:dyDescent="0.25">
      <c r="B4275" s="32">
        <v>57</v>
      </c>
      <c r="F4275" s="32" t="s">
        <v>261</v>
      </c>
      <c r="J4275" s="32">
        <v>10</v>
      </c>
      <c r="P4275" s="32">
        <v>900</v>
      </c>
      <c r="R4275" s="32">
        <v>0</v>
      </c>
      <c r="T4275" s="32">
        <v>900</v>
      </c>
    </row>
    <row r="4276" spans="2:20" ht="12.75" hidden="1" x14ac:dyDescent="0.25">
      <c r="T4276" s="32"/>
    </row>
    <row r="4277" spans="2:20" ht="12.75" hidden="1" x14ac:dyDescent="0.25">
      <c r="B4277" s="32">
        <v>58</v>
      </c>
      <c r="F4277" s="32" t="s">
        <v>260</v>
      </c>
      <c r="J4277" s="32">
        <v>18</v>
      </c>
      <c r="P4277" s="32">
        <v>4500</v>
      </c>
      <c r="R4277" s="32">
        <v>1650</v>
      </c>
      <c r="T4277" s="32">
        <v>2850</v>
      </c>
    </row>
    <row r="4278" spans="2:20" ht="12.75" hidden="1" x14ac:dyDescent="0.25">
      <c r="T4278" s="32"/>
    </row>
    <row r="4279" spans="2:20" ht="12.75" hidden="1" x14ac:dyDescent="0.25">
      <c r="B4279" s="32">
        <v>59</v>
      </c>
      <c r="F4279" s="32" t="s">
        <v>259</v>
      </c>
      <c r="J4279" s="32">
        <v>24</v>
      </c>
      <c r="P4279" s="32">
        <v>37200</v>
      </c>
      <c r="R4279" s="32">
        <v>7506</v>
      </c>
      <c r="T4279" s="32">
        <v>29694</v>
      </c>
    </row>
    <row r="4280" spans="2:20" ht="12.75" hidden="1" x14ac:dyDescent="0.25">
      <c r="T4280" s="32"/>
    </row>
    <row r="4281" spans="2:20" ht="12.75" hidden="1" x14ac:dyDescent="0.25">
      <c r="B4281" s="32">
        <v>60</v>
      </c>
      <c r="F4281" s="32" t="s">
        <v>225</v>
      </c>
      <c r="J4281" s="32">
        <v>3</v>
      </c>
      <c r="P4281" s="32">
        <v>5200</v>
      </c>
      <c r="R4281" s="32">
        <v>4950</v>
      </c>
      <c r="T4281" s="32">
        <v>250</v>
      </c>
    </row>
    <row r="4282" spans="2:20" ht="12.75" hidden="1" x14ac:dyDescent="0.25">
      <c r="B4282" s="32">
        <v>61</v>
      </c>
      <c r="F4282" s="32" t="s">
        <v>258</v>
      </c>
      <c r="J4282" s="32">
        <v>1</v>
      </c>
      <c r="P4282" s="32">
        <v>330</v>
      </c>
      <c r="R4282" s="32">
        <v>140</v>
      </c>
      <c r="T4282" s="32">
        <v>190</v>
      </c>
    </row>
    <row r="4283" spans="2:20" ht="12.75" hidden="1" x14ac:dyDescent="0.25">
      <c r="B4283" s="32">
        <v>62</v>
      </c>
      <c r="F4283" s="32" t="s">
        <v>111</v>
      </c>
      <c r="J4283" s="32">
        <v>3</v>
      </c>
      <c r="P4283" s="32">
        <v>1290</v>
      </c>
      <c r="R4283" s="32">
        <v>390</v>
      </c>
      <c r="T4283" s="32">
        <v>900</v>
      </c>
    </row>
    <row r="4284" spans="2:20" ht="12.75" hidden="1" x14ac:dyDescent="0.25">
      <c r="B4284" s="32">
        <v>63</v>
      </c>
      <c r="F4284" s="32" t="s">
        <v>257</v>
      </c>
      <c r="J4284" s="32">
        <v>1</v>
      </c>
      <c r="P4284" s="32">
        <v>990</v>
      </c>
      <c r="R4284" s="32">
        <v>150</v>
      </c>
      <c r="T4284" s="32">
        <v>840</v>
      </c>
    </row>
    <row r="4285" spans="2:20" ht="12.75" hidden="1" x14ac:dyDescent="0.25">
      <c r="B4285" s="32">
        <v>64</v>
      </c>
      <c r="F4285" s="32" t="s">
        <v>109</v>
      </c>
      <c r="J4285" s="32">
        <v>1</v>
      </c>
      <c r="P4285" s="32">
        <v>780</v>
      </c>
      <c r="R4285" s="32">
        <v>230</v>
      </c>
      <c r="T4285" s="32">
        <v>550</v>
      </c>
    </row>
    <row r="4286" spans="2:20" ht="12.75" hidden="1" x14ac:dyDescent="0.25">
      <c r="B4286" s="32">
        <v>65</v>
      </c>
      <c r="F4286" s="32" t="s">
        <v>108</v>
      </c>
      <c r="J4286" s="32">
        <v>344</v>
      </c>
      <c r="P4286" s="32">
        <v>34400</v>
      </c>
      <c r="R4286" s="32">
        <v>10320</v>
      </c>
      <c r="T4286" s="32">
        <v>24080</v>
      </c>
    </row>
    <row r="4287" spans="2:20" ht="12.75" hidden="1" x14ac:dyDescent="0.25">
      <c r="B4287" s="32">
        <v>66</v>
      </c>
      <c r="F4287" s="32" t="s">
        <v>107</v>
      </c>
      <c r="J4287" s="32">
        <v>37</v>
      </c>
      <c r="P4287" s="32">
        <v>6290</v>
      </c>
      <c r="R4287" s="32">
        <v>1840</v>
      </c>
      <c r="T4287" s="32">
        <v>4450</v>
      </c>
    </row>
    <row r="4288" spans="2:20" ht="12.75" hidden="1" x14ac:dyDescent="0.25">
      <c r="B4288" s="32">
        <v>67</v>
      </c>
      <c r="F4288" s="32" t="s">
        <v>256</v>
      </c>
      <c r="J4288" s="32">
        <v>1</v>
      </c>
      <c r="P4288" s="32">
        <v>630</v>
      </c>
      <c r="R4288" s="32">
        <v>190</v>
      </c>
      <c r="T4288" s="32">
        <v>440</v>
      </c>
    </row>
    <row r="4289" spans="2:20" ht="12.75" hidden="1" x14ac:dyDescent="0.25">
      <c r="B4289" s="32">
        <v>68</v>
      </c>
      <c r="F4289" s="32" t="s">
        <v>255</v>
      </c>
      <c r="J4289" s="32">
        <v>1</v>
      </c>
      <c r="P4289" s="32">
        <v>950</v>
      </c>
      <c r="R4289" s="32">
        <v>140</v>
      </c>
      <c r="T4289" s="32">
        <v>810</v>
      </c>
    </row>
    <row r="4290" spans="2:20" ht="12.75" hidden="1" x14ac:dyDescent="0.25">
      <c r="B4290" s="32">
        <v>69</v>
      </c>
      <c r="F4290" s="32" t="s">
        <v>105</v>
      </c>
      <c r="J4290" s="32">
        <v>6</v>
      </c>
      <c r="P4290" s="32">
        <v>6900</v>
      </c>
      <c r="R4290" s="32">
        <v>0</v>
      </c>
      <c r="T4290" s="32">
        <v>6900</v>
      </c>
    </row>
    <row r="4291" spans="2:20" ht="12.75" hidden="1" x14ac:dyDescent="0.25">
      <c r="B4291" s="32">
        <v>70</v>
      </c>
      <c r="F4291" s="32" t="s">
        <v>214</v>
      </c>
      <c r="J4291" s="32">
        <v>1</v>
      </c>
      <c r="P4291" s="32">
        <v>990</v>
      </c>
      <c r="R4291" s="32">
        <v>150</v>
      </c>
      <c r="T4291" s="32">
        <v>840</v>
      </c>
    </row>
    <row r="4292" spans="2:20" ht="12.75" hidden="1" x14ac:dyDescent="0.25">
      <c r="B4292" s="32">
        <v>71</v>
      </c>
      <c r="F4292" s="32" t="s">
        <v>104</v>
      </c>
      <c r="J4292" s="32">
        <v>2</v>
      </c>
      <c r="P4292" s="32">
        <v>660</v>
      </c>
      <c r="R4292" s="32">
        <v>270</v>
      </c>
      <c r="T4292" s="32">
        <v>390</v>
      </c>
    </row>
    <row r="4293" spans="2:20" ht="12.75" hidden="1" x14ac:dyDescent="0.25">
      <c r="B4293" s="32">
        <v>72</v>
      </c>
      <c r="F4293" s="32" t="s">
        <v>103</v>
      </c>
      <c r="J4293" s="32">
        <v>16</v>
      </c>
      <c r="P4293" s="32">
        <v>5280</v>
      </c>
      <c r="R4293" s="32">
        <v>2120</v>
      </c>
      <c r="T4293" s="32">
        <v>3160</v>
      </c>
    </row>
    <row r="4294" spans="2:20" ht="12.75" hidden="1" x14ac:dyDescent="0.25">
      <c r="B4294" s="32">
        <v>73</v>
      </c>
      <c r="F4294" s="32" t="s">
        <v>102</v>
      </c>
      <c r="J4294" s="32">
        <v>12</v>
      </c>
      <c r="P4294" s="32">
        <v>10560</v>
      </c>
      <c r="R4294" s="32">
        <v>1560</v>
      </c>
      <c r="T4294" s="32">
        <v>9000</v>
      </c>
    </row>
    <row r="4295" spans="2:20" ht="12.75" hidden="1" x14ac:dyDescent="0.25">
      <c r="B4295" s="32">
        <v>74</v>
      </c>
      <c r="F4295" s="32" t="s">
        <v>101</v>
      </c>
      <c r="J4295" s="32">
        <v>9</v>
      </c>
      <c r="P4295" s="32">
        <v>4140</v>
      </c>
      <c r="R4295" s="32">
        <v>1260</v>
      </c>
      <c r="T4295" s="32">
        <v>2880</v>
      </c>
    </row>
    <row r="4296" spans="2:20" ht="12.75" hidden="1" x14ac:dyDescent="0.25">
      <c r="B4296" s="32">
        <v>75</v>
      </c>
      <c r="F4296" s="32" t="s">
        <v>254</v>
      </c>
      <c r="J4296" s="32">
        <v>1</v>
      </c>
      <c r="P4296" s="32">
        <v>290</v>
      </c>
      <c r="R4296" s="32">
        <v>80</v>
      </c>
      <c r="T4296" s="32">
        <v>210</v>
      </c>
    </row>
    <row r="4297" spans="2:20" ht="12.75" hidden="1" x14ac:dyDescent="0.25">
      <c r="B4297" s="32">
        <v>76</v>
      </c>
      <c r="F4297" s="32" t="s">
        <v>179</v>
      </c>
      <c r="J4297" s="32">
        <v>1</v>
      </c>
      <c r="P4297" s="32">
        <v>880</v>
      </c>
      <c r="R4297" s="32">
        <v>130</v>
      </c>
      <c r="T4297" s="32">
        <v>750</v>
      </c>
    </row>
    <row r="4298" spans="2:20" ht="12.75" hidden="1" x14ac:dyDescent="0.25">
      <c r="B4298" s="32">
        <v>77</v>
      </c>
      <c r="F4298" s="32" t="s">
        <v>100</v>
      </c>
      <c r="J4298" s="32">
        <v>4</v>
      </c>
      <c r="P4298" s="32">
        <v>720</v>
      </c>
      <c r="R4298" s="32">
        <v>200</v>
      </c>
      <c r="T4298" s="32">
        <v>520</v>
      </c>
    </row>
    <row r="4299" spans="2:20" ht="12.75" hidden="1" x14ac:dyDescent="0.25">
      <c r="B4299" s="32">
        <v>78</v>
      </c>
      <c r="F4299" s="32" t="s">
        <v>178</v>
      </c>
      <c r="J4299" s="32">
        <v>4</v>
      </c>
      <c r="P4299" s="32">
        <v>6600</v>
      </c>
      <c r="R4299" s="32">
        <v>0</v>
      </c>
      <c r="T4299" s="32">
        <v>6600</v>
      </c>
    </row>
    <row r="4300" spans="2:20" ht="12.75" hidden="1" x14ac:dyDescent="0.25">
      <c r="B4300" s="32">
        <v>79</v>
      </c>
      <c r="F4300" s="32" t="s">
        <v>97</v>
      </c>
      <c r="J4300" s="32">
        <v>9</v>
      </c>
      <c r="P4300" s="32">
        <v>14310</v>
      </c>
      <c r="R4300" s="32">
        <v>2160</v>
      </c>
      <c r="T4300" s="32">
        <v>12150</v>
      </c>
    </row>
    <row r="4301" spans="2:20" ht="12.75" hidden="1" x14ac:dyDescent="0.25">
      <c r="B4301" s="32">
        <v>80</v>
      </c>
      <c r="F4301" s="32" t="s">
        <v>96</v>
      </c>
      <c r="J4301" s="32">
        <v>1</v>
      </c>
      <c r="P4301" s="32">
        <v>440</v>
      </c>
      <c r="R4301" s="32">
        <v>130</v>
      </c>
      <c r="T4301" s="32">
        <v>310</v>
      </c>
    </row>
    <row r="4302" spans="2:20" ht="12.75" hidden="1" x14ac:dyDescent="0.25">
      <c r="B4302" s="32">
        <v>81</v>
      </c>
      <c r="F4302" s="32" t="s">
        <v>95</v>
      </c>
      <c r="J4302" s="32">
        <v>4</v>
      </c>
      <c r="P4302" s="32">
        <v>1160</v>
      </c>
      <c r="R4302" s="32">
        <v>320</v>
      </c>
      <c r="T4302" s="32">
        <v>840</v>
      </c>
    </row>
    <row r="4303" spans="2:20" ht="12.75" hidden="1" x14ac:dyDescent="0.25">
      <c r="B4303" s="32">
        <v>82</v>
      </c>
      <c r="F4303" s="32" t="s">
        <v>253</v>
      </c>
      <c r="J4303" s="32">
        <v>1</v>
      </c>
      <c r="P4303" s="32">
        <v>290</v>
      </c>
      <c r="R4303" s="32">
        <v>130</v>
      </c>
      <c r="T4303" s="32">
        <v>160</v>
      </c>
    </row>
    <row r="4304" spans="2:20" ht="12.75" hidden="1" x14ac:dyDescent="0.25">
      <c r="B4304" s="32">
        <v>83</v>
      </c>
      <c r="F4304" s="32" t="s">
        <v>93</v>
      </c>
      <c r="J4304" s="32">
        <v>25</v>
      </c>
      <c r="P4304" s="32">
        <v>14750</v>
      </c>
      <c r="R4304" s="32">
        <v>2160</v>
      </c>
      <c r="T4304" s="32">
        <v>12590</v>
      </c>
    </row>
    <row r="4305" spans="1:20" ht="12.75" hidden="1" x14ac:dyDescent="0.25">
      <c r="B4305" s="32">
        <v>84</v>
      </c>
      <c r="F4305" s="32" t="s">
        <v>92</v>
      </c>
      <c r="J4305" s="32">
        <v>23</v>
      </c>
      <c r="P4305" s="32">
        <v>20080</v>
      </c>
      <c r="R4305" s="32">
        <v>5960</v>
      </c>
      <c r="T4305" s="32">
        <v>14120</v>
      </c>
    </row>
    <row r="4306" spans="1:20" ht="12.75" hidden="1" x14ac:dyDescent="0.25">
      <c r="B4306" s="32">
        <v>85</v>
      </c>
      <c r="F4306" s="32" t="s">
        <v>91</v>
      </c>
      <c r="J4306" s="32">
        <v>90</v>
      </c>
      <c r="P4306" s="32">
        <v>22500</v>
      </c>
      <c r="R4306" s="32">
        <v>6330</v>
      </c>
      <c r="T4306" s="32">
        <v>16170</v>
      </c>
    </row>
    <row r="4307" spans="1:20" ht="12.75" hidden="1" x14ac:dyDescent="0.25">
      <c r="B4307" s="32">
        <v>86</v>
      </c>
      <c r="F4307" s="32" t="s">
        <v>90</v>
      </c>
      <c r="J4307" s="32">
        <v>37</v>
      </c>
      <c r="P4307" s="32">
        <v>10730</v>
      </c>
      <c r="R4307" s="32">
        <v>3170</v>
      </c>
      <c r="T4307" s="32">
        <v>7560</v>
      </c>
    </row>
    <row r="4308" spans="1:20" ht="12.75" hidden="1" x14ac:dyDescent="0.25">
      <c r="B4308" s="32">
        <v>87</v>
      </c>
      <c r="F4308" s="32" t="s">
        <v>88</v>
      </c>
      <c r="J4308" s="32">
        <v>81</v>
      </c>
      <c r="P4308" s="32">
        <v>14580</v>
      </c>
      <c r="R4308" s="32">
        <v>4620</v>
      </c>
      <c r="T4308" s="32">
        <v>9960</v>
      </c>
    </row>
    <row r="4309" spans="1:20" ht="12.75" hidden="1" x14ac:dyDescent="0.25">
      <c r="B4309" s="32">
        <v>88</v>
      </c>
      <c r="F4309" s="32" t="s">
        <v>87</v>
      </c>
      <c r="J4309" s="32">
        <v>4</v>
      </c>
      <c r="P4309" s="32">
        <v>1160</v>
      </c>
      <c r="R4309" s="32">
        <v>320</v>
      </c>
      <c r="T4309" s="32">
        <v>840</v>
      </c>
    </row>
    <row r="4310" spans="1:20" ht="12.75" hidden="1" x14ac:dyDescent="0.25">
      <c r="B4310" s="32">
        <v>89</v>
      </c>
      <c r="F4310" s="32" t="s">
        <v>86</v>
      </c>
      <c r="J4310" s="32">
        <v>7</v>
      </c>
      <c r="P4310" s="32">
        <v>7980</v>
      </c>
      <c r="R4310" s="32">
        <v>1190</v>
      </c>
      <c r="T4310" s="32">
        <v>6790</v>
      </c>
    </row>
    <row r="4311" spans="1:20" ht="12.75" hidden="1" x14ac:dyDescent="0.25">
      <c r="B4311" s="32">
        <v>90</v>
      </c>
      <c r="F4311" s="32" t="s">
        <v>85</v>
      </c>
      <c r="J4311" s="32">
        <v>22</v>
      </c>
      <c r="P4311" s="32">
        <v>45760</v>
      </c>
      <c r="R4311" s="32">
        <v>6820</v>
      </c>
      <c r="T4311" s="32">
        <v>38940</v>
      </c>
    </row>
    <row r="4312" spans="1:20" ht="12.75" hidden="1" x14ac:dyDescent="0.25">
      <c r="B4312" s="32">
        <v>91</v>
      </c>
      <c r="F4312" s="32" t="s">
        <v>84</v>
      </c>
      <c r="J4312" s="32">
        <v>5</v>
      </c>
      <c r="P4312" s="32">
        <v>2950</v>
      </c>
      <c r="R4312" s="32">
        <v>900</v>
      </c>
      <c r="T4312" s="32">
        <v>2050</v>
      </c>
    </row>
    <row r="4313" spans="1:20" ht="12.75" hidden="1" x14ac:dyDescent="0.25">
      <c r="B4313" s="32">
        <v>92</v>
      </c>
      <c r="F4313" s="32" t="s">
        <v>82</v>
      </c>
      <c r="J4313" s="32">
        <v>12</v>
      </c>
      <c r="P4313" s="32">
        <v>3480</v>
      </c>
      <c r="R4313" s="32">
        <v>3480</v>
      </c>
      <c r="T4313" s="32">
        <v>0</v>
      </c>
    </row>
    <row r="4314" spans="1:20" ht="12.75" hidden="1" x14ac:dyDescent="0.25">
      <c r="B4314" s="32">
        <v>93</v>
      </c>
      <c r="F4314" s="32" t="s">
        <v>81</v>
      </c>
      <c r="J4314" s="32">
        <v>93</v>
      </c>
      <c r="P4314" s="32">
        <v>26970</v>
      </c>
      <c r="R4314" s="32">
        <v>9540</v>
      </c>
      <c r="T4314" s="32">
        <v>17430</v>
      </c>
    </row>
    <row r="4315" spans="1:20" ht="12.75" hidden="1" x14ac:dyDescent="0.25">
      <c r="A4315" s="32" t="s">
        <v>252</v>
      </c>
      <c r="K4315" s="32">
        <v>12965</v>
      </c>
      <c r="P4315" s="32">
        <v>16014200</v>
      </c>
      <c r="R4315" s="32">
        <v>14982616</v>
      </c>
      <c r="T4315" s="32">
        <v>1031584</v>
      </c>
    </row>
    <row r="4316" spans="1:20" ht="12.75" hidden="1" x14ac:dyDescent="0.25">
      <c r="B4316" s="32">
        <v>1</v>
      </c>
      <c r="F4316" s="32" t="s">
        <v>200</v>
      </c>
      <c r="J4316" s="32">
        <v>1</v>
      </c>
      <c r="P4316" s="32">
        <v>500</v>
      </c>
      <c r="R4316" s="32">
        <v>0</v>
      </c>
      <c r="T4316" s="32">
        <v>500</v>
      </c>
    </row>
    <row r="4317" spans="1:20" ht="12.75" hidden="1" x14ac:dyDescent="0.25">
      <c r="B4317" s="32">
        <v>2</v>
      </c>
      <c r="F4317" s="32" t="s">
        <v>251</v>
      </c>
      <c r="J4317" s="32">
        <v>2</v>
      </c>
      <c r="P4317" s="32">
        <v>1600</v>
      </c>
      <c r="R4317" s="32">
        <v>400</v>
      </c>
      <c r="T4317" s="32">
        <v>1200</v>
      </c>
    </row>
    <row r="4318" spans="1:20" ht="12.75" hidden="1" x14ac:dyDescent="0.25">
      <c r="B4318" s="32">
        <v>3</v>
      </c>
      <c r="F4318" s="32" t="s">
        <v>250</v>
      </c>
      <c r="J4318" s="32">
        <v>1</v>
      </c>
      <c r="P4318" s="32">
        <v>500</v>
      </c>
      <c r="R4318" s="32">
        <v>130</v>
      </c>
      <c r="T4318" s="32">
        <v>370</v>
      </c>
    </row>
    <row r="4319" spans="1:20" ht="12.75" hidden="1" x14ac:dyDescent="0.25">
      <c r="B4319" s="32">
        <v>4</v>
      </c>
      <c r="F4319" s="32" t="s">
        <v>79</v>
      </c>
      <c r="J4319" s="32">
        <v>1</v>
      </c>
      <c r="P4319" s="32">
        <v>500</v>
      </c>
      <c r="R4319" s="32">
        <v>130</v>
      </c>
      <c r="T4319" s="32">
        <v>370</v>
      </c>
    </row>
    <row r="4320" spans="1:20" ht="12.75" hidden="1" x14ac:dyDescent="0.25">
      <c r="B4320" s="32">
        <v>5</v>
      </c>
      <c r="F4320" s="32" t="s">
        <v>168</v>
      </c>
      <c r="J4320" s="32">
        <v>1</v>
      </c>
      <c r="P4320" s="32">
        <v>2200</v>
      </c>
      <c r="R4320" s="32">
        <v>330</v>
      </c>
      <c r="T4320" s="32">
        <v>1870</v>
      </c>
    </row>
    <row r="4321" spans="2:20" ht="12.75" hidden="1" x14ac:dyDescent="0.25">
      <c r="B4321" s="32">
        <v>6</v>
      </c>
      <c r="F4321" s="32" t="s">
        <v>78</v>
      </c>
      <c r="J4321" s="32">
        <v>898</v>
      </c>
      <c r="P4321" s="32">
        <v>260420</v>
      </c>
      <c r="R4321" s="32">
        <v>260420</v>
      </c>
      <c r="T4321" s="32">
        <v>0</v>
      </c>
    </row>
    <row r="4322" spans="2:20" ht="12.75" hidden="1" x14ac:dyDescent="0.25">
      <c r="B4322" s="32">
        <v>7</v>
      </c>
      <c r="F4322" s="32" t="s">
        <v>249</v>
      </c>
      <c r="J4322" s="32">
        <v>1</v>
      </c>
      <c r="P4322" s="32">
        <v>1300</v>
      </c>
      <c r="R4322" s="32">
        <v>200</v>
      </c>
      <c r="T4322" s="32">
        <v>1100</v>
      </c>
    </row>
    <row r="4323" spans="2:20" ht="12.75" hidden="1" x14ac:dyDescent="0.25">
      <c r="B4323" s="32">
        <v>8</v>
      </c>
      <c r="F4323" s="32" t="s">
        <v>166</v>
      </c>
      <c r="J4323" s="32">
        <v>1</v>
      </c>
      <c r="P4323" s="32">
        <v>1900</v>
      </c>
      <c r="R4323" s="32">
        <v>0</v>
      </c>
      <c r="T4323" s="32">
        <v>1900</v>
      </c>
    </row>
    <row r="4324" spans="2:20" ht="12.75" hidden="1" x14ac:dyDescent="0.25">
      <c r="B4324" s="32">
        <v>9</v>
      </c>
      <c r="F4324" s="32" t="s">
        <v>248</v>
      </c>
      <c r="J4324" s="32">
        <v>1</v>
      </c>
      <c r="P4324" s="32">
        <v>1200</v>
      </c>
      <c r="R4324" s="32">
        <v>0</v>
      </c>
      <c r="T4324" s="32">
        <v>1200</v>
      </c>
    </row>
    <row r="4325" spans="2:20" ht="12.75" hidden="1" x14ac:dyDescent="0.25">
      <c r="B4325" s="32">
        <v>10</v>
      </c>
      <c r="F4325" s="32" t="s">
        <v>165</v>
      </c>
      <c r="J4325" s="32">
        <v>3</v>
      </c>
      <c r="P4325" s="32">
        <v>1770</v>
      </c>
      <c r="R4325" s="32">
        <v>88</v>
      </c>
      <c r="T4325" s="32">
        <v>1682</v>
      </c>
    </row>
    <row r="4326" spans="2:20" ht="12.75" hidden="1" x14ac:dyDescent="0.25">
      <c r="B4326" s="32">
        <v>11</v>
      </c>
      <c r="F4326" s="32" t="s">
        <v>247</v>
      </c>
      <c r="J4326" s="32">
        <v>4</v>
      </c>
      <c r="P4326" s="32">
        <v>3520</v>
      </c>
      <c r="R4326" s="32">
        <v>260</v>
      </c>
      <c r="T4326" s="32">
        <v>3260</v>
      </c>
    </row>
    <row r="4327" spans="2:20" ht="12.75" hidden="1" x14ac:dyDescent="0.25">
      <c r="B4327" s="32">
        <v>12</v>
      </c>
      <c r="F4327" s="32" t="s">
        <v>246</v>
      </c>
      <c r="J4327" s="32">
        <v>3</v>
      </c>
      <c r="P4327" s="32">
        <v>2970</v>
      </c>
      <c r="R4327" s="32">
        <v>307</v>
      </c>
      <c r="T4327" s="32">
        <v>2663</v>
      </c>
    </row>
    <row r="4328" spans="2:20" ht="12.75" hidden="1" x14ac:dyDescent="0.25">
      <c r="B4328" s="32">
        <v>13</v>
      </c>
      <c r="F4328" s="32" t="s">
        <v>164</v>
      </c>
      <c r="J4328" s="32">
        <v>1</v>
      </c>
      <c r="P4328" s="32">
        <v>590</v>
      </c>
      <c r="R4328" s="32">
        <v>180</v>
      </c>
      <c r="T4328" s="32">
        <v>410</v>
      </c>
    </row>
    <row r="4329" spans="2:20" ht="12.75" hidden="1" x14ac:dyDescent="0.25">
      <c r="B4329" s="32">
        <v>14</v>
      </c>
      <c r="F4329" s="32" t="s">
        <v>245</v>
      </c>
      <c r="J4329" s="32">
        <v>1</v>
      </c>
      <c r="P4329" s="32">
        <v>3000</v>
      </c>
      <c r="R4329" s="32">
        <v>750</v>
      </c>
      <c r="T4329" s="32">
        <v>2250</v>
      </c>
    </row>
    <row r="4330" spans="2:20" ht="12.75" hidden="1" x14ac:dyDescent="0.25">
      <c r="B4330" s="32">
        <v>15</v>
      </c>
      <c r="F4330" s="32" t="s">
        <v>163</v>
      </c>
      <c r="J4330" s="32">
        <v>3</v>
      </c>
      <c r="P4330" s="32">
        <v>3570</v>
      </c>
      <c r="R4330" s="32">
        <v>180</v>
      </c>
      <c r="T4330" s="32">
        <v>3390</v>
      </c>
    </row>
    <row r="4331" spans="2:20" ht="12.75" hidden="1" x14ac:dyDescent="0.25">
      <c r="B4331" s="32">
        <v>16</v>
      </c>
      <c r="F4331" s="32" t="s">
        <v>162</v>
      </c>
      <c r="J4331" s="32">
        <v>16</v>
      </c>
      <c r="P4331" s="32">
        <v>6880</v>
      </c>
      <c r="R4331" s="32">
        <v>3003</v>
      </c>
      <c r="T4331" s="32">
        <v>3877</v>
      </c>
    </row>
    <row r="4332" spans="2:20" ht="12.75" hidden="1" x14ac:dyDescent="0.25">
      <c r="B4332" s="32">
        <v>17</v>
      </c>
      <c r="F4332" s="32" t="s">
        <v>198</v>
      </c>
      <c r="J4332" s="32">
        <v>1</v>
      </c>
      <c r="P4332" s="32">
        <v>290</v>
      </c>
      <c r="R4332" s="32">
        <v>80</v>
      </c>
      <c r="T4332" s="32">
        <v>210</v>
      </c>
    </row>
    <row r="4333" spans="2:20" ht="12.75" hidden="1" x14ac:dyDescent="0.25">
      <c r="B4333" s="32">
        <v>18</v>
      </c>
      <c r="F4333" s="32" t="s">
        <v>160</v>
      </c>
      <c r="J4333" s="32">
        <v>26</v>
      </c>
      <c r="P4333" s="32">
        <v>7540</v>
      </c>
      <c r="R4333" s="32">
        <v>560</v>
      </c>
      <c r="T4333" s="32">
        <v>6980</v>
      </c>
    </row>
    <row r="4334" spans="2:20" ht="12.75" hidden="1" x14ac:dyDescent="0.25">
      <c r="B4334" s="32">
        <v>19</v>
      </c>
      <c r="F4334" s="32" t="s">
        <v>158</v>
      </c>
      <c r="J4334" s="32">
        <v>524</v>
      </c>
      <c r="P4334" s="32">
        <v>288200</v>
      </c>
      <c r="R4334" s="32">
        <v>40878</v>
      </c>
      <c r="T4334" s="32">
        <v>247322</v>
      </c>
    </row>
    <row r="4335" spans="2:20" ht="12.75" hidden="1" x14ac:dyDescent="0.25">
      <c r="B4335" s="32">
        <v>20</v>
      </c>
      <c r="F4335" s="32" t="s">
        <v>157</v>
      </c>
      <c r="J4335" s="32">
        <v>200</v>
      </c>
      <c r="P4335" s="32">
        <v>98000</v>
      </c>
      <c r="R4335" s="32">
        <v>25316</v>
      </c>
      <c r="T4335" s="32">
        <v>72684</v>
      </c>
    </row>
    <row r="4336" spans="2:20" ht="12.75" hidden="1" x14ac:dyDescent="0.25">
      <c r="B4336" s="32">
        <v>21</v>
      </c>
      <c r="F4336" s="32" t="s">
        <v>197</v>
      </c>
      <c r="J4336" s="32">
        <v>1</v>
      </c>
      <c r="P4336" s="32">
        <v>500</v>
      </c>
      <c r="R4336" s="32">
        <v>150</v>
      </c>
      <c r="T4336" s="32">
        <v>350</v>
      </c>
    </row>
    <row r="4337" spans="2:20" ht="12.75" hidden="1" x14ac:dyDescent="0.25">
      <c r="B4337" s="32">
        <v>22</v>
      </c>
      <c r="F4337" s="32" t="s">
        <v>196</v>
      </c>
      <c r="J4337" s="32">
        <v>4</v>
      </c>
      <c r="P4337" s="32">
        <v>2800</v>
      </c>
      <c r="R4337" s="32">
        <v>350</v>
      </c>
      <c r="T4337" s="32">
        <v>2450</v>
      </c>
    </row>
    <row r="4338" spans="2:20" ht="12.75" hidden="1" x14ac:dyDescent="0.25">
      <c r="B4338" s="32">
        <v>23</v>
      </c>
      <c r="F4338" s="32" t="s">
        <v>244</v>
      </c>
      <c r="J4338" s="32">
        <v>101</v>
      </c>
      <c r="P4338" s="32">
        <v>31900</v>
      </c>
      <c r="R4338" s="32">
        <v>4331</v>
      </c>
      <c r="T4338" s="32">
        <v>27569</v>
      </c>
    </row>
    <row r="4339" spans="2:20" ht="12.75" hidden="1" x14ac:dyDescent="0.25">
      <c r="B4339" s="32">
        <v>24</v>
      </c>
      <c r="F4339" s="32" t="s">
        <v>77</v>
      </c>
      <c r="J4339" s="32">
        <v>4709</v>
      </c>
      <c r="P4339" s="32">
        <v>1910000</v>
      </c>
      <c r="R4339" s="32">
        <v>1906900</v>
      </c>
      <c r="T4339" s="32">
        <v>3100</v>
      </c>
    </row>
    <row r="4340" spans="2:20" ht="12.75" hidden="1" x14ac:dyDescent="0.25">
      <c r="B4340" s="32">
        <v>25</v>
      </c>
      <c r="F4340" s="32" t="s">
        <v>243</v>
      </c>
      <c r="J4340" s="32">
        <v>5</v>
      </c>
      <c r="P4340" s="32">
        <v>750</v>
      </c>
      <c r="R4340" s="32">
        <v>199</v>
      </c>
      <c r="T4340" s="32">
        <v>551</v>
      </c>
    </row>
    <row r="4341" spans="2:20" ht="12.75" hidden="1" x14ac:dyDescent="0.25">
      <c r="B4341" s="32">
        <v>26</v>
      </c>
      <c r="F4341" s="32" t="s">
        <v>242</v>
      </c>
      <c r="J4341" s="32">
        <v>1</v>
      </c>
      <c r="P4341" s="32">
        <v>500</v>
      </c>
      <c r="R4341" s="32">
        <v>0</v>
      </c>
      <c r="T4341" s="32">
        <v>500</v>
      </c>
    </row>
    <row r="4342" spans="2:20" ht="12.75" hidden="1" x14ac:dyDescent="0.25">
      <c r="B4342" s="32">
        <v>27</v>
      </c>
      <c r="F4342" s="32" t="s">
        <v>241</v>
      </c>
      <c r="J4342" s="32">
        <v>6</v>
      </c>
      <c r="P4342" s="32">
        <v>2100</v>
      </c>
      <c r="R4342" s="32">
        <v>2100</v>
      </c>
      <c r="T4342" s="32">
        <v>0</v>
      </c>
    </row>
    <row r="4343" spans="2:20" ht="12.75" hidden="1" x14ac:dyDescent="0.25">
      <c r="B4343" s="32">
        <v>28</v>
      </c>
      <c r="F4343" s="32" t="s">
        <v>76</v>
      </c>
      <c r="J4343" s="32">
        <v>3</v>
      </c>
      <c r="P4343" s="32">
        <v>1800</v>
      </c>
      <c r="R4343" s="32">
        <v>1800</v>
      </c>
      <c r="T4343" s="32">
        <v>0</v>
      </c>
    </row>
    <row r="4344" spans="2:20" ht="12.75" hidden="1" x14ac:dyDescent="0.25">
      <c r="B4344" s="32">
        <v>29</v>
      </c>
      <c r="F4344" s="32" t="s">
        <v>156</v>
      </c>
      <c r="J4344" s="32">
        <v>9</v>
      </c>
      <c r="P4344" s="32">
        <v>1710</v>
      </c>
      <c r="R4344" s="32">
        <v>520</v>
      </c>
      <c r="T4344" s="32">
        <v>1190</v>
      </c>
    </row>
    <row r="4345" spans="2:20" ht="12.75" hidden="1" x14ac:dyDescent="0.25">
      <c r="B4345" s="32">
        <v>30</v>
      </c>
      <c r="F4345" s="32" t="s">
        <v>240</v>
      </c>
      <c r="J4345" s="32">
        <v>1</v>
      </c>
      <c r="P4345" s="32">
        <v>3240</v>
      </c>
      <c r="R4345" s="32">
        <v>0</v>
      </c>
      <c r="T4345" s="32">
        <v>3240</v>
      </c>
    </row>
    <row r="4346" spans="2:20" ht="12.75" hidden="1" x14ac:dyDescent="0.25">
      <c r="B4346" s="32">
        <v>31</v>
      </c>
      <c r="F4346" s="32" t="s">
        <v>155</v>
      </c>
      <c r="J4346" s="32">
        <v>81</v>
      </c>
      <c r="P4346" s="32">
        <v>20250</v>
      </c>
      <c r="R4346" s="32">
        <v>1372</v>
      </c>
      <c r="T4346" s="32">
        <v>18878</v>
      </c>
    </row>
    <row r="4347" spans="2:20" ht="12.75" hidden="1" x14ac:dyDescent="0.25">
      <c r="B4347" s="32">
        <v>32</v>
      </c>
      <c r="F4347" s="32" t="s">
        <v>239</v>
      </c>
      <c r="J4347" s="32">
        <v>1</v>
      </c>
      <c r="P4347" s="32">
        <v>1090</v>
      </c>
      <c r="R4347" s="32">
        <v>0</v>
      </c>
      <c r="T4347" s="32">
        <v>1090</v>
      </c>
    </row>
    <row r="4348" spans="2:20" ht="12.75" hidden="1" x14ac:dyDescent="0.25">
      <c r="B4348" s="32">
        <v>33</v>
      </c>
      <c r="F4348" s="32" t="s">
        <v>195</v>
      </c>
      <c r="J4348" s="32">
        <v>2</v>
      </c>
      <c r="P4348" s="32">
        <v>1900</v>
      </c>
      <c r="R4348" s="32">
        <v>279</v>
      </c>
      <c r="T4348" s="32">
        <v>1621</v>
      </c>
    </row>
    <row r="4349" spans="2:20" ht="12.75" hidden="1" x14ac:dyDescent="0.25">
      <c r="B4349" s="32">
        <v>34</v>
      </c>
      <c r="F4349" s="32" t="s">
        <v>194</v>
      </c>
      <c r="J4349" s="32">
        <v>5</v>
      </c>
      <c r="P4349" s="32">
        <v>3500</v>
      </c>
      <c r="R4349" s="32">
        <v>715</v>
      </c>
      <c r="T4349" s="32">
        <v>2785</v>
      </c>
    </row>
    <row r="4350" spans="2:20" ht="12.75" hidden="1" x14ac:dyDescent="0.25">
      <c r="B4350" s="32">
        <v>35</v>
      </c>
      <c r="F4350" s="32" t="s">
        <v>152</v>
      </c>
      <c r="J4350" s="32">
        <v>24</v>
      </c>
      <c r="P4350" s="32">
        <v>14160</v>
      </c>
      <c r="R4350" s="32">
        <v>2104</v>
      </c>
      <c r="T4350" s="32">
        <v>12056</v>
      </c>
    </row>
    <row r="4351" spans="2:20" ht="12.75" hidden="1" x14ac:dyDescent="0.25">
      <c r="B4351" s="32">
        <v>36</v>
      </c>
      <c r="F4351" s="32" t="s">
        <v>151</v>
      </c>
      <c r="J4351" s="32">
        <v>11</v>
      </c>
      <c r="P4351" s="32">
        <v>2530</v>
      </c>
      <c r="R4351" s="32">
        <v>600</v>
      </c>
      <c r="T4351" s="32">
        <v>1930</v>
      </c>
    </row>
    <row r="4352" spans="2:20" ht="12.75" hidden="1" x14ac:dyDescent="0.25">
      <c r="B4352" s="32">
        <v>37</v>
      </c>
      <c r="F4352" s="32" t="s">
        <v>238</v>
      </c>
      <c r="J4352" s="32">
        <v>1</v>
      </c>
      <c r="P4352" s="32">
        <v>990</v>
      </c>
      <c r="R4352" s="32">
        <v>0</v>
      </c>
      <c r="T4352" s="32">
        <v>990</v>
      </c>
    </row>
    <row r="4353" spans="2:20" ht="12.75" hidden="1" x14ac:dyDescent="0.25">
      <c r="B4353" s="32">
        <v>38</v>
      </c>
      <c r="F4353" s="32" t="s">
        <v>150</v>
      </c>
      <c r="J4353" s="32">
        <v>3</v>
      </c>
      <c r="P4353" s="32">
        <v>510</v>
      </c>
      <c r="R4353" s="32">
        <v>50</v>
      </c>
      <c r="T4353" s="32">
        <v>460</v>
      </c>
    </row>
    <row r="4354" spans="2:20" ht="12.75" hidden="1" x14ac:dyDescent="0.25">
      <c r="B4354" s="32">
        <v>39</v>
      </c>
      <c r="F4354" s="32" t="s">
        <v>149</v>
      </c>
      <c r="J4354" s="32">
        <v>83</v>
      </c>
      <c r="P4354" s="32">
        <v>4150</v>
      </c>
      <c r="R4354" s="32">
        <v>374</v>
      </c>
      <c r="T4354" s="32">
        <v>3776</v>
      </c>
    </row>
    <row r="4355" spans="2:20" ht="12.75" hidden="1" x14ac:dyDescent="0.25">
      <c r="B4355" s="32">
        <v>40</v>
      </c>
      <c r="F4355" s="32" t="s">
        <v>237</v>
      </c>
      <c r="J4355" s="32">
        <v>1</v>
      </c>
      <c r="P4355" s="32">
        <v>800</v>
      </c>
      <c r="R4355" s="32">
        <v>200</v>
      </c>
      <c r="T4355" s="32">
        <v>600</v>
      </c>
    </row>
    <row r="4356" spans="2:20" ht="12.75" hidden="1" x14ac:dyDescent="0.25">
      <c r="B4356" s="32">
        <v>41</v>
      </c>
      <c r="F4356" s="32" t="s">
        <v>236</v>
      </c>
      <c r="J4356" s="32">
        <v>1</v>
      </c>
      <c r="P4356" s="32">
        <v>800</v>
      </c>
      <c r="R4356" s="32">
        <v>0</v>
      </c>
      <c r="T4356" s="32">
        <v>800</v>
      </c>
    </row>
    <row r="4357" spans="2:20" ht="12.75" hidden="1" x14ac:dyDescent="0.25">
      <c r="B4357" s="32">
        <v>42</v>
      </c>
      <c r="F4357" s="32" t="s">
        <v>235</v>
      </c>
      <c r="J4357" s="32">
        <v>2</v>
      </c>
      <c r="P4357" s="32">
        <v>1900</v>
      </c>
      <c r="R4357" s="32">
        <v>0</v>
      </c>
      <c r="T4357" s="32">
        <v>1900</v>
      </c>
    </row>
    <row r="4358" spans="2:20" ht="12.75" hidden="1" x14ac:dyDescent="0.25">
      <c r="B4358" s="32">
        <v>43</v>
      </c>
      <c r="F4358" s="32" t="s">
        <v>234</v>
      </c>
      <c r="J4358" s="32">
        <v>2</v>
      </c>
      <c r="P4358" s="32">
        <v>1600</v>
      </c>
      <c r="R4358" s="32">
        <v>450</v>
      </c>
      <c r="T4358" s="32">
        <v>1150</v>
      </c>
    </row>
    <row r="4359" spans="2:20" ht="12.75" hidden="1" x14ac:dyDescent="0.25">
      <c r="B4359" s="32">
        <v>44</v>
      </c>
      <c r="F4359" s="32" t="s">
        <v>233</v>
      </c>
      <c r="J4359" s="32">
        <v>2</v>
      </c>
      <c r="P4359" s="32">
        <v>1960</v>
      </c>
      <c r="R4359" s="32">
        <v>150</v>
      </c>
      <c r="T4359" s="32">
        <v>1810</v>
      </c>
    </row>
    <row r="4360" spans="2:20" ht="12.75" hidden="1" x14ac:dyDescent="0.25">
      <c r="B4360" s="32">
        <v>45</v>
      </c>
      <c r="F4360" s="32" t="s">
        <v>232</v>
      </c>
      <c r="J4360" s="32">
        <v>1</v>
      </c>
      <c r="P4360" s="32">
        <v>980</v>
      </c>
      <c r="R4360" s="32">
        <v>150</v>
      </c>
      <c r="T4360" s="32">
        <v>830</v>
      </c>
    </row>
    <row r="4361" spans="2:20" ht="12.75" hidden="1" x14ac:dyDescent="0.25">
      <c r="B4361" s="32">
        <v>46</v>
      </c>
      <c r="F4361" s="32" t="s">
        <v>193</v>
      </c>
      <c r="J4361" s="32">
        <v>20</v>
      </c>
      <c r="P4361" s="32">
        <v>17800</v>
      </c>
      <c r="R4361" s="32">
        <v>260</v>
      </c>
      <c r="T4361" s="32">
        <v>17540</v>
      </c>
    </row>
    <row r="4362" spans="2:20" ht="12.75" hidden="1" x14ac:dyDescent="0.25">
      <c r="B4362" s="32">
        <v>47</v>
      </c>
      <c r="F4362" s="32" t="s">
        <v>142</v>
      </c>
      <c r="J4362" s="32">
        <v>5</v>
      </c>
      <c r="P4362" s="32">
        <v>1750</v>
      </c>
      <c r="R4362" s="32">
        <v>750</v>
      </c>
      <c r="T4362" s="32">
        <v>1000</v>
      </c>
    </row>
    <row r="4363" spans="2:20" ht="12.75" hidden="1" x14ac:dyDescent="0.25">
      <c r="B4363" s="32">
        <v>48</v>
      </c>
      <c r="F4363" s="32" t="s">
        <v>75</v>
      </c>
      <c r="J4363" s="32">
        <v>5055</v>
      </c>
      <c r="P4363" s="32">
        <v>12637500</v>
      </c>
      <c r="R4363" s="32">
        <v>12637500</v>
      </c>
      <c r="T4363" s="32">
        <v>0</v>
      </c>
    </row>
    <row r="4364" spans="2:20" ht="12.75" hidden="1" x14ac:dyDescent="0.25">
      <c r="B4364" s="32">
        <v>49</v>
      </c>
      <c r="F4364" s="32" t="s">
        <v>231</v>
      </c>
      <c r="J4364" s="32">
        <v>2</v>
      </c>
      <c r="P4364" s="32">
        <v>1000</v>
      </c>
      <c r="R4364" s="32">
        <v>0</v>
      </c>
      <c r="T4364" s="32">
        <v>1000</v>
      </c>
    </row>
    <row r="4365" spans="2:20" ht="12.75" hidden="1" x14ac:dyDescent="0.25">
      <c r="B4365" s="32">
        <v>50</v>
      </c>
      <c r="F4365" s="32" t="s">
        <v>137</v>
      </c>
      <c r="J4365" s="32">
        <v>1</v>
      </c>
      <c r="P4365" s="32">
        <v>800</v>
      </c>
      <c r="R4365" s="32">
        <v>0</v>
      </c>
      <c r="T4365" s="32">
        <v>800</v>
      </c>
    </row>
    <row r="4366" spans="2:20" ht="12.75" hidden="1" x14ac:dyDescent="0.25">
      <c r="B4366" s="32">
        <v>51</v>
      </c>
      <c r="F4366" s="32" t="s">
        <v>136</v>
      </c>
      <c r="J4366" s="32">
        <v>82</v>
      </c>
      <c r="P4366" s="32">
        <v>69700</v>
      </c>
      <c r="R4366" s="32">
        <v>780</v>
      </c>
      <c r="T4366" s="32">
        <v>68920</v>
      </c>
    </row>
    <row r="4367" spans="2:20" ht="12.75" hidden="1" x14ac:dyDescent="0.25">
      <c r="B4367" s="32">
        <v>52</v>
      </c>
      <c r="F4367" s="32" t="s">
        <v>74</v>
      </c>
      <c r="J4367" s="32">
        <v>7</v>
      </c>
      <c r="P4367" s="32">
        <v>5950</v>
      </c>
      <c r="R4367" s="32">
        <v>5950</v>
      </c>
      <c r="T4367" s="32">
        <v>0</v>
      </c>
    </row>
    <row r="4368" spans="2:20" ht="12.75" hidden="1" x14ac:dyDescent="0.25">
      <c r="B4368" s="32">
        <v>53</v>
      </c>
      <c r="F4368" s="32" t="s">
        <v>190</v>
      </c>
      <c r="J4368" s="32">
        <v>6</v>
      </c>
      <c r="P4368" s="32">
        <v>9420</v>
      </c>
      <c r="R4368" s="32">
        <v>1200</v>
      </c>
      <c r="T4368" s="32">
        <v>8220</v>
      </c>
    </row>
    <row r="4369" spans="2:20" ht="12.75" hidden="1" x14ac:dyDescent="0.25">
      <c r="B4369" s="32">
        <v>54</v>
      </c>
      <c r="F4369" s="32" t="s">
        <v>230</v>
      </c>
      <c r="J4369" s="32">
        <v>1</v>
      </c>
      <c r="P4369" s="32">
        <v>950</v>
      </c>
      <c r="R4369" s="32">
        <v>140</v>
      </c>
      <c r="T4369" s="32">
        <v>810</v>
      </c>
    </row>
    <row r="4370" spans="2:20" ht="12.75" hidden="1" x14ac:dyDescent="0.25">
      <c r="B4370" s="32">
        <v>55</v>
      </c>
      <c r="F4370" s="32" t="s">
        <v>135</v>
      </c>
      <c r="J4370" s="32">
        <v>13</v>
      </c>
      <c r="P4370" s="32">
        <v>12350</v>
      </c>
      <c r="R4370" s="32">
        <v>3370</v>
      </c>
      <c r="T4370" s="32">
        <v>8980</v>
      </c>
    </row>
    <row r="4371" spans="2:20" ht="12.75" hidden="1" x14ac:dyDescent="0.25">
      <c r="B4371" s="32">
        <v>56</v>
      </c>
      <c r="F4371" s="32" t="s">
        <v>134</v>
      </c>
      <c r="J4371" s="32">
        <v>1</v>
      </c>
      <c r="P4371" s="32">
        <v>3700</v>
      </c>
      <c r="R4371" s="32">
        <v>0</v>
      </c>
      <c r="T4371" s="32">
        <v>3700</v>
      </c>
    </row>
    <row r="4372" spans="2:20" ht="12.75" hidden="1" x14ac:dyDescent="0.25">
      <c r="B4372" s="32">
        <v>57</v>
      </c>
      <c r="F4372" s="32" t="s">
        <v>229</v>
      </c>
      <c r="J4372" s="32">
        <v>1</v>
      </c>
      <c r="P4372" s="32">
        <v>7000</v>
      </c>
      <c r="R4372" s="32">
        <v>7000</v>
      </c>
      <c r="T4372" s="32">
        <v>0</v>
      </c>
    </row>
    <row r="4373" spans="2:20" ht="12.75" hidden="1" x14ac:dyDescent="0.25">
      <c r="B4373" s="32">
        <v>58</v>
      </c>
      <c r="F4373" s="32" t="s">
        <v>132</v>
      </c>
      <c r="J4373" s="32">
        <v>19</v>
      </c>
      <c r="P4373" s="32">
        <v>23560</v>
      </c>
      <c r="R4373" s="32">
        <v>5556</v>
      </c>
      <c r="T4373" s="32">
        <v>18004</v>
      </c>
    </row>
    <row r="4374" spans="2:20" ht="12.75" hidden="1" x14ac:dyDescent="0.25">
      <c r="B4374" s="32">
        <v>59</v>
      </c>
      <c r="F4374" s="32" t="s">
        <v>131</v>
      </c>
      <c r="J4374" s="32">
        <v>2</v>
      </c>
      <c r="P4374" s="32">
        <v>7400</v>
      </c>
      <c r="R4374" s="32">
        <v>1600</v>
      </c>
      <c r="T4374" s="32">
        <v>5800</v>
      </c>
    </row>
    <row r="4375" spans="2:20" ht="12.75" hidden="1" x14ac:dyDescent="0.25">
      <c r="B4375" s="32">
        <v>60</v>
      </c>
      <c r="F4375" s="32" t="s">
        <v>130</v>
      </c>
      <c r="J4375" s="32">
        <v>1</v>
      </c>
      <c r="P4375" s="32">
        <v>8000</v>
      </c>
      <c r="R4375" s="32">
        <v>4100</v>
      </c>
      <c r="T4375" s="32">
        <v>3900</v>
      </c>
    </row>
    <row r="4376" spans="2:20" ht="12.75" hidden="1" x14ac:dyDescent="0.25">
      <c r="B4376" s="32">
        <v>61</v>
      </c>
      <c r="F4376" s="32" t="s">
        <v>185</v>
      </c>
      <c r="J4376" s="32">
        <v>1</v>
      </c>
      <c r="P4376" s="32">
        <v>800</v>
      </c>
      <c r="R4376" s="32">
        <v>450</v>
      </c>
      <c r="T4376" s="32">
        <v>350</v>
      </c>
    </row>
    <row r="4377" spans="2:20" ht="12.75" hidden="1" x14ac:dyDescent="0.25">
      <c r="B4377" s="32">
        <v>62</v>
      </c>
      <c r="F4377" s="32" t="s">
        <v>128</v>
      </c>
      <c r="J4377" s="32">
        <v>2</v>
      </c>
      <c r="P4377" s="32">
        <v>2300</v>
      </c>
      <c r="R4377" s="32">
        <v>0</v>
      </c>
      <c r="T4377" s="32">
        <v>2300</v>
      </c>
    </row>
    <row r="4378" spans="2:20" ht="12.75" hidden="1" x14ac:dyDescent="0.25">
      <c r="B4378" s="32">
        <v>63</v>
      </c>
      <c r="F4378" s="32" t="s">
        <v>228</v>
      </c>
      <c r="J4378" s="32">
        <v>2</v>
      </c>
      <c r="P4378" s="32">
        <v>1760</v>
      </c>
      <c r="R4378" s="32">
        <v>0</v>
      </c>
      <c r="T4378" s="32">
        <v>1760</v>
      </c>
    </row>
    <row r="4379" spans="2:20" ht="12.75" hidden="1" x14ac:dyDescent="0.25">
      <c r="B4379" s="32">
        <v>64</v>
      </c>
      <c r="F4379" s="32" t="s">
        <v>127</v>
      </c>
      <c r="J4379" s="32">
        <v>126</v>
      </c>
      <c r="P4379" s="32">
        <v>37800</v>
      </c>
      <c r="R4379" s="32">
        <v>6052</v>
      </c>
      <c r="T4379" s="32">
        <v>31748</v>
      </c>
    </row>
    <row r="4380" spans="2:20" ht="12.75" hidden="1" x14ac:dyDescent="0.25">
      <c r="B4380" s="32">
        <v>65</v>
      </c>
      <c r="F4380" s="32" t="s">
        <v>126</v>
      </c>
      <c r="J4380" s="32">
        <v>107</v>
      </c>
      <c r="P4380" s="32">
        <v>21400</v>
      </c>
      <c r="R4380" s="32">
        <v>3138</v>
      </c>
      <c r="T4380" s="32">
        <v>18262</v>
      </c>
    </row>
    <row r="4381" spans="2:20" ht="12.75" hidden="1" x14ac:dyDescent="0.25">
      <c r="B4381" s="32">
        <v>66</v>
      </c>
      <c r="F4381" s="32" t="s">
        <v>125</v>
      </c>
      <c r="J4381" s="32">
        <v>2</v>
      </c>
      <c r="P4381" s="32">
        <v>800</v>
      </c>
      <c r="R4381" s="32">
        <v>120</v>
      </c>
      <c r="T4381" s="32">
        <v>680</v>
      </c>
    </row>
    <row r="4382" spans="2:20" ht="12.75" hidden="1" x14ac:dyDescent="0.25">
      <c r="B4382" s="32">
        <v>67</v>
      </c>
      <c r="F4382" s="32" t="s">
        <v>124</v>
      </c>
      <c r="J4382" s="32">
        <v>2</v>
      </c>
      <c r="P4382" s="32">
        <v>1180</v>
      </c>
      <c r="R4382" s="32">
        <v>120</v>
      </c>
      <c r="T4382" s="32">
        <v>1060</v>
      </c>
    </row>
    <row r="4383" spans="2:20" ht="12.75" hidden="1" x14ac:dyDescent="0.25">
      <c r="B4383" s="32">
        <v>68</v>
      </c>
      <c r="F4383" s="32" t="s">
        <v>123</v>
      </c>
      <c r="J4383" s="32">
        <v>8</v>
      </c>
      <c r="P4383" s="32">
        <v>6240</v>
      </c>
      <c r="R4383" s="32">
        <v>1618</v>
      </c>
      <c r="T4383" s="32">
        <v>4622</v>
      </c>
    </row>
    <row r="4384" spans="2:20" ht="12.75" hidden="1" x14ac:dyDescent="0.25">
      <c r="B4384" s="32">
        <v>69</v>
      </c>
      <c r="F4384" s="32" t="s">
        <v>227</v>
      </c>
      <c r="J4384" s="32">
        <v>2</v>
      </c>
      <c r="P4384" s="32">
        <v>1000</v>
      </c>
      <c r="R4384" s="32">
        <v>300</v>
      </c>
      <c r="T4384" s="32">
        <v>700</v>
      </c>
    </row>
    <row r="4385" spans="2:20" ht="12.75" hidden="1" x14ac:dyDescent="0.25">
      <c r="B4385" s="32">
        <v>70</v>
      </c>
      <c r="F4385" s="32" t="s">
        <v>122</v>
      </c>
      <c r="J4385" s="32">
        <v>2</v>
      </c>
      <c r="P4385" s="32">
        <v>1000</v>
      </c>
      <c r="R4385" s="32">
        <v>300</v>
      </c>
      <c r="T4385" s="32">
        <v>700</v>
      </c>
    </row>
    <row r="4386" spans="2:20" ht="12.75" hidden="1" x14ac:dyDescent="0.25">
      <c r="B4386" s="32">
        <v>71</v>
      </c>
      <c r="F4386" s="32" t="s">
        <v>121</v>
      </c>
      <c r="J4386" s="32">
        <v>3</v>
      </c>
      <c r="P4386" s="32">
        <v>1500</v>
      </c>
      <c r="R4386" s="32">
        <v>300</v>
      </c>
      <c r="T4386" s="32">
        <v>1200</v>
      </c>
    </row>
    <row r="4387" spans="2:20" ht="12.75" hidden="1" x14ac:dyDescent="0.25">
      <c r="B4387" s="32">
        <v>72</v>
      </c>
      <c r="F4387" s="32" t="s">
        <v>226</v>
      </c>
      <c r="J4387" s="32">
        <v>1</v>
      </c>
      <c r="P4387" s="32">
        <v>500</v>
      </c>
      <c r="R4387" s="32">
        <v>150</v>
      </c>
      <c r="T4387" s="32">
        <v>350</v>
      </c>
    </row>
    <row r="4388" spans="2:20" ht="12.75" hidden="1" x14ac:dyDescent="0.25">
      <c r="B4388" s="32">
        <v>73</v>
      </c>
      <c r="F4388" s="32" t="s">
        <v>182</v>
      </c>
      <c r="J4388" s="32">
        <v>21</v>
      </c>
      <c r="P4388" s="32">
        <v>16590</v>
      </c>
      <c r="R4388" s="32">
        <v>240</v>
      </c>
      <c r="T4388" s="32">
        <v>16350</v>
      </c>
    </row>
    <row r="4389" spans="2:20" ht="12.75" hidden="1" x14ac:dyDescent="0.25">
      <c r="B4389" s="32">
        <v>74</v>
      </c>
      <c r="F4389" s="32" t="s">
        <v>119</v>
      </c>
      <c r="J4389" s="32">
        <v>58</v>
      </c>
      <c r="P4389" s="32">
        <v>51620</v>
      </c>
      <c r="R4389" s="32">
        <v>588</v>
      </c>
      <c r="T4389" s="32">
        <v>51032</v>
      </c>
    </row>
    <row r="4390" spans="2:20" ht="12.75" hidden="1" x14ac:dyDescent="0.25">
      <c r="B4390" s="32">
        <v>75</v>
      </c>
      <c r="F4390" s="32" t="s">
        <v>118</v>
      </c>
      <c r="J4390" s="32">
        <v>95</v>
      </c>
      <c r="P4390" s="32">
        <v>94050</v>
      </c>
      <c r="R4390" s="32">
        <v>17159</v>
      </c>
      <c r="T4390" s="32">
        <v>76891</v>
      </c>
    </row>
    <row r="4391" spans="2:20" ht="12.75" hidden="1" x14ac:dyDescent="0.25">
      <c r="B4391" s="32">
        <v>76</v>
      </c>
      <c r="F4391" s="32" t="s">
        <v>117</v>
      </c>
      <c r="J4391" s="32">
        <v>10</v>
      </c>
      <c r="P4391" s="32">
        <v>8200</v>
      </c>
      <c r="R4391" s="32">
        <v>1540</v>
      </c>
      <c r="T4391" s="32">
        <v>6660</v>
      </c>
    </row>
    <row r="4392" spans="2:20" ht="12.75" hidden="1" x14ac:dyDescent="0.25">
      <c r="B4392" s="32">
        <v>77</v>
      </c>
      <c r="F4392" s="32" t="s">
        <v>116</v>
      </c>
      <c r="J4392" s="32">
        <v>2</v>
      </c>
      <c r="P4392" s="32">
        <v>1600</v>
      </c>
      <c r="R4392" s="32">
        <v>400</v>
      </c>
      <c r="T4392" s="32">
        <v>1200</v>
      </c>
    </row>
    <row r="4393" spans="2:20" ht="12.75" hidden="1" x14ac:dyDescent="0.25">
      <c r="T4393" s="32"/>
    </row>
    <row r="4394" spans="2:20" ht="12.75" hidden="1" x14ac:dyDescent="0.25">
      <c r="B4394" s="32">
        <v>78</v>
      </c>
      <c r="F4394" s="32" t="s">
        <v>115</v>
      </c>
      <c r="J4394" s="32">
        <v>41</v>
      </c>
      <c r="P4394" s="32">
        <v>11890</v>
      </c>
      <c r="R4394" s="32">
        <v>1670</v>
      </c>
      <c r="T4394" s="32">
        <v>10220</v>
      </c>
    </row>
    <row r="4395" spans="2:20" ht="12.75" hidden="1" x14ac:dyDescent="0.25">
      <c r="B4395" s="32">
        <v>79</v>
      </c>
      <c r="F4395" s="32" t="s">
        <v>114</v>
      </c>
      <c r="J4395" s="32">
        <v>1</v>
      </c>
      <c r="P4395" s="32">
        <v>550</v>
      </c>
      <c r="R4395" s="32">
        <v>80</v>
      </c>
      <c r="T4395" s="32">
        <v>470</v>
      </c>
    </row>
    <row r="4396" spans="2:20" ht="12.75" hidden="1" x14ac:dyDescent="0.25">
      <c r="B4396" s="32">
        <v>80</v>
      </c>
      <c r="F4396" s="32" t="s">
        <v>225</v>
      </c>
      <c r="J4396" s="32">
        <v>1</v>
      </c>
      <c r="P4396" s="32">
        <v>5000</v>
      </c>
      <c r="R4396" s="32">
        <v>4950</v>
      </c>
      <c r="T4396" s="32">
        <v>50</v>
      </c>
    </row>
    <row r="4397" spans="2:20" ht="12.75" hidden="1" x14ac:dyDescent="0.25">
      <c r="B4397" s="32">
        <v>81</v>
      </c>
      <c r="F4397" s="32" t="s">
        <v>224</v>
      </c>
      <c r="J4397" s="32">
        <v>1</v>
      </c>
      <c r="P4397" s="32">
        <v>500</v>
      </c>
      <c r="R4397" s="32">
        <v>150</v>
      </c>
      <c r="T4397" s="32">
        <v>350</v>
      </c>
    </row>
    <row r="4398" spans="2:20" ht="12.75" hidden="1" x14ac:dyDescent="0.25">
      <c r="B4398" s="32">
        <v>82</v>
      </c>
      <c r="F4398" s="32" t="s">
        <v>223</v>
      </c>
      <c r="J4398" s="32">
        <v>5</v>
      </c>
      <c r="P4398" s="32">
        <v>4950</v>
      </c>
      <c r="R4398" s="32">
        <v>0</v>
      </c>
      <c r="T4398" s="32">
        <v>4950</v>
      </c>
    </row>
    <row r="4399" spans="2:20" ht="12.75" hidden="1" x14ac:dyDescent="0.25">
      <c r="B4399" s="32">
        <v>83</v>
      </c>
      <c r="F4399" s="32" t="s">
        <v>222</v>
      </c>
      <c r="J4399" s="32">
        <v>3</v>
      </c>
      <c r="P4399" s="32">
        <v>1500</v>
      </c>
      <c r="R4399" s="32">
        <v>300</v>
      </c>
      <c r="T4399" s="32">
        <v>1200</v>
      </c>
    </row>
    <row r="4400" spans="2:20" ht="12.75" hidden="1" x14ac:dyDescent="0.25">
      <c r="B4400" s="32">
        <v>84</v>
      </c>
      <c r="F4400" s="32" t="s">
        <v>221</v>
      </c>
      <c r="J4400" s="32">
        <v>6</v>
      </c>
      <c r="P4400" s="32">
        <v>5940</v>
      </c>
      <c r="R4400" s="32">
        <v>900</v>
      </c>
      <c r="T4400" s="32">
        <v>5040</v>
      </c>
    </row>
    <row r="4401" spans="2:20" ht="12.75" hidden="1" x14ac:dyDescent="0.25">
      <c r="B4401" s="32">
        <v>85</v>
      </c>
      <c r="F4401" s="32" t="s">
        <v>220</v>
      </c>
      <c r="J4401" s="32">
        <v>1</v>
      </c>
      <c r="P4401" s="32">
        <v>350</v>
      </c>
      <c r="R4401" s="32">
        <v>0</v>
      </c>
      <c r="T4401" s="32">
        <v>350</v>
      </c>
    </row>
    <row r="4402" spans="2:20" ht="12.75" hidden="1" x14ac:dyDescent="0.25">
      <c r="B4402" s="32">
        <v>86</v>
      </c>
      <c r="F4402" s="32" t="s">
        <v>219</v>
      </c>
      <c r="J4402" s="32">
        <v>1</v>
      </c>
      <c r="P4402" s="32">
        <v>500</v>
      </c>
      <c r="R4402" s="32">
        <v>150</v>
      </c>
      <c r="T4402" s="32">
        <v>350</v>
      </c>
    </row>
    <row r="4403" spans="2:20" ht="12.75" hidden="1" x14ac:dyDescent="0.25">
      <c r="B4403" s="32">
        <v>87</v>
      </c>
      <c r="F4403" s="32" t="s">
        <v>181</v>
      </c>
      <c r="J4403" s="32">
        <v>19</v>
      </c>
      <c r="P4403" s="32">
        <v>15010</v>
      </c>
      <c r="R4403" s="32">
        <v>252</v>
      </c>
      <c r="T4403" s="32">
        <v>14758</v>
      </c>
    </row>
    <row r="4404" spans="2:20" ht="12.75" hidden="1" x14ac:dyDescent="0.25">
      <c r="B4404" s="32">
        <v>88</v>
      </c>
      <c r="F4404" s="32" t="s">
        <v>111</v>
      </c>
      <c r="J4404" s="32">
        <v>3</v>
      </c>
      <c r="P4404" s="32">
        <v>1290</v>
      </c>
      <c r="R4404" s="32">
        <v>130</v>
      </c>
      <c r="T4404" s="32">
        <v>1160</v>
      </c>
    </row>
    <row r="4405" spans="2:20" ht="12.75" hidden="1" x14ac:dyDescent="0.25">
      <c r="B4405" s="32">
        <v>89</v>
      </c>
      <c r="F4405" s="32" t="s">
        <v>109</v>
      </c>
      <c r="J4405" s="32">
        <v>4</v>
      </c>
      <c r="P4405" s="32">
        <v>3120</v>
      </c>
      <c r="R4405" s="32">
        <v>230</v>
      </c>
      <c r="T4405" s="32">
        <v>2890</v>
      </c>
    </row>
    <row r="4406" spans="2:20" ht="12.75" hidden="1" x14ac:dyDescent="0.25">
      <c r="B4406" s="32">
        <v>90</v>
      </c>
      <c r="F4406" s="32" t="s">
        <v>108</v>
      </c>
      <c r="J4406" s="32">
        <v>27</v>
      </c>
      <c r="P4406" s="32">
        <v>2700</v>
      </c>
      <c r="R4406" s="32">
        <v>180</v>
      </c>
      <c r="T4406" s="32">
        <v>2520</v>
      </c>
    </row>
    <row r="4407" spans="2:20" ht="12.75" hidden="1" x14ac:dyDescent="0.25">
      <c r="B4407" s="32">
        <v>91</v>
      </c>
      <c r="F4407" s="32" t="s">
        <v>107</v>
      </c>
      <c r="J4407" s="32">
        <v>16</v>
      </c>
      <c r="P4407" s="32">
        <v>2720</v>
      </c>
      <c r="R4407" s="32">
        <v>969</v>
      </c>
      <c r="T4407" s="32">
        <v>1751</v>
      </c>
    </row>
    <row r="4408" spans="2:20" ht="12.75" hidden="1" x14ac:dyDescent="0.25">
      <c r="B4408" s="32">
        <v>92</v>
      </c>
      <c r="F4408" s="32" t="s">
        <v>218</v>
      </c>
      <c r="J4408" s="32">
        <v>1</v>
      </c>
      <c r="P4408" s="32">
        <v>290</v>
      </c>
      <c r="R4408" s="32">
        <v>80</v>
      </c>
      <c r="T4408" s="32">
        <v>210</v>
      </c>
    </row>
    <row r="4409" spans="2:20" ht="12.75" hidden="1" x14ac:dyDescent="0.25">
      <c r="B4409" s="32">
        <v>93</v>
      </c>
      <c r="F4409" s="32" t="s">
        <v>217</v>
      </c>
      <c r="J4409" s="32">
        <v>1</v>
      </c>
      <c r="P4409" s="32">
        <v>350</v>
      </c>
      <c r="R4409" s="32">
        <v>100</v>
      </c>
      <c r="T4409" s="32">
        <v>250</v>
      </c>
    </row>
    <row r="4410" spans="2:20" ht="12.75" hidden="1" x14ac:dyDescent="0.25">
      <c r="B4410" s="32">
        <v>94</v>
      </c>
      <c r="F4410" s="32" t="s">
        <v>216</v>
      </c>
      <c r="J4410" s="32">
        <v>4</v>
      </c>
      <c r="P4410" s="32">
        <v>4320</v>
      </c>
      <c r="R4410" s="32">
        <v>165</v>
      </c>
      <c r="T4410" s="32">
        <v>4155</v>
      </c>
    </row>
    <row r="4411" spans="2:20" ht="12.75" hidden="1" x14ac:dyDescent="0.25">
      <c r="B4411" s="32">
        <v>95</v>
      </c>
      <c r="F4411" s="32" t="s">
        <v>215</v>
      </c>
      <c r="J4411" s="32">
        <v>1</v>
      </c>
      <c r="P4411" s="32">
        <v>1150</v>
      </c>
      <c r="R4411" s="32">
        <v>0</v>
      </c>
      <c r="T4411" s="32">
        <v>1150</v>
      </c>
    </row>
    <row r="4412" spans="2:20" ht="12.75" hidden="1" x14ac:dyDescent="0.25">
      <c r="B4412" s="32">
        <v>96</v>
      </c>
      <c r="F4412" s="32" t="s">
        <v>105</v>
      </c>
      <c r="J4412" s="32">
        <v>8</v>
      </c>
      <c r="P4412" s="32">
        <v>9200</v>
      </c>
      <c r="R4412" s="32">
        <v>0</v>
      </c>
      <c r="T4412" s="32">
        <v>9200</v>
      </c>
    </row>
    <row r="4413" spans="2:20" ht="12.75" hidden="1" x14ac:dyDescent="0.25">
      <c r="B4413" s="32">
        <v>97</v>
      </c>
      <c r="F4413" s="32" t="s">
        <v>214</v>
      </c>
      <c r="J4413" s="32">
        <v>1</v>
      </c>
      <c r="P4413" s="32">
        <v>990</v>
      </c>
      <c r="R4413" s="32">
        <v>150</v>
      </c>
      <c r="T4413" s="32">
        <v>840</v>
      </c>
    </row>
    <row r="4414" spans="2:20" ht="12.75" hidden="1" x14ac:dyDescent="0.25">
      <c r="B4414" s="32">
        <v>98</v>
      </c>
      <c r="F4414" s="32" t="s">
        <v>103</v>
      </c>
      <c r="J4414" s="32">
        <v>7</v>
      </c>
      <c r="P4414" s="32">
        <v>2310</v>
      </c>
      <c r="R4414" s="32">
        <v>800</v>
      </c>
      <c r="T4414" s="32">
        <v>1510</v>
      </c>
    </row>
    <row r="4415" spans="2:20" ht="12.75" hidden="1" x14ac:dyDescent="0.25">
      <c r="B4415" s="32">
        <v>99</v>
      </c>
      <c r="F4415" s="32" t="s">
        <v>213</v>
      </c>
      <c r="J4415" s="32">
        <v>1</v>
      </c>
      <c r="P4415" s="32">
        <v>500</v>
      </c>
      <c r="R4415" s="32">
        <v>150</v>
      </c>
      <c r="T4415" s="32">
        <v>350</v>
      </c>
    </row>
    <row r="4416" spans="2:20" ht="12.75" hidden="1" x14ac:dyDescent="0.25">
      <c r="B4416" s="32">
        <v>100</v>
      </c>
      <c r="F4416" s="32" t="s">
        <v>212</v>
      </c>
      <c r="J4416" s="32">
        <v>8</v>
      </c>
      <c r="P4416" s="32">
        <v>4000</v>
      </c>
      <c r="R4416" s="32">
        <v>750</v>
      </c>
      <c r="T4416" s="32">
        <v>3250</v>
      </c>
    </row>
    <row r="4417" spans="2:20" ht="12.75" hidden="1" x14ac:dyDescent="0.25">
      <c r="B4417" s="32">
        <v>101</v>
      </c>
      <c r="F4417" s="32" t="s">
        <v>211</v>
      </c>
      <c r="J4417" s="32">
        <v>1</v>
      </c>
      <c r="P4417" s="32">
        <v>500</v>
      </c>
      <c r="R4417" s="32">
        <v>150</v>
      </c>
      <c r="T4417" s="32">
        <v>350</v>
      </c>
    </row>
    <row r="4418" spans="2:20" ht="12.75" hidden="1" x14ac:dyDescent="0.25">
      <c r="B4418" s="32">
        <v>102</v>
      </c>
      <c r="F4418" s="32" t="s">
        <v>210</v>
      </c>
      <c r="J4418" s="32">
        <v>1</v>
      </c>
      <c r="P4418" s="32">
        <v>390</v>
      </c>
      <c r="R4418" s="32">
        <v>0</v>
      </c>
      <c r="T4418" s="32">
        <v>390</v>
      </c>
    </row>
    <row r="4419" spans="2:20" ht="12.75" hidden="1" x14ac:dyDescent="0.25">
      <c r="B4419" s="32">
        <v>103</v>
      </c>
      <c r="F4419" s="32" t="s">
        <v>209</v>
      </c>
      <c r="J4419" s="32">
        <v>1</v>
      </c>
      <c r="P4419" s="32">
        <v>390</v>
      </c>
      <c r="R4419" s="32">
        <v>120</v>
      </c>
      <c r="T4419" s="32">
        <v>270</v>
      </c>
    </row>
    <row r="4420" spans="2:20" ht="12.75" hidden="1" x14ac:dyDescent="0.25">
      <c r="B4420" s="32">
        <v>104</v>
      </c>
      <c r="F4420" s="32" t="s">
        <v>99</v>
      </c>
      <c r="J4420" s="32">
        <v>9</v>
      </c>
      <c r="P4420" s="32">
        <v>5310</v>
      </c>
      <c r="R4420" s="32">
        <v>360</v>
      </c>
      <c r="T4420" s="32">
        <v>4950</v>
      </c>
    </row>
    <row r="4421" spans="2:20" ht="12.75" hidden="1" x14ac:dyDescent="0.25">
      <c r="B4421" s="32">
        <v>105</v>
      </c>
      <c r="F4421" s="32" t="s">
        <v>98</v>
      </c>
      <c r="J4421" s="32">
        <v>11</v>
      </c>
      <c r="P4421" s="32">
        <v>6270</v>
      </c>
      <c r="R4421" s="32">
        <v>480</v>
      </c>
      <c r="T4421" s="32">
        <v>5790</v>
      </c>
    </row>
    <row r="4422" spans="2:20" ht="12.75" hidden="1" x14ac:dyDescent="0.25">
      <c r="B4422" s="32">
        <v>106</v>
      </c>
      <c r="F4422" s="32" t="s">
        <v>176</v>
      </c>
      <c r="J4422" s="32">
        <v>16</v>
      </c>
      <c r="P4422" s="32">
        <v>16960</v>
      </c>
      <c r="R4422" s="32">
        <v>0</v>
      </c>
      <c r="T4422" s="32">
        <v>16960</v>
      </c>
    </row>
    <row r="4423" spans="2:20" ht="12.75" hidden="1" x14ac:dyDescent="0.25">
      <c r="B4423" s="32">
        <v>107</v>
      </c>
      <c r="F4423" s="32" t="s">
        <v>96</v>
      </c>
      <c r="J4423" s="32">
        <v>2</v>
      </c>
      <c r="P4423" s="32">
        <v>880</v>
      </c>
      <c r="R4423" s="32">
        <v>260</v>
      </c>
      <c r="T4423" s="32">
        <v>620</v>
      </c>
    </row>
    <row r="4424" spans="2:20" ht="12.75" hidden="1" x14ac:dyDescent="0.25">
      <c r="B4424" s="32">
        <v>108</v>
      </c>
      <c r="F4424" s="32" t="s">
        <v>93</v>
      </c>
      <c r="J4424" s="32">
        <v>26</v>
      </c>
      <c r="P4424" s="32">
        <v>15340</v>
      </c>
      <c r="R4424" s="32">
        <v>1125</v>
      </c>
      <c r="T4424" s="32">
        <v>14215</v>
      </c>
    </row>
    <row r="4425" spans="2:20" ht="12.75" hidden="1" x14ac:dyDescent="0.25">
      <c r="B4425" s="32">
        <v>109</v>
      </c>
      <c r="F4425" s="32" t="s">
        <v>92</v>
      </c>
      <c r="J4425" s="32">
        <v>15</v>
      </c>
      <c r="P4425" s="32">
        <v>10080</v>
      </c>
      <c r="R4425" s="32">
        <v>800</v>
      </c>
      <c r="T4425" s="32">
        <v>9280</v>
      </c>
    </row>
    <row r="4426" spans="2:20" ht="12.75" hidden="1" x14ac:dyDescent="0.25">
      <c r="B4426" s="32">
        <v>110</v>
      </c>
      <c r="F4426" s="32" t="s">
        <v>174</v>
      </c>
      <c r="J4426" s="32">
        <v>85</v>
      </c>
      <c r="P4426" s="32">
        <v>34000</v>
      </c>
      <c r="R4426" s="32">
        <v>360</v>
      </c>
      <c r="T4426" s="32">
        <v>33640</v>
      </c>
    </row>
    <row r="4427" spans="2:20" ht="12.75" hidden="1" x14ac:dyDescent="0.25">
      <c r="B4427" s="32">
        <v>111</v>
      </c>
      <c r="F4427" s="32" t="s">
        <v>91</v>
      </c>
      <c r="J4427" s="32">
        <v>40</v>
      </c>
      <c r="P4427" s="32">
        <v>10000</v>
      </c>
      <c r="R4427" s="32">
        <v>1347</v>
      </c>
      <c r="T4427" s="32">
        <v>8653</v>
      </c>
    </row>
    <row r="4428" spans="2:20" ht="12.75" hidden="1" x14ac:dyDescent="0.25">
      <c r="B4428" s="32">
        <v>112</v>
      </c>
      <c r="F4428" s="32" t="s">
        <v>90</v>
      </c>
      <c r="J4428" s="32">
        <v>19</v>
      </c>
      <c r="P4428" s="32">
        <v>5510</v>
      </c>
      <c r="R4428" s="32">
        <v>481</v>
      </c>
      <c r="T4428" s="32">
        <v>5029</v>
      </c>
    </row>
    <row r="4429" spans="2:20" ht="12.75" hidden="1" x14ac:dyDescent="0.25">
      <c r="B4429" s="32">
        <v>113</v>
      </c>
      <c r="F4429" s="32" t="s">
        <v>89</v>
      </c>
      <c r="J4429" s="32">
        <v>3</v>
      </c>
      <c r="P4429" s="32">
        <v>2640</v>
      </c>
      <c r="R4429" s="32">
        <v>260</v>
      </c>
      <c r="T4429" s="32">
        <v>2380</v>
      </c>
    </row>
    <row r="4430" spans="2:20" ht="12.75" hidden="1" x14ac:dyDescent="0.25">
      <c r="B4430" s="32">
        <v>114</v>
      </c>
      <c r="F4430" s="32" t="s">
        <v>88</v>
      </c>
      <c r="J4430" s="32">
        <v>107</v>
      </c>
      <c r="P4430" s="32">
        <v>19260</v>
      </c>
      <c r="R4430" s="32">
        <v>2905</v>
      </c>
      <c r="T4430" s="32">
        <v>16355</v>
      </c>
    </row>
    <row r="4431" spans="2:20" ht="12.75" hidden="1" x14ac:dyDescent="0.25">
      <c r="B4431" s="32">
        <v>115</v>
      </c>
      <c r="F4431" s="32" t="s">
        <v>87</v>
      </c>
      <c r="J4431" s="32">
        <v>2</v>
      </c>
      <c r="P4431" s="32">
        <v>580</v>
      </c>
      <c r="R4431" s="32">
        <v>80</v>
      </c>
      <c r="T4431" s="32">
        <v>500</v>
      </c>
    </row>
    <row r="4432" spans="2:20" ht="12.75" hidden="1" x14ac:dyDescent="0.25">
      <c r="B4432" s="32">
        <v>116</v>
      </c>
      <c r="F4432" s="32" t="s">
        <v>85</v>
      </c>
      <c r="J4432" s="32">
        <v>14</v>
      </c>
      <c r="P4432" s="32">
        <v>29120</v>
      </c>
      <c r="R4432" s="32">
        <v>620</v>
      </c>
      <c r="T4432" s="32">
        <v>28500</v>
      </c>
    </row>
    <row r="4433" spans="1:20" ht="12.75" hidden="1" x14ac:dyDescent="0.25">
      <c r="B4433" s="32">
        <v>117</v>
      </c>
      <c r="F4433" s="32" t="s">
        <v>84</v>
      </c>
      <c r="J4433" s="32">
        <v>25</v>
      </c>
      <c r="P4433" s="32">
        <v>14750</v>
      </c>
      <c r="R4433" s="32">
        <v>2340</v>
      </c>
      <c r="T4433" s="32">
        <v>12410</v>
      </c>
    </row>
    <row r="4434" spans="1:20" ht="12.75" hidden="1" x14ac:dyDescent="0.25">
      <c r="B4434" s="32">
        <v>118</v>
      </c>
      <c r="F4434" s="32" t="s">
        <v>208</v>
      </c>
      <c r="J4434" s="32">
        <v>1</v>
      </c>
      <c r="P4434" s="32">
        <v>500</v>
      </c>
      <c r="R4434" s="32">
        <v>0</v>
      </c>
      <c r="T4434" s="32">
        <v>500</v>
      </c>
    </row>
    <row r="4435" spans="1:20" ht="12.75" hidden="1" x14ac:dyDescent="0.25">
      <c r="B4435" s="32">
        <v>119</v>
      </c>
      <c r="F4435" s="32" t="s">
        <v>207</v>
      </c>
      <c r="J4435" s="32">
        <v>2</v>
      </c>
      <c r="P4435" s="32">
        <v>1000</v>
      </c>
      <c r="R4435" s="32">
        <v>150</v>
      </c>
      <c r="T4435" s="32">
        <v>850</v>
      </c>
    </row>
    <row r="4436" spans="1:20" ht="12.75" hidden="1" x14ac:dyDescent="0.25">
      <c r="B4436" s="32">
        <v>120</v>
      </c>
      <c r="F4436" s="32" t="s">
        <v>206</v>
      </c>
      <c r="J4436" s="32">
        <v>1</v>
      </c>
      <c r="P4436" s="32">
        <v>500</v>
      </c>
      <c r="R4436" s="32">
        <v>150</v>
      </c>
      <c r="T4436" s="32">
        <v>350</v>
      </c>
    </row>
    <row r="4437" spans="1:20" ht="12.75" hidden="1" x14ac:dyDescent="0.25">
      <c r="B4437" s="32">
        <v>121</v>
      </c>
      <c r="F4437" s="32" t="s">
        <v>205</v>
      </c>
      <c r="J4437" s="32">
        <v>9</v>
      </c>
      <c r="P4437" s="32">
        <v>4500</v>
      </c>
      <c r="R4437" s="32">
        <v>1055</v>
      </c>
      <c r="T4437" s="32">
        <v>3445</v>
      </c>
    </row>
    <row r="4438" spans="1:20" ht="12.75" hidden="1" x14ac:dyDescent="0.25">
      <c r="B4438" s="32">
        <v>122</v>
      </c>
      <c r="F4438" s="32" t="s">
        <v>204</v>
      </c>
      <c r="J4438" s="32">
        <v>1</v>
      </c>
      <c r="P4438" s="32">
        <v>500</v>
      </c>
      <c r="R4438" s="32">
        <v>150</v>
      </c>
      <c r="T4438" s="32">
        <v>350</v>
      </c>
    </row>
    <row r="4439" spans="1:20" ht="12.75" hidden="1" x14ac:dyDescent="0.25">
      <c r="B4439" s="32">
        <v>123</v>
      </c>
      <c r="F4439" s="32" t="s">
        <v>83</v>
      </c>
      <c r="J4439" s="32">
        <v>2</v>
      </c>
      <c r="P4439" s="32">
        <v>1000</v>
      </c>
      <c r="R4439" s="32">
        <v>300</v>
      </c>
      <c r="T4439" s="32">
        <v>700</v>
      </c>
    </row>
    <row r="4440" spans="1:20" ht="12.75" hidden="1" x14ac:dyDescent="0.25">
      <c r="B4440" s="32">
        <v>124</v>
      </c>
      <c r="F4440" s="32" t="s">
        <v>203</v>
      </c>
      <c r="J4440" s="32">
        <v>1</v>
      </c>
      <c r="P4440" s="32">
        <v>500</v>
      </c>
      <c r="R4440" s="32">
        <v>150</v>
      </c>
      <c r="T4440" s="32">
        <v>350</v>
      </c>
    </row>
    <row r="4441" spans="1:20" ht="12.75" hidden="1" x14ac:dyDescent="0.25">
      <c r="B4441" s="32">
        <v>125</v>
      </c>
      <c r="F4441" s="32" t="s">
        <v>202</v>
      </c>
      <c r="J4441" s="32">
        <v>1</v>
      </c>
      <c r="P4441" s="32">
        <v>500</v>
      </c>
      <c r="R4441" s="32">
        <v>130</v>
      </c>
      <c r="T4441" s="32">
        <v>370</v>
      </c>
    </row>
    <row r="4442" spans="1:20" ht="12.75" hidden="1" x14ac:dyDescent="0.25">
      <c r="A4442" s="32" t="s">
        <v>201</v>
      </c>
      <c r="K4442" s="32">
        <v>3828</v>
      </c>
      <c r="P4442" s="32">
        <v>4152750</v>
      </c>
      <c r="R4442" s="32">
        <v>3626764</v>
      </c>
      <c r="T4442" s="32">
        <v>526051</v>
      </c>
    </row>
    <row r="4443" spans="1:20" ht="12.75" hidden="1" x14ac:dyDescent="0.25">
      <c r="B4443" s="32">
        <v>1</v>
      </c>
      <c r="F4443" s="32" t="s">
        <v>200</v>
      </c>
      <c r="J4443" s="32">
        <v>1</v>
      </c>
      <c r="P4443" s="32">
        <v>500</v>
      </c>
      <c r="R4443" s="32">
        <v>130</v>
      </c>
      <c r="T4443" s="32">
        <v>370</v>
      </c>
    </row>
    <row r="4444" spans="1:20" ht="12.75" hidden="1" x14ac:dyDescent="0.25">
      <c r="B4444" s="32">
        <v>2</v>
      </c>
      <c r="F4444" s="32" t="s">
        <v>168</v>
      </c>
      <c r="J4444" s="32">
        <v>1</v>
      </c>
      <c r="P4444" s="32">
        <v>2200</v>
      </c>
      <c r="R4444" s="32">
        <v>330</v>
      </c>
      <c r="T4444" s="32">
        <v>1870</v>
      </c>
    </row>
    <row r="4445" spans="1:20" ht="12.75" hidden="1" x14ac:dyDescent="0.25">
      <c r="B4445" s="32">
        <v>3</v>
      </c>
      <c r="F4445" s="32" t="s">
        <v>78</v>
      </c>
      <c r="J4445" s="32">
        <v>114</v>
      </c>
      <c r="P4445" s="32">
        <v>33060</v>
      </c>
      <c r="R4445" s="32">
        <v>33060</v>
      </c>
      <c r="T4445" s="32">
        <v>0</v>
      </c>
    </row>
    <row r="4446" spans="1:20" ht="12.75" hidden="1" x14ac:dyDescent="0.25">
      <c r="B4446" s="32">
        <v>4</v>
      </c>
      <c r="F4446" s="32" t="s">
        <v>199</v>
      </c>
      <c r="J4446" s="32">
        <v>2</v>
      </c>
      <c r="P4446" s="32">
        <v>580</v>
      </c>
      <c r="R4446" s="32">
        <v>180</v>
      </c>
      <c r="T4446" s="32">
        <v>400</v>
      </c>
    </row>
    <row r="4447" spans="1:20" ht="12.75" hidden="1" x14ac:dyDescent="0.25">
      <c r="B4447" s="32">
        <v>5</v>
      </c>
      <c r="F4447" s="32" t="s">
        <v>167</v>
      </c>
      <c r="J4447" s="32">
        <v>2</v>
      </c>
      <c r="P4447" s="32">
        <v>1140</v>
      </c>
      <c r="R4447" s="32">
        <v>340</v>
      </c>
      <c r="T4447" s="32">
        <v>800</v>
      </c>
    </row>
    <row r="4448" spans="1:20" ht="12.75" hidden="1" x14ac:dyDescent="0.25">
      <c r="B4448" s="32">
        <v>6</v>
      </c>
      <c r="F4448" s="32" t="s">
        <v>163</v>
      </c>
      <c r="J4448" s="32">
        <v>10</v>
      </c>
      <c r="P4448" s="32">
        <v>11900</v>
      </c>
      <c r="R4448" s="32">
        <v>1800</v>
      </c>
      <c r="T4448" s="32">
        <v>10100</v>
      </c>
    </row>
    <row r="4449" spans="2:20" ht="12.75" hidden="1" x14ac:dyDescent="0.25">
      <c r="B4449" s="32">
        <v>7</v>
      </c>
      <c r="F4449" s="32" t="s">
        <v>162</v>
      </c>
      <c r="J4449" s="32">
        <v>27</v>
      </c>
      <c r="P4449" s="32">
        <v>11610</v>
      </c>
      <c r="R4449" s="32">
        <v>5193</v>
      </c>
      <c r="T4449" s="32">
        <v>6417</v>
      </c>
    </row>
    <row r="4450" spans="2:20" ht="12.75" hidden="1" x14ac:dyDescent="0.25">
      <c r="B4450" s="32">
        <v>8</v>
      </c>
      <c r="F4450" s="32" t="s">
        <v>198</v>
      </c>
      <c r="J4450" s="32">
        <v>1</v>
      </c>
      <c r="P4450" s="32">
        <v>290</v>
      </c>
      <c r="R4450" s="32">
        <v>80</v>
      </c>
      <c r="T4450" s="32">
        <v>210</v>
      </c>
    </row>
    <row r="4451" spans="2:20" ht="12.75" hidden="1" x14ac:dyDescent="0.25">
      <c r="B4451" s="32">
        <v>9</v>
      </c>
      <c r="F4451" s="32" t="s">
        <v>161</v>
      </c>
      <c r="J4451" s="32">
        <v>10</v>
      </c>
      <c r="P4451" s="32">
        <v>250</v>
      </c>
      <c r="R4451" s="32">
        <v>45</v>
      </c>
      <c r="T4451" s="32">
        <v>205</v>
      </c>
    </row>
    <row r="4452" spans="2:20" ht="12.75" hidden="1" x14ac:dyDescent="0.25">
      <c r="B4452" s="32">
        <v>10</v>
      </c>
      <c r="F4452" s="32" t="s">
        <v>160</v>
      </c>
      <c r="J4452" s="32">
        <v>5</v>
      </c>
      <c r="P4452" s="32">
        <v>1450</v>
      </c>
      <c r="R4452" s="32">
        <v>419</v>
      </c>
      <c r="T4452" s="32">
        <v>1031</v>
      </c>
    </row>
    <row r="4453" spans="2:20" ht="12.75" hidden="1" x14ac:dyDescent="0.25">
      <c r="B4453" s="32">
        <v>11</v>
      </c>
      <c r="F4453" s="32" t="s">
        <v>158</v>
      </c>
      <c r="J4453" s="32">
        <v>341</v>
      </c>
      <c r="P4453" s="32">
        <v>187550</v>
      </c>
      <c r="R4453" s="32">
        <v>56644</v>
      </c>
      <c r="T4453" s="32">
        <v>130906</v>
      </c>
    </row>
    <row r="4454" spans="2:20" ht="12.75" hidden="1" x14ac:dyDescent="0.25">
      <c r="B4454" s="32">
        <v>12</v>
      </c>
      <c r="F4454" s="32" t="s">
        <v>157</v>
      </c>
      <c r="J4454" s="32">
        <v>108</v>
      </c>
      <c r="P4454" s="32">
        <v>52920</v>
      </c>
      <c r="R4454" s="32">
        <v>23077</v>
      </c>
      <c r="T4454" s="32">
        <v>29908</v>
      </c>
    </row>
    <row r="4455" spans="2:20" ht="12.75" hidden="1" x14ac:dyDescent="0.25">
      <c r="B4455" s="32">
        <v>13</v>
      </c>
      <c r="F4455" s="32" t="s">
        <v>197</v>
      </c>
      <c r="J4455" s="32">
        <v>1</v>
      </c>
      <c r="P4455" s="32">
        <v>500</v>
      </c>
      <c r="R4455" s="32">
        <v>150</v>
      </c>
      <c r="T4455" s="32">
        <v>350</v>
      </c>
    </row>
    <row r="4456" spans="2:20" ht="12.75" hidden="1" x14ac:dyDescent="0.25">
      <c r="B4456" s="32">
        <v>14</v>
      </c>
      <c r="F4456" s="32" t="s">
        <v>196</v>
      </c>
      <c r="J4456" s="32">
        <v>1</v>
      </c>
      <c r="P4456" s="32">
        <v>700</v>
      </c>
      <c r="R4456" s="32">
        <v>350</v>
      </c>
      <c r="T4456" s="32">
        <v>350</v>
      </c>
    </row>
    <row r="4457" spans="2:20" ht="12.75" hidden="1" x14ac:dyDescent="0.25">
      <c r="B4457" s="32">
        <v>15</v>
      </c>
      <c r="F4457" s="32" t="s">
        <v>77</v>
      </c>
      <c r="J4457" s="32">
        <v>1016</v>
      </c>
      <c r="P4457" s="32">
        <v>418400</v>
      </c>
      <c r="R4457" s="32">
        <v>418400</v>
      </c>
      <c r="T4457" s="32">
        <v>0</v>
      </c>
    </row>
    <row r="4458" spans="2:20" ht="12.75" hidden="1" x14ac:dyDescent="0.25">
      <c r="B4458" s="32">
        <v>16</v>
      </c>
      <c r="F4458" s="32" t="s">
        <v>156</v>
      </c>
      <c r="J4458" s="32">
        <v>11</v>
      </c>
      <c r="P4458" s="32">
        <v>2090</v>
      </c>
      <c r="R4458" s="32">
        <v>673</v>
      </c>
      <c r="T4458" s="32">
        <v>1417</v>
      </c>
    </row>
    <row r="4459" spans="2:20" ht="12.75" hidden="1" x14ac:dyDescent="0.25">
      <c r="B4459" s="32">
        <v>17</v>
      </c>
      <c r="F4459" s="32" t="s">
        <v>155</v>
      </c>
      <c r="J4459" s="32">
        <v>19</v>
      </c>
      <c r="P4459" s="32">
        <v>4750</v>
      </c>
      <c r="R4459" s="32">
        <v>1820</v>
      </c>
      <c r="T4459" s="32">
        <v>2930</v>
      </c>
    </row>
    <row r="4460" spans="2:20" ht="12.75" hidden="1" x14ac:dyDescent="0.25">
      <c r="B4460" s="32">
        <v>18</v>
      </c>
      <c r="F4460" s="32" t="s">
        <v>154</v>
      </c>
      <c r="J4460" s="32">
        <v>11</v>
      </c>
      <c r="P4460" s="32">
        <v>9790</v>
      </c>
      <c r="R4460" s="32">
        <v>1430</v>
      </c>
      <c r="T4460" s="32">
        <v>8360</v>
      </c>
    </row>
    <row r="4461" spans="2:20" ht="12.75" hidden="1" x14ac:dyDescent="0.25">
      <c r="B4461" s="32">
        <v>19</v>
      </c>
      <c r="F4461" s="32" t="s">
        <v>195</v>
      </c>
      <c r="J4461" s="32">
        <v>3</v>
      </c>
      <c r="P4461" s="32">
        <v>3000</v>
      </c>
      <c r="R4461" s="32">
        <v>750</v>
      </c>
      <c r="T4461" s="32">
        <v>2250</v>
      </c>
    </row>
    <row r="4462" spans="2:20" ht="12.75" hidden="1" x14ac:dyDescent="0.25">
      <c r="B4462" s="32">
        <v>20</v>
      </c>
      <c r="F4462" s="32" t="s">
        <v>194</v>
      </c>
      <c r="J4462" s="32">
        <v>2</v>
      </c>
      <c r="P4462" s="32">
        <v>1400</v>
      </c>
      <c r="R4462" s="32">
        <v>360</v>
      </c>
      <c r="T4462" s="32">
        <v>1040</v>
      </c>
    </row>
    <row r="4463" spans="2:20" ht="12.75" hidden="1" x14ac:dyDescent="0.25">
      <c r="B4463" s="32">
        <v>21</v>
      </c>
      <c r="F4463" s="32" t="s">
        <v>152</v>
      </c>
      <c r="J4463" s="32">
        <v>11</v>
      </c>
      <c r="P4463" s="32">
        <v>6490</v>
      </c>
      <c r="R4463" s="32">
        <v>2040</v>
      </c>
      <c r="T4463" s="32">
        <v>4450</v>
      </c>
    </row>
    <row r="4464" spans="2:20" ht="12.75" hidden="1" x14ac:dyDescent="0.25">
      <c r="B4464" s="32">
        <v>22</v>
      </c>
      <c r="F4464" s="32" t="s">
        <v>151</v>
      </c>
      <c r="J4464" s="32">
        <v>15</v>
      </c>
      <c r="P4464" s="32">
        <v>3450</v>
      </c>
      <c r="R4464" s="32">
        <v>1130</v>
      </c>
      <c r="T4464" s="32">
        <v>2320</v>
      </c>
    </row>
    <row r="4465" spans="2:20" ht="12.75" hidden="1" x14ac:dyDescent="0.25">
      <c r="B4465" s="32">
        <v>23</v>
      </c>
      <c r="F4465" s="32" t="s">
        <v>150</v>
      </c>
      <c r="J4465" s="32">
        <v>16</v>
      </c>
      <c r="P4465" s="32">
        <v>2720</v>
      </c>
      <c r="R4465" s="32">
        <v>800</v>
      </c>
      <c r="T4465" s="32">
        <v>1920</v>
      </c>
    </row>
    <row r="4466" spans="2:20" ht="12.75" hidden="1" x14ac:dyDescent="0.25">
      <c r="B4466" s="32">
        <v>24</v>
      </c>
      <c r="F4466" s="32" t="s">
        <v>147</v>
      </c>
      <c r="J4466" s="32">
        <v>1</v>
      </c>
      <c r="P4466" s="32">
        <v>30</v>
      </c>
      <c r="R4466" s="32">
        <v>0</v>
      </c>
      <c r="T4466" s="32">
        <v>30</v>
      </c>
    </row>
    <row r="4467" spans="2:20" ht="12.75" hidden="1" x14ac:dyDescent="0.25">
      <c r="B4467" s="32">
        <v>25</v>
      </c>
      <c r="F4467" s="32" t="s">
        <v>146</v>
      </c>
      <c r="J4467" s="32">
        <v>7</v>
      </c>
      <c r="P4467" s="32">
        <v>350</v>
      </c>
      <c r="R4467" s="32">
        <v>0</v>
      </c>
      <c r="T4467" s="32">
        <v>350</v>
      </c>
    </row>
    <row r="4468" spans="2:20" ht="12.75" hidden="1" x14ac:dyDescent="0.25">
      <c r="B4468" s="32">
        <v>26</v>
      </c>
      <c r="F4468" s="32" t="s">
        <v>193</v>
      </c>
      <c r="J4468" s="32">
        <v>4</v>
      </c>
      <c r="P4468" s="32">
        <v>3560</v>
      </c>
      <c r="R4468" s="32">
        <v>520</v>
      </c>
      <c r="T4468" s="32">
        <v>3040</v>
      </c>
    </row>
    <row r="4469" spans="2:20" ht="12.75" hidden="1" x14ac:dyDescent="0.25">
      <c r="B4469" s="32">
        <v>27</v>
      </c>
      <c r="F4469" s="32" t="s">
        <v>142</v>
      </c>
      <c r="J4469" s="32">
        <v>3</v>
      </c>
      <c r="P4469" s="32">
        <v>1050</v>
      </c>
      <c r="R4469" s="32">
        <v>450</v>
      </c>
      <c r="T4469" s="32">
        <v>600</v>
      </c>
    </row>
    <row r="4470" spans="2:20" ht="12.75" hidden="1" x14ac:dyDescent="0.25">
      <c r="B4470" s="32">
        <v>28</v>
      </c>
      <c r="F4470" s="32" t="s">
        <v>75</v>
      </c>
      <c r="J4470" s="32">
        <v>1162</v>
      </c>
      <c r="P4470" s="32">
        <v>2905000</v>
      </c>
      <c r="R4470" s="32">
        <v>2905000</v>
      </c>
      <c r="T4470" s="32">
        <v>0</v>
      </c>
    </row>
    <row r="4471" spans="2:20" ht="12.75" hidden="1" x14ac:dyDescent="0.25">
      <c r="B4471" s="32">
        <v>29</v>
      </c>
      <c r="F4471" s="32" t="s">
        <v>192</v>
      </c>
      <c r="J4471" s="32">
        <v>1</v>
      </c>
      <c r="P4471" s="32">
        <v>1550</v>
      </c>
      <c r="R4471" s="32">
        <v>310</v>
      </c>
      <c r="T4471" s="32">
        <v>1240</v>
      </c>
    </row>
    <row r="4472" spans="2:20" ht="12.75" hidden="1" x14ac:dyDescent="0.25">
      <c r="B4472" s="32">
        <v>30</v>
      </c>
      <c r="F4472" s="32" t="s">
        <v>136</v>
      </c>
      <c r="J4472" s="32">
        <v>18</v>
      </c>
      <c r="P4472" s="32">
        <v>15300</v>
      </c>
      <c r="R4472" s="32">
        <v>3640</v>
      </c>
      <c r="T4472" s="32">
        <v>11660</v>
      </c>
    </row>
    <row r="4473" spans="2:20" ht="12.75" hidden="1" x14ac:dyDescent="0.25">
      <c r="B4473" s="32">
        <v>31</v>
      </c>
      <c r="F4473" s="32" t="s">
        <v>74</v>
      </c>
      <c r="J4473" s="32">
        <v>54</v>
      </c>
      <c r="P4473" s="32">
        <v>45900</v>
      </c>
      <c r="R4473" s="32">
        <v>45900</v>
      </c>
      <c r="T4473" s="32">
        <v>0</v>
      </c>
    </row>
    <row r="4474" spans="2:20" ht="12.75" hidden="1" x14ac:dyDescent="0.25">
      <c r="B4474" s="32">
        <v>32</v>
      </c>
      <c r="F4474" s="32" t="s">
        <v>191</v>
      </c>
      <c r="J4474" s="32">
        <v>1</v>
      </c>
      <c r="P4474" s="32">
        <v>350</v>
      </c>
      <c r="R4474" s="32">
        <v>130</v>
      </c>
      <c r="T4474" s="32">
        <v>220</v>
      </c>
    </row>
    <row r="4475" spans="2:20" ht="12.75" hidden="1" x14ac:dyDescent="0.25">
      <c r="B4475" s="32">
        <v>33</v>
      </c>
      <c r="F4475" s="32" t="s">
        <v>190</v>
      </c>
      <c r="J4475" s="32">
        <v>5</v>
      </c>
      <c r="P4475" s="32">
        <v>7850</v>
      </c>
      <c r="R4475" s="32">
        <v>1200</v>
      </c>
      <c r="T4475" s="32">
        <v>6650</v>
      </c>
    </row>
    <row r="4476" spans="2:20" ht="12.75" hidden="1" x14ac:dyDescent="0.25">
      <c r="B4476" s="32">
        <v>34</v>
      </c>
      <c r="F4476" s="32" t="s">
        <v>189</v>
      </c>
      <c r="J4476" s="32">
        <v>1</v>
      </c>
      <c r="P4476" s="32">
        <v>1140</v>
      </c>
      <c r="R4476" s="32">
        <v>0</v>
      </c>
      <c r="T4476" s="32">
        <v>1140</v>
      </c>
    </row>
    <row r="4477" spans="2:20" ht="12.75" hidden="1" x14ac:dyDescent="0.25">
      <c r="B4477" s="32">
        <v>35</v>
      </c>
      <c r="F4477" s="32" t="s">
        <v>135</v>
      </c>
      <c r="J4477" s="32">
        <v>4</v>
      </c>
      <c r="P4477" s="32">
        <v>3800</v>
      </c>
      <c r="R4477" s="32">
        <v>1120</v>
      </c>
      <c r="T4477" s="32">
        <v>2680</v>
      </c>
    </row>
    <row r="4478" spans="2:20" ht="12.75" hidden="1" x14ac:dyDescent="0.25">
      <c r="B4478" s="32">
        <v>36</v>
      </c>
      <c r="F4478" s="32" t="s">
        <v>132</v>
      </c>
      <c r="J4478" s="32">
        <v>6</v>
      </c>
      <c r="P4478" s="32">
        <v>7440</v>
      </c>
      <c r="R4478" s="32">
        <v>2220</v>
      </c>
      <c r="T4478" s="32">
        <v>5220</v>
      </c>
    </row>
    <row r="4479" spans="2:20" ht="12.75" hidden="1" x14ac:dyDescent="0.25">
      <c r="B4479" s="32">
        <v>37</v>
      </c>
      <c r="F4479" s="32" t="s">
        <v>131</v>
      </c>
      <c r="J4479" s="32">
        <v>2</v>
      </c>
      <c r="P4479" s="32">
        <v>7400</v>
      </c>
      <c r="R4479" s="32">
        <v>1600</v>
      </c>
      <c r="T4479" s="32">
        <v>5800</v>
      </c>
    </row>
    <row r="4480" spans="2:20" ht="12.75" hidden="1" x14ac:dyDescent="0.25">
      <c r="B4480" s="32">
        <v>38</v>
      </c>
      <c r="F4480" s="32" t="s">
        <v>130</v>
      </c>
      <c r="J4480" s="32">
        <v>3</v>
      </c>
      <c r="P4480" s="32">
        <v>24000</v>
      </c>
      <c r="R4480" s="32">
        <v>12300</v>
      </c>
      <c r="T4480" s="32">
        <v>11700</v>
      </c>
    </row>
    <row r="4481" spans="2:20" ht="12.75" hidden="1" x14ac:dyDescent="0.25">
      <c r="B4481" s="32">
        <v>39</v>
      </c>
      <c r="F4481" s="32" t="s">
        <v>188</v>
      </c>
      <c r="J4481" s="32">
        <v>1</v>
      </c>
      <c r="P4481" s="32">
        <v>8000</v>
      </c>
      <c r="R4481" s="32">
        <v>4000</v>
      </c>
      <c r="T4481" s="32">
        <v>4000</v>
      </c>
    </row>
    <row r="4482" spans="2:20" ht="12.75" hidden="1" x14ac:dyDescent="0.25">
      <c r="T4482" s="32"/>
    </row>
    <row r="4483" spans="2:20" ht="12.75" hidden="1" x14ac:dyDescent="0.25">
      <c r="B4483" s="32">
        <v>40</v>
      </c>
      <c r="F4483" s="32" t="s">
        <v>187</v>
      </c>
      <c r="J4483" s="32">
        <v>88</v>
      </c>
      <c r="P4483" s="32">
        <v>8800</v>
      </c>
      <c r="R4483" s="32">
        <v>0</v>
      </c>
      <c r="T4483" s="32">
        <v>8800</v>
      </c>
    </row>
    <row r="4484" spans="2:20" ht="12.75" hidden="1" x14ac:dyDescent="0.25">
      <c r="B4484" s="32">
        <v>41</v>
      </c>
      <c r="F4484" s="32" t="s">
        <v>186</v>
      </c>
      <c r="J4484" s="32">
        <v>39</v>
      </c>
      <c r="P4484" s="32">
        <v>2340</v>
      </c>
      <c r="R4484" s="32">
        <v>0</v>
      </c>
      <c r="T4484" s="32">
        <v>2340</v>
      </c>
    </row>
    <row r="4485" spans="2:20" ht="12.75" hidden="1" x14ac:dyDescent="0.25">
      <c r="T4485" s="32"/>
    </row>
    <row r="4486" spans="2:20" ht="12.75" hidden="1" x14ac:dyDescent="0.25">
      <c r="B4486" s="32">
        <v>42</v>
      </c>
      <c r="F4486" s="32" t="s">
        <v>185</v>
      </c>
      <c r="J4486" s="32">
        <v>1</v>
      </c>
      <c r="P4486" s="32">
        <v>800</v>
      </c>
      <c r="R4486" s="32">
        <v>450</v>
      </c>
      <c r="T4486" s="32">
        <v>350</v>
      </c>
    </row>
    <row r="4487" spans="2:20" ht="12.75" hidden="1" x14ac:dyDescent="0.25">
      <c r="B4487" s="32">
        <v>43</v>
      </c>
      <c r="F4487" s="32" t="s">
        <v>128</v>
      </c>
      <c r="J4487" s="32">
        <v>3</v>
      </c>
      <c r="P4487" s="32">
        <v>3450</v>
      </c>
      <c r="R4487" s="32">
        <v>510</v>
      </c>
      <c r="T4487" s="32">
        <v>2940</v>
      </c>
    </row>
    <row r="4488" spans="2:20" ht="12.75" hidden="1" x14ac:dyDescent="0.25">
      <c r="B4488" s="32">
        <v>44</v>
      </c>
      <c r="F4488" s="32" t="s">
        <v>127</v>
      </c>
      <c r="J4488" s="32">
        <v>47</v>
      </c>
      <c r="P4488" s="32">
        <v>14100</v>
      </c>
      <c r="R4488" s="32">
        <v>4419</v>
      </c>
      <c r="T4488" s="32">
        <v>9681</v>
      </c>
    </row>
    <row r="4489" spans="2:20" ht="12.75" hidden="1" x14ac:dyDescent="0.25">
      <c r="B4489" s="32">
        <v>45</v>
      </c>
      <c r="F4489" s="32" t="s">
        <v>126</v>
      </c>
      <c r="J4489" s="32">
        <v>47</v>
      </c>
      <c r="P4489" s="32">
        <v>9400</v>
      </c>
      <c r="R4489" s="32">
        <v>2943</v>
      </c>
      <c r="T4489" s="32">
        <v>6457</v>
      </c>
    </row>
    <row r="4490" spans="2:20" ht="12.75" hidden="1" x14ac:dyDescent="0.25">
      <c r="B4490" s="32">
        <v>46</v>
      </c>
      <c r="F4490" s="32" t="s">
        <v>125</v>
      </c>
      <c r="J4490" s="32">
        <v>6</v>
      </c>
      <c r="P4490" s="32">
        <v>2400</v>
      </c>
      <c r="R4490" s="32">
        <v>720</v>
      </c>
      <c r="T4490" s="32">
        <v>1680</v>
      </c>
    </row>
    <row r="4491" spans="2:20" ht="12.75" hidden="1" x14ac:dyDescent="0.25">
      <c r="B4491" s="32">
        <v>47</v>
      </c>
      <c r="F4491" s="32" t="s">
        <v>124</v>
      </c>
      <c r="J4491" s="32">
        <v>1</v>
      </c>
      <c r="P4491" s="32">
        <v>400</v>
      </c>
      <c r="R4491" s="32">
        <v>120</v>
      </c>
      <c r="T4491" s="32">
        <v>280</v>
      </c>
    </row>
    <row r="4492" spans="2:20" ht="12.75" hidden="1" x14ac:dyDescent="0.25">
      <c r="B4492" s="32">
        <v>48</v>
      </c>
      <c r="F4492" s="32" t="s">
        <v>123</v>
      </c>
      <c r="J4492" s="32">
        <v>71</v>
      </c>
      <c r="P4492" s="32">
        <v>55380</v>
      </c>
      <c r="R4492" s="32">
        <v>16330</v>
      </c>
      <c r="T4492" s="32">
        <v>39050</v>
      </c>
    </row>
    <row r="4493" spans="2:20" ht="12.75" hidden="1" x14ac:dyDescent="0.25">
      <c r="B4493" s="32">
        <v>49</v>
      </c>
      <c r="F4493" s="32" t="s">
        <v>184</v>
      </c>
      <c r="J4493" s="32">
        <v>3</v>
      </c>
      <c r="P4493" s="32">
        <v>3240</v>
      </c>
      <c r="R4493" s="32">
        <v>480</v>
      </c>
      <c r="T4493" s="32">
        <v>2760</v>
      </c>
    </row>
    <row r="4494" spans="2:20" ht="12.75" hidden="1" x14ac:dyDescent="0.25">
      <c r="B4494" s="32">
        <v>50</v>
      </c>
      <c r="F4494" s="32" t="s">
        <v>183</v>
      </c>
      <c r="J4494" s="32">
        <v>2</v>
      </c>
      <c r="P4494" s="32">
        <v>880</v>
      </c>
      <c r="R4494" s="32">
        <v>260</v>
      </c>
      <c r="T4494" s="32">
        <v>620</v>
      </c>
    </row>
    <row r="4495" spans="2:20" ht="12.75" hidden="1" x14ac:dyDescent="0.25">
      <c r="B4495" s="32">
        <v>51</v>
      </c>
      <c r="F4495" s="32" t="s">
        <v>182</v>
      </c>
      <c r="J4495" s="32">
        <v>4</v>
      </c>
      <c r="P4495" s="32">
        <v>3160</v>
      </c>
      <c r="R4495" s="32">
        <v>480</v>
      </c>
      <c r="T4495" s="32">
        <v>2680</v>
      </c>
    </row>
    <row r="4496" spans="2:20" ht="12.75" hidden="1" x14ac:dyDescent="0.25">
      <c r="B4496" s="32">
        <v>52</v>
      </c>
      <c r="F4496" s="32" t="s">
        <v>119</v>
      </c>
      <c r="J4496" s="32">
        <v>14</v>
      </c>
      <c r="P4496" s="32">
        <v>12460</v>
      </c>
      <c r="R4496" s="32">
        <v>3930</v>
      </c>
      <c r="T4496" s="32">
        <v>8530</v>
      </c>
    </row>
    <row r="4497" spans="2:20" ht="12.75" hidden="1" x14ac:dyDescent="0.25">
      <c r="B4497" s="32">
        <v>53</v>
      </c>
      <c r="F4497" s="32" t="s">
        <v>118</v>
      </c>
      <c r="J4497" s="32">
        <v>79</v>
      </c>
      <c r="P4497" s="32">
        <v>78210</v>
      </c>
      <c r="R4497" s="32">
        <v>26017</v>
      </c>
      <c r="T4497" s="32">
        <v>52193</v>
      </c>
    </row>
    <row r="4498" spans="2:20" ht="12.75" hidden="1" x14ac:dyDescent="0.25">
      <c r="B4498" s="32">
        <v>54</v>
      </c>
      <c r="F4498" s="32" t="s">
        <v>117</v>
      </c>
      <c r="J4498" s="32">
        <v>2</v>
      </c>
      <c r="P4498" s="32">
        <v>1600</v>
      </c>
      <c r="R4498" s="32">
        <v>400</v>
      </c>
      <c r="T4498" s="32">
        <v>1200</v>
      </c>
    </row>
    <row r="4499" spans="2:20" ht="12.75" hidden="1" x14ac:dyDescent="0.25">
      <c r="B4499" s="32">
        <v>55</v>
      </c>
      <c r="F4499" s="32" t="s">
        <v>115</v>
      </c>
      <c r="J4499" s="32">
        <v>22</v>
      </c>
      <c r="P4499" s="32">
        <v>6380</v>
      </c>
      <c r="R4499" s="32">
        <v>2060</v>
      </c>
      <c r="T4499" s="32">
        <v>4320</v>
      </c>
    </row>
    <row r="4500" spans="2:20" ht="12.75" hidden="1" x14ac:dyDescent="0.25">
      <c r="B4500" s="32">
        <v>56</v>
      </c>
      <c r="F4500" s="32" t="s">
        <v>114</v>
      </c>
      <c r="J4500" s="32">
        <v>1</v>
      </c>
      <c r="P4500" s="32">
        <v>550</v>
      </c>
      <c r="R4500" s="32">
        <v>80</v>
      </c>
      <c r="T4500" s="32">
        <v>470</v>
      </c>
    </row>
    <row r="4501" spans="2:20" ht="12.75" hidden="1" x14ac:dyDescent="0.25">
      <c r="B4501" s="32">
        <v>57</v>
      </c>
      <c r="F4501" s="32" t="s">
        <v>181</v>
      </c>
      <c r="J4501" s="32">
        <v>2</v>
      </c>
      <c r="P4501" s="32">
        <v>1580</v>
      </c>
      <c r="R4501" s="32">
        <v>240</v>
      </c>
      <c r="T4501" s="32">
        <v>1340</v>
      </c>
    </row>
    <row r="4502" spans="2:20" ht="12.75" hidden="1" x14ac:dyDescent="0.25">
      <c r="B4502" s="32">
        <v>58</v>
      </c>
      <c r="F4502" s="32" t="s">
        <v>111</v>
      </c>
      <c r="J4502" s="32">
        <v>1</v>
      </c>
      <c r="P4502" s="32">
        <v>430</v>
      </c>
      <c r="R4502" s="32">
        <v>130</v>
      </c>
      <c r="T4502" s="32">
        <v>300</v>
      </c>
    </row>
    <row r="4503" spans="2:20" ht="12.75" hidden="1" x14ac:dyDescent="0.25">
      <c r="B4503" s="32">
        <v>59</v>
      </c>
      <c r="F4503" s="32" t="s">
        <v>109</v>
      </c>
      <c r="J4503" s="32">
        <v>5</v>
      </c>
      <c r="P4503" s="32">
        <v>3900</v>
      </c>
      <c r="R4503" s="32">
        <v>1150</v>
      </c>
      <c r="T4503" s="32">
        <v>2750</v>
      </c>
    </row>
    <row r="4504" spans="2:20" ht="12.75" hidden="1" x14ac:dyDescent="0.25">
      <c r="B4504" s="32">
        <v>60</v>
      </c>
      <c r="F4504" s="32" t="s">
        <v>108</v>
      </c>
      <c r="J4504" s="32">
        <v>85</v>
      </c>
      <c r="P4504" s="32">
        <v>8500</v>
      </c>
      <c r="R4504" s="32">
        <v>1110</v>
      </c>
      <c r="T4504" s="32">
        <v>7390</v>
      </c>
    </row>
    <row r="4505" spans="2:20" ht="12.75" hidden="1" x14ac:dyDescent="0.25">
      <c r="B4505" s="32">
        <v>61</v>
      </c>
      <c r="F4505" s="32" t="s">
        <v>107</v>
      </c>
      <c r="J4505" s="32">
        <v>48</v>
      </c>
      <c r="P4505" s="32">
        <v>8160</v>
      </c>
      <c r="R4505" s="32">
        <v>2656</v>
      </c>
      <c r="T4505" s="32">
        <v>5504</v>
      </c>
    </row>
    <row r="4506" spans="2:20" ht="12.75" hidden="1" x14ac:dyDescent="0.25">
      <c r="B4506" s="32">
        <v>62</v>
      </c>
      <c r="F4506" s="32" t="s">
        <v>106</v>
      </c>
      <c r="J4506" s="32">
        <v>3</v>
      </c>
      <c r="P4506" s="32">
        <v>300</v>
      </c>
      <c r="R4506" s="32">
        <v>0</v>
      </c>
      <c r="T4506" s="32">
        <v>300</v>
      </c>
    </row>
    <row r="4507" spans="2:20" ht="12.75" hidden="1" x14ac:dyDescent="0.25">
      <c r="B4507" s="32">
        <v>63</v>
      </c>
      <c r="F4507" s="32" t="s">
        <v>180</v>
      </c>
      <c r="J4507" s="32">
        <v>1</v>
      </c>
      <c r="P4507" s="32">
        <v>590</v>
      </c>
      <c r="R4507" s="32">
        <v>180</v>
      </c>
      <c r="T4507" s="32">
        <v>410</v>
      </c>
    </row>
    <row r="4508" spans="2:20" ht="12.75" hidden="1" x14ac:dyDescent="0.25">
      <c r="B4508" s="32">
        <v>64</v>
      </c>
      <c r="F4508" s="32" t="s">
        <v>105</v>
      </c>
      <c r="J4508" s="32">
        <v>5</v>
      </c>
      <c r="P4508" s="32">
        <v>5750</v>
      </c>
      <c r="R4508" s="32">
        <v>0</v>
      </c>
      <c r="T4508" s="32">
        <v>5750</v>
      </c>
    </row>
    <row r="4509" spans="2:20" ht="12.75" hidden="1" x14ac:dyDescent="0.25">
      <c r="B4509" s="32">
        <v>65</v>
      </c>
      <c r="F4509" s="32" t="s">
        <v>103</v>
      </c>
      <c r="J4509" s="32">
        <v>29</v>
      </c>
      <c r="P4509" s="32">
        <v>9570</v>
      </c>
      <c r="R4509" s="32">
        <v>3220</v>
      </c>
      <c r="T4509" s="32">
        <v>6350</v>
      </c>
    </row>
    <row r="4510" spans="2:20" ht="12.75" hidden="1" x14ac:dyDescent="0.25">
      <c r="B4510" s="32">
        <v>66</v>
      </c>
      <c r="F4510" s="32" t="s">
        <v>102</v>
      </c>
      <c r="J4510" s="32">
        <v>6</v>
      </c>
      <c r="P4510" s="32">
        <v>5280</v>
      </c>
      <c r="R4510" s="32">
        <v>780</v>
      </c>
      <c r="T4510" s="32">
        <v>4500</v>
      </c>
    </row>
    <row r="4511" spans="2:20" ht="12.75" hidden="1" x14ac:dyDescent="0.25">
      <c r="B4511" s="32">
        <v>67</v>
      </c>
      <c r="F4511" s="32" t="s">
        <v>179</v>
      </c>
      <c r="J4511" s="32">
        <v>1</v>
      </c>
      <c r="P4511" s="32">
        <v>880</v>
      </c>
      <c r="R4511" s="32">
        <v>130</v>
      </c>
      <c r="T4511" s="32">
        <v>750</v>
      </c>
    </row>
    <row r="4512" spans="2:20" ht="12.75" hidden="1" x14ac:dyDescent="0.25">
      <c r="B4512" s="32">
        <v>68</v>
      </c>
      <c r="F4512" s="32" t="s">
        <v>100</v>
      </c>
      <c r="J4512" s="32">
        <v>8</v>
      </c>
      <c r="P4512" s="32">
        <v>1440</v>
      </c>
      <c r="R4512" s="32">
        <v>400</v>
      </c>
      <c r="T4512" s="32">
        <v>1040</v>
      </c>
    </row>
    <row r="4513" spans="2:20" ht="12.75" hidden="1" x14ac:dyDescent="0.25">
      <c r="B4513" s="32">
        <v>69</v>
      </c>
      <c r="F4513" s="32" t="s">
        <v>178</v>
      </c>
      <c r="J4513" s="32">
        <v>1</v>
      </c>
      <c r="P4513" s="32">
        <v>1650</v>
      </c>
      <c r="R4513" s="32">
        <v>0</v>
      </c>
      <c r="T4513" s="32">
        <v>1650</v>
      </c>
    </row>
    <row r="4514" spans="2:20" ht="12.75" hidden="1" x14ac:dyDescent="0.25">
      <c r="B4514" s="32">
        <v>70</v>
      </c>
      <c r="F4514" s="32" t="s">
        <v>177</v>
      </c>
      <c r="J4514" s="32">
        <v>1</v>
      </c>
      <c r="P4514" s="32">
        <v>960</v>
      </c>
      <c r="R4514" s="32">
        <v>290</v>
      </c>
      <c r="T4514" s="32">
        <v>670</v>
      </c>
    </row>
    <row r="4515" spans="2:20" ht="12.75" hidden="1" x14ac:dyDescent="0.25">
      <c r="B4515" s="32">
        <v>71</v>
      </c>
      <c r="F4515" s="32" t="s">
        <v>98</v>
      </c>
      <c r="J4515" s="32">
        <v>1</v>
      </c>
      <c r="P4515" s="32">
        <v>570</v>
      </c>
      <c r="R4515" s="32">
        <v>80</v>
      </c>
      <c r="T4515" s="32">
        <v>490</v>
      </c>
    </row>
    <row r="4516" spans="2:20" ht="12.75" hidden="1" x14ac:dyDescent="0.25">
      <c r="B4516" s="32">
        <v>72</v>
      </c>
      <c r="F4516" s="32" t="s">
        <v>176</v>
      </c>
      <c r="J4516" s="32">
        <v>2</v>
      </c>
      <c r="P4516" s="32">
        <v>2120</v>
      </c>
      <c r="R4516" s="32">
        <v>320</v>
      </c>
      <c r="T4516" s="32">
        <v>1800</v>
      </c>
    </row>
    <row r="4517" spans="2:20" ht="12.75" hidden="1" x14ac:dyDescent="0.25">
      <c r="B4517" s="32">
        <v>73</v>
      </c>
      <c r="F4517" s="32" t="s">
        <v>97</v>
      </c>
      <c r="J4517" s="32">
        <v>3</v>
      </c>
      <c r="P4517" s="32">
        <v>4770</v>
      </c>
      <c r="R4517" s="32">
        <v>720</v>
      </c>
      <c r="T4517" s="32">
        <v>4050</v>
      </c>
    </row>
    <row r="4518" spans="2:20" ht="12.75" hidden="1" x14ac:dyDescent="0.25">
      <c r="B4518" s="32">
        <v>74</v>
      </c>
      <c r="F4518" s="32" t="s">
        <v>94</v>
      </c>
      <c r="J4518" s="32">
        <v>1</v>
      </c>
      <c r="P4518" s="32">
        <v>1990</v>
      </c>
      <c r="R4518" s="32">
        <v>300</v>
      </c>
      <c r="T4518" s="32">
        <v>1690</v>
      </c>
    </row>
    <row r="4519" spans="2:20" ht="12.75" hidden="1" x14ac:dyDescent="0.25">
      <c r="B4519" s="32">
        <v>75</v>
      </c>
      <c r="F4519" s="32" t="s">
        <v>93</v>
      </c>
      <c r="J4519" s="32">
        <v>9</v>
      </c>
      <c r="P4519" s="32">
        <v>5310</v>
      </c>
      <c r="R4519" s="32">
        <v>810</v>
      </c>
      <c r="T4519" s="32">
        <v>4500</v>
      </c>
    </row>
    <row r="4520" spans="2:20" ht="12.75" hidden="1" x14ac:dyDescent="0.25">
      <c r="B4520" s="32">
        <v>76</v>
      </c>
      <c r="F4520" s="32" t="s">
        <v>92</v>
      </c>
      <c r="J4520" s="32">
        <v>21</v>
      </c>
      <c r="P4520" s="32">
        <v>17920</v>
      </c>
      <c r="R4520" s="32">
        <v>5200</v>
      </c>
      <c r="T4520" s="32">
        <v>12720</v>
      </c>
    </row>
    <row r="4521" spans="2:20" ht="12.75" hidden="1" x14ac:dyDescent="0.25">
      <c r="B4521" s="32">
        <v>77</v>
      </c>
      <c r="F4521" s="32" t="s">
        <v>175</v>
      </c>
      <c r="J4521" s="32">
        <v>7</v>
      </c>
      <c r="P4521" s="32">
        <v>4200</v>
      </c>
      <c r="R4521" s="32">
        <v>1260</v>
      </c>
      <c r="T4521" s="32">
        <v>2940</v>
      </c>
    </row>
    <row r="4522" spans="2:20" ht="12.75" hidden="1" x14ac:dyDescent="0.25">
      <c r="B4522" s="32">
        <v>78</v>
      </c>
      <c r="F4522" s="32" t="s">
        <v>174</v>
      </c>
      <c r="J4522" s="32">
        <v>5</v>
      </c>
      <c r="P4522" s="32">
        <v>2000</v>
      </c>
      <c r="R4522" s="32">
        <v>600</v>
      </c>
      <c r="T4522" s="32">
        <v>1400</v>
      </c>
    </row>
    <row r="4523" spans="2:20" ht="12.75" hidden="1" x14ac:dyDescent="0.25">
      <c r="B4523" s="32">
        <v>79</v>
      </c>
      <c r="F4523" s="32" t="s">
        <v>173</v>
      </c>
      <c r="J4523" s="32">
        <v>8</v>
      </c>
      <c r="P4523" s="32">
        <v>8000</v>
      </c>
      <c r="R4523" s="32">
        <v>2400</v>
      </c>
      <c r="T4523" s="32">
        <v>5600</v>
      </c>
    </row>
    <row r="4524" spans="2:20" ht="12.75" hidden="1" x14ac:dyDescent="0.25">
      <c r="B4524" s="32">
        <v>80</v>
      </c>
      <c r="F4524" s="32" t="s">
        <v>91</v>
      </c>
      <c r="J4524" s="32">
        <v>20</v>
      </c>
      <c r="P4524" s="32">
        <v>5000</v>
      </c>
      <c r="R4524" s="32">
        <v>1430</v>
      </c>
      <c r="T4524" s="32">
        <v>3570</v>
      </c>
    </row>
    <row r="4525" spans="2:20" ht="12.75" hidden="1" x14ac:dyDescent="0.25">
      <c r="B4525" s="32">
        <v>81</v>
      </c>
      <c r="F4525" s="32" t="s">
        <v>90</v>
      </c>
      <c r="J4525" s="32">
        <v>5</v>
      </c>
      <c r="P4525" s="32">
        <v>1450</v>
      </c>
      <c r="R4525" s="32">
        <v>400</v>
      </c>
      <c r="T4525" s="32">
        <v>1050</v>
      </c>
    </row>
    <row r="4526" spans="2:20" ht="12.75" hidden="1" x14ac:dyDescent="0.25">
      <c r="B4526" s="32">
        <v>82</v>
      </c>
      <c r="F4526" s="32" t="s">
        <v>89</v>
      </c>
      <c r="J4526" s="32">
        <v>1</v>
      </c>
      <c r="P4526" s="32">
        <v>880</v>
      </c>
      <c r="R4526" s="32">
        <v>130</v>
      </c>
      <c r="T4526" s="32">
        <v>750</v>
      </c>
    </row>
    <row r="4527" spans="2:20" ht="12.75" hidden="1" x14ac:dyDescent="0.25">
      <c r="B4527" s="32">
        <v>83</v>
      </c>
      <c r="F4527" s="32" t="s">
        <v>88</v>
      </c>
      <c r="J4527" s="32">
        <v>61</v>
      </c>
      <c r="P4527" s="32">
        <v>10980</v>
      </c>
      <c r="R4527" s="32">
        <v>3682</v>
      </c>
      <c r="T4527" s="32">
        <v>7298</v>
      </c>
    </row>
    <row r="4528" spans="2:20" ht="12.75" hidden="1" x14ac:dyDescent="0.25">
      <c r="B4528" s="32">
        <v>84</v>
      </c>
      <c r="F4528" s="32" t="s">
        <v>87</v>
      </c>
      <c r="J4528" s="32">
        <v>2</v>
      </c>
      <c r="P4528" s="32">
        <v>580</v>
      </c>
      <c r="R4528" s="32">
        <v>160</v>
      </c>
      <c r="T4528" s="32">
        <v>420</v>
      </c>
    </row>
    <row r="4529" spans="1:20" ht="12.75" hidden="1" x14ac:dyDescent="0.25">
      <c r="B4529" s="32">
        <v>85</v>
      </c>
      <c r="F4529" s="32" t="s">
        <v>86</v>
      </c>
      <c r="J4529" s="32">
        <v>3</v>
      </c>
      <c r="P4529" s="32">
        <v>3420</v>
      </c>
      <c r="R4529" s="32">
        <v>510</v>
      </c>
      <c r="T4529" s="32">
        <v>2910</v>
      </c>
    </row>
    <row r="4530" spans="1:20" ht="12.75" hidden="1" x14ac:dyDescent="0.25">
      <c r="B4530" s="32">
        <v>86</v>
      </c>
      <c r="F4530" s="32" t="s">
        <v>85</v>
      </c>
      <c r="J4530" s="32">
        <v>13</v>
      </c>
      <c r="P4530" s="32">
        <v>27040</v>
      </c>
      <c r="R4530" s="32">
        <v>4136</v>
      </c>
      <c r="T4530" s="32">
        <v>22904</v>
      </c>
    </row>
    <row r="4531" spans="1:20" ht="12.75" hidden="1" x14ac:dyDescent="0.25">
      <c r="B4531" s="32">
        <v>87</v>
      </c>
      <c r="F4531" s="32" t="s">
        <v>84</v>
      </c>
      <c r="J4531" s="32">
        <v>10</v>
      </c>
      <c r="P4531" s="32">
        <v>5900</v>
      </c>
      <c r="R4531" s="32">
        <v>1800</v>
      </c>
      <c r="T4531" s="32">
        <v>4100</v>
      </c>
    </row>
    <row r="4532" spans="1:20" ht="12.75" hidden="1" x14ac:dyDescent="0.25">
      <c r="B4532" s="32">
        <v>88</v>
      </c>
      <c r="F4532" s="32" t="s">
        <v>83</v>
      </c>
      <c r="J4532" s="32">
        <v>1</v>
      </c>
      <c r="P4532" s="32">
        <v>500</v>
      </c>
      <c r="R4532" s="32">
        <v>150</v>
      </c>
      <c r="T4532" s="32">
        <v>350</v>
      </c>
    </row>
    <row r="4533" spans="1:20" ht="12.75" hidden="1" x14ac:dyDescent="0.25">
      <c r="B4533" s="32">
        <v>89</v>
      </c>
      <c r="F4533" s="32" t="s">
        <v>82</v>
      </c>
      <c r="J4533" s="32">
        <v>16</v>
      </c>
      <c r="P4533" s="32">
        <v>4640</v>
      </c>
      <c r="R4533" s="32">
        <v>4640</v>
      </c>
      <c r="T4533" s="32">
        <v>0</v>
      </c>
    </row>
    <row r="4534" spans="1:20" ht="12.75" hidden="1" x14ac:dyDescent="0.25">
      <c r="B4534" s="32">
        <v>90</v>
      </c>
      <c r="F4534" s="32" t="s">
        <v>81</v>
      </c>
      <c r="J4534" s="32">
        <v>12</v>
      </c>
      <c r="P4534" s="32">
        <v>3480</v>
      </c>
      <c r="R4534" s="32">
        <v>960</v>
      </c>
      <c r="T4534" s="32">
        <v>2520</v>
      </c>
    </row>
    <row r="4535" spans="1:20" ht="12.75" hidden="1" x14ac:dyDescent="0.25">
      <c r="A4535" s="32" t="s">
        <v>172</v>
      </c>
      <c r="K4535" s="32">
        <v>1104</v>
      </c>
      <c r="P4535" s="32">
        <v>1308920</v>
      </c>
      <c r="R4535" s="32">
        <v>1247015</v>
      </c>
      <c r="T4535" s="32">
        <v>61905</v>
      </c>
    </row>
    <row r="4536" spans="1:20" ht="12.75" hidden="1" x14ac:dyDescent="0.25">
      <c r="B4536" s="32">
        <v>1</v>
      </c>
      <c r="F4536" s="32" t="s">
        <v>78</v>
      </c>
      <c r="J4536" s="32">
        <v>49</v>
      </c>
      <c r="P4536" s="32">
        <v>14210</v>
      </c>
      <c r="R4536" s="32">
        <v>14210</v>
      </c>
      <c r="T4536" s="32">
        <v>0</v>
      </c>
    </row>
    <row r="4537" spans="1:20" ht="12.75" hidden="1" x14ac:dyDescent="0.25">
      <c r="B4537" s="32">
        <v>2</v>
      </c>
      <c r="F4537" s="32" t="s">
        <v>162</v>
      </c>
      <c r="J4537" s="32">
        <v>3</v>
      </c>
      <c r="P4537" s="32">
        <v>1290</v>
      </c>
      <c r="R4537" s="32">
        <v>594</v>
      </c>
      <c r="T4537" s="32">
        <v>696</v>
      </c>
    </row>
    <row r="4538" spans="1:20" ht="12.75" hidden="1" x14ac:dyDescent="0.25">
      <c r="B4538" s="32">
        <v>3</v>
      </c>
      <c r="F4538" s="32" t="s">
        <v>160</v>
      </c>
      <c r="J4538" s="32">
        <v>1</v>
      </c>
      <c r="P4538" s="32">
        <v>290</v>
      </c>
      <c r="R4538" s="32">
        <v>80</v>
      </c>
      <c r="T4538" s="32">
        <v>210</v>
      </c>
    </row>
    <row r="4539" spans="1:20" ht="12.75" hidden="1" x14ac:dyDescent="0.25">
      <c r="B4539" s="32">
        <v>4</v>
      </c>
      <c r="F4539" s="32" t="s">
        <v>159</v>
      </c>
      <c r="J4539" s="32">
        <v>19</v>
      </c>
      <c r="P4539" s="32">
        <v>0</v>
      </c>
      <c r="R4539" s="32">
        <v>0</v>
      </c>
      <c r="T4539" s="32">
        <v>0</v>
      </c>
    </row>
    <row r="4540" spans="1:20" ht="12.75" hidden="1" x14ac:dyDescent="0.25">
      <c r="B4540" s="32">
        <v>5</v>
      </c>
      <c r="F4540" s="32" t="s">
        <v>158</v>
      </c>
      <c r="J4540" s="32">
        <v>94</v>
      </c>
      <c r="P4540" s="32">
        <v>51700</v>
      </c>
      <c r="R4540" s="32">
        <v>15570</v>
      </c>
      <c r="T4540" s="32">
        <v>36130</v>
      </c>
    </row>
    <row r="4541" spans="1:20" ht="12.75" hidden="1" x14ac:dyDescent="0.25">
      <c r="B4541" s="32">
        <v>6</v>
      </c>
      <c r="F4541" s="32" t="s">
        <v>157</v>
      </c>
      <c r="J4541" s="32">
        <v>35</v>
      </c>
      <c r="P4541" s="32">
        <v>17150</v>
      </c>
      <c r="R4541" s="32">
        <v>7521</v>
      </c>
      <c r="T4541" s="32">
        <v>9629</v>
      </c>
    </row>
    <row r="4542" spans="1:20" ht="12.75" hidden="1" x14ac:dyDescent="0.25">
      <c r="B4542" s="32">
        <v>7</v>
      </c>
      <c r="F4542" s="32" t="s">
        <v>77</v>
      </c>
      <c r="J4542" s="32">
        <v>405</v>
      </c>
      <c r="P4542" s="32">
        <v>162000</v>
      </c>
      <c r="R4542" s="32">
        <v>162000</v>
      </c>
      <c r="T4542" s="32">
        <v>0</v>
      </c>
    </row>
    <row r="4543" spans="1:20" ht="12.75" hidden="1" x14ac:dyDescent="0.25">
      <c r="B4543" s="32">
        <v>8</v>
      </c>
      <c r="F4543" s="32" t="s">
        <v>155</v>
      </c>
      <c r="J4543" s="32">
        <v>3</v>
      </c>
      <c r="P4543" s="32">
        <v>750</v>
      </c>
      <c r="R4543" s="32">
        <v>240</v>
      </c>
      <c r="T4543" s="32">
        <v>510</v>
      </c>
    </row>
    <row r="4544" spans="1:20" ht="12.75" hidden="1" x14ac:dyDescent="0.25">
      <c r="B4544" s="32">
        <v>9</v>
      </c>
      <c r="F4544" s="32" t="s">
        <v>151</v>
      </c>
      <c r="J4544" s="32">
        <v>11</v>
      </c>
      <c r="P4544" s="32">
        <v>2530</v>
      </c>
      <c r="R4544" s="32">
        <v>870</v>
      </c>
      <c r="T4544" s="32">
        <v>1660</v>
      </c>
    </row>
    <row r="4545" spans="2:20" ht="12.75" hidden="1" x14ac:dyDescent="0.25">
      <c r="B4545" s="32">
        <v>10</v>
      </c>
      <c r="F4545" s="32" t="s">
        <v>150</v>
      </c>
      <c r="J4545" s="32">
        <v>1</v>
      </c>
      <c r="P4545" s="32">
        <v>170</v>
      </c>
      <c r="R4545" s="32">
        <v>50</v>
      </c>
      <c r="T4545" s="32">
        <v>120</v>
      </c>
    </row>
    <row r="4546" spans="2:20" ht="12.75" hidden="1" x14ac:dyDescent="0.25">
      <c r="B4546" s="32">
        <v>11</v>
      </c>
      <c r="F4546" s="32" t="s">
        <v>75</v>
      </c>
      <c r="J4546" s="32">
        <v>402</v>
      </c>
      <c r="P4546" s="32">
        <v>1005000</v>
      </c>
      <c r="R4546" s="32">
        <v>1005000</v>
      </c>
      <c r="T4546" s="32">
        <v>0</v>
      </c>
    </row>
    <row r="4547" spans="2:20" ht="12.75" hidden="1" x14ac:dyDescent="0.25">
      <c r="B4547" s="32">
        <v>12</v>
      </c>
      <c r="F4547" s="32" t="s">
        <v>74</v>
      </c>
      <c r="J4547" s="32">
        <v>40</v>
      </c>
      <c r="P4547" s="32">
        <v>34000</v>
      </c>
      <c r="R4547" s="32">
        <v>34000</v>
      </c>
      <c r="T4547" s="32">
        <v>0</v>
      </c>
    </row>
    <row r="4548" spans="2:20" ht="12.75" hidden="1" x14ac:dyDescent="0.25">
      <c r="B4548" s="32">
        <v>13</v>
      </c>
      <c r="F4548" s="32" t="s">
        <v>127</v>
      </c>
      <c r="J4548" s="32">
        <v>2</v>
      </c>
      <c r="P4548" s="32">
        <v>600</v>
      </c>
      <c r="R4548" s="32">
        <v>262</v>
      </c>
      <c r="T4548" s="32">
        <v>338</v>
      </c>
    </row>
    <row r="4549" spans="2:20" ht="12.75" hidden="1" x14ac:dyDescent="0.25">
      <c r="B4549" s="32">
        <v>14</v>
      </c>
      <c r="F4549" s="32" t="s">
        <v>126</v>
      </c>
      <c r="J4549" s="32">
        <v>2</v>
      </c>
      <c r="P4549" s="32">
        <v>400</v>
      </c>
      <c r="R4549" s="32">
        <v>174</v>
      </c>
      <c r="T4549" s="32">
        <v>226</v>
      </c>
    </row>
    <row r="4550" spans="2:20" ht="12.75" hidden="1" x14ac:dyDescent="0.25">
      <c r="B4550" s="32">
        <v>15</v>
      </c>
      <c r="F4550" s="32" t="s">
        <v>119</v>
      </c>
      <c r="J4550" s="32">
        <v>1</v>
      </c>
      <c r="P4550" s="32">
        <v>890</v>
      </c>
      <c r="R4550" s="32">
        <v>300</v>
      </c>
      <c r="T4550" s="32">
        <v>590</v>
      </c>
    </row>
    <row r="4551" spans="2:20" ht="12.75" hidden="1" x14ac:dyDescent="0.25">
      <c r="B4551" s="32">
        <v>16</v>
      </c>
      <c r="F4551" s="32" t="s">
        <v>118</v>
      </c>
      <c r="J4551" s="32">
        <v>9</v>
      </c>
      <c r="P4551" s="32">
        <v>8910</v>
      </c>
      <c r="R4551" s="32">
        <v>3330</v>
      </c>
      <c r="T4551" s="32">
        <v>5580</v>
      </c>
    </row>
    <row r="4552" spans="2:20" ht="12.75" hidden="1" x14ac:dyDescent="0.25">
      <c r="B4552" s="32">
        <v>17</v>
      </c>
      <c r="F4552" s="32" t="s">
        <v>115</v>
      </c>
      <c r="J4552" s="32">
        <v>1</v>
      </c>
      <c r="P4552" s="32">
        <v>290</v>
      </c>
      <c r="R4552" s="32">
        <v>110</v>
      </c>
      <c r="T4552" s="32">
        <v>180</v>
      </c>
    </row>
    <row r="4553" spans="2:20" ht="12.75" hidden="1" x14ac:dyDescent="0.25">
      <c r="B4553" s="32">
        <v>18</v>
      </c>
      <c r="F4553" s="32" t="s">
        <v>171</v>
      </c>
      <c r="J4553" s="32">
        <v>1</v>
      </c>
      <c r="P4553" s="32">
        <v>530</v>
      </c>
      <c r="R4553" s="32">
        <v>160</v>
      </c>
      <c r="T4553" s="32">
        <v>370</v>
      </c>
    </row>
    <row r="4554" spans="2:20" ht="12.75" hidden="1" x14ac:dyDescent="0.25">
      <c r="B4554" s="32">
        <v>19</v>
      </c>
      <c r="F4554" s="32" t="s">
        <v>107</v>
      </c>
      <c r="J4554" s="32">
        <v>5</v>
      </c>
      <c r="P4554" s="32">
        <v>850</v>
      </c>
      <c r="R4554" s="32">
        <v>298</v>
      </c>
      <c r="T4554" s="32">
        <v>552</v>
      </c>
    </row>
    <row r="4555" spans="2:20" ht="12.75" hidden="1" x14ac:dyDescent="0.25">
      <c r="B4555" s="32">
        <v>20</v>
      </c>
      <c r="F4555" s="32" t="s">
        <v>92</v>
      </c>
      <c r="J4555" s="32">
        <v>3</v>
      </c>
      <c r="P4555" s="32">
        <v>3240</v>
      </c>
      <c r="R4555" s="32">
        <v>960</v>
      </c>
      <c r="T4555" s="32">
        <v>2280</v>
      </c>
    </row>
    <row r="4556" spans="2:20" ht="12.75" hidden="1" x14ac:dyDescent="0.25">
      <c r="B4556" s="32">
        <v>21</v>
      </c>
      <c r="F4556" s="32" t="s">
        <v>91</v>
      </c>
      <c r="J4556" s="32">
        <v>3</v>
      </c>
      <c r="P4556" s="32">
        <v>750</v>
      </c>
      <c r="R4556" s="32">
        <v>210</v>
      </c>
      <c r="T4556" s="32">
        <v>540</v>
      </c>
    </row>
    <row r="4557" spans="2:20" ht="12.75" hidden="1" x14ac:dyDescent="0.25">
      <c r="B4557" s="32">
        <v>22</v>
      </c>
      <c r="F4557" s="32" t="s">
        <v>90</v>
      </c>
      <c r="J4557" s="32">
        <v>1</v>
      </c>
      <c r="P4557" s="32">
        <v>290</v>
      </c>
      <c r="R4557" s="32">
        <v>80</v>
      </c>
      <c r="T4557" s="32">
        <v>210</v>
      </c>
    </row>
    <row r="4558" spans="2:20" ht="12.75" hidden="1" x14ac:dyDescent="0.25">
      <c r="B4558" s="32">
        <v>23</v>
      </c>
      <c r="F4558" s="32" t="s">
        <v>88</v>
      </c>
      <c r="J4558" s="32">
        <v>9</v>
      </c>
      <c r="P4558" s="32">
        <v>1620</v>
      </c>
      <c r="R4558" s="32">
        <v>576</v>
      </c>
      <c r="T4558" s="32">
        <v>1044</v>
      </c>
    </row>
    <row r="4559" spans="2:20" ht="12.75" hidden="1" x14ac:dyDescent="0.25">
      <c r="B4559" s="32">
        <v>24</v>
      </c>
      <c r="F4559" s="32" t="s">
        <v>84</v>
      </c>
      <c r="J4559" s="32">
        <v>1</v>
      </c>
      <c r="P4559" s="32">
        <v>590</v>
      </c>
      <c r="R4559" s="32">
        <v>180</v>
      </c>
      <c r="T4559" s="32">
        <v>410</v>
      </c>
    </row>
    <row r="4560" spans="2:20" ht="12.75" hidden="1" x14ac:dyDescent="0.25">
      <c r="B4560" s="32">
        <v>25</v>
      </c>
      <c r="F4560" s="32" t="s">
        <v>81</v>
      </c>
      <c r="J4560" s="32">
        <v>3</v>
      </c>
      <c r="P4560" s="32">
        <v>870</v>
      </c>
      <c r="R4560" s="32">
        <v>240</v>
      </c>
      <c r="T4560" s="32">
        <v>630</v>
      </c>
    </row>
    <row r="4561" spans="1:20" ht="12.75" hidden="1" x14ac:dyDescent="0.25">
      <c r="A4561" s="32" t="s">
        <v>170</v>
      </c>
      <c r="K4561" s="32">
        <v>4262</v>
      </c>
      <c r="P4561" s="32">
        <v>4256725</v>
      </c>
      <c r="R4561" s="32">
        <v>3704678</v>
      </c>
      <c r="T4561" s="32">
        <v>552047</v>
      </c>
    </row>
    <row r="4562" spans="1:20" ht="12.75" hidden="1" x14ac:dyDescent="0.25">
      <c r="B4562" s="32">
        <v>1</v>
      </c>
      <c r="F4562" s="32" t="s">
        <v>169</v>
      </c>
      <c r="J4562" s="32">
        <v>1</v>
      </c>
      <c r="P4562" s="32">
        <v>1030</v>
      </c>
      <c r="R4562" s="32">
        <v>150</v>
      </c>
      <c r="T4562" s="32">
        <v>880</v>
      </c>
    </row>
    <row r="4563" spans="1:20" ht="12.75" hidden="1" x14ac:dyDescent="0.25">
      <c r="B4563" s="32">
        <v>2</v>
      </c>
      <c r="F4563" s="32" t="s">
        <v>168</v>
      </c>
      <c r="J4563" s="32">
        <v>1</v>
      </c>
      <c r="P4563" s="32">
        <v>2200</v>
      </c>
      <c r="R4563" s="32">
        <v>330</v>
      </c>
      <c r="T4563" s="32">
        <v>1870</v>
      </c>
    </row>
    <row r="4564" spans="1:20" ht="12.75" hidden="1" x14ac:dyDescent="0.25">
      <c r="B4564" s="32">
        <v>3</v>
      </c>
      <c r="F4564" s="32" t="s">
        <v>78</v>
      </c>
      <c r="J4564" s="32">
        <v>117</v>
      </c>
      <c r="P4564" s="32">
        <v>33930</v>
      </c>
      <c r="R4564" s="32">
        <v>33930</v>
      </c>
      <c r="T4564" s="32">
        <v>0</v>
      </c>
    </row>
    <row r="4565" spans="1:20" ht="12.75" hidden="1" x14ac:dyDescent="0.25">
      <c r="B4565" s="32">
        <v>4</v>
      </c>
      <c r="F4565" s="32" t="s">
        <v>167</v>
      </c>
      <c r="J4565" s="32">
        <v>3</v>
      </c>
      <c r="P4565" s="32">
        <v>1710</v>
      </c>
      <c r="R4565" s="32">
        <v>510</v>
      </c>
      <c r="T4565" s="32">
        <v>1200</v>
      </c>
    </row>
    <row r="4566" spans="1:20" ht="12.75" hidden="1" x14ac:dyDescent="0.25">
      <c r="B4566" s="32">
        <v>5</v>
      </c>
      <c r="F4566" s="32" t="s">
        <v>166</v>
      </c>
      <c r="J4566" s="32">
        <v>1</v>
      </c>
      <c r="P4566" s="32">
        <v>1900</v>
      </c>
      <c r="R4566" s="32">
        <v>280</v>
      </c>
      <c r="T4566" s="32">
        <v>1620</v>
      </c>
    </row>
    <row r="4567" spans="1:20" ht="12.75" hidden="1" x14ac:dyDescent="0.25">
      <c r="B4567" s="32">
        <v>6</v>
      </c>
      <c r="F4567" s="32" t="s">
        <v>165</v>
      </c>
      <c r="J4567" s="32">
        <v>1</v>
      </c>
      <c r="P4567" s="32">
        <v>590</v>
      </c>
      <c r="R4567" s="32">
        <v>180</v>
      </c>
      <c r="T4567" s="32">
        <v>410</v>
      </c>
    </row>
    <row r="4568" spans="1:20" ht="12.75" hidden="1" x14ac:dyDescent="0.25">
      <c r="B4568" s="32">
        <v>7</v>
      </c>
      <c r="F4568" s="32" t="s">
        <v>164</v>
      </c>
      <c r="J4568" s="32">
        <v>1</v>
      </c>
      <c r="P4568" s="32">
        <v>590</v>
      </c>
      <c r="R4568" s="32">
        <v>180</v>
      </c>
      <c r="T4568" s="32">
        <v>410</v>
      </c>
    </row>
    <row r="4569" spans="1:20" ht="12.75" hidden="1" x14ac:dyDescent="0.25">
      <c r="B4569" s="32">
        <v>8</v>
      </c>
      <c r="F4569" s="32" t="s">
        <v>163</v>
      </c>
      <c r="J4569" s="32">
        <v>4</v>
      </c>
      <c r="P4569" s="32">
        <v>4760</v>
      </c>
      <c r="R4569" s="32">
        <v>180</v>
      </c>
      <c r="T4569" s="32">
        <v>4580</v>
      </c>
    </row>
    <row r="4570" spans="1:20" ht="12.75" hidden="1" x14ac:dyDescent="0.25">
      <c r="B4570" s="32">
        <v>9</v>
      </c>
      <c r="F4570" s="32" t="s">
        <v>162</v>
      </c>
      <c r="J4570" s="32">
        <v>22</v>
      </c>
      <c r="P4570" s="32">
        <v>9460</v>
      </c>
      <c r="R4570" s="32">
        <v>3849</v>
      </c>
      <c r="T4570" s="32">
        <v>5611</v>
      </c>
    </row>
    <row r="4571" spans="1:20" ht="12.75" hidden="1" x14ac:dyDescent="0.25">
      <c r="B4571" s="32">
        <v>10</v>
      </c>
      <c r="F4571" s="32" t="s">
        <v>161</v>
      </c>
      <c r="J4571" s="32">
        <v>3</v>
      </c>
      <c r="P4571" s="32">
        <v>75</v>
      </c>
      <c r="R4571" s="32">
        <v>15</v>
      </c>
      <c r="T4571" s="32">
        <v>60</v>
      </c>
    </row>
    <row r="4572" spans="1:20" ht="12.75" hidden="1" x14ac:dyDescent="0.25">
      <c r="B4572" s="32">
        <v>11</v>
      </c>
      <c r="F4572" s="32" t="s">
        <v>160</v>
      </c>
      <c r="J4572" s="32">
        <v>15</v>
      </c>
      <c r="P4572" s="32">
        <v>4350</v>
      </c>
      <c r="R4572" s="32">
        <v>880</v>
      </c>
      <c r="T4572" s="32">
        <v>3470</v>
      </c>
    </row>
    <row r="4573" spans="1:20" ht="12.75" hidden="1" x14ac:dyDescent="0.25">
      <c r="B4573" s="32">
        <v>12</v>
      </c>
      <c r="F4573" s="32" t="s">
        <v>159</v>
      </c>
      <c r="J4573" s="32">
        <v>572</v>
      </c>
      <c r="P4573" s="32">
        <v>0</v>
      </c>
      <c r="R4573" s="32">
        <v>0</v>
      </c>
      <c r="T4573" s="32">
        <v>0</v>
      </c>
    </row>
    <row r="4574" spans="1:20" ht="12.75" hidden="1" x14ac:dyDescent="0.25">
      <c r="B4574" s="32">
        <v>13</v>
      </c>
      <c r="F4574" s="32" t="s">
        <v>158</v>
      </c>
      <c r="J4574" s="32">
        <v>218</v>
      </c>
      <c r="P4574" s="32">
        <v>119900</v>
      </c>
      <c r="R4574" s="32">
        <v>28062</v>
      </c>
      <c r="T4574" s="32">
        <v>91838</v>
      </c>
    </row>
    <row r="4575" spans="1:20" ht="12.75" hidden="1" x14ac:dyDescent="0.25">
      <c r="B4575" s="32">
        <v>14</v>
      </c>
      <c r="F4575" s="32" t="s">
        <v>157</v>
      </c>
      <c r="J4575" s="32">
        <v>141</v>
      </c>
      <c r="P4575" s="32">
        <v>69090</v>
      </c>
      <c r="R4575" s="32">
        <v>23546</v>
      </c>
      <c r="T4575" s="32">
        <v>45544</v>
      </c>
    </row>
    <row r="4576" spans="1:20" ht="12.75" hidden="1" x14ac:dyDescent="0.25">
      <c r="B4576" s="32">
        <v>15</v>
      </c>
      <c r="F4576" s="32" t="s">
        <v>77</v>
      </c>
      <c r="J4576" s="32">
        <v>566</v>
      </c>
      <c r="P4576" s="32">
        <v>231100</v>
      </c>
      <c r="R4576" s="32">
        <v>231100</v>
      </c>
      <c r="T4576" s="32">
        <v>0</v>
      </c>
    </row>
    <row r="4577" spans="2:20" ht="12.75" hidden="1" x14ac:dyDescent="0.25">
      <c r="B4577" s="32">
        <v>16</v>
      </c>
      <c r="F4577" s="32" t="s">
        <v>156</v>
      </c>
      <c r="J4577" s="32">
        <v>15</v>
      </c>
      <c r="P4577" s="32">
        <v>2850</v>
      </c>
      <c r="R4577" s="32">
        <v>670</v>
      </c>
      <c r="T4577" s="32">
        <v>2180</v>
      </c>
    </row>
    <row r="4578" spans="2:20" ht="12.75" hidden="1" x14ac:dyDescent="0.25">
      <c r="B4578" s="32">
        <v>17</v>
      </c>
      <c r="F4578" s="32" t="s">
        <v>155</v>
      </c>
      <c r="J4578" s="32">
        <v>38</v>
      </c>
      <c r="P4578" s="32">
        <v>9500</v>
      </c>
      <c r="R4578" s="32">
        <v>2658</v>
      </c>
      <c r="T4578" s="32">
        <v>6842</v>
      </c>
    </row>
    <row r="4579" spans="2:20" ht="12.75" hidden="1" x14ac:dyDescent="0.25">
      <c r="B4579" s="32">
        <v>18</v>
      </c>
      <c r="F4579" s="32" t="s">
        <v>154</v>
      </c>
      <c r="J4579" s="32">
        <v>1</v>
      </c>
      <c r="P4579" s="32">
        <v>890</v>
      </c>
      <c r="R4579" s="32">
        <v>89</v>
      </c>
      <c r="T4579" s="32">
        <v>801</v>
      </c>
    </row>
    <row r="4580" spans="2:20" ht="12.75" hidden="1" x14ac:dyDescent="0.25">
      <c r="B4580" s="32">
        <v>19</v>
      </c>
      <c r="F4580" s="32" t="s">
        <v>153</v>
      </c>
      <c r="J4580" s="32">
        <v>3</v>
      </c>
      <c r="P4580" s="32">
        <v>3540</v>
      </c>
      <c r="R4580" s="32">
        <v>0</v>
      </c>
      <c r="T4580" s="32">
        <v>3540</v>
      </c>
    </row>
    <row r="4581" spans="2:20" ht="12.75" hidden="1" x14ac:dyDescent="0.25">
      <c r="B4581" s="32">
        <v>20</v>
      </c>
      <c r="F4581" s="32" t="s">
        <v>152</v>
      </c>
      <c r="J4581" s="32">
        <v>11</v>
      </c>
      <c r="P4581" s="32">
        <v>6490</v>
      </c>
      <c r="R4581" s="32">
        <v>1980</v>
      </c>
      <c r="T4581" s="32">
        <v>4510</v>
      </c>
    </row>
    <row r="4582" spans="2:20" ht="12.75" hidden="1" x14ac:dyDescent="0.25">
      <c r="B4582" s="32">
        <v>21</v>
      </c>
      <c r="F4582" s="32" t="s">
        <v>151</v>
      </c>
      <c r="J4582" s="32">
        <v>7</v>
      </c>
      <c r="P4582" s="32">
        <v>1610</v>
      </c>
      <c r="R4582" s="32">
        <v>370</v>
      </c>
      <c r="T4582" s="32">
        <v>1240</v>
      </c>
    </row>
    <row r="4583" spans="2:20" ht="12.75" hidden="1" x14ac:dyDescent="0.25">
      <c r="B4583" s="32">
        <v>22</v>
      </c>
      <c r="F4583" s="32" t="s">
        <v>150</v>
      </c>
      <c r="J4583" s="32">
        <v>23</v>
      </c>
      <c r="P4583" s="32">
        <v>3910</v>
      </c>
      <c r="R4583" s="32">
        <v>1000</v>
      </c>
      <c r="T4583" s="32">
        <v>2910</v>
      </c>
    </row>
    <row r="4584" spans="2:20" ht="12.75" hidden="1" x14ac:dyDescent="0.25">
      <c r="B4584" s="32">
        <v>23</v>
      </c>
      <c r="F4584" s="32" t="s">
        <v>149</v>
      </c>
      <c r="J4584" s="32">
        <v>36</v>
      </c>
      <c r="P4584" s="32">
        <v>1800</v>
      </c>
      <c r="R4584" s="32">
        <v>340</v>
      </c>
      <c r="T4584" s="32">
        <v>1460</v>
      </c>
    </row>
    <row r="4585" spans="2:20" ht="12.75" hidden="1" x14ac:dyDescent="0.25">
      <c r="B4585" s="32">
        <v>24</v>
      </c>
      <c r="F4585" s="32" t="s">
        <v>148</v>
      </c>
      <c r="J4585" s="32">
        <v>1</v>
      </c>
      <c r="P4585" s="32">
        <v>980</v>
      </c>
      <c r="R4585" s="32">
        <v>0</v>
      </c>
      <c r="T4585" s="32">
        <v>980</v>
      </c>
    </row>
    <row r="4586" spans="2:20" ht="12.75" hidden="1" x14ac:dyDescent="0.25">
      <c r="B4586" s="32">
        <v>25</v>
      </c>
      <c r="F4586" s="32" t="s">
        <v>147</v>
      </c>
      <c r="J4586" s="32">
        <v>9</v>
      </c>
      <c r="P4586" s="32">
        <v>270</v>
      </c>
      <c r="R4586" s="32">
        <v>0</v>
      </c>
      <c r="T4586" s="32">
        <v>270</v>
      </c>
    </row>
    <row r="4587" spans="2:20" ht="12.75" hidden="1" x14ac:dyDescent="0.25">
      <c r="B4587" s="32">
        <v>26</v>
      </c>
      <c r="F4587" s="32" t="s">
        <v>146</v>
      </c>
      <c r="J4587" s="32">
        <v>19</v>
      </c>
      <c r="P4587" s="32">
        <v>950</v>
      </c>
      <c r="R4587" s="32">
        <v>0</v>
      </c>
      <c r="T4587" s="32">
        <v>950</v>
      </c>
    </row>
    <row r="4588" spans="2:20" ht="12.75" hidden="1" x14ac:dyDescent="0.25">
      <c r="B4588" s="32">
        <v>27</v>
      </c>
      <c r="F4588" s="32" t="s">
        <v>145</v>
      </c>
      <c r="J4588" s="32">
        <v>9</v>
      </c>
      <c r="P4588" s="32">
        <v>1350</v>
      </c>
      <c r="R4588" s="32">
        <v>0</v>
      </c>
      <c r="T4588" s="32">
        <v>1350</v>
      </c>
    </row>
    <row r="4589" spans="2:20" ht="12.75" hidden="1" x14ac:dyDescent="0.25">
      <c r="B4589" s="32">
        <v>28</v>
      </c>
      <c r="F4589" s="32" t="s">
        <v>144</v>
      </c>
      <c r="J4589" s="32">
        <v>9</v>
      </c>
      <c r="P4589" s="32">
        <v>2700</v>
      </c>
      <c r="R4589" s="32">
        <v>0</v>
      </c>
      <c r="T4589" s="32">
        <v>2700</v>
      </c>
    </row>
    <row r="4590" spans="2:20" ht="12.75" hidden="1" x14ac:dyDescent="0.25">
      <c r="B4590" s="32">
        <v>29</v>
      </c>
      <c r="F4590" s="32" t="s">
        <v>143</v>
      </c>
      <c r="J4590" s="32">
        <v>1</v>
      </c>
      <c r="P4590" s="32">
        <v>100</v>
      </c>
      <c r="R4590" s="32">
        <v>0</v>
      </c>
      <c r="T4590" s="32">
        <v>100</v>
      </c>
    </row>
    <row r="4591" spans="2:20" ht="12.75" hidden="1" x14ac:dyDescent="0.25">
      <c r="B4591" s="32">
        <v>30</v>
      </c>
      <c r="F4591" s="32" t="s">
        <v>142</v>
      </c>
      <c r="J4591" s="32">
        <v>1</v>
      </c>
      <c r="P4591" s="32">
        <v>350</v>
      </c>
      <c r="R4591" s="32">
        <v>150</v>
      </c>
      <c r="T4591" s="32">
        <v>200</v>
      </c>
    </row>
    <row r="4592" spans="2:20" ht="12.75" hidden="1" x14ac:dyDescent="0.25">
      <c r="B4592" s="32">
        <v>31</v>
      </c>
      <c r="F4592" s="32" t="s">
        <v>75</v>
      </c>
      <c r="J4592" s="32">
        <v>1274</v>
      </c>
      <c r="P4592" s="32">
        <v>3185000</v>
      </c>
      <c r="R4592" s="32">
        <v>3182500</v>
      </c>
      <c r="T4592" s="32">
        <v>2500</v>
      </c>
    </row>
    <row r="4593" spans="2:20" ht="12.75" hidden="1" x14ac:dyDescent="0.25">
      <c r="B4593" s="32">
        <v>32</v>
      </c>
      <c r="F4593" s="32" t="s">
        <v>141</v>
      </c>
      <c r="J4593" s="32">
        <v>8</v>
      </c>
      <c r="P4593" s="32">
        <v>600</v>
      </c>
      <c r="R4593" s="32">
        <v>154</v>
      </c>
      <c r="T4593" s="32">
        <v>446</v>
      </c>
    </row>
    <row r="4594" spans="2:20" ht="12.75" hidden="1" x14ac:dyDescent="0.25">
      <c r="B4594" s="32">
        <v>33</v>
      </c>
      <c r="F4594" s="32" t="s">
        <v>140</v>
      </c>
      <c r="J4594" s="32">
        <v>1</v>
      </c>
      <c r="P4594" s="32">
        <v>290</v>
      </c>
      <c r="R4594" s="32">
        <v>0</v>
      </c>
      <c r="T4594" s="32">
        <v>290</v>
      </c>
    </row>
    <row r="4595" spans="2:20" ht="12.75" hidden="1" x14ac:dyDescent="0.25">
      <c r="B4595" s="32">
        <v>34</v>
      </c>
      <c r="F4595" s="32" t="s">
        <v>139</v>
      </c>
      <c r="J4595" s="32">
        <v>4</v>
      </c>
      <c r="P4595" s="32">
        <v>1080</v>
      </c>
      <c r="R4595" s="32">
        <v>320</v>
      </c>
      <c r="T4595" s="32">
        <v>760</v>
      </c>
    </row>
    <row r="4596" spans="2:20" ht="12.75" hidden="1" x14ac:dyDescent="0.25">
      <c r="B4596" s="32">
        <v>35</v>
      </c>
      <c r="F4596" s="32" t="s">
        <v>138</v>
      </c>
      <c r="J4596" s="32">
        <v>1</v>
      </c>
      <c r="P4596" s="32">
        <v>800</v>
      </c>
      <c r="R4596" s="32">
        <v>450</v>
      </c>
      <c r="T4596" s="32">
        <v>350</v>
      </c>
    </row>
    <row r="4597" spans="2:20" ht="12.75" hidden="1" x14ac:dyDescent="0.25">
      <c r="B4597" s="32">
        <v>36</v>
      </c>
      <c r="F4597" s="32" t="s">
        <v>137</v>
      </c>
      <c r="J4597" s="32">
        <v>1</v>
      </c>
      <c r="P4597" s="32">
        <v>800</v>
      </c>
      <c r="R4597" s="32">
        <v>450</v>
      </c>
      <c r="T4597" s="32">
        <v>350</v>
      </c>
    </row>
    <row r="4598" spans="2:20" ht="12.75" hidden="1" x14ac:dyDescent="0.25">
      <c r="B4598" s="32">
        <v>37</v>
      </c>
      <c r="F4598" s="32" t="s">
        <v>136</v>
      </c>
      <c r="J4598" s="32">
        <v>23</v>
      </c>
      <c r="P4598" s="32">
        <v>19550</v>
      </c>
      <c r="R4598" s="32">
        <v>3412</v>
      </c>
      <c r="T4598" s="32">
        <v>16138</v>
      </c>
    </row>
    <row r="4599" spans="2:20" ht="12.75" hidden="1" x14ac:dyDescent="0.25">
      <c r="B4599" s="32">
        <v>38</v>
      </c>
      <c r="F4599" s="32" t="s">
        <v>74</v>
      </c>
      <c r="J4599" s="32">
        <v>86</v>
      </c>
      <c r="P4599" s="32">
        <v>73100</v>
      </c>
      <c r="R4599" s="32">
        <v>73100</v>
      </c>
      <c r="T4599" s="32">
        <v>0</v>
      </c>
    </row>
    <row r="4600" spans="2:20" ht="12.75" hidden="1" x14ac:dyDescent="0.25">
      <c r="B4600" s="32">
        <v>39</v>
      </c>
      <c r="F4600" s="32" t="s">
        <v>135</v>
      </c>
      <c r="J4600" s="32">
        <v>4</v>
      </c>
      <c r="P4600" s="32">
        <v>3800</v>
      </c>
      <c r="R4600" s="32">
        <v>1120</v>
      </c>
      <c r="T4600" s="32">
        <v>2680</v>
      </c>
    </row>
    <row r="4601" spans="2:20" ht="12.75" hidden="1" x14ac:dyDescent="0.25">
      <c r="B4601" s="32">
        <v>40</v>
      </c>
      <c r="F4601" s="32" t="s">
        <v>134</v>
      </c>
      <c r="J4601" s="32">
        <v>1</v>
      </c>
      <c r="P4601" s="32">
        <v>3700</v>
      </c>
      <c r="R4601" s="32">
        <v>800</v>
      </c>
      <c r="T4601" s="32">
        <v>2900</v>
      </c>
    </row>
    <row r="4602" spans="2:20" ht="12.75" hidden="1" x14ac:dyDescent="0.25">
      <c r="B4602" s="32">
        <v>41</v>
      </c>
      <c r="F4602" s="32" t="s">
        <v>133</v>
      </c>
      <c r="J4602" s="32">
        <v>1</v>
      </c>
      <c r="P4602" s="32">
        <v>1090</v>
      </c>
      <c r="R4602" s="32">
        <v>0</v>
      </c>
      <c r="T4602" s="32">
        <v>1090</v>
      </c>
    </row>
    <row r="4603" spans="2:20" ht="12.75" hidden="1" x14ac:dyDescent="0.25">
      <c r="B4603" s="32">
        <v>42</v>
      </c>
      <c r="F4603" s="32" t="s">
        <v>132</v>
      </c>
      <c r="J4603" s="32">
        <v>6</v>
      </c>
      <c r="P4603" s="32">
        <v>7440</v>
      </c>
      <c r="R4603" s="32">
        <v>2220</v>
      </c>
      <c r="T4603" s="32">
        <v>5220</v>
      </c>
    </row>
    <row r="4604" spans="2:20" ht="12.75" hidden="1" x14ac:dyDescent="0.25">
      <c r="B4604" s="32">
        <v>43</v>
      </c>
      <c r="F4604" s="32" t="s">
        <v>131</v>
      </c>
      <c r="J4604" s="32">
        <v>3</v>
      </c>
      <c r="P4604" s="32">
        <v>11100</v>
      </c>
      <c r="R4604" s="32">
        <v>2400</v>
      </c>
      <c r="T4604" s="32">
        <v>8700</v>
      </c>
    </row>
    <row r="4605" spans="2:20" ht="12.75" hidden="1" x14ac:dyDescent="0.25">
      <c r="B4605" s="32">
        <v>44</v>
      </c>
      <c r="F4605" s="32" t="s">
        <v>130</v>
      </c>
      <c r="J4605" s="32">
        <v>2</v>
      </c>
      <c r="P4605" s="32">
        <v>16000</v>
      </c>
      <c r="R4605" s="32">
        <v>8200</v>
      </c>
      <c r="T4605" s="32">
        <v>7800</v>
      </c>
    </row>
    <row r="4606" spans="2:20" ht="12.75" hidden="1" x14ac:dyDescent="0.25">
      <c r="B4606" s="32">
        <v>45</v>
      </c>
      <c r="F4606" s="32" t="s">
        <v>129</v>
      </c>
      <c r="J4606" s="32">
        <v>1</v>
      </c>
      <c r="P4606" s="32">
        <v>30</v>
      </c>
      <c r="R4606" s="32">
        <v>30</v>
      </c>
      <c r="T4606" s="32">
        <v>0</v>
      </c>
    </row>
    <row r="4607" spans="2:20" ht="12.75" hidden="1" x14ac:dyDescent="0.25">
      <c r="B4607" s="32">
        <v>46</v>
      </c>
      <c r="F4607" s="32" t="s">
        <v>128</v>
      </c>
      <c r="J4607" s="32">
        <v>3</v>
      </c>
      <c r="P4607" s="32">
        <v>3450</v>
      </c>
      <c r="R4607" s="32">
        <v>228</v>
      </c>
      <c r="T4607" s="32">
        <v>3222</v>
      </c>
    </row>
    <row r="4608" spans="2:20" ht="12.75" hidden="1" x14ac:dyDescent="0.25">
      <c r="B4608" s="32">
        <v>47</v>
      </c>
      <c r="F4608" s="32" t="s">
        <v>127</v>
      </c>
      <c r="J4608" s="32">
        <v>44</v>
      </c>
      <c r="P4608" s="32">
        <v>13200</v>
      </c>
      <c r="R4608" s="32">
        <v>3411</v>
      </c>
      <c r="T4608" s="32">
        <v>9789</v>
      </c>
    </row>
    <row r="4609" spans="2:20" ht="12.75" hidden="1" x14ac:dyDescent="0.25">
      <c r="B4609" s="32">
        <v>48</v>
      </c>
      <c r="F4609" s="32" t="s">
        <v>126</v>
      </c>
      <c r="J4609" s="32">
        <v>44</v>
      </c>
      <c r="P4609" s="32">
        <v>8800</v>
      </c>
      <c r="R4609" s="32">
        <v>2310</v>
      </c>
      <c r="T4609" s="32">
        <v>6490</v>
      </c>
    </row>
    <row r="4610" spans="2:20" ht="12.75" hidden="1" x14ac:dyDescent="0.25">
      <c r="B4610" s="32">
        <v>49</v>
      </c>
      <c r="F4610" s="32" t="s">
        <v>125</v>
      </c>
      <c r="J4610" s="32">
        <v>13</v>
      </c>
      <c r="P4610" s="32">
        <v>5200</v>
      </c>
      <c r="R4610" s="32">
        <v>1180</v>
      </c>
      <c r="T4610" s="32">
        <v>4020</v>
      </c>
    </row>
    <row r="4611" spans="2:20" ht="12.75" hidden="1" x14ac:dyDescent="0.25">
      <c r="B4611" s="32">
        <v>50</v>
      </c>
      <c r="F4611" s="32" t="s">
        <v>124</v>
      </c>
      <c r="J4611" s="32">
        <v>11</v>
      </c>
      <c r="P4611" s="32">
        <v>6680</v>
      </c>
      <c r="R4611" s="32">
        <v>1740</v>
      </c>
      <c r="T4611" s="32">
        <v>4940</v>
      </c>
    </row>
    <row r="4612" spans="2:20" ht="12.75" hidden="1" x14ac:dyDescent="0.25">
      <c r="B4612" s="32">
        <v>51</v>
      </c>
      <c r="F4612" s="32" t="s">
        <v>123</v>
      </c>
      <c r="J4612" s="32">
        <v>20</v>
      </c>
      <c r="P4612" s="32">
        <v>15600</v>
      </c>
      <c r="R4612" s="32">
        <v>4487</v>
      </c>
      <c r="T4612" s="32">
        <v>11113</v>
      </c>
    </row>
    <row r="4613" spans="2:20" ht="12.75" hidden="1" x14ac:dyDescent="0.25">
      <c r="B4613" s="32">
        <v>52</v>
      </c>
      <c r="F4613" s="32" t="s">
        <v>122</v>
      </c>
      <c r="J4613" s="32">
        <v>1</v>
      </c>
      <c r="P4613" s="32">
        <v>500</v>
      </c>
      <c r="R4613" s="32">
        <v>150</v>
      </c>
      <c r="T4613" s="32">
        <v>350</v>
      </c>
    </row>
    <row r="4614" spans="2:20" ht="12.75" hidden="1" x14ac:dyDescent="0.25">
      <c r="B4614" s="32">
        <v>53</v>
      </c>
      <c r="F4614" s="32" t="s">
        <v>121</v>
      </c>
      <c r="J4614" s="32">
        <v>1</v>
      </c>
      <c r="P4614" s="32">
        <v>500</v>
      </c>
      <c r="R4614" s="32">
        <v>0</v>
      </c>
      <c r="T4614" s="32">
        <v>500</v>
      </c>
    </row>
    <row r="4615" spans="2:20" ht="12.75" hidden="1" x14ac:dyDescent="0.25">
      <c r="B4615" s="32">
        <v>54</v>
      </c>
      <c r="F4615" s="32" t="s">
        <v>120</v>
      </c>
      <c r="J4615" s="32">
        <v>1</v>
      </c>
      <c r="P4615" s="32">
        <v>350</v>
      </c>
      <c r="R4615" s="32">
        <v>100</v>
      </c>
      <c r="T4615" s="32">
        <v>250</v>
      </c>
    </row>
    <row r="4616" spans="2:20" ht="12.75" hidden="1" x14ac:dyDescent="0.25">
      <c r="B4616" s="32">
        <v>55</v>
      </c>
      <c r="F4616" s="32" t="s">
        <v>119</v>
      </c>
      <c r="J4616" s="32">
        <v>22</v>
      </c>
      <c r="P4616" s="32">
        <v>19580</v>
      </c>
      <c r="R4616" s="32">
        <v>4560</v>
      </c>
      <c r="T4616" s="32">
        <v>15020</v>
      </c>
    </row>
    <row r="4617" spans="2:20" ht="12.75" hidden="1" x14ac:dyDescent="0.25">
      <c r="B4617" s="32">
        <v>56</v>
      </c>
      <c r="F4617" s="32" t="s">
        <v>118</v>
      </c>
      <c r="J4617" s="32">
        <v>160</v>
      </c>
      <c r="P4617" s="32">
        <v>158400</v>
      </c>
      <c r="R4617" s="32">
        <v>46905</v>
      </c>
      <c r="T4617" s="32">
        <v>111495</v>
      </c>
    </row>
    <row r="4618" spans="2:20" ht="12.75" hidden="1" x14ac:dyDescent="0.25">
      <c r="B4618" s="32">
        <v>57</v>
      </c>
      <c r="F4618" s="32" t="s">
        <v>117</v>
      </c>
      <c r="J4618" s="32">
        <v>4</v>
      </c>
      <c r="P4618" s="32">
        <v>3300</v>
      </c>
      <c r="R4618" s="32">
        <v>862</v>
      </c>
      <c r="T4618" s="32">
        <v>2438</v>
      </c>
    </row>
    <row r="4619" spans="2:20" ht="12.75" hidden="1" x14ac:dyDescent="0.25">
      <c r="B4619" s="32">
        <v>58</v>
      </c>
      <c r="F4619" s="32" t="s">
        <v>116</v>
      </c>
      <c r="J4619" s="32">
        <v>1</v>
      </c>
      <c r="P4619" s="32">
        <v>800</v>
      </c>
      <c r="R4619" s="32">
        <v>200</v>
      </c>
      <c r="T4619" s="32">
        <v>600</v>
      </c>
    </row>
    <row r="4620" spans="2:20" ht="12.75" hidden="1" x14ac:dyDescent="0.25">
      <c r="T4620" s="32"/>
    </row>
    <row r="4621" spans="2:20" ht="12.75" hidden="1" x14ac:dyDescent="0.25">
      <c r="B4621" s="32">
        <v>59</v>
      </c>
      <c r="F4621" s="32" t="s">
        <v>115</v>
      </c>
      <c r="J4621" s="32">
        <v>25</v>
      </c>
      <c r="P4621" s="32">
        <v>7250</v>
      </c>
      <c r="R4621" s="32">
        <v>1399</v>
      </c>
      <c r="T4621" s="32">
        <v>5851</v>
      </c>
    </row>
    <row r="4622" spans="2:20" ht="12.75" hidden="1" x14ac:dyDescent="0.25">
      <c r="B4622" s="32">
        <v>60</v>
      </c>
      <c r="F4622" s="32" t="s">
        <v>114</v>
      </c>
      <c r="J4622" s="32">
        <v>1</v>
      </c>
      <c r="P4622" s="32">
        <v>550</v>
      </c>
      <c r="R4622" s="32">
        <v>80</v>
      </c>
      <c r="T4622" s="32">
        <v>470</v>
      </c>
    </row>
    <row r="4623" spans="2:20" ht="12.75" hidden="1" x14ac:dyDescent="0.25">
      <c r="B4623" s="32">
        <v>61</v>
      </c>
      <c r="F4623" s="32" t="s">
        <v>113</v>
      </c>
      <c r="J4623" s="32">
        <v>4</v>
      </c>
      <c r="P4623" s="32">
        <v>360</v>
      </c>
      <c r="R4623" s="32">
        <v>0</v>
      </c>
      <c r="T4623" s="32">
        <v>360</v>
      </c>
    </row>
    <row r="4624" spans="2:20" ht="12.75" hidden="1" x14ac:dyDescent="0.25">
      <c r="T4624" s="32"/>
    </row>
    <row r="4625" spans="2:20" ht="12.75" hidden="1" x14ac:dyDescent="0.25">
      <c r="B4625" s="32">
        <v>62</v>
      </c>
      <c r="F4625" s="32" t="s">
        <v>112</v>
      </c>
      <c r="J4625" s="32">
        <v>3</v>
      </c>
      <c r="P4625" s="32">
        <v>180</v>
      </c>
      <c r="R4625" s="32">
        <v>0</v>
      </c>
      <c r="T4625" s="32">
        <v>180</v>
      </c>
    </row>
    <row r="4626" spans="2:20" ht="12.75" hidden="1" x14ac:dyDescent="0.25">
      <c r="B4626" s="32">
        <v>63</v>
      </c>
      <c r="F4626" s="32" t="s">
        <v>111</v>
      </c>
      <c r="J4626" s="32">
        <v>3</v>
      </c>
      <c r="P4626" s="32">
        <v>1290</v>
      </c>
      <c r="R4626" s="32">
        <v>390</v>
      </c>
      <c r="T4626" s="32">
        <v>900</v>
      </c>
    </row>
    <row r="4627" spans="2:20" ht="12.75" hidden="1" x14ac:dyDescent="0.25">
      <c r="B4627" s="32">
        <v>64</v>
      </c>
      <c r="F4627" s="32" t="s">
        <v>110</v>
      </c>
      <c r="J4627" s="32">
        <v>5</v>
      </c>
      <c r="P4627" s="32">
        <v>5400</v>
      </c>
      <c r="R4627" s="32">
        <v>800</v>
      </c>
      <c r="T4627" s="32">
        <v>4600</v>
      </c>
    </row>
    <row r="4628" spans="2:20" ht="12.75" hidden="1" x14ac:dyDescent="0.25">
      <c r="B4628" s="32">
        <v>65</v>
      </c>
      <c r="F4628" s="32" t="s">
        <v>109</v>
      </c>
      <c r="J4628" s="32">
        <v>1</v>
      </c>
      <c r="P4628" s="32">
        <v>780</v>
      </c>
      <c r="R4628" s="32">
        <v>230</v>
      </c>
      <c r="T4628" s="32">
        <v>550</v>
      </c>
    </row>
    <row r="4629" spans="2:20" ht="12.75" hidden="1" x14ac:dyDescent="0.25">
      <c r="B4629" s="32">
        <v>66</v>
      </c>
      <c r="F4629" s="32" t="s">
        <v>108</v>
      </c>
      <c r="J4629" s="32">
        <v>153</v>
      </c>
      <c r="P4629" s="32">
        <v>15300</v>
      </c>
      <c r="R4629" s="32">
        <v>540</v>
      </c>
      <c r="T4629" s="32">
        <v>14760</v>
      </c>
    </row>
    <row r="4630" spans="2:20" ht="12.75" hidden="1" x14ac:dyDescent="0.25">
      <c r="B4630" s="32">
        <v>67</v>
      </c>
      <c r="F4630" s="32" t="s">
        <v>107</v>
      </c>
      <c r="J4630" s="32">
        <v>50</v>
      </c>
      <c r="P4630" s="32">
        <v>8500</v>
      </c>
      <c r="R4630" s="32">
        <v>2771</v>
      </c>
      <c r="T4630" s="32">
        <v>5729</v>
      </c>
    </row>
    <row r="4631" spans="2:20" ht="12.75" hidden="1" x14ac:dyDescent="0.25">
      <c r="B4631" s="32">
        <v>68</v>
      </c>
      <c r="F4631" s="32" t="s">
        <v>106</v>
      </c>
      <c r="J4631" s="32">
        <v>141</v>
      </c>
      <c r="P4631" s="32">
        <v>14100</v>
      </c>
      <c r="R4631" s="32">
        <v>3265</v>
      </c>
      <c r="T4631" s="32">
        <v>10835</v>
      </c>
    </row>
    <row r="4632" spans="2:20" ht="12.75" hidden="1" x14ac:dyDescent="0.25">
      <c r="B4632" s="32">
        <v>69</v>
      </c>
      <c r="F4632" s="32" t="s">
        <v>105</v>
      </c>
      <c r="J4632" s="32">
        <v>4</v>
      </c>
      <c r="P4632" s="32">
        <v>4600</v>
      </c>
      <c r="R4632" s="32">
        <v>0</v>
      </c>
      <c r="T4632" s="32">
        <v>4600</v>
      </c>
    </row>
    <row r="4633" spans="2:20" ht="12.75" hidden="1" x14ac:dyDescent="0.25">
      <c r="B4633" s="32">
        <v>70</v>
      </c>
      <c r="F4633" s="32" t="s">
        <v>104</v>
      </c>
      <c r="J4633" s="32">
        <v>1</v>
      </c>
      <c r="P4633" s="32">
        <v>330</v>
      </c>
      <c r="R4633" s="32">
        <v>100</v>
      </c>
      <c r="T4633" s="32">
        <v>230</v>
      </c>
    </row>
    <row r="4634" spans="2:20" ht="12.75" hidden="1" x14ac:dyDescent="0.25">
      <c r="B4634" s="32">
        <v>71</v>
      </c>
      <c r="F4634" s="32" t="s">
        <v>103</v>
      </c>
      <c r="J4634" s="32">
        <v>15</v>
      </c>
      <c r="P4634" s="32">
        <v>4950</v>
      </c>
      <c r="R4634" s="32">
        <v>1256</v>
      </c>
      <c r="T4634" s="32">
        <v>3694</v>
      </c>
    </row>
    <row r="4635" spans="2:20" ht="12.75" hidden="1" x14ac:dyDescent="0.25">
      <c r="B4635" s="32">
        <v>72</v>
      </c>
      <c r="F4635" s="32" t="s">
        <v>102</v>
      </c>
      <c r="J4635" s="32">
        <v>3</v>
      </c>
      <c r="P4635" s="32">
        <v>2640</v>
      </c>
      <c r="R4635" s="32">
        <v>130</v>
      </c>
      <c r="T4635" s="32">
        <v>2510</v>
      </c>
    </row>
    <row r="4636" spans="2:20" ht="12.75" hidden="1" x14ac:dyDescent="0.25">
      <c r="B4636" s="32">
        <v>73</v>
      </c>
      <c r="F4636" s="32" t="s">
        <v>101</v>
      </c>
      <c r="J4636" s="32">
        <v>2</v>
      </c>
      <c r="P4636" s="32">
        <v>920</v>
      </c>
      <c r="R4636" s="32">
        <v>140</v>
      </c>
      <c r="T4636" s="32">
        <v>780</v>
      </c>
    </row>
    <row r="4637" spans="2:20" ht="12.75" hidden="1" x14ac:dyDescent="0.25">
      <c r="B4637" s="32">
        <v>74</v>
      </c>
      <c r="F4637" s="32" t="s">
        <v>100</v>
      </c>
      <c r="J4637" s="32">
        <v>3</v>
      </c>
      <c r="P4637" s="32">
        <v>540</v>
      </c>
      <c r="R4637" s="32">
        <v>100</v>
      </c>
      <c r="T4637" s="32">
        <v>440</v>
      </c>
    </row>
    <row r="4638" spans="2:20" ht="12.75" hidden="1" x14ac:dyDescent="0.25">
      <c r="B4638" s="32">
        <v>75</v>
      </c>
      <c r="F4638" s="32" t="s">
        <v>99</v>
      </c>
      <c r="J4638" s="32">
        <v>2</v>
      </c>
      <c r="P4638" s="32">
        <v>1180</v>
      </c>
      <c r="R4638" s="32">
        <v>149</v>
      </c>
      <c r="T4638" s="32">
        <v>1031</v>
      </c>
    </row>
    <row r="4639" spans="2:20" ht="12.75" hidden="1" x14ac:dyDescent="0.25">
      <c r="B4639" s="32">
        <v>76</v>
      </c>
      <c r="F4639" s="32" t="s">
        <v>98</v>
      </c>
      <c r="J4639" s="32">
        <v>3</v>
      </c>
      <c r="P4639" s="32">
        <v>1710</v>
      </c>
      <c r="R4639" s="32">
        <v>228</v>
      </c>
      <c r="T4639" s="32">
        <v>1482</v>
      </c>
    </row>
    <row r="4640" spans="2:20" ht="12.75" hidden="1" x14ac:dyDescent="0.25">
      <c r="B4640" s="32">
        <v>77</v>
      </c>
      <c r="F4640" s="32" t="s">
        <v>97</v>
      </c>
      <c r="J4640" s="32">
        <v>5</v>
      </c>
      <c r="P4640" s="32">
        <v>7950</v>
      </c>
      <c r="R4640" s="32">
        <v>1119</v>
      </c>
      <c r="T4640" s="32">
        <v>6831</v>
      </c>
    </row>
    <row r="4641" spans="2:20" ht="12.75" hidden="1" x14ac:dyDescent="0.25">
      <c r="B4641" s="32">
        <v>78</v>
      </c>
      <c r="F4641" s="32" t="s">
        <v>96</v>
      </c>
      <c r="J4641" s="32">
        <v>1</v>
      </c>
      <c r="P4641" s="32">
        <v>440</v>
      </c>
      <c r="R4641" s="32">
        <v>0</v>
      </c>
      <c r="T4641" s="32">
        <v>440</v>
      </c>
    </row>
    <row r="4642" spans="2:20" ht="12.75" hidden="1" x14ac:dyDescent="0.25">
      <c r="B4642" s="32">
        <v>79</v>
      </c>
      <c r="F4642" s="32" t="s">
        <v>95</v>
      </c>
      <c r="J4642" s="32">
        <v>7</v>
      </c>
      <c r="P4642" s="32">
        <v>2030</v>
      </c>
      <c r="R4642" s="32">
        <v>560</v>
      </c>
      <c r="T4642" s="32">
        <v>1470</v>
      </c>
    </row>
    <row r="4643" spans="2:20" ht="12.75" hidden="1" x14ac:dyDescent="0.25">
      <c r="B4643" s="32">
        <v>80</v>
      </c>
      <c r="F4643" s="32" t="s">
        <v>94</v>
      </c>
      <c r="J4643" s="32">
        <v>1</v>
      </c>
      <c r="P4643" s="32">
        <v>1990</v>
      </c>
      <c r="R4643" s="32">
        <v>300</v>
      </c>
      <c r="T4643" s="32">
        <v>1690</v>
      </c>
    </row>
    <row r="4644" spans="2:20" ht="12.75" hidden="1" x14ac:dyDescent="0.25">
      <c r="B4644" s="32">
        <v>81</v>
      </c>
      <c r="F4644" s="32" t="s">
        <v>93</v>
      </c>
      <c r="J4644" s="32">
        <v>5</v>
      </c>
      <c r="P4644" s="32">
        <v>2950</v>
      </c>
      <c r="R4644" s="32">
        <v>450</v>
      </c>
      <c r="T4644" s="32">
        <v>2500</v>
      </c>
    </row>
    <row r="4645" spans="2:20" ht="12.75" hidden="1" x14ac:dyDescent="0.25">
      <c r="B4645" s="32">
        <v>82</v>
      </c>
      <c r="F4645" s="32" t="s">
        <v>92</v>
      </c>
      <c r="J4645" s="32">
        <v>39</v>
      </c>
      <c r="P4645" s="32">
        <v>20360</v>
      </c>
      <c r="R4645" s="32">
        <v>4640</v>
      </c>
      <c r="T4645" s="32">
        <v>15720</v>
      </c>
    </row>
    <row r="4646" spans="2:20" ht="12.75" hidden="1" x14ac:dyDescent="0.25">
      <c r="B4646" s="32">
        <v>83</v>
      </c>
      <c r="F4646" s="32" t="s">
        <v>91</v>
      </c>
      <c r="J4646" s="32">
        <v>37</v>
      </c>
      <c r="P4646" s="32">
        <v>9250</v>
      </c>
      <c r="R4646" s="32">
        <v>2220</v>
      </c>
      <c r="T4646" s="32">
        <v>7030</v>
      </c>
    </row>
    <row r="4647" spans="2:20" ht="12.75" hidden="1" x14ac:dyDescent="0.25">
      <c r="B4647" s="32">
        <v>84</v>
      </c>
      <c r="F4647" s="32" t="s">
        <v>90</v>
      </c>
      <c r="J4647" s="32">
        <v>17</v>
      </c>
      <c r="P4647" s="32">
        <v>4930</v>
      </c>
      <c r="R4647" s="32">
        <v>1120</v>
      </c>
      <c r="T4647" s="32">
        <v>3810</v>
      </c>
    </row>
    <row r="4648" spans="2:20" ht="12.75" hidden="1" x14ac:dyDescent="0.25">
      <c r="B4648" s="32">
        <v>85</v>
      </c>
      <c r="F4648" s="32" t="s">
        <v>89</v>
      </c>
      <c r="J4648" s="32">
        <v>3</v>
      </c>
      <c r="P4648" s="32">
        <v>2640</v>
      </c>
      <c r="R4648" s="32">
        <v>390</v>
      </c>
      <c r="T4648" s="32">
        <v>2250</v>
      </c>
    </row>
    <row r="4649" spans="2:20" ht="12.75" hidden="1" x14ac:dyDescent="0.25">
      <c r="B4649" s="32">
        <v>86</v>
      </c>
      <c r="F4649" s="32" t="s">
        <v>88</v>
      </c>
      <c r="J4649" s="32">
        <v>105</v>
      </c>
      <c r="P4649" s="32">
        <v>18900</v>
      </c>
      <c r="R4649" s="32">
        <v>4993</v>
      </c>
      <c r="T4649" s="32">
        <v>13907</v>
      </c>
    </row>
    <row r="4650" spans="2:20" ht="12.75" hidden="1" x14ac:dyDescent="0.25">
      <c r="B4650" s="32">
        <v>87</v>
      </c>
      <c r="F4650" s="32" t="s">
        <v>87</v>
      </c>
      <c r="J4650" s="32">
        <v>1</v>
      </c>
      <c r="P4650" s="32">
        <v>290</v>
      </c>
      <c r="R4650" s="32">
        <v>80</v>
      </c>
      <c r="T4650" s="32">
        <v>210</v>
      </c>
    </row>
    <row r="4651" spans="2:20" ht="12.75" hidden="1" x14ac:dyDescent="0.25">
      <c r="B4651" s="32">
        <v>88</v>
      </c>
      <c r="F4651" s="32" t="s">
        <v>86</v>
      </c>
      <c r="J4651" s="32">
        <v>1</v>
      </c>
      <c r="P4651" s="32">
        <v>1140</v>
      </c>
      <c r="R4651" s="32">
        <v>0</v>
      </c>
      <c r="T4651" s="32">
        <v>1140</v>
      </c>
    </row>
    <row r="4652" spans="2:20" ht="12.75" hidden="1" x14ac:dyDescent="0.25">
      <c r="B4652" s="32">
        <v>89</v>
      </c>
      <c r="F4652" s="32" t="s">
        <v>85</v>
      </c>
      <c r="J4652" s="32">
        <v>14</v>
      </c>
      <c r="P4652" s="32">
        <v>29120</v>
      </c>
      <c r="R4652" s="32">
        <v>3990</v>
      </c>
      <c r="T4652" s="32">
        <v>25130</v>
      </c>
    </row>
    <row r="4653" spans="2:20" ht="12.75" hidden="1" x14ac:dyDescent="0.25">
      <c r="B4653" s="32">
        <v>90</v>
      </c>
      <c r="F4653" s="32" t="s">
        <v>84</v>
      </c>
      <c r="J4653" s="32">
        <v>1</v>
      </c>
      <c r="P4653" s="32">
        <v>590</v>
      </c>
      <c r="R4653" s="32">
        <v>180</v>
      </c>
      <c r="T4653" s="32">
        <v>410</v>
      </c>
    </row>
    <row r="4654" spans="2:20" ht="12.75" hidden="1" x14ac:dyDescent="0.25">
      <c r="B4654" s="32">
        <v>91</v>
      </c>
      <c r="F4654" s="32" t="s">
        <v>83</v>
      </c>
      <c r="J4654" s="32">
        <v>1</v>
      </c>
      <c r="P4654" s="32">
        <v>500</v>
      </c>
      <c r="R4654" s="32">
        <v>150</v>
      </c>
      <c r="T4654" s="32">
        <v>350</v>
      </c>
    </row>
    <row r="4655" spans="2:20" ht="12.75" hidden="1" x14ac:dyDescent="0.25">
      <c r="B4655" s="32">
        <v>92</v>
      </c>
      <c r="F4655" s="32" t="s">
        <v>82</v>
      </c>
      <c r="J4655" s="32">
        <v>1</v>
      </c>
      <c r="P4655" s="32">
        <v>290</v>
      </c>
      <c r="R4655" s="32">
        <v>290</v>
      </c>
      <c r="T4655" s="32">
        <v>0</v>
      </c>
    </row>
    <row r="4656" spans="2:20" ht="12.75" hidden="1" x14ac:dyDescent="0.25">
      <c r="B4656" s="32">
        <v>93</v>
      </c>
      <c r="F4656" s="32" t="s">
        <v>81</v>
      </c>
      <c r="J4656" s="32">
        <v>14</v>
      </c>
      <c r="P4656" s="32">
        <v>4060</v>
      </c>
      <c r="R4656" s="32">
        <v>880</v>
      </c>
      <c r="T4656" s="32">
        <v>3180</v>
      </c>
    </row>
    <row r="4657" spans="1:25" ht="12.75" hidden="1" x14ac:dyDescent="0.25">
      <c r="A4657" s="32" t="s">
        <v>80</v>
      </c>
      <c r="K4657" s="32">
        <v>1610</v>
      </c>
      <c r="P4657" s="32">
        <v>3240860</v>
      </c>
      <c r="R4657" s="32">
        <v>3240510</v>
      </c>
      <c r="T4657" s="32">
        <v>350</v>
      </c>
    </row>
    <row r="4658" spans="1:25" ht="12.75" hidden="1" x14ac:dyDescent="0.25">
      <c r="B4658" s="32">
        <v>1</v>
      </c>
      <c r="F4658" s="32" t="s">
        <v>79</v>
      </c>
      <c r="J4658" s="32">
        <v>1</v>
      </c>
      <c r="P4658" s="32">
        <v>500</v>
      </c>
      <c r="R4658" s="32">
        <v>150</v>
      </c>
      <c r="T4658" s="32">
        <v>350</v>
      </c>
    </row>
    <row r="4659" spans="1:25" ht="12.75" hidden="1" x14ac:dyDescent="0.25">
      <c r="B4659" s="32">
        <v>2</v>
      </c>
      <c r="F4659" s="32" t="s">
        <v>78</v>
      </c>
      <c r="J4659" s="32">
        <v>189</v>
      </c>
      <c r="P4659" s="32">
        <v>54810</v>
      </c>
      <c r="R4659" s="32">
        <v>54810</v>
      </c>
      <c r="T4659" s="32">
        <v>0</v>
      </c>
    </row>
    <row r="4660" spans="1:25" ht="12.75" hidden="1" x14ac:dyDescent="0.25">
      <c r="B4660" s="32">
        <v>3</v>
      </c>
      <c r="F4660" s="32" t="s">
        <v>77</v>
      </c>
      <c r="J4660" s="32">
        <v>37</v>
      </c>
      <c r="P4660" s="32">
        <v>14800</v>
      </c>
      <c r="R4660" s="32">
        <v>14800</v>
      </c>
      <c r="T4660" s="32">
        <v>0</v>
      </c>
    </row>
    <row r="4661" spans="1:25" ht="12.75" hidden="1" x14ac:dyDescent="0.25">
      <c r="B4661" s="32">
        <v>4</v>
      </c>
      <c r="F4661" s="32" t="s">
        <v>76</v>
      </c>
      <c r="J4661" s="32">
        <v>148</v>
      </c>
      <c r="P4661" s="32">
        <v>88200</v>
      </c>
      <c r="R4661" s="32">
        <v>88200</v>
      </c>
      <c r="T4661" s="32">
        <v>0</v>
      </c>
    </row>
    <row r="4662" spans="1:25" ht="12.75" hidden="1" x14ac:dyDescent="0.25">
      <c r="B4662" s="32">
        <v>5</v>
      </c>
      <c r="F4662" s="32" t="s">
        <v>75</v>
      </c>
      <c r="J4662" s="32">
        <v>1232</v>
      </c>
      <c r="P4662" s="32">
        <v>3080000</v>
      </c>
      <c r="R4662" s="32">
        <v>3080000</v>
      </c>
      <c r="T4662" s="32">
        <v>0</v>
      </c>
    </row>
    <row r="4663" spans="1:25" ht="12.75" hidden="1" x14ac:dyDescent="0.25">
      <c r="B4663" s="32">
        <v>6</v>
      </c>
      <c r="F4663" s="32" t="s">
        <v>74</v>
      </c>
      <c r="J4663" s="32">
        <v>3</v>
      </c>
      <c r="P4663" s="32">
        <v>2550</v>
      </c>
      <c r="R4663" s="32">
        <v>2550</v>
      </c>
      <c r="T4663" s="32">
        <v>0</v>
      </c>
    </row>
    <row r="4664" spans="1:25" ht="12.75" hidden="1" x14ac:dyDescent="0.25">
      <c r="T4664" s="32"/>
    </row>
    <row r="4665" spans="1:25" ht="12.75" hidden="1" x14ac:dyDescent="0.25">
      <c r="B4665" s="32" t="s">
        <v>73</v>
      </c>
      <c r="P4665" s="32">
        <v>297315900</v>
      </c>
      <c r="R4665" s="32">
        <v>258400282</v>
      </c>
      <c r="T4665" s="32">
        <v>38916383</v>
      </c>
    </row>
    <row r="4666" spans="1:25" ht="12.75" hidden="1" x14ac:dyDescent="0.25">
      <c r="T4666" s="32"/>
    </row>
    <row r="4667" spans="1:25" ht="12.75" hidden="1" x14ac:dyDescent="0.25">
      <c r="T4667" s="32"/>
    </row>
    <row r="4668" spans="1:25" ht="12.75" hidden="1" x14ac:dyDescent="0.25">
      <c r="T4668" s="32"/>
    </row>
    <row r="4669" spans="1:25" ht="12.75" hidden="1" x14ac:dyDescent="0.25">
      <c r="R4669" s="32" t="s">
        <v>72</v>
      </c>
      <c r="T4669" s="32"/>
    </row>
    <row r="4670" spans="1:25" ht="12.75" x14ac:dyDescent="0.25">
      <c r="T4670" s="47"/>
    </row>
    <row r="4672" spans="1:25" x14ac:dyDescent="0.25">
      <c r="O4672" s="46" t="s">
        <v>31</v>
      </c>
      <c r="P4672" s="32">
        <f>T4672/Y4672</f>
        <v>391.4302128929566</v>
      </c>
      <c r="T4672" s="45">
        <f>T1741+T2221+T2974</f>
        <v>7869313</v>
      </c>
      <c r="U4672" s="45">
        <f>U1741+U2221+U2974</f>
        <v>0</v>
      </c>
      <c r="V4672" s="45"/>
      <c r="W4672" s="45">
        <f>W1741+W2221+W2974</f>
        <v>0</v>
      </c>
      <c r="X4672" s="45">
        <f>X1741+X2221+X2974</f>
        <v>0</v>
      </c>
      <c r="Y4672" s="45">
        <f>Y1741+Y2221+Y2974</f>
        <v>20104</v>
      </c>
    </row>
  </sheetData>
  <autoFilter ref="A1:A4669">
    <filterColumn colId="0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Main Center</vt:lpstr>
      <vt:lpstr>Satellite Centers</vt:lpstr>
      <vt:lpstr>Staff Costs</vt:lpstr>
      <vt:lpstr>Reagent_Costing</vt:lpstr>
      <vt:lpstr>Overhead Costs</vt:lpstr>
      <vt:lpstr>Average_charge_3_Main_centers</vt:lpstr>
      <vt:lpstr>Central _support</vt:lpstr>
      <vt:lpstr>Summary_Tables</vt:lpstr>
      <vt:lpstr>Charts_Labs</vt:lpstr>
      <vt:lpstr>Charts_Providers</vt:lpstr>
      <vt:lpstr>Charts_Patients</vt:lpstr>
      <vt:lpstr>Labs</vt:lpstr>
      <vt:lpstr>Providers</vt:lpstr>
      <vt:lpstr>Patients</vt:lpstr>
      <vt:lpstr>Assumptions_charts</vt:lpstr>
      <vt:lpstr>Sheet1</vt:lpstr>
      <vt:lpstr>Sheet3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Ibrahim</dc:creator>
  <cp:lastModifiedBy>Fatima</cp:lastModifiedBy>
  <cp:lastPrinted>2019-03-04T13:30:01Z</cp:lastPrinted>
  <dcterms:created xsi:type="dcterms:W3CDTF">2018-11-28T05:22:18Z</dcterms:created>
  <dcterms:modified xsi:type="dcterms:W3CDTF">2022-11-06T15:11:20Z</dcterms:modified>
</cp:coreProperties>
</file>