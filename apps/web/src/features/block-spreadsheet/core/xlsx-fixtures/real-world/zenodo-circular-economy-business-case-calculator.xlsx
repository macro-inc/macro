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artin.perau/Library/CloudStorage/GoogleDrive-martin.perau@wupperinst.org/Geteilte Ablagen/Abteilung Kreislaufwirtschaft/CE-CSO &amp; CE-ECO/04 – Projekte/04.01 – laufende Projekte/353397_R-Evolve_Arbeitsordner/03_Projektarbeit/03-06_AP 6/T6.2 - Economic Impact/Public-Version-Calculator/"/>
    </mc:Choice>
  </mc:AlternateContent>
  <xr:revisionPtr revIDLastSave="0" documentId="8_{04A47F62-0C52-8D45-ACD5-88770E6BAFD6}" xr6:coauthVersionLast="47" xr6:coauthVersionMax="47" xr10:uidLastSave="{00000000-0000-0000-0000-000000000000}"/>
  <bookViews>
    <workbookView xWindow="29400" yWindow="600" windowWidth="51200" windowHeight="28200" tabRatio="874" xr2:uid="{00000000-000D-0000-FFFF-FFFF00000000}"/>
  </bookViews>
  <sheets>
    <sheet name="Start" sheetId="7" r:id="rId1"/>
    <sheet name="Step 1 - Case Selection" sheetId="1" r:id="rId2"/>
    <sheet name="Step 2.1 - Data Input (General)" sheetId="2" r:id="rId3"/>
    <sheet name="Step 2.2 - Data Input (Revenue)" sheetId="10" r:id="rId4"/>
    <sheet name="Step 2.3 - Data Input (CapEx)" sheetId="11" r:id="rId5"/>
    <sheet name="Step 2.4 - Data Input (OpEx)" sheetId="12" r:id="rId6"/>
    <sheet name="Step 3.1 - Base Case Results" sheetId="5" r:id="rId7"/>
    <sheet name="Step 3.2 - Scenario Analysis" sheetId="16" r:id="rId8"/>
    <sheet name="Calculation (BC)" sheetId="4" r:id="rId9"/>
    <sheet name="Calculation (sI)" sheetId="13" r:id="rId10"/>
    <sheet name="Calculation (sII)" sheetId="14" r:id="rId11"/>
    <sheet name="Calculation (sIII)" sheetId="15" r:id="rId12"/>
    <sheet name="Calculation SA" sheetId="17" r:id="rId13"/>
    <sheet name="Annex" sheetId="8" r:id="rId14"/>
  </sheets>
  <definedNames>
    <definedName name="Additional_Commissioning_Costs">'Step 2.3 - Data Input (CapEx)'!$F$18</definedName>
    <definedName name="Additional_Component_Costs">'Step 2.4 - Data Input (OpEx)'!$F$92</definedName>
    <definedName name="Additional_Ongoing_Property_Costs">'Step 2.4 - Data Input (OpEx)'!$F$33</definedName>
    <definedName name="Additional_Special_Costs">'Step 2.4 - Data Input (OpEx)'!$F$11</definedName>
    <definedName name="Administrative_Overhead">'Step 2.1 - Data Input (General)'!$F$8</definedName>
    <definedName name="Annual_Depreciation">'Step 2.1 - Data Input (General)'!$F$9</definedName>
    <definedName name="Annual_Efficiency_Increase_Automated_Labour">'Step 2.4 - Data Input (OpEx)'!$F$18</definedName>
    <definedName name="Annual_Efficiency_Increase_Backward_Logistics">'Step 2.4 - Data Input (OpEx)'!$F$19</definedName>
    <definedName name="Annual_Efficiency_Increase_Forward_Logistics">'Step 2.4 - Data Input (OpEx)'!$F$20</definedName>
    <definedName name="Annual_Efficiency_Increase_Manual_Labour">'Step 2.4 - Data Input (OpEx)'!$F$17</definedName>
    <definedName name="Annual_Price_Rental_Contract">'Step 2.2 - Data Input (Revenue)'!$F$16</definedName>
    <definedName name="Annual_Price_Trend_Electricity">'Step 2.4 - Data Input (OpEx)'!$F$16</definedName>
    <definedName name="Annual_Price_Trend_Heating">'Step 2.4 - Data Input (OpEx)'!$F$15</definedName>
    <definedName name="Annual_Price_Trend_Virgin_Materials">'Step 2.4 - Data Input (OpEx)'!$F$14</definedName>
    <definedName name="Automated_Labour_Assembly">'Step 2.4 - Data Input (OpEx)'!$F$90</definedName>
    <definedName name="Automated_Labour_Cleaning">'Step 2.4 - Data Input (OpEx)'!$F$79</definedName>
    <definedName name="Automated_Labour_Disassembly">'Step 2.4 - Data Input (OpEx)'!$F$65</definedName>
    <definedName name="Automated_Labour_Dismantling">'Step 2.4 - Data Input (OpEx)'!$F$54</definedName>
    <definedName name="Automated_Labour_Identification___Sorting">'Step 2.4 - Data Input (OpEx)'!$F$59</definedName>
    <definedName name="Automated_Labour_Inspection">'Step 2.4 - Data Input (OpEx)'!$F$70</definedName>
    <definedName name="Automated_Labour_Linear_Production">'Step 2.4 - Data Input (OpEx)'!$F$39</definedName>
    <definedName name="Automated_Labour_Restoring">'Step 2.4 - Data Input (OpEx)'!$F$84</definedName>
    <definedName name="Automated_Labour_Testing">'Step 2.4 - Data Input (OpEx)'!$F$97</definedName>
    <definedName name="Base_Costs_Electricity">'Step 2.4 - Data Input (OpEx)'!$F$26</definedName>
    <definedName name="Base_Costs_Heating">'Step 2.4 - Data Input (OpEx)'!$F$23</definedName>
    <definedName name="Basic_Rent">'Step 2.4 - Data Input (OpEx)'!$F$31</definedName>
    <definedName name="BL_Distance_Core_Acquisition_Site">'Step 2.4 - Data Input (OpEx)'!$F$45</definedName>
    <definedName name="BL_Distance_Customer">'Step 2.4 - Data Input (OpEx)'!$F$44</definedName>
    <definedName name="BL_Flat_Rate">'Step 2.4 - Data Input (OpEx)'!$F$43</definedName>
    <definedName name="BL_KM_Cost">'Step 2.4 - Data Input (OpEx)'!$F$46</definedName>
    <definedName name="BL_Packaging_Cost">'Step 2.4 - Data Input (OpEx)'!$F$47</definedName>
    <definedName name="BL_Shipment_Cost">'Step 2.4 - Data Input (OpEx)'!$F$48</definedName>
    <definedName name="BL_Type">'Step 2.1 - Data Input (General)'!$F$21</definedName>
    <definedName name="Calculator_Code" localSheetId="3">'Step 2.2 - Data Input (Revenue)'!#REF!</definedName>
    <definedName name="Calculator_Code" localSheetId="4">'Step 2.3 - Data Input (CapEx)'!#REF!</definedName>
    <definedName name="Calculator_Code" localSheetId="5">'Step 2.4 - Data Input (OpEx)'!#REF!</definedName>
    <definedName name="Calculator_Code">'Step 2.1 - Data Input (General)'!#REF!</definedName>
    <definedName name="Certification_Costs">'Step 2.4 - Data Input (OpEx)'!$F$98</definedName>
    <definedName name="Commissioning_Costs_Research___Development">'Step 2.3 - Data Input (CapEx)'!$F$15</definedName>
    <definedName name="Commissioning_Time_Administration">'Step 2.3 - Data Input (CapEx)'!$F$16</definedName>
    <definedName name="Commissioning_Time_Production_Staff">'Step 2.3 - Data Input (CapEx)'!$F$17</definedName>
    <definedName name="Consumption_Cost_Electricity">'Step 2.4 - Data Input (OpEx)'!$F$28</definedName>
    <definedName name="Consumption_Cost_Heating">'Step 2.4 - Data Input (OpEx)'!$F$25</definedName>
    <definedName name="Core_Premium">'Step 2.4 - Data Input (OpEx)'!$F$49</definedName>
    <definedName name="Core_Reuse_Rate">'Step 2.1 - Data Input (General)'!$F$24</definedName>
    <definedName name="Corporate_Tax_Rate">'Step 2.1 - Data Input (General)'!$F$6</definedName>
    <definedName name="Debt_Capital">'Step 2.1 - Data Input (General)'!$F$16</definedName>
    <definedName name="Discount_Rate">'Step 2.1 - Data Input (General)'!$F$7</definedName>
    <definedName name="Disposal_Cost_Component">'Step 2.4 - Data Input (OpEx)'!$F$74</definedName>
    <definedName name="Disposal_Cost_Core">'Step 2.4 - Data Input (OpEx)'!$F$60</definedName>
    <definedName name="Disposal_Cost_Linear_Production">'Step 2.4 - Data Input (OpEx)'!$F$37</definedName>
    <definedName name="Energy_Consumption_Electricity">'Step 2.4 - Data Input (OpEx)'!$F$27</definedName>
    <definedName name="Energy_Consumption_Heating">'Step 2.4 - Data Input (OpEx)'!$F$24</definedName>
    <definedName name="FL_Average_Journey_Number">'Step 2.4 - Data Input (OpEx)'!$F$104</definedName>
    <definedName name="FL_Distance_Customer">'Step 2.4 - Data Input (OpEx)'!$F$103</definedName>
    <definedName name="FL_Flat_Rate">'Step 2.4 - Data Input (OpEx)'!$F$102</definedName>
    <definedName name="FL_KM_Cost">'Step 2.4 - Data Input (OpEx)'!$F$105</definedName>
    <definedName name="FL_Packaging_Cost">'Step 2.4 - Data Input (OpEx)'!$F$106</definedName>
    <definedName name="FL_Shipment_Cost">'Step 2.4 - Data Input (OpEx)'!$F$107</definedName>
    <definedName name="FL_Type">'Step 2.1 - Data Input (General)'!$F$22</definedName>
    <definedName name="Hourly_Rate_Administration">'Step 2.4 - Data Input (OpEx)'!$F$7</definedName>
    <definedName name="Hourly_Rate_Machines">'Step 2.4 - Data Input (OpEx)'!$F$8</definedName>
    <definedName name="Hourly_Rate_Production_Staff">'Step 2.4 - Data Input (OpEx)'!$F$6</definedName>
    <definedName name="In_house_Repair">'Step 2.1 - Data Input (General)'!#REF!</definedName>
    <definedName name="Invest_Certificates">'Step 2.3 - Data Input (CapEx)'!$F$10</definedName>
    <definedName name="Invest_Equity_Holdings">'Step 2.3 - Data Input (CapEx)'!$F$12</definedName>
    <definedName name="Invest_Land_Building">'Step 2.3 - Data Input (CapEx)'!$F$6</definedName>
    <definedName name="Invest_Office_Equipment">'Step 2.3 - Data Input (CapEx)'!$F$8</definedName>
    <definedName name="Invest_Patents_Licences">'Step 2.3 - Data Input (CapEx)'!$F$9</definedName>
    <definedName name="Invest_Software">'Step 2.3 - Data Input (CapEx)'!$F$11</definedName>
    <definedName name="Invest_Technical_Equipment_Machinery">'Step 2.3 - Data Input (CapEx)'!$F$7</definedName>
    <definedName name="Loan_Term">'Step 2.1 - Data Input (General)'!$F$17</definedName>
    <definedName name="Manual_Labour_Assembly">'Step 2.4 - Data Input (OpEx)'!$F$89</definedName>
    <definedName name="Manual_Labour_Cleaning">'Step 2.4 - Data Input (OpEx)'!$F$78</definedName>
    <definedName name="Manual_Labour_Disassembly">'Step 2.4 - Data Input (OpEx)'!$F$64</definedName>
    <definedName name="Manual_Labour_Dismantling">'Step 2.4 - Data Input (OpEx)'!$F$53</definedName>
    <definedName name="Manual_Labour_Identification___Sorting">'Step 2.4 - Data Input (OpEx)'!$F$58</definedName>
    <definedName name="Manual_Labour_Inspection">'Step 2.4 - Data Input (OpEx)'!$F$69</definedName>
    <definedName name="Manual_Labour_Linear_Production">'Step 2.4 - Data Input (OpEx)'!$F$38</definedName>
    <definedName name="Manual_Labour_Restoring">'Step 2.4 - Data Input (OpEx)'!$F$83</definedName>
    <definedName name="Manual_Labour_Testing">'Step 2.4 - Data Input (OpEx)'!$F$96</definedName>
    <definedName name="Material_Cost_Linear_Production">'Step 2.4 - Data Input (OpEx)'!$F$36</definedName>
    <definedName name="Material_Cost_Restoring">'Step 2.4 - Data Input (OpEx)'!$F$85</definedName>
    <definedName name="New_Rental_Contracts_Year_1">'Step 2.2 - Data Input (Revenue)'!$F$18</definedName>
    <definedName name="New_Rental_Contracts_Year_2">'Step 2.2 - Data Input (Revenue)'!$F$19</definedName>
    <definedName name="New_Rental_Contracts_Year_3">'Step 2.2 - Data Input (Revenue)'!$F$20</definedName>
    <definedName name="New_Rental_Contracts_Year_4">'Step 2.2 - Data Input (Revenue)'!$F$21</definedName>
    <definedName name="New_Rental_Contracts_Year_5">'Step 2.2 - Data Input (Revenue)'!$F$22</definedName>
    <definedName name="Not_Reusable_Components">'Step 2.4 - Data Input (OpEx)'!$F$71</definedName>
    <definedName name="Output_Core_Material_for_Recycling">'Step 2.4 - Data Input (OpEx)'!$F$9</definedName>
    <definedName name="Price_Material_for_Recycling">'Step 2.2 - Data Input (Revenue)'!$F$7</definedName>
    <definedName name="Price_Product">'Step 2.2 - Data Input (Revenue)'!$F$6</definedName>
    <definedName name="Price_Service">'Step 2.2 - Data Input (Revenue)'!$F$8</definedName>
    <definedName name="Property_Insurance">'Step 2.4 - Data Input (OpEx)'!$F$32</definedName>
    <definedName name="Public_Funding_Annual">'Step 2.1 - Data Input (General)'!$F$13</definedName>
    <definedName name="Public_Funding_Initial">'Step 2.1 - Data Input (General)'!$F$12</definedName>
    <definedName name="Rental_Contract_Duration">'Step 2.2 - Data Input (Revenue)'!$F$17</definedName>
    <definedName name="Required_Input_Cores">'Step 2.1 - Data Input (General)'!$F$23</definedName>
    <definedName name="Reusable_Components">'Step 2.4 - Data Input (OpEx)'!$F$72</definedName>
    <definedName name="Sales_Year_1">'Step 2.2 - Data Input (Revenue)'!$F$9</definedName>
    <definedName name="Sales_Year_2">'Step 2.2 - Data Input (Revenue)'!$F$10</definedName>
    <definedName name="Sales_Year_3">'Step 2.2 - Data Input (Revenue)'!$F$11</definedName>
    <definedName name="Sales_Year_4">'Step 2.2 - Data Input (Revenue)'!$F$12</definedName>
    <definedName name="Sales_Year_5">'Step 2.2 - Data Input (Revenue)'!$F$13</definedName>
    <definedName name="Scrap_Rate">'Step 2.4 - Data Input (OpEx)'!$F$73</definedName>
    <definedName name="Spare_Part_Costs">'Step 2.4 - Data Input (OpEx)'!$F$91</definedName>
    <definedName name="Special_Costs_Assembly">'Step 2.4 - Data Input (OpEx)'!$F$93</definedName>
    <definedName name="Special_Costs_Backward_Logistics">'Step 2.4 - Data Input (OpEx)'!$F$50</definedName>
    <definedName name="Special_Costs_Cleaning">'Step 2.4 - Data Input (OpEx)'!$F$80</definedName>
    <definedName name="Special_Costs_Disassembly">'Step 2.4 - Data Input (OpEx)'!$F$66</definedName>
    <definedName name="Special_Costs_Dismantling">'Step 2.4 - Data Input (OpEx)'!$F$55</definedName>
    <definedName name="Special_Costs_Forward_Logistics">'Step 2.4 - Data Input (OpEx)'!$F$108</definedName>
    <definedName name="Special_Costs_Identification___Sorting">'Step 2.4 - Data Input (OpEx)'!$F$61</definedName>
    <definedName name="Special_Costs_Inspection">'Step 2.4 - Data Input (OpEx)'!$F$75</definedName>
    <definedName name="Special_Costs_Linear_Production">'Step 2.4 - Data Input (OpEx)'!$F$40</definedName>
    <definedName name="Special_Costs_Restoring">'Step 2.4 - Data Input (OpEx)'!$F$86</definedName>
    <definedName name="Special_Costs_Testing">'Step 2.4 - Data Input (OpEx)'!$F$99</definedName>
    <definedName name="Total_Cost_Rental_Product">'Step 2.4 - Data Input (OpEx)'!$F$10</definedName>
    <definedName name="Yearly_Interest_Cost">'Step 2.1 - Data Input (General)'!$F$18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6" roundtripDataChecksum="il6e/zegy/+Xvu44s8xHuBKGpfYYtqlaWkEg4njwqoE="/>
    </ext>
  </extLst>
</workbook>
</file>

<file path=xl/calcChain.xml><?xml version="1.0" encoding="utf-8"?>
<calcChain xmlns="http://schemas.openxmlformats.org/spreadsheetml/2006/main">
  <c r="L52" i="15" l="1"/>
  <c r="K52" i="15"/>
  <c r="J52" i="15"/>
  <c r="I52" i="15"/>
  <c r="H52" i="15"/>
  <c r="L52" i="14"/>
  <c r="L51" i="14"/>
  <c r="K52" i="14"/>
  <c r="J52" i="14"/>
  <c r="J51" i="14"/>
  <c r="I52" i="14"/>
  <c r="H52" i="14"/>
  <c r="H51" i="14"/>
  <c r="F9" i="14"/>
  <c r="L52" i="13"/>
  <c r="K52" i="13"/>
  <c r="J52" i="13"/>
  <c r="I52" i="13"/>
  <c r="H52" i="13"/>
  <c r="I24" i="2"/>
  <c r="H51" i="15" s="1"/>
  <c r="H24" i="2"/>
  <c r="I51" i="14" s="1"/>
  <c r="G24" i="2"/>
  <c r="L51" i="13" s="1"/>
  <c r="F24" i="2"/>
  <c r="J51" i="4" s="1"/>
  <c r="I23" i="2"/>
  <c r="I49" i="15" s="1"/>
  <c r="H23" i="2"/>
  <c r="J50" i="14" s="1"/>
  <c r="G23" i="2"/>
  <c r="H50" i="13" s="1"/>
  <c r="F23" i="2"/>
  <c r="L50" i="4"/>
  <c r="M52" i="4"/>
  <c r="L52" i="4"/>
  <c r="K52" i="4"/>
  <c r="J52" i="4"/>
  <c r="I52" i="4"/>
  <c r="I53" i="4"/>
  <c r="M53" i="4" a="1"/>
  <c r="M53" i="4" s="1"/>
  <c r="L53" i="4" a="1"/>
  <c r="L53" i="4" s="1"/>
  <c r="K53" i="4" a="1"/>
  <c r="K53" i="4" s="1"/>
  <c r="J53" i="4" a="1"/>
  <c r="J53" i="4" s="1"/>
  <c r="F21" i="2" a="1"/>
  <c r="F21" i="2" s="1"/>
  <c r="F22" i="2" a="1"/>
  <c r="F22" i="2" s="1"/>
  <c r="G20" i="15"/>
  <c r="G20" i="14"/>
  <c r="G20" i="13"/>
  <c r="M49" i="4" l="1"/>
  <c r="K49" i="13"/>
  <c r="L49" i="13"/>
  <c r="J50" i="13"/>
  <c r="J84" i="13" s="1"/>
  <c r="I50" i="4"/>
  <c r="K49" i="4"/>
  <c r="I50" i="13"/>
  <c r="J50" i="4"/>
  <c r="J96" i="4" s="1"/>
  <c r="K50" i="4"/>
  <c r="K96" i="4" s="1"/>
  <c r="M50" i="4"/>
  <c r="J50" i="15"/>
  <c r="I49" i="13"/>
  <c r="J49" i="13"/>
  <c r="H49" i="15"/>
  <c r="H50" i="15"/>
  <c r="H84" i="15" s="1"/>
  <c r="K50" i="13"/>
  <c r="K95" i="13" s="1"/>
  <c r="L49" i="14"/>
  <c r="I50" i="15"/>
  <c r="L49" i="15"/>
  <c r="H50" i="14"/>
  <c r="H90" i="14" s="1"/>
  <c r="K49" i="15"/>
  <c r="I49" i="14"/>
  <c r="K50" i="14"/>
  <c r="K91" i="14" s="1"/>
  <c r="K50" i="15"/>
  <c r="I50" i="14"/>
  <c r="I94" i="14" s="1"/>
  <c r="L50" i="13"/>
  <c r="L85" i="13" s="1"/>
  <c r="J49" i="14"/>
  <c r="L50" i="14"/>
  <c r="L95" i="14" s="1"/>
  <c r="L50" i="15"/>
  <c r="L95" i="15" s="1"/>
  <c r="K49" i="14"/>
  <c r="L49" i="4"/>
  <c r="H49" i="13"/>
  <c r="H49" i="14"/>
  <c r="J49" i="15"/>
  <c r="I51" i="4"/>
  <c r="K51" i="4"/>
  <c r="K51" i="14"/>
  <c r="L51" i="4"/>
  <c r="M51" i="4"/>
  <c r="I51" i="15"/>
  <c r="K51" i="15"/>
  <c r="H51" i="13"/>
  <c r="I51" i="13"/>
  <c r="J51" i="13"/>
  <c r="K51" i="13"/>
  <c r="J51" i="15"/>
  <c r="L51" i="15"/>
  <c r="I49" i="4"/>
  <c r="J49" i="4"/>
  <c r="V4" i="16"/>
  <c r="G4" i="16"/>
  <c r="Q2" i="16"/>
  <c r="L140" i="15"/>
  <c r="K140" i="15"/>
  <c r="J140" i="15"/>
  <c r="I140" i="15"/>
  <c r="H140" i="15"/>
  <c r="L119" i="15"/>
  <c r="K119" i="15"/>
  <c r="J119" i="15"/>
  <c r="I119" i="15"/>
  <c r="H119" i="15"/>
  <c r="L118" i="15"/>
  <c r="K118" i="15"/>
  <c r="J118" i="15"/>
  <c r="I118" i="15"/>
  <c r="H118" i="15"/>
  <c r="L15" i="15"/>
  <c r="L13" i="15" s="1"/>
  <c r="K15" i="15"/>
  <c r="K13" i="15" s="1"/>
  <c r="J15" i="15"/>
  <c r="J13" i="15" s="1"/>
  <c r="I15" i="15"/>
  <c r="I13" i="15" s="1"/>
  <c r="H15" i="15"/>
  <c r="H13" i="15" s="1"/>
  <c r="G15" i="15"/>
  <c r="G14" i="15"/>
  <c r="F14" i="15" s="1"/>
  <c r="L143" i="15"/>
  <c r="K143" i="15"/>
  <c r="J143" i="15"/>
  <c r="I143" i="15"/>
  <c r="H143" i="15"/>
  <c r="L113" i="15"/>
  <c r="K113" i="15"/>
  <c r="J113" i="15"/>
  <c r="I113" i="15"/>
  <c r="H113" i="15"/>
  <c r="L109" i="15"/>
  <c r="K109" i="15"/>
  <c r="J109" i="15"/>
  <c r="I109" i="15"/>
  <c r="H109" i="15"/>
  <c r="L106" i="15"/>
  <c r="K106" i="15"/>
  <c r="J106" i="15"/>
  <c r="I106" i="15"/>
  <c r="H106" i="15"/>
  <c r="L105" i="15"/>
  <c r="K105" i="15"/>
  <c r="J105" i="15"/>
  <c r="I105" i="15"/>
  <c r="H105" i="15"/>
  <c r="L104" i="15"/>
  <c r="K104" i="15"/>
  <c r="J104" i="15"/>
  <c r="I104" i="15"/>
  <c r="H104" i="15"/>
  <c r="L101" i="15"/>
  <c r="K101" i="15"/>
  <c r="J101" i="15"/>
  <c r="I101" i="15"/>
  <c r="H101" i="15"/>
  <c r="L100" i="15"/>
  <c r="K100" i="15"/>
  <c r="J100" i="15"/>
  <c r="I100" i="15"/>
  <c r="H100" i="15"/>
  <c r="L99" i="15"/>
  <c r="K99" i="15"/>
  <c r="J99" i="15"/>
  <c r="I99" i="15"/>
  <c r="H99" i="15"/>
  <c r="K91" i="15"/>
  <c r="J96" i="15"/>
  <c r="I94" i="15"/>
  <c r="L45" i="15"/>
  <c r="K45" i="15"/>
  <c r="J45" i="15"/>
  <c r="I45" i="15"/>
  <c r="H45" i="15"/>
  <c r="L44" i="15"/>
  <c r="K44" i="15"/>
  <c r="J44" i="15"/>
  <c r="I44" i="15"/>
  <c r="H44" i="15"/>
  <c r="L43" i="15"/>
  <c r="K43" i="15"/>
  <c r="J43" i="15"/>
  <c r="I43" i="15"/>
  <c r="H43" i="15"/>
  <c r="L42" i="15"/>
  <c r="K42" i="15"/>
  <c r="J42" i="15"/>
  <c r="I42" i="15"/>
  <c r="H42" i="15"/>
  <c r="L39" i="15"/>
  <c r="K39" i="15"/>
  <c r="J39" i="15"/>
  <c r="I39" i="15"/>
  <c r="H39" i="15"/>
  <c r="L38" i="15"/>
  <c r="K38" i="15"/>
  <c r="J38" i="15"/>
  <c r="I38" i="15"/>
  <c r="H38" i="15"/>
  <c r="L35" i="15"/>
  <c r="K35" i="15"/>
  <c r="J35" i="15"/>
  <c r="I35" i="15"/>
  <c r="H35" i="15"/>
  <c r="G26" i="15"/>
  <c r="G25" i="15"/>
  <c r="F25" i="15" s="1"/>
  <c r="G28" i="15"/>
  <c r="F28" i="15" s="1"/>
  <c r="G27" i="15"/>
  <c r="F27" i="15" s="1"/>
  <c r="G22" i="15"/>
  <c r="F22" i="15" s="1"/>
  <c r="G21" i="15"/>
  <c r="F20" i="15"/>
  <c r="L53" i="15" a="1"/>
  <c r="L53" i="15" s="1"/>
  <c r="K53" i="15" a="1"/>
  <c r="K53" i="15" s="1"/>
  <c r="J53" i="15" a="1"/>
  <c r="J53" i="15" s="1"/>
  <c r="I53" i="15" a="1"/>
  <c r="I53" i="15" s="1"/>
  <c r="H53" i="15"/>
  <c r="M11" i="15" a="1"/>
  <c r="M11" i="15" s="1"/>
  <c r="F11" i="15" s="1"/>
  <c r="L10" i="15" a="1"/>
  <c r="L10" i="15" s="1"/>
  <c r="L9" i="15" s="1"/>
  <c r="K10" i="15" a="1"/>
  <c r="K10" i="15" s="1"/>
  <c r="K9" i="15" s="1"/>
  <c r="J10" i="15" a="1"/>
  <c r="J10" i="15" s="1"/>
  <c r="J9" i="15" s="1"/>
  <c r="I10" i="15"/>
  <c r="I9" i="15" s="1"/>
  <c r="H10" i="15"/>
  <c r="H9" i="15" s="1"/>
  <c r="L8" i="15"/>
  <c r="K8" i="15"/>
  <c r="J8" i="15"/>
  <c r="I8" i="15"/>
  <c r="H8" i="15"/>
  <c r="L7" i="15"/>
  <c r="K7" i="15"/>
  <c r="J7" i="15"/>
  <c r="I7" i="15"/>
  <c r="H7" i="15"/>
  <c r="L6" i="15"/>
  <c r="K6" i="15"/>
  <c r="J6" i="15"/>
  <c r="I6" i="15"/>
  <c r="H6" i="15"/>
  <c r="G135" i="15"/>
  <c r="F67" i="15"/>
  <c r="L140" i="14"/>
  <c r="K140" i="14"/>
  <c r="J140" i="14"/>
  <c r="I140" i="14"/>
  <c r="H140" i="14"/>
  <c r="L119" i="14"/>
  <c r="K119" i="14"/>
  <c r="J119" i="14"/>
  <c r="I119" i="14"/>
  <c r="H119" i="14"/>
  <c r="L118" i="14"/>
  <c r="K118" i="14"/>
  <c r="J118" i="14"/>
  <c r="I118" i="14"/>
  <c r="H118" i="14"/>
  <c r="L15" i="14"/>
  <c r="L13" i="14" s="1"/>
  <c r="K15" i="14"/>
  <c r="K13" i="14" s="1"/>
  <c r="J15" i="14"/>
  <c r="J13" i="14" s="1"/>
  <c r="I15" i="14"/>
  <c r="I13" i="14" s="1"/>
  <c r="H15" i="14"/>
  <c r="H13" i="14" s="1"/>
  <c r="G15" i="14"/>
  <c r="G14" i="14"/>
  <c r="L143" i="14"/>
  <c r="K143" i="14"/>
  <c r="J143" i="14"/>
  <c r="I143" i="14"/>
  <c r="H143" i="14"/>
  <c r="L113" i="14"/>
  <c r="K113" i="14"/>
  <c r="J113" i="14"/>
  <c r="I113" i="14"/>
  <c r="H113" i="14"/>
  <c r="L109" i="14"/>
  <c r="K109" i="14"/>
  <c r="J109" i="14"/>
  <c r="I109" i="14"/>
  <c r="H109" i="14"/>
  <c r="L106" i="14"/>
  <c r="K106" i="14"/>
  <c r="J106" i="14"/>
  <c r="I106" i="14"/>
  <c r="H106" i="14"/>
  <c r="L105" i="14"/>
  <c r="K105" i="14"/>
  <c r="J105" i="14"/>
  <c r="I105" i="14"/>
  <c r="H105" i="14"/>
  <c r="L104" i="14"/>
  <c r="K104" i="14"/>
  <c r="J104" i="14"/>
  <c r="I104" i="14"/>
  <c r="H104" i="14"/>
  <c r="L101" i="14"/>
  <c r="K101" i="14"/>
  <c r="J101" i="14"/>
  <c r="I101" i="14"/>
  <c r="H101" i="14"/>
  <c r="L100" i="14"/>
  <c r="K100" i="14"/>
  <c r="J100" i="14"/>
  <c r="I100" i="14"/>
  <c r="H100" i="14"/>
  <c r="L99" i="14"/>
  <c r="K99" i="14"/>
  <c r="J99" i="14"/>
  <c r="I99" i="14"/>
  <c r="H99" i="14"/>
  <c r="J85" i="14"/>
  <c r="L45" i="14"/>
  <c r="K45" i="14"/>
  <c r="J45" i="14"/>
  <c r="I45" i="14"/>
  <c r="H45" i="14"/>
  <c r="L44" i="14"/>
  <c r="K44" i="14"/>
  <c r="J44" i="14"/>
  <c r="I44" i="14"/>
  <c r="H44" i="14"/>
  <c r="L43" i="14"/>
  <c r="K43" i="14"/>
  <c r="J43" i="14"/>
  <c r="I43" i="14"/>
  <c r="H43" i="14"/>
  <c r="L42" i="14"/>
  <c r="K42" i="14"/>
  <c r="J42" i="14"/>
  <c r="I42" i="14"/>
  <c r="H42" i="14"/>
  <c r="L39" i="14"/>
  <c r="K39" i="14"/>
  <c r="J39" i="14"/>
  <c r="I39" i="14"/>
  <c r="H39" i="14"/>
  <c r="L38" i="14"/>
  <c r="K38" i="14"/>
  <c r="J38" i="14"/>
  <c r="I38" i="14"/>
  <c r="H38" i="14"/>
  <c r="L35" i="14"/>
  <c r="K35" i="14"/>
  <c r="J35" i="14"/>
  <c r="I35" i="14"/>
  <c r="H35" i="14"/>
  <c r="G26" i="14"/>
  <c r="G25" i="14"/>
  <c r="F25" i="14" s="1"/>
  <c r="G28" i="14"/>
  <c r="F28" i="14" s="1"/>
  <c r="G27" i="14"/>
  <c r="F27" i="14" s="1"/>
  <c r="G22" i="14"/>
  <c r="F22" i="14" s="1"/>
  <c r="G21" i="14"/>
  <c r="F20" i="14"/>
  <c r="L53" i="14" a="1"/>
  <c r="L53" i="14" s="1"/>
  <c r="K53" i="14" a="1"/>
  <c r="K53" i="14" s="1"/>
  <c r="J53" i="14" a="1"/>
  <c r="J53" i="14" s="1"/>
  <c r="I53" i="14" a="1"/>
  <c r="I53" i="14" s="1"/>
  <c r="H53" i="14"/>
  <c r="M11" i="14" a="1"/>
  <c r="M11" i="14" s="1"/>
  <c r="F11" i="14" s="1"/>
  <c r="L10" i="14" a="1"/>
  <c r="L10" i="14" s="1"/>
  <c r="L9" i="14" s="1"/>
  <c r="K10" i="14" a="1"/>
  <c r="K10" i="14" s="1"/>
  <c r="K9" i="14" s="1"/>
  <c r="J10" i="14" a="1"/>
  <c r="J10" i="14" s="1"/>
  <c r="J9" i="14" s="1"/>
  <c r="I10" i="14"/>
  <c r="I9" i="14" s="1"/>
  <c r="H10" i="14"/>
  <c r="H9" i="14" s="1"/>
  <c r="L8" i="14"/>
  <c r="K8" i="14"/>
  <c r="J8" i="14"/>
  <c r="I8" i="14"/>
  <c r="H8" i="14"/>
  <c r="L7" i="14"/>
  <c r="K7" i="14"/>
  <c r="J7" i="14"/>
  <c r="I7" i="14"/>
  <c r="H7" i="14"/>
  <c r="L6" i="14"/>
  <c r="K6" i="14"/>
  <c r="J6" i="14"/>
  <c r="I6" i="14"/>
  <c r="H6" i="14"/>
  <c r="G135" i="14"/>
  <c r="F67" i="14"/>
  <c r="L15" i="13"/>
  <c r="L13" i="13" s="1"/>
  <c r="K15" i="13"/>
  <c r="K13" i="13" s="1"/>
  <c r="J15" i="13"/>
  <c r="J13" i="13" s="1"/>
  <c r="I15" i="13"/>
  <c r="I13" i="13" s="1"/>
  <c r="H15" i="13"/>
  <c r="H13" i="13" s="1"/>
  <c r="G15" i="13"/>
  <c r="L143" i="13"/>
  <c r="K143" i="13"/>
  <c r="J143" i="13"/>
  <c r="I143" i="13"/>
  <c r="H143" i="13"/>
  <c r="L140" i="13"/>
  <c r="K140" i="13"/>
  <c r="J140" i="13"/>
  <c r="I140" i="13"/>
  <c r="H140" i="13"/>
  <c r="L119" i="13"/>
  <c r="K119" i="13"/>
  <c r="J119" i="13"/>
  <c r="I119" i="13"/>
  <c r="H119" i="13"/>
  <c r="L118" i="13"/>
  <c r="K118" i="13"/>
  <c r="J118" i="13"/>
  <c r="I118" i="13"/>
  <c r="H118" i="13"/>
  <c r="L113" i="13"/>
  <c r="K113" i="13"/>
  <c r="J113" i="13"/>
  <c r="I113" i="13"/>
  <c r="L109" i="13"/>
  <c r="K109" i="13"/>
  <c r="J109" i="13"/>
  <c r="I109" i="13"/>
  <c r="H113" i="13"/>
  <c r="H109" i="13"/>
  <c r="L106" i="13"/>
  <c r="K106" i="13"/>
  <c r="J106" i="13"/>
  <c r="I106" i="13"/>
  <c r="L105" i="13"/>
  <c r="K105" i="13"/>
  <c r="J105" i="13"/>
  <c r="I105" i="13"/>
  <c r="L104" i="13"/>
  <c r="K104" i="13"/>
  <c r="J104" i="13"/>
  <c r="I104" i="13"/>
  <c r="H106" i="13"/>
  <c r="H105" i="13"/>
  <c r="H104" i="13"/>
  <c r="L101" i="13"/>
  <c r="K101" i="13"/>
  <c r="J101" i="13"/>
  <c r="I101" i="13"/>
  <c r="L100" i="13"/>
  <c r="K100" i="13"/>
  <c r="J100" i="13"/>
  <c r="I100" i="13"/>
  <c r="L99" i="13"/>
  <c r="K99" i="13"/>
  <c r="J99" i="13"/>
  <c r="I99" i="13"/>
  <c r="H101" i="13"/>
  <c r="H100" i="13"/>
  <c r="H99" i="13"/>
  <c r="H95" i="13"/>
  <c r="L45" i="13"/>
  <c r="K45" i="13"/>
  <c r="J45" i="13"/>
  <c r="I45" i="13"/>
  <c r="H45" i="13"/>
  <c r="L44" i="13"/>
  <c r="K44" i="13"/>
  <c r="J44" i="13"/>
  <c r="I44" i="13"/>
  <c r="H44" i="13"/>
  <c r="L43" i="13"/>
  <c r="K43" i="13"/>
  <c r="J43" i="13"/>
  <c r="I43" i="13"/>
  <c r="H43" i="13"/>
  <c r="L42" i="13"/>
  <c r="K42" i="13"/>
  <c r="J42" i="13"/>
  <c r="I42" i="13"/>
  <c r="H42" i="13"/>
  <c r="L39" i="13"/>
  <c r="K39" i="13"/>
  <c r="J39" i="13"/>
  <c r="I39" i="13"/>
  <c r="H39" i="13"/>
  <c r="L38" i="13"/>
  <c r="K38" i="13"/>
  <c r="J38" i="13"/>
  <c r="I38" i="13"/>
  <c r="H38" i="13"/>
  <c r="L35" i="13"/>
  <c r="K35" i="13"/>
  <c r="J35" i="13"/>
  <c r="I35" i="13"/>
  <c r="H35" i="13"/>
  <c r="G28" i="13"/>
  <c r="F28" i="13" s="1"/>
  <c r="G27" i="13"/>
  <c r="F27" i="13" s="1"/>
  <c r="G26" i="13"/>
  <c r="F26" i="13" s="1"/>
  <c r="G25" i="13"/>
  <c r="F25" i="13" s="1"/>
  <c r="G22" i="13"/>
  <c r="F22" i="13" s="1"/>
  <c r="G21" i="13"/>
  <c r="F21" i="13" s="1"/>
  <c r="F20" i="13"/>
  <c r="G14" i="13"/>
  <c r="L53" i="13" a="1"/>
  <c r="L53" i="13" s="1"/>
  <c r="K53" i="13" a="1"/>
  <c r="K53" i="13" s="1"/>
  <c r="J53" i="13" a="1"/>
  <c r="J53" i="13" s="1"/>
  <c r="I53" i="13" a="1"/>
  <c r="I53" i="13" s="1"/>
  <c r="H53" i="13"/>
  <c r="H62" i="13" s="1"/>
  <c r="M11" i="13" a="1"/>
  <c r="M11" i="13" s="1"/>
  <c r="F11" i="13" s="1"/>
  <c r="L10" i="13" a="1"/>
  <c r="L10" i="13" s="1"/>
  <c r="L9" i="13" s="1"/>
  <c r="K10" i="13" a="1"/>
  <c r="K10" i="13" s="1"/>
  <c r="K9" i="13" s="1"/>
  <c r="J10" i="13" a="1"/>
  <c r="J10" i="13" s="1"/>
  <c r="J9" i="13" s="1"/>
  <c r="I10" i="13"/>
  <c r="I9" i="13" s="1"/>
  <c r="H10" i="13"/>
  <c r="H9" i="13" s="1"/>
  <c r="L8" i="13"/>
  <c r="L6" i="13"/>
  <c r="K8" i="13"/>
  <c r="K6" i="13"/>
  <c r="J8" i="13"/>
  <c r="J6" i="13"/>
  <c r="I8" i="13"/>
  <c r="I7" i="13"/>
  <c r="L7" i="13"/>
  <c r="K7" i="13"/>
  <c r="J7" i="13"/>
  <c r="I6" i="13"/>
  <c r="H8" i="13"/>
  <c r="H7" i="13"/>
  <c r="H6" i="13"/>
  <c r="G135" i="13"/>
  <c r="F67" i="13"/>
  <c r="M142" i="4"/>
  <c r="L142" i="4"/>
  <c r="K142" i="4"/>
  <c r="J142" i="4"/>
  <c r="I142" i="4"/>
  <c r="M118" i="4"/>
  <c r="L118" i="4"/>
  <c r="K118" i="4"/>
  <c r="J118" i="4"/>
  <c r="I118" i="4"/>
  <c r="M112" i="4"/>
  <c r="AH15" i="5"/>
  <c r="M106" i="4"/>
  <c r="L106" i="4"/>
  <c r="K106" i="4"/>
  <c r="J106" i="4"/>
  <c r="I106" i="4"/>
  <c r="M109" i="4"/>
  <c r="L109" i="4"/>
  <c r="K109" i="4"/>
  <c r="J109" i="4"/>
  <c r="I109" i="4"/>
  <c r="M101" i="4"/>
  <c r="L101" i="4"/>
  <c r="K101" i="4"/>
  <c r="J101" i="4"/>
  <c r="I101" i="4"/>
  <c r="M113" i="4"/>
  <c r="L113" i="4"/>
  <c r="K113" i="4"/>
  <c r="J113" i="4"/>
  <c r="I113" i="4"/>
  <c r="M96" i="4"/>
  <c r="L96" i="4"/>
  <c r="I96" i="4"/>
  <c r="J44" i="4"/>
  <c r="M45" i="4"/>
  <c r="M44" i="4"/>
  <c r="L45" i="4"/>
  <c r="L44" i="4"/>
  <c r="K45" i="4"/>
  <c r="K44" i="4"/>
  <c r="J45" i="4"/>
  <c r="I45" i="4"/>
  <c r="I44" i="4"/>
  <c r="M43" i="4"/>
  <c r="L43" i="4"/>
  <c r="K43" i="4"/>
  <c r="J43" i="4"/>
  <c r="I43" i="4"/>
  <c r="M42" i="4"/>
  <c r="L42" i="4"/>
  <c r="K42" i="4"/>
  <c r="J42" i="4"/>
  <c r="I42" i="4"/>
  <c r="M105" i="4"/>
  <c r="M104" i="4"/>
  <c r="L105" i="4"/>
  <c r="L104" i="4"/>
  <c r="K105" i="4"/>
  <c r="K104" i="4"/>
  <c r="J105" i="4"/>
  <c r="J104" i="4"/>
  <c r="I105" i="4"/>
  <c r="I104" i="4"/>
  <c r="M100" i="4"/>
  <c r="L100" i="4"/>
  <c r="K100" i="4"/>
  <c r="J100" i="4"/>
  <c r="I100" i="4"/>
  <c r="M99" i="4"/>
  <c r="L99" i="4"/>
  <c r="K99" i="4"/>
  <c r="J99" i="4"/>
  <c r="I99" i="4"/>
  <c r="M8" i="4"/>
  <c r="L8" i="4"/>
  <c r="K8" i="4"/>
  <c r="J8" i="4"/>
  <c r="I8" i="4"/>
  <c r="M7" i="4"/>
  <c r="L7" i="4"/>
  <c r="K7" i="4"/>
  <c r="J7" i="4"/>
  <c r="I7" i="4"/>
  <c r="M6" i="4"/>
  <c r="L6" i="4"/>
  <c r="K6" i="4"/>
  <c r="J6" i="4"/>
  <c r="I6" i="4"/>
  <c r="H21" i="4"/>
  <c r="H20" i="4"/>
  <c r="M145" i="4"/>
  <c r="L145" i="4"/>
  <c r="K145" i="4"/>
  <c r="J145" i="4"/>
  <c r="I145" i="4"/>
  <c r="Q35" i="5"/>
  <c r="G37" i="5"/>
  <c r="V37" i="5"/>
  <c r="V4" i="5"/>
  <c r="I190" i="4"/>
  <c r="J190" i="4"/>
  <c r="K190" i="4"/>
  <c r="L190" i="4"/>
  <c r="M190" i="4"/>
  <c r="G4" i="5"/>
  <c r="Q2" i="5"/>
  <c r="H137" i="4"/>
  <c r="M15" i="4"/>
  <c r="M13" i="4" s="1"/>
  <c r="L15" i="4"/>
  <c r="L13" i="4" s="1"/>
  <c r="K15" i="4"/>
  <c r="K13" i="4" s="1"/>
  <c r="J15" i="4"/>
  <c r="J13" i="4" s="1"/>
  <c r="I15" i="4"/>
  <c r="H15" i="4"/>
  <c r="H14" i="4"/>
  <c r="M39" i="4"/>
  <c r="M38" i="4"/>
  <c r="L39" i="4"/>
  <c r="L38" i="4"/>
  <c r="K39" i="4"/>
  <c r="K38" i="4"/>
  <c r="J39" i="4"/>
  <c r="J38" i="4"/>
  <c r="I39" i="4"/>
  <c r="I38" i="4"/>
  <c r="G67" i="4"/>
  <c r="J35" i="4"/>
  <c r="J182" i="4" s="1"/>
  <c r="K35" i="4"/>
  <c r="K182" i="4" s="1"/>
  <c r="L35" i="4"/>
  <c r="L182" i="4" s="1"/>
  <c r="M35" i="4"/>
  <c r="M182" i="4" s="1"/>
  <c r="I35" i="4"/>
  <c r="M119" i="4"/>
  <c r="M189" i="4" s="1"/>
  <c r="L119" i="4"/>
  <c r="L189" i="4" s="1"/>
  <c r="K119" i="4"/>
  <c r="K189" i="4" s="1"/>
  <c r="J119" i="4"/>
  <c r="J195" i="4" s="1"/>
  <c r="I119" i="4"/>
  <c r="I189" i="4" s="1"/>
  <c r="H28" i="4"/>
  <c r="H27" i="4"/>
  <c r="G27" i="4" s="1"/>
  <c r="H26" i="4"/>
  <c r="H25" i="4"/>
  <c r="H22" i="4"/>
  <c r="M10" i="4" a="1"/>
  <c r="M10" i="4" s="1"/>
  <c r="L10" i="4" a="1"/>
  <c r="L10" i="4" s="1"/>
  <c r="K10" i="4" a="1"/>
  <c r="K10" i="4" s="1"/>
  <c r="N11" i="4" a="1"/>
  <c r="N11" i="4" s="1"/>
  <c r="G11" i="4" s="1"/>
  <c r="J10" i="4"/>
  <c r="I10" i="4"/>
  <c r="I9" i="4" s="1"/>
  <c r="F99" i="14" l="1"/>
  <c r="H103" i="15"/>
  <c r="K117" i="15"/>
  <c r="K115" i="15" s="1"/>
  <c r="G13" i="14"/>
  <c r="G2" i="14" s="1"/>
  <c r="G129" i="14" s="1"/>
  <c r="L54" i="15"/>
  <c r="L117" i="15"/>
  <c r="L115" i="15" s="1"/>
  <c r="I117" i="14"/>
  <c r="I115" i="14" s="1"/>
  <c r="K54" i="15"/>
  <c r="I117" i="15"/>
  <c r="I115" i="15" s="1"/>
  <c r="H54" i="15"/>
  <c r="I54" i="15"/>
  <c r="J54" i="15"/>
  <c r="F7" i="15"/>
  <c r="H5" i="15"/>
  <c r="H4" i="15" s="1"/>
  <c r="H2" i="15" s="1"/>
  <c r="H129" i="15" s="1"/>
  <c r="F15" i="15"/>
  <c r="K5" i="14"/>
  <c r="K4" i="14" s="1"/>
  <c r="F14" i="14"/>
  <c r="L117" i="14"/>
  <c r="L115" i="14" s="1"/>
  <c r="M53" i="14"/>
  <c r="F119" i="14"/>
  <c r="K98" i="15"/>
  <c r="J5" i="15"/>
  <c r="J4" i="15" s="1"/>
  <c r="F8" i="15"/>
  <c r="K5" i="15"/>
  <c r="K4" i="15" s="1"/>
  <c r="L5" i="15"/>
  <c r="L4" i="15" s="1"/>
  <c r="G13" i="15"/>
  <c r="G2" i="15" s="1"/>
  <c r="G129" i="15" s="1"/>
  <c r="J117" i="15"/>
  <c r="J115" i="15" s="1"/>
  <c r="F8" i="14"/>
  <c r="J5" i="14"/>
  <c r="J4" i="14" s="1"/>
  <c r="I5" i="14"/>
  <c r="H5" i="14"/>
  <c r="H4" i="14" s="1"/>
  <c r="K117" i="14"/>
  <c r="K115" i="14" s="1"/>
  <c r="F109" i="15"/>
  <c r="J37" i="15"/>
  <c r="I48" i="15"/>
  <c r="J90" i="14"/>
  <c r="K37" i="14"/>
  <c r="K90" i="14"/>
  <c r="K89" i="14" s="1"/>
  <c r="L41" i="14"/>
  <c r="J86" i="14"/>
  <c r="F44" i="14"/>
  <c r="L75" i="15"/>
  <c r="K41" i="15"/>
  <c r="J96" i="14"/>
  <c r="H37" i="15"/>
  <c r="K96" i="14"/>
  <c r="I103" i="14"/>
  <c r="H87" i="15"/>
  <c r="J84" i="15"/>
  <c r="F43" i="14"/>
  <c r="F45" i="14"/>
  <c r="K103" i="14"/>
  <c r="J94" i="15"/>
  <c r="F42" i="14"/>
  <c r="L75" i="14"/>
  <c r="I41" i="15"/>
  <c r="H98" i="15"/>
  <c r="L37" i="14"/>
  <c r="K48" i="14"/>
  <c r="K84" i="14"/>
  <c r="L37" i="15"/>
  <c r="J103" i="15"/>
  <c r="F106" i="15"/>
  <c r="J103" i="14"/>
  <c r="H76" i="14"/>
  <c r="J91" i="14"/>
  <c r="H91" i="15"/>
  <c r="K94" i="14"/>
  <c r="L98" i="14"/>
  <c r="F101" i="14"/>
  <c r="L103" i="14"/>
  <c r="H94" i="15"/>
  <c r="I96" i="14"/>
  <c r="F105" i="14"/>
  <c r="K71" i="14"/>
  <c r="F106" i="14"/>
  <c r="H91" i="14"/>
  <c r="L41" i="15"/>
  <c r="J41" i="14"/>
  <c r="L81" i="15"/>
  <c r="F39" i="14"/>
  <c r="L48" i="14"/>
  <c r="H85" i="14"/>
  <c r="H98" i="14"/>
  <c r="H41" i="15"/>
  <c r="J48" i="15"/>
  <c r="F38" i="14"/>
  <c r="I86" i="14"/>
  <c r="I95" i="14"/>
  <c r="J98" i="14"/>
  <c r="F39" i="15"/>
  <c r="J41" i="15"/>
  <c r="F44" i="15"/>
  <c r="L71" i="15"/>
  <c r="I85" i="15"/>
  <c r="I95" i="15"/>
  <c r="K103" i="15"/>
  <c r="I41" i="14"/>
  <c r="F38" i="15"/>
  <c r="F100" i="14"/>
  <c r="H103" i="14"/>
  <c r="L91" i="15"/>
  <c r="K41" i="14"/>
  <c r="J87" i="14"/>
  <c r="K37" i="15"/>
  <c r="J37" i="14"/>
  <c r="H81" i="14"/>
  <c r="I85" i="14"/>
  <c r="H95" i="14"/>
  <c r="I98" i="14"/>
  <c r="F109" i="14"/>
  <c r="J98" i="15"/>
  <c r="H91" i="13"/>
  <c r="K85" i="14"/>
  <c r="K95" i="14"/>
  <c r="K98" i="14"/>
  <c r="H90" i="15"/>
  <c r="H96" i="15"/>
  <c r="L103" i="15"/>
  <c r="I90" i="15"/>
  <c r="I96" i="15"/>
  <c r="F100" i="15"/>
  <c r="J90" i="15"/>
  <c r="I98" i="15"/>
  <c r="L98" i="15"/>
  <c r="F105" i="15"/>
  <c r="J63" i="13"/>
  <c r="H112" i="13"/>
  <c r="L111" i="14"/>
  <c r="K111" i="13"/>
  <c r="H110" i="15"/>
  <c r="L112" i="15"/>
  <c r="L111" i="13"/>
  <c r="I110" i="14"/>
  <c r="J112" i="14"/>
  <c r="L110" i="15"/>
  <c r="L112" i="13"/>
  <c r="J110" i="14"/>
  <c r="K112" i="14"/>
  <c r="H111" i="15"/>
  <c r="K111" i="15"/>
  <c r="I111" i="13"/>
  <c r="J111" i="13"/>
  <c r="H112" i="14"/>
  <c r="K112" i="15"/>
  <c r="I112" i="14"/>
  <c r="K110" i="14"/>
  <c r="I111" i="15"/>
  <c r="H111" i="14"/>
  <c r="J112" i="15"/>
  <c r="I110" i="13"/>
  <c r="L110" i="14"/>
  <c r="J111" i="15"/>
  <c r="L58" i="13"/>
  <c r="H110" i="13"/>
  <c r="J110" i="13"/>
  <c r="I112" i="13"/>
  <c r="I111" i="14"/>
  <c r="L112" i="14"/>
  <c r="I110" i="15"/>
  <c r="L111" i="15"/>
  <c r="J56" i="13"/>
  <c r="H111" i="13"/>
  <c r="K110" i="13"/>
  <c r="J112" i="13"/>
  <c r="J111" i="14"/>
  <c r="J110" i="15"/>
  <c r="H112" i="15"/>
  <c r="J64" i="13"/>
  <c r="L65" i="13"/>
  <c r="I66" i="13"/>
  <c r="L110" i="13"/>
  <c r="K112" i="13"/>
  <c r="H110" i="14"/>
  <c r="K111" i="14"/>
  <c r="K110" i="15"/>
  <c r="I112" i="15"/>
  <c r="L65" i="15"/>
  <c r="J64" i="15"/>
  <c r="H63" i="15"/>
  <c r="K60" i="15"/>
  <c r="H59" i="15"/>
  <c r="J57" i="15"/>
  <c r="L65" i="14"/>
  <c r="J64" i="14"/>
  <c r="H63" i="14"/>
  <c r="K60" i="14"/>
  <c r="H59" i="14"/>
  <c r="J57" i="14"/>
  <c r="H66" i="13"/>
  <c r="K65" i="13"/>
  <c r="I64" i="13"/>
  <c r="K58" i="13"/>
  <c r="I63" i="13"/>
  <c r="L57" i="13"/>
  <c r="I56" i="13"/>
  <c r="J65" i="15"/>
  <c r="I60" i="15"/>
  <c r="H57" i="15"/>
  <c r="J65" i="14"/>
  <c r="H64" i="14"/>
  <c r="L62" i="14"/>
  <c r="I60" i="14"/>
  <c r="H57" i="14"/>
  <c r="I65" i="13"/>
  <c r="M62" i="13"/>
  <c r="I65" i="15"/>
  <c r="M63" i="15"/>
  <c r="K62" i="15"/>
  <c r="J58" i="15"/>
  <c r="I65" i="14"/>
  <c r="M63" i="14"/>
  <c r="K62" i="14"/>
  <c r="J58" i="14"/>
  <c r="L56" i="14"/>
  <c r="J60" i="13"/>
  <c r="H65" i="13"/>
  <c r="K59" i="13"/>
  <c r="L62" i="13"/>
  <c r="I57" i="13"/>
  <c r="I58" i="15"/>
  <c r="H65" i="14"/>
  <c r="K56" i="14"/>
  <c r="I60" i="13"/>
  <c r="M63" i="13"/>
  <c r="H57" i="13"/>
  <c r="I66" i="15"/>
  <c r="K63" i="15"/>
  <c r="I62" i="15"/>
  <c r="K59" i="15"/>
  <c r="J56" i="15"/>
  <c r="M64" i="14"/>
  <c r="K59" i="14"/>
  <c r="K66" i="13"/>
  <c r="L64" i="13"/>
  <c r="I59" i="13"/>
  <c r="J62" i="13"/>
  <c r="H66" i="15"/>
  <c r="L64" i="15"/>
  <c r="J63" i="15"/>
  <c r="H62" i="15"/>
  <c r="J59" i="15"/>
  <c r="L57" i="15"/>
  <c r="I56" i="15"/>
  <c r="H66" i="14"/>
  <c r="J63" i="14"/>
  <c r="H62" i="14"/>
  <c r="J59" i="14"/>
  <c r="I56" i="14"/>
  <c r="J66" i="13"/>
  <c r="K63" i="13"/>
  <c r="K56" i="13"/>
  <c r="M65" i="15"/>
  <c r="K64" i="15"/>
  <c r="I63" i="15"/>
  <c r="L60" i="15"/>
  <c r="K57" i="15"/>
  <c r="H56" i="15"/>
  <c r="K64" i="14"/>
  <c r="I63" i="14"/>
  <c r="I59" i="14"/>
  <c r="K57" i="14"/>
  <c r="M66" i="15"/>
  <c r="K65" i="15"/>
  <c r="I64" i="15"/>
  <c r="J60" i="15"/>
  <c r="L58" i="15"/>
  <c r="I57" i="15"/>
  <c r="M66" i="14"/>
  <c r="K65" i="14"/>
  <c r="I64" i="14"/>
  <c r="M62" i="14"/>
  <c r="J60" i="14"/>
  <c r="L58" i="14"/>
  <c r="I57" i="14"/>
  <c r="L60" i="13"/>
  <c r="J65" i="13"/>
  <c r="H64" i="13"/>
  <c r="J58" i="13"/>
  <c r="H63" i="13"/>
  <c r="K57" i="13"/>
  <c r="H56" i="13"/>
  <c r="L66" i="15"/>
  <c r="H64" i="15"/>
  <c r="L62" i="15"/>
  <c r="K58" i="15"/>
  <c r="L66" i="14"/>
  <c r="K58" i="14"/>
  <c r="K60" i="13"/>
  <c r="L59" i="13"/>
  <c r="H58" i="13"/>
  <c r="J57" i="13"/>
  <c r="K66" i="15"/>
  <c r="H60" i="15"/>
  <c r="L56" i="15"/>
  <c r="K66" i="14"/>
  <c r="H60" i="14"/>
  <c r="M66" i="13"/>
  <c r="I58" i="13"/>
  <c r="J66" i="4"/>
  <c r="J66" i="15"/>
  <c r="H65" i="15"/>
  <c r="L63" i="15"/>
  <c r="J62" i="15"/>
  <c r="L59" i="15"/>
  <c r="K56" i="15"/>
  <c r="J66" i="14"/>
  <c r="L63" i="14"/>
  <c r="J62" i="14"/>
  <c r="L59" i="14"/>
  <c r="I58" i="14"/>
  <c r="L66" i="13"/>
  <c r="M64" i="13"/>
  <c r="J59" i="13"/>
  <c r="K62" i="13"/>
  <c r="M64" i="15"/>
  <c r="H58" i="15"/>
  <c r="I66" i="14"/>
  <c r="K63" i="14"/>
  <c r="I62" i="14"/>
  <c r="H58" i="14"/>
  <c r="J56" i="14"/>
  <c r="H60" i="13"/>
  <c r="L63" i="13"/>
  <c r="L56" i="13"/>
  <c r="L64" i="14"/>
  <c r="L57" i="14"/>
  <c r="M65" i="13"/>
  <c r="K64" i="13"/>
  <c r="H59" i="13"/>
  <c r="I62" i="13"/>
  <c r="I59" i="15"/>
  <c r="M65" i="14"/>
  <c r="L60" i="14"/>
  <c r="H56" i="14"/>
  <c r="K86" i="13"/>
  <c r="K91" i="13"/>
  <c r="L103" i="13"/>
  <c r="I86" i="13"/>
  <c r="H94" i="13"/>
  <c r="J94" i="13"/>
  <c r="I98" i="13"/>
  <c r="L96" i="13"/>
  <c r="L81" i="13"/>
  <c r="L75" i="13"/>
  <c r="L84" i="13"/>
  <c r="L91" i="13"/>
  <c r="L86" i="13"/>
  <c r="L87" i="13"/>
  <c r="L94" i="13"/>
  <c r="L90" i="13"/>
  <c r="L95" i="13"/>
  <c r="K94" i="13"/>
  <c r="K81" i="13"/>
  <c r="K90" i="13"/>
  <c r="K103" i="13"/>
  <c r="K84" i="13"/>
  <c r="K96" i="13"/>
  <c r="J103" i="13"/>
  <c r="J86" i="13"/>
  <c r="J91" i="13"/>
  <c r="J96" i="13"/>
  <c r="I91" i="13"/>
  <c r="I103" i="13"/>
  <c r="H96" i="13"/>
  <c r="H48" i="15"/>
  <c r="I80" i="15"/>
  <c r="I86" i="15"/>
  <c r="J80" i="15"/>
  <c r="J86" i="15"/>
  <c r="J77" i="15"/>
  <c r="K68" i="15"/>
  <c r="K71" i="15"/>
  <c r="K75" i="15"/>
  <c r="K48" i="15"/>
  <c r="K72" i="15"/>
  <c r="J87" i="15"/>
  <c r="H80" i="15"/>
  <c r="H86" i="15"/>
  <c r="H81" i="15"/>
  <c r="H72" i="15"/>
  <c r="L87" i="15"/>
  <c r="K94" i="15"/>
  <c r="F43" i="15"/>
  <c r="L48" i="15"/>
  <c r="H68" i="15"/>
  <c r="I72" i="15"/>
  <c r="J76" i="15"/>
  <c r="K80" i="15"/>
  <c r="L84" i="15"/>
  <c r="K90" i="15"/>
  <c r="K89" i="15" s="1"/>
  <c r="L94" i="15"/>
  <c r="I103" i="15"/>
  <c r="I68" i="15"/>
  <c r="J72" i="15"/>
  <c r="H75" i="15"/>
  <c r="K76" i="15"/>
  <c r="L80" i="15"/>
  <c r="H85" i="15"/>
  <c r="K86" i="15"/>
  <c r="L90" i="15"/>
  <c r="H95" i="15"/>
  <c r="K96" i="15"/>
  <c r="H76" i="15"/>
  <c r="K87" i="15"/>
  <c r="I76" i="15"/>
  <c r="J68" i="15"/>
  <c r="H71" i="15"/>
  <c r="I75" i="15"/>
  <c r="L76" i="15"/>
  <c r="L86" i="15"/>
  <c r="L96" i="15"/>
  <c r="I71" i="15"/>
  <c r="L72" i="15"/>
  <c r="J75" i="15"/>
  <c r="H77" i="15"/>
  <c r="I81" i="15"/>
  <c r="J85" i="15"/>
  <c r="I91" i="15"/>
  <c r="J95" i="15"/>
  <c r="K77" i="15"/>
  <c r="L77" i="15"/>
  <c r="F101" i="15"/>
  <c r="L68" i="15"/>
  <c r="J71" i="15"/>
  <c r="I77" i="15"/>
  <c r="J81" i="15"/>
  <c r="K85" i="15"/>
  <c r="I87" i="15"/>
  <c r="J91" i="15"/>
  <c r="K95" i="15"/>
  <c r="K84" i="15"/>
  <c r="K81" i="15"/>
  <c r="I84" i="15"/>
  <c r="L85" i="15"/>
  <c r="F9" i="15"/>
  <c r="M53" i="15"/>
  <c r="M62" i="15" s="1"/>
  <c r="I5" i="15"/>
  <c r="F113" i="15"/>
  <c r="F104" i="15"/>
  <c r="F6" i="15"/>
  <c r="F26" i="15"/>
  <c r="G24" i="15"/>
  <c r="F24" i="15" s="1"/>
  <c r="F119" i="15"/>
  <c r="F118" i="15"/>
  <c r="H117" i="15"/>
  <c r="F35" i="15"/>
  <c r="F45" i="15"/>
  <c r="F21" i="15"/>
  <c r="G19" i="15"/>
  <c r="I37" i="15"/>
  <c r="F42" i="15"/>
  <c r="F99" i="15"/>
  <c r="F15" i="14"/>
  <c r="K86" i="14"/>
  <c r="K80" i="14"/>
  <c r="I48" i="14"/>
  <c r="J77" i="14"/>
  <c r="H75" i="14"/>
  <c r="H54" i="14"/>
  <c r="H68" i="14"/>
  <c r="H72" i="14"/>
  <c r="H48" i="14"/>
  <c r="H71" i="14"/>
  <c r="I76" i="14"/>
  <c r="L87" i="14"/>
  <c r="K76" i="14"/>
  <c r="J68" i="14"/>
  <c r="J48" i="14"/>
  <c r="L71" i="14"/>
  <c r="K77" i="14"/>
  <c r="I80" i="14"/>
  <c r="L81" i="14"/>
  <c r="J84" i="14"/>
  <c r="H86" i="14"/>
  <c r="K87" i="14"/>
  <c r="I90" i="14"/>
  <c r="L91" i="14"/>
  <c r="J94" i="14"/>
  <c r="H96" i="14"/>
  <c r="I72" i="14"/>
  <c r="L84" i="14"/>
  <c r="I68" i="14"/>
  <c r="I54" i="14"/>
  <c r="K72" i="14"/>
  <c r="L76" i="14"/>
  <c r="L86" i="14"/>
  <c r="H41" i="14"/>
  <c r="J54" i="14"/>
  <c r="K68" i="14"/>
  <c r="I71" i="14"/>
  <c r="L72" i="14"/>
  <c r="J75" i="14"/>
  <c r="H77" i="14"/>
  <c r="I81" i="14"/>
  <c r="H87" i="14"/>
  <c r="I91" i="14"/>
  <c r="J95" i="14"/>
  <c r="L77" i="14"/>
  <c r="J80" i="14"/>
  <c r="J72" i="14"/>
  <c r="L90" i="14"/>
  <c r="L96" i="14"/>
  <c r="K54" i="14"/>
  <c r="L68" i="14"/>
  <c r="J71" i="14"/>
  <c r="K75" i="14"/>
  <c r="I77" i="14"/>
  <c r="J81" i="14"/>
  <c r="H84" i="14"/>
  <c r="I87" i="14"/>
  <c r="H94" i="14"/>
  <c r="J76" i="14"/>
  <c r="L94" i="14"/>
  <c r="L80" i="14"/>
  <c r="I75" i="14"/>
  <c r="L54" i="14"/>
  <c r="H80" i="14"/>
  <c r="K81" i="14"/>
  <c r="I84" i="14"/>
  <c r="L85" i="14"/>
  <c r="L5" i="14"/>
  <c r="L4" i="14" s="1"/>
  <c r="F26" i="14"/>
  <c r="G24" i="14"/>
  <c r="F24" i="14" s="1"/>
  <c r="F113" i="14"/>
  <c r="F104" i="14"/>
  <c r="F21" i="14"/>
  <c r="G19" i="14"/>
  <c r="H37" i="14"/>
  <c r="F35" i="14"/>
  <c r="I37" i="14"/>
  <c r="F7" i="14"/>
  <c r="F118" i="14"/>
  <c r="H117" i="14"/>
  <c r="F6" i="14"/>
  <c r="J117" i="14"/>
  <c r="J115" i="14" s="1"/>
  <c r="I80" i="13"/>
  <c r="I85" i="13"/>
  <c r="J80" i="13"/>
  <c r="H85" i="13"/>
  <c r="J85" i="13"/>
  <c r="I87" i="13"/>
  <c r="G13" i="13"/>
  <c r="F13" i="13" s="1"/>
  <c r="K80" i="13"/>
  <c r="H86" i="13"/>
  <c r="K85" i="13"/>
  <c r="J87" i="13"/>
  <c r="I90" i="13"/>
  <c r="I94" i="13"/>
  <c r="J95" i="13"/>
  <c r="J98" i="13"/>
  <c r="H103" i="13"/>
  <c r="M53" i="13"/>
  <c r="I75" i="13"/>
  <c r="L80" i="13"/>
  <c r="K87" i="13"/>
  <c r="J90" i="13"/>
  <c r="I95" i="13"/>
  <c r="H84" i="13"/>
  <c r="J75" i="13"/>
  <c r="I81" i="13"/>
  <c r="I84" i="13"/>
  <c r="H87" i="13"/>
  <c r="I96" i="13"/>
  <c r="K75" i="13"/>
  <c r="J81" i="13"/>
  <c r="H90" i="13"/>
  <c r="F118" i="13"/>
  <c r="L98" i="13"/>
  <c r="K98" i="13"/>
  <c r="H98" i="13"/>
  <c r="I72" i="13"/>
  <c r="H77" i="13"/>
  <c r="J68" i="13"/>
  <c r="K76" i="13"/>
  <c r="L77" i="13"/>
  <c r="L76" i="13"/>
  <c r="I76" i="13"/>
  <c r="I77" i="13"/>
  <c r="J77" i="13"/>
  <c r="K77" i="13"/>
  <c r="J76" i="13"/>
  <c r="H80" i="13"/>
  <c r="H81" i="13"/>
  <c r="K71" i="13"/>
  <c r="I48" i="13"/>
  <c r="L71" i="13"/>
  <c r="J72" i="13"/>
  <c r="I71" i="13"/>
  <c r="K72" i="13"/>
  <c r="K48" i="13"/>
  <c r="L41" i="13"/>
  <c r="L48" i="13"/>
  <c r="J48" i="13"/>
  <c r="H72" i="13"/>
  <c r="H68" i="13"/>
  <c r="K37" i="13"/>
  <c r="L72" i="13"/>
  <c r="L37" i="13"/>
  <c r="F101" i="13"/>
  <c r="K68" i="13"/>
  <c r="J71" i="13"/>
  <c r="H75" i="13"/>
  <c r="I68" i="13"/>
  <c r="F44" i="13"/>
  <c r="L68" i="13"/>
  <c r="H76" i="13"/>
  <c r="H48" i="13"/>
  <c r="H71" i="13"/>
  <c r="H54" i="13"/>
  <c r="K54" i="13"/>
  <c r="I54" i="13"/>
  <c r="L54" i="13"/>
  <c r="J54" i="13"/>
  <c r="J41" i="13"/>
  <c r="K41" i="13"/>
  <c r="I41" i="13"/>
  <c r="H41" i="13"/>
  <c r="I37" i="13"/>
  <c r="H37" i="13"/>
  <c r="F113" i="13"/>
  <c r="F99" i="13"/>
  <c r="F45" i="13"/>
  <c r="I5" i="13"/>
  <c r="I4" i="13" s="1"/>
  <c r="I135" i="13" s="1"/>
  <c r="F106" i="13"/>
  <c r="J5" i="13"/>
  <c r="J4" i="13" s="1"/>
  <c r="J135" i="13" s="1"/>
  <c r="L117" i="13"/>
  <c r="L115" i="13" s="1"/>
  <c r="F39" i="13"/>
  <c r="F100" i="13"/>
  <c r="F9" i="13"/>
  <c r="F14" i="13"/>
  <c r="L5" i="13"/>
  <c r="L4" i="13" s="1"/>
  <c r="L135" i="13" s="1"/>
  <c r="F8" i="13"/>
  <c r="F109" i="13"/>
  <c r="J37" i="13"/>
  <c r="K117" i="13"/>
  <c r="K115" i="13" s="1"/>
  <c r="F6" i="13"/>
  <c r="H5" i="13"/>
  <c r="H4" i="13" s="1"/>
  <c r="F104" i="13"/>
  <c r="F35" i="13"/>
  <c r="F105" i="13"/>
  <c r="F119" i="13"/>
  <c r="F15" i="13"/>
  <c r="I117" i="13"/>
  <c r="I115" i="13" s="1"/>
  <c r="F38" i="13"/>
  <c r="H117" i="13"/>
  <c r="F43" i="13"/>
  <c r="F7" i="13"/>
  <c r="F42" i="13"/>
  <c r="G24" i="13"/>
  <c r="F24" i="13" s="1"/>
  <c r="K5" i="13"/>
  <c r="K4" i="13" s="1"/>
  <c r="G19" i="13"/>
  <c r="J117" i="13"/>
  <c r="J115" i="13" s="1"/>
  <c r="J54" i="4"/>
  <c r="G106" i="4"/>
  <c r="K54" i="4"/>
  <c r="L54" i="4"/>
  <c r="M54" i="4"/>
  <c r="I54" i="4"/>
  <c r="I80" i="4"/>
  <c r="G109" i="4"/>
  <c r="I65" i="4"/>
  <c r="K66" i="4"/>
  <c r="M62" i="4"/>
  <c r="I112" i="4"/>
  <c r="J60" i="4"/>
  <c r="L68" i="4"/>
  <c r="M63" i="4"/>
  <c r="L66" i="4"/>
  <c r="I64" i="4"/>
  <c r="J112" i="4"/>
  <c r="J64" i="4"/>
  <c r="N66" i="4"/>
  <c r="K112" i="4"/>
  <c r="I63" i="4"/>
  <c r="K64" i="4"/>
  <c r="M65" i="4"/>
  <c r="J62" i="4"/>
  <c r="J68" i="4"/>
  <c r="M68" i="4"/>
  <c r="L112" i="4"/>
  <c r="J63" i="4"/>
  <c r="L64" i="4"/>
  <c r="N65" i="4"/>
  <c r="K60" i="4"/>
  <c r="K65" i="4"/>
  <c r="I62" i="4"/>
  <c r="I68" i="4"/>
  <c r="K62" i="4"/>
  <c r="K68" i="4"/>
  <c r="K63" i="4"/>
  <c r="M64" i="4"/>
  <c r="I66" i="4"/>
  <c r="J65" i="4"/>
  <c r="L60" i="4"/>
  <c r="M66" i="4"/>
  <c r="M60" i="4"/>
  <c r="L65" i="4"/>
  <c r="L62" i="4"/>
  <c r="I60" i="4"/>
  <c r="L63" i="4"/>
  <c r="G96" i="4"/>
  <c r="G113" i="4"/>
  <c r="I56" i="4"/>
  <c r="L57" i="4"/>
  <c r="J59" i="4"/>
  <c r="M57" i="4"/>
  <c r="K59" i="4"/>
  <c r="M58" i="4"/>
  <c r="I59" i="4"/>
  <c r="L59" i="4"/>
  <c r="K58" i="4"/>
  <c r="L58" i="4"/>
  <c r="J57" i="4"/>
  <c r="K57" i="4"/>
  <c r="I58" i="4"/>
  <c r="J58" i="4"/>
  <c r="M59" i="4"/>
  <c r="L56" i="4"/>
  <c r="M56" i="4"/>
  <c r="J56" i="4"/>
  <c r="K56" i="4"/>
  <c r="I57" i="4"/>
  <c r="M110" i="4"/>
  <c r="I111" i="4"/>
  <c r="J111" i="4"/>
  <c r="K111" i="4"/>
  <c r="I110" i="4"/>
  <c r="J110" i="4"/>
  <c r="M111" i="4"/>
  <c r="L111" i="4"/>
  <c r="K110" i="4"/>
  <c r="L110" i="4"/>
  <c r="J5" i="4"/>
  <c r="K5" i="4"/>
  <c r="M5" i="4"/>
  <c r="L5" i="4"/>
  <c r="I5" i="4"/>
  <c r="H19" i="4"/>
  <c r="G19" i="4" s="1"/>
  <c r="G20" i="4"/>
  <c r="G43" i="4"/>
  <c r="I195" i="4"/>
  <c r="K195" i="4"/>
  <c r="L195" i="4"/>
  <c r="M195" i="4"/>
  <c r="J189" i="4"/>
  <c r="H13" i="4"/>
  <c r="H2" i="4" s="1"/>
  <c r="H129" i="4" s="1"/>
  <c r="G14" i="4"/>
  <c r="I182" i="4"/>
  <c r="G182" i="4" s="1"/>
  <c r="G190" i="4"/>
  <c r="M72" i="4"/>
  <c r="M71" i="4"/>
  <c r="L72" i="4"/>
  <c r="L71" i="4"/>
  <c r="K72" i="4"/>
  <c r="K71" i="4"/>
  <c r="J72" i="4"/>
  <c r="J71" i="4"/>
  <c r="I72" i="4"/>
  <c r="I71" i="4"/>
  <c r="I13" i="4"/>
  <c r="G15" i="4"/>
  <c r="M86" i="4"/>
  <c r="L86" i="4"/>
  <c r="K86" i="4"/>
  <c r="J86" i="4"/>
  <c r="I86" i="4"/>
  <c r="M76" i="4"/>
  <c r="M75" i="4"/>
  <c r="L75" i="4"/>
  <c r="L76" i="4"/>
  <c r="K76" i="4"/>
  <c r="K75" i="4"/>
  <c r="J76" i="4"/>
  <c r="J75" i="4"/>
  <c r="I75" i="4"/>
  <c r="I76" i="4"/>
  <c r="M85" i="4"/>
  <c r="M84" i="4"/>
  <c r="M81" i="4"/>
  <c r="M95" i="4"/>
  <c r="M94" i="4"/>
  <c r="M91" i="4"/>
  <c r="M90" i="4"/>
  <c r="M80" i="4"/>
  <c r="L91" i="4"/>
  <c r="L90" i="4"/>
  <c r="L85" i="4"/>
  <c r="L84" i="4"/>
  <c r="L80" i="4"/>
  <c r="L81" i="4"/>
  <c r="L95" i="4"/>
  <c r="L94" i="4"/>
  <c r="K94" i="4"/>
  <c r="K80" i="4"/>
  <c r="K81" i="4"/>
  <c r="K84" i="4"/>
  <c r="K85" i="4"/>
  <c r="K91" i="4"/>
  <c r="K90" i="4"/>
  <c r="K95" i="4"/>
  <c r="J81" i="4"/>
  <c r="J80" i="4"/>
  <c r="J95" i="4"/>
  <c r="J94" i="4"/>
  <c r="J84" i="4"/>
  <c r="J85" i="4"/>
  <c r="J90" i="4"/>
  <c r="J91" i="4"/>
  <c r="I85" i="4"/>
  <c r="I91" i="4"/>
  <c r="I90" i="4"/>
  <c r="I94" i="4"/>
  <c r="I95" i="4"/>
  <c r="I81" i="4"/>
  <c r="I84" i="4"/>
  <c r="N53" i="4"/>
  <c r="N62" i="4" s="1"/>
  <c r="I87" i="4"/>
  <c r="I77" i="4"/>
  <c r="K77" i="4"/>
  <c r="L77" i="4"/>
  <c r="M77" i="4"/>
  <c r="J87" i="4"/>
  <c r="M87" i="4"/>
  <c r="J77" i="4"/>
  <c r="L87" i="4"/>
  <c r="K87" i="4"/>
  <c r="G44" i="4"/>
  <c r="M48" i="4"/>
  <c r="L48" i="4"/>
  <c r="L187" i="4" s="1"/>
  <c r="K48" i="4"/>
  <c r="J48" i="4"/>
  <c r="I48" i="4"/>
  <c r="M9" i="4"/>
  <c r="L9" i="4"/>
  <c r="K9" i="4"/>
  <c r="J9" i="4"/>
  <c r="K41" i="4"/>
  <c r="K169" i="4" s="1"/>
  <c r="J41" i="4"/>
  <c r="J169" i="4" s="1"/>
  <c r="I41" i="4"/>
  <c r="I169" i="4" s="1"/>
  <c r="G42" i="4"/>
  <c r="M41" i="4"/>
  <c r="M169" i="4" s="1"/>
  <c r="L37" i="4"/>
  <c r="L183" i="4" s="1"/>
  <c r="J37" i="4"/>
  <c r="J183" i="4" s="1"/>
  <c r="L41" i="4"/>
  <c r="L169" i="4" s="1"/>
  <c r="G45" i="4"/>
  <c r="M37" i="4"/>
  <c r="M183" i="4" s="1"/>
  <c r="G39" i="4"/>
  <c r="K37" i="4"/>
  <c r="K183" i="4" s="1"/>
  <c r="I37" i="4"/>
  <c r="I183" i="4" s="1"/>
  <c r="G38" i="4"/>
  <c r="G35" i="4"/>
  <c r="G26" i="4"/>
  <c r="G28" i="4"/>
  <c r="G25" i="4"/>
  <c r="H24" i="4"/>
  <c r="G22" i="4"/>
  <c r="G8" i="4"/>
  <c r="G6" i="4"/>
  <c r="G7" i="4"/>
  <c r="K117" i="4"/>
  <c r="K115" i="4" s="1"/>
  <c r="G119" i="4"/>
  <c r="M117" i="4"/>
  <c r="M115" i="4" s="1"/>
  <c r="L117" i="4"/>
  <c r="L115" i="4" s="1"/>
  <c r="J117" i="4"/>
  <c r="J115" i="4" s="1"/>
  <c r="I117" i="4"/>
  <c r="G118" i="4"/>
  <c r="F94" i="14" l="1"/>
  <c r="F98" i="14"/>
  <c r="F96" i="14"/>
  <c r="F95" i="14"/>
  <c r="F91" i="14"/>
  <c r="F90" i="14"/>
  <c r="H89" i="14"/>
  <c r="F13" i="14"/>
  <c r="K135" i="14"/>
  <c r="K2" i="14"/>
  <c r="K129" i="14" s="1"/>
  <c r="N64" i="4"/>
  <c r="N63" i="4"/>
  <c r="J83" i="14"/>
  <c r="H55" i="15"/>
  <c r="K55" i="13"/>
  <c r="J55" i="14"/>
  <c r="K55" i="15"/>
  <c r="I55" i="15"/>
  <c r="L55" i="15"/>
  <c r="J55" i="15"/>
  <c r="H108" i="14"/>
  <c r="I55" i="14"/>
  <c r="H55" i="14"/>
  <c r="K55" i="14"/>
  <c r="L55" i="14"/>
  <c r="J108" i="13"/>
  <c r="I108" i="13"/>
  <c r="L55" i="13"/>
  <c r="H55" i="13"/>
  <c r="J55" i="13"/>
  <c r="I55" i="13"/>
  <c r="G2" i="13"/>
  <c r="G129" i="13" s="1"/>
  <c r="J185" i="4"/>
  <c r="M55" i="4"/>
  <c r="I55" i="4"/>
  <c r="K185" i="4"/>
  <c r="J55" i="4"/>
  <c r="M185" i="4"/>
  <c r="I185" i="4"/>
  <c r="M186" i="4"/>
  <c r="L185" i="4"/>
  <c r="M108" i="4"/>
  <c r="M179" i="4" s="1"/>
  <c r="K55" i="4"/>
  <c r="L55" i="4"/>
  <c r="L108" i="4"/>
  <c r="L179" i="4" s="1"/>
  <c r="K187" i="4"/>
  <c r="K108" i="4"/>
  <c r="K179" i="4" s="1"/>
  <c r="M187" i="4"/>
  <c r="I187" i="4"/>
  <c r="M188" i="4"/>
  <c r="J187" i="4"/>
  <c r="H108" i="15"/>
  <c r="H135" i="15"/>
  <c r="F54" i="15"/>
  <c r="L108" i="15"/>
  <c r="F13" i="15"/>
  <c r="J108" i="15"/>
  <c r="I108" i="15"/>
  <c r="K108" i="15"/>
  <c r="I108" i="14"/>
  <c r="J108" i="14"/>
  <c r="K108" i="14"/>
  <c r="L108" i="14"/>
  <c r="L108" i="13"/>
  <c r="K108" i="13"/>
  <c r="H108" i="13"/>
  <c r="J108" i="4"/>
  <c r="J179" i="4" s="1"/>
  <c r="I108" i="4"/>
  <c r="I179" i="4" s="1"/>
  <c r="F5" i="14"/>
  <c r="I4" i="14"/>
  <c r="F4" i="14" s="1"/>
  <c r="J89" i="15"/>
  <c r="I89" i="15"/>
  <c r="H70" i="14"/>
  <c r="L89" i="14"/>
  <c r="J89" i="14"/>
  <c r="K83" i="14"/>
  <c r="F62" i="13"/>
  <c r="F41" i="14"/>
  <c r="F41" i="15"/>
  <c r="I93" i="14"/>
  <c r="J93" i="14"/>
  <c r="H93" i="15"/>
  <c r="H93" i="13"/>
  <c r="F98" i="15"/>
  <c r="F103" i="14"/>
  <c r="J93" i="15"/>
  <c r="L79" i="15"/>
  <c r="F96" i="15"/>
  <c r="I83" i="13"/>
  <c r="L74" i="14"/>
  <c r="L70" i="14"/>
  <c r="L74" i="15"/>
  <c r="J89" i="13"/>
  <c r="K70" i="14"/>
  <c r="L61" i="13"/>
  <c r="F57" i="13"/>
  <c r="F112" i="13"/>
  <c r="H89" i="15"/>
  <c r="I93" i="15"/>
  <c r="F87" i="15"/>
  <c r="I70" i="15"/>
  <c r="H83" i="15"/>
  <c r="L93" i="15"/>
  <c r="J79" i="15"/>
  <c r="K89" i="13"/>
  <c r="F68" i="14"/>
  <c r="L83" i="13"/>
  <c r="K93" i="14"/>
  <c r="H93" i="14"/>
  <c r="H83" i="14"/>
  <c r="J83" i="15"/>
  <c r="L89" i="15"/>
  <c r="H79" i="14"/>
  <c r="K83" i="15"/>
  <c r="I70" i="13"/>
  <c r="H89" i="13"/>
  <c r="H74" i="14"/>
  <c r="L70" i="15"/>
  <c r="J61" i="14"/>
  <c r="J61" i="13"/>
  <c r="M67" i="13"/>
  <c r="F111" i="13"/>
  <c r="L61" i="15"/>
  <c r="F65" i="14"/>
  <c r="F59" i="14"/>
  <c r="I61" i="15"/>
  <c r="F56" i="15"/>
  <c r="M67" i="14"/>
  <c r="F56" i="13"/>
  <c r="F110" i="13"/>
  <c r="F59" i="13"/>
  <c r="F58" i="15"/>
  <c r="F66" i="14"/>
  <c r="L61" i="14"/>
  <c r="F111" i="15"/>
  <c r="F111" i="14"/>
  <c r="F66" i="15"/>
  <c r="F64" i="15"/>
  <c r="F59" i="15"/>
  <c r="H61" i="15"/>
  <c r="F110" i="14"/>
  <c r="F112" i="14"/>
  <c r="I61" i="14"/>
  <c r="F63" i="13"/>
  <c r="F62" i="15"/>
  <c r="F65" i="13"/>
  <c r="F64" i="14"/>
  <c r="F112" i="15"/>
  <c r="F57" i="14"/>
  <c r="F66" i="13"/>
  <c r="K61" i="15"/>
  <c r="F110" i="15"/>
  <c r="F56" i="14"/>
  <c r="K61" i="14"/>
  <c r="F58" i="13"/>
  <c r="F63" i="15"/>
  <c r="F60" i="13"/>
  <c r="M67" i="15"/>
  <c r="I61" i="13"/>
  <c r="J61" i="15"/>
  <c r="F60" i="14"/>
  <c r="F65" i="15"/>
  <c r="F60" i="15"/>
  <c r="F64" i="13"/>
  <c r="F62" i="14"/>
  <c r="K61" i="13"/>
  <c r="F58" i="14"/>
  <c r="F57" i="15"/>
  <c r="F63" i="14"/>
  <c r="H61" i="13"/>
  <c r="H61" i="14"/>
  <c r="L93" i="13"/>
  <c r="J93" i="13"/>
  <c r="K93" i="13"/>
  <c r="K83" i="13"/>
  <c r="I89" i="13"/>
  <c r="L79" i="13"/>
  <c r="L89" i="13"/>
  <c r="K79" i="13"/>
  <c r="J79" i="13"/>
  <c r="I93" i="13"/>
  <c r="H83" i="13"/>
  <c r="H74" i="15"/>
  <c r="J70" i="15"/>
  <c r="H70" i="15"/>
  <c r="H79" i="15"/>
  <c r="K74" i="15"/>
  <c r="K79" i="15"/>
  <c r="K70" i="15"/>
  <c r="F94" i="15"/>
  <c r="K93" i="15"/>
  <c r="I83" i="15"/>
  <c r="L83" i="15"/>
  <c r="I79" i="15"/>
  <c r="I74" i="15"/>
  <c r="J74" i="15"/>
  <c r="F91" i="15"/>
  <c r="F103" i="15"/>
  <c r="L135" i="15"/>
  <c r="L2" i="15"/>
  <c r="L129" i="15" s="1"/>
  <c r="F81" i="15"/>
  <c r="I4" i="15"/>
  <c r="F5" i="15"/>
  <c r="H115" i="15"/>
  <c r="F115" i="15" s="1"/>
  <c r="F117" i="15"/>
  <c r="F95" i="15"/>
  <c r="F72" i="15"/>
  <c r="F84" i="15"/>
  <c r="F75" i="15"/>
  <c r="F90" i="15"/>
  <c r="F71" i="15"/>
  <c r="F19" i="15"/>
  <c r="G17" i="15"/>
  <c r="F37" i="15"/>
  <c r="F77" i="15"/>
  <c r="F76" i="15"/>
  <c r="F80" i="15"/>
  <c r="J2" i="15"/>
  <c r="J129" i="15" s="1"/>
  <c r="J135" i="15"/>
  <c r="F85" i="15"/>
  <c r="F68" i="15"/>
  <c r="K135" i="15"/>
  <c r="K2" i="15"/>
  <c r="K129" i="15" s="1"/>
  <c r="F86" i="15"/>
  <c r="F48" i="15"/>
  <c r="J74" i="14"/>
  <c r="I74" i="14"/>
  <c r="J79" i="14"/>
  <c r="L79" i="14"/>
  <c r="K74" i="14"/>
  <c r="I70" i="14"/>
  <c r="I89" i="14"/>
  <c r="L93" i="14"/>
  <c r="J70" i="14"/>
  <c r="L83" i="14"/>
  <c r="K79" i="14"/>
  <c r="I83" i="14"/>
  <c r="I79" i="14"/>
  <c r="F72" i="14"/>
  <c r="L135" i="14"/>
  <c r="L2" i="14"/>
  <c r="L129" i="14" s="1"/>
  <c r="F81" i="14"/>
  <c r="F71" i="14"/>
  <c r="F80" i="14"/>
  <c r="F85" i="14"/>
  <c r="F77" i="14"/>
  <c r="F84" i="14"/>
  <c r="F87" i="14"/>
  <c r="H135" i="14"/>
  <c r="H2" i="14"/>
  <c r="F75" i="14"/>
  <c r="J2" i="14"/>
  <c r="J129" i="14" s="1"/>
  <c r="J135" i="14"/>
  <c r="F19" i="14"/>
  <c r="G17" i="14"/>
  <c r="F54" i="14"/>
  <c r="H115" i="14"/>
  <c r="F115" i="14" s="1"/>
  <c r="F117" i="14"/>
  <c r="F37" i="14"/>
  <c r="F48" i="14"/>
  <c r="F86" i="14"/>
  <c r="F76" i="14"/>
  <c r="J83" i="13"/>
  <c r="I79" i="13"/>
  <c r="L70" i="13"/>
  <c r="H79" i="13"/>
  <c r="K70" i="13"/>
  <c r="I74" i="13"/>
  <c r="H74" i="13"/>
  <c r="J70" i="13"/>
  <c r="H70" i="13"/>
  <c r="K74" i="13"/>
  <c r="L74" i="13"/>
  <c r="J74" i="13"/>
  <c r="F37" i="13"/>
  <c r="I2" i="13"/>
  <c r="I129" i="13" s="1"/>
  <c r="F91" i="13"/>
  <c r="F76" i="13"/>
  <c r="J2" i="13"/>
  <c r="J129" i="13" s="1"/>
  <c r="L2" i="13"/>
  <c r="L129" i="13" s="1"/>
  <c r="F86" i="13"/>
  <c r="F94" i="13"/>
  <c r="F68" i="13"/>
  <c r="F5" i="13"/>
  <c r="F96" i="13"/>
  <c r="F48" i="13"/>
  <c r="F87" i="13"/>
  <c r="F75" i="13"/>
  <c r="H115" i="13"/>
  <c r="F115" i="13" s="1"/>
  <c r="F117" i="13"/>
  <c r="F41" i="13"/>
  <c r="F80" i="13"/>
  <c r="F85" i="13"/>
  <c r="F84" i="13"/>
  <c r="F90" i="13"/>
  <c r="F71" i="13"/>
  <c r="F72" i="13"/>
  <c r="F95" i="13"/>
  <c r="F103" i="13"/>
  <c r="F81" i="13"/>
  <c r="F19" i="13"/>
  <c r="G17" i="13"/>
  <c r="F54" i="13"/>
  <c r="K2" i="13"/>
  <c r="K129" i="13" s="1"/>
  <c r="K135" i="13"/>
  <c r="F77" i="13"/>
  <c r="H2" i="13"/>
  <c r="H129" i="13" s="1"/>
  <c r="F4" i="13"/>
  <c r="H135" i="13"/>
  <c r="F98" i="13"/>
  <c r="J79" i="4"/>
  <c r="M83" i="4"/>
  <c r="M174" i="4" s="1"/>
  <c r="G54" i="4"/>
  <c r="J83" i="4"/>
  <c r="J174" i="4" s="1"/>
  <c r="L79" i="4"/>
  <c r="L83" i="4"/>
  <c r="L174" i="4" s="1"/>
  <c r="K83" i="4"/>
  <c r="K174" i="4" s="1"/>
  <c r="K79" i="4"/>
  <c r="K173" i="4" s="1"/>
  <c r="M79" i="4"/>
  <c r="I79" i="4"/>
  <c r="I173" i="4" s="1"/>
  <c r="I83" i="4"/>
  <c r="I174" i="4" s="1"/>
  <c r="K93" i="4"/>
  <c r="K176" i="4" s="1"/>
  <c r="I93" i="4"/>
  <c r="I176" i="4" s="1"/>
  <c r="G68" i="4"/>
  <c r="J93" i="4"/>
  <c r="J176" i="4" s="1"/>
  <c r="M93" i="4"/>
  <c r="M176" i="4" s="1"/>
  <c r="L93" i="4"/>
  <c r="L176" i="4" s="1"/>
  <c r="G112" i="4"/>
  <c r="K4" i="4"/>
  <c r="L4" i="4"/>
  <c r="L2" i="4" s="1"/>
  <c r="L129" i="4" s="1"/>
  <c r="M4" i="4"/>
  <c r="M2" i="4" s="1"/>
  <c r="M129" i="4" s="1"/>
  <c r="J4" i="4"/>
  <c r="H17" i="4"/>
  <c r="K74" i="4"/>
  <c r="K172" i="4" s="1"/>
  <c r="L74" i="4"/>
  <c r="L172" i="4" s="1"/>
  <c r="I74" i="4"/>
  <c r="M74" i="4"/>
  <c r="M172" i="4" s="1"/>
  <c r="J74" i="4"/>
  <c r="J172" i="4" s="1"/>
  <c r="G195" i="4"/>
  <c r="J188" i="4"/>
  <c r="M70" i="4"/>
  <c r="M171" i="4" s="1"/>
  <c r="I186" i="4"/>
  <c r="L186" i="4"/>
  <c r="J186" i="4"/>
  <c r="K186" i="4"/>
  <c r="L70" i="4"/>
  <c r="L171" i="4" s="1"/>
  <c r="K70" i="4"/>
  <c r="K171" i="4" s="1"/>
  <c r="G72" i="4"/>
  <c r="I188" i="4"/>
  <c r="G13" i="4"/>
  <c r="I70" i="4"/>
  <c r="G71" i="4"/>
  <c r="G183" i="4"/>
  <c r="G169" i="4"/>
  <c r="J70" i="4"/>
  <c r="L188" i="4"/>
  <c r="K188" i="4"/>
  <c r="J103" i="4"/>
  <c r="J178" i="4" s="1"/>
  <c r="K89" i="4"/>
  <c r="K175" i="4" s="1"/>
  <c r="I98" i="4"/>
  <c r="I177" i="4" s="1"/>
  <c r="L89" i="4"/>
  <c r="L175" i="4" s="1"/>
  <c r="L98" i="4"/>
  <c r="L177" i="4" s="1"/>
  <c r="K103" i="4"/>
  <c r="K178" i="4" s="1"/>
  <c r="J89" i="4"/>
  <c r="J175" i="4" s="1"/>
  <c r="L103" i="4"/>
  <c r="L178" i="4" s="1"/>
  <c r="I89" i="4"/>
  <c r="I175" i="4" s="1"/>
  <c r="I103" i="4"/>
  <c r="I178" i="4" s="1"/>
  <c r="M89" i="4"/>
  <c r="M175" i="4" s="1"/>
  <c r="M103" i="4"/>
  <c r="M178" i="4" s="1"/>
  <c r="K98" i="4"/>
  <c r="K177" i="4" s="1"/>
  <c r="J98" i="4"/>
  <c r="J177" i="4" s="1"/>
  <c r="M98" i="4"/>
  <c r="M177" i="4" s="1"/>
  <c r="G110" i="4"/>
  <c r="G111" i="4"/>
  <c r="G91" i="4"/>
  <c r="G101" i="4"/>
  <c r="G99" i="4"/>
  <c r="G100" i="4"/>
  <c r="G94" i="4"/>
  <c r="G104" i="4"/>
  <c r="G90" i="4"/>
  <c r="G95" i="4"/>
  <c r="G85" i="4"/>
  <c r="G105" i="4"/>
  <c r="G84" i="4"/>
  <c r="G60" i="4"/>
  <c r="G77" i="4"/>
  <c r="G76" i="4"/>
  <c r="G59" i="4"/>
  <c r="G87" i="4"/>
  <c r="G58" i="4"/>
  <c r="G57" i="4"/>
  <c r="G65" i="4"/>
  <c r="G81" i="4"/>
  <c r="G86" i="4"/>
  <c r="G80" i="4"/>
  <c r="G48" i="4"/>
  <c r="G56" i="4"/>
  <c r="G75" i="4"/>
  <c r="M61" i="4"/>
  <c r="L61" i="4"/>
  <c r="K61" i="4"/>
  <c r="G63" i="4"/>
  <c r="G62" i="4"/>
  <c r="J61" i="4"/>
  <c r="G64" i="4"/>
  <c r="I61" i="4"/>
  <c r="G66" i="4"/>
  <c r="G9" i="4"/>
  <c r="G41" i="4"/>
  <c r="G37" i="4"/>
  <c r="G24" i="4"/>
  <c r="G117" i="4"/>
  <c r="I115" i="4"/>
  <c r="G189" i="4" s="1"/>
  <c r="G21" i="4"/>
  <c r="H47" i="15" l="1"/>
  <c r="F93" i="14"/>
  <c r="I135" i="14"/>
  <c r="I2" i="14"/>
  <c r="I129" i="14" s="1"/>
  <c r="K47" i="4"/>
  <c r="J47" i="15"/>
  <c r="K47" i="14"/>
  <c r="J47" i="13"/>
  <c r="I47" i="14"/>
  <c r="H47" i="13"/>
  <c r="L47" i="14"/>
  <c r="I47" i="15"/>
  <c r="K47" i="15"/>
  <c r="I47" i="13"/>
  <c r="J47" i="14"/>
  <c r="L47" i="13"/>
  <c r="M47" i="4"/>
  <c r="M184" i="4" s="1"/>
  <c r="H47" i="14"/>
  <c r="J47" i="4"/>
  <c r="K47" i="13"/>
  <c r="I47" i="4"/>
  <c r="L47" i="4"/>
  <c r="L47" i="15"/>
  <c r="G187" i="4"/>
  <c r="F89" i="14"/>
  <c r="F108" i="14"/>
  <c r="F108" i="15"/>
  <c r="F108" i="13"/>
  <c r="F61" i="13"/>
  <c r="F61" i="15"/>
  <c r="F61" i="14"/>
  <c r="I2" i="15"/>
  <c r="I129" i="15" s="1"/>
  <c r="I135" i="15"/>
  <c r="F93" i="15"/>
  <c r="F89" i="15"/>
  <c r="F4" i="15"/>
  <c r="F70" i="15"/>
  <c r="F74" i="15"/>
  <c r="G136" i="15"/>
  <c r="G137" i="15" s="1"/>
  <c r="G130" i="15"/>
  <c r="G128" i="15" s="1"/>
  <c r="G131" i="15" s="1"/>
  <c r="F17" i="15"/>
  <c r="F79" i="15"/>
  <c r="F83" i="15"/>
  <c r="F70" i="14"/>
  <c r="F79" i="14"/>
  <c r="F74" i="14"/>
  <c r="F83" i="14"/>
  <c r="G136" i="14"/>
  <c r="G137" i="14" s="1"/>
  <c r="G130" i="14"/>
  <c r="G128" i="14" s="1"/>
  <c r="G131" i="14" s="1"/>
  <c r="F17" i="14"/>
  <c r="H129" i="14"/>
  <c r="G136" i="13"/>
  <c r="G137" i="13" s="1"/>
  <c r="G130" i="13"/>
  <c r="G128" i="13" s="1"/>
  <c r="G131" i="13" s="1"/>
  <c r="F17" i="13"/>
  <c r="F2" i="13"/>
  <c r="F74" i="13"/>
  <c r="F89" i="13"/>
  <c r="F79" i="13"/>
  <c r="F93" i="13"/>
  <c r="F83" i="13"/>
  <c r="F70" i="13"/>
  <c r="J173" i="4"/>
  <c r="L173" i="4"/>
  <c r="M173" i="4"/>
  <c r="H138" i="4"/>
  <c r="H139" i="4" s="1"/>
  <c r="H130" i="4"/>
  <c r="H128" i="4" s="1"/>
  <c r="I172" i="4"/>
  <c r="G172" i="4" s="1"/>
  <c r="I193" i="4"/>
  <c r="K193" i="4"/>
  <c r="J193" i="4"/>
  <c r="L193" i="4"/>
  <c r="M193" i="4"/>
  <c r="K2" i="4"/>
  <c r="K129" i="4" s="1"/>
  <c r="K137" i="4"/>
  <c r="H193" i="4"/>
  <c r="L137" i="4"/>
  <c r="M137" i="4"/>
  <c r="G188" i="4"/>
  <c r="I171" i="4"/>
  <c r="G174" i="4"/>
  <c r="G186" i="4"/>
  <c r="G176" i="4"/>
  <c r="G177" i="4"/>
  <c r="G70" i="4"/>
  <c r="J171" i="4"/>
  <c r="G175" i="4"/>
  <c r="G178" i="4"/>
  <c r="G179" i="4"/>
  <c r="G115" i="4"/>
  <c r="J137" i="4"/>
  <c r="J2" i="4"/>
  <c r="G108" i="4"/>
  <c r="G93" i="4"/>
  <c r="G89" i="4"/>
  <c r="G83" i="4"/>
  <c r="G98" i="4"/>
  <c r="G103" i="4"/>
  <c r="G61" i="4"/>
  <c r="N67" i="4"/>
  <c r="G17" i="4"/>
  <c r="F2" i="14" l="1"/>
  <c r="H132" i="4"/>
  <c r="H133" i="4" s="1"/>
  <c r="H131" i="4"/>
  <c r="F2" i="15"/>
  <c r="G139" i="15"/>
  <c r="G134" i="15"/>
  <c r="G149" i="15" s="1"/>
  <c r="G139" i="14"/>
  <c r="G134" i="14"/>
  <c r="G149" i="14" s="1"/>
  <c r="G139" i="13"/>
  <c r="G134" i="13"/>
  <c r="G149" i="13" s="1"/>
  <c r="G173" i="4"/>
  <c r="G79" i="4"/>
  <c r="G74" i="4"/>
  <c r="H136" i="4"/>
  <c r="H151" i="4" s="1"/>
  <c r="H141" i="4"/>
  <c r="H192" i="4"/>
  <c r="G193" i="4"/>
  <c r="G185" i="4"/>
  <c r="G171" i="4"/>
  <c r="J129" i="4"/>
  <c r="G138" i="15" l="1"/>
  <c r="G158" i="15" s="1"/>
  <c r="G138" i="14"/>
  <c r="G158" i="14" s="1"/>
  <c r="G138" i="13"/>
  <c r="G158" i="13" s="1"/>
  <c r="H154" i="4"/>
  <c r="H140" i="4"/>
  <c r="G152" i="15" l="1"/>
  <c r="G152" i="14"/>
  <c r="G152" i="13"/>
  <c r="H160" i="4"/>
  <c r="H163" i="4" s="1"/>
  <c r="C4" i="17" s="1"/>
  <c r="G161" i="15" l="1"/>
  <c r="F4" i="17" s="1"/>
  <c r="G161" i="14"/>
  <c r="E4" i="17" s="1"/>
  <c r="G161" i="13"/>
  <c r="D4" i="17" s="1"/>
  <c r="I4" i="4" l="1"/>
  <c r="I2" i="4" s="1"/>
  <c r="G2" i="4" s="1"/>
  <c r="G5" i="4"/>
  <c r="G4" i="4" l="1"/>
  <c r="I137" i="4"/>
  <c r="I129" i="4"/>
  <c r="I170" i="4" l="1"/>
  <c r="I184" i="4" l="1"/>
  <c r="I33" i="4"/>
  <c r="I32" i="4" s="1"/>
  <c r="I30" i="4" l="1"/>
  <c r="I191" i="4"/>
  <c r="I181" i="4" s="1"/>
  <c r="I180" i="4"/>
  <c r="I168" i="4" l="1"/>
  <c r="I194" i="4"/>
  <c r="I138" i="4"/>
  <c r="I139" i="4" s="1"/>
  <c r="I130" i="4"/>
  <c r="I128" i="4" s="1"/>
  <c r="I131" i="4" l="1"/>
  <c r="AH14" i="5"/>
  <c r="AH17" i="5" s="1"/>
  <c r="I136" i="4"/>
  <c r="I141" i="4"/>
  <c r="I143" i="4" s="1"/>
  <c r="I132" i="4" s="1"/>
  <c r="I133" i="4" s="1"/>
  <c r="I192" i="4"/>
  <c r="I140" i="4" l="1"/>
  <c r="I151" i="4"/>
  <c r="I154" i="4" l="1"/>
  <c r="I160" i="4"/>
  <c r="I163" i="4" l="1"/>
  <c r="C5" i="17" l="1"/>
  <c r="M33" i="4"/>
  <c r="M32" i="4" s="1"/>
  <c r="G55" i="4"/>
  <c r="K170" i="4"/>
  <c r="J170" i="4"/>
  <c r="L170" i="4"/>
  <c r="J184" i="4" l="1"/>
  <c r="L33" i="4"/>
  <c r="L32" i="4" s="1"/>
  <c r="L30" i="4" s="1"/>
  <c r="M170" i="4"/>
  <c r="G170" i="4" s="1"/>
  <c r="J33" i="4"/>
  <c r="J32" i="4" s="1"/>
  <c r="J180" i="4" s="1"/>
  <c r="J168" i="4" s="1"/>
  <c r="G47" i="4"/>
  <c r="M191" i="4"/>
  <c r="M181" i="4" s="1"/>
  <c r="M180" i="4"/>
  <c r="M30" i="4"/>
  <c r="K33" i="4"/>
  <c r="K32" i="4" s="1"/>
  <c r="K184" i="4"/>
  <c r="L184" i="4"/>
  <c r="L191" i="4" l="1"/>
  <c r="L181" i="4" s="1"/>
  <c r="L180" i="4"/>
  <c r="L168" i="4" s="1"/>
  <c r="M168" i="4"/>
  <c r="J191" i="4"/>
  <c r="J181" i="4" s="1"/>
  <c r="J30" i="4"/>
  <c r="J194" i="4" s="1"/>
  <c r="K180" i="4"/>
  <c r="K191" i="4"/>
  <c r="K181" i="4" s="1"/>
  <c r="K30" i="4"/>
  <c r="G184" i="4"/>
  <c r="G32" i="4"/>
  <c r="L138" i="4"/>
  <c r="L139" i="4" s="1"/>
  <c r="L130" i="4"/>
  <c r="L128" i="4" s="1"/>
  <c r="L194" i="4"/>
  <c r="L192" i="4" s="1"/>
  <c r="M194" i="4"/>
  <c r="M192" i="4" s="1"/>
  <c r="M138" i="4"/>
  <c r="M139" i="4" s="1"/>
  <c r="M130" i="4"/>
  <c r="M128" i="4" s="1"/>
  <c r="G30" i="4" l="1"/>
  <c r="J130" i="4"/>
  <c r="J128" i="4" s="1"/>
  <c r="J131" i="4" s="1"/>
  <c r="G191" i="4"/>
  <c r="J138" i="4"/>
  <c r="J139" i="4" s="1"/>
  <c r="J141" i="4" s="1"/>
  <c r="J143" i="4" s="1"/>
  <c r="G181" i="4"/>
  <c r="N184" i="4" s="1"/>
  <c r="O184" i="4" s="1"/>
  <c r="J192" i="4"/>
  <c r="M136" i="4"/>
  <c r="M141" i="4"/>
  <c r="M143" i="4" s="1"/>
  <c r="M132" i="4" s="1"/>
  <c r="K130" i="4"/>
  <c r="K128" i="4" s="1"/>
  <c r="K138" i="4"/>
  <c r="K139" i="4" s="1"/>
  <c r="K194" i="4"/>
  <c r="K192" i="4" s="1"/>
  <c r="L136" i="4"/>
  <c r="L141" i="4"/>
  <c r="L143" i="4" s="1"/>
  <c r="L132" i="4" s="1"/>
  <c r="K168" i="4"/>
  <c r="G168" i="4" s="1"/>
  <c r="G180" i="4"/>
  <c r="J132" i="4" l="1"/>
  <c r="J133" i="4" s="1"/>
  <c r="N190" i="4"/>
  <c r="O190" i="4" s="1"/>
  <c r="N182" i="4"/>
  <c r="O182" i="4" s="1"/>
  <c r="N183" i="4"/>
  <c r="O183" i="4" s="1"/>
  <c r="N189" i="4"/>
  <c r="O189" i="4" s="1"/>
  <c r="N188" i="4"/>
  <c r="O188" i="4" s="1"/>
  <c r="N187" i="4"/>
  <c r="O187" i="4" s="1"/>
  <c r="N186" i="4"/>
  <c r="O186" i="4" s="1"/>
  <c r="N185" i="4"/>
  <c r="O185" i="4" s="1"/>
  <c r="N180" i="4"/>
  <c r="O180" i="4" s="1"/>
  <c r="N191" i="4"/>
  <c r="O191" i="4" s="1"/>
  <c r="N169" i="4"/>
  <c r="O169" i="4" s="1"/>
  <c r="N175" i="4"/>
  <c r="O175" i="4" s="1"/>
  <c r="N178" i="4"/>
  <c r="O178" i="4" s="1"/>
  <c r="N176" i="4"/>
  <c r="O176" i="4" s="1"/>
  <c r="N177" i="4"/>
  <c r="O177" i="4" s="1"/>
  <c r="N172" i="4"/>
  <c r="O172" i="4" s="1"/>
  <c r="N179" i="4"/>
  <c r="O179" i="4" s="1"/>
  <c r="N174" i="4"/>
  <c r="O174" i="4" s="1"/>
  <c r="N171" i="4"/>
  <c r="O171" i="4" s="1"/>
  <c r="N173" i="4"/>
  <c r="O173" i="4" s="1"/>
  <c r="N170" i="4"/>
  <c r="O170" i="4" s="1"/>
  <c r="J136" i="4"/>
  <c r="J151" i="4" s="1"/>
  <c r="G194" i="4"/>
  <c r="G192" i="4"/>
  <c r="N195" i="4" s="1"/>
  <c r="O195" i="4" s="1"/>
  <c r="M140" i="4"/>
  <c r="M160" i="4" s="1"/>
  <c r="M151" i="4"/>
  <c r="K131" i="4"/>
  <c r="L131" i="4" s="1"/>
  <c r="M131" i="4" s="1"/>
  <c r="K136" i="4"/>
  <c r="K141" i="4"/>
  <c r="K143" i="4" s="1"/>
  <c r="K132" i="4" s="1"/>
  <c r="L151" i="4"/>
  <c r="L140" i="4"/>
  <c r="L160" i="4" s="1"/>
  <c r="K133" i="4" l="1"/>
  <c r="L133" i="4" s="1"/>
  <c r="M133" i="4" s="1"/>
  <c r="J140" i="4"/>
  <c r="J160" i="4" s="1"/>
  <c r="N194" i="4"/>
  <c r="O194" i="4" s="1"/>
  <c r="N193" i="4"/>
  <c r="O193" i="4" s="1"/>
  <c r="K140" i="4"/>
  <c r="K160" i="4" s="1"/>
  <c r="K151" i="4"/>
  <c r="G148" i="4" s="1"/>
  <c r="C9" i="5" s="1"/>
  <c r="J154" i="4"/>
  <c r="G149" i="4"/>
  <c r="G150" i="4" s="1"/>
  <c r="Q9" i="5" s="1"/>
  <c r="G158" i="4" l="1"/>
  <c r="G159" i="4" s="1"/>
  <c r="W9" i="5" s="1"/>
  <c r="K154" i="4"/>
  <c r="L154" i="4" s="1"/>
  <c r="M154" i="4" s="1"/>
  <c r="G153" i="4" s="1" a="1"/>
  <c r="G153" i="4" s="1"/>
  <c r="AE9" i="5" s="1"/>
  <c r="J163" i="4"/>
  <c r="G157" i="4"/>
  <c r="AC14" i="16" l="1"/>
  <c r="AC10" i="16"/>
  <c r="I9" i="5"/>
  <c r="C6" i="17"/>
  <c r="K163" i="4"/>
  <c r="L163" i="4" l="1"/>
  <c r="C7" i="17"/>
  <c r="M163" i="4" l="1"/>
  <c r="C8" i="17"/>
  <c r="C9" i="17" l="1"/>
  <c r="G162" i="4" a="1"/>
  <c r="G162" i="4" s="1"/>
  <c r="AC18" i="16" l="1"/>
  <c r="AK9" i="5"/>
  <c r="H33" i="13"/>
  <c r="H32" i="13" s="1"/>
  <c r="H30" i="13" l="1"/>
  <c r="H130" i="13" l="1"/>
  <c r="H128" i="13" s="1"/>
  <c r="H136" i="13"/>
  <c r="H137" i="13" s="1"/>
  <c r="H139" i="13" l="1"/>
  <c r="H141" i="13" s="1"/>
  <c r="H131" i="13" s="1"/>
  <c r="H134" i="13"/>
  <c r="H149" i="13" l="1"/>
  <c r="H138" i="13"/>
  <c r="H158" i="13" l="1"/>
  <c r="H152" i="13"/>
  <c r="H161" i="13" l="1"/>
  <c r="D5" i="17" l="1"/>
  <c r="L33" i="13"/>
  <c r="L32" i="13" s="1"/>
  <c r="L30" i="13" s="1"/>
  <c r="J33" i="13"/>
  <c r="J32" i="13" s="1"/>
  <c r="J30" i="13" s="1"/>
  <c r="F55" i="13"/>
  <c r="F47" i="13"/>
  <c r="I33" i="13"/>
  <c r="I32" i="13" s="1"/>
  <c r="I30" i="13" s="1"/>
  <c r="K33" i="13"/>
  <c r="K32" i="13" s="1"/>
  <c r="K30" i="13" s="1"/>
  <c r="I130" i="13" l="1"/>
  <c r="I128" i="13" s="1"/>
  <c r="I136" i="13"/>
  <c r="I137" i="13" s="1"/>
  <c r="I139" i="13" s="1"/>
  <c r="I141" i="13" s="1"/>
  <c r="K130" i="13"/>
  <c r="K128" i="13" s="1"/>
  <c r="K136" i="13"/>
  <c r="K137" i="13" s="1"/>
  <c r="K134" i="13" s="1"/>
  <c r="J136" i="13"/>
  <c r="J137" i="13" s="1"/>
  <c r="J130" i="13"/>
  <c r="J128" i="13" s="1"/>
  <c r="L136" i="13"/>
  <c r="L137" i="13" s="1"/>
  <c r="L130" i="13"/>
  <c r="L128" i="13" s="1"/>
  <c r="F32" i="13"/>
  <c r="F30" i="13"/>
  <c r="I131" i="13" l="1"/>
  <c r="I134" i="13"/>
  <c r="I149" i="13" s="1"/>
  <c r="K139" i="13"/>
  <c r="K141" i="13" s="1"/>
  <c r="K131" i="13" s="1"/>
  <c r="L134" i="13"/>
  <c r="L139" i="13"/>
  <c r="L141" i="13" s="1"/>
  <c r="L131" i="13" s="1"/>
  <c r="J139" i="13"/>
  <c r="J141" i="13" s="1"/>
  <c r="J131" i="13" s="1"/>
  <c r="J134" i="13"/>
  <c r="K149" i="13"/>
  <c r="I138" i="13" l="1"/>
  <c r="I158" i="13" s="1"/>
  <c r="K138" i="13"/>
  <c r="K158" i="13" s="1"/>
  <c r="I152" i="13"/>
  <c r="J149" i="13"/>
  <c r="J138" i="13"/>
  <c r="J158" i="13" s="1"/>
  <c r="F147" i="13"/>
  <c r="F148" i="13" s="1"/>
  <c r="L138" i="13"/>
  <c r="L158" i="13" s="1"/>
  <c r="L149" i="13"/>
  <c r="F146" i="13" l="1"/>
  <c r="J152" i="13"/>
  <c r="K152" i="13" s="1"/>
  <c r="L152" i="13" s="1"/>
  <c r="F151" i="13" s="1" a="1"/>
  <c r="F151" i="13" s="1"/>
  <c r="F156" i="13"/>
  <c r="F157" i="13" s="1"/>
  <c r="AJ14" i="16" s="1"/>
  <c r="F155" i="13"/>
  <c r="AJ10" i="16" s="1"/>
  <c r="I161" i="13"/>
  <c r="D6" i="17" l="1"/>
  <c r="J161" i="13"/>
  <c r="D7" i="17" l="1"/>
  <c r="K161" i="13"/>
  <c r="L161" i="13" l="1"/>
  <c r="D8" i="17"/>
  <c r="F160" i="13" l="1" a="1"/>
  <c r="F160" i="13" s="1"/>
  <c r="AJ18" i="16" s="1"/>
  <c r="D9" i="17"/>
  <c r="H33" i="14"/>
  <c r="H32" i="14" s="1"/>
  <c r="H30" i="14" l="1"/>
  <c r="H130" i="14" l="1"/>
  <c r="H128" i="14" s="1"/>
  <c r="H136" i="14"/>
  <c r="H137" i="14" s="1"/>
  <c r="H139" i="14" l="1"/>
  <c r="H141" i="14" s="1"/>
  <c r="H131" i="14" s="1"/>
  <c r="H134" i="14"/>
  <c r="H138" i="14" l="1"/>
  <c r="H149" i="14"/>
  <c r="H152" i="14" l="1"/>
  <c r="H158" i="14"/>
  <c r="H161" i="14" l="1"/>
  <c r="E5" i="17" l="1"/>
  <c r="L33" i="14"/>
  <c r="L32" i="14" s="1"/>
  <c r="L30" i="14" s="1"/>
  <c r="F55" i="14"/>
  <c r="K33" i="14"/>
  <c r="K32" i="14" s="1"/>
  <c r="K30" i="14" s="1"/>
  <c r="J33" i="14"/>
  <c r="J32" i="14" s="1"/>
  <c r="J30" i="14" s="1"/>
  <c r="I33" i="14"/>
  <c r="I32" i="14" s="1"/>
  <c r="J130" i="14" l="1"/>
  <c r="J128" i="14" s="1"/>
  <c r="J136" i="14"/>
  <c r="J137" i="14" s="1"/>
  <c r="K136" i="14"/>
  <c r="K137" i="14" s="1"/>
  <c r="K130" i="14"/>
  <c r="K128" i="14" s="1"/>
  <c r="F32" i="14"/>
  <c r="I30" i="14"/>
  <c r="L136" i="14"/>
  <c r="L137" i="14" s="1"/>
  <c r="L130" i="14"/>
  <c r="L128" i="14" s="1"/>
  <c r="F47" i="14"/>
  <c r="F30" i="14" l="1"/>
  <c r="I130" i="14"/>
  <c r="I128" i="14" s="1"/>
  <c r="I136" i="14"/>
  <c r="I137" i="14" s="1"/>
  <c r="K139" i="14"/>
  <c r="K141" i="14" s="1"/>
  <c r="K131" i="14" s="1"/>
  <c r="K134" i="14"/>
  <c r="L139" i="14"/>
  <c r="L141" i="14" s="1"/>
  <c r="L131" i="14" s="1"/>
  <c r="L134" i="14"/>
  <c r="J139" i="14"/>
  <c r="J141" i="14" s="1"/>
  <c r="J131" i="14" s="1"/>
  <c r="J134" i="14"/>
  <c r="I139" i="14" l="1"/>
  <c r="I141" i="14" s="1"/>
  <c r="I131" i="14" s="1"/>
  <c r="I134" i="14"/>
  <c r="L138" i="14"/>
  <c r="L158" i="14" s="1"/>
  <c r="L149" i="14"/>
  <c r="K138" i="14"/>
  <c r="K158" i="14" s="1"/>
  <c r="K149" i="14"/>
  <c r="J149" i="14"/>
  <c r="J138" i="14"/>
  <c r="J158" i="14" s="1"/>
  <c r="F147" i="14" l="1"/>
  <c r="F148" i="14" s="1"/>
  <c r="I138" i="14"/>
  <c r="I149" i="14"/>
  <c r="F146" i="14" l="1"/>
  <c r="I152" i="14"/>
  <c r="J152" i="14" s="1"/>
  <c r="K152" i="14" s="1"/>
  <c r="L152" i="14" s="1"/>
  <c r="F151" i="14" s="1" a="1"/>
  <c r="F151" i="14" s="1"/>
  <c r="I158" i="14"/>
  <c r="F156" i="14"/>
  <c r="F157" i="14" s="1"/>
  <c r="AL14" i="16" s="1"/>
  <c r="I161" i="14" l="1"/>
  <c r="F155" i="14"/>
  <c r="AL10" i="16" s="1"/>
  <c r="J161" i="14" l="1"/>
  <c r="E6" i="17"/>
  <c r="K161" i="14" l="1"/>
  <c r="E7" i="17"/>
  <c r="L161" i="14" l="1"/>
  <c r="E8" i="17"/>
  <c r="E9" i="17" l="1"/>
  <c r="F160" i="14" a="1"/>
  <c r="F160" i="14" s="1"/>
  <c r="AL18" i="16" s="1"/>
  <c r="H33" i="15" l="1"/>
  <c r="H32" i="15" s="1"/>
  <c r="H30" i="15" l="1"/>
  <c r="H130" i="15" l="1"/>
  <c r="H128" i="15" s="1"/>
  <c r="H136" i="15"/>
  <c r="H137" i="15" s="1"/>
  <c r="H139" i="15" l="1"/>
  <c r="H141" i="15" s="1"/>
  <c r="H131" i="15" s="1"/>
  <c r="H134" i="15"/>
  <c r="H149" i="15" l="1"/>
  <c r="H138" i="15"/>
  <c r="H158" i="15" l="1"/>
  <c r="H152" i="15"/>
  <c r="H161" i="15" l="1"/>
  <c r="F5" i="17" l="1"/>
  <c r="F55" i="15"/>
  <c r="L33" i="15"/>
  <c r="L32" i="15" s="1"/>
  <c r="L30" i="15" s="1"/>
  <c r="J33" i="15"/>
  <c r="J32" i="15" s="1"/>
  <c r="J30" i="15" s="1"/>
  <c r="K33" i="15"/>
  <c r="K32" i="15" s="1"/>
  <c r="K30" i="15" s="1"/>
  <c r="I33" i="15"/>
  <c r="I32" i="15" s="1"/>
  <c r="K130" i="15" l="1"/>
  <c r="K128" i="15" s="1"/>
  <c r="K136" i="15"/>
  <c r="K137" i="15" s="1"/>
  <c r="I30" i="15"/>
  <c r="F32" i="15"/>
  <c r="J130" i="15"/>
  <c r="J128" i="15" s="1"/>
  <c r="J136" i="15"/>
  <c r="J137" i="15" s="1"/>
  <c r="L130" i="15"/>
  <c r="L128" i="15" s="1"/>
  <c r="L136" i="15"/>
  <c r="L137" i="15" s="1"/>
  <c r="F47" i="15"/>
  <c r="L139" i="15" l="1"/>
  <c r="L141" i="15" s="1"/>
  <c r="L131" i="15" s="1"/>
  <c r="L134" i="15"/>
  <c r="J134" i="15"/>
  <c r="J139" i="15"/>
  <c r="J141" i="15" s="1"/>
  <c r="J131" i="15" s="1"/>
  <c r="I136" i="15"/>
  <c r="I137" i="15" s="1"/>
  <c r="I130" i="15"/>
  <c r="I128" i="15" s="1"/>
  <c r="F30" i="15"/>
  <c r="K139" i="15"/>
  <c r="K141" i="15" s="1"/>
  <c r="K131" i="15" s="1"/>
  <c r="K134" i="15"/>
  <c r="L138" i="15" l="1"/>
  <c r="L158" i="15" s="1"/>
  <c r="L149" i="15"/>
  <c r="I134" i="15"/>
  <c r="I139" i="15"/>
  <c r="I141" i="15" s="1"/>
  <c r="I131" i="15" s="1"/>
  <c r="J138" i="15"/>
  <c r="J158" i="15" s="1"/>
  <c r="J149" i="15"/>
  <c r="K149" i="15"/>
  <c r="K138" i="15"/>
  <c r="K158" i="15" s="1"/>
  <c r="F147" i="15" l="1"/>
  <c r="F148" i="15" s="1"/>
  <c r="I149" i="15"/>
  <c r="I138" i="15"/>
  <c r="F156" i="15" l="1"/>
  <c r="F157" i="15" s="1"/>
  <c r="AN14" i="16" s="1"/>
  <c r="I158" i="15"/>
  <c r="F146" i="15"/>
  <c r="I152" i="15"/>
  <c r="J152" i="15" s="1"/>
  <c r="K152" i="15" s="1"/>
  <c r="L152" i="15" s="1"/>
  <c r="F151" i="15" s="1" a="1"/>
  <c r="F151" i="15" s="1"/>
  <c r="F155" i="15" l="1"/>
  <c r="AN10" i="16" s="1"/>
  <c r="I161" i="15"/>
  <c r="F6" i="17" l="1"/>
  <c r="J161" i="15"/>
  <c r="K161" i="15" l="1"/>
  <c r="F7" i="17"/>
  <c r="L161" i="15" l="1"/>
  <c r="F8" i="17"/>
  <c r="F9" i="17" l="1"/>
  <c r="F160" i="15" a="1"/>
  <c r="F160" i="15" s="1"/>
  <c r="AN18"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<sst xmlns="http://schemas.openxmlformats.org/spreadsheetml/2006/main" count="1837" uniqueCount="640">
  <si>
    <t>Category</t>
  </si>
  <si>
    <t>Unit</t>
  </si>
  <si>
    <t>Rental Agreements</t>
  </si>
  <si>
    <t>Revenue</t>
  </si>
  <si>
    <t>Loans</t>
  </si>
  <si>
    <t>€</t>
  </si>
  <si>
    <t>€ / Year</t>
  </si>
  <si>
    <t>CapEx</t>
  </si>
  <si>
    <t>Intangible Assets</t>
  </si>
  <si>
    <t>h</t>
  </si>
  <si>
    <t>OpEx</t>
  </si>
  <si>
    <t>%</t>
  </si>
  <si>
    <t>€ / h</t>
  </si>
  <si>
    <t>Forward Logistics</t>
  </si>
  <si>
    <t>km</t>
  </si>
  <si>
    <t>Backward Logistics</t>
  </si>
  <si>
    <t>Financing Costs</t>
  </si>
  <si>
    <t>Discount Rate</t>
  </si>
  <si>
    <t>Sub-Categoy</t>
  </si>
  <si>
    <t>Calculation Formular</t>
  </si>
  <si>
    <t>Total Value</t>
  </si>
  <si>
    <t>Year 0 - Value</t>
  </si>
  <si>
    <t>Year 1 - Value</t>
  </si>
  <si>
    <t>Year 2 - Value</t>
  </si>
  <si>
    <t>Year 3 - Value</t>
  </si>
  <si>
    <t>Year 4 - Value</t>
  </si>
  <si>
    <t>Year 5 - Value</t>
  </si>
  <si>
    <t>Subsidies</t>
  </si>
  <si>
    <t>Tangible Assets</t>
  </si>
  <si>
    <t>Comissioning Costs</t>
  </si>
  <si>
    <t>Production Staff Costs</t>
  </si>
  <si>
    <t>Administrative Staff Costs</t>
  </si>
  <si>
    <t>Other Comissioning Costs</t>
  </si>
  <si>
    <t>Financing costs</t>
  </si>
  <si>
    <t>Repayment Instalment</t>
  </si>
  <si>
    <t>Interest Cost</t>
  </si>
  <si>
    <t>Depreciation</t>
  </si>
  <si>
    <t>Tax burden</t>
  </si>
  <si>
    <t>-</t>
  </si>
  <si>
    <t>€ / Contract</t>
  </si>
  <si>
    <t>Contracts</t>
  </si>
  <si>
    <t>New Rental Contracts Year 1</t>
  </si>
  <si>
    <t>New Rental Contracts Year 2</t>
  </si>
  <si>
    <t>New Rental Contracts Year 3</t>
  </si>
  <si>
    <t>New Rental Contracts Year 4</t>
  </si>
  <si>
    <t>New Rental Contracts Year 5</t>
  </si>
  <si>
    <t>Years</t>
  </si>
  <si>
    <t>Administrative Overhead</t>
  </si>
  <si>
    <t>Base Costs Heating</t>
  </si>
  <si>
    <t xml:space="preserve">Basic Rent </t>
  </si>
  <si>
    <t>Energy Consumption Heating</t>
  </si>
  <si>
    <t>Base Costs Electricity</t>
  </si>
  <si>
    <t>Energy Consumption Electricity</t>
  </si>
  <si>
    <t>Property Insurance</t>
  </si>
  <si>
    <t>Additional Commissioning Costs</t>
  </si>
  <si>
    <t>Commissioning Time Production Staff</t>
  </si>
  <si>
    <t>Commissioning Time Administration</t>
  </si>
  <si>
    <t>Additional Ongoing Property Costs</t>
  </si>
  <si>
    <t>€ / Core</t>
  </si>
  <si>
    <t>Name</t>
  </si>
  <si>
    <t>Material Costs</t>
  </si>
  <si>
    <t>Energy Costs</t>
  </si>
  <si>
    <t>Property Costs</t>
  </si>
  <si>
    <t>Disposal Costs</t>
  </si>
  <si>
    <t>kWh / Year</t>
  </si>
  <si>
    <t>Hourly Rate Production Staff</t>
  </si>
  <si>
    <t>Hourly Rate Administration</t>
  </si>
  <si>
    <t>Output Core Material for Recycling</t>
  </si>
  <si>
    <t>€ / kWh</t>
  </si>
  <si>
    <t>€ / Component</t>
  </si>
  <si>
    <t>€ / Product</t>
  </si>
  <si>
    <t>Manual Labour Identification &amp; Sorting</t>
  </si>
  <si>
    <t>Disposal Cost Core</t>
  </si>
  <si>
    <t>Disposal Cost Component</t>
  </si>
  <si>
    <t>Rental Contract Duration</t>
  </si>
  <si>
    <t>Annual Price Rental Contract</t>
  </si>
  <si>
    <t>Price Material for Recycling</t>
  </si>
  <si>
    <t>Consumption Cost Electricity</t>
  </si>
  <si>
    <t>Consumption Cost Heating</t>
  </si>
  <si>
    <t>Manual Labour Inspection</t>
  </si>
  <si>
    <t>Manual Labour Cleaning</t>
  </si>
  <si>
    <t>Manual Labour Restoring</t>
  </si>
  <si>
    <t>Manual Labour Testing</t>
  </si>
  <si>
    <t>Annual Price Trend Heating</t>
  </si>
  <si>
    <t>Annual Price Trend Electricity</t>
  </si>
  <si>
    <t xml:space="preserve">Annual Efficiency Increase Manual Labour </t>
  </si>
  <si>
    <t>Hourly Rate Machines</t>
  </si>
  <si>
    <t>Automated Labour Identification &amp; Sorting</t>
  </si>
  <si>
    <t>Automated Labour Inspection</t>
  </si>
  <si>
    <t>Automated Labour Cleaning</t>
  </si>
  <si>
    <t>Automated Labour Restoring</t>
  </si>
  <si>
    <t>Automated Labour Testing</t>
  </si>
  <si>
    <t>€ / (km * Product)</t>
  </si>
  <si>
    <t>Annual Efficiency Increase Automated Labour</t>
  </si>
  <si>
    <t>€ / (km * Core)</t>
  </si>
  <si>
    <t>Annual Efficiency Increase Backward Logistics</t>
  </si>
  <si>
    <t>Annual Efficiency Increase Forward Logistics</t>
  </si>
  <si>
    <t>Yearly Interest Cost</t>
  </si>
  <si>
    <t>Corporate Tax Rate</t>
  </si>
  <si>
    <t>on profits</t>
  </si>
  <si>
    <t>Debt Capital</t>
  </si>
  <si>
    <t>Commissioning Costs Research &amp; Development</t>
  </si>
  <si>
    <t>Invest Software</t>
  </si>
  <si>
    <t xml:space="preserve">Invest Office Equipment </t>
  </si>
  <si>
    <t>Invest Equity Holdings</t>
  </si>
  <si>
    <t>Public Funding Initial</t>
  </si>
  <si>
    <t>Public Funding Annual</t>
  </si>
  <si>
    <t>Auxiliary Calculations</t>
  </si>
  <si>
    <t>Rental Agreements Revenue</t>
  </si>
  <si>
    <t>Active Rental Agreements</t>
  </si>
  <si>
    <t>Automated Labour Disassembly</t>
  </si>
  <si>
    <t xml:space="preserve">Manual Labour Disassembly </t>
  </si>
  <si>
    <t>Manual Labour Assembly</t>
  </si>
  <si>
    <t>Automated Labour Assembly</t>
  </si>
  <si>
    <t>Equity Holdings</t>
  </si>
  <si>
    <t>Special Costs</t>
  </si>
  <si>
    <t>Special Costs Identification &amp; Sorting</t>
  </si>
  <si>
    <t>Special Costs Disassembly</t>
  </si>
  <si>
    <t>Special Costs Inspection</t>
  </si>
  <si>
    <t>Special Costs Cleaning</t>
  </si>
  <si>
    <t>Special Costs Restoring</t>
  </si>
  <si>
    <t>Special Costs Assembly</t>
  </si>
  <si>
    <t>Special Costs Testing</t>
  </si>
  <si>
    <t>Special Costs Backward Logistics</t>
  </si>
  <si>
    <t>Special Costs Forward Logistics</t>
  </si>
  <si>
    <t>Additional Special Costs</t>
  </si>
  <si>
    <t>Research and Development</t>
  </si>
  <si>
    <t>Total Financing Costs (SUM)</t>
  </si>
  <si>
    <t>Total Loan Expenses (SUM)</t>
  </si>
  <si>
    <t>Commissioning_Costs_Research___Development</t>
  </si>
  <si>
    <t>Loan Term</t>
  </si>
  <si>
    <t>Total OpEx (SUM)</t>
  </si>
  <si>
    <t>Total CapEx (SUM)</t>
  </si>
  <si>
    <t>Costs for Direct Pick-Up System</t>
  </si>
  <si>
    <t>Costs for Multi-Step Pick-Up System / Step 1 (to CAS)</t>
  </si>
  <si>
    <t>Costs for Multi-Step Pick-Up System / Step 2 (to PS; no Sorting at CAS)</t>
  </si>
  <si>
    <t>Costs for Multi-Step Pick-Up System / Step 2 (to PS; Sorting at CAS)</t>
  </si>
  <si>
    <t>Costs for Shipment of Cores</t>
  </si>
  <si>
    <t>Identification and Sorting</t>
  </si>
  <si>
    <t>Disassembly</t>
  </si>
  <si>
    <t>Inspection</t>
  </si>
  <si>
    <t>Cleaning</t>
  </si>
  <si>
    <t>Restoring</t>
  </si>
  <si>
    <t>Assembly</t>
  </si>
  <si>
    <t>Testing</t>
  </si>
  <si>
    <t>Property Costs (exc. Energy)</t>
  </si>
  <si>
    <t>Electricity</t>
  </si>
  <si>
    <t>Heating (Oil, Gas)</t>
  </si>
  <si>
    <t>Basic_Rent+Property_Insurance+Additional_Ongoing_Property_Costs</t>
  </si>
  <si>
    <t>Core-Premium</t>
  </si>
  <si>
    <t>Annual Price Trend Virgin Materials</t>
  </si>
  <si>
    <t>Not-Reusable Components</t>
  </si>
  <si>
    <t>Reusable Components</t>
  </si>
  <si>
    <t>Scrap Rate</t>
  </si>
  <si>
    <t>Product Sales Revenue</t>
  </si>
  <si>
    <t>Price Product</t>
  </si>
  <si>
    <t>Subtotal OpEx</t>
  </si>
  <si>
    <t>Special Costs Linear Production</t>
  </si>
  <si>
    <t>Personel Costs</t>
  </si>
  <si>
    <t>Machine Costs</t>
  </si>
  <si>
    <t>Core Premiums</t>
  </si>
  <si>
    <t>Backwards Logistic at the End of Rental Agreements</t>
  </si>
  <si>
    <t>Ending Rental Agreements</t>
  </si>
  <si>
    <t>Pending Backward Logistics Costs after Year 5</t>
  </si>
  <si>
    <t>After</t>
  </si>
  <si>
    <t>Backwards Logistic Sales</t>
  </si>
  <si>
    <t>I</t>
  </si>
  <si>
    <t>Disposal Costs Cores</t>
  </si>
  <si>
    <t>Disposal Costs Not Reusable Components</t>
  </si>
  <si>
    <t>Disposal Costs Scrap Components</t>
  </si>
  <si>
    <t>Required Input Cores</t>
  </si>
  <si>
    <t>Customer Site Repair Logstics</t>
  </si>
  <si>
    <t>Does the implementation of this business case require major investments (CapEx)?</t>
  </si>
  <si>
    <t>Linear Production Base Case</t>
  </si>
  <si>
    <t>Overflow from production, purchase or refurbishment (for rental)</t>
  </si>
  <si>
    <t>IF query of Rental_Contract_Duration for years &gt;5 (SUM)</t>
  </si>
  <si>
    <t>Total Income Flow (SUM)</t>
  </si>
  <si>
    <t>Public_Funding_Initial // Public_Funding_Annual</t>
  </si>
  <si>
    <t>Debt_Capital</t>
  </si>
  <si>
    <t>Other positive balance sheet positions</t>
  </si>
  <si>
    <t>Total other positive positions (SUM)</t>
  </si>
  <si>
    <t>(Base_Costs_Electricity+Energy_Consumption_Electricity*Consumption_Cost_Electricity)*(1+Annual_Price_Trend_Electricity)^t-1</t>
  </si>
  <si>
    <t>(Base_Costs_Heating+Energy_Consumption_Heating*Consumption_Cost_Heating)*(1+Annual_Price_Trend_Heating)^t-1</t>
  </si>
  <si>
    <t>x% Mark-Up on other OpEx</t>
  </si>
  <si>
    <t>Total OpEx Subtotal (SUM)+Additional_Special_Costs</t>
  </si>
  <si>
    <t>Inverse IF query of New_Rental_Contracts_Year_t</t>
  </si>
  <si>
    <t>Yearly_Interest_Cost (IF query of Loan-Term)</t>
  </si>
  <si>
    <t>Residual Value after Period of Review</t>
  </si>
  <si>
    <t>Y</t>
  </si>
  <si>
    <t>Net Present Value</t>
  </si>
  <si>
    <t>Internal Rate of Return</t>
  </si>
  <si>
    <t>Dynamic Payback Period</t>
  </si>
  <si>
    <t>/</t>
  </si>
  <si>
    <t>Year 1</t>
  </si>
  <si>
    <t>Year 2</t>
  </si>
  <si>
    <t>Year 3</t>
  </si>
  <si>
    <t>Year 4</t>
  </si>
  <si>
    <t>Year 5</t>
  </si>
  <si>
    <t xml:space="preserve">   </t>
  </si>
  <si>
    <t>=</t>
  </si>
  <si>
    <t>Ø Total Cost per Sales Unit</t>
  </si>
  <si>
    <t>Ø Margin per Sales Unit</t>
  </si>
  <si>
    <t>Backward Logistic</t>
  </si>
  <si>
    <t>Logistic Costs</t>
  </si>
  <si>
    <t>Personell Costs</t>
  </si>
  <si>
    <t>Administrative Costs</t>
  </si>
  <si>
    <t>Other Costs</t>
  </si>
  <si>
    <t>Net Price per Sales Unit</t>
  </si>
  <si>
    <t>Dismantling</t>
  </si>
  <si>
    <t>Special Costs Dismantling</t>
  </si>
  <si>
    <t>Automated Labour Dismantling</t>
  </si>
  <si>
    <t>Manual Labour Dismantling</t>
  </si>
  <si>
    <t>Percent</t>
  </si>
  <si>
    <t>Data Labeling</t>
  </si>
  <si>
    <t>Identification &amp; Sorting</t>
  </si>
  <si>
    <t>Forward Logistic</t>
  </si>
  <si>
    <t>Linear Production</t>
  </si>
  <si>
    <t>Welcome!</t>
  </si>
  <si>
    <t>Auxiliary Column</t>
  </si>
  <si>
    <t>Type</t>
  </si>
  <si>
    <t>Case name:</t>
  </si>
  <si>
    <t>Year Numbers</t>
  </si>
  <si>
    <t>Income Flows</t>
  </si>
  <si>
    <t xml:space="preserve">Calculator Code </t>
  </si>
  <si>
    <t>h / Product</t>
  </si>
  <si>
    <t>Detailed Breakdowns for Graphs</t>
  </si>
  <si>
    <t>OpEx Breakdown per Process Step</t>
  </si>
  <si>
    <t>Cost (OpEx + CoD) Breakdown per Cost Type</t>
  </si>
  <si>
    <t>Total Cost BreakDown Overview</t>
  </si>
  <si>
    <t>CoD (Cost of Dept)</t>
  </si>
  <si>
    <r>
      <rPr>
        <b/>
        <sz val="16"/>
        <color theme="5"/>
        <rFont val="Calibri"/>
        <family val="2"/>
        <scheme val="minor"/>
      </rPr>
      <t>Core KPIs</t>
    </r>
    <r>
      <rPr>
        <b/>
        <sz val="18"/>
        <color theme="5"/>
        <rFont val="Calibri"/>
        <family val="2"/>
        <scheme val="minor"/>
      </rPr>
      <t xml:space="preserve"> </t>
    </r>
    <r>
      <rPr>
        <sz val="12"/>
        <color theme="8"/>
        <rFont val="Calibri (Textkörper)"/>
      </rPr>
      <t>(</t>
    </r>
    <r>
      <rPr>
        <i/>
        <sz val="12"/>
        <color theme="8"/>
        <rFont val="Calibri (Textkörper)"/>
      </rPr>
      <t>before / after taxes</t>
    </r>
    <r>
      <rPr>
        <sz val="12"/>
        <color theme="8"/>
        <rFont val="Calibri (Textkörper)"/>
      </rPr>
      <t>)</t>
    </r>
  </si>
  <si>
    <t>Planned Features</t>
  </si>
  <si>
    <t>Literature</t>
  </si>
  <si>
    <t>Step 1 - Case Selection</t>
  </si>
  <si>
    <t>Company Name:</t>
  </si>
  <si>
    <t>Case Name:</t>
  </si>
  <si>
    <t>1. Instructions</t>
  </si>
  <si>
    <t>CE Business Case Calculator</t>
  </si>
  <si>
    <t>2. Questionaire</t>
  </si>
  <si>
    <t>How many years should be considered for this business case analysis?</t>
  </si>
  <si>
    <t>Is a loan being taken out to cover (a part) of this investment costs?</t>
  </si>
  <si>
    <t>Should depreciation be taken into account for this analysis?</t>
  </si>
  <si>
    <t>Remark</t>
  </si>
  <si>
    <t>Price per Unit of Material</t>
  </si>
  <si>
    <t>Average Material per Core</t>
  </si>
  <si>
    <t>Annual Price per Rented Product</t>
  </si>
  <si>
    <t>Newly Rented Products in Year 1</t>
  </si>
  <si>
    <t>Newly Rented Products in Year 2</t>
  </si>
  <si>
    <t>Newly Rented Products in Year 3</t>
  </si>
  <si>
    <t>Newly Rented Products in Year 4</t>
  </si>
  <si>
    <t>Newly Rented Products in Year 5</t>
  </si>
  <si>
    <t>Research and Development Costs</t>
  </si>
  <si>
    <t>Does backward logistic play a relevant role in your business case?</t>
  </si>
  <si>
    <t>What model does your backwards logistic follow?</t>
  </si>
  <si>
    <t>Do you employ a direct or multi-stage pickup system?</t>
  </si>
  <si>
    <t>incl. training and hiring</t>
  </si>
  <si>
    <t>incl. training</t>
  </si>
  <si>
    <t>net price</t>
  </si>
  <si>
    <t>kg / Core OR t / Core</t>
  </si>
  <si>
    <t>one month corresponds to approx. 0,083 years</t>
  </si>
  <si>
    <t>this only concerns new contracts, not ongoing ones</t>
  </si>
  <si>
    <t xml:space="preserve">this refers to the average quantity (kg / t) of material that can be derived from a dismantled product and sold </t>
  </si>
  <si>
    <t>Total Cost Rental Product</t>
  </si>
  <si>
    <t>Production or Aquisition Cost of a Product for Rental</t>
  </si>
  <si>
    <t>Average Hourly Rate Administrative Staff</t>
  </si>
  <si>
    <t>Average Hourly Machine Costs</t>
  </si>
  <si>
    <t>Special Costs not included in the Calculator</t>
  </si>
  <si>
    <t>Annual Price Trend of Virgin Materials</t>
  </si>
  <si>
    <t>Annual Price Trend of Heating</t>
  </si>
  <si>
    <t>Annual Price Trend of Electricity</t>
  </si>
  <si>
    <t xml:space="preserve">Annual Efficiency Increase of Manual Labour </t>
  </si>
  <si>
    <t>Annual Efficiency Increase of Automated Labour</t>
  </si>
  <si>
    <t>Annual Efficiency Increase of Backward Logistics</t>
  </si>
  <si>
    <t>Annual Efficiency Increase of Forward Logistics</t>
  </si>
  <si>
    <t>Consumption Costs for Heating per k/Wh</t>
  </si>
  <si>
    <t>Consumption Costs for Electricity per k/Wh</t>
  </si>
  <si>
    <t>wear (and energy if possible)</t>
  </si>
  <si>
    <t>if the energy consumption of machines is already included in “Average Hourly Machine Costs”, it must not be entered here again</t>
  </si>
  <si>
    <t>if electricity is used for heating, it must not be listed twice here</t>
  </si>
  <si>
    <t>Fixed Basic Costs for Heating</t>
  </si>
  <si>
    <t>Fixed Basic Costs for Electricity</t>
  </si>
  <si>
    <t>Basic Rent</t>
  </si>
  <si>
    <t>Additional Linear Production Costs</t>
  </si>
  <si>
    <t>Additional Dismantling Costs</t>
  </si>
  <si>
    <t>Additional Identification &amp; Sorting Costs</t>
  </si>
  <si>
    <t>Additional Disassembly Costs</t>
  </si>
  <si>
    <t>Additional Inspection Costs</t>
  </si>
  <si>
    <t>Additional Cleaning Costs</t>
  </si>
  <si>
    <t>Additional Restoring Costs</t>
  </si>
  <si>
    <t>Total Manual Working Hours in Restoring</t>
  </si>
  <si>
    <t>Total Automated Working Hours in Restoring</t>
  </si>
  <si>
    <t>Additional Assembly Costs</t>
  </si>
  <si>
    <t>Additional Testing Costs</t>
  </si>
  <si>
    <t>Are returns already sorted before being transported to the processing site?</t>
  </si>
  <si>
    <t>Average Distance from Company Site to Customer</t>
  </si>
  <si>
    <t>if you employ a multi-stage logistics approach, calculate the distance between your core aquisition site and the customer</t>
  </si>
  <si>
    <t>Distance between Core-Acquisition and Processing Site</t>
  </si>
  <si>
    <t>Transportation Cost per KM</t>
  </si>
  <si>
    <t>Share of Useable Cores</t>
  </si>
  <si>
    <t>Additional Backward Logistic Costs</t>
  </si>
  <si>
    <t>Disposal Cost for a not useable Core</t>
  </si>
  <si>
    <t>Number of not-reusable Components per Core</t>
  </si>
  <si>
    <t>not necessarily broken, but by definition not reusable (e.g. due to warranty or connection type)</t>
  </si>
  <si>
    <t>Disposal Cost for not usebale Components</t>
  </si>
  <si>
    <t>Number of theoretically reusable Components per Core</t>
  </si>
  <si>
    <t>with regard to theoretically reusable components</t>
  </si>
  <si>
    <t>Additional Forward Logistic Costs</t>
  </si>
  <si>
    <t>What model does your forward logistic follow?</t>
  </si>
  <si>
    <t>Average Distance from Company Site to Pickup Location</t>
  </si>
  <si>
    <t>One Time Public Funding</t>
  </si>
  <si>
    <t>Annual Public Funding</t>
  </si>
  <si>
    <t>Overarching Values</t>
  </si>
  <si>
    <t>Visual Results for Rental Business Models</t>
  </si>
  <si>
    <t>Modular analysis capabilities via pivot tables</t>
  </si>
  <si>
    <t>Including additional business cases (Remanufacturing of components, Reduce)</t>
  </si>
  <si>
    <t>Accounting for ecological cost parameters (e.g. CO2 pricing)</t>
  </si>
  <si>
    <t>Multi-party calculations of the profitability of multiple stakeholders in a value chain</t>
  </si>
  <si>
    <t xml:space="preserve">Calculation and comparison of multiple business cases in parallel </t>
  </si>
  <si>
    <t>Integrated sensitivity analysis to identify influential factors and risk parameters</t>
  </si>
  <si>
    <t>Zaarour, Nizar. (2014). A Reverse Logistics Network Model for Handling Returned Products. International Journal of Engineering Business Management. 6.</t>
  </si>
  <si>
    <t>Larsen, S. B., &amp; Jacobsen, P. (2014). Determining the total cost of reverse supply chain operations for original equipment manufacturers. In Proceedings of 21st EurOMA Conference: Operations Management in an Innovation Economy University of Palermo.</t>
  </si>
  <si>
    <t>Daultani, Y., Cheikhrouhou, N., &amp; Pratap, S., &amp; Prajapati, D. (2022). Forward and Reverse Logistics Network Design with Sustainability for New and Refurbished Products in E-commerce . Operations and Supply Chain Management: An International Journal, 15(4), 540-550.</t>
  </si>
  <si>
    <t>Directorate-General for Regional and Urban policy. European Comission (2014). Guide to Cost-Benefit Analysis of Investment Projects. Economic appraisal tool for Cohesion Policy  2014-2020.</t>
  </si>
  <si>
    <t>DIN (2023). Remanufacturing (Reman) – Quality classification for circular processes. DIN SPEC 91472:2023-06.</t>
  </si>
  <si>
    <t>Schuster, T. &amp; Collenberg [von], L.R. (2017). Investitionsrechnung: Kapitalwert, Zinsfuß, Annuität, Amortisation. Mannheim: Springer Gabler.</t>
  </si>
  <si>
    <t xml:space="preserve">Jiang, G., Wang, Q., Wang, K., Zhang, Q., &amp; Zhou, J. (2020). A Novel Closed-Loop Supply Chain Network Design Considering Enterprise Profit and Service Level. Sustainability, 12(2), 544. </t>
  </si>
  <si>
    <t xml:space="preserve">Liu, C., Ji, Y., &amp; Li, X. (2023). Closed-Loop Supply Chain Network Design with Flexible Capacity under Uncertain Environment. Sustainability, 15(19), 14565. </t>
  </si>
  <si>
    <t xml:space="preserve">Ijuin, H., Nagao, T., Tsunezawa, M., Sugiyama, K., Tasaka, K., Yamada, T. (2023). Designing a Reverse Supply Chain Network for Smartphones with Material-Based GHG Emissions and Costs Using Linear Physical Programming. In: Kohl, H., Seliger, G., Dietrich, F. (eds) Manufacturing Driving Circular Economy. GCSM 2022. Lecture Notes in Mechanical Engineering. Springer, Cham. </t>
  </si>
  <si>
    <t xml:space="preserve">Mallick, P. K., Salling, K. B., Pigosso, D. C. A., &amp; McAloone, T. C. (2023). Closing the loop: Establishing reverse logistics for a circular economy, a systematic review. Journal of Environmental Management, 328, Article 117017. </t>
  </si>
  <si>
    <t xml:space="preserve">Fan, Z., Luo, Y., Liang, N., &amp; Li, S. (2023). A Novel Sustainable Reverse Logistics Network Design for Electric Vehicle Batteries Considering Multi-Kind and Multi-Technology. Sustainability, 15(13), 10128. </t>
  </si>
  <si>
    <t>Pamal R. Nanayakkara, Madushan Madhava Jayalath, Amila Thibbotuwawa, H. Niles Perera (2022): A circular reverse logistics framework for handling e-commerce returns, Cleaner Logistics and Supply Chain, Volume 5.</t>
  </si>
  <si>
    <t>Oflazgil, K. (2017). Simulation-based Assessment of Alternative Reverse Supply Chains [Doctoral dissertation, RWTH Aachen].</t>
  </si>
  <si>
    <t>Potting, J., Hekkert, M., Worrell, E. &amp; Hanemaaijer, A. (2017). Circular Economy: Measuring Innovation in the Product Chain.</t>
  </si>
  <si>
    <t>Sanni, S., Jovanoski, Z. &amp; Sidhu, H.S. (2020). An economic order quantity model with reverse logistics program, Operations Research Perspectives, Volume 7, 2020.</t>
  </si>
  <si>
    <t>This work has recived founding from the European Union's Horizon Europe research and innovation programme under GA nº101182221.</t>
  </si>
  <si>
    <t>Novoszel, T. (2011). Gestaltung einer integrativen Reverse Supply Chain [Doctoral dissertation, RWTH Aachen].</t>
  </si>
  <si>
    <t>Do you receive public funding or other subsidies for realising this business case?</t>
  </si>
  <si>
    <t>KPIs (Gross)</t>
  </si>
  <si>
    <t>KPIs (Net)</t>
  </si>
  <si>
    <t>Cash Flow</t>
  </si>
  <si>
    <t>KPI Base Calculations</t>
  </si>
  <si>
    <t>Special Rental Calculations</t>
  </si>
  <si>
    <t>Taxable Income</t>
  </si>
  <si>
    <t>Internal Rate of Return (Gross)</t>
  </si>
  <si>
    <t>Internal RoR minus Discount Rate (Gross)</t>
  </si>
  <si>
    <t>Dynamic Payback Period (Gross)</t>
  </si>
  <si>
    <t>Net present value (Gross)</t>
  </si>
  <si>
    <t>Net present value (Net)</t>
  </si>
  <si>
    <t>Internal Rate of Return (Net)</t>
  </si>
  <si>
    <t>Internal RoR minus Discount Rate (Net)</t>
  </si>
  <si>
    <t>Dynamic Payback Period (Net)</t>
  </si>
  <si>
    <t>Packaging Costs per Product</t>
  </si>
  <si>
    <t>€ / Unit</t>
  </si>
  <si>
    <t>Average Material Costs in Restoring</t>
  </si>
  <si>
    <t>Material Cost Restoring</t>
  </si>
  <si>
    <t>Short Case Description:</t>
  </si>
  <si>
    <t xml:space="preserve">  Test Case</t>
  </si>
  <si>
    <t xml:space="preserve">  Test Company</t>
  </si>
  <si>
    <t xml:space="preserve">  …</t>
  </si>
  <si>
    <t>Investments in Land or Buildings</t>
  </si>
  <si>
    <t>Investments in Technical Equipment and Machinery</t>
  </si>
  <si>
    <t>Investments in Patents &amp; Licences</t>
  </si>
  <si>
    <t>Investments in Certificates</t>
  </si>
  <si>
    <t>Investments in Software</t>
  </si>
  <si>
    <t>Investments in Equity Holdings</t>
  </si>
  <si>
    <t>Investments in Office Equipment</t>
  </si>
  <si>
    <t>Invest Certificates</t>
  </si>
  <si>
    <t>Commissioning Costs</t>
  </si>
  <si>
    <t>Required Time for Commissioning (Administration)</t>
  </si>
  <si>
    <t>Required Time for Commissioning (Working Staff)</t>
  </si>
  <si>
    <t>Invest Land/Building</t>
  </si>
  <si>
    <t>Invest Technical Equipment/Machinery</t>
  </si>
  <si>
    <t>Invest Patents/Licences</t>
  </si>
  <si>
    <t>Assets</t>
  </si>
  <si>
    <t>Sales</t>
  </si>
  <si>
    <t>Sales in Year 1</t>
  </si>
  <si>
    <t>Sales in Year 2</t>
  </si>
  <si>
    <t>Sales in Year 3</t>
  </si>
  <si>
    <t>Sales in Year 4</t>
  </si>
  <si>
    <t>Sales in Year 5</t>
  </si>
  <si>
    <t>Price Service</t>
  </si>
  <si>
    <t>Sales Year 1</t>
  </si>
  <si>
    <t>Sales Year 2</t>
  </si>
  <si>
    <t>Sales Year 3</t>
  </si>
  <si>
    <t>Sales Year 4</t>
  </si>
  <si>
    <t>Sales Year 5</t>
  </si>
  <si>
    <t>€ / Mass (t OR kg)</t>
  </si>
  <si>
    <t>Products OR Mass (t OR kg)</t>
  </si>
  <si>
    <t>Average Duration of Rental Contract</t>
  </si>
  <si>
    <t>Service Sales Revenue</t>
  </si>
  <si>
    <t>Materials for Recycling Sales Revenue</t>
  </si>
  <si>
    <t>BL Flat Rate</t>
  </si>
  <si>
    <t>BL Distance Customer</t>
  </si>
  <si>
    <t>BL Distance Core-Acquisition Site</t>
  </si>
  <si>
    <t>BL Shipment Cost</t>
  </si>
  <si>
    <t>BL KM Cost</t>
  </si>
  <si>
    <t>Core Reuse Rate</t>
  </si>
  <si>
    <t>FL Flat Rate</t>
  </si>
  <si>
    <t>FL Distance Customer</t>
  </si>
  <si>
    <t>FL Average Journey Number</t>
  </si>
  <si>
    <t>FL KM Cost</t>
  </si>
  <si>
    <t>FL Shipment Cost</t>
  </si>
  <si>
    <t>Average Delivery Cost (Flat Rate)</t>
  </si>
  <si>
    <t>Average Pick-up Cost (Flat Rate)</t>
  </si>
  <si>
    <t>FL Packaging Cost</t>
  </si>
  <si>
    <t>BL Packaging Cost</t>
  </si>
  <si>
    <t>Material Cost Linear Production</t>
  </si>
  <si>
    <t>Disposal Cost Linear Production</t>
  </si>
  <si>
    <t>Manual Labour Linear Production</t>
  </si>
  <si>
    <t>Automated Labour Linear Production</t>
  </si>
  <si>
    <t>Sales Revenue</t>
  </si>
  <si>
    <t>Delivery Costs</t>
  </si>
  <si>
    <t>Shipment Costs</t>
  </si>
  <si>
    <t>FL Type</t>
  </si>
  <si>
    <t>Required Cores Product Basis (before Sorting)</t>
  </si>
  <si>
    <t>Required Cores Product Basis (after Sorting)</t>
  </si>
  <si>
    <t>Required Cores Material Basis (before Sorting)</t>
  </si>
  <si>
    <t>Required Cores Material Basis (after Sorting)</t>
  </si>
  <si>
    <t>BL Type</t>
  </si>
  <si>
    <t>1 = Delivery, 2 = Shipment, 3 = Repair Service Team</t>
  </si>
  <si>
    <t>1 = Direct Pick-up; 2 = Multi Stage w/o sorting; 3 = Multi Stage with Sorting; 4 = Shipment</t>
  </si>
  <si>
    <t>Packaging Costs</t>
  </si>
  <si>
    <t>Material Costs (e.g. Spare Parts)</t>
  </si>
  <si>
    <t>Material Costs (e.g. Paints)</t>
  </si>
  <si>
    <t>Additional Component Costs</t>
  </si>
  <si>
    <t>Spare Part Costs</t>
  </si>
  <si>
    <t>Average Cost for Spare Parts</t>
  </si>
  <si>
    <t>Average Cost für additional Components</t>
  </si>
  <si>
    <t>Optional Flat Rate Calculation</t>
  </si>
  <si>
    <t>Sales_Year_t*Price_Product</t>
  </si>
  <si>
    <t>Sales_Year_t*Price_Material_for_Recycling</t>
  </si>
  <si>
    <t>Sales_Year_t*Price_Service</t>
  </si>
  <si>
    <t>x10*Annual_Price_Rental_Contract</t>
  </si>
  <si>
    <t>IF query of Rental_Contract_Duration followed by SUM of all active Agreements per Year</t>
  </si>
  <si>
    <t xml:space="preserve">SUM of all Sales Revenue from Product, Material and Service Sales </t>
  </si>
  <si>
    <t>SUM of all Revenue from Business Activities</t>
  </si>
  <si>
    <t>SUM of all CapEX into Assets</t>
  </si>
  <si>
    <t>SUM(Invest_Land_Building+Invest_Technical_Equipment_Machinery+Invest_Office_Equipment)</t>
  </si>
  <si>
    <t>SUM(Invest_Certificates+Invest_Patents_Licences+Invest_Software)</t>
  </si>
  <si>
    <t>Invest_Equity_Holdings</t>
  </si>
  <si>
    <t>SUM of all Comissioning Costs</t>
  </si>
  <si>
    <t>Commissioning_Time_Administration_Year*Hourly_Rate_Administration</t>
  </si>
  <si>
    <t>Commissioning_Time_Production_Staff_Year*Hourly_Rate_Production_Staff</t>
  </si>
  <si>
    <t>Additional_Commissioning_Costs_Year</t>
  </si>
  <si>
    <t>SUM of all Energy Costs</t>
  </si>
  <si>
    <t>SUM of Costs in Linear Production + Special_Costs_Linear_Production</t>
  </si>
  <si>
    <t>Sales_Year_t*Disposal_Cost_Linear_Production</t>
  </si>
  <si>
    <t>Sales_Year_t*(Automated_Labour_Total_Linear_Production_Process*Hourly_Rate_Machines)*(1-Annual_Efficiency_Increase_Automated_Labour)^t-1</t>
  </si>
  <si>
    <t>Sales_Year_t*Material_Cost_Linear_Production*(1+Annual_Price_Trend_Virgin_Materials)^t-1</t>
  </si>
  <si>
    <t>Sales_Year_t*(Manual_Labour_Linear_Production*Hourly_Rate_Production_Staff)*(1-Annual_Efficiency_Increase_Manual_Labour)^t-1</t>
  </si>
  <si>
    <t>BL_Flat_Rate*(x49+x51+x53)</t>
  </si>
  <si>
    <t>SUM of all Costs for Backward Logistic in relation to Sales</t>
  </si>
  <si>
    <t>Core_Premium*(x49+x51)</t>
  </si>
  <si>
    <t>IF(BL_Type=1;(x49+x51)*(BL_Distance_Customer*BL_KM_Cost)*(1-Annual_Efficiency_Increase_Backward_Logistics)^t-1;0)</t>
  </si>
  <si>
    <t>IF(OR(BL_Type=2;BL_Type=3);(x49+x51)*(BL_Distance_Customer*BL_KM_Cost)*(1-Annual_Efficiency_Increase_Backward_Logistics)^t-1;0)</t>
  </si>
  <si>
    <t>IF(BL_Type=2;(x49+x51)*(BL_Distance_Core_Acquisition_Site*BL_KM_Cost)*(1-Annual_Efficiency_Increase_Backward_Logistics)^t-1;0)</t>
  </si>
  <si>
    <t>IF(BL_Type=3;(x50+x52)*(BL_Distance_Core_Acquisition_Site*BL_KM_Cost)*(1-Annual_Efficiency_Increase_Backward_Logistics)^t-1;0)</t>
  </si>
  <si>
    <t>IF(BL_Type=4;(x49+x51)*(BL_Shipment_Cost);0)</t>
  </si>
  <si>
    <t>SUM of all Costs for Backward Logistic in relation to Ending Rental Agreements</t>
  </si>
  <si>
    <t>IF(BL_Type=1;x53*(BL_Distance_Customer*BL_KM_Cost)*(1-Annual_Efficiency_Increase_Backward_Logistics)^t-1;0)</t>
  </si>
  <si>
    <t>IF(OR(BL_Type=2;BL_Type=3);x53*(BL_Distance_Customer*BL_KM_Cost)*(1-Annual_Efficiency_Increase_Backward_Logistics)^t-1;0)</t>
  </si>
  <si>
    <t>IF(BL_Type=2;x53*(BL_Distance_Core_Acquisition_Site*BL_KM_Cost)*(1-Annual_Efficiency_Increase_Backward_Logistics)^t-1;0)</t>
  </si>
  <si>
    <t>IF(BL_Type=3;x53*Core_Reuse_Rate*(BL_Distance_Core_Acquisition_Site*BL_KM_Cost)*(1-Annual_Efficiency_Increase_Backward_Logistics)^t-1;0)</t>
  </si>
  <si>
    <t>IF(BL_Type=4;x53*(BL_Shipment_Cost);0)</t>
  </si>
  <si>
    <t>SUM of Rental Agreements ending after Year 5*Corresponding Backward Logistic Costs</t>
  </si>
  <si>
    <t>BL_Packaging_Cost*(x49+x51+x53)</t>
  </si>
  <si>
    <t>Manual_Labour_Dismantling*Hourly_Rate_Production_Staff*(x49+x51)*(1-Annual_Efficiency_Increase_Manual_Labour)^t-1</t>
  </si>
  <si>
    <t>Automated_Labour_Dismantling*Hourly_Rate_Machines*(x49+x51)*(1-Annual_Efficiency_Increase_Automated_Labour)^t-1</t>
  </si>
  <si>
    <t>Manual_Labour_Identification___Sorting*Hourly_Rate_Production_Staff*(x49+x51)*(1-Annual_Efficiency_Increase_Manual_Labour)^t-1</t>
  </si>
  <si>
    <t>Automated_Labour_Identification___Sorting*Hourly_Rate_Machines*(x49+x51)*(1-Annual_Efficiency_Increase_Automated_Labour)^t-1</t>
  </si>
  <si>
    <t>Disposal_Cost_Core*((x49-x50)+(x51-x52))</t>
  </si>
  <si>
    <t>Manual_Labour_Disassembly*Hourly_Rate_Production_Staff*(x50+x52)*(1-Annual_Efficiency_Increase_Manual_Labour)^t-1</t>
  </si>
  <si>
    <t>Automated_Labour_Disassembly*Hourly_Rate_Machines*(x50+x52)*(1-Annual_Efficiency_Increase_Automated_Labour)^t-1</t>
  </si>
  <si>
    <t>Disposal_Cost_Component*Scrap_Rate*Reusable_Components*(x50+x52)</t>
  </si>
  <si>
    <t>Disposal_Cost_Component*Not_Reusable_Components*(x50+x52)</t>
  </si>
  <si>
    <t>Manual_Labour_Inspection*Hourly_Rate_Production_Staff*(x50)*(1-Annual_Efficiency_Increase_Manual_Labour)^t-1</t>
  </si>
  <si>
    <t>Automated_Labour_Inspection*Hourly_Rate_Machines*(x50)*(1-Annual_Efficiency_Increase_Automated_Labour)^t-1</t>
  </si>
  <si>
    <t>Manual_Labour_Cleaning*Hourly_Rate_Production_Staff*(x50)*(1-Annual_Efficiency_Increase_Manual_Labour)^t-1</t>
  </si>
  <si>
    <t>Automated_Labour_Cleaning*Hourly_Rate_Machines*(x50)*(1-Annual_Efficiency_Increase_Automated_Labour)^t-1</t>
  </si>
  <si>
    <t>Manual_Labour_Restoring*Hourly_Rate_Production_Staff*(x50)*(1-Annual_Efficiency_Increase_Manual_Labour)^t-1</t>
  </si>
  <si>
    <t>Automated_Labour_Restoring*Hourly_Rate_Machines*(x50)*(1-Annual_Efficiency_Increase_Automated_Labour)^t-1</t>
  </si>
  <si>
    <t>Material_Cost_Restoring*x50*(1+Annual_Price_Trend_Virgin_Materials)^t-1</t>
  </si>
  <si>
    <t>SUM of Costs for Dismantling + Special_Costs_Dismantling</t>
  </si>
  <si>
    <t>SUM of Costs for Identification &amp; Sorting + Special_Costs_Identification___Sorting</t>
  </si>
  <si>
    <t>SUM of Costs for Disassembly + Special_Costs_Disassembly</t>
  </si>
  <si>
    <t>SUM of Costs for Restoring + Special_Costs_Restoring</t>
  </si>
  <si>
    <t>SUM of Costs for Cleaning + Special_Costs_Cleaning</t>
  </si>
  <si>
    <t>Total Costs for Inspection + Special_Costs_Inspection</t>
  </si>
  <si>
    <t>Manual_Labour_Assembly*Hourly_Rate_Production_Staff*(Sales_Year_t)*(1-Annual_Efficiency_Increase_Manual_Labour)^t-1</t>
  </si>
  <si>
    <t>Automated_Labour_Assembly*Hourly_Rate_Machines*(Sales_Year_t)*(1-Annual_Efficiency_Increase_Automated_Labour)^t-1</t>
  </si>
  <si>
    <t>(Spare_Part_Costs+Additional_Component_Costs)*Sales_Year_t*(1+Annual_Price_Trend_Virgin_Materials)^t-1</t>
  </si>
  <si>
    <t>Manual_Labour_Testing*Hourly_Rate_Production_Staff*(Sales_Year_t)*(1-Annual_Efficiency_Increase_Manual_Labour)^t-1</t>
  </si>
  <si>
    <t>Automated_Labour_Testing*Hourly_Rate_Machines*(Sales_Year_t)*(1-Annual_Efficiency_Increase_Automated_Labour)^t-1</t>
  </si>
  <si>
    <t>SUM of Costs for Assembly + Special_Costs_Assembly</t>
  </si>
  <si>
    <t>SUM of Costs for Testing + Special_Costs_Testing</t>
  </si>
  <si>
    <t>FL_Flat_Rate*(Sales_Year_t+New_Rental_Contracts_Year_t)</t>
  </si>
  <si>
    <t>IF(FL_Type=1;FL_Distance_Customer*FL_KM_Cost*(Sales_Year_t+New_Rental_Contracts_Year_t)*(1-Annual_Efficiency_Increase_Forward_Logistics)^t-1;0)</t>
  </si>
  <si>
    <t>IF(FL_Type=2;FL_Shipment_Cost*(Sales_Year_t+New_Rental_Contracts_Year_t);0)</t>
  </si>
  <si>
    <t>IF(FL_Type=3; FL_Distance_Customer*FL_KM_Cost*Sales_Year_t*FL_Average_Journey_Number*(1-Annual_Efficiency_Increase_Forward_Logistics)^t-1;0)</t>
  </si>
  <si>
    <t>FL_Packaging_Cost*(Sales_Year_t+New_Rental_Contracts_Year_t)</t>
  </si>
  <si>
    <t>IF query on Billing Type followed by SUM of Costs for Forward Logistic + Special_Costs_Forward_Logistic</t>
  </si>
  <si>
    <t>IF query on Period under Review followed by Income Flow (x128) - Outward Flow (x129)</t>
  </si>
  <si>
    <t>IF query on Period under Review followed by Revenue (x134) - Expenditures minus Subsidies (x136)</t>
  </si>
  <si>
    <t>Expenditures minus Subsidies</t>
  </si>
  <si>
    <t>Expenditures</t>
  </si>
  <si>
    <t>Outward Flow</t>
  </si>
  <si>
    <t>Income Flow</t>
  </si>
  <si>
    <t>Discounted Net Cash Flow</t>
  </si>
  <si>
    <t>Cumulative Discounted Net Cash Flow</t>
  </si>
  <si>
    <t>SUM Income Flow (x2)</t>
  </si>
  <si>
    <t>SUM Revenue (x4)</t>
  </si>
  <si>
    <t>SUM CapEx (x17) + OpEx (x30) + Financing Costs (x114)</t>
  </si>
  <si>
    <t>SUM CapEx (x17) + OpEx (x30) + Interest Costs (x118)</t>
  </si>
  <si>
    <t>SUM Expenditures (x135) - Subsidies (x15)</t>
  </si>
  <si>
    <t>Turnover (Gross)</t>
  </si>
  <si>
    <t>Profit (Net)</t>
  </si>
  <si>
    <t>Total Cash Flow (Gross)</t>
  </si>
  <si>
    <t>Total Cash Flow (Net)</t>
  </si>
  <si>
    <t>IF query on Period under Review followed by Turnover (x133) - Taxburden (x136)</t>
  </si>
  <si>
    <t>IF query on Period under Review followed by Total Cash Flow (Gross) (x127) - Tax burden (x140)</t>
  </si>
  <si>
    <t>SUM Revenue (x134) - Expenditures minus Subsidies (x136)</t>
  </si>
  <si>
    <t>Depreciation_Year_t</t>
  </si>
  <si>
    <t>IF query on Yearly Profit followed by (Taxable Income (x138) - Depreciation (x139))*Corporate Tax Rate</t>
  </si>
  <si>
    <t>New_Rental_Contracts_Year_t*Total_Cost_Rental_Product*(1+Annual_Price_Trend_Virgin_Materials)^t-1</t>
  </si>
  <si>
    <t>IF(ROUND(IRR(x133:x133);5) =0; "&lt;= 0%"; ROUND(IRR(x133:x133);5))</t>
  </si>
  <si>
    <t>x146-Discount_Rate</t>
  </si>
  <si>
    <t>x133/(1+Discount_Rate)^t-1</t>
  </si>
  <si>
    <t>IFERROR(ROUND(IFS(M151&lt;0; "no-break-even-point";L151&lt;0;4+ABS(L151)/M148;K151&lt;0; 3+ABS(K151)/L148;J151&lt;0; 2+ABS(J151)/K148;I151&lt;0; 1+ABS(I151)/J148;H151&lt;0;0+ABS(H151)/I148);3); "no-break-even-point")</t>
  </si>
  <si>
    <t>SUM over Discounted Gross Cash Flows (x148)</t>
  </si>
  <si>
    <t>Cumulative Discounted Gross Cash Flow</t>
  </si>
  <si>
    <t>Discounted Gross Cash Flow</t>
  </si>
  <si>
    <t>SUM over Discounted Net Cash Flows (x157)</t>
  </si>
  <si>
    <t>IF(ROUND(IRR(x137:x137);5) =0; "&lt;= 0%"; ROUND(IRR(x137:x137);5))</t>
  </si>
  <si>
    <t>x155-Discount_Rate</t>
  </si>
  <si>
    <t>x137/(1+Discount_Rate)^t-1</t>
  </si>
  <si>
    <t>IFERROR(ROUND(IFS(M160&lt;0; "no-break-even-point";L160&lt;0;4+ABS(L160)/M157;K160&lt;0; 3+ABS(K160)/L157;J160&lt;0; 2+ABS(J160)/K157;I160&lt;0; 1+ABS(I160)/J157;H160&lt;0;0+ABS(H160)/I157);3); "no-break-even-point")</t>
  </si>
  <si>
    <t>SUM over Discounted Gross Cash Flows (x157)</t>
  </si>
  <si>
    <t>How do you want to calculate your backwards logistic?</t>
  </si>
  <si>
    <t>How do you want to calculate your forward logistic?</t>
  </si>
  <si>
    <t xml:space="preserve">What type of business case would you like to calculate? </t>
  </si>
  <si>
    <t>Certification Costs</t>
  </si>
  <si>
    <t>Certification Costs on Product Level</t>
  </si>
  <si>
    <t>Certification_Costs*Sales_Year_t</t>
  </si>
  <si>
    <t>net price; including all aditional (service) fees passed onto the customer</t>
  </si>
  <si>
    <r>
      <rPr>
        <b/>
        <sz val="16"/>
        <color theme="5"/>
        <rFont val="Calibri (Textkörper)"/>
      </rPr>
      <t>Margin Breakdown</t>
    </r>
    <r>
      <rPr>
        <b/>
        <sz val="16"/>
        <color theme="1" tint="0.34998626667073579"/>
        <rFont val="Calibri"/>
        <family val="2"/>
        <scheme val="minor"/>
      </rPr>
      <t xml:space="preserve"> </t>
    </r>
    <r>
      <rPr>
        <sz val="12"/>
        <color theme="8"/>
        <rFont val="Calibri (Textkörper)"/>
      </rPr>
      <t>(</t>
    </r>
    <r>
      <rPr>
        <i/>
        <sz val="12"/>
        <color theme="8"/>
        <rFont val="Calibri (Textkörper)"/>
      </rPr>
      <t>first year</t>
    </r>
    <r>
      <rPr>
        <sz val="12"/>
        <color theme="8"/>
        <rFont val="Calibri (Textkörper)"/>
      </rPr>
      <t xml:space="preserve"> | </t>
    </r>
    <r>
      <rPr>
        <i/>
        <sz val="12"/>
        <color theme="8"/>
        <rFont val="Calibri (Textkörper)"/>
      </rPr>
      <t>before taxes</t>
    </r>
    <r>
      <rPr>
        <sz val="12"/>
        <color theme="8"/>
        <rFont val="Calibri (Textkörper)"/>
      </rPr>
      <t>)</t>
    </r>
  </si>
  <si>
    <t>Price per Product</t>
  </si>
  <si>
    <t>Base Case</t>
  </si>
  <si>
    <t>Debt_Capital/Loan_Term (IF query of Loan-Term)</t>
  </si>
  <si>
    <t>Annual Depreciation</t>
  </si>
  <si>
    <t>Backward Logistic Type</t>
  </si>
  <si>
    <t>Forward Logistic Type</t>
  </si>
  <si>
    <t>Public Funding</t>
  </si>
  <si>
    <t>Basic Parameters</t>
  </si>
  <si>
    <t>You will be asked to answer a few questions about your company and the business case you are interested in. This serves to preset the calculator so that you get the best possible results with as little data entry as possible. To ensure an accurate and complete analysis, all highlighted questions must be answered. Where available, use the drop-down menus to answer. Manually overwriting data in this table will cause an error in the calculator!</t>
  </si>
  <si>
    <r>
      <rPr>
        <b/>
        <sz val="18"/>
        <color theme="5"/>
        <rFont val="Calibri"/>
        <family val="2"/>
        <scheme val="minor"/>
      </rPr>
      <t>Instructions</t>
    </r>
    <r>
      <rPr>
        <sz val="12"/>
        <rFont val="Calibri"/>
        <family val="2"/>
        <scheme val="minor"/>
      </rPr>
      <t xml:space="preserve">
</t>
    </r>
    <r>
      <rPr>
        <sz val="13"/>
        <rFont val="Calibri"/>
        <family val="2"/>
        <scheme val="minor"/>
      </rPr>
      <t xml:space="preserve">If you completed the questionnaire in Step 1, you can now enter the data required to calculate your case. Fields that are greyed out are not relevant to your case. You can now proceed with Revenue related information. You always have to fill out the "Base Case" (Column F). The calculation of additional scenarios (G - I) is optional.
</t>
    </r>
    <r>
      <rPr>
        <b/>
        <sz val="14"/>
        <color theme="5"/>
        <rFont val="Calibri"/>
        <family val="2"/>
        <scheme val="minor"/>
      </rPr>
      <t>Core vs. Product:</t>
    </r>
    <r>
      <rPr>
        <sz val="13"/>
        <rFont val="Calibri"/>
        <family val="2"/>
        <scheme val="minor"/>
      </rPr>
      <t xml:space="preserve"> In the following, the word “core” is frequently used to describe a commodity that is taken back as input material for a CE business case (e.g. a used furniture item). The aim is to distinguish it clearly from a "product" that is an output of production and gets sold.</t>
    </r>
  </si>
  <si>
    <r>
      <rPr>
        <b/>
        <sz val="18"/>
        <color theme="5"/>
        <rFont val="Calibri"/>
        <family val="2"/>
        <scheme val="minor"/>
      </rPr>
      <t>Instructions</t>
    </r>
    <r>
      <rPr>
        <sz val="12"/>
        <rFont val="Calibri"/>
        <family val="2"/>
        <scheme val="minor"/>
      </rPr>
      <t xml:space="preserve">
</t>
    </r>
    <r>
      <rPr>
        <sz val="13"/>
        <rFont val="Calibri"/>
        <family val="2"/>
        <scheme val="minor"/>
      </rPr>
      <t xml:space="preserve">If you completed the questionnaire in Step 1, you can now enter the data required to calculate your case. Fields that are greyed out are not relevant to your case. You can now proceed with CapEx related information. You always have to fill out the "Base Case" (Column F). The calculation of additional scenarios (G - I) is optional.
</t>
    </r>
    <r>
      <rPr>
        <b/>
        <sz val="14"/>
        <color theme="5"/>
        <rFont val="Calibri"/>
        <family val="2"/>
        <scheme val="minor"/>
      </rPr>
      <t>Core vs. Product:</t>
    </r>
    <r>
      <rPr>
        <sz val="13"/>
        <rFont val="Calibri"/>
        <family val="2"/>
        <scheme val="minor"/>
      </rPr>
      <t xml:space="preserve"> In the following, the word “core” is frequently used to describe a commodity that is taken back as input material for a CE business case (e.g. a used furniture item). The aim is to distinguish it clearly from a "product" that is an output of production and gets sold.</t>
    </r>
  </si>
  <si>
    <r>
      <rPr>
        <b/>
        <sz val="18"/>
        <color theme="5"/>
        <rFont val="Calibri"/>
        <family val="2"/>
        <scheme val="minor"/>
      </rPr>
      <t>Instructions</t>
    </r>
    <r>
      <rPr>
        <sz val="12"/>
        <rFont val="Calibri"/>
        <family val="2"/>
        <scheme val="minor"/>
      </rPr>
      <t xml:space="preserve">
</t>
    </r>
    <r>
      <rPr>
        <sz val="13"/>
        <rFont val="Calibri"/>
        <family val="2"/>
        <scheme val="minor"/>
      </rPr>
      <t xml:space="preserve">If you completed the questionnaire in Step 1, you can now enter the data required to calculate your case. Fields that are greyed out are not relevant to your case. You can finish with OpEx related information. You always have to fill out the "Base Case" (Column F). The calculation of additional scenarios (G - I) is optional.
</t>
    </r>
    <r>
      <rPr>
        <b/>
        <sz val="14"/>
        <color theme="5"/>
        <rFont val="Calibri"/>
        <family val="2"/>
        <scheme val="minor"/>
      </rPr>
      <t>Core vs. Product:</t>
    </r>
    <r>
      <rPr>
        <sz val="13"/>
        <rFont val="Calibri"/>
        <family val="2"/>
        <scheme val="minor"/>
      </rPr>
      <t xml:space="preserve"> In the following, the word “core” is frequently used to describe a commodity that is taken back as input material for a CE business case (e.g. a used furniture item). The aim is to distinguish it clearly from a "product" that is an output of production and gets sold.</t>
    </r>
  </si>
  <si>
    <t>Trends</t>
  </si>
  <si>
    <r>
      <t xml:space="preserve">Dismantling: </t>
    </r>
    <r>
      <rPr>
        <sz val="14"/>
        <color theme="1"/>
        <rFont val="Calibri"/>
        <family val="2"/>
        <scheme val="major"/>
      </rPr>
      <t>The core is prepared for transport at its current location (e.g.demounted).</t>
    </r>
  </si>
  <si>
    <r>
      <t xml:space="preserve">Backward Logistics: </t>
    </r>
    <r>
      <rPr>
        <sz val="14"/>
        <color theme="1"/>
        <rFont val="Calibri"/>
        <family val="2"/>
        <scheme val="major"/>
      </rPr>
      <t>The core is transported from its current location to a processing facility.</t>
    </r>
  </si>
  <si>
    <r>
      <t xml:space="preserve">Identification &amp; Sorting: </t>
    </r>
    <r>
      <rPr>
        <sz val="14"/>
        <color theme="1"/>
        <rFont val="Calibri"/>
        <family val="2"/>
        <scheme val="major"/>
      </rPr>
      <t>The returned core is registered to determine the product identity. In a subsequent or simultaneous sorting process, the core is evaluated and sorted regarding product identity, condition and effort required for processing.</t>
    </r>
  </si>
  <si>
    <r>
      <t xml:space="preserve">Disassembly: </t>
    </r>
    <r>
      <rPr>
        <sz val="14"/>
        <color theme="1"/>
        <rFont val="Calibri"/>
        <family val="2"/>
        <scheme val="major"/>
      </rPr>
      <t>The core is disassembled into individual components either completely or to a defined.</t>
    </r>
  </si>
  <si>
    <r>
      <t xml:space="preserve">Inspection: </t>
    </r>
    <r>
      <rPr>
        <sz val="14"/>
        <color theme="1"/>
        <rFont val="Calibri"/>
        <family val="2"/>
        <scheme val="major"/>
      </rPr>
      <t>The disassembled components are inspected and tested to ensure they are suitable for further processing. The inspection can be carried out visually and/or by means of measuring methods.</t>
    </r>
  </si>
  <si>
    <r>
      <t xml:space="preserve">Cleaning: </t>
    </r>
    <r>
      <rPr>
        <sz val="14"/>
        <color theme="1"/>
        <rFont val="Calibri"/>
        <family val="2"/>
        <scheme val="major"/>
      </rPr>
      <t>The disassembled components or even entire cores are freed from (foreign) substances.</t>
    </r>
  </si>
  <si>
    <r>
      <t xml:space="preserve">Restoring: </t>
    </r>
    <r>
      <rPr>
        <sz val="14"/>
        <color theme="1"/>
        <rFont val="Calibri"/>
        <family val="2"/>
        <scheme val="major"/>
      </rPr>
      <t>The components (or core) are restored in terms of functionality and visual appearance.</t>
    </r>
  </si>
  <si>
    <r>
      <t xml:space="preserve">Assembly: </t>
    </r>
    <r>
      <rPr>
        <sz val="14"/>
        <color theme="1"/>
        <rFont val="Calibri"/>
        <family val="2"/>
        <scheme val="major"/>
      </rPr>
      <t>The processed components are assembled togetherwith any necessary new parts. By using new components, it is also possible to upgrade to a technical standard that exceed the original performance.</t>
    </r>
  </si>
  <si>
    <r>
      <rPr>
        <b/>
        <sz val="14"/>
        <color theme="1"/>
        <rFont val="Calibri"/>
        <family val="2"/>
        <scheme val="major"/>
      </rPr>
      <t xml:space="preserve">Testing: </t>
    </r>
    <r>
      <rPr>
        <sz val="14"/>
        <color theme="1"/>
        <rFont val="Calibri"/>
        <family val="2"/>
        <scheme val="major"/>
      </rPr>
      <t>The quality of the new product is ensured either by testing and inspection procedures or by controlling all process parameters. If necessary, certification is performed.</t>
    </r>
  </si>
  <si>
    <r>
      <t xml:space="preserve">Forward Logistics: </t>
    </r>
    <r>
      <rPr>
        <sz val="14"/>
        <color theme="1"/>
        <rFont val="Calibri"/>
        <family val="2"/>
        <scheme val="major"/>
      </rPr>
      <t>The product, component or material is transported to a customer (e.g. end customer, retailer).</t>
    </r>
  </si>
  <si>
    <t>Scenario I</t>
  </si>
  <si>
    <t>Scenario II</t>
  </si>
  <si>
    <t>Scenario III</t>
  </si>
  <si>
    <t>Calculation of Economic Impact (Base Case)</t>
  </si>
  <si>
    <t>Calculation of Economic Impact (Scenario I)</t>
  </si>
  <si>
    <t>Material Cost for Linear Production</t>
  </si>
  <si>
    <t>Disposal Cost in Linear Production</t>
  </si>
  <si>
    <t>Manual Working Hours in the Linear Production Process</t>
  </si>
  <si>
    <t>Automated Working Hours in the Linear Production Process</t>
  </si>
  <si>
    <t>Manual Working Hours in Dismantling</t>
  </si>
  <si>
    <t>Automated Working Hours in Dismantling</t>
  </si>
  <si>
    <t>Manual Working Hours in Identification &amp; Sorting</t>
  </si>
  <si>
    <t>Automated Working Hours in Identification &amp; Sorting</t>
  </si>
  <si>
    <t>Manual Working Hours in Disassembly</t>
  </si>
  <si>
    <t>Automated Working Hours in Disassembly</t>
  </si>
  <si>
    <t>Manual Working Hours in Inspection</t>
  </si>
  <si>
    <t>Automated Working Hours in Inspection</t>
  </si>
  <si>
    <t>Manual Working Hours in Cleaning</t>
  </si>
  <si>
    <t>Automated Working Hours in Cleaning</t>
  </si>
  <si>
    <t>Manual Working Hours in Assembly</t>
  </si>
  <si>
    <t>Automated Working Hours in Assembly</t>
  </si>
  <si>
    <t>Manual Working Hours in Testing</t>
  </si>
  <si>
    <t>Automated Working Hours in Testing</t>
  </si>
  <si>
    <t>KPI Comparison</t>
  </si>
  <si>
    <t>S1</t>
  </si>
  <si>
    <t>S2</t>
  </si>
  <si>
    <t>S3</t>
  </si>
  <si>
    <t>Start</t>
  </si>
  <si>
    <r>
      <t>Imported Values (</t>
    </r>
    <r>
      <rPr>
        <b/>
        <i/>
        <sz val="12"/>
        <color rgb="FFFF0000"/>
        <rFont val="Calibri"/>
        <family val="2"/>
        <scheme val="major"/>
      </rPr>
      <t>Don't change</t>
    </r>
    <r>
      <rPr>
        <b/>
        <i/>
        <sz val="16"/>
        <color theme="0"/>
        <rFont val="Calibri"/>
        <family val="2"/>
        <scheme val="major"/>
      </rPr>
      <t>)</t>
    </r>
  </si>
  <si>
    <t>only interest, not repayment</t>
  </si>
  <si>
    <t>Price per Service (e.g. Repair, Refurbishment)</t>
  </si>
  <si>
    <t>Cores / Product</t>
  </si>
  <si>
    <t>% / Year</t>
  </si>
  <si>
    <t>h / Core</t>
  </si>
  <si>
    <t>Components / Core</t>
  </si>
  <si>
    <t>Journeys / Sale</t>
  </si>
  <si>
    <t>for Rental: after the renting period</t>
  </si>
  <si>
    <t>Average Hourly Rate of non-Administrative Staff</t>
  </si>
  <si>
    <t>e.g. production</t>
  </si>
  <si>
    <t>What subtype service strategy do you employ?</t>
  </si>
  <si>
    <t>if you compensate the seller for the shipment</t>
  </si>
  <si>
    <t>Average Number of Trips for one Service Order</t>
  </si>
  <si>
    <t>Comulative Total Cash Flow (Gross)</t>
  </si>
  <si>
    <t>Comulative Total Cash Flow (Net)</t>
  </si>
  <si>
    <t>without considering general inflation</t>
  </si>
  <si>
    <t>IF query on Billing Type followed by SUM of Costs for Backward Logistic + Core Premium + Special_Costs_Backward_Logistic</t>
  </si>
  <si>
    <t>Scenario Analysis Calculation</t>
  </si>
  <si>
    <t>Required Cores per Business Instance (e.g. Production, Repair)</t>
  </si>
  <si>
    <t>without considering waste; usually 1</t>
  </si>
  <si>
    <t xml:space="preserve">  *usually it is 1</t>
  </si>
  <si>
    <t>What R-strategy (s.b.) does your business case follow or support?</t>
  </si>
  <si>
    <r>
      <rPr>
        <b/>
        <sz val="24"/>
        <color theme="4"/>
        <rFont val="Calibri (Textkörper)"/>
      </rPr>
      <t>CE Business Case Calculator</t>
    </r>
    <r>
      <rPr>
        <b/>
        <sz val="28"/>
        <color rgb="FF0070C0"/>
        <rFont val="Calibri"/>
        <family val="2"/>
        <scheme val="minor"/>
      </rPr>
      <t xml:space="preserve"> </t>
    </r>
    <r>
      <rPr>
        <b/>
        <sz val="20"/>
        <color theme="6"/>
        <rFont val="Calibri (Textkörper)"/>
      </rPr>
      <t>v1.1</t>
    </r>
    <r>
      <rPr>
        <b/>
        <sz val="22"/>
        <color theme="6"/>
        <rFont val="Calibri (Textkörper)"/>
      </rPr>
      <t xml:space="preserve"> </t>
    </r>
    <r>
      <rPr>
        <i/>
        <sz val="14"/>
        <color theme="8"/>
        <rFont val="Calibri (Textkörper)"/>
      </rPr>
      <t>powered by R-evolve</t>
    </r>
  </si>
  <si>
    <t>Do you sell a service or a product (incl. component)?</t>
  </si>
  <si>
    <t>Packaging Costs per Core</t>
  </si>
  <si>
    <t>Shipment Cost per Core</t>
  </si>
  <si>
    <t>Shipment Cost per Product</t>
  </si>
  <si>
    <t>ROUND(IF('Step 1 - Case Selection'!V27&lt;&gt;"Recycle"; Sales_Year_t*Required_Input_Cores);0)</t>
  </si>
  <si>
    <t>ROUND(IF('Step 1 - Case Selection'!V27&lt;&gt;"Recycle"; Sales_Year_t/Core_Reuse_Rate*Required_Input_Cores);0)</t>
  </si>
  <si>
    <t>ROUND(IF('Step 1 - Case Selection'!V27="Recycle"; Sales_Year_t/Output_Core_Material_for_Recycling/Core_Reuse_Rate; 0);0)</t>
  </si>
  <si>
    <t>ROUND(IF('Step 1 - Case Selection'!V27="Recycle"; Sales_Year_t/Output_Core_Material_for_Recycling; 0);0)</t>
  </si>
  <si>
    <t xml:space="preserve">  *fill in manually</t>
  </si>
  <si>
    <r>
      <rPr>
        <b/>
        <u/>
        <sz val="12"/>
        <color theme="3"/>
        <rFont val="Calibri (Textkörper)"/>
      </rPr>
      <t>R-strategies</t>
    </r>
    <r>
      <rPr>
        <b/>
        <sz val="12"/>
        <color theme="3"/>
        <rFont val="Calibri (Textkörper)"/>
      </rPr>
      <t>:</t>
    </r>
    <r>
      <rPr>
        <b/>
        <sz val="12"/>
        <color theme="3"/>
        <rFont val="Calibri"/>
        <family val="2"/>
        <scheme val="minor"/>
      </rPr>
      <t xml:space="preserve"> Repair</t>
    </r>
    <r>
      <rPr>
        <sz val="12"/>
        <color theme="3"/>
        <rFont val="Calibri"/>
        <family val="2"/>
        <scheme val="minor"/>
      </rPr>
      <t xml:space="preserve">: Repair of defective product so it can be used with its original function; </t>
    </r>
    <r>
      <rPr>
        <b/>
        <sz val="12"/>
        <color theme="3"/>
        <rFont val="Calibri"/>
        <family val="2"/>
        <scheme val="minor"/>
      </rPr>
      <t>Reuse</t>
    </r>
    <r>
      <rPr>
        <sz val="12"/>
        <color theme="3"/>
        <rFont val="Calibri"/>
        <family val="2"/>
        <scheme val="minor"/>
      </rPr>
      <t xml:space="preserve">: Reuse by another customer of discarded product which is still in good condition and fulfils its original function; </t>
    </r>
    <r>
      <rPr>
        <b/>
        <sz val="12"/>
        <color theme="3"/>
        <rFont val="Calibri"/>
        <family val="2"/>
        <scheme val="minor"/>
      </rPr>
      <t>Refurbishment</t>
    </r>
    <r>
      <rPr>
        <sz val="12"/>
        <color theme="3"/>
        <rFont val="Calibri"/>
        <family val="2"/>
        <scheme val="minor"/>
      </rPr>
      <t xml:space="preserve">: Restore an old product and bring it up to date; </t>
    </r>
    <r>
      <rPr>
        <b/>
        <sz val="12"/>
        <color theme="3"/>
        <rFont val="Calibri"/>
        <family val="2"/>
        <scheme val="minor"/>
      </rPr>
      <t>Remanufacturing</t>
    </r>
    <r>
      <rPr>
        <sz val="12"/>
        <color theme="3"/>
        <rFont val="Calibri"/>
        <family val="2"/>
        <scheme val="minor"/>
      </rPr>
      <t xml:space="preserve">: Use parts of discarded product in a new (!) product with the same function; </t>
    </r>
    <r>
      <rPr>
        <b/>
        <sz val="12"/>
        <color theme="3"/>
        <rFont val="Calibri"/>
        <family val="2"/>
        <scheme val="minor"/>
      </rPr>
      <t xml:space="preserve">Repurpose: </t>
    </r>
    <r>
      <rPr>
        <sz val="12"/>
        <color theme="3"/>
        <rFont val="Calibri"/>
        <family val="2"/>
        <scheme val="minor"/>
      </rPr>
      <t xml:space="preserve">Use discarded product or its parts in a new (!) product with a different function; </t>
    </r>
    <r>
      <rPr>
        <b/>
        <sz val="12"/>
        <color theme="3"/>
        <rFont val="Calibri"/>
        <family val="2"/>
        <scheme val="minor"/>
      </rPr>
      <t xml:space="preserve">Recycling: </t>
    </r>
    <r>
      <rPr>
        <sz val="12"/>
        <color theme="3"/>
        <rFont val="Calibri"/>
        <family val="2"/>
        <scheme val="minor"/>
      </rPr>
      <t xml:space="preserve">Process materials to obtain the same (high grade) or lower (low grade) quality; </t>
    </r>
    <r>
      <rPr>
        <b/>
        <sz val="12"/>
        <color theme="3"/>
        <rFont val="Calibri"/>
        <family val="2"/>
        <scheme val="minor"/>
      </rPr>
      <t>Rental:</t>
    </r>
    <r>
      <rPr>
        <sz val="12"/>
        <color theme="3"/>
        <rFont val="Calibri"/>
        <family val="2"/>
        <scheme val="minor"/>
      </rPr>
      <t xml:space="preserve"> Offering a product as a service in exchange for receiving regular payments</t>
    </r>
  </si>
  <si>
    <t>Do you pay a premium for the take back of cores?</t>
  </si>
  <si>
    <r>
      <rPr>
        <b/>
        <sz val="18"/>
        <color theme="6"/>
        <rFont val="Calibri"/>
        <family val="2"/>
        <scheme val="minor"/>
      </rPr>
      <t xml:space="preserve">Instructions
</t>
    </r>
    <r>
      <rPr>
        <sz val="13"/>
        <rFont val="Calibri"/>
        <family val="2"/>
        <scheme val="minor"/>
      </rPr>
      <t xml:space="preserve">If you completed the questionnaire in Step 1, you can now enter the data required to calculate your case. Fields that are greyed out are not relevant to your case. You can start with the Overall Financial Figures. You always have to fill out the "Base Case" (Column F). The calculation of additional scenarios (G - I) is optional.
</t>
    </r>
    <r>
      <rPr>
        <b/>
        <sz val="14"/>
        <color theme="6"/>
        <rFont val="Calibri"/>
        <family val="2"/>
        <scheme val="minor"/>
      </rPr>
      <t xml:space="preserve">Core vs. Product: </t>
    </r>
    <r>
      <rPr>
        <sz val="13"/>
        <rFont val="Calibri"/>
        <family val="2"/>
        <scheme val="minor"/>
      </rPr>
      <t>In the following, the word "core" is frequently used to describe a commodity that is taken back as input material for a CE business case (e.g. a used furniture item). The aim is to distinguish it clearly from a "product" that is an output of production and gets sold.</t>
    </r>
  </si>
  <si>
    <r>
      <t xml:space="preserve">The following questions determine the basic configuration of the calculator. Depending on your answers, further detailed questions may appear, which must also be answered in this case. Conversely, greyed-out questions can be ignored. The results of the questionnaire have a significant influence on which data must be collected in Step 2. The term </t>
    </r>
    <r>
      <rPr>
        <b/>
        <sz val="12"/>
        <color theme="3"/>
        <rFont val="Calibri"/>
        <family val="2"/>
        <scheme val="minor"/>
      </rPr>
      <t>'core</t>
    </r>
    <r>
      <rPr>
        <sz val="12"/>
        <color theme="3"/>
        <rFont val="Calibri"/>
        <family val="2"/>
        <scheme val="minor"/>
      </rPr>
      <t>' refers to a returned/retrieved item intended to be reprocessed and (or) resold.</t>
    </r>
  </si>
  <si>
    <t>How many cores are required per output instance (e.g. per remanufactured product)?</t>
  </si>
  <si>
    <t>What percentage of cores is discarded because they are not suitable for use?</t>
  </si>
  <si>
    <r>
      <t xml:space="preserve">Step 2.1 - Data Input </t>
    </r>
    <r>
      <rPr>
        <b/>
        <sz val="16"/>
        <rFont val="Calibri"/>
        <family val="2"/>
        <scheme val="minor"/>
      </rPr>
      <t>(General Data)</t>
    </r>
  </si>
  <si>
    <r>
      <t xml:space="preserve">Step 2.2 - Data Input </t>
    </r>
    <r>
      <rPr>
        <b/>
        <sz val="16"/>
        <rFont val="Calibri"/>
        <family val="2"/>
        <scheme val="minor"/>
      </rPr>
      <t>(Revenue)</t>
    </r>
  </si>
  <si>
    <r>
      <t xml:space="preserve">Step 2.3 - Data Input </t>
    </r>
    <r>
      <rPr>
        <b/>
        <sz val="16"/>
        <rFont val="Calibri"/>
        <family val="2"/>
        <scheme val="minor"/>
      </rPr>
      <t>(CapEx)</t>
    </r>
  </si>
  <si>
    <r>
      <t xml:space="preserve">Step 2.4 - Data Input </t>
    </r>
    <r>
      <rPr>
        <b/>
        <sz val="16"/>
        <rFont val="Calibri"/>
        <family val="2"/>
        <scheme val="minor"/>
      </rPr>
      <t>(OpEx)</t>
    </r>
  </si>
  <si>
    <r>
      <rPr>
        <b/>
        <sz val="14"/>
        <color theme="6"/>
        <rFont val="Calibri (Textkörper)"/>
      </rPr>
      <t>Introduction</t>
    </r>
    <r>
      <rPr>
        <sz val="12"/>
        <color theme="3"/>
        <rFont val="Calibri"/>
        <family val="2"/>
        <scheme val="minor"/>
      </rPr>
      <t xml:space="preserve">
The CE Business Case Calculator is an Excel-based tool designed to assist companies in the economic evaluation of circular economy business models (CBMs). It enables a structured and transparent assessment of financial viability by modelling revenue streams, capital and operating expenditures (CapEX, OpEx) as well as financing costs in detail. The tool provides a clear and visually intuitive graphical representation of the results as an output.
The current version (v1.1) of the calculator, developed by the Wuppertal Institute as part of the R-evolve project, covers the following CBMs, including several sub-strategies: Repair, Reuse, Refurbish, Remanufacture, Repurpose, Recycle and Rental. It also enables the parallel calculation and comparison of several scenarios, such as different sales markets or forecasts. Further features and business models will be included in future updates. 
This tool has been carefully developed and tested. However, minor errors cannot be entirely ruled out. Please note that we accept no liability for any misrepresentations or miscalculations, nor for decisions made on the basis of the results. We welcome your feedback to help us further improve and refine the calculator (see Contact).
</t>
    </r>
    <r>
      <rPr>
        <b/>
        <sz val="14"/>
        <color theme="6"/>
        <rFont val="Calibri (Textkörper)"/>
      </rPr>
      <t>How to use the tool</t>
    </r>
    <r>
      <rPr>
        <sz val="12"/>
        <color theme="3"/>
        <rFont val="Calibri"/>
        <family val="2"/>
        <scheme val="minor"/>
      </rPr>
      <t xml:space="preserve">
The calculator follows a clear three-step structure to guide users through the analysis: 
</t>
    </r>
    <r>
      <rPr>
        <b/>
        <sz val="12"/>
        <color theme="3"/>
        <rFont val="Calibri"/>
        <family val="2"/>
        <scheme val="minor"/>
      </rPr>
      <t>Step 1:</t>
    </r>
    <r>
      <rPr>
        <sz val="12"/>
        <color theme="3"/>
        <rFont val="Calibri"/>
        <family val="2"/>
        <scheme val="minor"/>
      </rPr>
      <t xml:space="preserve"> By answering a short questionnaire, a case is selected and the tool is pre-configured to meet your specific requirements.
</t>
    </r>
    <r>
      <rPr>
        <b/>
        <sz val="12"/>
        <color theme="3"/>
        <rFont val="Calibri"/>
        <family val="2"/>
        <scheme val="minor"/>
      </rPr>
      <t>Step 2:</t>
    </r>
    <r>
      <rPr>
        <sz val="12"/>
        <color theme="3"/>
        <rFont val="Calibri"/>
        <family val="2"/>
        <scheme val="minor"/>
      </rPr>
      <t xml:space="preserve"> Starting with general financial figures (2.1), the tool guides you through the data entry for revenue (2.2), CapEx (2.3) and OpEx (2.4).
</t>
    </r>
    <r>
      <rPr>
        <b/>
        <sz val="12"/>
        <color theme="3"/>
        <rFont val="Calibri"/>
        <family val="2"/>
        <scheme val="minor"/>
      </rPr>
      <t>Step 3:</t>
    </r>
    <r>
      <rPr>
        <sz val="12"/>
        <color theme="3"/>
        <rFont val="Calibri"/>
        <family val="2"/>
        <scheme val="minor"/>
      </rPr>
      <t xml:space="preserve"> Based on the input, results are prepared automatically, focusing on key financial indicators and detailed cost analyses. The tool provides both an in-depth assessment of the base case (3.1) and an optional comparison with up to three scenarios (3.2).
</t>
    </r>
    <r>
      <rPr>
        <b/>
        <sz val="12"/>
        <color theme="3"/>
        <rFont val="Calibri"/>
        <family val="2"/>
        <scheme val="minor"/>
      </rPr>
      <t>Calculation:</t>
    </r>
    <r>
      <rPr>
        <sz val="12"/>
        <color theme="3"/>
        <rFont val="Calibri"/>
        <family val="2"/>
        <scheme val="minor"/>
      </rPr>
      <t xml:space="preserve"> All calculations are carried out in the calculation sheets and should not be altered to ensure the integrity of the tool.
</t>
    </r>
    <r>
      <rPr>
        <b/>
        <sz val="14"/>
        <color theme="6"/>
        <rFont val="Calibri (Textkörper)"/>
      </rPr>
      <t>License</t>
    </r>
    <r>
      <rPr>
        <sz val="12"/>
        <color theme="3"/>
        <rFont val="Calibri"/>
        <family val="2"/>
        <scheme val="minor"/>
      </rPr>
      <t xml:space="preserve">
This tool is published under the Creative Commons Attribution (CC BY) license: https://creativecommons.org/licenses/by/4.0/
</t>
    </r>
    <r>
      <rPr>
        <b/>
        <sz val="12"/>
        <color theme="3"/>
        <rFont val="Calibri"/>
        <family val="2"/>
        <scheme val="minor"/>
      </rPr>
      <t xml:space="preserve">Authors: Niklas Hoffmann, Martin Perau </t>
    </r>
    <r>
      <rPr>
        <sz val="12"/>
        <color theme="3"/>
        <rFont val="Calibri"/>
        <family val="2"/>
        <scheme val="minor"/>
      </rPr>
      <t>| Contact: niklas.hoffmann@wupperinst.org           DOI: 10.5281/zenodo.20799159       22</t>
    </r>
    <r>
      <rPr>
        <i/>
        <sz val="12"/>
        <color theme="3"/>
        <rFont val="Calibri"/>
        <family val="2"/>
        <scheme val="minor"/>
      </rPr>
      <t>.06.2026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</si>
</sst>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0.00\ &quot;€&quot;;[Red]\-#,##0.00\ &quot;€&quot;"/>
    <numFmt numFmtId="44" formatCode="_-* #,##0.00\ &quot;€&quot;_-;\-* #,##0.00\ &quot;€&quot;_-;_-* &quot;-&quot;??\ &quot;€&quot;_-;_-@_-"/>
    <numFmt numFmtId="164" formatCode="_-* #,##0.00\ &quot;€&quot;_-;\-* #,##0.00\ &quot;€&quot;_-;_-* &quot;-&quot;??\ &quot;€&quot;_-;_-@"/>
    <numFmt numFmtId="165" formatCode="d/m/yyyy"/>
    <numFmt numFmtId="166" formatCode="0.0%"/>
    <numFmt numFmtId="167" formatCode="_-* #,##0\ &quot;€&quot;_-;\-* #,##0\ &quot;€&quot;_-;_-* &quot;-&quot;??\ &quot;€&quot;_-;_-@"/>
    <numFmt numFmtId="168" formatCode="#,##0\ &quot;€&quot;"/>
  </numFmts>
  <fonts count="100" x14ac:knownFonts="1">
    <font>
      <sz val="11"/>
      <color theme="1"/>
      <name val="Calibri"/>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4"/>
      <color theme="0"/>
      <name val="Arial"/>
      <family val="2"/>
    </font>
    <font>
      <b/>
      <sz val="16"/>
      <color theme="1"/>
      <name val="Arial"/>
      <family val="2"/>
    </font>
    <font>
      <sz val="11"/>
      <color theme="0"/>
      <name val="Arial"/>
      <family val="2"/>
    </font>
    <font>
      <sz val="11"/>
      <color theme="1"/>
      <name val="Arial"/>
      <family val="2"/>
    </font>
    <font>
      <b/>
      <sz val="12"/>
      <color theme="1"/>
      <name val="Arial"/>
      <family val="2"/>
    </font>
    <font>
      <b/>
      <sz val="14"/>
      <color theme="1"/>
      <name val="Arial"/>
      <family val="2"/>
    </font>
    <font>
      <b/>
      <sz val="20"/>
      <color theme="0"/>
      <name val="Arial"/>
      <family val="2"/>
    </font>
    <font>
      <sz val="12"/>
      <color theme="1"/>
      <name val="Arial"/>
      <family val="2"/>
    </font>
    <font>
      <sz val="12"/>
      <color theme="0"/>
      <name val="Arial"/>
      <family val="2"/>
    </font>
    <font>
      <b/>
      <sz val="11"/>
      <color theme="0"/>
      <name val="Arial"/>
      <family val="2"/>
    </font>
    <font>
      <b/>
      <sz val="11"/>
      <color theme="1"/>
      <name val="Arial"/>
      <family val="2"/>
    </font>
    <font>
      <b/>
      <sz val="12"/>
      <color theme="0"/>
      <name val="Arial"/>
      <family val="2"/>
    </font>
    <font>
      <b/>
      <sz val="20"/>
      <color theme="1" tint="0.34998626667073579"/>
      <name val="Calibri"/>
      <family val="2"/>
      <scheme val="minor"/>
    </font>
    <font>
      <b/>
      <sz val="17"/>
      <color theme="1" tint="0.34998626667073579"/>
      <name val="Calibri"/>
      <family val="2"/>
      <scheme val="minor"/>
    </font>
    <font>
      <b/>
      <sz val="18"/>
      <color theme="1" tint="0.34998626667073579"/>
      <name val="Calibri"/>
      <family val="2"/>
      <scheme val="minor"/>
    </font>
    <font>
      <sz val="18"/>
      <color theme="1" tint="0.34998626667073579"/>
      <name val="Calibri"/>
      <family val="2"/>
      <scheme val="minor"/>
    </font>
    <font>
      <b/>
      <sz val="16"/>
      <color theme="1" tint="0.34998626667073579"/>
      <name val="Calibri"/>
      <family val="2"/>
      <scheme val="minor"/>
    </font>
    <font>
      <sz val="11"/>
      <color theme="1" tint="0.34998626667073579"/>
      <name val="Calibri"/>
      <family val="2"/>
      <scheme val="minor"/>
    </font>
    <font>
      <sz val="11"/>
      <color theme="1" tint="0.34998626667073579"/>
      <name val="Calibri"/>
      <family val="2"/>
    </font>
    <font>
      <b/>
      <sz val="28"/>
      <color rgb="FF0070C0"/>
      <name val="Calibri"/>
      <family val="2"/>
      <scheme val="minor"/>
    </font>
    <font>
      <sz val="16"/>
      <color theme="1"/>
      <name val="Calibri"/>
      <family val="2"/>
      <scheme val="minor"/>
    </font>
    <font>
      <sz val="12"/>
      <color theme="1"/>
      <name val="Calibri"/>
      <family val="2"/>
      <scheme val="minor"/>
    </font>
    <font>
      <sz val="9"/>
      <color theme="1"/>
      <name val="Calibri"/>
      <family val="2"/>
      <scheme val="minor"/>
    </font>
    <font>
      <sz val="8"/>
      <color theme="2" tint="-0.499984740745262"/>
      <name val="Calibri"/>
      <family val="2"/>
      <scheme val="minor"/>
    </font>
    <font>
      <sz val="11"/>
      <color theme="2" tint="-0.499984740745262"/>
      <name val="Calibri"/>
      <family val="2"/>
      <scheme val="minor"/>
    </font>
    <font>
      <sz val="12"/>
      <color theme="1"/>
      <name val="Helvetica"/>
      <family val="2"/>
    </font>
    <font>
      <b/>
      <sz val="12"/>
      <color theme="0"/>
      <name val="Calibri"/>
      <family val="2"/>
      <scheme val="minor"/>
    </font>
    <font>
      <sz val="12"/>
      <color theme="1"/>
      <name val="Calibri (Textkörper)"/>
    </font>
    <font>
      <b/>
      <sz val="18"/>
      <color theme="1"/>
      <name val="Calibri"/>
      <family val="2"/>
      <scheme val="minor"/>
    </font>
    <font>
      <sz val="18"/>
      <color theme="1"/>
      <name val="Calibri (Textkörper)"/>
    </font>
    <font>
      <b/>
      <sz val="20"/>
      <color theme="4"/>
      <name val="Calibri"/>
      <family val="2"/>
      <scheme val="minor"/>
    </font>
    <font>
      <b/>
      <sz val="16"/>
      <color theme="5"/>
      <name val="Calibri"/>
      <family val="2"/>
      <scheme val="minor"/>
    </font>
    <font>
      <i/>
      <sz val="16"/>
      <color theme="8"/>
      <name val="Calibri"/>
      <family val="2"/>
      <scheme val="minor"/>
    </font>
    <font>
      <b/>
      <sz val="18"/>
      <color theme="5"/>
      <name val="Calibri"/>
      <family val="2"/>
      <scheme val="minor"/>
    </font>
    <font>
      <b/>
      <sz val="20"/>
      <color theme="8"/>
      <name val="Calibri"/>
      <family val="2"/>
      <scheme val="minor"/>
    </font>
    <font>
      <b/>
      <sz val="17"/>
      <color theme="8"/>
      <name val="Calibri"/>
      <family val="2"/>
      <scheme val="minor"/>
    </font>
    <font>
      <b/>
      <sz val="18"/>
      <color theme="8"/>
      <name val="Calibri"/>
      <family val="2"/>
      <scheme val="minor"/>
    </font>
    <font>
      <sz val="12"/>
      <color theme="8"/>
      <name val="Calibri (Textkörper)"/>
    </font>
    <font>
      <b/>
      <sz val="12"/>
      <color theme="5"/>
      <name val="Calibri"/>
      <family val="2"/>
      <scheme val="minor"/>
    </font>
    <font>
      <sz val="11"/>
      <color theme="3"/>
      <name val="Calibri"/>
      <family val="2"/>
      <scheme val="minor"/>
    </font>
    <font>
      <b/>
      <sz val="16"/>
      <color theme="5"/>
      <name val="Calibri (Textkörper)"/>
    </font>
    <font>
      <i/>
      <sz val="12"/>
      <color theme="8"/>
      <name val="Calibri (Textkörper)"/>
    </font>
    <font>
      <b/>
      <sz val="12"/>
      <color theme="3"/>
      <name val="Calibri"/>
      <family val="2"/>
      <scheme val="minor"/>
    </font>
    <font>
      <b/>
      <sz val="18"/>
      <color theme="6"/>
      <name val="Calibri"/>
      <family val="2"/>
      <scheme val="minor"/>
    </font>
    <font>
      <sz val="12"/>
      <color theme="3"/>
      <name val="Calibri"/>
      <family val="2"/>
      <scheme val="minor"/>
    </font>
    <font>
      <sz val="12"/>
      <color theme="1"/>
      <name val="Calibri"/>
      <family val="2"/>
    </font>
    <font>
      <i/>
      <sz val="12"/>
      <color theme="3"/>
      <name val="Calibri"/>
      <family val="2"/>
      <scheme val="minor"/>
    </font>
    <font>
      <b/>
      <sz val="14"/>
      <color theme="6"/>
      <name val="Calibri (Textkörper)"/>
    </font>
    <font>
      <b/>
      <sz val="22"/>
      <color theme="6"/>
      <name val="Calibri (Textkörper)"/>
    </font>
    <font>
      <sz val="10"/>
      <color theme="3"/>
      <name val="Calibri"/>
      <family val="2"/>
      <scheme val="minor"/>
    </font>
    <font>
      <i/>
      <sz val="12"/>
      <color theme="1"/>
      <name val="Calibri"/>
      <family val="2"/>
      <scheme val="minor"/>
    </font>
    <font>
      <b/>
      <sz val="14"/>
      <color theme="6"/>
      <name val="Calibri"/>
      <family val="2"/>
      <scheme val="minor"/>
    </font>
    <font>
      <b/>
      <sz val="12"/>
      <color theme="1"/>
      <name val="Calibri"/>
      <family val="2"/>
      <scheme val="minor"/>
    </font>
    <font>
      <sz val="12"/>
      <name val="Calibri"/>
      <family val="2"/>
      <scheme val="minor"/>
    </font>
    <font>
      <b/>
      <sz val="12"/>
      <color theme="4"/>
      <name val="Calibri"/>
      <family val="2"/>
      <scheme val="minor"/>
    </font>
    <font>
      <sz val="12"/>
      <color rgb="FFFF0000"/>
      <name val="Calibri"/>
      <family val="2"/>
      <scheme val="minor"/>
    </font>
    <font>
      <sz val="12"/>
      <color theme="0"/>
      <name val="Calibri"/>
      <family val="2"/>
      <scheme val="minor"/>
    </font>
    <font>
      <sz val="12"/>
      <color theme="6"/>
      <name val="Calibri"/>
      <family val="2"/>
      <scheme val="minor"/>
    </font>
    <font>
      <i/>
      <sz val="12"/>
      <color theme="0"/>
      <name val="Calibri"/>
      <family val="2"/>
      <scheme val="minor"/>
    </font>
    <font>
      <b/>
      <sz val="12"/>
      <color theme="0"/>
      <name val="Calibri"/>
      <family val="2"/>
    </font>
    <font>
      <sz val="12"/>
      <color theme="5"/>
      <name val="Calibri"/>
      <family val="2"/>
      <scheme val="minor"/>
    </font>
    <font>
      <b/>
      <sz val="24"/>
      <color theme="4"/>
      <name val="Calibri (Textkörper)"/>
    </font>
    <font>
      <b/>
      <sz val="20"/>
      <color theme="6"/>
      <name val="Calibri (Textkörper)"/>
    </font>
    <font>
      <i/>
      <sz val="14"/>
      <color theme="8"/>
      <name val="Calibri (Textkörper)"/>
    </font>
    <font>
      <i/>
      <sz val="14"/>
      <color theme="8"/>
      <name val="Calibri"/>
      <family val="2"/>
      <scheme val="minor"/>
    </font>
    <font>
      <b/>
      <sz val="16"/>
      <color theme="0"/>
      <name val="Calibri"/>
      <family val="2"/>
      <scheme val="major"/>
    </font>
    <font>
      <b/>
      <sz val="14"/>
      <color theme="1"/>
      <name val="Calibri"/>
      <family val="2"/>
      <scheme val="major"/>
    </font>
    <font>
      <sz val="11"/>
      <color theme="1"/>
      <name val="Calibri"/>
      <family val="2"/>
      <scheme val="major"/>
    </font>
    <font>
      <sz val="12"/>
      <color theme="1"/>
      <name val="Calibri"/>
      <family val="2"/>
      <scheme val="major"/>
    </font>
    <font>
      <sz val="12"/>
      <name val="Calibri"/>
      <family val="2"/>
      <scheme val="major"/>
    </font>
    <font>
      <b/>
      <sz val="12"/>
      <color theme="0"/>
      <name val="Calibri"/>
      <family val="2"/>
      <scheme val="major"/>
    </font>
    <font>
      <b/>
      <i/>
      <sz val="16"/>
      <color theme="0"/>
      <name val="Calibri"/>
      <family val="2"/>
      <scheme val="major"/>
    </font>
    <font>
      <i/>
      <sz val="12"/>
      <color theme="3" tint="0.59999389629810485"/>
      <name val="Calibri"/>
      <family val="2"/>
      <scheme val="major"/>
    </font>
    <font>
      <b/>
      <sz val="12"/>
      <color theme="3" tint="0.59999389629810485"/>
      <name val="Calibri"/>
      <family val="2"/>
      <scheme val="major"/>
    </font>
    <font>
      <sz val="14"/>
      <color theme="1"/>
      <name val="Calibri"/>
      <family val="2"/>
      <scheme val="major"/>
    </font>
    <font>
      <b/>
      <sz val="16"/>
      <color theme="6"/>
      <name val="Calibri"/>
      <family val="2"/>
      <scheme val="minor"/>
    </font>
    <font>
      <b/>
      <sz val="16"/>
      <name val="Calibri"/>
      <family val="2"/>
      <scheme val="minor"/>
    </font>
    <font>
      <sz val="13"/>
      <name val="Calibri"/>
      <family val="2"/>
      <scheme val="minor"/>
    </font>
    <font>
      <b/>
      <sz val="14"/>
      <color theme="5"/>
      <name val="Calibri"/>
      <family val="2"/>
      <scheme val="minor"/>
    </font>
    <font>
      <b/>
      <sz val="14"/>
      <color theme="0"/>
      <name val="Calibri"/>
      <family val="2"/>
      <scheme val="major"/>
    </font>
    <font>
      <b/>
      <sz val="14"/>
      <name val="Calibri"/>
      <family val="2"/>
      <scheme val="major"/>
    </font>
    <font>
      <sz val="11"/>
      <name val="Calibri"/>
      <family val="2"/>
      <scheme val="major"/>
    </font>
    <font>
      <b/>
      <sz val="16"/>
      <color theme="1"/>
      <name val="Calibri"/>
      <family val="2"/>
      <scheme val="minor"/>
    </font>
    <font>
      <b/>
      <i/>
      <sz val="14"/>
      <color theme="1"/>
      <name val="Calibri"/>
      <family val="2"/>
      <scheme val="minor"/>
    </font>
    <font>
      <b/>
      <sz val="12"/>
      <color theme="1" tint="0.34998626667073579"/>
      <name val="Calibri"/>
      <family val="2"/>
      <scheme val="minor"/>
    </font>
    <font>
      <b/>
      <i/>
      <sz val="12"/>
      <color rgb="FFFF0000"/>
      <name val="Calibri"/>
      <family val="2"/>
      <scheme val="major"/>
    </font>
    <font>
      <sz val="11"/>
      <color theme="0"/>
      <name val="Calibri"/>
      <family val="2"/>
      <scheme val="minor"/>
    </font>
    <font>
      <b/>
      <sz val="11"/>
      <color theme="0"/>
      <name val="Calibri"/>
      <family val="2"/>
      <scheme val="minor"/>
    </font>
    <font>
      <b/>
      <sz val="11"/>
      <color theme="1"/>
      <name val="Calibri"/>
      <family val="2"/>
      <scheme val="minor"/>
    </font>
    <font>
      <b/>
      <sz val="14"/>
      <color theme="0"/>
      <name val="Calibri"/>
      <family val="2"/>
      <scheme val="minor"/>
    </font>
    <font>
      <i/>
      <sz val="11"/>
      <color theme="1" tint="0.249977111117893"/>
      <name val="Calibri"/>
      <family val="2"/>
      <scheme val="minor"/>
    </font>
    <font>
      <b/>
      <sz val="12"/>
      <color theme="3"/>
      <name val="Calibri (Textkörper)"/>
    </font>
    <font>
      <b/>
      <u/>
      <sz val="12"/>
      <color theme="3"/>
      <name val="Calibri (Textkörper)"/>
    </font>
  </fonts>
  <fills count="46">
    <fill>
      <patternFill patternType="none"/>
    </fill>
    <fill>
      <patternFill patternType="gray125"/>
    </fill>
    <fill>
      <patternFill patternType="solid">
        <fgColor rgb="FFE2EFD9"/>
        <bgColor rgb="FFE2EFD9"/>
      </patternFill>
    </fill>
    <fill>
      <patternFill patternType="solid">
        <fgColor rgb="FFFBE4D5"/>
        <bgColor rgb="FFFBE4D5"/>
      </patternFill>
    </fill>
    <fill>
      <patternFill patternType="solid">
        <fgColor rgb="FFFEF2CB"/>
        <bgColor rgb="FFFEF2CB"/>
      </patternFill>
    </fill>
    <fill>
      <patternFill patternType="solid">
        <fgColor theme="5"/>
        <bgColor indexed="64"/>
      </patternFill>
    </fill>
    <fill>
      <patternFill patternType="solid">
        <fgColor theme="8" tint="0.59999389629810485"/>
        <bgColor indexed="64"/>
      </patternFill>
    </fill>
    <fill>
      <patternFill patternType="solid">
        <fgColor rgb="FF00B050"/>
        <bgColor rgb="FFE2EFD9"/>
      </patternFill>
    </fill>
    <fill>
      <patternFill patternType="solid">
        <fgColor theme="0" tint="-0.14999847407452621"/>
        <bgColor indexed="64"/>
      </patternFill>
    </fill>
    <fill>
      <patternFill patternType="solid">
        <fgColor theme="0"/>
        <bgColor indexed="64"/>
      </patternFill>
    </fill>
    <fill>
      <patternFill patternType="solid">
        <fgColor rgb="FF00B0F0"/>
        <bgColor rgb="FFD8D8D8"/>
      </patternFill>
    </fill>
    <fill>
      <patternFill patternType="solid">
        <fgColor theme="2"/>
        <bgColor indexed="64"/>
      </patternFill>
    </fill>
    <fill>
      <patternFill patternType="solid">
        <fgColor theme="3"/>
        <bgColor indexed="64"/>
      </patternFill>
    </fill>
    <fill>
      <patternFill patternType="solid">
        <fgColor rgb="FF548235"/>
        <bgColor rgb="FFE2EFD9"/>
      </patternFill>
    </fill>
    <fill>
      <patternFill patternType="solid">
        <fgColor rgb="FF375623"/>
        <bgColor rgb="FFFBE4D5"/>
      </patternFill>
    </fill>
    <fill>
      <patternFill patternType="solid">
        <fgColor rgb="FF375623"/>
        <bgColor rgb="FFE2EFD9"/>
      </patternFill>
    </fill>
    <fill>
      <patternFill patternType="solid">
        <fgColor rgb="FFC65911"/>
        <bgColor rgb="FFFBE4D5"/>
      </patternFill>
    </fill>
    <fill>
      <patternFill patternType="solid">
        <fgColor rgb="FFED7D31"/>
        <bgColor rgb="FFFBE4D5"/>
      </patternFill>
    </fill>
    <fill>
      <patternFill patternType="solid">
        <fgColor rgb="FFFBE4D5"/>
        <bgColor rgb="FFE2EFD9"/>
      </patternFill>
    </fill>
    <fill>
      <patternFill patternType="solid">
        <fgColor rgb="FFBF8F00"/>
        <bgColor rgb="FFFEF2CB"/>
      </patternFill>
    </fill>
    <fill>
      <patternFill patternType="solid">
        <fgColor rgb="FFFFC000"/>
        <bgColor rgb="FFFEF2CB"/>
      </patternFill>
    </fill>
    <fill>
      <patternFill patternType="solid">
        <fgColor rgb="FFFFC000"/>
        <bgColor rgb="FFFBE4D5"/>
      </patternFill>
    </fill>
    <fill>
      <patternFill patternType="solid">
        <fgColor rgb="FFFFD966"/>
        <bgColor rgb="FFFEF2CB"/>
      </patternFill>
    </fill>
    <fill>
      <patternFill patternType="solid">
        <fgColor rgb="FFFFFFFF"/>
        <bgColor rgb="FFFBE4D5"/>
      </patternFill>
    </fill>
    <fill>
      <patternFill patternType="solid">
        <fgColor rgb="FFFFFFFF"/>
        <bgColor rgb="FFBDD6EE"/>
      </patternFill>
    </fill>
    <fill>
      <patternFill patternType="solid">
        <fgColor rgb="FFFFFFFF"/>
        <bgColor indexed="64"/>
      </patternFill>
    </fill>
    <fill>
      <patternFill patternType="solid">
        <fgColor theme="0" tint="-4.9989318521683403E-2"/>
        <bgColor rgb="FFBDD6EE"/>
      </patternFill>
    </fill>
    <fill>
      <patternFill patternType="solid">
        <fgColor theme="0" tint="-4.9989318521683403E-2"/>
        <bgColor indexed="64"/>
      </patternFill>
    </fill>
    <fill>
      <patternFill patternType="solid">
        <fgColor rgb="FF203764"/>
        <bgColor rgb="FFD8D8D8"/>
      </patternFill>
    </fill>
    <fill>
      <patternFill patternType="solid">
        <fgColor rgb="FF203764"/>
        <bgColor indexed="64"/>
      </patternFill>
    </fill>
    <fill>
      <patternFill patternType="solid">
        <fgColor rgb="FF4472C4"/>
        <bgColor rgb="FFD8D8D8"/>
      </patternFill>
    </fill>
    <fill>
      <patternFill patternType="solid">
        <fgColor rgb="FF4472C4"/>
        <bgColor indexed="64"/>
      </patternFill>
    </fill>
    <fill>
      <patternFill patternType="solid">
        <fgColor rgb="FFB4C6E7"/>
        <bgColor rgb="FFD8D8D8"/>
      </patternFill>
    </fill>
    <fill>
      <patternFill patternType="solid">
        <fgColor rgb="FFB4C6E7"/>
        <bgColor indexed="64"/>
      </patternFill>
    </fill>
    <fill>
      <patternFill patternType="solid">
        <fgColor rgb="FF00B0F0"/>
        <bgColor indexed="64"/>
      </patternFill>
    </fill>
    <fill>
      <patternFill patternType="solid">
        <fgColor theme="2" tint="0.79998168889431442"/>
        <bgColor rgb="FFD8D8D8"/>
      </patternFill>
    </fill>
    <fill>
      <patternFill patternType="solid">
        <fgColor theme="9" tint="-0.499984740745262"/>
        <bgColor indexed="64"/>
      </patternFill>
    </fill>
    <fill>
      <patternFill patternType="solid">
        <fgColor theme="9" tint="-9.9978637043366805E-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bgColor indexed="64"/>
      </patternFill>
    </fill>
    <fill>
      <patternFill patternType="solid">
        <fgColor theme="6" tint="0.249977111117893"/>
        <bgColor indexed="64"/>
      </patternFill>
    </fill>
    <fill>
      <patternFill patternType="solid">
        <fgColor theme="8"/>
        <bgColor indexed="64"/>
      </patternFill>
    </fill>
  </fills>
  <borders count="5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theme="6"/>
      </bottom>
      <diagonal/>
    </border>
    <border>
      <left style="thin">
        <color rgb="FF000000"/>
      </left>
      <right style="thin">
        <color rgb="FF000000"/>
      </right>
      <top style="thin">
        <color rgb="FF000000"/>
      </top>
      <bottom/>
      <diagonal/>
    </border>
    <border>
      <left/>
      <right/>
      <top/>
      <bottom style="medium">
        <color theme="8"/>
      </bottom>
      <diagonal/>
    </border>
    <border>
      <left/>
      <right style="medium">
        <color theme="8"/>
      </right>
      <top/>
      <bottom style="medium">
        <color theme="8"/>
      </bottom>
      <diagonal/>
    </border>
    <border>
      <left/>
      <right style="medium">
        <color theme="8"/>
      </right>
      <top/>
      <bottom/>
      <diagonal/>
    </border>
    <border>
      <left/>
      <right/>
      <top style="double">
        <color theme="6"/>
      </top>
      <bottom style="medium">
        <color theme="8"/>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theme="6"/>
      </left>
      <right style="double">
        <color theme="6"/>
      </right>
      <top style="double">
        <color theme="6"/>
      </top>
      <bottom style="double">
        <color theme="6"/>
      </bottom>
      <diagonal/>
    </border>
    <border>
      <left style="double">
        <color theme="5"/>
      </left>
      <right style="double">
        <color theme="5"/>
      </right>
      <top style="double">
        <color theme="5"/>
      </top>
      <bottom style="double">
        <color theme="5"/>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rgb="FF000000"/>
      </right>
      <top style="thin">
        <color rgb="FF000000"/>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bottom style="thin">
        <color indexed="64"/>
      </bottom>
      <diagonal/>
    </border>
    <border>
      <left style="thin">
        <color rgb="FF000000"/>
      </left>
      <right/>
      <top style="thin">
        <color rgb="FF000000"/>
      </top>
      <bottom/>
      <diagonal/>
    </border>
  </borders>
  <cellStyleXfs count="1">
    <xf numFmtId="0" fontId="0" fillId="0" borderId="0"/>
  </cellStyleXfs>
  <cellXfs count="493">
    <xf numFmtId="0" fontId="0" fillId="0" borderId="0" xfId="0"/>
    <xf numFmtId="0" fontId="10" fillId="8" borderId="0" xfId="0" applyFont="1" applyFill="1"/>
    <xf numFmtId="0" fontId="10" fillId="8" borderId="5" xfId="0" applyFont="1" applyFill="1" applyBorder="1"/>
    <xf numFmtId="164" fontId="10" fillId="2" borderId="5" xfId="0" applyNumberFormat="1" applyFont="1" applyFill="1" applyBorder="1" applyAlignment="1">
      <alignment vertical="center"/>
    </xf>
    <xf numFmtId="0" fontId="10" fillId="0" borderId="0" xfId="0" applyFont="1"/>
    <xf numFmtId="0" fontId="9" fillId="7" borderId="5" xfId="0" applyFont="1" applyFill="1" applyBorder="1" applyAlignment="1">
      <alignment vertical="center"/>
    </xf>
    <xf numFmtId="164" fontId="10" fillId="3" borderId="5" xfId="0" applyNumberFormat="1" applyFont="1" applyFill="1" applyBorder="1"/>
    <xf numFmtId="0" fontId="10" fillId="0" borderId="2" xfId="0" applyFont="1" applyBorder="1"/>
    <xf numFmtId="0" fontId="10" fillId="3" borderId="5" xfId="0" applyFont="1" applyFill="1" applyBorder="1" applyAlignment="1">
      <alignment horizontal="center"/>
    </xf>
    <xf numFmtId="0" fontId="10" fillId="8" borderId="5" xfId="0" applyFont="1" applyFill="1" applyBorder="1" applyAlignment="1">
      <alignment horizontal="center"/>
    </xf>
    <xf numFmtId="0" fontId="10" fillId="4" borderId="5" xfId="0" applyFont="1" applyFill="1" applyBorder="1" applyAlignment="1">
      <alignment vertical="center"/>
    </xf>
    <xf numFmtId="0" fontId="10" fillId="4" borderId="5" xfId="0" applyFont="1" applyFill="1" applyBorder="1" applyAlignment="1">
      <alignment horizontal="center" vertical="center" wrapText="1"/>
    </xf>
    <xf numFmtId="164" fontId="10" fillId="4" borderId="5" xfId="0" applyNumberFormat="1" applyFont="1" applyFill="1" applyBorder="1" applyAlignment="1">
      <alignment vertical="center"/>
    </xf>
    <xf numFmtId="0" fontId="10" fillId="4" borderId="5" xfId="0" applyFont="1" applyFill="1" applyBorder="1"/>
    <xf numFmtId="164" fontId="10" fillId="4" borderId="5" xfId="0" applyNumberFormat="1" applyFont="1" applyFill="1" applyBorder="1"/>
    <xf numFmtId="0" fontId="10" fillId="0" borderId="0" xfId="0" applyFont="1" applyAlignment="1">
      <alignment horizontal="center"/>
    </xf>
    <xf numFmtId="0" fontId="10" fillId="2" borderId="5" xfId="0" applyFont="1" applyFill="1" applyBorder="1" applyAlignment="1">
      <alignment vertical="center"/>
    </xf>
    <xf numFmtId="0" fontId="10" fillId="2" borderId="5" xfId="0" applyFont="1" applyFill="1" applyBorder="1"/>
    <xf numFmtId="0" fontId="10" fillId="2" borderId="5" xfId="0" applyFont="1" applyFill="1" applyBorder="1" applyAlignment="1">
      <alignment horizontal="center"/>
    </xf>
    <xf numFmtId="0" fontId="9" fillId="2" borderId="5" xfId="0" applyFont="1" applyFill="1" applyBorder="1" applyAlignment="1">
      <alignment vertical="center"/>
    </xf>
    <xf numFmtId="0" fontId="9" fillId="7" borderId="5" xfId="0" applyFont="1" applyFill="1" applyBorder="1"/>
    <xf numFmtId="0" fontId="9" fillId="7" borderId="5" xfId="0" applyFont="1" applyFill="1" applyBorder="1" applyAlignment="1">
      <alignment horizontal="center"/>
    </xf>
    <xf numFmtId="164" fontId="9" fillId="7" borderId="5" xfId="0" applyNumberFormat="1" applyFont="1" applyFill="1" applyBorder="1" applyAlignment="1">
      <alignment vertical="center"/>
    </xf>
    <xf numFmtId="0" fontId="10" fillId="3" borderId="5" xfId="0" applyFont="1" applyFill="1" applyBorder="1"/>
    <xf numFmtId="0" fontId="10" fillId="4" borderId="5" xfId="0" applyFont="1" applyFill="1" applyBorder="1" applyAlignment="1">
      <alignment horizontal="center"/>
    </xf>
    <xf numFmtId="0" fontId="15" fillId="10" borderId="5" xfId="0" applyFont="1" applyFill="1" applyBorder="1" applyAlignment="1">
      <alignment vertical="center" wrapText="1"/>
    </xf>
    <xf numFmtId="0" fontId="15" fillId="10" borderId="5" xfId="0" applyFont="1" applyFill="1" applyBorder="1" applyAlignment="1">
      <alignment vertical="center"/>
    </xf>
    <xf numFmtId="0" fontId="15" fillId="10" borderId="5" xfId="0" applyFont="1" applyFill="1" applyBorder="1" applyAlignment="1">
      <alignment horizontal="center" vertical="center" wrapText="1"/>
    </xf>
    <xf numFmtId="164" fontId="15" fillId="10" borderId="5" xfId="0" applyNumberFormat="1" applyFont="1" applyFill="1" applyBorder="1" applyAlignment="1">
      <alignment vertical="center" wrapText="1"/>
    </xf>
    <xf numFmtId="0" fontId="17" fillId="8" borderId="5" xfId="0" applyFont="1" applyFill="1" applyBorder="1"/>
    <xf numFmtId="0" fontId="17" fillId="2" borderId="5" xfId="0" applyFont="1" applyFill="1" applyBorder="1" applyAlignment="1">
      <alignment vertical="center"/>
    </xf>
    <xf numFmtId="0" fontId="16" fillId="2" borderId="5" xfId="0" applyFont="1" applyFill="1" applyBorder="1" applyAlignment="1">
      <alignment vertical="center"/>
    </xf>
    <xf numFmtId="0" fontId="17" fillId="3" borderId="5" xfId="0" applyFont="1" applyFill="1" applyBorder="1"/>
    <xf numFmtId="0" fontId="17" fillId="4" borderId="5" xfId="0" applyFont="1" applyFill="1" applyBorder="1" applyAlignment="1">
      <alignment vertical="center"/>
    </xf>
    <xf numFmtId="0" fontId="17" fillId="4" borderId="5" xfId="0" applyFont="1" applyFill="1" applyBorder="1"/>
    <xf numFmtId="0" fontId="17" fillId="0" borderId="0" xfId="0" applyFont="1"/>
    <xf numFmtId="10" fontId="15" fillId="10" borderId="5" xfId="0" applyNumberFormat="1" applyFont="1" applyFill="1" applyBorder="1" applyAlignment="1">
      <alignment vertical="center" wrapText="1"/>
    </xf>
    <xf numFmtId="165" fontId="15" fillId="10" borderId="5" xfId="0" applyNumberFormat="1" applyFont="1" applyFill="1" applyBorder="1" applyAlignment="1">
      <alignment vertical="center" wrapText="1"/>
    </xf>
    <xf numFmtId="165" fontId="15" fillId="10" borderId="5" xfId="0" applyNumberFormat="1" applyFont="1" applyFill="1" applyBorder="1"/>
    <xf numFmtId="0" fontId="15" fillId="10" borderId="5" xfId="0" applyFont="1" applyFill="1" applyBorder="1" applyAlignment="1">
      <alignment horizontal="center"/>
    </xf>
    <xf numFmtId="0" fontId="15" fillId="10" borderId="5" xfId="0" applyFont="1" applyFill="1" applyBorder="1"/>
    <xf numFmtId="0" fontId="19" fillId="9" borderId="0" xfId="0" applyFont="1" applyFill="1" applyAlignment="1">
      <alignment vertical="center"/>
    </xf>
    <xf numFmtId="0" fontId="20" fillId="9" borderId="0" xfId="0" applyFont="1" applyFill="1" applyAlignment="1">
      <alignment vertical="center"/>
    </xf>
    <xf numFmtId="0" fontId="22" fillId="9" borderId="0" xfId="0" applyFont="1" applyFill="1" applyAlignment="1">
      <alignment vertical="center"/>
    </xf>
    <xf numFmtId="0" fontId="24" fillId="9" borderId="0" xfId="0" applyFont="1" applyFill="1"/>
    <xf numFmtId="0" fontId="25" fillId="9" borderId="0" xfId="0" applyFont="1" applyFill="1"/>
    <xf numFmtId="0" fontId="24" fillId="0" borderId="0" xfId="0" applyFont="1"/>
    <xf numFmtId="0" fontId="24" fillId="9" borderId="2" xfId="0" applyFont="1" applyFill="1" applyBorder="1"/>
    <xf numFmtId="0" fontId="24" fillId="0" borderId="2" xfId="0" applyFont="1" applyBorder="1"/>
    <xf numFmtId="167" fontId="15" fillId="10" borderId="5" xfId="0" applyNumberFormat="1" applyFont="1" applyFill="1" applyBorder="1" applyAlignment="1">
      <alignment vertical="center" wrapText="1"/>
    </xf>
    <xf numFmtId="0" fontId="0" fillId="0" borderId="2" xfId="0" applyBorder="1"/>
    <xf numFmtId="0" fontId="0" fillId="0" borderId="0" xfId="0" applyAlignment="1">
      <alignment horizontal="left" vertical="top"/>
    </xf>
    <xf numFmtId="44" fontId="15" fillId="10" borderId="5" xfId="0" applyNumberFormat="1" applyFont="1" applyFill="1" applyBorder="1" applyAlignment="1">
      <alignment vertical="center" wrapText="1"/>
    </xf>
    <xf numFmtId="0" fontId="0" fillId="9" borderId="0" xfId="0" applyFill="1"/>
    <xf numFmtId="0" fontId="23" fillId="0" borderId="2" xfId="0" applyFont="1" applyBorder="1" applyAlignment="1">
      <alignment vertical="center"/>
    </xf>
    <xf numFmtId="0" fontId="20" fillId="0" borderId="2" xfId="0" applyFont="1" applyBorder="1" applyAlignment="1">
      <alignment horizontal="left" vertical="center"/>
    </xf>
    <xf numFmtId="0" fontId="19" fillId="0" borderId="2" xfId="0" applyFont="1" applyBorder="1" applyAlignment="1">
      <alignment vertical="center"/>
    </xf>
    <xf numFmtId="0" fontId="20" fillId="0" borderId="2" xfId="0" applyFont="1" applyBorder="1" applyAlignment="1">
      <alignment vertical="center"/>
    </xf>
    <xf numFmtId="0" fontId="21" fillId="0" borderId="2" xfId="0" applyFont="1" applyBorder="1" applyAlignment="1">
      <alignment vertical="center"/>
    </xf>
    <xf numFmtId="0" fontId="22" fillId="0" borderId="2" xfId="0" applyFont="1" applyBorder="1" applyAlignment="1">
      <alignment vertical="center"/>
    </xf>
    <xf numFmtId="0" fontId="32" fillId="0" borderId="0" xfId="0" applyFont="1"/>
    <xf numFmtId="0" fontId="10" fillId="11" borderId="5" xfId="0" applyFont="1" applyFill="1" applyBorder="1"/>
    <xf numFmtId="0" fontId="17" fillId="11" borderId="5" xfId="0" applyFont="1" applyFill="1" applyBorder="1"/>
    <xf numFmtId="0" fontId="10" fillId="11" borderId="5" xfId="0" applyFont="1" applyFill="1" applyBorder="1" applyAlignment="1">
      <alignment horizontal="center"/>
    </xf>
    <xf numFmtId="0" fontId="10" fillId="11" borderId="0" xfId="0" applyFont="1" applyFill="1"/>
    <xf numFmtId="0" fontId="10" fillId="12" borderId="5" xfId="0" applyFont="1" applyFill="1" applyBorder="1"/>
    <xf numFmtId="0" fontId="17" fillId="12" borderId="5" xfId="0" applyFont="1" applyFill="1" applyBorder="1"/>
    <xf numFmtId="0" fontId="10" fillId="12" borderId="5" xfId="0" applyFont="1" applyFill="1" applyBorder="1" applyAlignment="1">
      <alignment horizontal="center"/>
    </xf>
    <xf numFmtId="0" fontId="10" fillId="12" borderId="0" xfId="0" applyFont="1" applyFill="1"/>
    <xf numFmtId="0" fontId="9" fillId="13" borderId="5" xfId="0" applyFont="1" applyFill="1" applyBorder="1" applyAlignment="1">
      <alignment vertical="center"/>
    </xf>
    <xf numFmtId="0" fontId="16" fillId="13" borderId="5" xfId="0" applyFont="1" applyFill="1" applyBorder="1" applyAlignment="1">
      <alignment vertical="center"/>
    </xf>
    <xf numFmtId="0" fontId="9" fillId="13" borderId="5" xfId="0" applyFont="1" applyFill="1" applyBorder="1"/>
    <xf numFmtId="0" fontId="9" fillId="13" borderId="5" xfId="0" applyFont="1" applyFill="1" applyBorder="1" applyAlignment="1">
      <alignment horizontal="center"/>
    </xf>
    <xf numFmtId="164" fontId="9" fillId="13" borderId="5" xfId="0" applyNumberFormat="1" applyFont="1" applyFill="1" applyBorder="1" applyAlignment="1">
      <alignment vertical="center"/>
    </xf>
    <xf numFmtId="0" fontId="7" fillId="14" borderId="5" xfId="0" applyFont="1" applyFill="1" applyBorder="1" applyAlignment="1">
      <alignment vertical="center"/>
    </xf>
    <xf numFmtId="0" fontId="16" fillId="15" borderId="5" xfId="0" applyFont="1" applyFill="1" applyBorder="1" applyAlignment="1">
      <alignment vertical="center"/>
    </xf>
    <xf numFmtId="0" fontId="9" fillId="15" borderId="5" xfId="0" applyFont="1" applyFill="1" applyBorder="1" applyAlignment="1">
      <alignment vertical="center"/>
    </xf>
    <xf numFmtId="0" fontId="9" fillId="15" borderId="5" xfId="0" applyFont="1" applyFill="1" applyBorder="1"/>
    <xf numFmtId="0" fontId="9" fillId="15" borderId="5" xfId="0" applyFont="1" applyFill="1" applyBorder="1" applyAlignment="1">
      <alignment horizontal="center"/>
    </xf>
    <xf numFmtId="164" fontId="9" fillId="15" borderId="5" xfId="0" applyNumberFormat="1" applyFont="1" applyFill="1" applyBorder="1" applyAlignment="1">
      <alignment vertical="center"/>
    </xf>
    <xf numFmtId="0" fontId="7" fillId="16" borderId="5" xfId="0" applyFont="1" applyFill="1" applyBorder="1" applyAlignment="1">
      <alignment vertical="center"/>
    </xf>
    <xf numFmtId="0" fontId="16" fillId="16" borderId="5" xfId="0" applyFont="1" applyFill="1" applyBorder="1" applyAlignment="1">
      <alignment vertical="center"/>
    </xf>
    <xf numFmtId="0" fontId="9" fillId="16" borderId="5" xfId="0" applyFont="1" applyFill="1" applyBorder="1" applyAlignment="1">
      <alignment vertical="center"/>
    </xf>
    <xf numFmtId="0" fontId="9" fillId="16" borderId="5" xfId="0" applyFont="1" applyFill="1" applyBorder="1" applyAlignment="1">
      <alignment horizontal="center" vertical="center" wrapText="1"/>
    </xf>
    <xf numFmtId="164" fontId="9" fillId="16" borderId="5" xfId="0" applyNumberFormat="1" applyFont="1" applyFill="1" applyBorder="1" applyAlignment="1">
      <alignment vertical="center"/>
    </xf>
    <xf numFmtId="0" fontId="9" fillId="17" borderId="5" xfId="0" applyFont="1" applyFill="1" applyBorder="1"/>
    <xf numFmtId="0" fontId="16" fillId="17" borderId="5" xfId="0" applyFont="1" applyFill="1" applyBorder="1"/>
    <xf numFmtId="0" fontId="9" fillId="17" borderId="5" xfId="0" applyFont="1" applyFill="1" applyBorder="1" applyAlignment="1">
      <alignment horizontal="center"/>
    </xf>
    <xf numFmtId="164" fontId="9" fillId="17" borderId="5" xfId="0" applyNumberFormat="1" applyFont="1" applyFill="1" applyBorder="1"/>
    <xf numFmtId="164" fontId="10" fillId="18" borderId="5" xfId="0" applyNumberFormat="1" applyFont="1" applyFill="1" applyBorder="1" applyAlignment="1">
      <alignment vertical="center"/>
    </xf>
    <xf numFmtId="0" fontId="7" fillId="19" borderId="5" xfId="0" applyFont="1" applyFill="1" applyBorder="1" applyAlignment="1">
      <alignment vertical="center"/>
    </xf>
    <xf numFmtId="0" fontId="16" fillId="19" borderId="5" xfId="0" applyFont="1" applyFill="1" applyBorder="1" applyAlignment="1">
      <alignment vertical="center"/>
    </xf>
    <xf numFmtId="0" fontId="9" fillId="19" borderId="5" xfId="0" applyFont="1" applyFill="1" applyBorder="1" applyAlignment="1">
      <alignment vertical="center"/>
    </xf>
    <xf numFmtId="0" fontId="9" fillId="19" borderId="5" xfId="0" applyFont="1" applyFill="1" applyBorder="1" applyAlignment="1">
      <alignment horizontal="center" vertical="center" wrapText="1"/>
    </xf>
    <xf numFmtId="164" fontId="9" fillId="19" borderId="5" xfId="0" applyNumberFormat="1" applyFont="1" applyFill="1" applyBorder="1" applyAlignment="1">
      <alignment vertical="center"/>
    </xf>
    <xf numFmtId="0" fontId="9" fillId="20" borderId="5" xfId="0" applyFont="1" applyFill="1" applyBorder="1" applyAlignment="1">
      <alignment vertical="center"/>
    </xf>
    <xf numFmtId="0" fontId="16" fillId="20" borderId="5" xfId="0" applyFont="1" applyFill="1" applyBorder="1" applyAlignment="1">
      <alignment vertical="center"/>
    </xf>
    <xf numFmtId="0" fontId="9" fillId="20" borderId="5" xfId="0" applyFont="1" applyFill="1" applyBorder="1" applyAlignment="1">
      <alignment horizontal="center" vertical="center" wrapText="1"/>
    </xf>
    <xf numFmtId="164" fontId="9" fillId="21" borderId="5" xfId="0" applyNumberFormat="1" applyFont="1" applyFill="1" applyBorder="1"/>
    <xf numFmtId="164" fontId="9" fillId="20" borderId="5" xfId="0" applyNumberFormat="1" applyFont="1" applyFill="1" applyBorder="1" applyAlignment="1">
      <alignment vertical="center"/>
    </xf>
    <xf numFmtId="44" fontId="9" fillId="20" borderId="5" xfId="0" applyNumberFormat="1" applyFont="1" applyFill="1" applyBorder="1" applyAlignment="1">
      <alignment vertical="center"/>
    </xf>
    <xf numFmtId="0" fontId="10" fillId="22" borderId="5" xfId="0" applyFont="1" applyFill="1" applyBorder="1" applyAlignment="1">
      <alignment vertical="center"/>
    </xf>
    <xf numFmtId="0" fontId="10" fillId="22" borderId="5" xfId="0" applyFont="1" applyFill="1" applyBorder="1" applyAlignment="1">
      <alignment horizontal="center" vertical="center" wrapText="1"/>
    </xf>
    <xf numFmtId="164" fontId="10" fillId="22" borderId="5" xfId="0" applyNumberFormat="1" applyFont="1" applyFill="1" applyBorder="1" applyAlignment="1">
      <alignment vertical="center"/>
    </xf>
    <xf numFmtId="0" fontId="10" fillId="22" borderId="5" xfId="0" applyFont="1" applyFill="1" applyBorder="1"/>
    <xf numFmtId="0" fontId="12" fillId="23" borderId="5" xfId="0" applyFont="1" applyFill="1" applyBorder="1" applyAlignment="1">
      <alignment vertical="center"/>
    </xf>
    <xf numFmtId="0" fontId="17" fillId="24" borderId="5" xfId="0" applyFont="1" applyFill="1" applyBorder="1"/>
    <xf numFmtId="0" fontId="10" fillId="24" borderId="5" xfId="0" applyFont="1" applyFill="1" applyBorder="1"/>
    <xf numFmtId="0" fontId="10" fillId="24" borderId="5" xfId="0" applyFont="1" applyFill="1" applyBorder="1" applyAlignment="1">
      <alignment horizontal="center"/>
    </xf>
    <xf numFmtId="164" fontId="10" fillId="24" borderId="5" xfId="0" applyNumberFormat="1" applyFont="1" applyFill="1" applyBorder="1"/>
    <xf numFmtId="0" fontId="10" fillId="25" borderId="0" xfId="0" applyFont="1" applyFill="1"/>
    <xf numFmtId="0" fontId="10" fillId="26" borderId="5" xfId="0" applyFont="1" applyFill="1" applyBorder="1"/>
    <xf numFmtId="0" fontId="17" fillId="26" borderId="5" xfId="0" applyFont="1" applyFill="1" applyBorder="1"/>
    <xf numFmtId="0" fontId="10" fillId="26" borderId="5" xfId="0" applyFont="1" applyFill="1" applyBorder="1" applyAlignment="1">
      <alignment horizontal="center"/>
    </xf>
    <xf numFmtId="164" fontId="10" fillId="26" borderId="5" xfId="0" applyNumberFormat="1" applyFont="1" applyFill="1" applyBorder="1"/>
    <xf numFmtId="0" fontId="10" fillId="27" borderId="0" xfId="0" applyFont="1" applyFill="1"/>
    <xf numFmtId="0" fontId="9" fillId="28" borderId="5" xfId="0" applyFont="1" applyFill="1" applyBorder="1" applyAlignment="1">
      <alignment vertical="center" wrapText="1"/>
    </xf>
    <xf numFmtId="0" fontId="9" fillId="28" borderId="5" xfId="0" applyFont="1" applyFill="1" applyBorder="1" applyAlignment="1">
      <alignment vertical="center"/>
    </xf>
    <xf numFmtId="0" fontId="9" fillId="28" borderId="5" xfId="0" applyFont="1" applyFill="1" applyBorder="1" applyAlignment="1">
      <alignment horizontal="center" vertical="center" wrapText="1"/>
    </xf>
    <xf numFmtId="0" fontId="9" fillId="29" borderId="0" xfId="0" applyFont="1" applyFill="1"/>
    <xf numFmtId="0" fontId="15" fillId="30" borderId="5" xfId="0" applyFont="1" applyFill="1" applyBorder="1" applyAlignment="1">
      <alignment vertical="center" wrapText="1"/>
    </xf>
    <xf numFmtId="0" fontId="15" fillId="30" borderId="5" xfId="0" applyFont="1" applyFill="1" applyBorder="1" applyAlignment="1">
      <alignment vertical="center"/>
    </xf>
    <xf numFmtId="0" fontId="15" fillId="30" borderId="5" xfId="0" applyFont="1" applyFill="1" applyBorder="1" applyAlignment="1">
      <alignment horizontal="center" vertical="center" wrapText="1"/>
    </xf>
    <xf numFmtId="164" fontId="15" fillId="30" borderId="5" xfId="0" applyNumberFormat="1" applyFont="1" applyFill="1" applyBorder="1" applyAlignment="1">
      <alignment vertical="center" wrapText="1"/>
    </xf>
    <xf numFmtId="0" fontId="15" fillId="31" borderId="0" xfId="0" applyFont="1" applyFill="1"/>
    <xf numFmtId="167" fontId="15" fillId="30" borderId="5" xfId="0" applyNumberFormat="1" applyFont="1" applyFill="1" applyBorder="1" applyAlignment="1">
      <alignment vertical="center" wrapText="1"/>
    </xf>
    <xf numFmtId="8" fontId="15" fillId="30" borderId="5" xfId="0" applyNumberFormat="1" applyFont="1" applyFill="1" applyBorder="1" applyAlignment="1">
      <alignment vertical="center" wrapText="1"/>
    </xf>
    <xf numFmtId="0" fontId="14" fillId="32" borderId="5" xfId="0" applyFont="1" applyFill="1" applyBorder="1"/>
    <xf numFmtId="0" fontId="14" fillId="32" borderId="5" xfId="0" applyFont="1" applyFill="1" applyBorder="1" applyAlignment="1">
      <alignment vertical="center" wrapText="1"/>
    </xf>
    <xf numFmtId="0" fontId="14" fillId="32" borderId="5" xfId="0" applyFont="1" applyFill="1" applyBorder="1" applyAlignment="1">
      <alignment vertical="center"/>
    </xf>
    <xf numFmtId="0" fontId="14" fillId="32" borderId="5" xfId="0" applyFont="1" applyFill="1" applyBorder="1" applyAlignment="1">
      <alignment horizontal="center" vertical="center" wrapText="1"/>
    </xf>
    <xf numFmtId="164" fontId="14" fillId="32" borderId="5" xfId="0" applyNumberFormat="1" applyFont="1" applyFill="1" applyBorder="1" applyAlignment="1">
      <alignment vertical="center" wrapText="1"/>
    </xf>
    <xf numFmtId="0" fontId="14" fillId="33" borderId="0" xfId="0" applyFont="1" applyFill="1"/>
    <xf numFmtId="9" fontId="14" fillId="32" borderId="5" xfId="0" applyNumberFormat="1" applyFont="1" applyFill="1" applyBorder="1" applyAlignment="1">
      <alignment horizontal="left" vertical="center" wrapText="1"/>
    </xf>
    <xf numFmtId="10" fontId="14" fillId="32" borderId="5" xfId="0" applyNumberFormat="1" applyFont="1" applyFill="1" applyBorder="1" applyAlignment="1">
      <alignment vertical="center" wrapText="1"/>
    </xf>
    <xf numFmtId="9" fontId="14" fillId="32" borderId="5" xfId="0" applyNumberFormat="1" applyFont="1" applyFill="1" applyBorder="1" applyAlignment="1">
      <alignment vertical="center" wrapText="1"/>
    </xf>
    <xf numFmtId="0" fontId="14" fillId="32" borderId="5" xfId="0" applyFont="1" applyFill="1" applyBorder="1" applyAlignment="1">
      <alignment horizontal="center"/>
    </xf>
    <xf numFmtId="0" fontId="14" fillId="34" borderId="0" xfId="0" applyFont="1" applyFill="1"/>
    <xf numFmtId="0" fontId="8" fillId="35" borderId="5" xfId="0" applyFont="1" applyFill="1" applyBorder="1"/>
    <xf numFmtId="0" fontId="8" fillId="35" borderId="5" xfId="0" applyFont="1" applyFill="1" applyBorder="1" applyAlignment="1">
      <alignment horizontal="center"/>
    </xf>
    <xf numFmtId="0" fontId="0" fillId="0" borderId="0" xfId="0" applyAlignment="1">
      <alignment horizontal="right" vertical="center"/>
    </xf>
    <xf numFmtId="0" fontId="0" fillId="38" borderId="2" xfId="0" applyFill="1" applyBorder="1"/>
    <xf numFmtId="0" fontId="24" fillId="38" borderId="2" xfId="0" applyFont="1" applyFill="1" applyBorder="1"/>
    <xf numFmtId="0" fontId="24" fillId="38" borderId="2" xfId="0" applyFont="1" applyFill="1" applyBorder="1" applyAlignment="1">
      <alignment horizontal="left"/>
    </xf>
    <xf numFmtId="0" fontId="24" fillId="38" borderId="2" xfId="0" applyFont="1" applyFill="1" applyBorder="1" applyAlignment="1">
      <alignment horizontal="center" vertical="center"/>
    </xf>
    <xf numFmtId="0" fontId="21" fillId="38" borderId="2" xfId="0" applyFont="1" applyFill="1" applyBorder="1" applyAlignment="1">
      <alignment vertical="center"/>
    </xf>
    <xf numFmtId="0" fontId="26" fillId="38" borderId="2" xfId="0" applyFont="1" applyFill="1" applyBorder="1" applyAlignment="1">
      <alignment horizontal="left" vertical="center"/>
    </xf>
    <xf numFmtId="0" fontId="27" fillId="38" borderId="2" xfId="0" applyFont="1" applyFill="1" applyBorder="1"/>
    <xf numFmtId="0" fontId="39" fillId="38" borderId="10" xfId="0" applyFont="1" applyFill="1" applyBorder="1" applyAlignment="1">
      <alignment vertical="center"/>
    </xf>
    <xf numFmtId="0" fontId="21" fillId="38" borderId="10" xfId="0" applyFont="1" applyFill="1" applyBorder="1" applyAlignment="1">
      <alignment vertical="center"/>
    </xf>
    <xf numFmtId="0" fontId="41" fillId="38" borderId="2" xfId="0" applyFont="1" applyFill="1" applyBorder="1" applyAlignment="1">
      <alignment vertical="center"/>
    </xf>
    <xf numFmtId="0" fontId="39" fillId="38" borderId="2" xfId="0" applyFont="1" applyFill="1" applyBorder="1" applyAlignment="1">
      <alignment horizontal="left" vertical="center"/>
    </xf>
    <xf numFmtId="0" fontId="42" fillId="38" borderId="2" xfId="0" applyFont="1" applyFill="1" applyBorder="1" applyAlignment="1">
      <alignment horizontal="left" vertical="center"/>
    </xf>
    <xf numFmtId="0" fontId="43" fillId="38" borderId="10" xfId="0" applyFont="1" applyFill="1" applyBorder="1" applyAlignment="1">
      <alignment vertical="center"/>
    </xf>
    <xf numFmtId="0" fontId="40" fillId="38" borderId="10" xfId="0" applyFont="1" applyFill="1" applyBorder="1" applyAlignment="1">
      <alignment vertical="center"/>
    </xf>
    <xf numFmtId="14" fontId="38" fillId="38" borderId="10" xfId="0" applyNumberFormat="1" applyFont="1" applyFill="1" applyBorder="1" applyAlignment="1">
      <alignment vertical="center"/>
    </xf>
    <xf numFmtId="0" fontId="24" fillId="38" borderId="12" xfId="0" applyFont="1" applyFill="1" applyBorder="1"/>
    <xf numFmtId="0" fontId="24" fillId="38" borderId="10" xfId="0" applyFont="1" applyFill="1" applyBorder="1"/>
    <xf numFmtId="0" fontId="24" fillId="38" borderId="11" xfId="0" applyFont="1" applyFill="1" applyBorder="1"/>
    <xf numFmtId="0" fontId="46" fillId="6" borderId="10" xfId="0" applyFont="1" applyFill="1" applyBorder="1" applyAlignment="1">
      <alignment horizontal="center" vertical="center"/>
    </xf>
    <xf numFmtId="0" fontId="46" fillId="38" borderId="2" xfId="0" applyFont="1" applyFill="1" applyBorder="1"/>
    <xf numFmtId="44" fontId="46" fillId="38" borderId="8" xfId="0" applyNumberFormat="1" applyFont="1" applyFill="1" applyBorder="1" applyAlignment="1">
      <alignment vertical="center"/>
    </xf>
    <xf numFmtId="0" fontId="46" fillId="38" borderId="10" xfId="0" applyFont="1" applyFill="1" applyBorder="1"/>
    <xf numFmtId="0" fontId="46" fillId="38" borderId="2" xfId="0" applyFont="1" applyFill="1" applyBorder="1" applyAlignment="1">
      <alignment horizontal="left" vertical="center"/>
    </xf>
    <xf numFmtId="0" fontId="46" fillId="38" borderId="2" xfId="0" applyFont="1" applyFill="1" applyBorder="1" applyAlignment="1">
      <alignment horizontal="left"/>
    </xf>
    <xf numFmtId="0" fontId="0" fillId="38" borderId="10" xfId="0" applyFill="1" applyBorder="1"/>
    <xf numFmtId="0" fontId="0" fillId="38" borderId="12" xfId="0" applyFill="1" applyBorder="1"/>
    <xf numFmtId="0" fontId="0" fillId="38" borderId="11" xfId="0" applyFill="1" applyBorder="1"/>
    <xf numFmtId="0" fontId="21" fillId="38" borderId="12" xfId="0" applyFont="1" applyFill="1" applyBorder="1" applyAlignment="1">
      <alignment vertical="center"/>
    </xf>
    <xf numFmtId="0" fontId="21" fillId="38" borderId="11" xfId="0" applyFont="1" applyFill="1" applyBorder="1" applyAlignment="1">
      <alignment vertical="center"/>
    </xf>
    <xf numFmtId="0" fontId="50" fillId="38" borderId="2" xfId="0" applyFont="1" applyFill="1" applyBorder="1"/>
    <xf numFmtId="0" fontId="4" fillId="0" borderId="0" xfId="0" applyFont="1" applyAlignment="1">
      <alignment horizontal="center" wrapText="1"/>
    </xf>
    <xf numFmtId="0" fontId="3" fillId="38" borderId="2" xfId="0" applyFont="1" applyFill="1" applyBorder="1"/>
    <xf numFmtId="0" fontId="29" fillId="38" borderId="2" xfId="0" applyFont="1" applyFill="1" applyBorder="1" applyAlignment="1">
      <alignment horizontal="right"/>
    </xf>
    <xf numFmtId="0" fontId="30" fillId="38" borderId="2" xfId="0" applyFont="1" applyFill="1" applyBorder="1" applyAlignment="1">
      <alignment horizontal="justify" vertical="justify"/>
    </xf>
    <xf numFmtId="0" fontId="31" fillId="38" borderId="2" xfId="0" applyFont="1" applyFill="1" applyBorder="1"/>
    <xf numFmtId="0" fontId="5" fillId="38" borderId="10" xfId="0" applyFont="1" applyFill="1" applyBorder="1"/>
    <xf numFmtId="0" fontId="28" fillId="38" borderId="10" xfId="0" applyFont="1" applyFill="1" applyBorder="1" applyAlignment="1">
      <alignment vertical="center" wrapText="1"/>
    </xf>
    <xf numFmtId="17" fontId="28" fillId="38" borderId="10" xfId="0" applyNumberFormat="1" applyFont="1" applyFill="1" applyBorder="1" applyAlignment="1">
      <alignment vertical="center"/>
    </xf>
    <xf numFmtId="0" fontId="2" fillId="0" borderId="0" xfId="0" applyFont="1"/>
    <xf numFmtId="0" fontId="36" fillId="0" borderId="2" xfId="0" applyFont="1" applyBorder="1" applyAlignment="1">
      <alignment vertical="center"/>
    </xf>
    <xf numFmtId="0" fontId="3" fillId="38" borderId="2" xfId="0" applyFont="1" applyFill="1" applyBorder="1" applyAlignment="1">
      <alignment vertical="center"/>
    </xf>
    <xf numFmtId="0" fontId="59" fillId="0" borderId="2" xfId="0" applyFont="1" applyBorder="1" applyAlignment="1">
      <alignment vertical="center"/>
    </xf>
    <xf numFmtId="0" fontId="34" fillId="38" borderId="2" xfId="0" applyFont="1" applyFill="1" applyBorder="1" applyAlignment="1">
      <alignment vertical="center"/>
    </xf>
    <xf numFmtId="0" fontId="34" fillId="0" borderId="2" xfId="0" applyFont="1" applyBorder="1" applyAlignment="1">
      <alignment vertical="center"/>
    </xf>
    <xf numFmtId="0" fontId="60" fillId="38" borderId="2" xfId="0" applyFont="1" applyFill="1" applyBorder="1" applyAlignment="1">
      <alignment vertical="center"/>
    </xf>
    <xf numFmtId="0" fontId="3" fillId="0" borderId="2" xfId="0" applyFont="1" applyBorder="1" applyAlignment="1">
      <alignment vertical="center"/>
    </xf>
    <xf numFmtId="0" fontId="62" fillId="38" borderId="2" xfId="0" applyFont="1" applyFill="1" applyBorder="1" applyAlignment="1">
      <alignment vertical="center"/>
    </xf>
    <xf numFmtId="0" fontId="3" fillId="6" borderId="2" xfId="0" applyFont="1" applyFill="1" applyBorder="1" applyAlignment="1">
      <alignment vertical="center"/>
    </xf>
    <xf numFmtId="0" fontId="57" fillId="0" borderId="2" xfId="0" applyFont="1" applyBorder="1" applyAlignment="1">
      <alignment vertical="center"/>
    </xf>
    <xf numFmtId="0" fontId="61" fillId="0" borderId="2" xfId="0" applyFont="1" applyBorder="1" applyAlignment="1">
      <alignment vertical="center"/>
    </xf>
    <xf numFmtId="0" fontId="58" fillId="6" borderId="2" xfId="0" applyFont="1" applyFill="1" applyBorder="1" applyAlignment="1">
      <alignment vertical="center"/>
    </xf>
    <xf numFmtId="0" fontId="51" fillId="6" borderId="2" xfId="0" applyFont="1" applyFill="1" applyBorder="1" applyAlignment="1">
      <alignment vertical="center"/>
    </xf>
    <xf numFmtId="0" fontId="33" fillId="5" borderId="2" xfId="0" applyFont="1" applyFill="1" applyBorder="1" applyAlignment="1">
      <alignment vertical="center"/>
    </xf>
    <xf numFmtId="0" fontId="63" fillId="5" borderId="2" xfId="0" applyFont="1" applyFill="1" applyBorder="1" applyAlignment="1">
      <alignment vertical="center"/>
    </xf>
    <xf numFmtId="0" fontId="3" fillId="6" borderId="2" xfId="0" applyFont="1" applyFill="1" applyBorder="1" applyAlignment="1">
      <alignment horizontal="center" vertical="center"/>
    </xf>
    <xf numFmtId="0" fontId="3" fillId="6" borderId="10" xfId="0" applyFont="1" applyFill="1" applyBorder="1" applyAlignment="1">
      <alignment vertical="center"/>
    </xf>
    <xf numFmtId="0" fontId="3" fillId="6" borderId="12" xfId="0" applyFont="1" applyFill="1" applyBorder="1" applyAlignment="1">
      <alignment vertical="center"/>
    </xf>
    <xf numFmtId="0" fontId="3" fillId="6" borderId="11" xfId="0" applyFont="1" applyFill="1" applyBorder="1" applyAlignment="1">
      <alignment vertical="center"/>
    </xf>
    <xf numFmtId="0" fontId="62" fillId="6" borderId="2" xfId="0" applyFont="1" applyFill="1" applyBorder="1" applyAlignment="1">
      <alignment vertical="center"/>
    </xf>
    <xf numFmtId="0" fontId="52" fillId="6" borderId="2" xfId="0" applyFont="1" applyFill="1" applyBorder="1" applyAlignment="1">
      <alignment vertical="center"/>
    </xf>
    <xf numFmtId="0" fontId="65" fillId="5" borderId="2" xfId="0" applyFont="1" applyFill="1" applyBorder="1" applyAlignment="1">
      <alignment vertical="center"/>
    </xf>
    <xf numFmtId="0" fontId="59" fillId="0" borderId="2" xfId="0" applyFont="1" applyBorder="1" applyAlignment="1">
      <alignment horizontal="center" vertical="center"/>
    </xf>
    <xf numFmtId="0" fontId="34" fillId="38" borderId="2" xfId="0" applyFont="1" applyFill="1" applyBorder="1" applyAlignment="1">
      <alignment horizontal="center" vertical="center"/>
    </xf>
    <xf numFmtId="0" fontId="3" fillId="6" borderId="10" xfId="0" applyFont="1" applyFill="1" applyBorder="1" applyAlignment="1">
      <alignment horizontal="center" vertical="center"/>
    </xf>
    <xf numFmtId="0" fontId="3" fillId="38" borderId="2" xfId="0" applyFont="1" applyFill="1" applyBorder="1" applyAlignment="1">
      <alignment horizontal="center" vertical="center"/>
    </xf>
    <xf numFmtId="0" fontId="3" fillId="0" borderId="2" xfId="0" applyFont="1" applyBorder="1" applyAlignment="1">
      <alignment horizontal="center" vertical="center"/>
    </xf>
    <xf numFmtId="0" fontId="33" fillId="5" borderId="2" xfId="0" applyFont="1" applyFill="1" applyBorder="1" applyAlignment="1">
      <alignment horizontal="center" vertical="center"/>
    </xf>
    <xf numFmtId="0" fontId="63" fillId="5" borderId="2" xfId="0" applyFont="1" applyFill="1" applyBorder="1" applyAlignment="1">
      <alignment horizontal="center" vertical="center"/>
    </xf>
    <xf numFmtId="0" fontId="66" fillId="5" borderId="2" xfId="0" applyFont="1" applyFill="1" applyBorder="1" applyAlignment="1">
      <alignment vertical="center"/>
    </xf>
    <xf numFmtId="0" fontId="67" fillId="6" borderId="21" xfId="0" applyFont="1" applyFill="1" applyBorder="1" applyAlignment="1">
      <alignment horizontal="center" vertical="center"/>
    </xf>
    <xf numFmtId="0" fontId="67" fillId="6" borderId="2" xfId="0" applyFont="1" applyFill="1" applyBorder="1" applyAlignment="1">
      <alignment horizontal="center" vertical="center"/>
    </xf>
    <xf numFmtId="0" fontId="67" fillId="6" borderId="22" xfId="0" applyFont="1" applyFill="1" applyBorder="1" applyAlignment="1">
      <alignment horizontal="center" vertical="center"/>
    </xf>
    <xf numFmtId="0" fontId="34" fillId="38" borderId="12" xfId="0" applyFont="1" applyFill="1" applyBorder="1" applyAlignment="1">
      <alignment vertical="center"/>
    </xf>
    <xf numFmtId="0" fontId="61" fillId="38" borderId="12" xfId="0" applyFont="1" applyFill="1" applyBorder="1" applyAlignment="1">
      <alignment vertical="center"/>
    </xf>
    <xf numFmtId="0" fontId="3" fillId="38" borderId="12" xfId="0" applyFont="1" applyFill="1" applyBorder="1" applyAlignment="1">
      <alignment vertical="center"/>
    </xf>
    <xf numFmtId="0" fontId="62" fillId="38" borderId="10" xfId="0" applyFont="1" applyFill="1" applyBorder="1" applyAlignment="1">
      <alignment vertical="center"/>
    </xf>
    <xf numFmtId="0" fontId="3" fillId="38" borderId="10" xfId="0" applyFont="1" applyFill="1" applyBorder="1" applyAlignment="1">
      <alignment vertical="center"/>
    </xf>
    <xf numFmtId="0" fontId="3" fillId="38" borderId="10" xfId="0" applyFont="1" applyFill="1" applyBorder="1" applyAlignment="1">
      <alignment horizontal="center" vertical="center"/>
    </xf>
    <xf numFmtId="0" fontId="3" fillId="38" borderId="11" xfId="0" applyFont="1" applyFill="1" applyBorder="1" applyAlignment="1">
      <alignment vertical="center"/>
    </xf>
    <xf numFmtId="0" fontId="42" fillId="38" borderId="2" xfId="0" applyFont="1" applyFill="1" applyBorder="1" applyAlignment="1">
      <alignment vertical="center"/>
    </xf>
    <xf numFmtId="0" fontId="71" fillId="38" borderId="10" xfId="0" applyFont="1" applyFill="1" applyBorder="1" applyAlignment="1">
      <alignment vertical="center"/>
    </xf>
    <xf numFmtId="0" fontId="42" fillId="38" borderId="12" xfId="0" applyFont="1" applyFill="1" applyBorder="1" applyAlignment="1">
      <alignment vertical="center"/>
    </xf>
    <xf numFmtId="0" fontId="75" fillId="0" borderId="14" xfId="0" applyFont="1" applyBorder="1" applyAlignment="1">
      <alignment horizontal="left" vertical="center"/>
    </xf>
    <xf numFmtId="0" fontId="75" fillId="0" borderId="4" xfId="0" applyFont="1" applyBorder="1" applyAlignment="1">
      <alignment horizontal="left" vertical="center"/>
    </xf>
    <xf numFmtId="0" fontId="75" fillId="0" borderId="4" xfId="0" applyFont="1" applyBorder="1" applyAlignment="1">
      <alignment horizontal="right" vertical="center"/>
    </xf>
    <xf numFmtId="0" fontId="75" fillId="0" borderId="23" xfId="0" applyFont="1" applyBorder="1" applyAlignment="1">
      <alignment horizontal="left" vertical="center"/>
    </xf>
    <xf numFmtId="0" fontId="75" fillId="0" borderId="1" xfId="0" applyFont="1" applyBorder="1" applyAlignment="1">
      <alignment horizontal="left" vertical="center"/>
    </xf>
    <xf numFmtId="0" fontId="75" fillId="0" borderId="1" xfId="0" applyFont="1" applyBorder="1" applyAlignment="1">
      <alignment horizontal="right" vertical="center"/>
    </xf>
    <xf numFmtId="0" fontId="75" fillId="0" borderId="29" xfId="0" applyFont="1" applyBorder="1" applyAlignment="1">
      <alignment horizontal="left" vertical="center"/>
    </xf>
    <xf numFmtId="0" fontId="75" fillId="0" borderId="9" xfId="0" applyFont="1" applyBorder="1" applyAlignment="1">
      <alignment horizontal="left" vertical="center"/>
    </xf>
    <xf numFmtId="0" fontId="75" fillId="0" borderId="9" xfId="0" applyFont="1" applyBorder="1" applyAlignment="1">
      <alignment horizontal="right" vertical="center"/>
    </xf>
    <xf numFmtId="0" fontId="76" fillId="0" borderId="14" xfId="0" applyFont="1" applyBorder="1" applyAlignment="1">
      <alignment horizontal="left" vertical="center"/>
    </xf>
    <xf numFmtId="0" fontId="76" fillId="0" borderId="4" xfId="0" applyFont="1" applyBorder="1" applyAlignment="1">
      <alignment horizontal="left" vertical="center"/>
    </xf>
    <xf numFmtId="0" fontId="76" fillId="0" borderId="4" xfId="0" applyFont="1" applyBorder="1" applyAlignment="1">
      <alignment horizontal="right" vertical="center"/>
    </xf>
    <xf numFmtId="0" fontId="76" fillId="0" borderId="23" xfId="0" applyFont="1" applyBorder="1" applyAlignment="1">
      <alignment horizontal="left" vertical="center"/>
    </xf>
    <xf numFmtId="0" fontId="76" fillId="0" borderId="1" xfId="0" applyFont="1" applyBorder="1" applyAlignment="1">
      <alignment horizontal="left" vertical="center"/>
    </xf>
    <xf numFmtId="0" fontId="76" fillId="0" borderId="1" xfId="0" applyFont="1" applyBorder="1" applyAlignment="1">
      <alignment horizontal="right" vertical="center"/>
    </xf>
    <xf numFmtId="0" fontId="74" fillId="12" borderId="6" xfId="0" applyFont="1" applyFill="1" applyBorder="1"/>
    <xf numFmtId="0" fontId="75" fillId="12" borderId="26" xfId="0" applyFont="1" applyFill="1" applyBorder="1"/>
    <xf numFmtId="0" fontId="75" fillId="12" borderId="26" xfId="0" applyFont="1" applyFill="1" applyBorder="1" applyAlignment="1">
      <alignment horizontal="center"/>
    </xf>
    <xf numFmtId="0" fontId="75" fillId="12" borderId="7" xfId="0" applyFont="1" applyFill="1" applyBorder="1"/>
    <xf numFmtId="0" fontId="74" fillId="12" borderId="15" xfId="0" applyFont="1" applyFill="1" applyBorder="1"/>
    <xf numFmtId="0" fontId="72" fillId="36" borderId="15" xfId="0" applyFont="1" applyFill="1" applyBorder="1" applyAlignment="1">
      <alignment horizontal="left" vertical="center"/>
    </xf>
    <xf numFmtId="0" fontId="74" fillId="36" borderId="28" xfId="0" applyFont="1" applyFill="1" applyBorder="1" applyAlignment="1">
      <alignment horizontal="left" vertical="center"/>
    </xf>
    <xf numFmtId="0" fontId="73" fillId="37" borderId="15" xfId="0" applyFont="1" applyFill="1" applyBorder="1" applyAlignment="1">
      <alignment horizontal="left" vertical="center"/>
    </xf>
    <xf numFmtId="0" fontId="75" fillId="37" borderId="26" xfId="0" applyFont="1" applyFill="1" applyBorder="1" applyAlignment="1">
      <alignment horizontal="left" vertical="center"/>
    </xf>
    <xf numFmtId="0" fontId="75" fillId="37" borderId="26" xfId="0" applyFont="1" applyFill="1" applyBorder="1" applyAlignment="1">
      <alignment horizontal="right" vertical="center"/>
    </xf>
    <xf numFmtId="0" fontId="75" fillId="37" borderId="7" xfId="0" applyFont="1" applyFill="1" applyBorder="1" applyAlignment="1">
      <alignment horizontal="left" vertical="center"/>
    </xf>
    <xf numFmtId="0" fontId="74" fillId="37" borderId="25" xfId="0" applyFont="1" applyFill="1" applyBorder="1" applyAlignment="1">
      <alignment horizontal="left" vertical="center"/>
    </xf>
    <xf numFmtId="166" fontId="75" fillId="0" borderId="1" xfId="0" applyNumberFormat="1" applyFont="1" applyBorder="1" applyAlignment="1">
      <alignment horizontal="right" vertical="center"/>
    </xf>
    <xf numFmtId="166" fontId="75" fillId="0" borderId="4" xfId="0" applyNumberFormat="1" applyFont="1" applyBorder="1" applyAlignment="1">
      <alignment horizontal="right" vertical="center"/>
    </xf>
    <xf numFmtId="9" fontId="75" fillId="0" borderId="1" xfId="0" applyNumberFormat="1" applyFont="1" applyBorder="1" applyAlignment="1">
      <alignment horizontal="right" vertical="center"/>
    </xf>
    <xf numFmtId="0" fontId="75" fillId="0" borderId="27" xfId="0" applyFont="1" applyBorder="1" applyAlignment="1">
      <alignment horizontal="left" vertical="center"/>
    </xf>
    <xf numFmtId="0" fontId="74" fillId="37" borderId="24" xfId="0" applyFont="1" applyFill="1" applyBorder="1" applyAlignment="1">
      <alignment horizontal="left" vertical="center"/>
    </xf>
    <xf numFmtId="0" fontId="75" fillId="0" borderId="5" xfId="0" applyFont="1" applyBorder="1" applyAlignment="1">
      <alignment horizontal="left" vertical="center"/>
    </xf>
    <xf numFmtId="0" fontId="75" fillId="0" borderId="5" xfId="0" applyFont="1" applyBorder="1" applyAlignment="1">
      <alignment horizontal="right" vertical="center"/>
    </xf>
    <xf numFmtId="0" fontId="75" fillId="0" borderId="27" xfId="0" applyFont="1" applyBorder="1" applyAlignment="1">
      <alignment horizontal="right" vertical="center"/>
    </xf>
    <xf numFmtId="0" fontId="77" fillId="36" borderId="19" xfId="0" applyFont="1" applyFill="1" applyBorder="1" applyAlignment="1">
      <alignment horizontal="left" vertical="center"/>
    </xf>
    <xf numFmtId="0" fontId="77" fillId="36" borderId="19" xfId="0" applyFont="1" applyFill="1" applyBorder="1" applyAlignment="1">
      <alignment horizontal="right" vertical="center"/>
    </xf>
    <xf numFmtId="0" fontId="77" fillId="36" borderId="20" xfId="0" applyFont="1" applyFill="1" applyBorder="1" applyAlignment="1">
      <alignment horizontal="left" vertical="center"/>
    </xf>
    <xf numFmtId="0" fontId="74" fillId="12" borderId="26" xfId="0" applyFont="1" applyFill="1" applyBorder="1"/>
    <xf numFmtId="0" fontId="74" fillId="12" borderId="26" xfId="0" applyFont="1" applyFill="1" applyBorder="1" applyAlignment="1">
      <alignment horizontal="center"/>
    </xf>
    <xf numFmtId="0" fontId="74" fillId="12" borderId="7" xfId="0" applyFont="1" applyFill="1" applyBorder="1"/>
    <xf numFmtId="9" fontId="14" fillId="32" borderId="27" xfId="0" applyNumberFormat="1" applyFont="1" applyFill="1" applyBorder="1" applyAlignment="1">
      <alignment horizontal="left" vertical="center" wrapText="1"/>
    </xf>
    <xf numFmtId="0" fontId="15" fillId="10" borderId="27" xfId="0" applyFont="1" applyFill="1" applyBorder="1" applyAlignment="1">
      <alignment vertical="center" wrapText="1"/>
    </xf>
    <xf numFmtId="0" fontId="15" fillId="10" borderId="27" xfId="0" applyFont="1" applyFill="1" applyBorder="1" applyAlignment="1">
      <alignment vertical="center"/>
    </xf>
    <xf numFmtId="0" fontId="15" fillId="10" borderId="27" xfId="0" applyFont="1" applyFill="1" applyBorder="1" applyAlignment="1">
      <alignment horizontal="center" vertical="center" wrapText="1"/>
    </xf>
    <xf numFmtId="44" fontId="15" fillId="10" borderId="27" xfId="0" applyNumberFormat="1" applyFont="1" applyFill="1" applyBorder="1" applyAlignment="1">
      <alignment vertical="center" wrapText="1"/>
    </xf>
    <xf numFmtId="167" fontId="15" fillId="10" borderId="27" xfId="0" applyNumberFormat="1" applyFont="1" applyFill="1" applyBorder="1" applyAlignment="1">
      <alignment vertical="center" wrapText="1"/>
    </xf>
    <xf numFmtId="164" fontId="15" fillId="10" borderId="27" xfId="0" applyNumberFormat="1" applyFont="1" applyFill="1" applyBorder="1" applyAlignment="1">
      <alignment vertical="center" wrapText="1"/>
    </xf>
    <xf numFmtId="10" fontId="15" fillId="10" borderId="27" xfId="0" applyNumberFormat="1" applyFont="1" applyFill="1" applyBorder="1" applyAlignment="1">
      <alignment vertical="center" wrapText="1"/>
    </xf>
    <xf numFmtId="0" fontId="51" fillId="0" borderId="0" xfId="0" applyFont="1" applyAlignment="1">
      <alignment vertical="center"/>
    </xf>
    <xf numFmtId="0" fontId="51" fillId="0" borderId="0" xfId="0" applyFont="1" applyAlignment="1">
      <alignment horizontal="right" vertical="center"/>
    </xf>
    <xf numFmtId="0" fontId="51" fillId="0" borderId="0" xfId="0" applyFont="1" applyAlignment="1">
      <alignment horizontal="center" vertical="center"/>
    </xf>
    <xf numFmtId="0" fontId="51" fillId="38" borderId="2" xfId="0" applyFont="1" applyFill="1" applyBorder="1" applyAlignment="1">
      <alignment vertical="center"/>
    </xf>
    <xf numFmtId="0" fontId="51" fillId="38" borderId="2" xfId="0" applyFont="1" applyFill="1" applyBorder="1" applyAlignment="1">
      <alignment horizontal="center" vertical="center"/>
    </xf>
    <xf numFmtId="0" fontId="51" fillId="38" borderId="10" xfId="0" applyFont="1" applyFill="1" applyBorder="1" applyAlignment="1">
      <alignment horizontal="center" vertical="center"/>
    </xf>
    <xf numFmtId="0" fontId="51" fillId="38" borderId="10" xfId="0" applyFont="1" applyFill="1" applyBorder="1" applyAlignment="1">
      <alignment vertical="center"/>
    </xf>
    <xf numFmtId="0" fontId="51" fillId="38" borderId="12" xfId="0" applyFont="1" applyFill="1" applyBorder="1" applyAlignment="1">
      <alignment vertical="center"/>
    </xf>
    <xf numFmtId="0" fontId="51" fillId="38" borderId="11" xfId="0" applyFont="1" applyFill="1" applyBorder="1" applyAlignment="1">
      <alignment vertical="center"/>
    </xf>
    <xf numFmtId="0" fontId="58" fillId="39" borderId="2" xfId="0" applyFont="1" applyFill="1" applyBorder="1" applyAlignment="1">
      <alignment vertical="center"/>
    </xf>
    <xf numFmtId="0" fontId="51" fillId="39" borderId="2" xfId="0" applyFont="1" applyFill="1" applyBorder="1" applyAlignment="1">
      <alignment vertical="center"/>
    </xf>
    <xf numFmtId="0" fontId="82" fillId="38" borderId="2" xfId="0" applyFont="1" applyFill="1" applyBorder="1" applyAlignment="1">
      <alignment vertical="center"/>
    </xf>
    <xf numFmtId="167" fontId="14" fillId="32" borderId="5" xfId="0" applyNumberFormat="1" applyFont="1" applyFill="1" applyBorder="1" applyAlignment="1">
      <alignment vertical="center" wrapText="1"/>
    </xf>
    <xf numFmtId="8" fontId="14" fillId="32" borderId="5" xfId="0" applyNumberFormat="1" applyFont="1" applyFill="1" applyBorder="1" applyAlignment="1">
      <alignment vertical="center" wrapText="1"/>
    </xf>
    <xf numFmtId="0" fontId="74" fillId="0" borderId="1" xfId="0" applyFont="1" applyBorder="1" applyAlignment="1">
      <alignment horizontal="right" vertical="center"/>
    </xf>
    <xf numFmtId="0" fontId="37" fillId="38" borderId="6" xfId="0" applyFont="1" applyFill="1" applyBorder="1" applyAlignment="1">
      <alignment horizontal="left" vertical="center"/>
    </xf>
    <xf numFmtId="0" fontId="37" fillId="38" borderId="26" xfId="0" applyFont="1" applyFill="1" applyBorder="1" applyAlignment="1">
      <alignment horizontal="left" vertical="center"/>
    </xf>
    <xf numFmtId="0" fontId="37" fillId="38" borderId="7" xfId="0" applyFont="1" applyFill="1" applyBorder="1" applyAlignment="1">
      <alignment horizontal="left" vertical="center"/>
    </xf>
    <xf numFmtId="0" fontId="9" fillId="29" borderId="5" xfId="0" applyFont="1" applyFill="1" applyBorder="1"/>
    <xf numFmtId="0" fontId="15" fillId="31" borderId="5" xfId="0" applyFont="1" applyFill="1" applyBorder="1"/>
    <xf numFmtId="0" fontId="14" fillId="33" borderId="5" xfId="0" applyFont="1" applyFill="1" applyBorder="1"/>
    <xf numFmtId="0" fontId="14" fillId="34" borderId="5" xfId="0" applyFont="1" applyFill="1" applyBorder="1"/>
    <xf numFmtId="0" fontId="18" fillId="30" borderId="7" xfId="0" applyFont="1" applyFill="1" applyBorder="1" applyAlignment="1">
      <alignment vertical="center" wrapText="1"/>
    </xf>
    <xf numFmtId="0" fontId="11" fillId="32" borderId="7" xfId="0" applyFont="1" applyFill="1" applyBorder="1" applyAlignment="1">
      <alignment vertical="center" wrapText="1"/>
    </xf>
    <xf numFmtId="0" fontId="17" fillId="11" borderId="7" xfId="0" applyFont="1" applyFill="1" applyBorder="1"/>
    <xf numFmtId="0" fontId="11" fillId="32" borderId="7" xfId="0" applyFont="1" applyFill="1" applyBorder="1"/>
    <xf numFmtId="0" fontId="17" fillId="0" borderId="2" xfId="0" applyFont="1" applyBorder="1"/>
    <xf numFmtId="0" fontId="11" fillId="32" borderId="17" xfId="0" applyFont="1" applyFill="1" applyBorder="1" applyAlignment="1">
      <alignment vertical="center" wrapText="1"/>
    </xf>
    <xf numFmtId="0" fontId="10" fillId="0" borderId="5" xfId="0" applyFont="1" applyBorder="1"/>
    <xf numFmtId="0" fontId="35" fillId="38" borderId="5" xfId="0" applyFont="1" applyFill="1" applyBorder="1" applyAlignment="1">
      <alignment vertical="center"/>
    </xf>
    <xf numFmtId="0" fontId="75" fillId="0" borderId="43" xfId="0" applyFont="1" applyBorder="1" applyAlignment="1">
      <alignment horizontal="left" vertical="center"/>
    </xf>
    <xf numFmtId="0" fontId="75" fillId="0" borderId="44" xfId="0" applyFont="1" applyBorder="1" applyAlignment="1">
      <alignment horizontal="left" vertical="center"/>
    </xf>
    <xf numFmtId="0" fontId="76" fillId="0" borderId="5" xfId="0" applyFont="1" applyBorder="1" applyAlignment="1">
      <alignment horizontal="left" vertical="center"/>
    </xf>
    <xf numFmtId="10" fontId="76" fillId="0" borderId="5" xfId="0" applyNumberFormat="1" applyFont="1" applyBorder="1" applyAlignment="1">
      <alignment horizontal="right" vertical="center"/>
    </xf>
    <xf numFmtId="9" fontId="76" fillId="0" borderId="1" xfId="0" applyNumberFormat="1" applyFont="1" applyBorder="1" applyAlignment="1">
      <alignment horizontal="right" vertical="center"/>
    </xf>
    <xf numFmtId="0" fontId="76" fillId="0" borderId="44" xfId="0" applyFont="1" applyBorder="1" applyAlignment="1">
      <alignment horizontal="left" vertical="center"/>
    </xf>
    <xf numFmtId="0" fontId="77" fillId="36" borderId="26" xfId="0" applyFont="1" applyFill="1" applyBorder="1" applyAlignment="1">
      <alignment horizontal="left" vertical="center"/>
    </xf>
    <xf numFmtId="0" fontId="77" fillId="36" borderId="26" xfId="0" applyFont="1" applyFill="1" applyBorder="1" applyAlignment="1">
      <alignment horizontal="right" vertical="center"/>
    </xf>
    <xf numFmtId="0" fontId="77" fillId="36" borderId="7" xfId="0" applyFont="1" applyFill="1" applyBorder="1" applyAlignment="1">
      <alignment horizontal="left" vertical="center"/>
    </xf>
    <xf numFmtId="0" fontId="74" fillId="5" borderId="25" xfId="0" applyFont="1" applyFill="1" applyBorder="1" applyAlignment="1">
      <alignment horizontal="left" vertical="center"/>
    </xf>
    <xf numFmtId="0" fontId="74" fillId="5" borderId="26" xfId="0" applyFont="1" applyFill="1" applyBorder="1" applyAlignment="1">
      <alignment horizontal="left" vertical="center"/>
    </xf>
    <xf numFmtId="0" fontId="74" fillId="5" borderId="26" xfId="0" applyFont="1" applyFill="1" applyBorder="1" applyAlignment="1">
      <alignment horizontal="right" vertical="center"/>
    </xf>
    <xf numFmtId="0" fontId="75" fillId="5" borderId="19" xfId="0" applyFont="1" applyFill="1" applyBorder="1" applyAlignment="1">
      <alignment horizontal="left" vertical="center"/>
    </xf>
    <xf numFmtId="0" fontId="75" fillId="5" borderId="19" xfId="0" applyFont="1" applyFill="1" applyBorder="1" applyAlignment="1">
      <alignment horizontal="right" vertical="center"/>
    </xf>
    <xf numFmtId="0" fontId="74" fillId="5" borderId="7" xfId="0" applyFont="1" applyFill="1" applyBorder="1" applyAlignment="1">
      <alignment horizontal="left" vertical="center"/>
    </xf>
    <xf numFmtId="0" fontId="75" fillId="5" borderId="20" xfId="0" applyFont="1" applyFill="1" applyBorder="1" applyAlignment="1">
      <alignment horizontal="left" vertical="center"/>
    </xf>
    <xf numFmtId="0" fontId="76" fillId="0" borderId="43" xfId="0" applyFont="1" applyBorder="1" applyAlignment="1">
      <alignment horizontal="left" vertical="center"/>
    </xf>
    <xf numFmtId="0" fontId="74" fillId="5" borderId="24" xfId="0" applyFont="1" applyFill="1" applyBorder="1" applyAlignment="1">
      <alignment horizontal="left" vertical="center"/>
    </xf>
    <xf numFmtId="0" fontId="76" fillId="0" borderId="47" xfId="0" applyFont="1" applyBorder="1" applyAlignment="1">
      <alignment horizontal="left" vertical="center"/>
    </xf>
    <xf numFmtId="0" fontId="76" fillId="0" borderId="49" xfId="0" applyFont="1" applyBorder="1" applyAlignment="1">
      <alignment horizontal="left" vertical="center"/>
    </xf>
    <xf numFmtId="0" fontId="76" fillId="0" borderId="49" xfId="0" applyFont="1" applyBorder="1" applyAlignment="1">
      <alignment horizontal="right" vertical="center"/>
    </xf>
    <xf numFmtId="0" fontId="76" fillId="0" borderId="50" xfId="0" applyFont="1" applyBorder="1" applyAlignment="1">
      <alignment horizontal="left" vertical="center"/>
    </xf>
    <xf numFmtId="0" fontId="86" fillId="5" borderId="28" xfId="0" applyFont="1" applyFill="1" applyBorder="1" applyAlignment="1">
      <alignment horizontal="left" vertical="center"/>
    </xf>
    <xf numFmtId="0" fontId="86" fillId="5" borderId="15" xfId="0" applyFont="1" applyFill="1" applyBorder="1" applyAlignment="1">
      <alignment horizontal="left" vertical="center"/>
    </xf>
    <xf numFmtId="0" fontId="75" fillId="0" borderId="51" xfId="0" applyFont="1" applyBorder="1" applyAlignment="1">
      <alignment horizontal="left" vertical="center"/>
    </xf>
    <xf numFmtId="0" fontId="75" fillId="0" borderId="47" xfId="0" applyFont="1" applyBorder="1" applyAlignment="1">
      <alignment horizontal="left" vertical="center"/>
    </xf>
    <xf numFmtId="0" fontId="75" fillId="0" borderId="49" xfId="0" applyFont="1" applyBorder="1" applyAlignment="1">
      <alignment horizontal="left" vertical="center"/>
    </xf>
    <xf numFmtId="0" fontId="75" fillId="0" borderId="49" xfId="0" applyFont="1" applyBorder="1" applyAlignment="1">
      <alignment horizontal="right" vertical="center"/>
    </xf>
    <xf numFmtId="0" fontId="75" fillId="0" borderId="50" xfId="0" applyFont="1" applyBorder="1" applyAlignment="1">
      <alignment horizontal="left" vertical="center"/>
    </xf>
    <xf numFmtId="0" fontId="75" fillId="37" borderId="40" xfId="0" applyFont="1" applyFill="1" applyBorder="1" applyAlignment="1">
      <alignment horizontal="left" vertical="center"/>
    </xf>
    <xf numFmtId="0" fontId="74" fillId="37" borderId="42" xfId="0" applyFont="1" applyFill="1" applyBorder="1" applyAlignment="1">
      <alignment horizontal="left" vertical="center"/>
    </xf>
    <xf numFmtId="0" fontId="87" fillId="39" borderId="15" xfId="0" applyFont="1" applyFill="1" applyBorder="1" applyAlignment="1">
      <alignment horizontal="left" vertical="center"/>
    </xf>
    <xf numFmtId="0" fontId="88" fillId="39" borderId="25" xfId="0" applyFont="1" applyFill="1" applyBorder="1" applyAlignment="1">
      <alignment horizontal="left" vertical="center"/>
    </xf>
    <xf numFmtId="0" fontId="76" fillId="39" borderId="26" xfId="0" applyFont="1" applyFill="1" applyBorder="1" applyAlignment="1">
      <alignment horizontal="left" vertical="center"/>
    </xf>
    <xf numFmtId="0" fontId="76" fillId="39" borderId="26" xfId="0" applyFont="1" applyFill="1" applyBorder="1" applyAlignment="1">
      <alignment horizontal="right" vertical="center"/>
    </xf>
    <xf numFmtId="0" fontId="76" fillId="39" borderId="7" xfId="0" applyFont="1" applyFill="1" applyBorder="1" applyAlignment="1">
      <alignment horizontal="left" vertical="center"/>
    </xf>
    <xf numFmtId="0" fontId="87" fillId="39" borderId="28" xfId="0" applyFont="1" applyFill="1" applyBorder="1" applyAlignment="1">
      <alignment horizontal="left" vertical="center"/>
    </xf>
    <xf numFmtId="0" fontId="88" fillId="39" borderId="24" xfId="0" applyFont="1" applyFill="1" applyBorder="1" applyAlignment="1">
      <alignment horizontal="left" vertical="center"/>
    </xf>
    <xf numFmtId="0" fontId="76" fillId="39" borderId="19" xfId="0" applyFont="1" applyFill="1" applyBorder="1" applyAlignment="1">
      <alignment horizontal="left" vertical="center"/>
    </xf>
    <xf numFmtId="0" fontId="76" fillId="39" borderId="19" xfId="0" applyFont="1" applyFill="1" applyBorder="1" applyAlignment="1">
      <alignment horizontal="right" vertical="center"/>
    </xf>
    <xf numFmtId="0" fontId="76" fillId="39" borderId="20" xfId="0" applyFont="1" applyFill="1" applyBorder="1" applyAlignment="1">
      <alignment horizontal="left" vertical="center"/>
    </xf>
    <xf numFmtId="0" fontId="0" fillId="0" borderId="15" xfId="0" applyBorder="1"/>
    <xf numFmtId="0" fontId="2" fillId="0" borderId="16" xfId="0" applyFont="1" applyBorder="1"/>
    <xf numFmtId="0" fontId="0" fillId="0" borderId="16" xfId="0" applyBorder="1"/>
    <xf numFmtId="0" fontId="0" fillId="0" borderId="16" xfId="0" applyBorder="1" applyAlignment="1">
      <alignment horizontal="right" vertical="center"/>
    </xf>
    <xf numFmtId="0" fontId="0" fillId="0" borderId="17" xfId="0" applyBorder="1"/>
    <xf numFmtId="0" fontId="75" fillId="0" borderId="53" xfId="0" applyFont="1" applyBorder="1" applyAlignment="1">
      <alignment horizontal="left" vertical="center"/>
    </xf>
    <xf numFmtId="0" fontId="75" fillId="0" borderId="53" xfId="0" applyFont="1" applyBorder="1" applyAlignment="1">
      <alignment horizontal="right" vertical="center"/>
    </xf>
    <xf numFmtId="0" fontId="75" fillId="0" borderId="52" xfId="0" applyFont="1" applyBorder="1" applyAlignment="1">
      <alignment horizontal="left" vertical="center"/>
    </xf>
    <xf numFmtId="9" fontId="76" fillId="0" borderId="3" xfId="0" applyNumberFormat="1" applyFont="1" applyBorder="1" applyAlignment="1">
      <alignment horizontal="right" vertical="center"/>
    </xf>
    <xf numFmtId="0" fontId="75" fillId="0" borderId="54" xfId="0" applyFont="1" applyBorder="1" applyAlignment="1">
      <alignment horizontal="right" vertical="center"/>
    </xf>
    <xf numFmtId="0" fontId="75" fillId="0" borderId="3" xfId="0" applyFont="1" applyBorder="1" applyAlignment="1">
      <alignment horizontal="right" vertical="center"/>
    </xf>
    <xf numFmtId="0" fontId="90" fillId="38" borderId="5" xfId="0" applyFont="1" applyFill="1" applyBorder="1" applyAlignment="1">
      <alignment horizontal="center" vertical="center"/>
    </xf>
    <xf numFmtId="0" fontId="89" fillId="38" borderId="5" xfId="0" applyFont="1" applyFill="1" applyBorder="1" applyAlignment="1">
      <alignment horizontal="center" vertical="center"/>
    </xf>
    <xf numFmtId="0" fontId="75" fillId="0" borderId="56" xfId="0" applyFont="1" applyBorder="1" applyAlignment="1">
      <alignment horizontal="right" vertical="center"/>
    </xf>
    <xf numFmtId="0" fontId="76" fillId="0" borderId="48" xfId="0" applyFont="1" applyBorder="1" applyAlignment="1">
      <alignment horizontal="right" vertical="center"/>
    </xf>
    <xf numFmtId="0" fontId="74" fillId="0" borderId="3" xfId="0" applyFont="1" applyBorder="1" applyAlignment="1">
      <alignment horizontal="right" vertical="center"/>
    </xf>
    <xf numFmtId="0" fontId="2" fillId="0" borderId="16" xfId="0" applyFont="1" applyBorder="1" applyAlignment="1">
      <alignment wrapText="1"/>
    </xf>
    <xf numFmtId="0" fontId="35" fillId="38" borderId="5" xfId="0" applyFont="1" applyFill="1" applyBorder="1" applyAlignment="1">
      <alignment vertical="center" wrapText="1"/>
    </xf>
    <xf numFmtId="0" fontId="75" fillId="37" borderId="26" xfId="0" applyFont="1" applyFill="1" applyBorder="1" applyAlignment="1">
      <alignment horizontal="left" vertical="center" wrapText="1"/>
    </xf>
    <xf numFmtId="0" fontId="75" fillId="0" borderId="4" xfId="0" applyFont="1" applyBorder="1" applyAlignment="1">
      <alignment horizontal="left" vertical="center" wrapText="1"/>
    </xf>
    <xf numFmtId="0" fontId="75" fillId="0" borderId="1" xfId="0" applyFont="1" applyBorder="1" applyAlignment="1">
      <alignment horizontal="left" vertical="center" wrapText="1"/>
    </xf>
    <xf numFmtId="0" fontId="76" fillId="0" borderId="4" xfId="0" applyFont="1" applyBorder="1" applyAlignment="1">
      <alignment horizontal="left" vertical="center" wrapText="1"/>
    </xf>
    <xf numFmtId="0" fontId="75" fillId="0" borderId="9" xfId="0" applyFont="1" applyBorder="1" applyAlignment="1">
      <alignment horizontal="left" vertical="center" wrapText="1"/>
    </xf>
    <xf numFmtId="0" fontId="74" fillId="12" borderId="26" xfId="0" applyFont="1" applyFill="1" applyBorder="1" applyAlignment="1">
      <alignment wrapText="1"/>
    </xf>
    <xf numFmtId="0" fontId="74" fillId="0" borderId="1" xfId="0" applyFont="1" applyBorder="1" applyAlignment="1">
      <alignment horizontal="left" vertical="center" wrapText="1"/>
    </xf>
    <xf numFmtId="0" fontId="75" fillId="0" borderId="53" xfId="0" applyFont="1" applyBorder="1" applyAlignment="1">
      <alignment horizontal="left" vertical="center" wrapText="1"/>
    </xf>
    <xf numFmtId="0" fontId="75" fillId="0" borderId="49" xfId="0" applyFont="1" applyBorder="1" applyAlignment="1">
      <alignment horizontal="left" vertical="center" wrapText="1"/>
    </xf>
    <xf numFmtId="0" fontId="2" fillId="0" borderId="0" xfId="0" applyFont="1" applyAlignment="1">
      <alignment wrapText="1"/>
    </xf>
    <xf numFmtId="0" fontId="76" fillId="39" borderId="26" xfId="0" applyFont="1" applyFill="1" applyBorder="1" applyAlignment="1">
      <alignment horizontal="left" vertical="center" wrapText="1"/>
    </xf>
    <xf numFmtId="0" fontId="76" fillId="39" borderId="19" xfId="0" applyFont="1" applyFill="1" applyBorder="1" applyAlignment="1">
      <alignment horizontal="left" vertical="center" wrapText="1"/>
    </xf>
    <xf numFmtId="0" fontId="37" fillId="38" borderId="26" xfId="0" applyFont="1" applyFill="1" applyBorder="1" applyAlignment="1">
      <alignment horizontal="left" vertical="center" wrapText="1"/>
    </xf>
    <xf numFmtId="0" fontId="74" fillId="5" borderId="26" xfId="0" applyFont="1" applyFill="1" applyBorder="1" applyAlignment="1">
      <alignment horizontal="left" vertical="center" wrapText="1"/>
    </xf>
    <xf numFmtId="0" fontId="75" fillId="5" borderId="19" xfId="0" applyFont="1" applyFill="1" applyBorder="1" applyAlignment="1">
      <alignment horizontal="left" vertical="center" wrapText="1"/>
    </xf>
    <xf numFmtId="0" fontId="76" fillId="0" borderId="1" xfId="0" applyFont="1" applyBorder="1" applyAlignment="1">
      <alignment horizontal="left" vertical="center" wrapText="1"/>
    </xf>
    <xf numFmtId="0" fontId="76" fillId="0" borderId="3" xfId="0" applyFont="1" applyBorder="1" applyAlignment="1">
      <alignment horizontal="left" vertical="center" wrapText="1"/>
    </xf>
    <xf numFmtId="0" fontId="76" fillId="0" borderId="48" xfId="0" applyFont="1" applyBorder="1" applyAlignment="1">
      <alignment horizontal="left" vertical="center" wrapText="1"/>
    </xf>
    <xf numFmtId="0" fontId="77" fillId="36" borderId="19" xfId="0" applyFont="1" applyFill="1" applyBorder="1" applyAlignment="1">
      <alignment horizontal="left" vertical="center" wrapText="1"/>
    </xf>
    <xf numFmtId="0" fontId="76" fillId="0" borderId="5" xfId="0" applyFont="1" applyBorder="1" applyAlignment="1">
      <alignment horizontal="left" vertical="center" wrapText="1"/>
    </xf>
    <xf numFmtId="0" fontId="77" fillId="36" borderId="26" xfId="0" applyFont="1" applyFill="1" applyBorder="1" applyAlignment="1">
      <alignment horizontal="left" vertical="center" wrapText="1"/>
    </xf>
    <xf numFmtId="0" fontId="75" fillId="12" borderId="26" xfId="0" applyFont="1" applyFill="1" applyBorder="1" applyAlignment="1">
      <alignment wrapText="1"/>
    </xf>
    <xf numFmtId="166" fontId="75" fillId="0" borderId="56" xfId="0" applyNumberFormat="1" applyFont="1" applyBorder="1" applyAlignment="1">
      <alignment horizontal="right" vertical="center"/>
    </xf>
    <xf numFmtId="0" fontId="40" fillId="38" borderId="2" xfId="0" applyFont="1" applyFill="1" applyBorder="1" applyAlignment="1">
      <alignment vertical="center"/>
    </xf>
    <xf numFmtId="0" fontId="24" fillId="38" borderId="0" xfId="0" applyFont="1" applyFill="1"/>
    <xf numFmtId="0" fontId="0" fillId="38" borderId="0" xfId="0" applyFill="1"/>
    <xf numFmtId="0" fontId="1" fillId="38" borderId="2" xfId="0" applyFont="1" applyFill="1" applyBorder="1"/>
    <xf numFmtId="0" fontId="78" fillId="11" borderId="15" xfId="0" applyFont="1" applyFill="1" applyBorder="1" applyAlignment="1">
      <alignment horizontal="left" vertical="center"/>
    </xf>
    <xf numFmtId="0" fontId="80" fillId="11" borderId="26" xfId="0" applyFont="1" applyFill="1" applyBorder="1" applyAlignment="1">
      <alignment horizontal="left" vertical="center"/>
    </xf>
    <xf numFmtId="0" fontId="80" fillId="11" borderId="26" xfId="0" applyFont="1" applyFill="1" applyBorder="1" applyAlignment="1">
      <alignment horizontal="left" vertical="center" wrapText="1"/>
    </xf>
    <xf numFmtId="0" fontId="80" fillId="11" borderId="26" xfId="0" applyFont="1" applyFill="1" applyBorder="1" applyAlignment="1">
      <alignment horizontal="right" vertical="center"/>
    </xf>
    <xf numFmtId="0" fontId="80" fillId="11" borderId="7" xfId="0" applyFont="1" applyFill="1" applyBorder="1" applyAlignment="1">
      <alignment horizontal="left" vertical="center"/>
    </xf>
    <xf numFmtId="0" fontId="78" fillId="11" borderId="25" xfId="0" applyFont="1" applyFill="1" applyBorder="1" applyAlignment="1">
      <alignment horizontal="left" vertical="center"/>
    </xf>
    <xf numFmtId="0" fontId="79" fillId="11" borderId="14" xfId="0" applyFont="1" applyFill="1" applyBorder="1" applyAlignment="1">
      <alignment horizontal="left" vertical="center"/>
    </xf>
    <xf numFmtId="0" fontId="79" fillId="11" borderId="4" xfId="0" applyFont="1" applyFill="1" applyBorder="1" applyAlignment="1">
      <alignment horizontal="left" vertical="center" wrapText="1"/>
    </xf>
    <xf numFmtId="0" fontId="79" fillId="11" borderId="4" xfId="0" applyFont="1" applyFill="1" applyBorder="1" applyAlignment="1">
      <alignment horizontal="left" vertical="center"/>
    </xf>
    <xf numFmtId="0" fontId="79" fillId="11" borderId="4" xfId="0" applyFont="1" applyFill="1" applyBorder="1" applyAlignment="1">
      <alignment horizontal="right" vertical="center"/>
    </xf>
    <xf numFmtId="0" fontId="79" fillId="11" borderId="54" xfId="0" applyFont="1" applyFill="1" applyBorder="1" applyAlignment="1">
      <alignment horizontal="right" vertical="center"/>
    </xf>
    <xf numFmtId="0" fontId="79" fillId="11" borderId="43" xfId="0" applyFont="1" applyFill="1" applyBorder="1" applyAlignment="1">
      <alignment horizontal="left" vertical="center"/>
    </xf>
    <xf numFmtId="0" fontId="74" fillId="11" borderId="24" xfId="0" applyFont="1" applyFill="1" applyBorder="1" applyAlignment="1">
      <alignment horizontal="left" vertical="center"/>
    </xf>
    <xf numFmtId="0" fontId="79" fillId="11" borderId="41" xfId="0" applyFont="1" applyFill="1" applyBorder="1" applyAlignment="1">
      <alignment horizontal="left" vertical="center"/>
    </xf>
    <xf numFmtId="0" fontId="79" fillId="11" borderId="45" xfId="0" applyFont="1" applyFill="1" applyBorder="1" applyAlignment="1">
      <alignment horizontal="left" vertical="center" wrapText="1"/>
    </xf>
    <xf numFmtId="0" fontId="79" fillId="11" borderId="45" xfId="0" applyFont="1" applyFill="1" applyBorder="1" applyAlignment="1">
      <alignment horizontal="left" vertical="center"/>
    </xf>
    <xf numFmtId="0" fontId="79" fillId="11" borderId="45" xfId="0" applyFont="1" applyFill="1" applyBorder="1" applyAlignment="1">
      <alignment horizontal="right" vertical="center"/>
    </xf>
    <xf numFmtId="0" fontId="79" fillId="11" borderId="55" xfId="0" applyFont="1" applyFill="1" applyBorder="1" applyAlignment="1">
      <alignment horizontal="right" vertical="center"/>
    </xf>
    <xf numFmtId="0" fontId="79" fillId="11" borderId="46" xfId="0" applyFont="1" applyFill="1" applyBorder="1" applyAlignment="1">
      <alignment horizontal="left" vertical="center"/>
    </xf>
    <xf numFmtId="0" fontId="1" fillId="42" borderId="5" xfId="0" applyFont="1" applyFill="1" applyBorder="1"/>
    <xf numFmtId="0" fontId="95" fillId="0" borderId="5" xfId="0" applyFont="1" applyBorder="1"/>
    <xf numFmtId="0" fontId="94" fillId="5" borderId="5" xfId="0" applyFont="1" applyFill="1" applyBorder="1" applyAlignment="1">
      <alignment horizontal="center"/>
    </xf>
    <xf numFmtId="0" fontId="94" fillId="43" borderId="5" xfId="0" applyFont="1" applyFill="1" applyBorder="1" applyAlignment="1">
      <alignment horizontal="center"/>
    </xf>
    <xf numFmtId="0" fontId="94" fillId="45" borderId="5" xfId="0" applyFont="1" applyFill="1" applyBorder="1" applyAlignment="1">
      <alignment horizontal="center"/>
    </xf>
    <xf numFmtId="0" fontId="94" fillId="40" borderId="7" xfId="0" applyFont="1" applyFill="1" applyBorder="1" applyAlignment="1">
      <alignment horizontal="center"/>
    </xf>
    <xf numFmtId="0" fontId="95" fillId="0" borderId="24" xfId="0" applyFont="1" applyBorder="1"/>
    <xf numFmtId="0" fontId="1" fillId="41" borderId="5" xfId="0" applyFont="1" applyFill="1" applyBorder="1"/>
    <xf numFmtId="0" fontId="1" fillId="44" borderId="5" xfId="0" applyFont="1" applyFill="1" applyBorder="1"/>
    <xf numFmtId="0" fontId="1" fillId="38" borderId="5" xfId="0" applyFont="1" applyFill="1" applyBorder="1"/>
    <xf numFmtId="0" fontId="0" fillId="11" borderId="0" xfId="0" applyFill="1"/>
    <xf numFmtId="0" fontId="96" fillId="11" borderId="0" xfId="0" applyFont="1" applyFill="1"/>
    <xf numFmtId="0" fontId="93" fillId="11" borderId="0" xfId="0" applyFont="1" applyFill="1"/>
    <xf numFmtId="0" fontId="0" fillId="11" borderId="20" xfId="0" applyFill="1" applyBorder="1"/>
    <xf numFmtId="0" fontId="74" fillId="36" borderId="25" xfId="0" applyFont="1" applyFill="1" applyBorder="1" applyAlignment="1">
      <alignment horizontal="left" vertical="center"/>
    </xf>
    <xf numFmtId="0" fontId="74" fillId="36" borderId="24" xfId="0" applyFont="1" applyFill="1" applyBorder="1" applyAlignment="1">
      <alignment horizontal="left" vertical="center"/>
    </xf>
    <xf numFmtId="0" fontId="97" fillId="6" borderId="2" xfId="0" applyFont="1" applyFill="1" applyBorder="1" applyAlignment="1">
      <alignment vertical="center"/>
    </xf>
    <xf numFmtId="9" fontId="67" fillId="6" borderId="22" xfId="0" applyNumberFormat="1" applyFont="1" applyFill="1" applyBorder="1" applyAlignment="1">
      <alignment horizontal="center" vertical="center"/>
    </xf>
    <xf numFmtId="0" fontId="79" fillId="11" borderId="23" xfId="0" applyFont="1" applyFill="1" applyBorder="1" applyAlignment="1">
      <alignment horizontal="left" vertical="center"/>
    </xf>
    <xf numFmtId="0" fontId="79" fillId="11" borderId="1" xfId="0" applyFont="1" applyFill="1" applyBorder="1" applyAlignment="1">
      <alignment horizontal="left" vertical="center" wrapText="1"/>
    </xf>
    <xf numFmtId="0" fontId="79" fillId="11" borderId="1" xfId="0" applyFont="1" applyFill="1" applyBorder="1" applyAlignment="1">
      <alignment horizontal="left" vertical="center"/>
    </xf>
    <xf numFmtId="0" fontId="79" fillId="11" borderId="44" xfId="0" applyFont="1" applyFill="1" applyBorder="1" applyAlignment="1">
      <alignment horizontal="left" vertical="center"/>
    </xf>
    <xf numFmtId="9" fontId="79" fillId="11" borderId="45" xfId="0" applyNumberFormat="1" applyFont="1" applyFill="1" applyBorder="1" applyAlignment="1">
      <alignment horizontal="right" vertical="center"/>
    </xf>
    <xf numFmtId="0" fontId="4" fillId="0" borderId="0" xfId="0" applyFont="1" applyAlignment="1">
      <alignment horizontal="center" wrapText="1"/>
    </xf>
    <xf numFmtId="0" fontId="51" fillId="6" borderId="2" xfId="0" applyFont="1" applyFill="1" applyBorder="1" applyAlignment="1">
      <alignment horizontal="left" vertical="center" wrapText="1"/>
    </xf>
    <xf numFmtId="0" fontId="51" fillId="6" borderId="12" xfId="0" applyFont="1" applyFill="1" applyBorder="1" applyAlignment="1">
      <alignment horizontal="left" vertical="center" wrapText="1"/>
    </xf>
    <xf numFmtId="0" fontId="51" fillId="6" borderId="10" xfId="0" applyFont="1" applyFill="1" applyBorder="1" applyAlignment="1">
      <alignment horizontal="left" vertical="center" wrapText="1"/>
    </xf>
    <xf numFmtId="0" fontId="51" fillId="6" borderId="11" xfId="0" applyFont="1" applyFill="1" applyBorder="1" applyAlignment="1">
      <alignment horizontal="left" vertical="center" wrapText="1"/>
    </xf>
    <xf numFmtId="0" fontId="26" fillId="38" borderId="2" xfId="0" applyFont="1" applyFill="1" applyBorder="1" applyAlignment="1">
      <alignment horizontal="left" vertical="center"/>
    </xf>
    <xf numFmtId="0" fontId="56" fillId="38" borderId="2" xfId="0" applyFont="1" applyFill="1" applyBorder="1" applyAlignment="1">
      <alignment horizontal="left" vertical="center" wrapText="1"/>
    </xf>
    <xf numFmtId="0" fontId="51" fillId="38" borderId="2" xfId="0" applyFont="1" applyFill="1" applyBorder="1" applyAlignment="1">
      <alignment horizontal="left" vertical="center" wrapText="1"/>
    </xf>
    <xf numFmtId="0" fontId="37" fillId="38" borderId="2" xfId="0" applyFont="1" applyFill="1" applyBorder="1" applyAlignment="1">
      <alignment horizontal="left" vertical="center"/>
    </xf>
    <xf numFmtId="0" fontId="33" fillId="5" borderId="2" xfId="0" applyFont="1" applyFill="1" applyBorder="1" applyAlignment="1">
      <alignment horizontal="left" vertical="center" wrapText="1"/>
    </xf>
    <xf numFmtId="0" fontId="64" fillId="6" borderId="30" xfId="0" applyFont="1" applyFill="1" applyBorder="1" applyAlignment="1">
      <alignment horizontal="left" vertical="center"/>
    </xf>
    <xf numFmtId="0" fontId="64" fillId="6" borderId="31" xfId="0" applyFont="1" applyFill="1" applyBorder="1" applyAlignment="1">
      <alignment horizontal="left" vertical="center"/>
    </xf>
    <xf numFmtId="0" fontId="64" fillId="6" borderId="32" xfId="0" applyFont="1" applyFill="1" applyBorder="1" applyAlignment="1">
      <alignment horizontal="left" vertical="center"/>
    </xf>
    <xf numFmtId="0" fontId="64" fillId="6" borderId="33" xfId="0" applyFont="1" applyFill="1" applyBorder="1" applyAlignment="1">
      <alignment horizontal="left" vertical="center"/>
    </xf>
    <xf numFmtId="0" fontId="64" fillId="6" borderId="34" xfId="0" applyFont="1" applyFill="1" applyBorder="1" applyAlignment="1">
      <alignment horizontal="left" vertical="center"/>
    </xf>
    <xf numFmtId="0" fontId="64" fillId="6" borderId="35" xfId="0" applyFont="1" applyFill="1" applyBorder="1" applyAlignment="1">
      <alignment horizontal="left" vertical="center"/>
    </xf>
    <xf numFmtId="0" fontId="64" fillId="6" borderId="36" xfId="0" applyFont="1" applyFill="1" applyBorder="1" applyAlignment="1">
      <alignment horizontal="left" vertical="center"/>
    </xf>
    <xf numFmtId="0" fontId="64" fillId="6" borderId="37" xfId="0" applyFont="1" applyFill="1" applyBorder="1" applyAlignment="1">
      <alignment horizontal="left" vertical="center"/>
    </xf>
    <xf numFmtId="0" fontId="64" fillId="6" borderId="38" xfId="0" applyFont="1" applyFill="1" applyBorder="1" applyAlignment="1">
      <alignment horizontal="left" vertical="center"/>
    </xf>
    <xf numFmtId="0" fontId="37" fillId="38" borderId="6" xfId="0" applyFont="1" applyFill="1" applyBorder="1" applyAlignment="1">
      <alignment horizontal="left" vertical="center"/>
    </xf>
    <xf numFmtId="0" fontId="37" fillId="38" borderId="26" xfId="0" applyFont="1" applyFill="1" applyBorder="1" applyAlignment="1">
      <alignment horizontal="left" vertical="center"/>
    </xf>
    <xf numFmtId="0" fontId="37" fillId="38" borderId="7" xfId="0" applyFont="1" applyFill="1" applyBorder="1" applyAlignment="1">
      <alignment horizontal="left" vertical="center"/>
    </xf>
    <xf numFmtId="0" fontId="60" fillId="6" borderId="18" xfId="0" applyFont="1" applyFill="1" applyBorder="1" applyAlignment="1">
      <alignment horizontal="left" vertical="top" wrapText="1"/>
    </xf>
    <xf numFmtId="0" fontId="60" fillId="6" borderId="19" xfId="0" applyFont="1" applyFill="1" applyBorder="1" applyAlignment="1">
      <alignment horizontal="left" vertical="top" wrapText="1"/>
    </xf>
    <xf numFmtId="0" fontId="60" fillId="6" borderId="20" xfId="0" applyFont="1" applyFill="1" applyBorder="1" applyAlignment="1">
      <alignment horizontal="left" vertical="top" wrapText="1"/>
    </xf>
    <xf numFmtId="0" fontId="60" fillId="6" borderId="6" xfId="0" applyFont="1" applyFill="1" applyBorder="1" applyAlignment="1">
      <alignment horizontal="left" vertical="top" wrapText="1"/>
    </xf>
    <xf numFmtId="0" fontId="60" fillId="6" borderId="26" xfId="0" applyFont="1" applyFill="1" applyBorder="1" applyAlignment="1">
      <alignment horizontal="left" vertical="top" wrapText="1"/>
    </xf>
    <xf numFmtId="0" fontId="60" fillId="6" borderId="7" xfId="0" applyFont="1" applyFill="1" applyBorder="1" applyAlignment="1">
      <alignment horizontal="left" vertical="top" wrapText="1"/>
    </xf>
    <xf numFmtId="0" fontId="73" fillId="37" borderId="15" xfId="0" applyFont="1" applyFill="1" applyBorder="1" applyAlignment="1">
      <alignment horizontal="left" vertical="center" wrapText="1"/>
    </xf>
    <xf numFmtId="0" fontId="73" fillId="37" borderId="16" xfId="0" applyFont="1" applyFill="1" applyBorder="1" applyAlignment="1">
      <alignment horizontal="left" vertical="center" wrapText="1"/>
    </xf>
    <xf numFmtId="0" fontId="73" fillId="37" borderId="39" xfId="0" applyFont="1" applyFill="1" applyBorder="1" applyAlignment="1">
      <alignment horizontal="left" vertical="center" wrapText="1"/>
    </xf>
    <xf numFmtId="0" fontId="81" fillId="37" borderId="15" xfId="0" applyFont="1" applyFill="1" applyBorder="1" applyAlignment="1">
      <alignment horizontal="left" vertical="center" wrapText="1"/>
    </xf>
    <xf numFmtId="0" fontId="81" fillId="37" borderId="16" xfId="0" applyFont="1" applyFill="1" applyBorder="1" applyAlignment="1">
      <alignment horizontal="left" vertical="center" wrapText="1"/>
    </xf>
    <xf numFmtId="0" fontId="81" fillId="37" borderId="39" xfId="0" applyFont="1" applyFill="1" applyBorder="1" applyAlignment="1">
      <alignment horizontal="left" vertical="center" wrapText="1"/>
    </xf>
    <xf numFmtId="0" fontId="73" fillId="37" borderId="17" xfId="0" applyFont="1" applyFill="1" applyBorder="1" applyAlignment="1">
      <alignment horizontal="left" vertical="center" wrapText="1"/>
    </xf>
    <xf numFmtId="14" fontId="38" fillId="38" borderId="10" xfId="0" applyNumberFormat="1" applyFont="1" applyFill="1" applyBorder="1" applyAlignment="1">
      <alignment horizontal="right" vertical="center"/>
    </xf>
    <xf numFmtId="14" fontId="38" fillId="38" borderId="11" xfId="0" applyNumberFormat="1" applyFont="1" applyFill="1" applyBorder="1" applyAlignment="1">
      <alignment horizontal="right" vertical="center"/>
    </xf>
    <xf numFmtId="0" fontId="19" fillId="9" borderId="0" xfId="0" applyFont="1" applyFill="1" applyAlignment="1">
      <alignment horizontal="center" vertical="center"/>
    </xf>
    <xf numFmtId="44" fontId="46" fillId="38" borderId="2" xfId="0" applyNumberFormat="1" applyFont="1" applyFill="1" applyBorder="1" applyAlignment="1">
      <alignment horizontal="center" vertical="center"/>
    </xf>
    <xf numFmtId="0" fontId="23" fillId="38" borderId="2" xfId="0" applyFont="1" applyFill="1" applyBorder="1" applyAlignment="1">
      <alignment horizontal="left" vertical="center"/>
    </xf>
    <xf numFmtId="0" fontId="24" fillId="38" borderId="2" xfId="0" applyFont="1" applyFill="1" applyBorder="1" applyAlignment="1">
      <alignment horizontal="left" vertical="center"/>
    </xf>
    <xf numFmtId="0" fontId="24" fillId="38" borderId="12" xfId="0" applyFont="1" applyFill="1" applyBorder="1" applyAlignment="1">
      <alignment horizontal="left" vertical="center"/>
    </xf>
    <xf numFmtId="0" fontId="49" fillId="38" borderId="2" xfId="0" applyFont="1" applyFill="1" applyBorder="1" applyAlignment="1">
      <alignment horizontal="left" vertical="center"/>
    </xf>
    <xf numFmtId="0" fontId="49" fillId="38" borderId="10" xfId="0" applyFont="1" applyFill="1" applyBorder="1" applyAlignment="1">
      <alignment horizontal="left" vertical="center"/>
    </xf>
    <xf numFmtId="44" fontId="46" fillId="38" borderId="13" xfId="0" applyNumberFormat="1" applyFont="1" applyFill="1" applyBorder="1" applyAlignment="1">
      <alignment horizontal="center" vertical="center"/>
    </xf>
    <xf numFmtId="0" fontId="46" fillId="6" borderId="10" xfId="0" applyFont="1" applyFill="1" applyBorder="1" applyAlignment="1">
      <alignment horizontal="center" vertical="center"/>
    </xf>
    <xf numFmtId="0" fontId="46" fillId="6" borderId="11" xfId="0" applyFont="1" applyFill="1" applyBorder="1" applyAlignment="1">
      <alignment horizontal="center" vertical="center"/>
    </xf>
    <xf numFmtId="0" fontId="40" fillId="38" borderId="2" xfId="0" applyFont="1" applyFill="1" applyBorder="1" applyAlignment="1">
      <alignment horizontal="left" vertical="center"/>
    </xf>
    <xf numFmtId="0" fontId="40" fillId="38" borderId="12" xfId="0" applyFont="1" applyFill="1" applyBorder="1" applyAlignment="1">
      <alignment horizontal="left" vertical="center"/>
    </xf>
    <xf numFmtId="0" fontId="45" fillId="6" borderId="2" xfId="0" applyFont="1" applyFill="1" applyBorder="1" applyAlignment="1">
      <alignment horizontal="center" vertical="center"/>
    </xf>
    <xf numFmtId="0" fontId="45" fillId="6" borderId="12" xfId="0" applyFont="1" applyFill="1" applyBorder="1" applyAlignment="1">
      <alignment horizontal="center" vertical="center"/>
    </xf>
    <xf numFmtId="168" fontId="46" fillId="6" borderId="10" xfId="0" applyNumberFormat="1" applyFont="1" applyFill="1" applyBorder="1" applyAlignment="1">
      <alignment horizontal="center" vertical="center"/>
    </xf>
    <xf numFmtId="168" fontId="46" fillId="6" borderId="11" xfId="0" applyNumberFormat="1" applyFont="1" applyFill="1" applyBorder="1" applyAlignment="1">
      <alignment horizontal="center" vertical="center"/>
    </xf>
    <xf numFmtId="10" fontId="46" fillId="6" borderId="10" xfId="0" applyNumberFormat="1" applyFont="1" applyFill="1" applyBorder="1" applyAlignment="1">
      <alignment horizontal="center" vertical="center"/>
    </xf>
    <xf numFmtId="10" fontId="46" fillId="6" borderId="11" xfId="0" applyNumberFormat="1" applyFont="1" applyFill="1" applyBorder="1" applyAlignment="1">
      <alignment horizontal="center" vertical="center"/>
    </xf>
    <xf numFmtId="0" fontId="38" fillId="38" borderId="2" xfId="0" applyFont="1" applyFill="1" applyBorder="1" applyAlignment="1">
      <alignment horizontal="right" vertical="center"/>
    </xf>
    <xf numFmtId="0" fontId="38" fillId="38" borderId="12" xfId="0" applyFont="1" applyFill="1" applyBorder="1" applyAlignment="1">
      <alignment horizontal="right" vertical="center"/>
    </xf>
    <xf numFmtId="9" fontId="24" fillId="6" borderId="10" xfId="0" applyNumberFormat="1" applyFont="1" applyFill="1" applyBorder="1" applyAlignment="1">
      <alignment horizontal="center"/>
    </xf>
    <xf numFmtId="9" fontId="24" fillId="6" borderId="11" xfId="0" applyNumberFormat="1" applyFont="1" applyFill="1" applyBorder="1" applyAlignment="1">
      <alignment horizontal="center"/>
    </xf>
    <xf numFmtId="0" fontId="91" fillId="6" borderId="2" xfId="0" applyFont="1" applyFill="1" applyBorder="1" applyAlignment="1">
      <alignment horizontal="center" vertical="center"/>
    </xf>
    <xf numFmtId="0" fontId="91" fillId="6" borderId="12" xfId="0" applyFont="1" applyFill="1" applyBorder="1" applyAlignment="1">
      <alignment horizontal="center" vertical="center"/>
    </xf>
    <xf numFmtId="0" fontId="13" fillId="28" borderId="6" xfId="0" applyFont="1" applyFill="1" applyBorder="1" applyAlignment="1">
      <alignment horizontal="left" vertical="center"/>
    </xf>
    <xf numFmtId="0" fontId="13" fillId="28" borderId="7" xfId="0" applyFont="1" applyFill="1" applyBorder="1" applyAlignment="1">
      <alignment horizontal="left" vertical="center"/>
    </xf>
  </cellXfs>
  <cellStyles count="1">
    <cellStyle name="Standard" xfId="0" builtinId="0"/>
  </cellStyles>
  <dxfs count="60">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ont>
        <b val="0"/>
        <i/>
        <color theme="2" tint="0.39994506668294322"/>
      </font>
      <fill>
        <patternFill>
          <bgColor theme="2"/>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1">
    <tableStyle name="Open Task-style" pivot="0" count="3" xr9:uid="{00000000-0011-0000-FFFF-FFFF00000000}">
      <tableStyleElement type="headerRow" dxfId="59"/>
      <tableStyleElement type="firstRowStripe" dxfId="58"/>
      <tableStyleElement type="secondRowStripe" dxfId="57"/>
    </tableStyle>
  </tableStyles>
  <colors>
    <mruColors>
      <color rgb="FFB4C6E7"/>
      <color rgb="FF006D72"/>
      <color rgb="FFC65911"/>
      <color rgb="FFE2EFD9"/>
      <color rgb="FF375623"/>
      <color rgb="FF548235"/>
      <color rgb="FF73FB79"/>
      <color rgb="FF4E8F00"/>
      <color rgb="FF8EFA00"/>
      <color rgb="FF00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b="1">
                <a:solidFill>
                  <a:schemeClr val="accent2"/>
                </a:solidFill>
              </a:rPr>
              <a:t>Cash Flow</a:t>
            </a:r>
          </a:p>
        </c:rich>
      </c:tx>
      <c:layout>
        <c:manualLayout>
          <c:xMode val="edge"/>
          <c:yMode val="edge"/>
          <c:x val="0.38834757815903437"/>
          <c:y val="1.75596943371008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v>gross</c:v>
          </c:tx>
          <c:spPr>
            <a:pattFill prst="pct30">
              <a:fgClr>
                <a:schemeClr val="accent5">
                  <a:lumMod val="20000"/>
                  <a:lumOff val="80000"/>
                </a:schemeClr>
              </a:fgClr>
              <a:bgClr>
                <a:schemeClr val="bg1"/>
              </a:bgClr>
            </a:pattFill>
            <a:ln w="15875">
              <a:solidFill>
                <a:schemeClr val="accent2"/>
              </a:solidFill>
              <a:prstDash val="sysDot"/>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(BC)'!$H$161:$M$161</c:f>
              <c:strCache>
                <c:ptCount val="6"/>
                <c:pt idx="0">
                  <c:v>Start</c:v>
                </c:pt>
                <c:pt idx="1">
                  <c:v>Year 1</c:v>
                </c:pt>
                <c:pt idx="2">
                  <c:v>Year 2</c:v>
                </c:pt>
                <c:pt idx="3">
                  <c:v>Year 3</c:v>
                </c:pt>
                <c:pt idx="4">
                  <c:v>Year 4</c:v>
                </c:pt>
                <c:pt idx="5">
                  <c:v>Year 5</c:v>
                </c:pt>
              </c:strCache>
            </c:strRef>
          </c:cat>
          <c:val>
            <c:numRef>
              <c:f>'Calculation (BC)'!$H$128:$M$128</c:f>
              <c:numCache>
                <c:formatCode>_-* #,##0\ "€"_-;\-* #,##0\ "€"_-;_-* "-"??\ "€"_-;_-@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1C-3D70-4AE1-B5F0-4BFF81A77F7B}"/>
            </c:ext>
          </c:extLst>
        </c:ser>
        <c:ser>
          <c:idx val="1"/>
          <c:order val="1"/>
          <c:tx>
            <c:v>net</c:v>
          </c:tx>
          <c:spPr>
            <a:solidFill>
              <a:schemeClr val="accent2"/>
            </a:solidFill>
            <a:ln>
              <a:solidFill>
                <a:schemeClr val="accent3"/>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(BC)'!$H$161:$M$161</c:f>
              <c:strCache>
                <c:ptCount val="6"/>
                <c:pt idx="0">
                  <c:v>Start</c:v>
                </c:pt>
                <c:pt idx="1">
                  <c:v>Year 1</c:v>
                </c:pt>
                <c:pt idx="2">
                  <c:v>Year 2</c:v>
                </c:pt>
                <c:pt idx="3">
                  <c:v>Year 3</c:v>
                </c:pt>
                <c:pt idx="4">
                  <c:v>Year 4</c:v>
                </c:pt>
                <c:pt idx="5">
                  <c:v>Year 5</c:v>
                </c:pt>
              </c:strCache>
            </c:strRef>
          </c:cat>
          <c:val>
            <c:numRef>
              <c:f>'Calculation (BC)'!$H$132:$M$132</c:f>
              <c:numCache>
                <c:formatCode>_-* #,##0\ "€"_-;\-* #,##0\ "€"_-;_-* "-"??\ "€"_-;_-@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1D-3D70-4AE1-B5F0-4BFF81A77F7B}"/>
            </c:ext>
          </c:extLst>
        </c:ser>
        <c:dLbls>
          <c:dLblPos val="ctr"/>
          <c:showLegendKey val="0"/>
          <c:showVal val="1"/>
          <c:showCatName val="0"/>
          <c:showSerName val="0"/>
          <c:showPercent val="0"/>
          <c:showBubbleSize val="0"/>
        </c:dLbls>
        <c:gapWidth val="150"/>
        <c:axId val="1732891616"/>
        <c:axId val="1732880096"/>
      </c:barChart>
      <c:catAx>
        <c:axId val="1732891616"/>
        <c:scaling>
          <c:orientation val="minMax"/>
        </c:scaling>
        <c:delete val="0"/>
        <c:axPos val="b"/>
        <c:numFmt formatCode="General" sourceLinked="1"/>
        <c:majorTickMark val="cross"/>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732880096"/>
        <c:crosses val="autoZero"/>
        <c:auto val="1"/>
        <c:lblAlgn val="ctr"/>
        <c:lblOffset val="100"/>
        <c:noMultiLvlLbl val="0"/>
      </c:catAx>
      <c:valAx>
        <c:axId val="173288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200" b="1">
                    <a:solidFill>
                      <a:schemeClr val="accent2"/>
                    </a:solidFill>
                  </a:rPr>
                  <a:t>Yaerly</a:t>
                </a:r>
                <a:r>
                  <a:rPr lang="de-DE" sz="1200" b="1" baseline="0">
                    <a:solidFill>
                      <a:schemeClr val="accent2"/>
                    </a:solidFill>
                  </a:rPr>
                  <a:t> </a:t>
                </a:r>
                <a:r>
                  <a:rPr lang="de-DE" sz="1200" b="1">
                    <a:solidFill>
                      <a:schemeClr val="accent2"/>
                    </a:solidFill>
                  </a:rPr>
                  <a:t>Cash Balance [€]</a:t>
                </a:r>
              </a:p>
            </c:rich>
          </c:tx>
          <c:layout>
            <c:manualLayout>
              <c:xMode val="edge"/>
              <c:yMode val="edge"/>
              <c:x val="2.0287266784860723E-2"/>
              <c:y val="0.340012826639168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 &quot;€&quot;_-;\-* #,##0\ &quot;€&quot;_-;_-* &quot;-&quot;??\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732891616"/>
        <c:crosses val="autoZero"/>
        <c:crossBetween val="between"/>
      </c:valAx>
      <c:spPr>
        <a:solidFill>
          <a:schemeClr val="accent5">
            <a:lumMod val="20000"/>
            <a:lumOff val="80000"/>
          </a:schemeClr>
        </a:solidFill>
        <a:ln>
          <a:noFill/>
        </a:ln>
        <a:effectLst/>
      </c:spPr>
    </c:plotArea>
    <c:legend>
      <c:legendPos val="r"/>
      <c:layout>
        <c:manualLayout>
          <c:xMode val="edge"/>
          <c:yMode val="edge"/>
          <c:x val="0.82469314082717726"/>
          <c:y val="0.85901680566614969"/>
          <c:w val="0.13189188004999478"/>
          <c:h val="9.9246070878738088E-2"/>
        </c:manualLayout>
      </c:layout>
      <c:overlay val="1"/>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de-DE" sz="1600" b="1" i="0" u="none" strike="noStrike" kern="1200" spc="0" baseline="0">
                <a:solidFill>
                  <a:schemeClr val="accent2"/>
                </a:solidFill>
              </a:rPr>
              <a:t>Total Cost - Overview</a:t>
            </a:r>
          </a:p>
        </c:rich>
      </c:tx>
      <c:layout>
        <c:manualLayout>
          <c:xMode val="edge"/>
          <c:yMode val="edge"/>
          <c:x val="0.30607972440944881"/>
          <c:y val="2.3880644419001264E-2"/>
        </c:manualLayout>
      </c:layout>
      <c:overlay val="0"/>
      <c:spPr>
        <a:noFill/>
        <a:ln>
          <a:noFill/>
        </a:ln>
        <a:effectLst/>
      </c:spPr>
      <c:txPr>
        <a:bodyPr rot="0" spcFirstLastPara="1" vertOverflow="ellipsis" vert="horz" wrap="square" anchor="ctr" anchorCtr="0"/>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de-DE"/>
        </a:p>
      </c:txPr>
    </c:title>
    <c:autoTitleDeleted val="0"/>
    <c:plotArea>
      <c:layout/>
      <c:pieChart>
        <c:varyColors val="1"/>
        <c:ser>
          <c:idx val="0"/>
          <c:order val="0"/>
          <c:spPr>
            <a:ln>
              <a:solidFill>
                <a:schemeClr val="tx2"/>
              </a:solidFill>
            </a:ln>
          </c:spPr>
          <c:dPt>
            <c:idx val="0"/>
            <c:bubble3D val="0"/>
            <c:spPr>
              <a:pattFill prst="pct60">
                <a:fgClr>
                  <a:schemeClr val="accent3"/>
                </a:fgClr>
                <a:bgClr>
                  <a:schemeClr val="bg1"/>
                </a:bgClr>
              </a:pattFill>
              <a:ln w="19050">
                <a:solidFill>
                  <a:schemeClr val="tx2"/>
                </a:solidFill>
              </a:ln>
              <a:effectLst/>
            </c:spPr>
            <c:extLst>
              <c:ext xmlns:c16="http://schemas.microsoft.com/office/drawing/2014/chart" uri="{C3380CC4-5D6E-409C-BE32-E72D297353CC}">
                <c16:uniqueId val="{00000001-E199-40C1-9F5F-192705407AF3}"/>
              </c:ext>
            </c:extLst>
          </c:dPt>
          <c:dPt>
            <c:idx val="1"/>
            <c:bubble3D val="0"/>
            <c:spPr>
              <a:pattFill prst="pct5">
                <a:fgClr>
                  <a:schemeClr val="accent3"/>
                </a:fgClr>
                <a:bgClr>
                  <a:schemeClr val="bg1"/>
                </a:bgClr>
              </a:pattFill>
              <a:ln w="19050">
                <a:solidFill>
                  <a:schemeClr val="tx2"/>
                </a:solidFill>
              </a:ln>
              <a:effectLst/>
            </c:spPr>
            <c:extLst>
              <c:ext xmlns:c16="http://schemas.microsoft.com/office/drawing/2014/chart" uri="{C3380CC4-5D6E-409C-BE32-E72D297353CC}">
                <c16:uniqueId val="{00000002-E199-40C1-9F5F-192705407AF3}"/>
              </c:ext>
            </c:extLst>
          </c:dPt>
          <c:dPt>
            <c:idx val="2"/>
            <c:bubble3D val="0"/>
            <c:spPr>
              <a:solidFill>
                <a:schemeClr val="accent3"/>
              </a:solidFill>
              <a:ln w="19050">
                <a:solidFill>
                  <a:schemeClr val="tx2"/>
                </a:solidFill>
              </a:ln>
              <a:effectLst/>
            </c:spPr>
            <c:extLst>
              <c:ext xmlns:c16="http://schemas.microsoft.com/office/drawing/2014/chart" uri="{C3380CC4-5D6E-409C-BE32-E72D297353CC}">
                <c16:uniqueId val="{00000008-399B-8541-A6F9-44EAFC9DC15F}"/>
              </c:ext>
            </c:extLst>
          </c:dPt>
          <c:dLbls>
            <c:dLbl>
              <c:idx val="0"/>
              <c:layout>
                <c:manualLayout>
                  <c:x val="-0.12918582677165355"/>
                  <c:y val="0.16969448144453292"/>
                </c:manualLayout>
              </c:layout>
              <c:tx>
                <c:rich>
                  <a:bodyPr/>
                  <a:lstStyle/>
                  <a:p>
                    <a:fld id="{F725045C-45DE-F64D-A2D7-9080A26F6533}" type="CELLRANGE">
                      <a:rPr lang="en-US"/>
                      <a:pPr/>
                      <a:t>[ZELLBEREICH]</a:t>
                    </a:fld>
                    <a:endParaRPr lang="de-DE"/>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199-40C1-9F5F-192705407AF3}"/>
                </c:ext>
              </c:extLst>
            </c:dLbl>
            <c:dLbl>
              <c:idx val="1"/>
              <c:tx>
                <c:rich>
                  <a:bodyPr/>
                  <a:lstStyle/>
                  <a:p>
                    <a:fld id="{5C97F064-2A77-9042-AEF1-462BCDE1F540}" type="CELLRANGE">
                      <a:rPr lang="en-US"/>
                      <a:pPr/>
                      <a:t>[ZELLBEREICH]</a:t>
                    </a:fld>
                    <a:endParaRPr lang="de-DE"/>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199-40C1-9F5F-192705407AF3}"/>
                </c:ext>
              </c:extLst>
            </c:dLbl>
            <c:dLbl>
              <c:idx val="2"/>
              <c:layout>
                <c:manualLayout>
                  <c:x val="2.5305314960629828E-2"/>
                  <c:y val="0.18329255582988255"/>
                </c:manualLayout>
              </c:layout>
              <c:tx>
                <c:rich>
                  <a:bodyPr/>
                  <a:lstStyle/>
                  <a:p>
                    <a:fld id="{6949EB4F-2539-3A42-840B-4DFF0BD80E14}" type="CELLRANGE">
                      <a:rPr lang="en-US"/>
                      <a:pPr/>
                      <a:t>[ZELLBEREICH]</a:t>
                    </a:fld>
                    <a:endParaRPr lang="de-DE"/>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99B-8541-A6F9-44EAFC9DC15F}"/>
                </c:ext>
              </c:extLst>
            </c:dLbl>
            <c:spPr>
              <a:solidFill>
                <a:srgbClr val="FFFFFF"/>
              </a:solidFill>
              <a:ln>
                <a:solidFill>
                  <a:srgbClr val="000000">
                    <a:lumMod val="25000"/>
                    <a:lumOff val="75000"/>
                  </a:srgbClr>
                </a:solidFill>
                <a:roun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ext>
            </c:extLst>
          </c:dLbls>
          <c:val>
            <c:numRef>
              <c:f>'Calculation (BC)'!$N$193:$N$195</c:f>
              <c:numCache>
                <c:formatCode>0.00%</c:formatCode>
                <c:ptCount val="3"/>
                <c:pt idx="0">
                  <c:v>0</c:v>
                </c:pt>
                <c:pt idx="1">
                  <c:v>0</c:v>
                </c:pt>
                <c:pt idx="2">
                  <c:v>0</c:v>
                </c:pt>
              </c:numCache>
            </c:numRef>
          </c:val>
          <c:extLst>
            <c:ext xmlns:c15="http://schemas.microsoft.com/office/drawing/2012/chart" uri="{02D57815-91ED-43cb-92C2-25804820EDAC}">
              <c15:datalabelsRange>
                <c15:f>'Calculation (BC)'!$O$193:$O$195</c15:f>
                <c15:dlblRangeCache>
                  <c:ptCount val="3"/>
                  <c:pt idx="0">
                    <c:v>#DIV/0!</c:v>
                  </c:pt>
                  <c:pt idx="1">
                    <c:v>#DIV/0!</c:v>
                  </c:pt>
                  <c:pt idx="2">
                    <c:v>#DIV/0!</c:v>
                  </c:pt>
                </c15:dlblRangeCache>
              </c15:datalabelsRange>
            </c:ext>
            <c:ext xmlns:c16="http://schemas.microsoft.com/office/drawing/2014/chart" uri="{C3380CC4-5D6E-409C-BE32-E72D297353CC}">
              <c16:uniqueId val="{00000000-E199-40C1-9F5F-192705407AF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de-DE" sz="1600" b="1" i="0" u="none" strike="noStrike" kern="1200" spc="0" baseline="0">
                <a:solidFill>
                  <a:schemeClr val="accent2"/>
                </a:solidFill>
              </a:rPr>
              <a:t>OpEx Breakdown - Process Steps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21-BF1E-47B9-AE6B-31AFE06DA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2-BF1E-47B9-AE6B-31AFE06DA1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BF1E-47B9-AE6B-31AFE06DA1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4-BF1E-47B9-AE6B-31AFE06DA1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BF1E-47B9-AE6B-31AFE06DA1D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6-BF1E-47B9-AE6B-31AFE06DA1D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7-BF1E-47B9-AE6B-31AFE06DA1D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8-BF1E-47B9-AE6B-31AFE06DA1D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9-BF1E-47B9-AE6B-31AFE06DA1D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A-BF1E-47B9-AE6B-31AFE06DA1D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B-BF1E-47B9-AE6B-31AFE06DA1D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2C-BF1E-47B9-AE6B-31AFE06DA1DA}"/>
              </c:ext>
            </c:extLst>
          </c:dPt>
          <c:dLbls>
            <c:dLbl>
              <c:idx val="0"/>
              <c:tx>
                <c:rich>
                  <a:bodyPr/>
                  <a:lstStyle/>
                  <a:p>
                    <a:fld id="{82A8AAE5-BCBA-E14E-A0BE-85A299B2C4F0}"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BF1E-47B9-AE6B-31AFE06DA1DA}"/>
                </c:ext>
              </c:extLst>
            </c:dLbl>
            <c:dLbl>
              <c:idx val="1"/>
              <c:tx>
                <c:rich>
                  <a:bodyPr/>
                  <a:lstStyle/>
                  <a:p>
                    <a:fld id="{AA6370DA-7B04-5C40-8135-150A79727B3A}"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BF1E-47B9-AE6B-31AFE06DA1DA}"/>
                </c:ext>
              </c:extLst>
            </c:dLbl>
            <c:dLbl>
              <c:idx val="2"/>
              <c:layout>
                <c:manualLayout>
                  <c:x val="-1.6682917968084396E-2"/>
                  <c:y val="6.2221572936421783E-2"/>
                </c:manualLayout>
              </c:layout>
              <c:tx>
                <c:rich>
                  <a:bodyPr/>
                  <a:lstStyle/>
                  <a:p>
                    <a:fld id="{EE22B811-A1C6-744C-92A4-A341CAC5AFC7}" type="CELLRANGE">
                      <a:rPr lang="en-US"/>
                      <a:pPr/>
                      <a:t>[ZELLBEREICH]</a:t>
                    </a:fld>
                    <a:endParaRPr lang="de-DE"/>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BF1E-47B9-AE6B-31AFE06DA1DA}"/>
                </c:ext>
              </c:extLst>
            </c:dLbl>
            <c:dLbl>
              <c:idx val="3"/>
              <c:tx>
                <c:rich>
                  <a:bodyPr/>
                  <a:lstStyle/>
                  <a:p>
                    <a:fld id="{5AB169B8-5298-4C4A-9107-C9CCAEF96C1F}"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BF1E-47B9-AE6B-31AFE06DA1DA}"/>
                </c:ext>
              </c:extLst>
            </c:dLbl>
            <c:dLbl>
              <c:idx val="4"/>
              <c:tx>
                <c:rich>
                  <a:bodyPr/>
                  <a:lstStyle/>
                  <a:p>
                    <a:fld id="{D38F47C1-5F14-A346-999B-63C70D120462}"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BF1E-47B9-AE6B-31AFE06DA1DA}"/>
                </c:ext>
              </c:extLst>
            </c:dLbl>
            <c:dLbl>
              <c:idx val="5"/>
              <c:tx>
                <c:rich>
                  <a:bodyPr/>
                  <a:lstStyle/>
                  <a:p>
                    <a:fld id="{35152BAC-07DB-2042-91FE-C77391098593}"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BF1E-47B9-AE6B-31AFE06DA1DA}"/>
                </c:ext>
              </c:extLst>
            </c:dLbl>
            <c:dLbl>
              <c:idx val="6"/>
              <c:tx>
                <c:rich>
                  <a:bodyPr/>
                  <a:lstStyle/>
                  <a:p>
                    <a:fld id="{269887AB-28A2-1A4A-A786-06524B1F273F}"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BF1E-47B9-AE6B-31AFE06DA1DA}"/>
                </c:ext>
              </c:extLst>
            </c:dLbl>
            <c:dLbl>
              <c:idx val="7"/>
              <c:tx>
                <c:rich>
                  <a:bodyPr/>
                  <a:lstStyle/>
                  <a:p>
                    <a:fld id="{82B9F5BF-D020-1D4C-A083-245126F7FB97}"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BF1E-47B9-AE6B-31AFE06DA1DA}"/>
                </c:ext>
              </c:extLst>
            </c:dLbl>
            <c:dLbl>
              <c:idx val="8"/>
              <c:tx>
                <c:rich>
                  <a:bodyPr/>
                  <a:lstStyle/>
                  <a:p>
                    <a:fld id="{62517F46-8861-614E-8F6F-367092D2B678}"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BF1E-47B9-AE6B-31AFE06DA1DA}"/>
                </c:ext>
              </c:extLst>
            </c:dLbl>
            <c:dLbl>
              <c:idx val="9"/>
              <c:tx>
                <c:rich>
                  <a:bodyPr/>
                  <a:lstStyle/>
                  <a:p>
                    <a:fld id="{60053AAC-77EB-1F4E-B72B-C44F851B0504}"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BF1E-47B9-AE6B-31AFE06DA1DA}"/>
                </c:ext>
              </c:extLst>
            </c:dLbl>
            <c:dLbl>
              <c:idx val="10"/>
              <c:tx>
                <c:rich>
                  <a:bodyPr/>
                  <a:lstStyle/>
                  <a:p>
                    <a:fld id="{B5ECD848-C53B-B247-9D6B-653561BD1BB6}"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BF1E-47B9-AE6B-31AFE06DA1DA}"/>
                </c:ext>
              </c:extLst>
            </c:dLbl>
            <c:dLbl>
              <c:idx val="11"/>
              <c:tx>
                <c:rich>
                  <a:bodyPr/>
                  <a:lstStyle/>
                  <a:p>
                    <a:fld id="{E2169196-103F-D54C-9292-D62CB1C3111E}"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BF1E-47B9-AE6B-31AFE06DA1DA}"/>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dLblPos val="in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ext>
            </c:extLst>
          </c:dLbls>
          <c:cat>
            <c:strRef>
              <c:f>'Calculation (BC)'!$D$169:$D$180</c:f>
              <c:strCache>
                <c:ptCount val="12"/>
                <c:pt idx="0">
                  <c:v>Linear Production</c:v>
                </c:pt>
                <c:pt idx="1">
                  <c:v>Backward Logistic</c:v>
                </c:pt>
                <c:pt idx="2">
                  <c:v>Dismantling</c:v>
                </c:pt>
                <c:pt idx="3">
                  <c:v>Identification &amp; Sorting</c:v>
                </c:pt>
                <c:pt idx="4">
                  <c:v>Disassembly</c:v>
                </c:pt>
                <c:pt idx="5">
                  <c:v>Inspection</c:v>
                </c:pt>
                <c:pt idx="6">
                  <c:v>Cleaning</c:v>
                </c:pt>
                <c:pt idx="7">
                  <c:v>Restoring</c:v>
                </c:pt>
                <c:pt idx="8">
                  <c:v>Assembly</c:v>
                </c:pt>
                <c:pt idx="9">
                  <c:v>Testing</c:v>
                </c:pt>
                <c:pt idx="10">
                  <c:v>Forward Logistic</c:v>
                </c:pt>
                <c:pt idx="11">
                  <c:v>Other Costs</c:v>
                </c:pt>
              </c:strCache>
            </c:strRef>
          </c:cat>
          <c:val>
            <c:numRef>
              <c:f>'Calculation (BC)'!$G$169:$G$180</c:f>
              <c:numCache>
                <c:formatCode>_("€"* #,##0.00_);_("€"* \(#,##0.00\);_("€"*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5="http://schemas.microsoft.com/office/drawing/2012/chart" uri="{02D57815-91ED-43cb-92C2-25804820EDAC}">
              <c15:datalabelsRange>
                <c15:f>'Calculation (BC)'!$O$169:$O$180</c15:f>
                <c15:dlblRangeCache>
                  <c:ptCount val="12"/>
                  <c:pt idx="0">
                    <c:v>#DIV/0!</c:v>
                  </c:pt>
                  <c:pt idx="1">
                    <c:v>#DIV/0!</c:v>
                  </c:pt>
                  <c:pt idx="2">
                    <c:v>#DIV/0!</c:v>
                  </c:pt>
                  <c:pt idx="3">
                    <c:v>#DIV/0!</c:v>
                  </c:pt>
                  <c:pt idx="4">
                    <c:v>#DIV/0!</c:v>
                  </c:pt>
                  <c:pt idx="5">
                    <c:v>#DIV/0!</c:v>
                  </c:pt>
                  <c:pt idx="6">
                    <c:v>#DIV/0!</c:v>
                  </c:pt>
                  <c:pt idx="7">
                    <c:v>#DIV/0!</c:v>
                  </c:pt>
                  <c:pt idx="8">
                    <c:v>#DIV/0!</c:v>
                  </c:pt>
                  <c:pt idx="9">
                    <c:v>#DIV/0!</c:v>
                  </c:pt>
                  <c:pt idx="10">
                    <c:v>#DIV/0!</c:v>
                  </c:pt>
                  <c:pt idx="11">
                    <c:v>#DIV/0!</c:v>
                  </c:pt>
                </c15:dlblRangeCache>
              </c15:datalabelsRange>
            </c:ext>
            <c:ext xmlns:c16="http://schemas.microsoft.com/office/drawing/2014/chart" uri="{C3380CC4-5D6E-409C-BE32-E72D297353CC}">
              <c16:uniqueId val="{00000020-BF1E-47B9-AE6B-31AFE06DA1DA}"/>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de-DE" sz="1600" b="1" i="0" u="none" strike="noStrike" kern="1200" spc="0" baseline="0">
                <a:solidFill>
                  <a:schemeClr val="accent2"/>
                </a:solidFill>
              </a:rPr>
              <a:t>OpEx Breakdown - Cost Types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89-0846-AC00-5B25351EB6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89-0846-AC00-5B25351EB6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89-0846-AC00-5B25351EB6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89-0846-AC00-5B25351EB6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89-0846-AC00-5B25351EB6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989-0846-AC00-5B25351EB62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989-0846-AC00-5B25351EB62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989-0846-AC00-5B25351EB62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989-0846-AC00-5B25351EB62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989-0846-AC00-5B25351EB62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989-0846-AC00-5B25351EB62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989-0846-AC00-5B25351EB627}"/>
              </c:ext>
            </c:extLst>
          </c:dPt>
          <c:dLbls>
            <c:dLbl>
              <c:idx val="0"/>
              <c:tx>
                <c:rich>
                  <a:bodyPr/>
                  <a:lstStyle/>
                  <a:p>
                    <a:fld id="{0903A4B5-1B9B-D44A-9293-AA7BE660C774}"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989-0846-AC00-5B25351EB627}"/>
                </c:ext>
              </c:extLst>
            </c:dLbl>
            <c:dLbl>
              <c:idx val="1"/>
              <c:tx>
                <c:rich>
                  <a:bodyPr/>
                  <a:lstStyle/>
                  <a:p>
                    <a:fld id="{E4711200-C1AB-604B-9534-5214EAE4FD25}"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989-0846-AC00-5B25351EB627}"/>
                </c:ext>
              </c:extLst>
            </c:dLbl>
            <c:dLbl>
              <c:idx val="2"/>
              <c:tx>
                <c:rich>
                  <a:bodyPr/>
                  <a:lstStyle/>
                  <a:p>
                    <a:fld id="{E17C7396-0671-7F44-A6DC-CAC1EA0CDF5E}"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989-0846-AC00-5B25351EB627}"/>
                </c:ext>
              </c:extLst>
            </c:dLbl>
            <c:dLbl>
              <c:idx val="3"/>
              <c:tx>
                <c:rich>
                  <a:bodyPr/>
                  <a:lstStyle/>
                  <a:p>
                    <a:fld id="{54827E9B-509F-C141-84F8-B3997431FFD9}"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989-0846-AC00-5B25351EB627}"/>
                </c:ext>
              </c:extLst>
            </c:dLbl>
            <c:dLbl>
              <c:idx val="4"/>
              <c:tx>
                <c:rich>
                  <a:bodyPr/>
                  <a:lstStyle/>
                  <a:p>
                    <a:fld id="{434AC29C-B9B3-AF4D-B265-52CDC31A2262}"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989-0846-AC00-5B25351EB627}"/>
                </c:ext>
              </c:extLst>
            </c:dLbl>
            <c:dLbl>
              <c:idx val="5"/>
              <c:tx>
                <c:rich>
                  <a:bodyPr/>
                  <a:lstStyle/>
                  <a:p>
                    <a:fld id="{96BC3A09-61C5-C042-9892-476698FF94DD}"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989-0846-AC00-5B25351EB627}"/>
                </c:ext>
              </c:extLst>
            </c:dLbl>
            <c:dLbl>
              <c:idx val="6"/>
              <c:tx>
                <c:rich>
                  <a:bodyPr/>
                  <a:lstStyle/>
                  <a:p>
                    <a:fld id="{F570AE95-6EE5-8C49-A711-CF341BC51989}"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989-0846-AC00-5B25351EB627}"/>
                </c:ext>
              </c:extLst>
            </c:dLbl>
            <c:dLbl>
              <c:idx val="7"/>
              <c:tx>
                <c:rich>
                  <a:bodyPr/>
                  <a:lstStyle/>
                  <a:p>
                    <a:fld id="{795D8787-FF92-F54B-AB21-DFA43454837A}"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989-0846-AC00-5B25351EB627}"/>
                </c:ext>
              </c:extLst>
            </c:dLbl>
            <c:dLbl>
              <c:idx val="8"/>
              <c:tx>
                <c:rich>
                  <a:bodyPr/>
                  <a:lstStyle/>
                  <a:p>
                    <a:fld id="{263C039C-24F1-FD42-B49F-34E73C81BA98}"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989-0846-AC00-5B25351EB627}"/>
                </c:ext>
              </c:extLst>
            </c:dLbl>
            <c:dLbl>
              <c:idx val="9"/>
              <c:tx>
                <c:rich>
                  <a:bodyPr/>
                  <a:lstStyle/>
                  <a:p>
                    <a:fld id="{B9F1696A-30BE-F045-B720-6E5F0F296CB3}" type="CELLRANGE">
                      <a:rPr lang="en-US"/>
                      <a:pPr/>
                      <a:t>[ZELLBEREICH]</a:t>
                    </a:fld>
                    <a:endParaRPr lang="de-DE"/>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989-0846-AC00-5B25351EB627}"/>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dLblPos val="in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ext>
            </c:extLst>
          </c:dLbls>
          <c:cat>
            <c:strRef>
              <c:f>'Calculation (BC)'!$D$182:$D$191</c:f>
              <c:strCache>
                <c:ptCount val="10"/>
                <c:pt idx="0">
                  <c:v>Property Costs</c:v>
                </c:pt>
                <c:pt idx="1">
                  <c:v>Energy Costs</c:v>
                </c:pt>
                <c:pt idx="2">
                  <c:v>Logistic Costs</c:v>
                </c:pt>
                <c:pt idx="3">
                  <c:v>Personell Costs</c:v>
                </c:pt>
                <c:pt idx="4">
                  <c:v>Machine Costs</c:v>
                </c:pt>
                <c:pt idx="5">
                  <c:v>Material Costs</c:v>
                </c:pt>
                <c:pt idx="6">
                  <c:v>Disposal Costs</c:v>
                </c:pt>
                <c:pt idx="7">
                  <c:v>Financing Costs</c:v>
                </c:pt>
                <c:pt idx="8">
                  <c:v>Special Costs</c:v>
                </c:pt>
                <c:pt idx="9">
                  <c:v>Administrative Costs</c:v>
                </c:pt>
              </c:strCache>
            </c:strRef>
          </c:cat>
          <c:val>
            <c:numRef>
              <c:f>'Calculation (BC)'!$G$182:$G$191</c:f>
              <c:numCache>
                <c:formatCode>_("€"* #,##0.00_);_("€"* \(#,##0.00\);_("€"* "-"??_);_(@_)</c:formatCode>
                <c:ptCount val="10"/>
                <c:pt idx="0">
                  <c:v>0</c:v>
                </c:pt>
                <c:pt idx="1">
                  <c:v>0</c:v>
                </c:pt>
                <c:pt idx="2">
                  <c:v>0</c:v>
                </c:pt>
                <c:pt idx="3">
                  <c:v>0</c:v>
                </c:pt>
                <c:pt idx="4">
                  <c:v>0</c:v>
                </c:pt>
                <c:pt idx="5">
                  <c:v>0</c:v>
                </c:pt>
                <c:pt idx="6">
                  <c:v>0</c:v>
                </c:pt>
                <c:pt idx="7">
                  <c:v>0</c:v>
                </c:pt>
                <c:pt idx="8">
                  <c:v>0</c:v>
                </c:pt>
                <c:pt idx="9">
                  <c:v>0</c:v>
                </c:pt>
              </c:numCache>
            </c:numRef>
          </c:val>
          <c:extLst>
            <c:ext xmlns:c15="http://schemas.microsoft.com/office/drawing/2012/chart" uri="{02D57815-91ED-43cb-92C2-25804820EDAC}">
              <c15:datalabelsRange>
                <c15:f>'Calculation (BC)'!$O$182:$O$191</c15:f>
                <c15:dlblRangeCache>
                  <c:ptCount val="10"/>
                  <c:pt idx="0">
                    <c:v>#DIV/0!</c:v>
                  </c:pt>
                  <c:pt idx="1">
                    <c:v>#DIV/0!</c:v>
                  </c:pt>
                  <c:pt idx="2">
                    <c:v>#DIV/0!</c:v>
                  </c:pt>
                  <c:pt idx="3">
                    <c:v>#DIV/0!</c:v>
                  </c:pt>
                  <c:pt idx="4">
                    <c:v>#DIV/0!</c:v>
                  </c:pt>
                  <c:pt idx="5">
                    <c:v>#DIV/0!</c:v>
                  </c:pt>
                  <c:pt idx="6">
                    <c:v>#DIV/0!</c:v>
                  </c:pt>
                  <c:pt idx="7">
                    <c:v>#DIV/0!</c:v>
                  </c:pt>
                  <c:pt idx="8">
                    <c:v>#DIV/0!</c:v>
                  </c:pt>
                  <c:pt idx="9">
                    <c:v>#DIV/0!</c:v>
                  </c:pt>
                </c15:dlblRangeCache>
              </c15:datalabelsRange>
            </c:ext>
            <c:ext xmlns:c16="http://schemas.microsoft.com/office/drawing/2014/chart" uri="{C3380CC4-5D6E-409C-BE32-E72D297353CC}">
              <c16:uniqueId val="{00000018-0989-0846-AC00-5B25351EB627}"/>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b="1">
                <a:solidFill>
                  <a:schemeClr val="accent2"/>
                </a:solidFill>
              </a:rPr>
              <a:t>Profit Comparison between Scenarios</a:t>
            </a:r>
          </a:p>
        </c:rich>
      </c:tx>
      <c:layout>
        <c:manualLayout>
          <c:xMode val="edge"/>
          <c:yMode val="edge"/>
          <c:x val="0.23332383553562377"/>
          <c:y val="1.755970205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'Calculation SA'!$C$3</c:f>
              <c:strCache>
                <c:ptCount val="1"/>
                <c:pt idx="0">
                  <c:v>Base Case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 SA'!$B$4:$B$9</c:f>
              <c:strCache>
                <c:ptCount val="6"/>
                <c:pt idx="0">
                  <c:v>Start</c:v>
                </c:pt>
                <c:pt idx="1">
                  <c:v>Year 1</c:v>
                </c:pt>
                <c:pt idx="2">
                  <c:v>Year 2</c:v>
                </c:pt>
                <c:pt idx="3">
                  <c:v>Year 3</c:v>
                </c:pt>
                <c:pt idx="4">
                  <c:v>Year 4</c:v>
                </c:pt>
                <c:pt idx="5">
                  <c:v>Year 5</c:v>
                </c:pt>
              </c:strCache>
            </c:strRef>
          </c:cat>
          <c:val>
            <c:numRef>
              <c:f>'Calculation SA'!$C$4:$C$9</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5-BE6D-4916-8DCA-4CD26DFDD7D1}"/>
            </c:ext>
          </c:extLst>
        </c:ser>
        <c:ser>
          <c:idx val="1"/>
          <c:order val="1"/>
          <c:tx>
            <c:strRef>
              <c:f>'Calculation SA'!$D$3</c:f>
              <c:strCache>
                <c:ptCount val="1"/>
                <c:pt idx="0">
                  <c:v>S1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 SA'!$B$4:$B$9</c:f>
              <c:strCache>
                <c:ptCount val="6"/>
                <c:pt idx="0">
                  <c:v>Start</c:v>
                </c:pt>
                <c:pt idx="1">
                  <c:v>Year 1</c:v>
                </c:pt>
                <c:pt idx="2">
                  <c:v>Year 2</c:v>
                </c:pt>
                <c:pt idx="3">
                  <c:v>Year 3</c:v>
                </c:pt>
                <c:pt idx="4">
                  <c:v>Year 4</c:v>
                </c:pt>
                <c:pt idx="5">
                  <c:v>Year 5</c:v>
                </c:pt>
              </c:strCache>
            </c:strRef>
          </c:cat>
          <c:val>
            <c:numRef>
              <c:f>'Calculation SA'!$D$4:$D$9</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6-BE6D-4916-8DCA-4CD26DFDD7D1}"/>
            </c:ext>
          </c:extLst>
        </c:ser>
        <c:ser>
          <c:idx val="2"/>
          <c:order val="2"/>
          <c:tx>
            <c:strRef>
              <c:f>'Calculation SA'!$E$3</c:f>
              <c:strCache>
                <c:ptCount val="1"/>
                <c:pt idx="0">
                  <c:v>S2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'Calculation SA'!$B$4:$B$9</c:f>
              <c:strCache>
                <c:ptCount val="6"/>
                <c:pt idx="0">
                  <c:v>Start</c:v>
                </c:pt>
                <c:pt idx="1">
                  <c:v>Year 1</c:v>
                </c:pt>
                <c:pt idx="2">
                  <c:v>Year 2</c:v>
                </c:pt>
                <c:pt idx="3">
                  <c:v>Year 3</c:v>
                </c:pt>
                <c:pt idx="4">
                  <c:v>Year 4</c:v>
                </c:pt>
                <c:pt idx="5">
                  <c:v>Year 5</c:v>
                </c:pt>
              </c:strCache>
            </c:strRef>
          </c:cat>
          <c:val>
            <c:numRef>
              <c:f>'Calculation SA'!$E$4:$E$9</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7-BE6D-4916-8DCA-4CD26DFDD7D1}"/>
            </c:ext>
          </c:extLst>
        </c:ser>
        <c:ser>
          <c:idx val="3"/>
          <c:order val="3"/>
          <c:tx>
            <c:strRef>
              <c:f>'Calculation SA'!$F$3</c:f>
              <c:strCache>
                <c:ptCount val="1"/>
                <c:pt idx="0">
                  <c:v>S3</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'Calculation SA'!$B$4:$B$9</c:f>
              <c:strCache>
                <c:ptCount val="6"/>
                <c:pt idx="0">
                  <c:v>Start</c:v>
                </c:pt>
                <c:pt idx="1">
                  <c:v>Year 1</c:v>
                </c:pt>
                <c:pt idx="2">
                  <c:v>Year 2</c:v>
                </c:pt>
                <c:pt idx="3">
                  <c:v>Year 3</c:v>
                </c:pt>
                <c:pt idx="4">
                  <c:v>Year 4</c:v>
                </c:pt>
                <c:pt idx="5">
                  <c:v>Year 5</c:v>
                </c:pt>
              </c:strCache>
            </c:strRef>
          </c:cat>
          <c:val>
            <c:numRef>
              <c:f>'Calculation SA'!$F$4:$F$9</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8-BE6D-4916-8DCA-4CD26DFDD7D1}"/>
            </c:ext>
          </c:extLst>
        </c:ser>
        <c:dLbls>
          <c:showLegendKey val="0"/>
          <c:showVal val="0"/>
          <c:showCatName val="0"/>
          <c:showSerName val="0"/>
          <c:showPercent val="0"/>
          <c:showBubbleSize val="0"/>
        </c:dLbls>
        <c:marker val="1"/>
        <c:smooth val="0"/>
        <c:axId val="1732891616"/>
        <c:axId val="1732880096"/>
      </c:lineChart>
      <c:catAx>
        <c:axId val="1732891616"/>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732880096"/>
        <c:crosses val="autoZero"/>
        <c:auto val="1"/>
        <c:lblAlgn val="ctr"/>
        <c:lblOffset val="100"/>
        <c:noMultiLvlLbl val="0"/>
      </c:catAx>
      <c:valAx>
        <c:axId val="173288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200" b="1">
                    <a:solidFill>
                      <a:schemeClr val="accent2"/>
                    </a:solidFill>
                  </a:rPr>
                  <a:t>Discounted Net Cash Flow [€]</a:t>
                </a:r>
              </a:p>
            </c:rich>
          </c:tx>
          <c:layout>
            <c:manualLayout>
              <c:xMode val="edge"/>
              <c:yMode val="edge"/>
              <c:x val="1.7389085815594906E-2"/>
              <c:y val="0.310438005837423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732891616"/>
        <c:crosses val="autoZero"/>
        <c:crossBetween val="midCat"/>
      </c:valAx>
      <c:spPr>
        <a:solidFill>
          <a:schemeClr val="accent5">
            <a:lumMod val="20000"/>
            <a:lumOff val="80000"/>
          </a:schemeClr>
        </a:solidFill>
        <a:ln>
          <a:noFill/>
        </a:ln>
        <a:effectLst/>
      </c:spPr>
    </c:plotArea>
    <c:legend>
      <c:legendPos val="r"/>
      <c:layout>
        <c:manualLayout>
          <c:xMode val="edge"/>
          <c:yMode val="edge"/>
          <c:x val="0.83786145858792882"/>
          <c:y val="0.85369301019652277"/>
          <c:w val="0.15525978727975345"/>
          <c:h val="0.13804252878624568"/>
        </c:manualLayout>
      </c:layout>
      <c:overlay val="1"/>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0"/>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de-DE" sz="1600" b="1" i="0" u="none" strike="noStrike" kern="1200" spc="0" baseline="0">
                <a:solidFill>
                  <a:schemeClr val="accent2"/>
                </a:solidFill>
              </a:rPr>
              <a:t>Total Cost - Overview</a:t>
            </a:r>
          </a:p>
        </c:rich>
      </c:tx>
      <c:layout>
        <c:manualLayout>
          <c:xMode val="edge"/>
          <c:yMode val="edge"/>
          <c:x val="0.30607972440944881"/>
          <c:y val="2.3880644419001264E-2"/>
        </c:manualLayout>
      </c:layout>
      <c:overlay val="0"/>
      <c:spPr>
        <a:noFill/>
        <a:ln>
          <a:noFill/>
        </a:ln>
        <a:effectLst/>
      </c:spPr>
      <c:txPr>
        <a:bodyPr rot="0" spcFirstLastPara="1" vertOverflow="ellipsis" vert="horz" wrap="square" anchor="ctr" anchorCtr="0"/>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de-DE"/>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85725</xdr:colOff>
      <xdr:row>25</xdr:row>
      <xdr:rowOff>161926</xdr:rowOff>
    </xdr:to>
    <xdr:sp macro="" textlink="">
      <xdr:nvSpPr>
        <xdr:cNvPr id="31" name="AutoShape 6" descr="Startseite | Wirtschaft NRW">
          <a:extLst>
            <a:ext uri="{FF2B5EF4-FFF2-40B4-BE49-F238E27FC236}">
              <a16:creationId xmlns:a16="http://schemas.microsoft.com/office/drawing/2014/main" id="{5DBFBB1D-B7B4-40F4-93AA-ECDF3409DA9A}"/>
            </a:ext>
          </a:extLst>
        </xdr:cNvPr>
        <xdr:cNvSpPr>
          <a:spLocks noChangeAspect="1" noChangeArrowheads="1"/>
        </xdr:cNvSpPr>
      </xdr:nvSpPr>
      <xdr:spPr bwMode="auto">
        <a:xfrm>
          <a:off x="95250" y="24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absolute">
    <xdr:from>
      <xdr:col>38</xdr:col>
      <xdr:colOff>1487</xdr:colOff>
      <xdr:row>29</xdr:row>
      <xdr:rowOff>144235</xdr:rowOff>
    </xdr:from>
    <xdr:to>
      <xdr:col>42</xdr:col>
      <xdr:colOff>168535</xdr:colOff>
      <xdr:row>31</xdr:row>
      <xdr:rowOff>139134</xdr:rowOff>
    </xdr:to>
    <xdr:pic>
      <xdr:nvPicPr>
        <xdr:cNvPr id="3" name="Grafik 2">
          <a:extLst>
            <a:ext uri="{FF2B5EF4-FFF2-40B4-BE49-F238E27FC236}">
              <a16:creationId xmlns:a16="http://schemas.microsoft.com/office/drawing/2014/main" id="{6D18429B-7523-2DF7-2053-8CEECA6576F8}"/>
            </a:ext>
          </a:extLst>
        </xdr:cNvPr>
        <xdr:cNvPicPr>
          <a:picLocks noChangeAspect="1"/>
        </xdr:cNvPicPr>
      </xdr:nvPicPr>
      <xdr:blipFill>
        <a:blip xmlns:r="http://schemas.openxmlformats.org/officeDocument/2006/relationships" r:embed="rId1"/>
        <a:stretch>
          <a:fillRect/>
        </a:stretch>
      </xdr:blipFill>
      <xdr:spPr>
        <a:xfrm>
          <a:off x="8326337" y="5525860"/>
          <a:ext cx="1043348" cy="375899"/>
        </a:xfrm>
        <a:prstGeom prst="rect">
          <a:avLst/>
        </a:prstGeom>
      </xdr:spPr>
    </xdr:pic>
    <xdr:clientData/>
  </xdr:twoCellAnchor>
  <xdr:twoCellAnchor editAs="absolute">
    <xdr:from>
      <xdr:col>33</xdr:col>
      <xdr:colOff>57150</xdr:colOff>
      <xdr:row>35</xdr:row>
      <xdr:rowOff>17882</xdr:rowOff>
    </xdr:from>
    <xdr:to>
      <xdr:col>42</xdr:col>
      <xdr:colOff>206375</xdr:colOff>
      <xdr:row>37</xdr:row>
      <xdr:rowOff>185663</xdr:rowOff>
    </xdr:to>
    <xdr:pic>
      <xdr:nvPicPr>
        <xdr:cNvPr id="2" name="Grafik 1">
          <a:extLst>
            <a:ext uri="{FF2B5EF4-FFF2-40B4-BE49-F238E27FC236}">
              <a16:creationId xmlns:a16="http://schemas.microsoft.com/office/drawing/2014/main" id="{2BF4A4ED-A56C-FA46-B3AC-68E897356A33}"/>
            </a:ext>
          </a:extLst>
        </xdr:cNvPr>
        <xdr:cNvPicPr>
          <a:picLocks noChangeAspect="1"/>
        </xdr:cNvPicPr>
      </xdr:nvPicPr>
      <xdr:blipFill>
        <a:blip xmlns:r="http://schemas.openxmlformats.org/officeDocument/2006/relationships" r:embed="rId2"/>
        <a:stretch>
          <a:fillRect/>
        </a:stretch>
      </xdr:blipFill>
      <xdr:spPr>
        <a:xfrm>
          <a:off x="7286625" y="6542507"/>
          <a:ext cx="2120900" cy="548781"/>
        </a:xfrm>
        <a:prstGeom prst="rect">
          <a:avLst/>
        </a:prstGeom>
      </xdr:spPr>
    </xdr:pic>
    <xdr:clientData/>
  </xdr:twoCellAnchor>
  <xdr:twoCellAnchor editAs="absolute">
    <xdr:from>
      <xdr:col>33</xdr:col>
      <xdr:colOff>200024</xdr:colOff>
      <xdr:row>2</xdr:row>
      <xdr:rowOff>17429</xdr:rowOff>
    </xdr:from>
    <xdr:to>
      <xdr:col>42</xdr:col>
      <xdr:colOff>214312</xdr:colOff>
      <xdr:row>3</xdr:row>
      <xdr:rowOff>169043</xdr:rowOff>
    </xdr:to>
    <xdr:pic>
      <xdr:nvPicPr>
        <xdr:cNvPr id="4" name="Grafik 3">
          <a:extLst>
            <a:ext uri="{FF2B5EF4-FFF2-40B4-BE49-F238E27FC236}">
              <a16:creationId xmlns:a16="http://schemas.microsoft.com/office/drawing/2014/main" id="{D54A47BB-E41A-5043-8A72-C0A0473E61B7}"/>
            </a:ext>
          </a:extLst>
        </xdr:cNvPr>
        <xdr:cNvPicPr>
          <a:picLocks noChangeAspect="1"/>
        </xdr:cNvPicPr>
      </xdr:nvPicPr>
      <xdr:blipFill>
        <a:blip xmlns:r="http://schemas.openxmlformats.org/officeDocument/2006/relationships" r:embed="rId3"/>
        <a:stretch>
          <a:fillRect/>
        </a:stretch>
      </xdr:blipFill>
      <xdr:spPr>
        <a:xfrm>
          <a:off x="7429499" y="331754"/>
          <a:ext cx="1985963" cy="342114"/>
        </a:xfrm>
        <a:prstGeom prst="rect">
          <a:avLst/>
        </a:prstGeom>
      </xdr:spPr>
    </xdr:pic>
    <xdr:clientData/>
  </xdr:twoCellAnchor>
  <xdr:twoCellAnchor editAs="oneCell">
    <xdr:from>
      <xdr:col>2</xdr:col>
      <xdr:colOff>3270</xdr:colOff>
      <xdr:row>34</xdr:row>
      <xdr:rowOff>180975</xdr:rowOff>
    </xdr:from>
    <xdr:to>
      <xdr:col>13</xdr:col>
      <xdr:colOff>79375</xdr:colOff>
      <xdr:row>37</xdr:row>
      <xdr:rowOff>160773</xdr:rowOff>
    </xdr:to>
    <xdr:pic>
      <xdr:nvPicPr>
        <xdr:cNvPr id="7" name="Grafik 6" descr="Inforegio - Download centre for visual elements">
          <a:extLst>
            <a:ext uri="{FF2B5EF4-FFF2-40B4-BE49-F238E27FC236}">
              <a16:creationId xmlns:a16="http://schemas.microsoft.com/office/drawing/2014/main" id="{D79CB437-211E-33A3-8820-2581E97F01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1420" y="6705600"/>
          <a:ext cx="2485930" cy="551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246062</xdr:colOff>
      <xdr:row>11</xdr:row>
      <xdr:rowOff>1587</xdr:rowOff>
    </xdr:from>
    <xdr:to>
      <xdr:col>20</xdr:col>
      <xdr:colOff>246621</xdr:colOff>
      <xdr:row>31</xdr:row>
      <xdr:rowOff>219075</xdr:rowOff>
    </xdr:to>
    <xdr:graphicFrame macro="">
      <xdr:nvGraphicFramePr>
        <xdr:cNvPr id="3" name="Diagramm 2">
          <a:extLst>
            <a:ext uri="{FF2B5EF4-FFF2-40B4-BE49-F238E27FC236}">
              <a16:creationId xmlns:a16="http://schemas.microsoft.com/office/drawing/2014/main" id="{10619B5A-A534-912B-5B39-AB8B0051B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251656</xdr:colOff>
      <xdr:row>18</xdr:row>
      <xdr:rowOff>7471</xdr:rowOff>
    </xdr:from>
    <xdr:to>
      <xdr:col>41</xdr:col>
      <xdr:colOff>251656</xdr:colOff>
      <xdr:row>31</xdr:row>
      <xdr:rowOff>226546</xdr:rowOff>
    </xdr:to>
    <xdr:graphicFrame macro="">
      <xdr:nvGraphicFramePr>
        <xdr:cNvPr id="9" name="Diagramm 8">
          <a:extLst>
            <a:ext uri="{FF2B5EF4-FFF2-40B4-BE49-F238E27FC236}">
              <a16:creationId xmlns:a16="http://schemas.microsoft.com/office/drawing/2014/main" id="{5295136B-CE5C-39DA-F0BE-DFCE68115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7471</xdr:colOff>
      <xdr:row>39</xdr:row>
      <xdr:rowOff>22412</xdr:rowOff>
    </xdr:from>
    <xdr:to>
      <xdr:col>20</xdr:col>
      <xdr:colOff>209176</xdr:colOff>
      <xdr:row>59</xdr:row>
      <xdr:rowOff>226833</xdr:rowOff>
    </xdr:to>
    <xdr:graphicFrame macro="">
      <xdr:nvGraphicFramePr>
        <xdr:cNvPr id="12" name="Diagramm 11">
          <a:extLst>
            <a:ext uri="{FF2B5EF4-FFF2-40B4-BE49-F238E27FC236}">
              <a16:creationId xmlns:a16="http://schemas.microsoft.com/office/drawing/2014/main" id="{8DFF4B0B-59C0-018B-6713-2E2E7E6E1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26</xdr:col>
      <xdr:colOff>55414</xdr:colOff>
      <xdr:row>1</xdr:row>
      <xdr:rowOff>47625</xdr:rowOff>
    </xdr:from>
    <xdr:to>
      <xdr:col>33</xdr:col>
      <xdr:colOff>142875</xdr:colOff>
      <xdr:row>3</xdr:row>
      <xdr:rowOff>200025</xdr:rowOff>
    </xdr:to>
    <xdr:pic>
      <xdr:nvPicPr>
        <xdr:cNvPr id="4" name="Grafik 3">
          <a:extLst>
            <a:ext uri="{FF2B5EF4-FFF2-40B4-BE49-F238E27FC236}">
              <a16:creationId xmlns:a16="http://schemas.microsoft.com/office/drawing/2014/main" id="{26409F97-7DBB-5C5A-AB7A-EF7428CC7EB7}"/>
            </a:ext>
          </a:extLst>
        </xdr:cNvPr>
        <xdr:cNvPicPr>
          <a:picLocks noChangeAspect="1"/>
        </xdr:cNvPicPr>
      </xdr:nvPicPr>
      <xdr:blipFill>
        <a:blip xmlns:r="http://schemas.openxmlformats.org/officeDocument/2006/relationships" r:embed="rId4"/>
        <a:stretch>
          <a:fillRect/>
        </a:stretch>
      </xdr:blipFill>
      <xdr:spPr>
        <a:xfrm>
          <a:off x="5751364" y="276225"/>
          <a:ext cx="1620986" cy="428625"/>
        </a:xfrm>
        <a:prstGeom prst="rect">
          <a:avLst/>
        </a:prstGeom>
      </xdr:spPr>
    </xdr:pic>
    <xdr:clientData/>
  </xdr:twoCellAnchor>
  <xdr:twoCellAnchor editAs="absolute">
    <xdr:from>
      <xdr:col>33</xdr:col>
      <xdr:colOff>215896</xdr:colOff>
      <xdr:row>1</xdr:row>
      <xdr:rowOff>107371</xdr:rowOff>
    </xdr:from>
    <xdr:to>
      <xdr:col>42</xdr:col>
      <xdr:colOff>0</xdr:colOff>
      <xdr:row>3</xdr:row>
      <xdr:rowOff>147533</xdr:rowOff>
    </xdr:to>
    <xdr:pic>
      <xdr:nvPicPr>
        <xdr:cNvPr id="5" name="Grafik 4">
          <a:extLst>
            <a:ext uri="{FF2B5EF4-FFF2-40B4-BE49-F238E27FC236}">
              <a16:creationId xmlns:a16="http://schemas.microsoft.com/office/drawing/2014/main" id="{AA225B4E-26EC-138D-E988-BFCE28D81037}"/>
            </a:ext>
          </a:extLst>
        </xdr:cNvPr>
        <xdr:cNvPicPr>
          <a:picLocks noChangeAspect="1"/>
        </xdr:cNvPicPr>
      </xdr:nvPicPr>
      <xdr:blipFill>
        <a:blip xmlns:r="http://schemas.openxmlformats.org/officeDocument/2006/relationships" r:embed="rId5"/>
        <a:stretch>
          <a:fillRect/>
        </a:stretch>
      </xdr:blipFill>
      <xdr:spPr>
        <a:xfrm>
          <a:off x="7445371" y="335971"/>
          <a:ext cx="1755779" cy="316387"/>
        </a:xfrm>
        <a:prstGeom prst="rect">
          <a:avLst/>
        </a:prstGeom>
      </xdr:spPr>
    </xdr:pic>
    <xdr:clientData/>
  </xdr:twoCellAnchor>
  <xdr:twoCellAnchor editAs="absolute">
    <xdr:from>
      <xdr:col>33</xdr:col>
      <xdr:colOff>217632</xdr:colOff>
      <xdr:row>34</xdr:row>
      <xdr:rowOff>95825</xdr:rowOff>
    </xdr:from>
    <xdr:to>
      <xdr:col>42</xdr:col>
      <xdr:colOff>1736</xdr:colOff>
      <xdr:row>36</xdr:row>
      <xdr:rowOff>135987</xdr:rowOff>
    </xdr:to>
    <xdr:pic>
      <xdr:nvPicPr>
        <xdr:cNvPr id="6" name="Grafik 5">
          <a:extLst>
            <a:ext uri="{FF2B5EF4-FFF2-40B4-BE49-F238E27FC236}">
              <a16:creationId xmlns:a16="http://schemas.microsoft.com/office/drawing/2014/main" id="{F45A1187-56C4-41DA-BD5C-C8C41DA9AB2D}"/>
            </a:ext>
          </a:extLst>
        </xdr:cNvPr>
        <xdr:cNvPicPr>
          <a:picLocks noChangeAspect="1"/>
        </xdr:cNvPicPr>
      </xdr:nvPicPr>
      <xdr:blipFill>
        <a:blip xmlns:r="http://schemas.openxmlformats.org/officeDocument/2006/relationships" r:embed="rId5"/>
        <a:stretch>
          <a:fillRect/>
        </a:stretch>
      </xdr:blipFill>
      <xdr:spPr>
        <a:xfrm>
          <a:off x="7447107" y="6610925"/>
          <a:ext cx="1755779" cy="316387"/>
        </a:xfrm>
        <a:prstGeom prst="rect">
          <a:avLst/>
        </a:prstGeom>
      </xdr:spPr>
    </xdr:pic>
    <xdr:clientData/>
  </xdr:twoCellAnchor>
  <xdr:twoCellAnchor>
    <xdr:from>
      <xdr:col>22</xdr:col>
      <xdr:colOff>29882</xdr:colOff>
      <xdr:row>39</xdr:row>
      <xdr:rowOff>0</xdr:rowOff>
    </xdr:from>
    <xdr:to>
      <xdr:col>41</xdr:col>
      <xdr:colOff>231587</xdr:colOff>
      <xdr:row>59</xdr:row>
      <xdr:rowOff>204421</xdr:rowOff>
    </xdr:to>
    <xdr:graphicFrame macro="">
      <xdr:nvGraphicFramePr>
        <xdr:cNvPr id="7" name="Diagramm 6">
          <a:extLst>
            <a:ext uri="{FF2B5EF4-FFF2-40B4-BE49-F238E27FC236}">
              <a16:creationId xmlns:a16="http://schemas.microsoft.com/office/drawing/2014/main" id="{661DE863-A825-084A-9EEC-12559C69D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26</xdr:col>
      <xdr:colOff>76200</xdr:colOff>
      <xdr:row>34</xdr:row>
      <xdr:rowOff>28575</xdr:rowOff>
    </xdr:from>
    <xdr:to>
      <xdr:col>33</xdr:col>
      <xdr:colOff>163661</xdr:colOff>
      <xdr:row>36</xdr:row>
      <xdr:rowOff>180975</xdr:rowOff>
    </xdr:to>
    <xdr:pic>
      <xdr:nvPicPr>
        <xdr:cNvPr id="10" name="Grafik 9">
          <a:extLst>
            <a:ext uri="{FF2B5EF4-FFF2-40B4-BE49-F238E27FC236}">
              <a16:creationId xmlns:a16="http://schemas.microsoft.com/office/drawing/2014/main" id="{AEBB8E42-EBDE-4C70-82BD-6FE4E84C9828}"/>
            </a:ext>
          </a:extLst>
        </xdr:cNvPr>
        <xdr:cNvPicPr>
          <a:picLocks noChangeAspect="1"/>
        </xdr:cNvPicPr>
      </xdr:nvPicPr>
      <xdr:blipFill>
        <a:blip xmlns:r="http://schemas.openxmlformats.org/officeDocument/2006/relationships" r:embed="rId4"/>
        <a:stretch>
          <a:fillRect/>
        </a:stretch>
      </xdr:blipFill>
      <xdr:spPr>
        <a:xfrm>
          <a:off x="5772150" y="6543675"/>
          <a:ext cx="1620986" cy="428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xdr:row>
      <xdr:rowOff>0</xdr:rowOff>
    </xdr:from>
    <xdr:to>
      <xdr:col>26</xdr:col>
      <xdr:colOff>0</xdr:colOff>
      <xdr:row>25</xdr:row>
      <xdr:rowOff>219076</xdr:rowOff>
    </xdr:to>
    <xdr:graphicFrame macro="">
      <xdr:nvGraphicFramePr>
        <xdr:cNvPr id="2" name="Diagramm 1">
          <a:extLst>
            <a:ext uri="{FF2B5EF4-FFF2-40B4-BE49-F238E27FC236}">
              <a16:creationId xmlns:a16="http://schemas.microsoft.com/office/drawing/2014/main" id="{17852617-8BA7-48A8-A4D9-77C3136AA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251656</xdr:colOff>
      <xdr:row>12</xdr:row>
      <xdr:rowOff>7471</xdr:rowOff>
    </xdr:from>
    <xdr:to>
      <xdr:col>41</xdr:col>
      <xdr:colOff>251656</xdr:colOff>
      <xdr:row>25</xdr:row>
      <xdr:rowOff>226546</xdr:rowOff>
    </xdr:to>
    <xdr:graphicFrame macro="">
      <xdr:nvGraphicFramePr>
        <xdr:cNvPr id="3" name="Diagramm 2">
          <a:extLst>
            <a:ext uri="{FF2B5EF4-FFF2-40B4-BE49-F238E27FC236}">
              <a16:creationId xmlns:a16="http://schemas.microsoft.com/office/drawing/2014/main" id="{4480A05D-BE49-454D-B0CA-C19F484E2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33</xdr:col>
      <xdr:colOff>215896</xdr:colOff>
      <xdr:row>1</xdr:row>
      <xdr:rowOff>107371</xdr:rowOff>
    </xdr:from>
    <xdr:to>
      <xdr:col>42</xdr:col>
      <xdr:colOff>0</xdr:colOff>
      <xdr:row>3</xdr:row>
      <xdr:rowOff>147533</xdr:rowOff>
    </xdr:to>
    <xdr:pic>
      <xdr:nvPicPr>
        <xdr:cNvPr id="6" name="Grafik 5">
          <a:extLst>
            <a:ext uri="{FF2B5EF4-FFF2-40B4-BE49-F238E27FC236}">
              <a16:creationId xmlns:a16="http://schemas.microsoft.com/office/drawing/2014/main" id="{0862116B-E4C8-4BA9-9C04-0F7FD9549AF7}"/>
            </a:ext>
          </a:extLst>
        </xdr:cNvPr>
        <xdr:cNvPicPr>
          <a:picLocks noChangeAspect="1"/>
        </xdr:cNvPicPr>
      </xdr:nvPicPr>
      <xdr:blipFill>
        <a:blip xmlns:r="http://schemas.openxmlformats.org/officeDocument/2006/relationships" r:embed="rId3"/>
        <a:stretch>
          <a:fillRect/>
        </a:stretch>
      </xdr:blipFill>
      <xdr:spPr>
        <a:xfrm>
          <a:off x="7445371" y="335971"/>
          <a:ext cx="1755779" cy="316387"/>
        </a:xfrm>
        <a:prstGeom prst="rect">
          <a:avLst/>
        </a:prstGeom>
      </xdr:spPr>
    </xdr:pic>
    <xdr:clientData/>
  </xdr:twoCellAnchor>
  <xdr:twoCellAnchor editAs="absolute">
    <xdr:from>
      <xdr:col>26</xdr:col>
      <xdr:colOff>104775</xdr:colOff>
      <xdr:row>1</xdr:row>
      <xdr:rowOff>47625</xdr:rowOff>
    </xdr:from>
    <xdr:to>
      <xdr:col>33</xdr:col>
      <xdr:colOff>192236</xdr:colOff>
      <xdr:row>3</xdr:row>
      <xdr:rowOff>200025</xdr:rowOff>
    </xdr:to>
    <xdr:pic>
      <xdr:nvPicPr>
        <xdr:cNvPr id="4" name="Grafik 3">
          <a:extLst>
            <a:ext uri="{FF2B5EF4-FFF2-40B4-BE49-F238E27FC236}">
              <a16:creationId xmlns:a16="http://schemas.microsoft.com/office/drawing/2014/main" id="{9BC12B4B-A0F8-4C3D-8A01-AE575115F36D}"/>
            </a:ext>
          </a:extLst>
        </xdr:cNvPr>
        <xdr:cNvPicPr>
          <a:picLocks noChangeAspect="1"/>
        </xdr:cNvPicPr>
      </xdr:nvPicPr>
      <xdr:blipFill>
        <a:blip xmlns:r="http://schemas.openxmlformats.org/officeDocument/2006/relationships" r:embed="rId4"/>
        <a:stretch>
          <a:fillRect/>
        </a:stretch>
      </xdr:blipFill>
      <xdr:spPr>
        <a:xfrm>
          <a:off x="5800725" y="276225"/>
          <a:ext cx="1620986"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WI Colors">
      <a:dk1>
        <a:sysClr val="windowText" lastClr="000000"/>
      </a:dk1>
      <a:lt1>
        <a:sysClr val="window" lastClr="FFFFFF"/>
      </a:lt1>
      <a:dk2>
        <a:srgbClr val="555555"/>
      </a:dk2>
      <a:lt2>
        <a:srgbClr val="AAAAAA"/>
      </a:lt2>
      <a:accent1>
        <a:srgbClr val="E40033"/>
      </a:accent1>
      <a:accent2>
        <a:srgbClr val="006D72"/>
      </a:accent2>
      <a:accent3>
        <a:srgbClr val="004C50"/>
      </a:accent3>
      <a:accent4>
        <a:srgbClr val="CFE6EE"/>
      </a:accent4>
      <a:accent5>
        <a:srgbClr val="83B0B6"/>
      </a:accent5>
      <a:accent6>
        <a:srgbClr val="E7F2F6"/>
      </a:accent6>
      <a:hlink>
        <a:srgbClr val="E40033"/>
      </a:hlink>
      <a:folHlink>
        <a:srgbClr val="E7F2F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A8BD6-A08D-5B4C-A2C3-7C3A75E5E28D}">
  <sheetPr>
    <tabColor theme="9" tint="-0.749992370372631"/>
  </sheetPr>
  <dimension ref="A2:BK39"/>
  <sheetViews>
    <sheetView showGridLines="0" tabSelected="1" zoomScaleNormal="100" workbookViewId="0">
      <selection activeCell="CM34" sqref="CM34"/>
    </sheetView>
  </sheetViews>
  <sheetFormatPr baseColWidth="10" defaultColWidth="3.33203125" defaultRowHeight="15" customHeight="1" x14ac:dyDescent="0.2"/>
  <cols>
    <col min="51" max="51" width="3.33203125" customWidth="1"/>
  </cols>
  <sheetData>
    <row r="2" spans="2:51" ht="10" customHeight="1" x14ac:dyDescent="0.2">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c r="AR2" s="166"/>
    </row>
    <row r="3" spans="2:51" ht="15" customHeight="1" x14ac:dyDescent="0.2">
      <c r="B3" s="141"/>
      <c r="C3" s="435" t="s">
        <v>619</v>
      </c>
      <c r="D3" s="435"/>
      <c r="E3" s="435"/>
      <c r="F3" s="435"/>
      <c r="G3" s="435"/>
      <c r="H3" s="435"/>
      <c r="I3" s="435"/>
      <c r="J3" s="435"/>
      <c r="K3" s="435"/>
      <c r="L3" s="435"/>
      <c r="M3" s="435"/>
      <c r="N3" s="435"/>
      <c r="O3" s="435"/>
      <c r="P3" s="435"/>
      <c r="Q3" s="435"/>
      <c r="R3" s="435"/>
      <c r="S3" s="435"/>
      <c r="T3" s="435"/>
      <c r="U3" s="435"/>
      <c r="V3" s="435"/>
      <c r="W3" s="435"/>
      <c r="X3" s="435"/>
      <c r="Y3" s="435"/>
      <c r="Z3" s="435"/>
      <c r="AA3" s="435"/>
      <c r="AB3" s="435"/>
      <c r="AC3" s="435"/>
      <c r="AD3" s="435"/>
      <c r="AE3" s="435"/>
      <c r="AF3" s="435"/>
      <c r="AG3" s="435"/>
      <c r="AH3" s="435"/>
      <c r="AI3" s="435"/>
      <c r="AJ3" s="435"/>
      <c r="AK3" s="435"/>
      <c r="AL3" s="435"/>
      <c r="AM3" s="435"/>
      <c r="AN3" s="435"/>
      <c r="AO3" s="435"/>
      <c r="AP3" s="435"/>
      <c r="AQ3" s="435"/>
      <c r="AR3" s="166"/>
    </row>
    <row r="4" spans="2:51" ht="15" customHeight="1" x14ac:dyDescent="0.2">
      <c r="B4" s="141"/>
      <c r="C4" s="435"/>
      <c r="D4" s="435"/>
      <c r="E4" s="435"/>
      <c r="F4" s="435"/>
      <c r="G4" s="435"/>
      <c r="H4" s="435"/>
      <c r="I4" s="435"/>
      <c r="J4" s="435"/>
      <c r="K4" s="435"/>
      <c r="L4" s="435"/>
      <c r="M4" s="435"/>
      <c r="N4" s="435"/>
      <c r="O4" s="435"/>
      <c r="P4" s="435"/>
      <c r="Q4" s="435"/>
      <c r="R4" s="435"/>
      <c r="S4" s="435"/>
      <c r="T4" s="435"/>
      <c r="U4" s="435"/>
      <c r="V4" s="435"/>
      <c r="W4" s="435"/>
      <c r="X4" s="435"/>
      <c r="Y4" s="435"/>
      <c r="Z4" s="435"/>
      <c r="AA4" s="435"/>
      <c r="AB4" s="435"/>
      <c r="AC4" s="435"/>
      <c r="AD4" s="435"/>
      <c r="AE4" s="435"/>
      <c r="AF4" s="435"/>
      <c r="AG4" s="435"/>
      <c r="AH4" s="435"/>
      <c r="AI4" s="435"/>
      <c r="AJ4" s="435"/>
      <c r="AK4" s="435"/>
      <c r="AL4" s="435"/>
      <c r="AM4" s="435"/>
      <c r="AN4" s="435"/>
      <c r="AO4" s="435"/>
      <c r="AP4" s="435"/>
      <c r="AQ4" s="435"/>
      <c r="AR4" s="166"/>
    </row>
    <row r="5" spans="2:51" ht="10" customHeight="1" x14ac:dyDescent="0.2">
      <c r="B5" s="141"/>
      <c r="C5" s="146"/>
      <c r="D5" s="146"/>
      <c r="E5" s="146"/>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1"/>
      <c r="AI5" s="141"/>
      <c r="AJ5" s="141"/>
      <c r="AK5" s="141"/>
      <c r="AL5" s="141"/>
      <c r="AM5" s="141"/>
      <c r="AN5" s="141"/>
      <c r="AO5" s="141"/>
      <c r="AP5" s="141"/>
      <c r="AQ5" s="141"/>
      <c r="AR5" s="166"/>
    </row>
    <row r="6" spans="2:51" ht="20" customHeight="1" x14ac:dyDescent="0.3">
      <c r="B6" s="141"/>
      <c r="C6" s="170" t="s">
        <v>217</v>
      </c>
      <c r="D6" s="141"/>
      <c r="E6" s="141"/>
      <c r="F6" s="141"/>
      <c r="G6" s="141"/>
      <c r="H6" s="141"/>
      <c r="I6" s="141"/>
      <c r="J6" s="141"/>
      <c r="K6" s="141"/>
      <c r="L6" s="141"/>
      <c r="M6" s="141"/>
      <c r="N6" s="141"/>
      <c r="O6" s="387"/>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66"/>
      <c r="AY6" s="430"/>
    </row>
    <row r="7" spans="2:51" ht="10" customHeight="1" x14ac:dyDescent="0.25">
      <c r="B7" s="141"/>
      <c r="C7" s="147"/>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66"/>
      <c r="AY7" s="430"/>
    </row>
    <row r="8" spans="2:51" ht="15" customHeight="1" x14ac:dyDescent="0.2">
      <c r="B8" s="141"/>
      <c r="C8" s="431" t="s">
        <v>639</v>
      </c>
      <c r="D8" s="431"/>
      <c r="E8" s="431"/>
      <c r="F8" s="431"/>
      <c r="G8" s="431"/>
      <c r="H8" s="431"/>
      <c r="I8" s="431"/>
      <c r="J8" s="431"/>
      <c r="K8" s="431"/>
      <c r="L8" s="431"/>
      <c r="M8" s="431"/>
      <c r="N8" s="431"/>
      <c r="O8" s="431"/>
      <c r="P8" s="431"/>
      <c r="Q8" s="431"/>
      <c r="R8" s="431"/>
      <c r="S8" s="431"/>
      <c r="T8" s="431"/>
      <c r="U8" s="431"/>
      <c r="V8" s="431"/>
      <c r="W8" s="431"/>
      <c r="X8" s="431"/>
      <c r="Y8" s="431"/>
      <c r="Z8" s="431"/>
      <c r="AA8" s="431"/>
      <c r="AB8" s="431"/>
      <c r="AC8" s="431"/>
      <c r="AD8" s="431"/>
      <c r="AE8" s="431"/>
      <c r="AF8" s="431"/>
      <c r="AG8" s="431"/>
      <c r="AH8" s="431"/>
      <c r="AI8" s="431"/>
      <c r="AJ8" s="431"/>
      <c r="AK8" s="431"/>
      <c r="AL8" s="431"/>
      <c r="AM8" s="431"/>
      <c r="AN8" s="431"/>
      <c r="AO8" s="431"/>
      <c r="AP8" s="431"/>
      <c r="AQ8" s="432"/>
      <c r="AR8" s="166"/>
      <c r="AY8" s="430"/>
    </row>
    <row r="9" spans="2:51" ht="15" customHeight="1" x14ac:dyDescent="0.2">
      <c r="B9" s="141"/>
      <c r="C9" s="431"/>
      <c r="D9" s="431"/>
      <c r="E9" s="431"/>
      <c r="F9" s="431"/>
      <c r="G9" s="431"/>
      <c r="H9" s="431"/>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31"/>
      <c r="AI9" s="431"/>
      <c r="AJ9" s="431"/>
      <c r="AK9" s="431"/>
      <c r="AL9" s="431"/>
      <c r="AM9" s="431"/>
      <c r="AN9" s="431"/>
      <c r="AO9" s="431"/>
      <c r="AP9" s="431"/>
      <c r="AQ9" s="432"/>
      <c r="AR9" s="166"/>
      <c r="AY9" s="430"/>
    </row>
    <row r="10" spans="2:51" ht="15" customHeight="1" x14ac:dyDescent="0.2">
      <c r="B10" s="141"/>
      <c r="C10" s="431"/>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2"/>
      <c r="AR10" s="166"/>
      <c r="AY10" s="430"/>
    </row>
    <row r="11" spans="2:51" ht="15" customHeight="1" x14ac:dyDescent="0.2">
      <c r="B11" s="141"/>
      <c r="C11" s="431"/>
      <c r="D11" s="431"/>
      <c r="E11" s="431"/>
      <c r="F11" s="431"/>
      <c r="G11" s="431"/>
      <c r="H11" s="431"/>
      <c r="I11" s="431"/>
      <c r="J11" s="431"/>
      <c r="K11" s="431"/>
      <c r="L11" s="431"/>
      <c r="M11" s="431"/>
      <c r="N11" s="431"/>
      <c r="O11" s="431"/>
      <c r="P11" s="431"/>
      <c r="Q11" s="431"/>
      <c r="R11" s="431"/>
      <c r="S11" s="431"/>
      <c r="T11" s="431"/>
      <c r="U11" s="431"/>
      <c r="V11" s="431"/>
      <c r="W11" s="431"/>
      <c r="X11" s="431"/>
      <c r="Y11" s="431"/>
      <c r="Z11" s="431"/>
      <c r="AA11" s="431"/>
      <c r="AB11" s="431"/>
      <c r="AC11" s="431"/>
      <c r="AD11" s="431"/>
      <c r="AE11" s="431"/>
      <c r="AF11" s="431"/>
      <c r="AG11" s="431"/>
      <c r="AH11" s="431"/>
      <c r="AI11" s="431"/>
      <c r="AJ11" s="431"/>
      <c r="AK11" s="431"/>
      <c r="AL11" s="431"/>
      <c r="AM11" s="431"/>
      <c r="AN11" s="431"/>
      <c r="AO11" s="431"/>
      <c r="AP11" s="431"/>
      <c r="AQ11" s="432"/>
      <c r="AR11" s="166"/>
      <c r="AY11" s="430"/>
    </row>
    <row r="12" spans="2:51" ht="15" customHeight="1" x14ac:dyDescent="0.2">
      <c r="B12" s="141"/>
      <c r="C12" s="431"/>
      <c r="D12" s="431"/>
      <c r="E12" s="431"/>
      <c r="F12" s="431"/>
      <c r="G12" s="431"/>
      <c r="H12" s="431"/>
      <c r="I12" s="431"/>
      <c r="J12" s="431"/>
      <c r="K12" s="431"/>
      <c r="L12" s="431"/>
      <c r="M12" s="431"/>
      <c r="N12" s="431"/>
      <c r="O12" s="431"/>
      <c r="P12" s="431"/>
      <c r="Q12" s="431"/>
      <c r="R12" s="431"/>
      <c r="S12" s="431"/>
      <c r="T12" s="431"/>
      <c r="U12" s="431"/>
      <c r="V12" s="431"/>
      <c r="W12" s="431"/>
      <c r="X12" s="431"/>
      <c r="Y12" s="431"/>
      <c r="Z12" s="431"/>
      <c r="AA12" s="431"/>
      <c r="AB12" s="431"/>
      <c r="AC12" s="431"/>
      <c r="AD12" s="431"/>
      <c r="AE12" s="431"/>
      <c r="AF12" s="431"/>
      <c r="AG12" s="431"/>
      <c r="AH12" s="431"/>
      <c r="AI12" s="431"/>
      <c r="AJ12" s="431"/>
      <c r="AK12" s="431"/>
      <c r="AL12" s="431"/>
      <c r="AM12" s="431"/>
      <c r="AN12" s="431"/>
      <c r="AO12" s="431"/>
      <c r="AP12" s="431"/>
      <c r="AQ12" s="432"/>
      <c r="AR12" s="166"/>
      <c r="AY12" s="430"/>
    </row>
    <row r="13" spans="2:51" ht="15" customHeight="1" x14ac:dyDescent="0.2">
      <c r="B13" s="141"/>
      <c r="C13" s="431"/>
      <c r="D13" s="431"/>
      <c r="E13" s="431"/>
      <c r="F13" s="431"/>
      <c r="G13" s="431"/>
      <c r="H13" s="431"/>
      <c r="I13" s="431"/>
      <c r="J13" s="431"/>
      <c r="K13" s="431"/>
      <c r="L13" s="431"/>
      <c r="M13" s="431"/>
      <c r="N13" s="431"/>
      <c r="O13" s="431"/>
      <c r="P13" s="431"/>
      <c r="Q13" s="431"/>
      <c r="R13" s="431"/>
      <c r="S13" s="431"/>
      <c r="T13" s="431"/>
      <c r="U13" s="431"/>
      <c r="V13" s="431"/>
      <c r="W13" s="431"/>
      <c r="X13" s="431"/>
      <c r="Y13" s="431"/>
      <c r="Z13" s="431"/>
      <c r="AA13" s="431"/>
      <c r="AB13" s="431"/>
      <c r="AC13" s="431"/>
      <c r="AD13" s="431"/>
      <c r="AE13" s="431"/>
      <c r="AF13" s="431"/>
      <c r="AG13" s="431"/>
      <c r="AH13" s="431"/>
      <c r="AI13" s="431"/>
      <c r="AJ13" s="431"/>
      <c r="AK13" s="431"/>
      <c r="AL13" s="431"/>
      <c r="AM13" s="431"/>
      <c r="AN13" s="431"/>
      <c r="AO13" s="431"/>
      <c r="AP13" s="431"/>
      <c r="AQ13" s="432"/>
      <c r="AR13" s="166"/>
      <c r="AY13" s="430"/>
    </row>
    <row r="14" spans="2:51" ht="15" customHeight="1" x14ac:dyDescent="0.2">
      <c r="B14" s="141"/>
      <c r="C14" s="431"/>
      <c r="D14" s="431"/>
      <c r="E14" s="431"/>
      <c r="F14" s="431"/>
      <c r="G14" s="431"/>
      <c r="H14" s="431"/>
      <c r="I14" s="431"/>
      <c r="J14" s="431"/>
      <c r="K14" s="431"/>
      <c r="L14" s="431"/>
      <c r="M14" s="431"/>
      <c r="N14" s="431"/>
      <c r="O14" s="431"/>
      <c r="P14" s="431"/>
      <c r="Q14" s="431"/>
      <c r="R14" s="431"/>
      <c r="S14" s="431"/>
      <c r="T14" s="431"/>
      <c r="U14" s="431"/>
      <c r="V14" s="431"/>
      <c r="W14" s="431"/>
      <c r="X14" s="431"/>
      <c r="Y14" s="431"/>
      <c r="Z14" s="431"/>
      <c r="AA14" s="431"/>
      <c r="AB14" s="431"/>
      <c r="AC14" s="431"/>
      <c r="AD14" s="431"/>
      <c r="AE14" s="431"/>
      <c r="AF14" s="431"/>
      <c r="AG14" s="431"/>
      <c r="AH14" s="431"/>
      <c r="AI14" s="431"/>
      <c r="AJ14" s="431"/>
      <c r="AK14" s="431"/>
      <c r="AL14" s="431"/>
      <c r="AM14" s="431"/>
      <c r="AN14" s="431"/>
      <c r="AO14" s="431"/>
      <c r="AP14" s="431"/>
      <c r="AQ14" s="432"/>
      <c r="AR14" s="166"/>
      <c r="AY14" s="430"/>
    </row>
    <row r="15" spans="2:51" ht="15" customHeight="1" x14ac:dyDescent="0.2">
      <c r="B15" s="141"/>
      <c r="C15" s="431"/>
      <c r="D15" s="431"/>
      <c r="E15" s="431"/>
      <c r="F15" s="431"/>
      <c r="G15" s="431"/>
      <c r="H15" s="431"/>
      <c r="I15" s="431"/>
      <c r="J15" s="431"/>
      <c r="K15" s="431"/>
      <c r="L15" s="431"/>
      <c r="M15" s="431"/>
      <c r="N15" s="431"/>
      <c r="O15" s="431"/>
      <c r="P15" s="431"/>
      <c r="Q15" s="431"/>
      <c r="R15" s="431"/>
      <c r="S15" s="431"/>
      <c r="T15" s="431"/>
      <c r="U15" s="431"/>
      <c r="V15" s="431"/>
      <c r="W15" s="431"/>
      <c r="X15" s="431"/>
      <c r="Y15" s="431"/>
      <c r="Z15" s="431"/>
      <c r="AA15" s="431"/>
      <c r="AB15" s="431"/>
      <c r="AC15" s="431"/>
      <c r="AD15" s="431"/>
      <c r="AE15" s="431"/>
      <c r="AF15" s="431"/>
      <c r="AG15" s="431"/>
      <c r="AH15" s="431"/>
      <c r="AI15" s="431"/>
      <c r="AJ15" s="431"/>
      <c r="AK15" s="431"/>
      <c r="AL15" s="431"/>
      <c r="AM15" s="431"/>
      <c r="AN15" s="431"/>
      <c r="AO15" s="431"/>
      <c r="AP15" s="431"/>
      <c r="AQ15" s="432"/>
      <c r="AR15" s="166"/>
      <c r="AY15" s="430"/>
    </row>
    <row r="16" spans="2:51" ht="15" customHeight="1" x14ac:dyDescent="0.2">
      <c r="B16" s="141"/>
      <c r="C16" s="431"/>
      <c r="D16" s="431"/>
      <c r="E16" s="431"/>
      <c r="F16" s="431"/>
      <c r="G16" s="431"/>
      <c r="H16" s="431"/>
      <c r="I16" s="431"/>
      <c r="J16" s="431"/>
      <c r="K16" s="431"/>
      <c r="L16" s="431"/>
      <c r="M16" s="431"/>
      <c r="N16" s="431"/>
      <c r="O16" s="431"/>
      <c r="P16" s="431"/>
      <c r="Q16" s="431"/>
      <c r="R16" s="431"/>
      <c r="S16" s="431"/>
      <c r="T16" s="431"/>
      <c r="U16" s="431"/>
      <c r="V16" s="431"/>
      <c r="W16" s="431"/>
      <c r="X16" s="431"/>
      <c r="Y16" s="431"/>
      <c r="Z16" s="431"/>
      <c r="AA16" s="431"/>
      <c r="AB16" s="431"/>
      <c r="AC16" s="431"/>
      <c r="AD16" s="431"/>
      <c r="AE16" s="431"/>
      <c r="AF16" s="431"/>
      <c r="AG16" s="431"/>
      <c r="AH16" s="431"/>
      <c r="AI16" s="431"/>
      <c r="AJ16" s="431"/>
      <c r="AK16" s="431"/>
      <c r="AL16" s="431"/>
      <c r="AM16" s="431"/>
      <c r="AN16" s="431"/>
      <c r="AO16" s="431"/>
      <c r="AP16" s="431"/>
      <c r="AQ16" s="432"/>
      <c r="AR16" s="166"/>
      <c r="AY16" s="430"/>
    </row>
    <row r="17" spans="1:51" ht="15" customHeight="1" x14ac:dyDescent="0.2">
      <c r="B17" s="141"/>
      <c r="C17" s="431"/>
      <c r="D17" s="431"/>
      <c r="E17" s="431"/>
      <c r="F17" s="431"/>
      <c r="G17" s="431"/>
      <c r="H17" s="431"/>
      <c r="I17" s="431"/>
      <c r="J17" s="431"/>
      <c r="K17" s="431"/>
      <c r="L17" s="431"/>
      <c r="M17" s="431"/>
      <c r="N17" s="431"/>
      <c r="O17" s="431"/>
      <c r="P17" s="431"/>
      <c r="Q17" s="431"/>
      <c r="R17" s="431"/>
      <c r="S17" s="431"/>
      <c r="T17" s="431"/>
      <c r="U17" s="431"/>
      <c r="V17" s="431"/>
      <c r="W17" s="431"/>
      <c r="X17" s="431"/>
      <c r="Y17" s="431"/>
      <c r="Z17" s="431"/>
      <c r="AA17" s="431"/>
      <c r="AB17" s="431"/>
      <c r="AC17" s="431"/>
      <c r="AD17" s="431"/>
      <c r="AE17" s="431"/>
      <c r="AF17" s="431"/>
      <c r="AG17" s="431"/>
      <c r="AH17" s="431"/>
      <c r="AI17" s="431"/>
      <c r="AJ17" s="431"/>
      <c r="AK17" s="431"/>
      <c r="AL17" s="431"/>
      <c r="AM17" s="431"/>
      <c r="AN17" s="431"/>
      <c r="AO17" s="431"/>
      <c r="AP17" s="431"/>
      <c r="AQ17" s="432"/>
      <c r="AR17" s="166"/>
      <c r="AY17" s="430"/>
    </row>
    <row r="18" spans="1:51" ht="15" customHeight="1" x14ac:dyDescent="0.2">
      <c r="B18" s="141"/>
      <c r="C18" s="431"/>
      <c r="D18" s="431"/>
      <c r="E18" s="431"/>
      <c r="F18" s="431"/>
      <c r="G18" s="431"/>
      <c r="H18" s="431"/>
      <c r="I18" s="431"/>
      <c r="J18" s="431"/>
      <c r="K18" s="431"/>
      <c r="L18" s="431"/>
      <c r="M18" s="431"/>
      <c r="N18" s="431"/>
      <c r="O18" s="431"/>
      <c r="P18" s="431"/>
      <c r="Q18" s="431"/>
      <c r="R18" s="431"/>
      <c r="S18" s="431"/>
      <c r="T18" s="431"/>
      <c r="U18" s="431"/>
      <c r="V18" s="431"/>
      <c r="W18" s="431"/>
      <c r="X18" s="431"/>
      <c r="Y18" s="431"/>
      <c r="Z18" s="431"/>
      <c r="AA18" s="431"/>
      <c r="AB18" s="431"/>
      <c r="AC18" s="431"/>
      <c r="AD18" s="431"/>
      <c r="AE18" s="431"/>
      <c r="AF18" s="431"/>
      <c r="AG18" s="431"/>
      <c r="AH18" s="431"/>
      <c r="AI18" s="431"/>
      <c r="AJ18" s="431"/>
      <c r="AK18" s="431"/>
      <c r="AL18" s="431"/>
      <c r="AM18" s="431"/>
      <c r="AN18" s="431"/>
      <c r="AO18" s="431"/>
      <c r="AP18" s="431"/>
      <c r="AQ18" s="432"/>
      <c r="AR18" s="166"/>
      <c r="AY18" s="430"/>
    </row>
    <row r="19" spans="1:51" ht="15" customHeight="1" x14ac:dyDescent="0.2">
      <c r="B19" s="141"/>
      <c r="C19" s="431"/>
      <c r="D19" s="431"/>
      <c r="E19" s="431"/>
      <c r="F19" s="431"/>
      <c r="G19" s="431"/>
      <c r="H19" s="431"/>
      <c r="I19" s="431"/>
      <c r="J19" s="431"/>
      <c r="K19" s="431"/>
      <c r="L19" s="431"/>
      <c r="M19" s="431"/>
      <c r="N19" s="431"/>
      <c r="O19" s="431"/>
      <c r="P19" s="431"/>
      <c r="Q19" s="431"/>
      <c r="R19" s="431"/>
      <c r="S19" s="431"/>
      <c r="T19" s="431"/>
      <c r="U19" s="431"/>
      <c r="V19" s="431"/>
      <c r="W19" s="431"/>
      <c r="X19" s="431"/>
      <c r="Y19" s="431"/>
      <c r="Z19" s="431"/>
      <c r="AA19" s="431"/>
      <c r="AB19" s="431"/>
      <c r="AC19" s="431"/>
      <c r="AD19" s="431"/>
      <c r="AE19" s="431"/>
      <c r="AF19" s="431"/>
      <c r="AG19" s="431"/>
      <c r="AH19" s="431"/>
      <c r="AI19" s="431"/>
      <c r="AJ19" s="431"/>
      <c r="AK19" s="431"/>
      <c r="AL19" s="431"/>
      <c r="AM19" s="431"/>
      <c r="AN19" s="431"/>
      <c r="AO19" s="431"/>
      <c r="AP19" s="431"/>
      <c r="AQ19" s="432"/>
      <c r="AR19" s="166"/>
      <c r="AY19" s="430"/>
    </row>
    <row r="20" spans="1:51" ht="15" customHeight="1" x14ac:dyDescent="0.2">
      <c r="B20" s="141"/>
      <c r="C20" s="431"/>
      <c r="D20" s="431"/>
      <c r="E20" s="431"/>
      <c r="F20" s="431"/>
      <c r="G20" s="431"/>
      <c r="H20" s="431"/>
      <c r="I20" s="431"/>
      <c r="J20" s="431"/>
      <c r="K20" s="431"/>
      <c r="L20" s="431"/>
      <c r="M20" s="431"/>
      <c r="N20" s="431"/>
      <c r="O20" s="431"/>
      <c r="P20" s="431"/>
      <c r="Q20" s="431"/>
      <c r="R20" s="431"/>
      <c r="S20" s="431"/>
      <c r="T20" s="431"/>
      <c r="U20" s="431"/>
      <c r="V20" s="431"/>
      <c r="W20" s="431"/>
      <c r="X20" s="431"/>
      <c r="Y20" s="431"/>
      <c r="Z20" s="431"/>
      <c r="AA20" s="431"/>
      <c r="AB20" s="431"/>
      <c r="AC20" s="431"/>
      <c r="AD20" s="431"/>
      <c r="AE20" s="431"/>
      <c r="AF20" s="431"/>
      <c r="AG20" s="431"/>
      <c r="AH20" s="431"/>
      <c r="AI20" s="431"/>
      <c r="AJ20" s="431"/>
      <c r="AK20" s="431"/>
      <c r="AL20" s="431"/>
      <c r="AM20" s="431"/>
      <c r="AN20" s="431"/>
      <c r="AO20" s="431"/>
      <c r="AP20" s="431"/>
      <c r="AQ20" s="432"/>
      <c r="AR20" s="166"/>
      <c r="AY20" s="430"/>
    </row>
    <row r="21" spans="1:51" ht="15" customHeight="1" x14ac:dyDescent="0.2">
      <c r="A21" s="53"/>
      <c r="B21" s="141"/>
      <c r="C21" s="431"/>
      <c r="D21" s="431"/>
      <c r="E21" s="431"/>
      <c r="F21" s="431"/>
      <c r="G21" s="431"/>
      <c r="H21" s="431"/>
      <c r="I21" s="431"/>
      <c r="J21" s="431"/>
      <c r="K21" s="431"/>
      <c r="L21" s="431"/>
      <c r="M21" s="431"/>
      <c r="N21" s="431"/>
      <c r="O21" s="431"/>
      <c r="P21" s="431"/>
      <c r="Q21" s="431"/>
      <c r="R21" s="431"/>
      <c r="S21" s="431"/>
      <c r="T21" s="431"/>
      <c r="U21" s="431"/>
      <c r="V21" s="431"/>
      <c r="W21" s="431"/>
      <c r="X21" s="431"/>
      <c r="Y21" s="431"/>
      <c r="Z21" s="431"/>
      <c r="AA21" s="431"/>
      <c r="AB21" s="431"/>
      <c r="AC21" s="431"/>
      <c r="AD21" s="431"/>
      <c r="AE21" s="431"/>
      <c r="AF21" s="431"/>
      <c r="AG21" s="431"/>
      <c r="AH21" s="431"/>
      <c r="AI21" s="431"/>
      <c r="AJ21" s="431"/>
      <c r="AK21" s="431"/>
      <c r="AL21" s="431"/>
      <c r="AM21" s="431"/>
      <c r="AN21" s="431"/>
      <c r="AO21" s="431"/>
      <c r="AP21" s="431"/>
      <c r="AQ21" s="432"/>
      <c r="AR21" s="166"/>
      <c r="AY21" s="430"/>
    </row>
    <row r="22" spans="1:51" ht="15" customHeight="1" x14ac:dyDescent="0.2">
      <c r="A22" s="53"/>
      <c r="B22" s="173"/>
      <c r="C22" s="431"/>
      <c r="D22" s="431"/>
      <c r="E22" s="431"/>
      <c r="F22" s="431"/>
      <c r="G22" s="431"/>
      <c r="H22" s="431"/>
      <c r="I22" s="431"/>
      <c r="J22" s="431"/>
      <c r="K22" s="431"/>
      <c r="L22" s="431"/>
      <c r="M22" s="431"/>
      <c r="N22" s="431"/>
      <c r="O22" s="431"/>
      <c r="P22" s="431"/>
      <c r="Q22" s="431"/>
      <c r="R22" s="431"/>
      <c r="S22" s="431"/>
      <c r="T22" s="431"/>
      <c r="U22" s="431"/>
      <c r="V22" s="431"/>
      <c r="W22" s="431"/>
      <c r="X22" s="431"/>
      <c r="Y22" s="431"/>
      <c r="Z22" s="431"/>
      <c r="AA22" s="431"/>
      <c r="AB22" s="431"/>
      <c r="AC22" s="431"/>
      <c r="AD22" s="431"/>
      <c r="AE22" s="431"/>
      <c r="AF22" s="431"/>
      <c r="AG22" s="431"/>
      <c r="AH22" s="431"/>
      <c r="AI22" s="431"/>
      <c r="AJ22" s="431"/>
      <c r="AK22" s="431"/>
      <c r="AL22" s="431"/>
      <c r="AM22" s="431"/>
      <c r="AN22" s="431"/>
      <c r="AO22" s="431"/>
      <c r="AP22" s="431"/>
      <c r="AQ22" s="432"/>
      <c r="AR22" s="166"/>
      <c r="AY22" s="430"/>
    </row>
    <row r="23" spans="1:51" ht="15" customHeight="1" x14ac:dyDescent="0.2">
      <c r="A23" s="53"/>
      <c r="B23" s="173"/>
      <c r="C23" s="431"/>
      <c r="D23" s="431"/>
      <c r="E23" s="431"/>
      <c r="F23" s="431"/>
      <c r="G23" s="431"/>
      <c r="H23" s="431"/>
      <c r="I23" s="431"/>
      <c r="J23" s="431"/>
      <c r="K23" s="431"/>
      <c r="L23" s="431"/>
      <c r="M23" s="431"/>
      <c r="N23" s="431"/>
      <c r="O23" s="431"/>
      <c r="P23" s="431"/>
      <c r="Q23" s="431"/>
      <c r="R23" s="431"/>
      <c r="S23" s="431"/>
      <c r="T23" s="431"/>
      <c r="U23" s="431"/>
      <c r="V23" s="431"/>
      <c r="W23" s="431"/>
      <c r="X23" s="431"/>
      <c r="Y23" s="431"/>
      <c r="Z23" s="431"/>
      <c r="AA23" s="431"/>
      <c r="AB23" s="431"/>
      <c r="AC23" s="431"/>
      <c r="AD23" s="431"/>
      <c r="AE23" s="431"/>
      <c r="AF23" s="431"/>
      <c r="AG23" s="431"/>
      <c r="AH23" s="431"/>
      <c r="AI23" s="431"/>
      <c r="AJ23" s="431"/>
      <c r="AK23" s="431"/>
      <c r="AL23" s="431"/>
      <c r="AM23" s="431"/>
      <c r="AN23" s="431"/>
      <c r="AO23" s="431"/>
      <c r="AP23" s="431"/>
      <c r="AQ23" s="432"/>
      <c r="AR23" s="166"/>
      <c r="AY23" s="430"/>
    </row>
    <row r="24" spans="1:51" ht="15" customHeight="1" x14ac:dyDescent="0.2">
      <c r="B24" s="174"/>
      <c r="C24" s="431"/>
      <c r="D24" s="431"/>
      <c r="E24" s="431"/>
      <c r="F24" s="431"/>
      <c r="G24" s="431"/>
      <c r="H24" s="431"/>
      <c r="I24" s="431"/>
      <c r="J24" s="431"/>
      <c r="K24" s="431"/>
      <c r="L24" s="431"/>
      <c r="M24" s="431"/>
      <c r="N24" s="431"/>
      <c r="O24" s="431"/>
      <c r="P24" s="431"/>
      <c r="Q24" s="431"/>
      <c r="R24" s="431"/>
      <c r="S24" s="431"/>
      <c r="T24" s="431"/>
      <c r="U24" s="431"/>
      <c r="V24" s="431"/>
      <c r="W24" s="431"/>
      <c r="X24" s="431"/>
      <c r="Y24" s="431"/>
      <c r="Z24" s="431"/>
      <c r="AA24" s="431"/>
      <c r="AB24" s="431"/>
      <c r="AC24" s="431"/>
      <c r="AD24" s="431"/>
      <c r="AE24" s="431"/>
      <c r="AF24" s="431"/>
      <c r="AG24" s="431"/>
      <c r="AH24" s="431"/>
      <c r="AI24" s="431"/>
      <c r="AJ24" s="431"/>
      <c r="AK24" s="431"/>
      <c r="AL24" s="431"/>
      <c r="AM24" s="431"/>
      <c r="AN24" s="431"/>
      <c r="AO24" s="431"/>
      <c r="AP24" s="431"/>
      <c r="AQ24" s="432"/>
      <c r="AR24" s="166"/>
      <c r="AY24" s="430"/>
    </row>
    <row r="25" spans="1:51" ht="15" customHeight="1" x14ac:dyDescent="0.2">
      <c r="B25" s="174"/>
      <c r="C25" s="431"/>
      <c r="D25" s="431"/>
      <c r="E25" s="431"/>
      <c r="F25" s="431"/>
      <c r="G25" s="431"/>
      <c r="H25" s="431"/>
      <c r="I25" s="431"/>
      <c r="J25" s="431"/>
      <c r="K25" s="431"/>
      <c r="L25" s="431"/>
      <c r="M25" s="431"/>
      <c r="N25" s="431"/>
      <c r="O25" s="431"/>
      <c r="P25" s="431"/>
      <c r="Q25" s="431"/>
      <c r="R25" s="431"/>
      <c r="S25" s="431"/>
      <c r="T25" s="431"/>
      <c r="U25" s="431"/>
      <c r="V25" s="431"/>
      <c r="W25" s="431"/>
      <c r="X25" s="431"/>
      <c r="Y25" s="431"/>
      <c r="Z25" s="431"/>
      <c r="AA25" s="431"/>
      <c r="AB25" s="431"/>
      <c r="AC25" s="431"/>
      <c r="AD25" s="431"/>
      <c r="AE25" s="431"/>
      <c r="AF25" s="431"/>
      <c r="AG25" s="431"/>
      <c r="AH25" s="431"/>
      <c r="AI25" s="431"/>
      <c r="AJ25" s="431"/>
      <c r="AK25" s="431"/>
      <c r="AL25" s="431"/>
      <c r="AM25" s="431"/>
      <c r="AN25" s="431"/>
      <c r="AO25" s="431"/>
      <c r="AP25" s="431"/>
      <c r="AQ25" s="432"/>
      <c r="AR25" s="166"/>
      <c r="AY25" s="430"/>
    </row>
    <row r="26" spans="1:51" ht="15" customHeight="1" x14ac:dyDescent="0.2">
      <c r="B26" s="175"/>
      <c r="C26" s="431"/>
      <c r="D26" s="431"/>
      <c r="E26" s="431"/>
      <c r="F26" s="431"/>
      <c r="G26" s="431"/>
      <c r="H26" s="431"/>
      <c r="I26" s="431"/>
      <c r="J26" s="431"/>
      <c r="K26" s="431"/>
      <c r="L26" s="431"/>
      <c r="M26" s="431"/>
      <c r="N26" s="431"/>
      <c r="O26" s="431"/>
      <c r="P26" s="431"/>
      <c r="Q26" s="431"/>
      <c r="R26" s="431"/>
      <c r="S26" s="431"/>
      <c r="T26" s="431"/>
      <c r="U26" s="431"/>
      <c r="V26" s="431"/>
      <c r="W26" s="431"/>
      <c r="X26" s="431"/>
      <c r="Y26" s="431"/>
      <c r="Z26" s="431"/>
      <c r="AA26" s="431"/>
      <c r="AB26" s="431"/>
      <c r="AC26" s="431"/>
      <c r="AD26" s="431"/>
      <c r="AE26" s="431"/>
      <c r="AF26" s="431"/>
      <c r="AG26" s="431"/>
      <c r="AH26" s="431"/>
      <c r="AI26" s="431"/>
      <c r="AJ26" s="431"/>
      <c r="AK26" s="431"/>
      <c r="AL26" s="431"/>
      <c r="AM26" s="431"/>
      <c r="AN26" s="431"/>
      <c r="AO26" s="431"/>
      <c r="AP26" s="431"/>
      <c r="AQ26" s="432"/>
      <c r="AR26" s="166"/>
      <c r="AY26" s="430"/>
    </row>
    <row r="27" spans="1:51" ht="15" customHeight="1" x14ac:dyDescent="0.2">
      <c r="B27" s="175"/>
      <c r="C27" s="431"/>
      <c r="D27" s="431"/>
      <c r="E27" s="431"/>
      <c r="F27" s="431"/>
      <c r="G27" s="431"/>
      <c r="H27" s="431"/>
      <c r="I27" s="431"/>
      <c r="J27" s="431"/>
      <c r="K27" s="431"/>
      <c r="L27" s="431"/>
      <c r="M27" s="431"/>
      <c r="N27" s="431"/>
      <c r="O27" s="431"/>
      <c r="P27" s="431"/>
      <c r="Q27" s="431"/>
      <c r="R27" s="431"/>
      <c r="S27" s="431"/>
      <c r="T27" s="431"/>
      <c r="U27" s="431"/>
      <c r="V27" s="431"/>
      <c r="W27" s="431"/>
      <c r="X27" s="431"/>
      <c r="Y27" s="431"/>
      <c r="Z27" s="431"/>
      <c r="AA27" s="431"/>
      <c r="AB27" s="431"/>
      <c r="AC27" s="431"/>
      <c r="AD27" s="431"/>
      <c r="AE27" s="431"/>
      <c r="AF27" s="431"/>
      <c r="AG27" s="431"/>
      <c r="AH27" s="431"/>
      <c r="AI27" s="431"/>
      <c r="AJ27" s="431"/>
      <c r="AK27" s="431"/>
      <c r="AL27" s="431"/>
      <c r="AM27" s="431"/>
      <c r="AN27" s="431"/>
      <c r="AO27" s="431"/>
      <c r="AP27" s="431"/>
      <c r="AQ27" s="432"/>
      <c r="AR27" s="166"/>
      <c r="AY27" s="171"/>
    </row>
    <row r="28" spans="1:51" ht="15" customHeight="1" x14ac:dyDescent="0.2">
      <c r="B28" s="175"/>
      <c r="C28" s="431"/>
      <c r="D28" s="431"/>
      <c r="E28" s="431"/>
      <c r="F28" s="431"/>
      <c r="G28" s="431"/>
      <c r="H28" s="431"/>
      <c r="I28" s="431"/>
      <c r="J28" s="431"/>
      <c r="K28" s="431"/>
      <c r="L28" s="431"/>
      <c r="M28" s="431"/>
      <c r="N28" s="431"/>
      <c r="O28" s="431"/>
      <c r="P28" s="431"/>
      <c r="Q28" s="431"/>
      <c r="R28" s="431"/>
      <c r="S28" s="431"/>
      <c r="T28" s="431"/>
      <c r="U28" s="431"/>
      <c r="V28" s="431"/>
      <c r="W28" s="431"/>
      <c r="X28" s="431"/>
      <c r="Y28" s="431"/>
      <c r="Z28" s="431"/>
      <c r="AA28" s="431"/>
      <c r="AB28" s="431"/>
      <c r="AC28" s="431"/>
      <c r="AD28" s="431"/>
      <c r="AE28" s="431"/>
      <c r="AF28" s="431"/>
      <c r="AG28" s="431"/>
      <c r="AH28" s="431"/>
      <c r="AI28" s="431"/>
      <c r="AJ28" s="431"/>
      <c r="AK28" s="431"/>
      <c r="AL28" s="431"/>
      <c r="AM28" s="431"/>
      <c r="AN28" s="431"/>
      <c r="AO28" s="431"/>
      <c r="AP28" s="431"/>
      <c r="AQ28" s="432"/>
      <c r="AR28" s="166"/>
      <c r="AY28" s="171"/>
    </row>
    <row r="29" spans="1:51" ht="15" customHeight="1" x14ac:dyDescent="0.2">
      <c r="B29" s="141"/>
      <c r="C29" s="431"/>
      <c r="D29" s="431"/>
      <c r="E29" s="431"/>
      <c r="F29" s="431"/>
      <c r="G29" s="431"/>
      <c r="H29" s="431"/>
      <c r="I29" s="431"/>
      <c r="J29" s="431"/>
      <c r="K29" s="431"/>
      <c r="L29" s="431"/>
      <c r="M29" s="431"/>
      <c r="N29" s="431"/>
      <c r="O29" s="431"/>
      <c r="P29" s="431"/>
      <c r="Q29" s="431"/>
      <c r="R29" s="431"/>
      <c r="S29" s="431"/>
      <c r="T29" s="431"/>
      <c r="U29" s="431"/>
      <c r="V29" s="431"/>
      <c r="W29" s="431"/>
      <c r="X29" s="431"/>
      <c r="Y29" s="431"/>
      <c r="Z29" s="431"/>
      <c r="AA29" s="431"/>
      <c r="AB29" s="431"/>
      <c r="AC29" s="431"/>
      <c r="AD29" s="431"/>
      <c r="AE29" s="431"/>
      <c r="AF29" s="431"/>
      <c r="AG29" s="431"/>
      <c r="AH29" s="431"/>
      <c r="AI29" s="431"/>
      <c r="AJ29" s="431"/>
      <c r="AK29" s="431"/>
      <c r="AL29" s="431"/>
      <c r="AM29" s="431"/>
      <c r="AN29" s="431"/>
      <c r="AO29" s="431"/>
      <c r="AP29" s="431"/>
      <c r="AQ29" s="432"/>
      <c r="AR29" s="166"/>
    </row>
    <row r="30" spans="1:51" ht="15" customHeight="1" x14ac:dyDescent="0.2">
      <c r="B30" s="141"/>
      <c r="C30" s="431"/>
      <c r="D30" s="431"/>
      <c r="E30" s="431"/>
      <c r="F30" s="431"/>
      <c r="G30" s="431"/>
      <c r="H30" s="431"/>
      <c r="I30" s="431"/>
      <c r="J30" s="431"/>
      <c r="K30" s="431"/>
      <c r="L30" s="431"/>
      <c r="M30" s="431"/>
      <c r="N30" s="431"/>
      <c r="O30" s="431"/>
      <c r="P30" s="431"/>
      <c r="Q30" s="431"/>
      <c r="R30" s="431"/>
      <c r="S30" s="431"/>
      <c r="T30" s="431"/>
      <c r="U30" s="431"/>
      <c r="V30" s="431"/>
      <c r="W30" s="431"/>
      <c r="X30" s="431"/>
      <c r="Y30" s="431"/>
      <c r="Z30" s="431"/>
      <c r="AA30" s="431"/>
      <c r="AB30" s="431"/>
      <c r="AC30" s="431"/>
      <c r="AD30" s="431"/>
      <c r="AE30" s="431"/>
      <c r="AF30" s="431"/>
      <c r="AG30" s="431"/>
      <c r="AH30" s="431"/>
      <c r="AI30" s="431"/>
      <c r="AJ30" s="431"/>
      <c r="AK30" s="431"/>
      <c r="AL30" s="431"/>
      <c r="AM30" s="431"/>
      <c r="AN30" s="431"/>
      <c r="AO30" s="431"/>
      <c r="AP30" s="431"/>
      <c r="AQ30" s="432"/>
      <c r="AR30" s="166"/>
    </row>
    <row r="31" spans="1:51" ht="15" customHeight="1" x14ac:dyDescent="0.2">
      <c r="B31" s="141"/>
      <c r="C31" s="431"/>
      <c r="D31" s="431"/>
      <c r="E31" s="431"/>
      <c r="F31" s="431"/>
      <c r="G31" s="431"/>
      <c r="H31" s="431"/>
      <c r="I31" s="431"/>
      <c r="J31" s="431"/>
      <c r="K31" s="431"/>
      <c r="L31" s="431"/>
      <c r="M31" s="431"/>
      <c r="N31" s="431"/>
      <c r="O31" s="431"/>
      <c r="P31" s="431"/>
      <c r="Q31" s="431"/>
      <c r="R31" s="431"/>
      <c r="S31" s="431"/>
      <c r="T31" s="431"/>
      <c r="U31" s="431"/>
      <c r="V31" s="431"/>
      <c r="W31" s="431"/>
      <c r="X31" s="431"/>
      <c r="Y31" s="431"/>
      <c r="Z31" s="431"/>
      <c r="AA31" s="431"/>
      <c r="AB31" s="431"/>
      <c r="AC31" s="431"/>
      <c r="AD31" s="431"/>
      <c r="AE31" s="431"/>
      <c r="AF31" s="431"/>
      <c r="AG31" s="431"/>
      <c r="AH31" s="431"/>
      <c r="AI31" s="431"/>
      <c r="AJ31" s="431"/>
      <c r="AK31" s="431"/>
      <c r="AL31" s="431"/>
      <c r="AM31" s="431"/>
      <c r="AN31" s="431"/>
      <c r="AO31" s="431"/>
      <c r="AP31" s="431"/>
      <c r="AQ31" s="432"/>
      <c r="AR31" s="166"/>
    </row>
    <row r="32" spans="1:51" ht="15" customHeight="1" x14ac:dyDescent="0.2">
      <c r="B32" s="141"/>
      <c r="C32" s="431"/>
      <c r="D32" s="431"/>
      <c r="E32" s="431"/>
      <c r="F32" s="431"/>
      <c r="G32" s="431"/>
      <c r="H32" s="431"/>
      <c r="I32" s="431"/>
      <c r="J32" s="431"/>
      <c r="K32" s="431"/>
      <c r="L32" s="431"/>
      <c r="M32" s="431"/>
      <c r="N32" s="431"/>
      <c r="O32" s="431"/>
      <c r="P32" s="431"/>
      <c r="Q32" s="431"/>
      <c r="R32" s="431"/>
      <c r="S32" s="431"/>
      <c r="T32" s="431"/>
      <c r="U32" s="431"/>
      <c r="V32" s="431"/>
      <c r="W32" s="431"/>
      <c r="X32" s="431"/>
      <c r="Y32" s="431"/>
      <c r="Z32" s="431"/>
      <c r="AA32" s="431"/>
      <c r="AB32" s="431"/>
      <c r="AC32" s="431"/>
      <c r="AD32" s="431"/>
      <c r="AE32" s="431"/>
      <c r="AF32" s="431"/>
      <c r="AG32" s="431"/>
      <c r="AH32" s="431"/>
      <c r="AI32" s="431"/>
      <c r="AJ32" s="431"/>
      <c r="AK32" s="431"/>
      <c r="AL32" s="431"/>
      <c r="AM32" s="431"/>
      <c r="AN32" s="431"/>
      <c r="AO32" s="431"/>
      <c r="AP32" s="431"/>
      <c r="AQ32" s="432"/>
      <c r="AR32" s="166"/>
    </row>
    <row r="33" spans="2:63" ht="15" customHeight="1" x14ac:dyDescent="0.2">
      <c r="B33" s="141"/>
      <c r="C33" s="431"/>
      <c r="D33" s="431"/>
      <c r="E33" s="431"/>
      <c r="F33" s="431"/>
      <c r="G33" s="431"/>
      <c r="H33" s="431"/>
      <c r="I33" s="431"/>
      <c r="J33" s="431"/>
      <c r="K33" s="431"/>
      <c r="L33" s="431"/>
      <c r="M33" s="431"/>
      <c r="N33" s="431"/>
      <c r="O33" s="431"/>
      <c r="P33" s="431"/>
      <c r="Q33" s="431"/>
      <c r="R33" s="431"/>
      <c r="S33" s="431"/>
      <c r="T33" s="431"/>
      <c r="U33" s="431"/>
      <c r="V33" s="431"/>
      <c r="W33" s="431"/>
      <c r="X33" s="431"/>
      <c r="Y33" s="431"/>
      <c r="Z33" s="431"/>
      <c r="AA33" s="431"/>
      <c r="AB33" s="431"/>
      <c r="AC33" s="431"/>
      <c r="AD33" s="431"/>
      <c r="AE33" s="431"/>
      <c r="AF33" s="431"/>
      <c r="AG33" s="431"/>
      <c r="AH33" s="431"/>
      <c r="AI33" s="431"/>
      <c r="AJ33" s="431"/>
      <c r="AK33" s="431"/>
      <c r="AL33" s="431"/>
      <c r="AM33" s="431"/>
      <c r="AN33" s="431"/>
      <c r="AO33" s="431"/>
      <c r="AP33" s="431"/>
      <c r="AQ33" s="432"/>
      <c r="AR33" s="166"/>
      <c r="BK33" s="60"/>
    </row>
    <row r="34" spans="2:63" ht="15" customHeight="1" thickBot="1" x14ac:dyDescent="0.25">
      <c r="B34" s="141"/>
      <c r="C34" s="433"/>
      <c r="D34" s="433"/>
      <c r="E34" s="433"/>
      <c r="F34" s="433"/>
      <c r="G34" s="433"/>
      <c r="H34" s="433"/>
      <c r="I34" s="433"/>
      <c r="J34" s="433"/>
      <c r="K34" s="433"/>
      <c r="L34" s="433"/>
      <c r="M34" s="433"/>
      <c r="N34" s="433"/>
      <c r="O34" s="433"/>
      <c r="P34" s="433"/>
      <c r="Q34" s="433"/>
      <c r="R34" s="433"/>
      <c r="S34" s="433"/>
      <c r="T34" s="433"/>
      <c r="U34" s="433"/>
      <c r="V34" s="433"/>
      <c r="W34" s="433"/>
      <c r="X34" s="433"/>
      <c r="Y34" s="433"/>
      <c r="Z34" s="433"/>
      <c r="AA34" s="433"/>
      <c r="AB34" s="433"/>
      <c r="AC34" s="433"/>
      <c r="AD34" s="433"/>
      <c r="AE34" s="433"/>
      <c r="AF34" s="433"/>
      <c r="AG34" s="433"/>
      <c r="AH34" s="433"/>
      <c r="AI34" s="433"/>
      <c r="AJ34" s="433"/>
      <c r="AK34" s="433"/>
      <c r="AL34" s="433"/>
      <c r="AM34" s="433"/>
      <c r="AN34" s="433"/>
      <c r="AO34" s="433"/>
      <c r="AP34" s="433"/>
      <c r="AQ34" s="434"/>
      <c r="AR34" s="166"/>
      <c r="BK34" s="60"/>
    </row>
    <row r="35" spans="2:63" ht="15" customHeight="1" x14ac:dyDescent="0.2">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66"/>
    </row>
    <row r="36" spans="2:63" ht="15" customHeight="1" x14ac:dyDescent="0.2">
      <c r="B36" s="141"/>
      <c r="C36" s="172"/>
      <c r="D36" s="141"/>
      <c r="E36" s="141"/>
      <c r="F36" s="141"/>
      <c r="G36" s="141"/>
      <c r="H36" s="141"/>
      <c r="I36" s="141"/>
      <c r="J36" s="141"/>
      <c r="K36" s="141"/>
      <c r="L36" s="141"/>
      <c r="M36" s="141"/>
      <c r="N36" s="141"/>
      <c r="O36" s="141"/>
      <c r="P36" s="436" t="s">
        <v>334</v>
      </c>
      <c r="Q36" s="436"/>
      <c r="R36" s="436"/>
      <c r="S36" s="436"/>
      <c r="T36" s="436"/>
      <c r="U36" s="436"/>
      <c r="V36" s="436"/>
      <c r="W36" s="436"/>
      <c r="X36" s="436"/>
      <c r="Y36" s="436"/>
      <c r="Z36" s="436"/>
      <c r="AA36" s="436"/>
      <c r="AB36" s="141"/>
      <c r="AC36" s="141"/>
      <c r="AD36" s="141"/>
      <c r="AE36" s="141"/>
      <c r="AF36" s="141"/>
      <c r="AG36" s="141"/>
      <c r="AH36" s="141"/>
      <c r="AI36" s="141"/>
      <c r="AJ36" s="141"/>
      <c r="AK36" s="141"/>
      <c r="AL36" s="141"/>
      <c r="AM36" s="141"/>
      <c r="AN36" s="141"/>
      <c r="AO36" s="141"/>
      <c r="AP36" s="141"/>
      <c r="AQ36" s="141"/>
      <c r="AR36" s="166"/>
    </row>
    <row r="37" spans="2:63" ht="15" customHeight="1" x14ac:dyDescent="0.2">
      <c r="B37" s="141"/>
      <c r="C37" s="141"/>
      <c r="D37" s="141"/>
      <c r="E37" s="141"/>
      <c r="F37" s="141"/>
      <c r="G37" s="141"/>
      <c r="H37" s="141"/>
      <c r="I37" s="141"/>
      <c r="J37" s="141"/>
      <c r="K37" s="141"/>
      <c r="L37" s="141"/>
      <c r="M37" s="141"/>
      <c r="N37" s="141"/>
      <c r="O37" s="141"/>
      <c r="P37" s="436"/>
      <c r="Q37" s="436"/>
      <c r="R37" s="436"/>
      <c r="S37" s="436"/>
      <c r="T37" s="436"/>
      <c r="U37" s="436"/>
      <c r="V37" s="436"/>
      <c r="W37" s="436"/>
      <c r="X37" s="436"/>
      <c r="Y37" s="436"/>
      <c r="Z37" s="436"/>
      <c r="AA37" s="436"/>
      <c r="AB37" s="141"/>
      <c r="AC37" s="141"/>
      <c r="AD37" s="141"/>
      <c r="AE37" s="141"/>
      <c r="AF37" s="141"/>
      <c r="AG37" s="141"/>
      <c r="AH37" s="141"/>
      <c r="AI37" s="141"/>
      <c r="AJ37" s="141"/>
      <c r="AK37" s="141"/>
      <c r="AL37" s="141"/>
      <c r="AM37" s="141"/>
      <c r="AN37" s="141"/>
      <c r="AO37" s="141"/>
      <c r="AP37" s="141"/>
      <c r="AQ37" s="141"/>
      <c r="AR37" s="166"/>
    </row>
    <row r="38" spans="2:63" ht="15" customHeight="1" x14ac:dyDescent="0.2">
      <c r="B38" s="141"/>
      <c r="C38" s="141"/>
      <c r="D38" s="141"/>
      <c r="E38" s="141"/>
      <c r="F38" s="141"/>
      <c r="G38" s="141"/>
      <c r="H38" s="141"/>
      <c r="I38" s="141"/>
      <c r="J38" s="141"/>
      <c r="K38" s="141"/>
      <c r="L38" s="141"/>
      <c r="M38" s="141"/>
      <c r="N38" s="141"/>
      <c r="O38" s="141"/>
      <c r="P38" s="436"/>
      <c r="Q38" s="436"/>
      <c r="R38" s="436"/>
      <c r="S38" s="436"/>
      <c r="T38" s="436"/>
      <c r="U38" s="436"/>
      <c r="V38" s="436"/>
      <c r="W38" s="436"/>
      <c r="X38" s="436"/>
      <c r="Y38" s="436"/>
      <c r="Z38" s="436"/>
      <c r="AA38" s="436"/>
      <c r="AB38" s="141"/>
      <c r="AC38" s="141"/>
      <c r="AD38" s="141"/>
      <c r="AE38" s="141"/>
      <c r="AF38" s="141"/>
      <c r="AG38" s="141"/>
      <c r="AH38" s="141"/>
      <c r="AI38" s="141"/>
      <c r="AJ38" s="141"/>
      <c r="AK38" s="141"/>
      <c r="AL38" s="141"/>
      <c r="AM38" s="141"/>
      <c r="AN38" s="141"/>
      <c r="AO38" s="141"/>
      <c r="AP38" s="141"/>
      <c r="AQ38" s="141"/>
      <c r="AR38" s="166"/>
    </row>
    <row r="39" spans="2:63" ht="15" customHeight="1" thickTop="1" x14ac:dyDescent="0.2">
      <c r="B39" s="165"/>
      <c r="C39" s="165"/>
      <c r="D39" s="176"/>
      <c r="E39" s="176"/>
      <c r="F39" s="176"/>
      <c r="G39" s="176"/>
      <c r="H39" s="176"/>
      <c r="I39" s="176"/>
      <c r="J39" s="176"/>
      <c r="K39" s="176"/>
      <c r="L39" s="176"/>
      <c r="M39" s="176"/>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8"/>
      <c r="AO39" s="178"/>
      <c r="AP39" s="178"/>
      <c r="AQ39" s="178"/>
      <c r="AR39" s="167"/>
    </row>
  </sheetData>
  <mergeCells count="4">
    <mergeCell ref="AY6:AY26"/>
    <mergeCell ref="C8:AQ34"/>
    <mergeCell ref="C3:AQ4"/>
    <mergeCell ref="P36:AA38"/>
  </mergeCells>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A1:AP69"/>
  <sheetViews>
    <sheetView showGridLines="0" zoomScaleNormal="100" workbookViewId="0"/>
  </sheetViews>
  <sheetFormatPr baseColWidth="10" defaultColWidth="3.33203125" defaultRowHeight="18" customHeight="1" x14ac:dyDescent="0.2"/>
  <cols>
    <col min="1" max="4" width="3.33203125" style="186" customWidth="1"/>
    <col min="5" max="8" width="3.33203125" style="186"/>
    <col min="9" max="9" width="3.33203125" style="186" customWidth="1"/>
    <col min="10" max="10" width="29.5" style="206" customWidth="1"/>
    <col min="11" max="20" width="3.33203125" style="186"/>
    <col min="21" max="21" width="12.5" style="186" customWidth="1"/>
    <col min="22" max="22" width="28.83203125" style="206" customWidth="1"/>
    <col min="23" max="16384" width="3.33203125" style="186"/>
  </cols>
  <sheetData>
    <row r="1" spans="2:42" s="182" customFormat="1" ht="18" customHeight="1" x14ac:dyDescent="0.2">
      <c r="J1" s="202"/>
      <c r="V1" s="202"/>
    </row>
    <row r="2" spans="2:42" s="184" customFormat="1" ht="7.5" customHeight="1" x14ac:dyDescent="0.2">
      <c r="B2" s="183"/>
      <c r="C2" s="183"/>
      <c r="D2" s="183"/>
      <c r="E2" s="183"/>
      <c r="F2" s="183"/>
      <c r="G2" s="183"/>
      <c r="H2" s="183"/>
      <c r="I2" s="183"/>
      <c r="J2" s="203"/>
      <c r="K2" s="183"/>
      <c r="L2" s="183"/>
      <c r="M2" s="183"/>
      <c r="N2" s="183"/>
      <c r="O2" s="183"/>
      <c r="P2" s="183"/>
      <c r="Q2" s="183"/>
      <c r="R2" s="183"/>
      <c r="S2" s="183"/>
      <c r="T2" s="183"/>
      <c r="U2" s="183"/>
      <c r="V2" s="203"/>
      <c r="W2" s="183"/>
      <c r="X2" s="183"/>
      <c r="Y2" s="183"/>
      <c r="Z2" s="183"/>
      <c r="AA2" s="183"/>
      <c r="AB2" s="183"/>
      <c r="AC2" s="183"/>
      <c r="AD2" s="213"/>
    </row>
    <row r="3" spans="2:42" ht="18" customHeight="1" x14ac:dyDescent="0.2">
      <c r="B3" s="185"/>
      <c r="C3" s="438" t="s">
        <v>233</v>
      </c>
      <c r="D3" s="438"/>
      <c r="E3" s="438"/>
      <c r="F3" s="438"/>
      <c r="G3" s="438"/>
      <c r="H3" s="438"/>
      <c r="I3" s="438"/>
      <c r="J3" s="438"/>
      <c r="K3" s="438"/>
      <c r="L3" s="438"/>
      <c r="M3" s="438"/>
      <c r="N3" s="438"/>
      <c r="O3" s="438"/>
      <c r="P3" s="438"/>
      <c r="Q3" s="438"/>
      <c r="R3" s="438"/>
      <c r="S3" s="438"/>
      <c r="T3" s="438"/>
      <c r="U3" s="438"/>
      <c r="V3" s="438"/>
      <c r="W3" s="438"/>
      <c r="X3" s="438"/>
      <c r="Y3" s="438"/>
      <c r="Z3" s="438"/>
      <c r="AA3" s="438"/>
      <c r="AB3" s="438"/>
      <c r="AC3" s="438"/>
      <c r="AD3" s="214"/>
      <c r="AE3" s="190"/>
      <c r="AF3" s="190"/>
      <c r="AG3" s="190"/>
      <c r="AH3" s="190"/>
      <c r="AI3" s="190"/>
      <c r="AJ3" s="190"/>
      <c r="AK3" s="190"/>
      <c r="AL3" s="190"/>
      <c r="AM3" s="190"/>
      <c r="AN3" s="190"/>
      <c r="AO3" s="190"/>
      <c r="AP3" s="190"/>
    </row>
    <row r="4" spans="2:42" ht="18" customHeight="1" x14ac:dyDescent="0.2">
      <c r="B4" s="181"/>
      <c r="C4" s="438"/>
      <c r="D4" s="438"/>
      <c r="E4" s="438"/>
      <c r="F4" s="438"/>
      <c r="G4" s="438"/>
      <c r="H4" s="438"/>
      <c r="I4" s="438"/>
      <c r="J4" s="438"/>
      <c r="K4" s="438"/>
      <c r="L4" s="438"/>
      <c r="M4" s="438"/>
      <c r="N4" s="438"/>
      <c r="O4" s="438"/>
      <c r="P4" s="438"/>
      <c r="Q4" s="438"/>
      <c r="R4" s="438"/>
      <c r="S4" s="438"/>
      <c r="T4" s="438"/>
      <c r="U4" s="438"/>
      <c r="V4" s="438"/>
      <c r="W4" s="438"/>
      <c r="X4" s="438"/>
      <c r="Y4" s="438"/>
      <c r="Z4" s="438"/>
      <c r="AA4" s="438"/>
      <c r="AB4" s="438"/>
      <c r="AC4" s="438"/>
      <c r="AD4" s="214"/>
      <c r="AE4" s="190"/>
      <c r="AF4" s="190"/>
      <c r="AG4" s="190"/>
      <c r="AH4" s="190"/>
      <c r="AI4" s="190"/>
      <c r="AJ4" s="190"/>
      <c r="AK4" s="190"/>
      <c r="AL4" s="190"/>
      <c r="AM4" s="190"/>
      <c r="AN4" s="190"/>
      <c r="AO4" s="190"/>
      <c r="AP4" s="190"/>
    </row>
    <row r="5" spans="2:42" ht="7.5" customHeight="1" x14ac:dyDescent="0.2">
      <c r="B5" s="187"/>
      <c r="C5" s="188"/>
      <c r="D5" s="188"/>
      <c r="E5" s="188"/>
      <c r="F5" s="188"/>
      <c r="G5" s="188"/>
      <c r="H5" s="188"/>
      <c r="I5" s="188"/>
      <c r="J5" s="195"/>
      <c r="K5" s="188"/>
      <c r="L5" s="188"/>
      <c r="M5" s="188"/>
      <c r="N5" s="188"/>
      <c r="O5" s="188"/>
      <c r="P5" s="188"/>
      <c r="Q5" s="188"/>
      <c r="R5" s="188"/>
      <c r="S5" s="188"/>
      <c r="T5" s="188"/>
      <c r="U5" s="188"/>
      <c r="V5" s="195"/>
      <c r="W5" s="188"/>
      <c r="X5" s="188"/>
      <c r="Y5" s="188"/>
      <c r="Z5" s="188"/>
      <c r="AA5" s="188"/>
      <c r="AB5" s="188"/>
      <c r="AC5" s="197"/>
      <c r="AD5" s="215"/>
    </row>
    <row r="6" spans="2:42" ht="18" customHeight="1" x14ac:dyDescent="0.2">
      <c r="B6" s="187"/>
      <c r="C6" s="191" t="s">
        <v>236</v>
      </c>
      <c r="D6" s="188"/>
      <c r="E6" s="188"/>
      <c r="F6" s="188"/>
      <c r="G6" s="188"/>
      <c r="H6" s="188"/>
      <c r="I6" s="188"/>
      <c r="J6" s="195"/>
      <c r="K6" s="188"/>
      <c r="L6" s="188"/>
      <c r="M6" s="188"/>
      <c r="N6" s="188"/>
      <c r="O6" s="188"/>
      <c r="P6" s="188"/>
      <c r="Q6" s="188"/>
      <c r="R6" s="188"/>
      <c r="S6" s="188"/>
      <c r="T6" s="188"/>
      <c r="U6" s="188"/>
      <c r="V6" s="195"/>
      <c r="W6" s="188"/>
      <c r="X6" s="188"/>
      <c r="Y6" s="188"/>
      <c r="Z6" s="188"/>
      <c r="AA6" s="188"/>
      <c r="AB6" s="188"/>
      <c r="AC6" s="197"/>
      <c r="AD6" s="215"/>
    </row>
    <row r="7" spans="2:42" ht="18" customHeight="1" x14ac:dyDescent="0.2">
      <c r="B7" s="187"/>
      <c r="C7" s="192"/>
      <c r="D7" s="431" t="s">
        <v>553</v>
      </c>
      <c r="E7" s="431"/>
      <c r="F7" s="431"/>
      <c r="G7" s="431"/>
      <c r="H7" s="431"/>
      <c r="I7" s="431"/>
      <c r="J7" s="431"/>
      <c r="K7" s="431"/>
      <c r="L7" s="431"/>
      <c r="M7" s="431"/>
      <c r="N7" s="431"/>
      <c r="O7" s="431"/>
      <c r="P7" s="431"/>
      <c r="Q7" s="431"/>
      <c r="R7" s="431"/>
      <c r="S7" s="431"/>
      <c r="T7" s="431"/>
      <c r="U7" s="431"/>
      <c r="V7" s="431"/>
      <c r="W7" s="431"/>
      <c r="X7" s="431"/>
      <c r="Y7" s="431"/>
      <c r="Z7" s="431"/>
      <c r="AA7" s="431"/>
      <c r="AB7" s="431"/>
      <c r="AC7" s="197"/>
      <c r="AD7" s="215"/>
    </row>
    <row r="8" spans="2:42" ht="18" customHeight="1" x14ac:dyDescent="0.2">
      <c r="B8" s="187"/>
      <c r="C8" s="192"/>
      <c r="D8" s="431"/>
      <c r="E8" s="431"/>
      <c r="F8" s="431"/>
      <c r="G8" s="431"/>
      <c r="H8" s="431"/>
      <c r="I8" s="431"/>
      <c r="J8" s="431"/>
      <c r="K8" s="431"/>
      <c r="L8" s="431"/>
      <c r="M8" s="431"/>
      <c r="N8" s="431"/>
      <c r="O8" s="431"/>
      <c r="P8" s="431"/>
      <c r="Q8" s="431"/>
      <c r="R8" s="431"/>
      <c r="S8" s="431"/>
      <c r="T8" s="431"/>
      <c r="U8" s="431"/>
      <c r="V8" s="431"/>
      <c r="W8" s="431"/>
      <c r="X8" s="431"/>
      <c r="Y8" s="431"/>
      <c r="Z8" s="431"/>
      <c r="AA8" s="431"/>
      <c r="AB8" s="431"/>
      <c r="AC8" s="197"/>
      <c r="AD8" s="215"/>
    </row>
    <row r="9" spans="2:42" ht="18" customHeight="1" x14ac:dyDescent="0.2">
      <c r="B9" s="187"/>
      <c r="C9" s="188"/>
      <c r="D9" s="431"/>
      <c r="E9" s="431"/>
      <c r="F9" s="431"/>
      <c r="G9" s="431"/>
      <c r="H9" s="431"/>
      <c r="I9" s="431"/>
      <c r="J9" s="431"/>
      <c r="K9" s="431"/>
      <c r="L9" s="431"/>
      <c r="M9" s="431"/>
      <c r="N9" s="431"/>
      <c r="O9" s="431"/>
      <c r="P9" s="431"/>
      <c r="Q9" s="431"/>
      <c r="R9" s="431"/>
      <c r="S9" s="431"/>
      <c r="T9" s="431"/>
      <c r="U9" s="431"/>
      <c r="V9" s="431"/>
      <c r="W9" s="431"/>
      <c r="X9" s="431"/>
      <c r="Y9" s="431"/>
      <c r="Z9" s="431"/>
      <c r="AA9" s="431"/>
      <c r="AB9" s="431"/>
      <c r="AC9" s="197"/>
      <c r="AD9" s="215"/>
    </row>
    <row r="10" spans="2:42" ht="18" customHeight="1" x14ac:dyDescent="0.2">
      <c r="B10" s="187"/>
      <c r="C10" s="188"/>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197"/>
      <c r="AD10" s="215"/>
    </row>
    <row r="11" spans="2:42" ht="7.5" customHeight="1" thickBot="1" x14ac:dyDescent="0.25">
      <c r="B11" s="187"/>
      <c r="C11" s="188"/>
      <c r="D11" s="188"/>
      <c r="E11" s="188"/>
      <c r="F11" s="188"/>
      <c r="G11" s="188"/>
      <c r="H11" s="188"/>
      <c r="I11" s="188"/>
      <c r="J11" s="195"/>
      <c r="K11" s="188"/>
      <c r="L11" s="188"/>
      <c r="M11" s="188"/>
      <c r="N11" s="188"/>
      <c r="O11" s="188"/>
      <c r="P11" s="188"/>
      <c r="Q11" s="188"/>
      <c r="R11" s="188"/>
      <c r="S11" s="188"/>
      <c r="T11" s="188"/>
      <c r="U11" s="188"/>
      <c r="V11" s="195"/>
      <c r="W11" s="188"/>
      <c r="X11" s="188"/>
      <c r="Y11" s="188"/>
      <c r="Z11" s="188"/>
      <c r="AA11" s="188"/>
      <c r="AB11" s="188"/>
      <c r="AC11" s="197"/>
      <c r="AD11" s="215"/>
    </row>
    <row r="12" spans="2:42" ht="18" customHeight="1" thickTop="1" thickBot="1" x14ac:dyDescent="0.25">
      <c r="B12" s="187"/>
      <c r="C12" s="188"/>
      <c r="D12" s="193" t="s">
        <v>234</v>
      </c>
      <c r="E12" s="194"/>
      <c r="F12" s="194"/>
      <c r="G12" s="194"/>
      <c r="H12" s="194"/>
      <c r="I12" s="194"/>
      <c r="J12" s="446" t="s">
        <v>357</v>
      </c>
      <c r="K12" s="447"/>
      <c r="L12" s="447"/>
      <c r="M12" s="447"/>
      <c r="N12" s="447"/>
      <c r="O12" s="447"/>
      <c r="P12" s="447"/>
      <c r="Q12" s="447"/>
      <c r="R12" s="447"/>
      <c r="S12" s="447"/>
      <c r="T12" s="447"/>
      <c r="U12" s="447"/>
      <c r="V12" s="447"/>
      <c r="W12" s="447"/>
      <c r="X12" s="447"/>
      <c r="Y12" s="447"/>
      <c r="Z12" s="447"/>
      <c r="AA12" s="447"/>
      <c r="AB12" s="448"/>
      <c r="AC12" s="197"/>
      <c r="AD12" s="215"/>
    </row>
    <row r="13" spans="2:42" ht="7.5" customHeight="1" thickTop="1" thickBot="1" x14ac:dyDescent="0.25">
      <c r="B13" s="187"/>
      <c r="C13" s="188"/>
      <c r="D13" s="188"/>
      <c r="E13" s="188"/>
      <c r="F13" s="188"/>
      <c r="G13" s="188"/>
      <c r="H13" s="188"/>
      <c r="I13" s="188"/>
      <c r="J13" s="195"/>
      <c r="K13" s="188"/>
      <c r="L13" s="188"/>
      <c r="M13" s="188"/>
      <c r="N13" s="188"/>
      <c r="O13" s="188"/>
      <c r="P13" s="188"/>
      <c r="Q13" s="188"/>
      <c r="R13" s="188"/>
      <c r="S13" s="188"/>
      <c r="T13" s="188"/>
      <c r="U13" s="188"/>
      <c r="V13" s="195"/>
      <c r="W13" s="188"/>
      <c r="X13" s="188"/>
      <c r="Y13" s="188"/>
      <c r="Z13" s="188"/>
      <c r="AA13" s="188"/>
      <c r="AB13" s="188"/>
      <c r="AC13" s="197"/>
      <c r="AD13" s="215"/>
    </row>
    <row r="14" spans="2:42" ht="18" customHeight="1" thickTop="1" thickBot="1" x14ac:dyDescent="0.25">
      <c r="B14" s="187"/>
      <c r="C14" s="188"/>
      <c r="D14" s="193" t="s">
        <v>235</v>
      </c>
      <c r="E14" s="194"/>
      <c r="F14" s="194"/>
      <c r="G14" s="194"/>
      <c r="H14" s="194"/>
      <c r="I14" s="194"/>
      <c r="J14" s="446" t="s">
        <v>356</v>
      </c>
      <c r="K14" s="447"/>
      <c r="L14" s="447"/>
      <c r="M14" s="447"/>
      <c r="N14" s="447"/>
      <c r="O14" s="447"/>
      <c r="P14" s="447"/>
      <c r="Q14" s="447"/>
      <c r="R14" s="447"/>
      <c r="S14" s="447"/>
      <c r="T14" s="447"/>
      <c r="U14" s="447"/>
      <c r="V14" s="447"/>
      <c r="W14" s="447"/>
      <c r="X14" s="447"/>
      <c r="Y14" s="447"/>
      <c r="Z14" s="447"/>
      <c r="AA14" s="447"/>
      <c r="AB14" s="448"/>
      <c r="AC14" s="197"/>
      <c r="AD14" s="215"/>
    </row>
    <row r="15" spans="2:42" ht="7.5" customHeight="1" thickTop="1" thickBot="1" x14ac:dyDescent="0.25">
      <c r="B15" s="187"/>
      <c r="C15" s="188"/>
      <c r="D15" s="188"/>
      <c r="E15" s="188"/>
      <c r="F15" s="188"/>
      <c r="G15" s="188"/>
      <c r="H15" s="188"/>
      <c r="I15" s="188"/>
      <c r="J15" s="195"/>
      <c r="K15" s="188"/>
      <c r="L15" s="188"/>
      <c r="M15" s="188"/>
      <c r="N15" s="188"/>
      <c r="O15" s="188"/>
      <c r="P15" s="188"/>
      <c r="Q15" s="188"/>
      <c r="R15" s="188"/>
      <c r="S15" s="188"/>
      <c r="T15" s="188"/>
      <c r="U15" s="188"/>
      <c r="V15" s="195"/>
      <c r="W15" s="188"/>
      <c r="X15" s="188"/>
      <c r="Y15" s="188"/>
      <c r="Z15" s="188"/>
      <c r="AA15" s="188"/>
      <c r="AB15" s="188"/>
      <c r="AC15" s="197"/>
      <c r="AD15" s="215"/>
    </row>
    <row r="16" spans="2:42" ht="18" customHeight="1" thickTop="1" x14ac:dyDescent="0.2">
      <c r="B16" s="187"/>
      <c r="C16" s="188"/>
      <c r="D16" s="439" t="s">
        <v>355</v>
      </c>
      <c r="E16" s="439"/>
      <c r="F16" s="439"/>
      <c r="G16" s="439"/>
      <c r="H16" s="439"/>
      <c r="I16" s="439"/>
      <c r="J16" s="440" t="s">
        <v>358</v>
      </c>
      <c r="K16" s="441"/>
      <c r="L16" s="441"/>
      <c r="M16" s="441"/>
      <c r="N16" s="441"/>
      <c r="O16" s="441"/>
      <c r="P16" s="441"/>
      <c r="Q16" s="441"/>
      <c r="R16" s="441"/>
      <c r="S16" s="441"/>
      <c r="T16" s="441"/>
      <c r="U16" s="441"/>
      <c r="V16" s="441"/>
      <c r="W16" s="441"/>
      <c r="X16" s="441"/>
      <c r="Y16" s="441"/>
      <c r="Z16" s="441"/>
      <c r="AA16" s="441"/>
      <c r="AB16" s="442"/>
      <c r="AC16" s="197"/>
      <c r="AD16" s="215"/>
    </row>
    <row r="17" spans="2:30" ht="18" customHeight="1" thickBot="1" x14ac:dyDescent="0.25">
      <c r="B17" s="187"/>
      <c r="C17" s="188"/>
      <c r="D17" s="439"/>
      <c r="E17" s="439"/>
      <c r="F17" s="439"/>
      <c r="G17" s="439"/>
      <c r="H17" s="439"/>
      <c r="I17" s="439"/>
      <c r="J17" s="443"/>
      <c r="K17" s="444"/>
      <c r="L17" s="444"/>
      <c r="M17" s="444"/>
      <c r="N17" s="444"/>
      <c r="O17" s="444"/>
      <c r="P17" s="444"/>
      <c r="Q17" s="444"/>
      <c r="R17" s="444"/>
      <c r="S17" s="444"/>
      <c r="T17" s="444"/>
      <c r="U17" s="444"/>
      <c r="V17" s="444"/>
      <c r="W17" s="444"/>
      <c r="X17" s="444"/>
      <c r="Y17" s="444"/>
      <c r="Z17" s="444"/>
      <c r="AA17" s="444"/>
      <c r="AB17" s="445"/>
      <c r="AC17" s="197"/>
      <c r="AD17" s="215"/>
    </row>
    <row r="18" spans="2:30" ht="7.5" customHeight="1" thickTop="1" thickBot="1" x14ac:dyDescent="0.25">
      <c r="B18" s="187"/>
      <c r="C18" s="196"/>
      <c r="D18" s="196"/>
      <c r="E18" s="196"/>
      <c r="F18" s="196"/>
      <c r="G18" s="196"/>
      <c r="H18" s="196"/>
      <c r="I18" s="196"/>
      <c r="J18" s="204"/>
      <c r="K18" s="196"/>
      <c r="L18" s="196"/>
      <c r="M18" s="196"/>
      <c r="N18" s="196"/>
      <c r="O18" s="196"/>
      <c r="P18" s="196"/>
      <c r="Q18" s="196"/>
      <c r="R18" s="196"/>
      <c r="S18" s="196"/>
      <c r="T18" s="196"/>
      <c r="U18" s="196"/>
      <c r="V18" s="204"/>
      <c r="W18" s="196"/>
      <c r="X18" s="196"/>
      <c r="Y18" s="196"/>
      <c r="Z18" s="196"/>
      <c r="AA18" s="196"/>
      <c r="AB18" s="196"/>
      <c r="AC18" s="198"/>
      <c r="AD18" s="215"/>
    </row>
    <row r="19" spans="2:30" ht="18" customHeight="1" x14ac:dyDescent="0.2">
      <c r="B19" s="187"/>
      <c r="C19" s="181"/>
      <c r="D19" s="181"/>
      <c r="E19" s="181"/>
      <c r="F19" s="181"/>
      <c r="G19" s="181"/>
      <c r="H19" s="181"/>
      <c r="I19" s="181"/>
      <c r="J19" s="205"/>
      <c r="K19" s="181"/>
      <c r="L19" s="181"/>
      <c r="M19" s="181"/>
      <c r="N19" s="181"/>
      <c r="O19" s="181"/>
      <c r="P19" s="181"/>
      <c r="Q19" s="181"/>
      <c r="R19" s="181"/>
      <c r="S19" s="181"/>
      <c r="T19" s="181"/>
      <c r="U19" s="181"/>
      <c r="V19" s="205"/>
      <c r="W19" s="181"/>
      <c r="X19" s="181"/>
      <c r="Y19" s="181"/>
      <c r="Z19" s="181"/>
      <c r="AA19" s="181"/>
      <c r="AB19" s="181"/>
      <c r="AC19" s="181"/>
      <c r="AD19" s="215"/>
    </row>
    <row r="20" spans="2:30" ht="18" customHeight="1" x14ac:dyDescent="0.2">
      <c r="B20" s="187"/>
      <c r="C20" s="191" t="s">
        <v>238</v>
      </c>
      <c r="D20" s="188"/>
      <c r="E20" s="188"/>
      <c r="F20" s="188"/>
      <c r="G20" s="188"/>
      <c r="H20" s="188"/>
      <c r="I20" s="188"/>
      <c r="J20" s="195"/>
      <c r="K20" s="188"/>
      <c r="L20" s="188"/>
      <c r="M20" s="188"/>
      <c r="N20" s="188"/>
      <c r="O20" s="188"/>
      <c r="P20" s="188"/>
      <c r="Q20" s="188"/>
      <c r="R20" s="188"/>
      <c r="S20" s="188"/>
      <c r="T20" s="188"/>
      <c r="U20" s="188"/>
      <c r="V20" s="195"/>
      <c r="W20" s="188"/>
      <c r="X20" s="188"/>
      <c r="Y20" s="188"/>
      <c r="Z20" s="188"/>
      <c r="AA20" s="188"/>
      <c r="AB20" s="188"/>
      <c r="AC20" s="197"/>
      <c r="AD20" s="215"/>
    </row>
    <row r="21" spans="2:30" ht="18" customHeight="1" x14ac:dyDescent="0.2">
      <c r="B21" s="187"/>
      <c r="C21" s="192"/>
      <c r="D21" s="431" t="s">
        <v>632</v>
      </c>
      <c r="E21" s="431"/>
      <c r="F21" s="431"/>
      <c r="G21" s="431"/>
      <c r="H21" s="431"/>
      <c r="I21" s="431"/>
      <c r="J21" s="431"/>
      <c r="K21" s="431"/>
      <c r="L21" s="431"/>
      <c r="M21" s="431"/>
      <c r="N21" s="431"/>
      <c r="O21" s="431"/>
      <c r="P21" s="431"/>
      <c r="Q21" s="431"/>
      <c r="R21" s="431"/>
      <c r="S21" s="431"/>
      <c r="T21" s="431"/>
      <c r="U21" s="431"/>
      <c r="V21" s="431"/>
      <c r="W21" s="431"/>
      <c r="X21" s="431"/>
      <c r="Y21" s="431"/>
      <c r="Z21" s="431"/>
      <c r="AA21" s="431"/>
      <c r="AB21" s="431"/>
      <c r="AC21" s="197"/>
      <c r="AD21" s="215"/>
    </row>
    <row r="22" spans="2:30" ht="18" customHeight="1" x14ac:dyDescent="0.2">
      <c r="B22" s="187"/>
      <c r="C22" s="192"/>
      <c r="D22" s="431"/>
      <c r="E22" s="431"/>
      <c r="F22" s="431"/>
      <c r="G22" s="431"/>
      <c r="H22" s="431"/>
      <c r="I22" s="431"/>
      <c r="J22" s="431"/>
      <c r="K22" s="431"/>
      <c r="L22" s="431"/>
      <c r="M22" s="431"/>
      <c r="N22" s="431"/>
      <c r="O22" s="431"/>
      <c r="P22" s="431"/>
      <c r="Q22" s="431"/>
      <c r="R22" s="431"/>
      <c r="S22" s="431"/>
      <c r="T22" s="431"/>
      <c r="U22" s="431"/>
      <c r="V22" s="431"/>
      <c r="W22" s="431"/>
      <c r="X22" s="431"/>
      <c r="Y22" s="431"/>
      <c r="Z22" s="431"/>
      <c r="AA22" s="431"/>
      <c r="AB22" s="431"/>
      <c r="AC22" s="197"/>
      <c r="AD22" s="215"/>
    </row>
    <row r="23" spans="2:30" ht="18" customHeight="1" x14ac:dyDescent="0.2">
      <c r="B23" s="187"/>
      <c r="C23" s="192"/>
      <c r="D23" s="431"/>
      <c r="E23" s="431"/>
      <c r="F23" s="431"/>
      <c r="G23" s="431"/>
      <c r="H23" s="431"/>
      <c r="I23" s="431"/>
      <c r="J23" s="431"/>
      <c r="K23" s="431"/>
      <c r="L23" s="431"/>
      <c r="M23" s="431"/>
      <c r="N23" s="431"/>
      <c r="O23" s="431"/>
      <c r="P23" s="431"/>
      <c r="Q23" s="431"/>
      <c r="R23" s="431"/>
      <c r="S23" s="431"/>
      <c r="T23" s="431"/>
      <c r="U23" s="431"/>
      <c r="V23" s="431"/>
      <c r="W23" s="431"/>
      <c r="X23" s="431"/>
      <c r="Y23" s="431"/>
      <c r="Z23" s="431"/>
      <c r="AA23" s="431"/>
      <c r="AB23" s="431"/>
      <c r="AC23" s="197"/>
      <c r="AD23" s="215"/>
    </row>
    <row r="24" spans="2:30" ht="7.5" customHeight="1" thickBot="1" x14ac:dyDescent="0.25">
      <c r="B24" s="187"/>
      <c r="C24" s="188"/>
      <c r="D24" s="188"/>
      <c r="E24" s="188"/>
      <c r="F24" s="188"/>
      <c r="G24" s="188"/>
      <c r="H24" s="188"/>
      <c r="I24" s="188"/>
      <c r="J24" s="195"/>
      <c r="K24" s="188"/>
      <c r="L24" s="188"/>
      <c r="M24" s="188"/>
      <c r="N24" s="188"/>
      <c r="O24" s="188"/>
      <c r="P24" s="188"/>
      <c r="Q24" s="188"/>
      <c r="R24" s="188"/>
      <c r="S24" s="188"/>
      <c r="T24" s="188"/>
      <c r="U24" s="188"/>
      <c r="V24" s="195"/>
      <c r="W24" s="188"/>
      <c r="X24" s="188"/>
      <c r="Y24" s="188"/>
      <c r="Z24" s="188"/>
      <c r="AA24" s="188"/>
      <c r="AB24" s="188"/>
      <c r="AC24" s="197"/>
      <c r="AD24" s="215"/>
    </row>
    <row r="25" spans="2:30" ht="18" customHeight="1" thickTop="1" thickBot="1" x14ac:dyDescent="0.25">
      <c r="B25" s="187"/>
      <c r="C25" s="188"/>
      <c r="D25" s="193" t="s">
        <v>539</v>
      </c>
      <c r="E25" s="193"/>
      <c r="F25" s="193"/>
      <c r="G25" s="193"/>
      <c r="H25" s="193"/>
      <c r="I25" s="193"/>
      <c r="J25" s="207"/>
      <c r="K25" s="193"/>
      <c r="L25" s="193"/>
      <c r="M25" s="193"/>
      <c r="N25" s="193"/>
      <c r="O25" s="193"/>
      <c r="P25" s="193"/>
      <c r="Q25" s="193"/>
      <c r="R25" s="193"/>
      <c r="S25" s="193"/>
      <c r="T25" s="193"/>
      <c r="U25" s="193"/>
      <c r="V25" s="210"/>
      <c r="W25" s="188"/>
      <c r="X25" s="188"/>
      <c r="Y25" s="188"/>
      <c r="Z25" s="188"/>
      <c r="AA25" s="188"/>
      <c r="AB25" s="188"/>
      <c r="AC25" s="197"/>
      <c r="AD25" s="215"/>
    </row>
    <row r="26" spans="2:30" ht="7.5" customHeight="1" thickTop="1" thickBot="1" x14ac:dyDescent="0.25">
      <c r="B26" s="187"/>
      <c r="C26" s="188"/>
      <c r="D26" s="188"/>
      <c r="E26" s="188"/>
      <c r="F26" s="188"/>
      <c r="G26" s="188"/>
      <c r="H26" s="188"/>
      <c r="I26" s="188"/>
      <c r="J26" s="195"/>
      <c r="K26" s="188"/>
      <c r="L26" s="188"/>
      <c r="M26" s="188"/>
      <c r="N26" s="188"/>
      <c r="O26" s="188"/>
      <c r="P26" s="188"/>
      <c r="Q26" s="188"/>
      <c r="R26" s="188"/>
      <c r="S26" s="188"/>
      <c r="T26" s="188"/>
      <c r="U26" s="188"/>
      <c r="V26" s="211"/>
      <c r="W26" s="188"/>
      <c r="X26" s="188"/>
      <c r="Y26" s="188"/>
      <c r="Z26" s="188"/>
      <c r="AA26" s="188"/>
      <c r="AB26" s="188"/>
      <c r="AC26" s="197"/>
      <c r="AD26" s="215"/>
    </row>
    <row r="27" spans="2:30" ht="18" customHeight="1" thickTop="1" thickBot="1" x14ac:dyDescent="0.25">
      <c r="B27" s="187"/>
      <c r="C27" s="188"/>
      <c r="D27" s="199"/>
      <c r="E27" s="193" t="s">
        <v>618</v>
      </c>
      <c r="F27" s="194"/>
      <c r="G27" s="194"/>
      <c r="H27" s="201"/>
      <c r="I27" s="194"/>
      <c r="J27" s="208"/>
      <c r="K27" s="194"/>
      <c r="L27" s="194"/>
      <c r="M27" s="194"/>
      <c r="N27" s="194"/>
      <c r="O27" s="194"/>
      <c r="P27" s="194"/>
      <c r="Q27" s="194"/>
      <c r="R27" s="194"/>
      <c r="S27" s="194"/>
      <c r="T27" s="194"/>
      <c r="U27" s="194"/>
      <c r="V27" s="212"/>
      <c r="W27" s="188"/>
      <c r="X27" s="188"/>
      <c r="Y27" s="188"/>
      <c r="Z27" s="188"/>
      <c r="AA27" s="188"/>
      <c r="AB27" s="188"/>
      <c r="AC27" s="197"/>
      <c r="AD27" s="215"/>
    </row>
    <row r="28" spans="2:30" ht="7.5" customHeight="1" thickTop="1" thickBot="1" x14ac:dyDescent="0.25">
      <c r="B28" s="187"/>
      <c r="C28" s="188"/>
      <c r="D28" s="199"/>
      <c r="E28" s="199"/>
      <c r="F28" s="199"/>
      <c r="G28" s="199"/>
      <c r="H28" s="199"/>
      <c r="I28" s="199"/>
      <c r="J28" s="199"/>
      <c r="K28" s="199"/>
      <c r="L28" s="199"/>
      <c r="M28" s="199"/>
      <c r="N28" s="199"/>
      <c r="O28" s="199"/>
      <c r="P28" s="199"/>
      <c r="Q28" s="199"/>
      <c r="R28" s="199"/>
      <c r="S28" s="199"/>
      <c r="T28" s="199"/>
      <c r="U28" s="199"/>
      <c r="V28" s="211"/>
      <c r="W28" s="188"/>
      <c r="X28" s="188"/>
      <c r="Y28" s="188"/>
      <c r="Z28" s="188"/>
      <c r="AA28" s="188"/>
      <c r="AB28" s="188"/>
      <c r="AC28" s="197"/>
      <c r="AD28" s="215"/>
    </row>
    <row r="29" spans="2:30" ht="18" customHeight="1" thickTop="1" thickBot="1" x14ac:dyDescent="0.25">
      <c r="B29" s="187"/>
      <c r="C29" s="188"/>
      <c r="D29" s="199"/>
      <c r="E29" s="200"/>
      <c r="F29" s="193" t="s">
        <v>620</v>
      </c>
      <c r="G29" s="193"/>
      <c r="H29" s="193"/>
      <c r="I29" s="193"/>
      <c r="J29" s="207"/>
      <c r="K29" s="193"/>
      <c r="L29" s="193"/>
      <c r="M29" s="193"/>
      <c r="N29" s="193"/>
      <c r="O29" s="193"/>
      <c r="P29" s="193"/>
      <c r="Q29" s="193"/>
      <c r="R29" s="193"/>
      <c r="S29" s="193"/>
      <c r="T29" s="193"/>
      <c r="U29" s="193"/>
      <c r="V29" s="212"/>
      <c r="W29" s="188"/>
      <c r="X29" s="188"/>
      <c r="Y29" s="188"/>
      <c r="Z29" s="188"/>
      <c r="AA29" s="188"/>
      <c r="AB29" s="188"/>
      <c r="AC29" s="197"/>
      <c r="AD29" s="215"/>
    </row>
    <row r="30" spans="2:30" ht="7.5" customHeight="1" thickTop="1" thickBot="1" x14ac:dyDescent="0.25">
      <c r="B30" s="187"/>
      <c r="C30" s="188"/>
      <c r="D30" s="199"/>
      <c r="E30" s="199"/>
      <c r="F30" s="199"/>
      <c r="G30" s="199"/>
      <c r="H30" s="199"/>
      <c r="I30" s="199"/>
      <c r="J30" s="199"/>
      <c r="K30" s="199"/>
      <c r="L30" s="199"/>
      <c r="M30" s="199"/>
      <c r="N30" s="199"/>
      <c r="O30" s="199"/>
      <c r="P30" s="199"/>
      <c r="Q30" s="199"/>
      <c r="R30" s="199"/>
      <c r="S30" s="199"/>
      <c r="T30" s="199"/>
      <c r="U30" s="199"/>
      <c r="V30" s="211"/>
      <c r="W30" s="188"/>
      <c r="X30" s="188"/>
      <c r="Y30" s="188"/>
      <c r="Z30" s="188"/>
      <c r="AA30" s="188"/>
      <c r="AB30" s="188"/>
      <c r="AC30" s="197"/>
      <c r="AD30" s="215"/>
    </row>
    <row r="31" spans="2:30" ht="18" customHeight="1" thickTop="1" thickBot="1" x14ac:dyDescent="0.25">
      <c r="B31" s="187"/>
      <c r="C31" s="188"/>
      <c r="D31" s="199"/>
      <c r="E31" s="200"/>
      <c r="F31" s="200"/>
      <c r="G31" s="193" t="s">
        <v>607</v>
      </c>
      <c r="H31" s="193"/>
      <c r="I31" s="193"/>
      <c r="J31" s="207"/>
      <c r="K31" s="193"/>
      <c r="L31" s="193"/>
      <c r="M31" s="193"/>
      <c r="N31" s="193"/>
      <c r="O31" s="193"/>
      <c r="P31" s="193"/>
      <c r="Q31" s="193"/>
      <c r="R31" s="193"/>
      <c r="S31" s="193"/>
      <c r="T31" s="193"/>
      <c r="U31" s="193"/>
      <c r="V31" s="212"/>
      <c r="W31" s="188"/>
      <c r="X31" s="188"/>
      <c r="Y31" s="188"/>
      <c r="Z31" s="188"/>
      <c r="AA31" s="188"/>
      <c r="AB31" s="188"/>
      <c r="AC31" s="197"/>
      <c r="AD31" s="215"/>
    </row>
    <row r="32" spans="2:30" ht="7.5" customHeight="1" thickTop="1" thickBot="1" x14ac:dyDescent="0.25">
      <c r="B32" s="187"/>
      <c r="C32" s="188"/>
      <c r="D32" s="199"/>
      <c r="E32" s="200"/>
      <c r="F32" s="200"/>
      <c r="G32" s="200"/>
      <c r="H32" s="200"/>
      <c r="I32" s="200"/>
      <c r="J32" s="200"/>
      <c r="K32" s="200"/>
      <c r="L32" s="200"/>
      <c r="M32" s="200"/>
      <c r="N32" s="200"/>
      <c r="O32" s="200"/>
      <c r="P32" s="200"/>
      <c r="Q32" s="200"/>
      <c r="R32" s="200"/>
      <c r="S32" s="200"/>
      <c r="T32" s="200"/>
      <c r="U32" s="200"/>
      <c r="V32" s="211"/>
      <c r="W32" s="188"/>
      <c r="X32" s="188"/>
      <c r="Y32" s="188"/>
      <c r="Z32" s="188"/>
      <c r="AA32" s="188"/>
      <c r="AB32" s="188"/>
      <c r="AC32" s="197"/>
      <c r="AD32" s="215"/>
    </row>
    <row r="33" spans="2:30" ht="18" customHeight="1" thickTop="1" thickBot="1" x14ac:dyDescent="0.25">
      <c r="B33" s="187"/>
      <c r="C33" s="188"/>
      <c r="D33" s="199"/>
      <c r="E33" s="200"/>
      <c r="F33" s="193" t="s">
        <v>633</v>
      </c>
      <c r="G33" s="193"/>
      <c r="H33" s="193"/>
      <c r="I33" s="193"/>
      <c r="J33" s="207"/>
      <c r="K33" s="193"/>
      <c r="L33" s="193"/>
      <c r="M33" s="193"/>
      <c r="N33" s="193"/>
      <c r="O33" s="193"/>
      <c r="P33" s="193"/>
      <c r="Q33" s="193"/>
      <c r="R33" s="193"/>
      <c r="S33" s="193"/>
      <c r="T33" s="193"/>
      <c r="U33" s="193"/>
      <c r="V33" s="212"/>
      <c r="W33" s="423" t="s">
        <v>617</v>
      </c>
      <c r="X33" s="423"/>
      <c r="Y33" s="188"/>
      <c r="Z33" s="188"/>
      <c r="AA33" s="188"/>
      <c r="AB33" s="188"/>
      <c r="AC33" s="197"/>
      <c r="AD33" s="215"/>
    </row>
    <row r="34" spans="2:30" ht="7.5" customHeight="1" thickTop="1" thickBot="1" x14ac:dyDescent="0.25">
      <c r="B34" s="187"/>
      <c r="C34" s="188"/>
      <c r="D34" s="199"/>
      <c r="E34" s="200"/>
      <c r="F34" s="200"/>
      <c r="G34" s="200"/>
      <c r="H34" s="200"/>
      <c r="I34" s="200"/>
      <c r="J34" s="200"/>
      <c r="K34" s="200"/>
      <c r="L34" s="200"/>
      <c r="M34" s="200"/>
      <c r="N34" s="200"/>
      <c r="O34" s="200"/>
      <c r="P34" s="200"/>
      <c r="Q34" s="200"/>
      <c r="R34" s="200"/>
      <c r="S34" s="200"/>
      <c r="T34" s="200"/>
      <c r="U34" s="200"/>
      <c r="V34" s="211"/>
      <c r="W34" s="188"/>
      <c r="X34" s="188"/>
      <c r="Y34" s="188"/>
      <c r="Z34" s="188"/>
      <c r="AA34" s="188"/>
      <c r="AB34" s="188"/>
      <c r="AC34" s="197"/>
      <c r="AD34" s="215"/>
    </row>
    <row r="35" spans="2:30" ht="18" customHeight="1" thickTop="1" thickBot="1" x14ac:dyDescent="0.25">
      <c r="B35" s="187"/>
      <c r="C35" s="188"/>
      <c r="D35" s="199"/>
      <c r="E35" s="200"/>
      <c r="F35" s="193" t="s">
        <v>634</v>
      </c>
      <c r="G35" s="193"/>
      <c r="H35" s="193"/>
      <c r="I35" s="193"/>
      <c r="J35" s="207"/>
      <c r="K35" s="193"/>
      <c r="L35" s="193"/>
      <c r="M35" s="193"/>
      <c r="N35" s="193"/>
      <c r="O35" s="193"/>
      <c r="P35" s="193"/>
      <c r="Q35" s="193"/>
      <c r="R35" s="193"/>
      <c r="S35" s="193"/>
      <c r="T35" s="193"/>
      <c r="U35" s="193"/>
      <c r="V35" s="424"/>
      <c r="W35" s="423" t="s">
        <v>628</v>
      </c>
      <c r="X35" s="423"/>
      <c r="Y35" s="188"/>
      <c r="Z35" s="188"/>
      <c r="AA35" s="188"/>
      <c r="AB35" s="188"/>
      <c r="AC35" s="197"/>
      <c r="AD35" s="215"/>
    </row>
    <row r="36" spans="2:30" ht="7.5" customHeight="1" thickTop="1" thickBot="1" x14ac:dyDescent="0.25">
      <c r="B36" s="187"/>
      <c r="C36" s="188"/>
      <c r="D36" s="199"/>
      <c r="E36" s="200"/>
      <c r="F36" s="200"/>
      <c r="G36" s="200"/>
      <c r="H36" s="200"/>
      <c r="I36" s="200"/>
      <c r="J36" s="200"/>
      <c r="K36" s="200"/>
      <c r="L36" s="200"/>
      <c r="M36" s="200"/>
      <c r="N36" s="200"/>
      <c r="O36" s="200"/>
      <c r="P36" s="200"/>
      <c r="Q36" s="200"/>
      <c r="R36" s="200"/>
      <c r="S36" s="200"/>
      <c r="T36" s="200"/>
      <c r="U36" s="200"/>
      <c r="V36" s="211"/>
      <c r="W36" s="188"/>
      <c r="X36" s="188"/>
      <c r="Y36" s="188"/>
      <c r="Z36" s="188"/>
      <c r="AA36" s="188"/>
      <c r="AB36" s="188"/>
      <c r="AC36" s="197"/>
      <c r="AD36" s="215"/>
    </row>
    <row r="37" spans="2:30" ht="18" customHeight="1" thickTop="1" thickBot="1" x14ac:dyDescent="0.25">
      <c r="B37" s="187"/>
      <c r="C37" s="188"/>
      <c r="D37" s="199"/>
      <c r="E37" s="200"/>
      <c r="F37" s="193" t="s">
        <v>630</v>
      </c>
      <c r="G37" s="193"/>
      <c r="H37" s="193"/>
      <c r="I37" s="193"/>
      <c r="J37" s="207"/>
      <c r="K37" s="193"/>
      <c r="L37" s="193"/>
      <c r="M37" s="193"/>
      <c r="N37" s="193"/>
      <c r="O37" s="193"/>
      <c r="P37" s="193"/>
      <c r="Q37" s="193"/>
      <c r="R37" s="193"/>
      <c r="S37" s="193"/>
      <c r="T37" s="193"/>
      <c r="U37" s="193"/>
      <c r="V37" s="212"/>
      <c r="W37" s="188"/>
      <c r="X37" s="188"/>
      <c r="Y37" s="188"/>
      <c r="Z37" s="188"/>
      <c r="AA37" s="188"/>
      <c r="AB37" s="188"/>
      <c r="AC37" s="197"/>
      <c r="AD37" s="215"/>
    </row>
    <row r="38" spans="2:30" ht="7.5" customHeight="1" thickTop="1" thickBot="1" x14ac:dyDescent="0.25">
      <c r="B38" s="187"/>
      <c r="C38" s="188"/>
      <c r="D38" s="199"/>
      <c r="E38" s="200"/>
      <c r="F38" s="188"/>
      <c r="G38" s="188"/>
      <c r="H38" s="188"/>
      <c r="I38" s="188"/>
      <c r="J38" s="195"/>
      <c r="K38" s="188"/>
      <c r="L38" s="188"/>
      <c r="M38" s="188"/>
      <c r="N38" s="188"/>
      <c r="O38" s="188"/>
      <c r="P38" s="188"/>
      <c r="Q38" s="188"/>
      <c r="R38" s="188"/>
      <c r="S38" s="188"/>
      <c r="T38" s="188"/>
      <c r="U38" s="188"/>
      <c r="V38" s="211"/>
      <c r="W38" s="188"/>
      <c r="X38" s="188"/>
      <c r="Y38" s="188"/>
      <c r="Z38" s="188"/>
      <c r="AA38" s="188"/>
      <c r="AB38" s="188"/>
      <c r="AC38" s="197"/>
      <c r="AD38" s="215"/>
    </row>
    <row r="39" spans="2:30" ht="18" customHeight="1" thickTop="1" thickBot="1" x14ac:dyDescent="0.25">
      <c r="B39" s="187"/>
      <c r="C39" s="188"/>
      <c r="D39" s="199"/>
      <c r="E39" s="193" t="s">
        <v>252</v>
      </c>
      <c r="F39" s="193"/>
      <c r="G39" s="193"/>
      <c r="H39" s="193"/>
      <c r="I39" s="193"/>
      <c r="J39" s="207"/>
      <c r="K39" s="193"/>
      <c r="L39" s="193"/>
      <c r="M39" s="193"/>
      <c r="N39" s="193"/>
      <c r="O39" s="193"/>
      <c r="P39" s="193"/>
      <c r="Q39" s="193"/>
      <c r="R39" s="193"/>
      <c r="S39" s="193"/>
      <c r="T39" s="193"/>
      <c r="U39" s="193"/>
      <c r="V39" s="212"/>
      <c r="W39" s="188"/>
      <c r="X39" s="188"/>
      <c r="Y39" s="188"/>
      <c r="Z39" s="188"/>
      <c r="AA39" s="188"/>
      <c r="AB39" s="188"/>
      <c r="AC39" s="197"/>
      <c r="AD39" s="215"/>
    </row>
    <row r="40" spans="2:30" ht="7.5" customHeight="1" thickTop="1" thickBot="1" x14ac:dyDescent="0.25">
      <c r="B40" s="187"/>
      <c r="C40" s="188"/>
      <c r="D40" s="199"/>
      <c r="E40" s="200"/>
      <c r="F40" s="188"/>
      <c r="G40" s="188"/>
      <c r="H40" s="188"/>
      <c r="I40" s="188"/>
      <c r="J40" s="195"/>
      <c r="K40" s="188"/>
      <c r="L40" s="188"/>
      <c r="M40" s="188"/>
      <c r="N40" s="188"/>
      <c r="O40" s="188"/>
      <c r="P40" s="188"/>
      <c r="Q40" s="188"/>
      <c r="R40" s="188"/>
      <c r="S40" s="188"/>
      <c r="T40" s="188"/>
      <c r="U40" s="188"/>
      <c r="V40" s="211"/>
      <c r="W40" s="188"/>
      <c r="X40" s="188"/>
      <c r="Y40" s="188"/>
      <c r="Z40" s="188"/>
      <c r="AA40" s="188"/>
      <c r="AB40" s="188"/>
      <c r="AC40" s="197"/>
      <c r="AD40" s="215"/>
    </row>
    <row r="41" spans="2:30" ht="18" customHeight="1" thickTop="1" thickBot="1" x14ac:dyDescent="0.25">
      <c r="B41" s="187"/>
      <c r="C41" s="188"/>
      <c r="D41" s="199"/>
      <c r="E41" s="200"/>
      <c r="F41" s="193" t="s">
        <v>537</v>
      </c>
      <c r="G41" s="193"/>
      <c r="H41" s="193"/>
      <c r="I41" s="193"/>
      <c r="J41" s="207"/>
      <c r="K41" s="193"/>
      <c r="L41" s="193"/>
      <c r="M41" s="193"/>
      <c r="N41" s="193"/>
      <c r="O41" s="193"/>
      <c r="P41" s="193"/>
      <c r="Q41" s="193"/>
      <c r="R41" s="193"/>
      <c r="S41" s="193"/>
      <c r="T41" s="193"/>
      <c r="U41" s="193"/>
      <c r="V41" s="212"/>
      <c r="W41" s="188"/>
      <c r="X41" s="188"/>
      <c r="Y41" s="188"/>
      <c r="Z41" s="188"/>
      <c r="AA41" s="188"/>
      <c r="AB41" s="188"/>
      <c r="AC41" s="197"/>
      <c r="AD41" s="215"/>
    </row>
    <row r="42" spans="2:30" ht="7.5" customHeight="1" thickTop="1" thickBot="1" x14ac:dyDescent="0.25">
      <c r="B42" s="187"/>
      <c r="C42" s="188"/>
      <c r="D42" s="199"/>
      <c r="E42" s="200"/>
      <c r="F42" s="188"/>
      <c r="G42" s="188"/>
      <c r="H42" s="188"/>
      <c r="I42" s="188"/>
      <c r="J42" s="195"/>
      <c r="K42" s="188"/>
      <c r="L42" s="188"/>
      <c r="M42" s="188"/>
      <c r="N42" s="188"/>
      <c r="O42" s="188"/>
      <c r="P42" s="188"/>
      <c r="Q42" s="188"/>
      <c r="R42" s="188"/>
      <c r="S42" s="188"/>
      <c r="T42" s="188"/>
      <c r="U42" s="188"/>
      <c r="V42" s="211"/>
      <c r="W42" s="188"/>
      <c r="X42" s="188"/>
      <c r="Y42" s="188"/>
      <c r="Z42" s="188"/>
      <c r="AA42" s="188"/>
      <c r="AB42" s="188"/>
      <c r="AC42" s="197"/>
      <c r="AD42" s="215"/>
    </row>
    <row r="43" spans="2:30" ht="18" customHeight="1" thickTop="1" thickBot="1" x14ac:dyDescent="0.25">
      <c r="B43" s="187"/>
      <c r="C43" s="188"/>
      <c r="D43" s="199"/>
      <c r="E43" s="200"/>
      <c r="F43" s="200"/>
      <c r="G43" s="193" t="s">
        <v>253</v>
      </c>
      <c r="H43" s="193"/>
      <c r="I43" s="193"/>
      <c r="J43" s="207"/>
      <c r="K43" s="193"/>
      <c r="L43" s="193"/>
      <c r="M43" s="193"/>
      <c r="N43" s="193"/>
      <c r="O43" s="193"/>
      <c r="P43" s="193"/>
      <c r="Q43" s="193"/>
      <c r="R43" s="193"/>
      <c r="S43" s="193"/>
      <c r="T43" s="193"/>
      <c r="U43" s="193"/>
      <c r="V43" s="212"/>
      <c r="W43" s="188"/>
      <c r="X43" s="188"/>
      <c r="Y43" s="188"/>
      <c r="Z43" s="188"/>
      <c r="AA43" s="188"/>
      <c r="AB43" s="188"/>
      <c r="AC43" s="197"/>
      <c r="AD43" s="215"/>
    </row>
    <row r="44" spans="2:30" ht="7.5" customHeight="1" thickTop="1" thickBot="1" x14ac:dyDescent="0.25">
      <c r="B44" s="187"/>
      <c r="C44" s="188"/>
      <c r="D44" s="199"/>
      <c r="E44" s="200"/>
      <c r="F44" s="188"/>
      <c r="G44" s="188"/>
      <c r="H44" s="188"/>
      <c r="I44" s="188"/>
      <c r="J44" s="195"/>
      <c r="K44" s="188"/>
      <c r="L44" s="188"/>
      <c r="M44" s="188"/>
      <c r="N44" s="188"/>
      <c r="O44" s="188"/>
      <c r="P44" s="188"/>
      <c r="Q44" s="188"/>
      <c r="R44" s="188"/>
      <c r="S44" s="188"/>
      <c r="T44" s="188"/>
      <c r="U44" s="188"/>
      <c r="V44" s="211"/>
      <c r="W44" s="188"/>
      <c r="X44" s="188"/>
      <c r="Y44" s="188"/>
      <c r="Z44" s="188"/>
      <c r="AA44" s="188"/>
      <c r="AB44" s="188"/>
      <c r="AC44" s="197"/>
      <c r="AD44" s="215"/>
    </row>
    <row r="45" spans="2:30" ht="18" customHeight="1" thickTop="1" thickBot="1" x14ac:dyDescent="0.25">
      <c r="B45" s="187"/>
      <c r="C45" s="188"/>
      <c r="D45" s="199"/>
      <c r="E45" s="200"/>
      <c r="F45" s="200"/>
      <c r="G45" s="200"/>
      <c r="H45" s="193" t="s">
        <v>254</v>
      </c>
      <c r="I45" s="193"/>
      <c r="J45" s="207"/>
      <c r="K45" s="193"/>
      <c r="L45" s="193"/>
      <c r="M45" s="193"/>
      <c r="N45" s="193"/>
      <c r="O45" s="193"/>
      <c r="P45" s="193"/>
      <c r="Q45" s="193"/>
      <c r="R45" s="193"/>
      <c r="S45" s="193"/>
      <c r="T45" s="193"/>
      <c r="U45" s="193"/>
      <c r="V45" s="212"/>
      <c r="W45" s="188"/>
      <c r="X45" s="188"/>
      <c r="Y45" s="188"/>
      <c r="Z45" s="188"/>
      <c r="AA45" s="188"/>
      <c r="AB45" s="188"/>
      <c r="AC45" s="197"/>
      <c r="AD45" s="215"/>
    </row>
    <row r="46" spans="2:30" ht="7.5" customHeight="1" thickTop="1" thickBot="1" x14ac:dyDescent="0.25">
      <c r="B46" s="187"/>
      <c r="C46" s="188"/>
      <c r="D46" s="199"/>
      <c r="E46" s="200"/>
      <c r="F46" s="188"/>
      <c r="G46" s="188"/>
      <c r="H46" s="188"/>
      <c r="I46" s="188"/>
      <c r="J46" s="195"/>
      <c r="K46" s="188"/>
      <c r="L46" s="188"/>
      <c r="M46" s="188"/>
      <c r="N46" s="188"/>
      <c r="O46" s="188"/>
      <c r="P46" s="188"/>
      <c r="Q46" s="188"/>
      <c r="R46" s="188"/>
      <c r="S46" s="188"/>
      <c r="T46" s="188"/>
      <c r="U46" s="188"/>
      <c r="V46" s="211"/>
      <c r="W46" s="188"/>
      <c r="X46" s="188"/>
      <c r="Y46" s="188"/>
      <c r="Z46" s="188"/>
      <c r="AA46" s="188"/>
      <c r="AB46" s="188"/>
      <c r="AC46" s="197"/>
      <c r="AD46" s="215"/>
    </row>
    <row r="47" spans="2:30" ht="18" customHeight="1" thickTop="1" thickBot="1" x14ac:dyDescent="0.25">
      <c r="B47" s="187"/>
      <c r="C47" s="188"/>
      <c r="D47" s="199"/>
      <c r="E47" s="200"/>
      <c r="F47" s="200"/>
      <c r="G47" s="200"/>
      <c r="H47" s="193" t="s">
        <v>293</v>
      </c>
      <c r="I47" s="193"/>
      <c r="J47" s="207"/>
      <c r="K47" s="193"/>
      <c r="L47" s="193"/>
      <c r="M47" s="193"/>
      <c r="N47" s="193"/>
      <c r="O47" s="193"/>
      <c r="P47" s="193"/>
      <c r="Q47" s="193"/>
      <c r="R47" s="193"/>
      <c r="S47" s="193"/>
      <c r="T47" s="193"/>
      <c r="U47" s="193"/>
      <c r="V47" s="212"/>
      <c r="W47" s="188"/>
      <c r="X47" s="188"/>
      <c r="Y47" s="188"/>
      <c r="Z47" s="188"/>
      <c r="AA47" s="188"/>
      <c r="AB47" s="188"/>
      <c r="AC47" s="197"/>
      <c r="AD47" s="215"/>
    </row>
    <row r="48" spans="2:30" ht="7.5" customHeight="1" thickTop="1" thickBot="1" x14ac:dyDescent="0.25">
      <c r="B48" s="187"/>
      <c r="C48" s="188"/>
      <c r="D48" s="199"/>
      <c r="E48" s="200"/>
      <c r="F48" s="188"/>
      <c r="G48" s="188"/>
      <c r="H48" s="188"/>
      <c r="I48" s="188"/>
      <c r="J48" s="195"/>
      <c r="K48" s="188"/>
      <c r="L48" s="188"/>
      <c r="M48" s="188"/>
      <c r="N48" s="188"/>
      <c r="O48" s="188"/>
      <c r="P48" s="188"/>
      <c r="Q48" s="188"/>
      <c r="R48" s="188"/>
      <c r="S48" s="188"/>
      <c r="T48" s="188"/>
      <c r="U48" s="188"/>
      <c r="V48" s="211"/>
      <c r="W48" s="188"/>
      <c r="X48" s="188"/>
      <c r="Y48" s="188"/>
      <c r="Z48" s="188"/>
      <c r="AA48" s="188"/>
      <c r="AB48" s="188"/>
      <c r="AC48" s="197"/>
      <c r="AD48" s="215"/>
    </row>
    <row r="49" spans="1:30" ht="18" customHeight="1" thickTop="1" thickBot="1" x14ac:dyDescent="0.25">
      <c r="B49" s="187"/>
      <c r="C49" s="188"/>
      <c r="D49" s="199"/>
      <c r="E49" s="193" t="s">
        <v>336</v>
      </c>
      <c r="F49" s="193"/>
      <c r="G49" s="193"/>
      <c r="H49" s="193"/>
      <c r="I49" s="193"/>
      <c r="J49" s="207"/>
      <c r="K49" s="193"/>
      <c r="L49" s="193"/>
      <c r="M49" s="193"/>
      <c r="N49" s="193"/>
      <c r="O49" s="193"/>
      <c r="P49" s="193"/>
      <c r="Q49" s="193"/>
      <c r="R49" s="193"/>
      <c r="S49" s="193"/>
      <c r="T49" s="193"/>
      <c r="U49" s="193"/>
      <c r="V49" s="212"/>
      <c r="W49" s="188"/>
      <c r="X49" s="188"/>
      <c r="Y49" s="188"/>
      <c r="Z49" s="188"/>
      <c r="AA49" s="188"/>
      <c r="AB49" s="188"/>
      <c r="AC49" s="197"/>
      <c r="AD49" s="215"/>
    </row>
    <row r="50" spans="1:30" ht="18" customHeight="1" thickTop="1" thickBot="1" x14ac:dyDescent="0.25">
      <c r="B50" s="187"/>
      <c r="C50" s="188"/>
      <c r="D50" s="199"/>
      <c r="E50" s="200"/>
      <c r="F50" s="188"/>
      <c r="G50" s="188"/>
      <c r="H50" s="188"/>
      <c r="I50" s="188"/>
      <c r="J50" s="195"/>
      <c r="K50" s="188"/>
      <c r="L50" s="188"/>
      <c r="M50" s="188"/>
      <c r="N50" s="188"/>
      <c r="O50" s="188"/>
      <c r="P50" s="188"/>
      <c r="Q50" s="188"/>
      <c r="R50" s="188"/>
      <c r="S50" s="188"/>
      <c r="T50" s="188"/>
      <c r="U50" s="188"/>
      <c r="V50" s="211"/>
      <c r="W50" s="188"/>
      <c r="X50" s="188"/>
      <c r="Y50" s="188"/>
      <c r="Z50" s="188"/>
      <c r="AA50" s="188"/>
      <c r="AB50" s="188"/>
      <c r="AC50" s="197"/>
      <c r="AD50" s="215"/>
    </row>
    <row r="51" spans="1:30" ht="18" customHeight="1" thickTop="1" thickBot="1" x14ac:dyDescent="0.25">
      <c r="B51" s="187"/>
      <c r="C51" s="188"/>
      <c r="D51" s="193" t="s">
        <v>538</v>
      </c>
      <c r="E51" s="193"/>
      <c r="F51" s="193"/>
      <c r="G51" s="193"/>
      <c r="H51" s="193"/>
      <c r="I51" s="193"/>
      <c r="J51" s="207"/>
      <c r="K51" s="193"/>
      <c r="L51" s="193"/>
      <c r="M51" s="193"/>
      <c r="N51" s="193"/>
      <c r="O51" s="193"/>
      <c r="P51" s="193"/>
      <c r="Q51" s="193"/>
      <c r="R51" s="193"/>
      <c r="S51" s="193"/>
      <c r="T51" s="193"/>
      <c r="U51" s="193"/>
      <c r="V51" s="212"/>
      <c r="W51" s="188"/>
      <c r="X51" s="188"/>
      <c r="Y51" s="188"/>
      <c r="Z51" s="188"/>
      <c r="AA51" s="188"/>
      <c r="AB51" s="188"/>
      <c r="AC51" s="197"/>
      <c r="AD51" s="215"/>
    </row>
    <row r="52" spans="1:30" ht="7.5" customHeight="1" thickTop="1" thickBot="1" x14ac:dyDescent="0.25">
      <c r="B52" s="187"/>
      <c r="C52" s="188"/>
      <c r="D52" s="199"/>
      <c r="E52" s="200"/>
      <c r="F52" s="188"/>
      <c r="G52" s="188"/>
      <c r="H52" s="188"/>
      <c r="I52" s="188"/>
      <c r="J52" s="195"/>
      <c r="K52" s="188"/>
      <c r="L52" s="188"/>
      <c r="M52" s="188"/>
      <c r="N52" s="188"/>
      <c r="O52" s="188"/>
      <c r="P52" s="188"/>
      <c r="Q52" s="188"/>
      <c r="R52" s="188"/>
      <c r="S52" s="188"/>
      <c r="T52" s="188"/>
      <c r="U52" s="188"/>
      <c r="V52" s="211"/>
      <c r="W52" s="188"/>
      <c r="X52" s="188"/>
      <c r="Y52" s="188"/>
      <c r="Z52" s="188"/>
      <c r="AA52" s="188"/>
      <c r="AB52" s="188"/>
      <c r="AC52" s="197"/>
      <c r="AD52" s="215"/>
    </row>
    <row r="53" spans="1:30" ht="18" customHeight="1" thickTop="1" thickBot="1" x14ac:dyDescent="0.25">
      <c r="B53" s="187"/>
      <c r="C53" s="188"/>
      <c r="D53" s="188"/>
      <c r="E53" s="209" t="s">
        <v>307</v>
      </c>
      <c r="F53" s="193"/>
      <c r="G53" s="193"/>
      <c r="H53" s="193"/>
      <c r="I53" s="193"/>
      <c r="J53" s="207"/>
      <c r="K53" s="193"/>
      <c r="L53" s="193"/>
      <c r="M53" s="193"/>
      <c r="N53" s="193"/>
      <c r="O53" s="193"/>
      <c r="P53" s="193"/>
      <c r="Q53" s="193"/>
      <c r="R53" s="193"/>
      <c r="S53" s="193"/>
      <c r="T53" s="193"/>
      <c r="U53" s="193"/>
      <c r="V53" s="212"/>
      <c r="W53" s="188"/>
      <c r="X53" s="188"/>
      <c r="Y53" s="188"/>
      <c r="Z53" s="188"/>
      <c r="AA53" s="188"/>
      <c r="AB53" s="188"/>
      <c r="AC53" s="197"/>
      <c r="AD53" s="215"/>
    </row>
    <row r="54" spans="1:30" ht="18" customHeight="1" thickTop="1" thickBot="1" x14ac:dyDescent="0.25">
      <c r="B54" s="187"/>
      <c r="C54" s="188"/>
      <c r="D54" s="199"/>
      <c r="E54" s="200"/>
      <c r="F54" s="188"/>
      <c r="G54" s="188"/>
      <c r="H54" s="188"/>
      <c r="I54" s="188"/>
      <c r="J54" s="195"/>
      <c r="K54" s="188"/>
      <c r="L54" s="188"/>
      <c r="M54" s="188"/>
      <c r="N54" s="188"/>
      <c r="O54" s="188"/>
      <c r="P54" s="188"/>
      <c r="Q54" s="188"/>
      <c r="R54" s="188"/>
      <c r="S54" s="188"/>
      <c r="T54" s="188"/>
      <c r="U54" s="188"/>
      <c r="V54" s="211"/>
      <c r="W54" s="188"/>
      <c r="X54" s="188"/>
      <c r="Y54" s="188"/>
      <c r="Z54" s="188"/>
      <c r="AA54" s="188"/>
      <c r="AB54" s="188"/>
      <c r="AC54" s="197"/>
      <c r="AD54" s="215"/>
    </row>
    <row r="55" spans="1:30" ht="18" customHeight="1" thickTop="1" thickBot="1" x14ac:dyDescent="0.25">
      <c r="B55" s="187"/>
      <c r="C55" s="188"/>
      <c r="D55" s="209" t="s">
        <v>172</v>
      </c>
      <c r="E55" s="193"/>
      <c r="F55" s="193"/>
      <c r="G55" s="193"/>
      <c r="H55" s="193"/>
      <c r="I55" s="193"/>
      <c r="J55" s="207"/>
      <c r="K55" s="193"/>
      <c r="L55" s="193"/>
      <c r="M55" s="193"/>
      <c r="N55" s="193"/>
      <c r="O55" s="193"/>
      <c r="P55" s="193"/>
      <c r="Q55" s="193"/>
      <c r="R55" s="193"/>
      <c r="S55" s="193"/>
      <c r="T55" s="193"/>
      <c r="U55" s="193"/>
      <c r="V55" s="212"/>
      <c r="W55" s="188"/>
      <c r="X55" s="188"/>
      <c r="Y55" s="188"/>
      <c r="Z55" s="188"/>
      <c r="AA55" s="188"/>
      <c r="AB55" s="188"/>
      <c r="AC55" s="197"/>
      <c r="AD55" s="215"/>
    </row>
    <row r="56" spans="1:30" ht="7.5" customHeight="1" thickTop="1" thickBot="1" x14ac:dyDescent="0.25">
      <c r="B56" s="187"/>
      <c r="C56" s="188"/>
      <c r="D56" s="200"/>
      <c r="E56" s="188"/>
      <c r="F56" s="188"/>
      <c r="G56" s="188"/>
      <c r="H56" s="188"/>
      <c r="I56" s="188"/>
      <c r="J56" s="195"/>
      <c r="K56" s="188"/>
      <c r="L56" s="188"/>
      <c r="M56" s="188"/>
      <c r="N56" s="188"/>
      <c r="O56" s="188"/>
      <c r="P56" s="188"/>
      <c r="Q56" s="188"/>
      <c r="R56" s="188"/>
      <c r="S56" s="188"/>
      <c r="T56" s="188"/>
      <c r="U56" s="188"/>
      <c r="V56" s="211"/>
      <c r="W56" s="188"/>
      <c r="X56" s="188"/>
      <c r="Y56" s="188"/>
      <c r="Z56" s="188"/>
      <c r="AA56" s="188"/>
      <c r="AB56" s="188"/>
      <c r="AC56" s="197"/>
      <c r="AD56" s="215"/>
    </row>
    <row r="57" spans="1:30" ht="18" customHeight="1" thickTop="1" thickBot="1" x14ac:dyDescent="0.25">
      <c r="B57" s="187"/>
      <c r="C57" s="188"/>
      <c r="D57" s="188"/>
      <c r="E57" s="193" t="s">
        <v>240</v>
      </c>
      <c r="F57" s="193"/>
      <c r="G57" s="193"/>
      <c r="H57" s="193"/>
      <c r="I57" s="193"/>
      <c r="J57" s="207"/>
      <c r="K57" s="193"/>
      <c r="L57" s="193"/>
      <c r="M57" s="193"/>
      <c r="N57" s="193"/>
      <c r="O57" s="193"/>
      <c r="P57" s="193"/>
      <c r="Q57" s="193"/>
      <c r="R57" s="193"/>
      <c r="S57" s="193"/>
      <c r="T57" s="193"/>
      <c r="U57" s="193"/>
      <c r="V57" s="212"/>
      <c r="W57" s="188"/>
      <c r="X57" s="188"/>
      <c r="Y57" s="188"/>
      <c r="Z57" s="188"/>
      <c r="AA57" s="188"/>
      <c r="AB57" s="188"/>
      <c r="AC57" s="197"/>
      <c r="AD57" s="215"/>
    </row>
    <row r="58" spans="1:30" ht="18" customHeight="1" thickTop="1" thickBot="1" x14ac:dyDescent="0.25">
      <c r="B58" s="187"/>
      <c r="C58" s="188"/>
      <c r="D58" s="188"/>
      <c r="E58" s="188"/>
      <c r="F58" s="188"/>
      <c r="G58" s="188"/>
      <c r="H58" s="188"/>
      <c r="I58" s="188"/>
      <c r="J58" s="195"/>
      <c r="K58" s="188"/>
      <c r="L58" s="188"/>
      <c r="M58" s="188"/>
      <c r="N58" s="188"/>
      <c r="O58" s="188"/>
      <c r="P58" s="188"/>
      <c r="Q58" s="188"/>
      <c r="R58" s="188"/>
      <c r="S58" s="188"/>
      <c r="T58" s="188"/>
      <c r="U58" s="188"/>
      <c r="V58" s="211"/>
      <c r="W58" s="188"/>
      <c r="X58" s="188"/>
      <c r="Y58" s="188"/>
      <c r="Z58" s="188"/>
      <c r="AA58" s="188"/>
      <c r="AB58" s="188"/>
      <c r="AC58" s="197"/>
      <c r="AD58" s="215"/>
    </row>
    <row r="59" spans="1:30" ht="18" customHeight="1" thickTop="1" thickBot="1" x14ac:dyDescent="0.25">
      <c r="B59" s="187"/>
      <c r="C59" s="188"/>
      <c r="D59" s="209" t="s">
        <v>239</v>
      </c>
      <c r="E59" s="193"/>
      <c r="F59" s="193"/>
      <c r="G59" s="193"/>
      <c r="H59" s="193"/>
      <c r="I59" s="193"/>
      <c r="J59" s="207"/>
      <c r="K59" s="193"/>
      <c r="L59" s="193"/>
      <c r="M59" s="193"/>
      <c r="N59" s="193"/>
      <c r="O59" s="193"/>
      <c r="P59" s="193"/>
      <c r="Q59" s="193"/>
      <c r="R59" s="193"/>
      <c r="S59" s="193"/>
      <c r="T59" s="193"/>
      <c r="U59" s="193"/>
      <c r="V59" s="212"/>
      <c r="W59" s="188"/>
      <c r="X59" s="188"/>
      <c r="Y59" s="188"/>
      <c r="Z59" s="188"/>
      <c r="AA59" s="188"/>
      <c r="AB59" s="188"/>
      <c r="AC59" s="197"/>
      <c r="AD59" s="215"/>
    </row>
    <row r="60" spans="1:30" ht="18" customHeight="1" thickTop="1" thickBot="1" x14ac:dyDescent="0.25">
      <c r="B60" s="187"/>
      <c r="C60" s="188"/>
      <c r="D60" s="188"/>
      <c r="E60" s="188"/>
      <c r="F60" s="188"/>
      <c r="G60" s="188"/>
      <c r="H60" s="188"/>
      <c r="I60" s="188"/>
      <c r="J60" s="195"/>
      <c r="K60" s="188"/>
      <c r="L60" s="188"/>
      <c r="M60" s="188"/>
      <c r="N60" s="188"/>
      <c r="O60" s="188"/>
      <c r="P60" s="188"/>
      <c r="Q60" s="188"/>
      <c r="R60" s="188"/>
      <c r="S60" s="188"/>
      <c r="T60" s="188"/>
      <c r="U60" s="188"/>
      <c r="V60" s="211"/>
      <c r="W60" s="188"/>
      <c r="X60" s="188"/>
      <c r="Y60" s="188"/>
      <c r="Z60" s="188"/>
      <c r="AA60" s="188"/>
      <c r="AB60" s="188"/>
      <c r="AC60" s="197"/>
      <c r="AD60" s="215"/>
    </row>
    <row r="61" spans="1:30" ht="18" customHeight="1" thickTop="1" thickBot="1" x14ac:dyDescent="0.25">
      <c r="B61" s="187"/>
      <c r="C61" s="188"/>
      <c r="D61" s="193" t="s">
        <v>241</v>
      </c>
      <c r="E61" s="193"/>
      <c r="F61" s="193"/>
      <c r="G61" s="193"/>
      <c r="H61" s="193"/>
      <c r="I61" s="193"/>
      <c r="J61" s="207"/>
      <c r="K61" s="193"/>
      <c r="L61" s="193"/>
      <c r="M61" s="193"/>
      <c r="N61" s="193"/>
      <c r="O61" s="193"/>
      <c r="P61" s="193"/>
      <c r="Q61" s="193"/>
      <c r="R61" s="193"/>
      <c r="S61" s="193"/>
      <c r="T61" s="193"/>
      <c r="U61" s="193"/>
      <c r="V61" s="212"/>
      <c r="W61" s="188"/>
      <c r="X61" s="188"/>
      <c r="Y61" s="188"/>
      <c r="Z61" s="188"/>
      <c r="AA61" s="188"/>
      <c r="AB61" s="188"/>
      <c r="AC61" s="197"/>
      <c r="AD61" s="215"/>
    </row>
    <row r="62" spans="1:30" ht="7.5" customHeight="1" thickTop="1" thickBot="1" x14ac:dyDescent="0.25">
      <c r="B62" s="181"/>
      <c r="C62" s="196"/>
      <c r="D62" s="196"/>
      <c r="E62" s="196"/>
      <c r="F62" s="196"/>
      <c r="G62" s="196"/>
      <c r="H62" s="196"/>
      <c r="I62" s="196"/>
      <c r="J62" s="204"/>
      <c r="K62" s="196"/>
      <c r="L62" s="196"/>
      <c r="M62" s="196"/>
      <c r="N62" s="196"/>
      <c r="O62" s="196"/>
      <c r="P62" s="196"/>
      <c r="Q62" s="196"/>
      <c r="R62" s="196"/>
      <c r="S62" s="196"/>
      <c r="T62" s="196"/>
      <c r="U62" s="196"/>
      <c r="V62" s="204"/>
      <c r="W62" s="196"/>
      <c r="X62" s="196"/>
      <c r="Y62" s="196"/>
      <c r="Z62" s="196"/>
      <c r="AA62" s="196"/>
      <c r="AB62" s="196"/>
      <c r="AC62" s="198"/>
      <c r="AD62" s="215"/>
    </row>
    <row r="63" spans="1:30" ht="18" customHeight="1" x14ac:dyDescent="0.2">
      <c r="B63" s="187"/>
      <c r="C63" s="181"/>
      <c r="D63" s="181"/>
      <c r="E63" s="181"/>
      <c r="F63" s="181"/>
      <c r="G63" s="181"/>
      <c r="H63" s="181"/>
      <c r="I63" s="181"/>
      <c r="J63" s="205"/>
      <c r="K63" s="181"/>
      <c r="L63" s="181"/>
      <c r="M63" s="181"/>
      <c r="N63" s="181"/>
      <c r="O63" s="181"/>
      <c r="P63" s="181"/>
      <c r="Q63" s="181"/>
      <c r="R63" s="181"/>
      <c r="S63" s="181"/>
      <c r="T63" s="181"/>
      <c r="U63" s="181"/>
      <c r="V63" s="205"/>
      <c r="W63" s="181"/>
      <c r="X63" s="181"/>
      <c r="Y63" s="181"/>
      <c r="Z63" s="181"/>
      <c r="AA63" s="181"/>
      <c r="AB63" s="181"/>
      <c r="AC63" s="181"/>
      <c r="AD63" s="215"/>
    </row>
    <row r="64" spans="1:30" ht="18" customHeight="1" x14ac:dyDescent="0.2">
      <c r="A64" s="182"/>
      <c r="B64" s="187"/>
      <c r="C64" s="437" t="s">
        <v>629</v>
      </c>
      <c r="D64" s="437"/>
      <c r="E64" s="437"/>
      <c r="F64" s="437"/>
      <c r="G64" s="437"/>
      <c r="H64" s="437"/>
      <c r="I64" s="437"/>
      <c r="J64" s="437"/>
      <c r="K64" s="437"/>
      <c r="L64" s="437"/>
      <c r="M64" s="437"/>
      <c r="N64" s="437"/>
      <c r="O64" s="437"/>
      <c r="P64" s="437"/>
      <c r="Q64" s="437"/>
      <c r="R64" s="437"/>
      <c r="S64" s="437"/>
      <c r="T64" s="437"/>
      <c r="U64" s="437"/>
      <c r="V64" s="437"/>
      <c r="W64" s="437"/>
      <c r="X64" s="437"/>
      <c r="Y64" s="437"/>
      <c r="Z64" s="437"/>
      <c r="AA64" s="437"/>
      <c r="AB64" s="437"/>
      <c r="AC64" s="437"/>
      <c r="AD64" s="215"/>
    </row>
    <row r="65" spans="1:30" ht="18" customHeight="1" x14ac:dyDescent="0.2">
      <c r="A65" s="182"/>
      <c r="B65" s="187"/>
      <c r="C65" s="437"/>
      <c r="D65" s="437"/>
      <c r="E65" s="437"/>
      <c r="F65" s="437"/>
      <c r="G65" s="437"/>
      <c r="H65" s="437"/>
      <c r="I65" s="437"/>
      <c r="J65" s="437"/>
      <c r="K65" s="437"/>
      <c r="L65" s="437"/>
      <c r="M65" s="437"/>
      <c r="N65" s="437"/>
      <c r="O65" s="437"/>
      <c r="P65" s="437"/>
      <c r="Q65" s="437"/>
      <c r="R65" s="437"/>
      <c r="S65" s="437"/>
      <c r="T65" s="437"/>
      <c r="U65" s="437"/>
      <c r="V65" s="437"/>
      <c r="W65" s="437"/>
      <c r="X65" s="437"/>
      <c r="Y65" s="437"/>
      <c r="Z65" s="437"/>
      <c r="AA65" s="437"/>
      <c r="AB65" s="437"/>
      <c r="AC65" s="437"/>
      <c r="AD65" s="215"/>
    </row>
    <row r="66" spans="1:30" ht="18" customHeight="1" x14ac:dyDescent="0.2">
      <c r="A66" s="182"/>
      <c r="B66" s="187"/>
      <c r="C66" s="437"/>
      <c r="D66" s="437"/>
      <c r="E66" s="437"/>
      <c r="F66" s="437"/>
      <c r="G66" s="437"/>
      <c r="H66" s="437"/>
      <c r="I66" s="437"/>
      <c r="J66" s="437"/>
      <c r="K66" s="437"/>
      <c r="L66" s="437"/>
      <c r="M66" s="437"/>
      <c r="N66" s="437"/>
      <c r="O66" s="437"/>
      <c r="P66" s="437"/>
      <c r="Q66" s="437"/>
      <c r="R66" s="437"/>
      <c r="S66" s="437"/>
      <c r="T66" s="437"/>
      <c r="U66" s="437"/>
      <c r="V66" s="437"/>
      <c r="W66" s="437"/>
      <c r="X66" s="437"/>
      <c r="Y66" s="437"/>
      <c r="Z66" s="437"/>
      <c r="AA66" s="437"/>
      <c r="AB66" s="437"/>
      <c r="AC66" s="437"/>
      <c r="AD66" s="215"/>
    </row>
    <row r="67" spans="1:30" ht="18" customHeight="1" x14ac:dyDescent="0.2">
      <c r="A67" s="182"/>
      <c r="B67" s="187"/>
      <c r="C67" s="437"/>
      <c r="D67" s="437"/>
      <c r="E67" s="437"/>
      <c r="F67" s="437"/>
      <c r="G67" s="437"/>
      <c r="H67" s="437"/>
      <c r="I67" s="437"/>
      <c r="J67" s="437"/>
      <c r="K67" s="437"/>
      <c r="L67" s="437"/>
      <c r="M67" s="437"/>
      <c r="N67" s="437"/>
      <c r="O67" s="437"/>
      <c r="P67" s="437"/>
      <c r="Q67" s="437"/>
      <c r="R67" s="437"/>
      <c r="S67" s="437"/>
      <c r="T67" s="437"/>
      <c r="U67" s="437"/>
      <c r="V67" s="437"/>
      <c r="W67" s="437"/>
      <c r="X67" s="437"/>
      <c r="Y67" s="437"/>
      <c r="Z67" s="437"/>
      <c r="AA67" s="437"/>
      <c r="AB67" s="437"/>
      <c r="AC67" s="437"/>
      <c r="AD67" s="215"/>
    </row>
    <row r="68" spans="1:30" ht="18" customHeight="1" x14ac:dyDescent="0.2">
      <c r="A68" s="189"/>
      <c r="B68" s="187"/>
      <c r="C68" s="437"/>
      <c r="D68" s="437"/>
      <c r="E68" s="437"/>
      <c r="F68" s="437"/>
      <c r="G68" s="437"/>
      <c r="H68" s="437"/>
      <c r="I68" s="437"/>
      <c r="J68" s="437"/>
      <c r="K68" s="437"/>
      <c r="L68" s="437"/>
      <c r="M68" s="437"/>
      <c r="N68" s="437"/>
      <c r="O68" s="437"/>
      <c r="P68" s="437"/>
      <c r="Q68" s="437"/>
      <c r="R68" s="437"/>
      <c r="S68" s="437"/>
      <c r="T68" s="437"/>
      <c r="U68" s="437"/>
      <c r="V68" s="437"/>
      <c r="W68" s="437"/>
      <c r="X68" s="437"/>
      <c r="Y68" s="437"/>
      <c r="Z68" s="437"/>
      <c r="AA68" s="437"/>
      <c r="AB68" s="437"/>
      <c r="AC68" s="437"/>
      <c r="AD68" s="215"/>
    </row>
    <row r="69" spans="1:30" ht="7.5" customHeight="1" thickTop="1" x14ac:dyDescent="0.2">
      <c r="B69" s="216"/>
      <c r="C69" s="217"/>
      <c r="D69" s="217"/>
      <c r="E69" s="217"/>
      <c r="F69" s="217"/>
      <c r="G69" s="217"/>
      <c r="H69" s="217"/>
      <c r="I69" s="217"/>
      <c r="J69" s="218"/>
      <c r="K69" s="217"/>
      <c r="L69" s="217"/>
      <c r="M69" s="217"/>
      <c r="N69" s="217"/>
      <c r="O69" s="217"/>
      <c r="P69" s="217"/>
      <c r="Q69" s="217"/>
      <c r="R69" s="217"/>
      <c r="S69" s="217"/>
      <c r="T69" s="217"/>
      <c r="U69" s="217"/>
      <c r="V69" s="218"/>
      <c r="W69" s="217"/>
      <c r="X69" s="217"/>
      <c r="Y69" s="217"/>
      <c r="Z69" s="217"/>
      <c r="AA69" s="217"/>
      <c r="AB69" s="217"/>
      <c r="AC69" s="217"/>
      <c r="AD69" s="219"/>
    </row>
  </sheetData>
  <mergeCells count="8">
    <mergeCell ref="D21:AB23"/>
    <mergeCell ref="C64:AC68"/>
    <mergeCell ref="C3:AC4"/>
    <mergeCell ref="D7:AB10"/>
    <mergeCell ref="D16:I17"/>
    <mergeCell ref="J16:AB17"/>
    <mergeCell ref="J14:AB14"/>
    <mergeCell ref="J12:AB12"/>
  </mergeCells>
  <conditionalFormatting sqref="E27:V27 G31:V31 F37:V37 E39:V39 F41:V41 G43:V43 H45:V45 H47:V47 E49:V49 D51:V51 E53:V53 D55:V55 E57:V57 D59:V59 D61:V61">
    <cfRule type="expression" dxfId="56" priority="20">
      <formula>$V$25=""</formula>
    </cfRule>
  </conditionalFormatting>
  <conditionalFormatting sqref="E27:V27 G31:V31 F37:V37 E39:V39 F41:V41 G43:V43 H45:V45 H47:V47 E49:V49">
    <cfRule type="expression" dxfId="55" priority="18">
      <formula>$V$25="Linear Case"</formula>
    </cfRule>
  </conditionalFormatting>
  <conditionalFormatting sqref="E53:V53">
    <cfRule type="expression" dxfId="54" priority="16">
      <formula>$V$51&lt;&gt;"in Detail"</formula>
    </cfRule>
  </conditionalFormatting>
  <conditionalFormatting sqref="E57:V57">
    <cfRule type="expression" dxfId="53" priority="17">
      <formula>$V$55&lt;&gt;"Yes"</formula>
    </cfRule>
  </conditionalFormatting>
  <conditionalFormatting sqref="F29:V29">
    <cfRule type="expression" dxfId="52" priority="10">
      <formula>$V$25="Linear Case"</formula>
    </cfRule>
    <cfRule type="expression" dxfId="51" priority="11">
      <formula>$V$25=""</formula>
    </cfRule>
    <cfRule type="expression" dxfId="50" priority="12">
      <formula>AND($V$27&lt;&gt;"Repair", $V$27&lt;&gt;"Refurbish")</formula>
    </cfRule>
  </conditionalFormatting>
  <conditionalFormatting sqref="F33:V33">
    <cfRule type="expression" dxfId="49" priority="7">
      <formula>$V$25="Linear Case"</formula>
    </cfRule>
    <cfRule type="expression" dxfId="48" priority="8">
      <formula>OR($V$27="",$V$27="Repair",$V$27="Rental",$V$27="Recycle",$V$27="Reuse",$V$27="Refurbish")</formula>
    </cfRule>
    <cfRule type="expression" dxfId="47" priority="9">
      <formula>$V$25=""</formula>
    </cfRule>
  </conditionalFormatting>
  <conditionalFormatting sqref="F35:V35">
    <cfRule type="expression" dxfId="46" priority="1">
      <formula>$V$25="Linear Case"</formula>
    </cfRule>
    <cfRule type="expression" dxfId="45" priority="2">
      <formula>OR($V$27="",$V$27="Rental")</formula>
    </cfRule>
    <cfRule type="expression" dxfId="44" priority="3">
      <formula>$V$25=""</formula>
    </cfRule>
  </conditionalFormatting>
  <conditionalFormatting sqref="F37:V37">
    <cfRule type="expression" dxfId="43" priority="19">
      <formula>OR($V$27="",$V$27="Repair",$V$27="Rental")</formula>
    </cfRule>
  </conditionalFormatting>
  <conditionalFormatting sqref="F41:V41">
    <cfRule type="expression" dxfId="42" priority="13">
      <formula>$V$39&lt;&gt;"Yes"</formula>
    </cfRule>
  </conditionalFormatting>
  <conditionalFormatting sqref="G31:V31">
    <cfRule type="expression" dxfId="41" priority="21">
      <formula>$V$29&lt;&gt;"Service"</formula>
    </cfRule>
  </conditionalFormatting>
  <conditionalFormatting sqref="G43:V43">
    <cfRule type="expression" dxfId="40" priority="15">
      <formula>$V$41&lt;&gt;"in Detail"</formula>
    </cfRule>
  </conditionalFormatting>
  <conditionalFormatting sqref="H45:V45 H47:V47">
    <cfRule type="expression" dxfId="39" priority="14">
      <formula>$V$43&lt;&gt;"Company-Led Pickup"</formula>
    </cfRule>
  </conditionalFormatting>
  <dataValidations count="14">
    <dataValidation type="list" allowBlank="1" showInputMessage="1" showErrorMessage="1" sqref="V59" xr:uid="{3CDCA509-3F1C-4FD2-9417-BC4587AA2D7B}">
      <formula1>"1,2,3,4,5"</formula1>
    </dataValidation>
    <dataValidation type="list" allowBlank="1" showInputMessage="1" showErrorMessage="1" sqref="V57 V49 AR56 V55 V61 V39 V47" xr:uid="{3E1FAB06-E1F4-8641-BAB1-161DA721DE29}">
      <formula1>"Yes, No"</formula1>
    </dataValidation>
    <dataValidation type="list" allowBlank="1" showInputMessage="1" showErrorMessage="1" sqref="AS29 AS31:AS54" xr:uid="{82532B76-331A-EF43-9D86-6FE35F1C41F6}">
      <formula1>"Rental, Repair (Customer Site), Repair (In-House), Reuse, Refurbishment, Remanufacturing, Repurpose, Material for Recycling"</formula1>
    </dataValidation>
    <dataValidation type="list" allowBlank="1" showInputMessage="1" showErrorMessage="1" sqref="V25" xr:uid="{8E8AF202-9E10-B742-B44B-97EC6C929BC7}">
      <formula1>"Linear Case, R-Strategy Case"</formula1>
    </dataValidation>
    <dataValidation type="list" allowBlank="1" showInputMessage="1" showErrorMessage="1" sqref="V37" xr:uid="{CCF9F0DF-4823-8D4F-B6DD-26045CA306E6}">
      <formula1>"Yes,No"</formula1>
    </dataValidation>
    <dataValidation type="list" allowBlank="1" showInputMessage="1" showErrorMessage="1" sqref="V27" xr:uid="{6713E484-38C1-450C-B44E-C847CFB13F6D}">
      <formula1>"Reuse, Repair, Refurbish, Remanufacture, Repurpose, Recycle, Rental"</formula1>
    </dataValidation>
    <dataValidation type="list" allowBlank="1" showInputMessage="1" showErrorMessage="1" sqref="V31" xr:uid="{00C6C8B2-01D6-4FB3-A958-C80487CE1227}">
      <formula1>"Customer-Site Service, In-House Service"</formula1>
    </dataValidation>
    <dataValidation type="list" allowBlank="1" showInputMessage="1" showErrorMessage="1" sqref="V43" xr:uid="{33FB3770-75F9-4C1E-95E3-B5B3663E4287}">
      <formula1>"Customer-Led Return, Company-Led Pickup"</formula1>
    </dataValidation>
    <dataValidation type="list" allowBlank="1" showInputMessage="1" showErrorMessage="1" sqref="V45" xr:uid="{2575F16F-A263-40AB-B551-D4DB19395CA8}">
      <formula1>"Direct Transport, Multi Stage System"</formula1>
    </dataValidation>
    <dataValidation type="list" allowBlank="1" showInputMessage="1" showErrorMessage="1" sqref="V50 V52 V54" xr:uid="{9B46BE86-A1AA-4B88-A73A-A184504C63D8}">
      <formula1>"Shipment (e.g. postal), Delivery Service"</formula1>
    </dataValidation>
    <dataValidation type="list" allowBlank="1" showInputMessage="1" showErrorMessage="1" sqref="V41 V51" xr:uid="{9E8F6E97-7EB3-4FDA-8DAA-A845B2E93E51}">
      <formula1>"in Detail, as a Flat Rate"</formula1>
    </dataValidation>
    <dataValidation type="list" allowBlank="1" showInputMessage="1" showErrorMessage="1" sqref="V29" xr:uid="{FB109C32-06D3-490B-9586-61014E37799C}">
      <formula1>"Service, Product"</formula1>
    </dataValidation>
    <dataValidation type="list" allowBlank="1" showInputMessage="1" showErrorMessage="1" sqref="V33" xr:uid="{FF63009F-15AD-6844-AF75-895158B4B50F}">
      <formula1>"1, 2, 3, 4, 5, 6, 7, 8, 9, 10"</formula1>
    </dataValidation>
    <dataValidation type="list" allowBlank="1" showInputMessage="1" showErrorMessage="1" sqref="V53" xr:uid="{22453D47-381A-4DFB-8303-7903AE3950B6}">
      <formula1>"Delivery Service, Shipment (e.g. postal)"</formula1>
    </dataValidation>
  </dataValidations>
  <pageMargins left="0.7" right="0.7"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2:J177"/>
  <sheetViews>
    <sheetView showGridLines="0" topLeftCell="A2" zoomScaleNormal="100" workbookViewId="0">
      <pane ySplit="3" topLeftCell="A5" activePane="bottomLeft" state="frozen"/>
      <selection activeCell="A2" sqref="A2"/>
      <selection pane="bottomLeft" activeCell="D45" sqref="D45"/>
    </sheetView>
  </sheetViews>
  <sheetFormatPr baseColWidth="10" defaultColWidth="14.5" defaultRowHeight="20" customHeight="1" zeroHeight="1" x14ac:dyDescent="0.2"/>
  <cols>
    <col min="1" max="1" width="2.83203125" style="53" customWidth="1"/>
    <col min="2" max="2" width="14.33203125" customWidth="1"/>
    <col min="3" max="3" width="64.6640625" style="179" customWidth="1"/>
    <col min="4" max="4" width="55.83203125" style="370" customWidth="1"/>
    <col min="5" max="5" width="54.5" hidden="1" customWidth="1"/>
    <col min="6" max="6" width="15.6640625" style="140" bestFit="1" customWidth="1"/>
    <col min="7" max="9" width="15.6640625" style="140" customWidth="1"/>
    <col min="10" max="10" width="29.1640625" style="50" customWidth="1"/>
    <col min="11" max="11" width="2.83203125" style="50" customWidth="1"/>
    <col min="12" max="22" width="10.6640625" style="50" customWidth="1"/>
    <col min="23" max="16384" width="14.5" style="50"/>
  </cols>
  <sheetData>
    <row r="2" spans="2:10" s="180" customFormat="1" ht="30" customHeight="1" x14ac:dyDescent="0.2">
      <c r="B2" s="449" t="s">
        <v>635</v>
      </c>
      <c r="C2" s="450"/>
      <c r="D2" s="450"/>
      <c r="E2" s="450"/>
      <c r="F2" s="450"/>
      <c r="G2" s="450"/>
      <c r="H2" s="450"/>
      <c r="I2" s="450"/>
      <c r="J2" s="451"/>
    </row>
    <row r="3" spans="2:10" ht="113" customHeight="1" x14ac:dyDescent="0.2">
      <c r="B3" s="452" t="s">
        <v>631</v>
      </c>
      <c r="C3" s="453"/>
      <c r="D3" s="453"/>
      <c r="E3" s="453"/>
      <c r="F3" s="453"/>
      <c r="G3" s="453"/>
      <c r="H3" s="453"/>
      <c r="I3" s="453"/>
      <c r="J3" s="454"/>
    </row>
    <row r="4" spans="2:10" s="7" customFormat="1" ht="25" collapsed="1" x14ac:dyDescent="0.15">
      <c r="B4" s="301" t="s">
        <v>0</v>
      </c>
      <c r="C4" s="301" t="s">
        <v>59</v>
      </c>
      <c r="D4" s="360" t="s">
        <v>242</v>
      </c>
      <c r="E4" s="301" t="s">
        <v>223</v>
      </c>
      <c r="F4" s="355" t="s">
        <v>546</v>
      </c>
      <c r="G4" s="354" t="s">
        <v>568</v>
      </c>
      <c r="H4" s="354" t="s">
        <v>569</v>
      </c>
      <c r="I4" s="354" t="s">
        <v>570</v>
      </c>
      <c r="J4" s="301" t="s">
        <v>1</v>
      </c>
    </row>
    <row r="5" spans="2:10" ht="20" customHeight="1" x14ac:dyDescent="0.2">
      <c r="B5" s="243" t="s">
        <v>552</v>
      </c>
      <c r="C5" s="258"/>
      <c r="D5" s="379"/>
      <c r="E5" s="258"/>
      <c r="F5" s="259"/>
      <c r="G5" s="259"/>
      <c r="H5" s="259"/>
      <c r="I5" s="259"/>
      <c r="J5" s="260"/>
    </row>
    <row r="6" spans="2:10" ht="19.5" customHeight="1" x14ac:dyDescent="0.2">
      <c r="B6" s="244"/>
      <c r="C6" s="304" t="s">
        <v>98</v>
      </c>
      <c r="D6" s="380" t="s">
        <v>99</v>
      </c>
      <c r="E6" s="304" t="s">
        <v>98</v>
      </c>
      <c r="F6" s="305"/>
      <c r="G6" s="305"/>
      <c r="H6" s="305"/>
      <c r="I6" s="305"/>
      <c r="J6" s="304" t="s">
        <v>11</v>
      </c>
    </row>
    <row r="7" spans="2:10" ht="19.5" customHeight="1" x14ac:dyDescent="0.2">
      <c r="B7" s="244"/>
      <c r="C7" s="304" t="s">
        <v>17</v>
      </c>
      <c r="D7" s="380"/>
      <c r="E7" s="304" t="s">
        <v>17</v>
      </c>
      <c r="F7" s="305"/>
      <c r="G7" s="305"/>
      <c r="H7" s="305"/>
      <c r="I7" s="305"/>
      <c r="J7" s="304" t="s">
        <v>11</v>
      </c>
    </row>
    <row r="8" spans="2:10" ht="19.5" customHeight="1" x14ac:dyDescent="0.2">
      <c r="B8" s="244"/>
      <c r="C8" s="236" t="s">
        <v>47</v>
      </c>
      <c r="D8" s="376"/>
      <c r="E8" s="236" t="s">
        <v>47</v>
      </c>
      <c r="F8" s="306"/>
      <c r="G8" s="351"/>
      <c r="H8" s="351"/>
      <c r="I8" s="351"/>
      <c r="J8" s="307" t="s">
        <v>11</v>
      </c>
    </row>
    <row r="9" spans="2:10" ht="20" customHeight="1" x14ac:dyDescent="0.2">
      <c r="B9" s="244"/>
      <c r="C9" s="255" t="s">
        <v>548</v>
      </c>
      <c r="D9" s="363"/>
      <c r="E9" s="255" t="s">
        <v>548</v>
      </c>
      <c r="F9" s="256"/>
      <c r="G9" s="256"/>
      <c r="H9" s="256"/>
      <c r="I9" s="256"/>
      <c r="J9" s="255" t="s">
        <v>5</v>
      </c>
    </row>
    <row r="10" spans="2:10" ht="7.5" customHeight="1" x14ac:dyDescent="0.2">
      <c r="B10" s="242"/>
      <c r="C10" s="261"/>
      <c r="D10" s="366"/>
      <c r="E10" s="261"/>
      <c r="F10" s="262"/>
      <c r="G10" s="262"/>
      <c r="H10" s="262"/>
      <c r="I10" s="262"/>
      <c r="J10" s="263"/>
    </row>
    <row r="11" spans="2:10" ht="20" customHeight="1" x14ac:dyDescent="0.2">
      <c r="B11" s="243" t="s">
        <v>551</v>
      </c>
      <c r="C11" s="258"/>
      <c r="D11" s="379"/>
      <c r="E11" s="258"/>
      <c r="F11" s="259"/>
      <c r="G11" s="259"/>
      <c r="H11" s="259"/>
      <c r="I11" s="259"/>
      <c r="J11" s="260"/>
    </row>
    <row r="12" spans="2:10" ht="19.5" customHeight="1" x14ac:dyDescent="0.2">
      <c r="B12" s="421"/>
      <c r="C12" s="223" t="s">
        <v>309</v>
      </c>
      <c r="D12" s="362"/>
      <c r="E12" s="224" t="s">
        <v>105</v>
      </c>
      <c r="F12" s="225"/>
      <c r="G12" s="352"/>
      <c r="H12" s="352"/>
      <c r="I12" s="352"/>
      <c r="J12" s="302" t="s">
        <v>5</v>
      </c>
    </row>
    <row r="13" spans="2:10" ht="20" customHeight="1" x14ac:dyDescent="0.2">
      <c r="B13" s="422"/>
      <c r="C13" s="226" t="s">
        <v>310</v>
      </c>
      <c r="D13" s="363"/>
      <c r="E13" s="227" t="s">
        <v>106</v>
      </c>
      <c r="F13" s="228"/>
      <c r="G13" s="353"/>
      <c r="H13" s="353"/>
      <c r="I13" s="353"/>
      <c r="J13" s="303" t="s">
        <v>6</v>
      </c>
    </row>
    <row r="14" spans="2:10" ht="7.5" customHeight="1" x14ac:dyDescent="0.2">
      <c r="B14" s="242"/>
      <c r="C14" s="261"/>
      <c r="D14" s="366"/>
      <c r="E14" s="261"/>
      <c r="F14" s="262"/>
      <c r="G14" s="262"/>
      <c r="H14" s="262"/>
      <c r="I14" s="262"/>
      <c r="J14" s="263"/>
    </row>
    <row r="15" spans="2:10" ht="20" customHeight="1" x14ac:dyDescent="0.2">
      <c r="B15" s="243" t="s">
        <v>16</v>
      </c>
      <c r="C15" s="308"/>
      <c r="D15" s="381"/>
      <c r="E15" s="308"/>
      <c r="F15" s="309"/>
      <c r="G15" s="309"/>
      <c r="H15" s="309"/>
      <c r="I15" s="309"/>
      <c r="J15" s="310"/>
    </row>
    <row r="16" spans="2:10" ht="20" customHeight="1" x14ac:dyDescent="0.2">
      <c r="B16" s="244"/>
      <c r="C16" s="224" t="s">
        <v>100</v>
      </c>
      <c r="D16" s="362"/>
      <c r="E16" s="224" t="s">
        <v>100</v>
      </c>
      <c r="F16" s="225"/>
      <c r="G16" s="225"/>
      <c r="H16" s="225"/>
      <c r="I16" s="225"/>
      <c r="J16" s="302" t="s">
        <v>5</v>
      </c>
    </row>
    <row r="17" spans="2:10" ht="20" customHeight="1" x14ac:dyDescent="0.2">
      <c r="B17" s="244"/>
      <c r="C17" s="227" t="s">
        <v>130</v>
      </c>
      <c r="D17" s="363"/>
      <c r="E17" s="227" t="s">
        <v>130</v>
      </c>
      <c r="F17" s="228"/>
      <c r="G17" s="228"/>
      <c r="H17" s="228"/>
      <c r="I17" s="228"/>
      <c r="J17" s="303" t="s">
        <v>46</v>
      </c>
    </row>
    <row r="18" spans="2:10" ht="20" customHeight="1" x14ac:dyDescent="0.2">
      <c r="B18" s="244"/>
      <c r="C18" s="253" t="s">
        <v>97</v>
      </c>
      <c r="D18" s="365" t="s">
        <v>597</v>
      </c>
      <c r="E18" s="253" t="s">
        <v>97</v>
      </c>
      <c r="F18" s="257"/>
      <c r="G18" s="257"/>
      <c r="H18" s="257"/>
      <c r="I18" s="257"/>
      <c r="J18" s="253" t="s">
        <v>6</v>
      </c>
    </row>
    <row r="19" spans="2:10" ht="7.5" customHeight="1" x14ac:dyDescent="0.2">
      <c r="B19" s="242"/>
      <c r="C19" s="239"/>
      <c r="D19" s="382"/>
      <c r="E19" s="239"/>
      <c r="F19" s="240"/>
      <c r="G19" s="240"/>
      <c r="H19" s="240"/>
      <c r="I19" s="240"/>
      <c r="J19" s="241"/>
    </row>
    <row r="20" spans="2:10" ht="20" customHeight="1" x14ac:dyDescent="0.2">
      <c r="B20" s="388" t="s">
        <v>596</v>
      </c>
      <c r="C20" s="389"/>
      <c r="D20" s="390"/>
      <c r="E20" s="389"/>
      <c r="F20" s="391"/>
      <c r="G20" s="391"/>
      <c r="H20" s="391"/>
      <c r="I20" s="391"/>
      <c r="J20" s="392"/>
    </row>
    <row r="21" spans="2:10" ht="20" customHeight="1" x14ac:dyDescent="0.2">
      <c r="B21" s="393"/>
      <c r="C21" s="394" t="s">
        <v>549</v>
      </c>
      <c r="D21" s="395" t="s">
        <v>420</v>
      </c>
      <c r="E21" s="396" t="s">
        <v>418</v>
      </c>
      <c r="F21" s="397" cm="1">
        <f t="array" ref="F21">IFERROR(_xlfn.IFS(AND('Step 1 - Case Selection'!V43="Company-Led Pickup", 'Step 1 - Case Selection'!V45="Direct Transport"), 1, AND('Step 1 - Case Selection'!V43="Company-Led Pickup", 'Step 1 - Case Selection'!V45="Multi Stage System", 'Step 1 - Case Selection'!V47="No"), 2, AND('Step 1 - Case Selection'!V43="Company-Led Pickup", 'Step 1 - Case Selection'!V45="Multi Stage System", 'Step 1 - Case Selection'!V47="Yes"), 3, 'Step 1 - Case Selection'!V43="Customer-Led Return", 4),0)</f>
        <v>0</v>
      </c>
      <c r="G21" s="398"/>
      <c r="H21" s="398"/>
      <c r="I21" s="398"/>
      <c r="J21" s="399"/>
    </row>
    <row r="22" spans="2:10" ht="20" customHeight="1" x14ac:dyDescent="0.2">
      <c r="B22" s="393"/>
      <c r="C22" s="401" t="s">
        <v>550</v>
      </c>
      <c r="D22" s="402" t="s">
        <v>419</v>
      </c>
      <c r="E22" s="403" t="s">
        <v>413</v>
      </c>
      <c r="F22" s="404" cm="1">
        <f t="array" ref="F22">IFERROR(_xlfn.IFS('Step 1 - Case Selection'!V31="Customer-Site Service", 3, 'Step 1 - Case Selection'!V53="Delivery Service", 1, 'Step 1 - Case Selection'!V53="Shipment (e.g. postal)", 2),0)</f>
        <v>0</v>
      </c>
      <c r="G22" s="405"/>
      <c r="H22" s="405"/>
      <c r="I22" s="405"/>
      <c r="J22" s="406"/>
    </row>
    <row r="23" spans="2:10" ht="20" customHeight="1" x14ac:dyDescent="0.2">
      <c r="B23" s="393"/>
      <c r="C23" s="401" t="s">
        <v>615</v>
      </c>
      <c r="D23" s="402" t="s">
        <v>616</v>
      </c>
      <c r="E23" s="403" t="s">
        <v>170</v>
      </c>
      <c r="F23" s="404">
        <f>IF('Step 1 - Case Selection'!V33=0, 1, 'Step 1 - Case Selection'!V33)</f>
        <v>1</v>
      </c>
      <c r="G23" s="404">
        <f>IF('Step 1 - Case Selection'!V33=0, 1, 'Step 1 - Case Selection'!V33)</f>
        <v>1</v>
      </c>
      <c r="H23" s="404">
        <f>IF('Step 1 - Case Selection'!V33=0, 1, 'Step 1 - Case Selection'!V33)</f>
        <v>1</v>
      </c>
      <c r="I23" s="404">
        <f>IF('Step 1 - Case Selection'!V33=0, 1, 'Step 1 - Case Selection'!V33)</f>
        <v>1</v>
      </c>
      <c r="J23" s="406" t="s">
        <v>599</v>
      </c>
    </row>
    <row r="24" spans="2:10" ht="20" customHeight="1" x14ac:dyDescent="0.2">
      <c r="B24" s="400"/>
      <c r="C24" s="425" t="s">
        <v>298</v>
      </c>
      <c r="D24" s="426" t="s">
        <v>604</v>
      </c>
      <c r="E24" s="427" t="s">
        <v>396</v>
      </c>
      <c r="F24" s="429">
        <f>IF('Step 1 - Case Selection'!V35=0, 1, 1-'Step 1 - Case Selection'!V35)</f>
        <v>1</v>
      </c>
      <c r="G24" s="429">
        <f>IF('Step 1 - Case Selection'!V35=0, 1, 1-'Step 1 - Case Selection'!V35)</f>
        <v>1</v>
      </c>
      <c r="H24" s="429">
        <f>IF('Step 1 - Case Selection'!V35=0, 1, 1-'Step 1 - Case Selection'!V35)</f>
        <v>1</v>
      </c>
      <c r="I24" s="429">
        <f>IF('Step 1 - Case Selection'!V35=0, 1, 1-'Step 1 - Case Selection'!V35)</f>
        <v>1</v>
      </c>
      <c r="J24" s="428" t="s">
        <v>11</v>
      </c>
    </row>
    <row r="25" spans="2:10" ht="20" customHeight="1" x14ac:dyDescent="0.2"/>
    <row r="26" spans="2:10" ht="20" customHeight="1" x14ac:dyDescent="0.2"/>
    <row r="27" spans="2:10" ht="20" customHeight="1" x14ac:dyDescent="0.2"/>
    <row r="28" spans="2:10" ht="20" customHeight="1" x14ac:dyDescent="0.2"/>
    <row r="29" spans="2:10" ht="20" customHeight="1" x14ac:dyDescent="0.2"/>
    <row r="30" spans="2:10" ht="20" customHeight="1" x14ac:dyDescent="0.2"/>
    <row r="31" spans="2:10" ht="20" customHeight="1" x14ac:dyDescent="0.2"/>
    <row r="32" spans="2:10"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row r="47" ht="20" customHeight="1" x14ac:dyDescent="0.2"/>
    <row r="48" ht="20" customHeight="1" x14ac:dyDescent="0.2"/>
    <row r="49" ht="20" customHeight="1" x14ac:dyDescent="0.2"/>
    <row r="50" ht="20" customHeight="1" x14ac:dyDescent="0.2"/>
    <row r="51" ht="20" customHeight="1" x14ac:dyDescent="0.2"/>
    <row r="52" ht="20" customHeight="1" x14ac:dyDescent="0.2"/>
    <row r="53" ht="20" customHeight="1" x14ac:dyDescent="0.2"/>
    <row r="54" ht="20" customHeight="1" x14ac:dyDescent="0.2"/>
    <row r="55" ht="20" customHeight="1" x14ac:dyDescent="0.2"/>
    <row r="56" ht="20" customHeight="1" x14ac:dyDescent="0.2"/>
    <row r="57" ht="20" customHeight="1" x14ac:dyDescent="0.2"/>
    <row r="58" ht="20" customHeight="1" x14ac:dyDescent="0.2"/>
    <row r="59" ht="20" customHeight="1" x14ac:dyDescent="0.2"/>
    <row r="60" ht="20" customHeight="1" x14ac:dyDescent="0.2"/>
    <row r="61" ht="20" customHeight="1" x14ac:dyDescent="0.2"/>
    <row r="62" ht="20" customHeight="1" x14ac:dyDescent="0.2"/>
    <row r="63" ht="20" customHeight="1" x14ac:dyDescent="0.2"/>
    <row r="64" ht="20" customHeight="1" x14ac:dyDescent="0.2"/>
    <row r="65" ht="20" customHeight="1" x14ac:dyDescent="0.2"/>
    <row r="66" ht="20" customHeight="1" x14ac:dyDescent="0.2"/>
    <row r="67" ht="20" customHeight="1" x14ac:dyDescent="0.2"/>
    <row r="68" ht="20" customHeight="1" x14ac:dyDescent="0.2"/>
    <row r="69" ht="20" customHeight="1" x14ac:dyDescent="0.2"/>
    <row r="70" ht="20" customHeight="1" x14ac:dyDescent="0.2"/>
    <row r="71" ht="20" customHeight="1" x14ac:dyDescent="0.2"/>
    <row r="72" ht="20" customHeight="1" x14ac:dyDescent="0.2"/>
    <row r="73" ht="20" customHeight="1" x14ac:dyDescent="0.2"/>
    <row r="74" ht="20" customHeight="1" x14ac:dyDescent="0.2"/>
    <row r="75" ht="20" customHeight="1" x14ac:dyDescent="0.2"/>
    <row r="76" ht="20" customHeight="1" x14ac:dyDescent="0.2"/>
    <row r="77" ht="20" customHeight="1" x14ac:dyDescent="0.2"/>
    <row r="78" ht="20" customHeight="1" x14ac:dyDescent="0.2"/>
    <row r="79" ht="20" customHeight="1" x14ac:dyDescent="0.2"/>
    <row r="80" ht="20" customHeight="1" x14ac:dyDescent="0.2"/>
    <row r="81" ht="20" customHeight="1" x14ac:dyDescent="0.2"/>
    <row r="82" ht="20" customHeight="1" x14ac:dyDescent="0.2"/>
    <row r="83" ht="20" customHeight="1" x14ac:dyDescent="0.2"/>
    <row r="84" ht="20" customHeight="1" x14ac:dyDescent="0.2"/>
    <row r="85" ht="20" customHeight="1" x14ac:dyDescent="0.2"/>
    <row r="86" ht="20" customHeight="1" x14ac:dyDescent="0.2"/>
    <row r="87" ht="20" customHeight="1" x14ac:dyDescent="0.2"/>
    <row r="88" ht="20" customHeight="1" x14ac:dyDescent="0.2"/>
    <row r="89" ht="20" customHeight="1" x14ac:dyDescent="0.2"/>
    <row r="90" ht="20" customHeight="1" x14ac:dyDescent="0.2"/>
    <row r="91" ht="20" customHeight="1" x14ac:dyDescent="0.2"/>
    <row r="92" ht="20" customHeight="1" x14ac:dyDescent="0.2"/>
    <row r="93" ht="20" customHeight="1" x14ac:dyDescent="0.2"/>
    <row r="94" ht="20" customHeight="1" x14ac:dyDescent="0.2"/>
    <row r="95" ht="20" customHeight="1" x14ac:dyDescent="0.2"/>
    <row r="96" ht="20" customHeight="1" x14ac:dyDescent="0.2"/>
    <row r="97" ht="20" customHeight="1" x14ac:dyDescent="0.2"/>
    <row r="98" ht="20" customHeight="1" x14ac:dyDescent="0.2"/>
    <row r="99" ht="20" customHeight="1" x14ac:dyDescent="0.2"/>
    <row r="100" ht="20" customHeight="1" x14ac:dyDescent="0.2"/>
    <row r="101" ht="20" customHeight="1" x14ac:dyDescent="0.2"/>
    <row r="102" ht="20" customHeight="1" x14ac:dyDescent="0.2"/>
    <row r="103" ht="20" customHeight="1" x14ac:dyDescent="0.2"/>
    <row r="104" ht="20" customHeight="1" x14ac:dyDescent="0.2"/>
    <row r="105" ht="20" customHeight="1" x14ac:dyDescent="0.2"/>
    <row r="106" ht="20" customHeight="1" x14ac:dyDescent="0.2"/>
    <row r="107" ht="20" customHeight="1" x14ac:dyDescent="0.2"/>
    <row r="108" ht="20" customHeight="1" x14ac:dyDescent="0.2"/>
    <row r="109" ht="20" customHeight="1" x14ac:dyDescent="0.2"/>
    <row r="110" ht="20" customHeight="1" x14ac:dyDescent="0.2"/>
    <row r="111" ht="20" customHeight="1" x14ac:dyDescent="0.2"/>
    <row r="112" ht="20" customHeight="1" x14ac:dyDescent="0.2"/>
    <row r="113" ht="20" customHeight="1" x14ac:dyDescent="0.2"/>
    <row r="114" ht="20" customHeight="1" x14ac:dyDescent="0.2"/>
    <row r="115" ht="20" customHeight="1" x14ac:dyDescent="0.2"/>
    <row r="116" ht="20" customHeight="1" x14ac:dyDescent="0.2"/>
    <row r="117" ht="20" customHeight="1" x14ac:dyDescent="0.2"/>
    <row r="118" ht="20" customHeight="1" x14ac:dyDescent="0.2"/>
    <row r="119" ht="20" customHeight="1" x14ac:dyDescent="0.2"/>
    <row r="120" ht="20" customHeight="1" x14ac:dyDescent="0.2"/>
    <row r="121" ht="20" customHeight="1" x14ac:dyDescent="0.2"/>
    <row r="122" ht="20" customHeight="1" x14ac:dyDescent="0.2"/>
    <row r="123" ht="20" customHeight="1" x14ac:dyDescent="0.2"/>
    <row r="124" ht="20" customHeight="1" x14ac:dyDescent="0.2"/>
    <row r="125" ht="20" customHeight="1" x14ac:dyDescent="0.2"/>
    <row r="126" ht="20" customHeight="1" x14ac:dyDescent="0.2"/>
    <row r="127" ht="20" customHeight="1" x14ac:dyDescent="0.2"/>
    <row r="128" ht="20" customHeight="1" x14ac:dyDescent="0.2"/>
    <row r="129" ht="20" customHeight="1" x14ac:dyDescent="0.2"/>
    <row r="130" ht="20" customHeight="1" x14ac:dyDescent="0.2"/>
    <row r="131" ht="20" customHeight="1" x14ac:dyDescent="0.2"/>
    <row r="132" ht="20" customHeight="1" x14ac:dyDescent="0.2"/>
    <row r="133" ht="20" customHeight="1" x14ac:dyDescent="0.2"/>
    <row r="134" ht="20" customHeight="1" x14ac:dyDescent="0.2"/>
    <row r="135" ht="20" customHeight="1" x14ac:dyDescent="0.2"/>
    <row r="136" ht="20" customHeight="1" x14ac:dyDescent="0.2"/>
    <row r="137" ht="20" customHeight="1" x14ac:dyDescent="0.2"/>
    <row r="138" ht="20" customHeight="1" x14ac:dyDescent="0.2"/>
    <row r="139" ht="20" customHeight="1" x14ac:dyDescent="0.2"/>
    <row r="140" ht="20" customHeight="1" x14ac:dyDescent="0.2"/>
    <row r="141" ht="20" customHeight="1" x14ac:dyDescent="0.2"/>
    <row r="142" ht="20" customHeight="1" x14ac:dyDescent="0.2"/>
    <row r="143" ht="20" customHeight="1" x14ac:dyDescent="0.2"/>
    <row r="144" ht="20" customHeight="1" x14ac:dyDescent="0.2"/>
    <row r="145" ht="20" customHeight="1" x14ac:dyDescent="0.2"/>
    <row r="146" ht="20" customHeight="1" x14ac:dyDescent="0.2"/>
    <row r="147" ht="20" customHeight="1" x14ac:dyDescent="0.2"/>
    <row r="148" ht="20" customHeight="1" x14ac:dyDescent="0.2"/>
    <row r="149" ht="20" customHeight="1" x14ac:dyDescent="0.2"/>
    <row r="150" ht="20" customHeight="1" x14ac:dyDescent="0.2"/>
    <row r="151" ht="20" customHeight="1" x14ac:dyDescent="0.2"/>
    <row r="152" ht="20" customHeight="1" x14ac:dyDescent="0.2"/>
    <row r="153" ht="20" customHeight="1" x14ac:dyDescent="0.2"/>
    <row r="154" ht="20" customHeight="1" x14ac:dyDescent="0.2"/>
    <row r="155" ht="20" customHeight="1" x14ac:dyDescent="0.2"/>
    <row r="156" ht="20" customHeight="1" x14ac:dyDescent="0.2"/>
    <row r="157" ht="20" customHeight="1" x14ac:dyDescent="0.2"/>
    <row r="158" ht="20" customHeight="1" x14ac:dyDescent="0.2"/>
    <row r="159" ht="20" customHeight="1" x14ac:dyDescent="0.2"/>
    <row r="160" ht="20" customHeight="1" x14ac:dyDescent="0.2"/>
    <row r="161" ht="20" customHeight="1" x14ac:dyDescent="0.2"/>
    <row r="162" ht="20" customHeight="1" x14ac:dyDescent="0.2"/>
    <row r="163" ht="20" customHeight="1" x14ac:dyDescent="0.2"/>
    <row r="164" ht="20" customHeight="1" x14ac:dyDescent="0.2"/>
    <row r="165" ht="20" customHeight="1" x14ac:dyDescent="0.2"/>
    <row r="166" ht="20" customHeight="1" x14ac:dyDescent="0.2"/>
    <row r="167" ht="20" customHeight="1" x14ac:dyDescent="0.2"/>
    <row r="168" ht="20" customHeight="1" x14ac:dyDescent="0.2"/>
    <row r="169" ht="20" customHeight="1" x14ac:dyDescent="0.2"/>
    <row r="170" ht="20" customHeight="1" x14ac:dyDescent="0.2"/>
    <row r="171" ht="20" customHeight="1" x14ac:dyDescent="0.2"/>
    <row r="172" ht="20" customHeight="1" x14ac:dyDescent="0.2"/>
    <row r="173" ht="20" customHeight="1" x14ac:dyDescent="0.2"/>
    <row r="174" ht="20" customHeight="1" x14ac:dyDescent="0.2"/>
    <row r="175" ht="20" customHeight="1" x14ac:dyDescent="0.2"/>
    <row r="176" ht="20" customHeight="1" x14ac:dyDescent="0.2"/>
    <row r="177" ht="20" customHeight="1" x14ac:dyDescent="0.2"/>
  </sheetData>
  <mergeCells count="2">
    <mergeCell ref="B2:J2"/>
    <mergeCell ref="B3:J3"/>
  </mergeCells>
  <phoneticPr fontId="6" type="noConversion"/>
  <pageMargins left="0.7" right="0.7" top="0.78740157499999996" bottom="0.78740157499999996" header="0" footer="0"/>
  <pageSetup orientation="landscape"/>
  <extLst>
    <ext xmlns:x14="http://schemas.microsoft.com/office/spreadsheetml/2009/9/main" uri="{78C0D931-6437-407d-A8EE-F0AAD7539E65}">
      <x14:conditionalFormattings>
        <x14:conditionalFormatting xmlns:xm="http://schemas.microsoft.com/office/excel/2006/main">
          <x14:cfRule type="expression" priority="13" id="{800728E6-6633-4437-986C-CC6DC64C5F3D}">
            <xm:f>'Step 1 - Case Selection'!$V$25=""</xm:f>
            <x14:dxf>
              <font>
                <b val="0"/>
                <i/>
                <color theme="2" tint="0.39994506668294322"/>
              </font>
              <fill>
                <patternFill>
                  <bgColor theme="2"/>
                </patternFill>
              </fill>
            </x14:dxf>
          </x14:cfRule>
          <xm:sqref>B4:J22 B22:B24</xm:sqref>
        </x14:conditionalFormatting>
        <x14:conditionalFormatting xmlns:xm="http://schemas.microsoft.com/office/excel/2006/main">
          <x14:cfRule type="expression" priority="10" id="{7C37D0FB-1C83-42E7-9082-F8F5BAD38E61}">
            <xm:f>'Step 1 - Case Selection'!$V$49&lt;&gt;"Yes"</xm:f>
            <x14:dxf>
              <font>
                <b val="0"/>
                <i/>
                <color theme="2" tint="0.39994506668294322"/>
              </font>
              <fill>
                <patternFill>
                  <bgColor theme="2"/>
                </patternFill>
              </fill>
            </x14:dxf>
          </x14:cfRule>
          <xm:sqref>B11:J13</xm:sqref>
        </x14:conditionalFormatting>
        <x14:conditionalFormatting xmlns:xm="http://schemas.microsoft.com/office/excel/2006/main">
          <x14:cfRule type="expression" priority="11" id="{02DAEE58-E2CE-4A72-A038-49F75BF77394}">
            <xm:f>'Step 1 - Case Selection'!$V$57&lt;&gt;"Yes"</xm:f>
            <x14:dxf>
              <font>
                <b val="0"/>
                <i/>
                <color theme="2" tint="0.39994506668294322"/>
              </font>
              <fill>
                <patternFill>
                  <bgColor theme="2"/>
                </patternFill>
              </fill>
            </x14:dxf>
          </x14:cfRule>
          <xm:sqref>B15:J18</xm:sqref>
        </x14:conditionalFormatting>
        <x14:conditionalFormatting xmlns:xm="http://schemas.microsoft.com/office/excel/2006/main">
          <x14:cfRule type="expression" priority="1" id="{B2EB6CE4-5069-407E-B151-CA7D7A04FB9E}">
            <xm:f>'Step 1 - Case Selection'!$V$25=""</xm:f>
            <x14:dxf>
              <font>
                <b val="0"/>
                <i/>
                <color theme="2" tint="0.39994506668294322"/>
              </font>
              <fill>
                <patternFill>
                  <bgColor theme="2"/>
                </patternFill>
              </fill>
            </x14:dxf>
          </x14:cfRule>
          <x14:cfRule type="expression" priority="2" id="{EBB2550C-E6AB-4A26-9BE2-5FCBE9429340}">
            <xm:f>AND('Step 1 - Case Selection'!$V$25&lt;&gt;"Linear Case",'Step 1 - Case Selection'!$V$27="")</xm:f>
            <x14:dxf>
              <font>
                <b val="0"/>
                <i/>
                <color theme="2" tint="0.39994506668294322"/>
              </font>
              <fill>
                <patternFill>
                  <bgColor theme="2"/>
                </patternFill>
              </fill>
            </x14:dxf>
          </x14:cfRule>
          <x14:cfRule type="expression" priority="3" id="{4F2CE0C5-2F83-44AE-9BC9-61674855A022}">
            <xm:f>'Step 1 - Case Selection'!$V$27="Rental"</xm:f>
            <x14:dxf>
              <font>
                <b val="0"/>
                <i/>
                <color theme="2" tint="0.39994506668294322"/>
              </font>
              <fill>
                <patternFill>
                  <bgColor theme="2"/>
                </patternFill>
              </fill>
            </x14:dxf>
          </x14:cfRule>
          <xm:sqref>C24:E24 J24</xm:sqref>
        </x14:conditionalFormatting>
        <x14:conditionalFormatting xmlns:xm="http://schemas.microsoft.com/office/excel/2006/main">
          <x14:cfRule type="expression" priority="9" id="{1485BB83-342E-4E1E-9212-86AE20B41F71}">
            <xm:f>'Step 1 - Case Selection'!$V$61&lt;&gt;"Yes"</xm:f>
            <x14:dxf>
              <font>
                <b val="0"/>
                <i/>
                <color theme="2" tint="0.39994506668294322"/>
              </font>
              <fill>
                <patternFill>
                  <bgColor theme="2"/>
                </patternFill>
              </fill>
            </x14:dxf>
          </x14:cfRule>
          <xm:sqref>C9:J9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FAF09-5F16-4D8B-9B46-382D694B1252}">
  <sheetPr>
    <tabColor theme="5"/>
  </sheetPr>
  <dimension ref="A2:J170"/>
  <sheetViews>
    <sheetView showGridLines="0" topLeftCell="A2" zoomScaleNormal="100" workbookViewId="0">
      <pane ySplit="3" topLeftCell="A5" activePane="bottomLeft" state="frozen"/>
      <selection activeCell="A2" sqref="A2"/>
      <selection pane="bottomLeft" activeCell="F37" sqref="F37"/>
    </sheetView>
  </sheetViews>
  <sheetFormatPr baseColWidth="10" defaultColWidth="14.5" defaultRowHeight="20" customHeight="1" zeroHeight="1" x14ac:dyDescent="0.2"/>
  <cols>
    <col min="1" max="1" width="2.83203125" style="53" customWidth="1"/>
    <col min="2" max="2" width="14.33203125" customWidth="1"/>
    <col min="3" max="3" width="64.6640625" style="179" customWidth="1"/>
    <col min="4" max="4" width="55.83203125" style="370" customWidth="1"/>
    <col min="5" max="5" width="54.5" hidden="1" customWidth="1"/>
    <col min="6" max="6" width="15.6640625" style="140" bestFit="1" customWidth="1"/>
    <col min="7" max="9" width="15.6640625" style="140" customWidth="1"/>
    <col min="10" max="10" width="29.1640625" style="50" customWidth="1"/>
    <col min="11" max="11" width="2.83203125" style="50" customWidth="1"/>
    <col min="12" max="22" width="10.6640625" style="50" customWidth="1"/>
    <col min="23" max="16384" width="14.5" style="50"/>
  </cols>
  <sheetData>
    <row r="2" spans="2:10" s="180" customFormat="1" ht="30" customHeight="1" x14ac:dyDescent="0.2">
      <c r="B2" s="287" t="s">
        <v>636</v>
      </c>
      <c r="C2" s="288"/>
      <c r="D2" s="373"/>
      <c r="E2" s="288"/>
      <c r="F2" s="288"/>
      <c r="G2" s="288"/>
      <c r="H2" s="288"/>
      <c r="I2" s="288"/>
      <c r="J2" s="289"/>
    </row>
    <row r="3" spans="2:10" ht="113" customHeight="1" x14ac:dyDescent="0.2">
      <c r="B3" s="455" t="s">
        <v>554</v>
      </c>
      <c r="C3" s="456"/>
      <c r="D3" s="456"/>
      <c r="E3" s="456"/>
      <c r="F3" s="456"/>
      <c r="G3" s="456"/>
      <c r="H3" s="456"/>
      <c r="I3" s="456"/>
      <c r="J3" s="457"/>
    </row>
    <row r="4" spans="2:10" ht="25" x14ac:dyDescent="0.2">
      <c r="B4" s="301" t="s">
        <v>0</v>
      </c>
      <c r="C4" s="301" t="s">
        <v>59</v>
      </c>
      <c r="D4" s="360" t="s">
        <v>242</v>
      </c>
      <c r="E4" s="301" t="s">
        <v>223</v>
      </c>
      <c r="F4" s="355" t="s">
        <v>546</v>
      </c>
      <c r="G4" s="354" t="s">
        <v>568</v>
      </c>
      <c r="H4" s="354" t="s">
        <v>569</v>
      </c>
      <c r="I4" s="354" t="s">
        <v>570</v>
      </c>
      <c r="J4" s="301" t="s">
        <v>1</v>
      </c>
    </row>
    <row r="5" spans="2:10" ht="20" customHeight="1" x14ac:dyDescent="0.2">
      <c r="B5" s="325" t="s">
        <v>374</v>
      </c>
      <c r="C5" s="312"/>
      <c r="D5" s="374"/>
      <c r="E5" s="312"/>
      <c r="F5" s="313"/>
      <c r="G5" s="313"/>
      <c r="H5" s="313"/>
      <c r="I5" s="313"/>
      <c r="J5" s="316"/>
    </row>
    <row r="6" spans="2:10" ht="20" customHeight="1" x14ac:dyDescent="0.2">
      <c r="B6" s="311"/>
      <c r="C6" s="223" t="s">
        <v>545</v>
      </c>
      <c r="D6" s="362" t="s">
        <v>543</v>
      </c>
      <c r="E6" s="224" t="s">
        <v>155</v>
      </c>
      <c r="F6" s="225"/>
      <c r="G6" s="225"/>
      <c r="H6" s="225"/>
      <c r="I6" s="352"/>
      <c r="J6" s="302" t="s">
        <v>70</v>
      </c>
    </row>
    <row r="7" spans="2:10" ht="20" customHeight="1" x14ac:dyDescent="0.2">
      <c r="B7" s="311"/>
      <c r="C7" s="223" t="s">
        <v>243</v>
      </c>
      <c r="D7" s="362" t="s">
        <v>543</v>
      </c>
      <c r="E7" s="224" t="s">
        <v>76</v>
      </c>
      <c r="F7" s="225"/>
      <c r="G7" s="225"/>
      <c r="H7" s="225"/>
      <c r="I7" s="352"/>
      <c r="J7" s="302" t="s">
        <v>386</v>
      </c>
    </row>
    <row r="8" spans="2:10" ht="20" customHeight="1" x14ac:dyDescent="0.2">
      <c r="B8" s="311"/>
      <c r="C8" s="223" t="s">
        <v>598</v>
      </c>
      <c r="D8" s="362" t="s">
        <v>543</v>
      </c>
      <c r="E8" s="224" t="s">
        <v>380</v>
      </c>
      <c r="F8" s="225"/>
      <c r="G8" s="352"/>
      <c r="H8" s="352"/>
      <c r="I8" s="352"/>
      <c r="J8" s="302" t="s">
        <v>70</v>
      </c>
    </row>
    <row r="9" spans="2:10" ht="20" customHeight="1" x14ac:dyDescent="0.2">
      <c r="B9" s="311"/>
      <c r="C9" s="226" t="s">
        <v>375</v>
      </c>
      <c r="D9" s="363"/>
      <c r="E9" s="227" t="s">
        <v>381</v>
      </c>
      <c r="F9" s="228"/>
      <c r="G9" s="228"/>
      <c r="H9" s="228"/>
      <c r="I9" s="228"/>
      <c r="J9" s="303" t="s">
        <v>387</v>
      </c>
    </row>
    <row r="10" spans="2:10" ht="20" customHeight="1" x14ac:dyDescent="0.2">
      <c r="B10" s="311"/>
      <c r="C10" s="226" t="s">
        <v>376</v>
      </c>
      <c r="D10" s="363"/>
      <c r="E10" s="227" t="s">
        <v>382</v>
      </c>
      <c r="F10" s="228"/>
      <c r="G10" s="228"/>
      <c r="H10" s="228"/>
      <c r="I10" s="228"/>
      <c r="J10" s="303" t="s">
        <v>387</v>
      </c>
    </row>
    <row r="11" spans="2:10" ht="20" customHeight="1" x14ac:dyDescent="0.2">
      <c r="B11" s="311" t="s">
        <v>198</v>
      </c>
      <c r="C11" s="226" t="s">
        <v>377</v>
      </c>
      <c r="D11" s="363"/>
      <c r="E11" s="227" t="s">
        <v>383</v>
      </c>
      <c r="F11" s="228"/>
      <c r="G11" s="228"/>
      <c r="H11" s="228"/>
      <c r="I11" s="228"/>
      <c r="J11" s="303" t="s">
        <v>387</v>
      </c>
    </row>
    <row r="12" spans="2:10" ht="20" customHeight="1" x14ac:dyDescent="0.2">
      <c r="B12" s="311"/>
      <c r="C12" s="226" t="s">
        <v>378</v>
      </c>
      <c r="D12" s="363"/>
      <c r="E12" s="227" t="s">
        <v>384</v>
      </c>
      <c r="F12" s="228"/>
      <c r="G12" s="228"/>
      <c r="H12" s="228"/>
      <c r="I12" s="228"/>
      <c r="J12" s="303" t="s">
        <v>387</v>
      </c>
    </row>
    <row r="13" spans="2:10" ht="20" customHeight="1" x14ac:dyDescent="0.2">
      <c r="B13" s="311"/>
      <c r="C13" s="229" t="s">
        <v>379</v>
      </c>
      <c r="D13" s="365"/>
      <c r="E13" s="230" t="s">
        <v>385</v>
      </c>
      <c r="F13" s="231"/>
      <c r="G13" s="231"/>
      <c r="H13" s="231"/>
      <c r="I13" s="231"/>
      <c r="J13" s="303" t="s">
        <v>387</v>
      </c>
    </row>
    <row r="14" spans="2:10" ht="7.5" customHeight="1" x14ac:dyDescent="0.2">
      <c r="B14" s="238"/>
      <c r="C14" s="261"/>
      <c r="D14" s="366"/>
      <c r="E14" s="261"/>
      <c r="F14" s="262"/>
      <c r="G14" s="262"/>
      <c r="H14" s="262"/>
      <c r="I14" s="262"/>
      <c r="J14" s="263"/>
    </row>
    <row r="15" spans="2:10" ht="20" customHeight="1" x14ac:dyDescent="0.2">
      <c r="B15" s="324" t="s">
        <v>2</v>
      </c>
      <c r="C15" s="314"/>
      <c r="D15" s="375"/>
      <c r="E15" s="314"/>
      <c r="F15" s="315"/>
      <c r="G15" s="315"/>
      <c r="H15" s="315"/>
      <c r="I15" s="315"/>
      <c r="J15" s="317"/>
    </row>
    <row r="16" spans="2:10" ht="20" customHeight="1" x14ac:dyDescent="0.2">
      <c r="B16" s="311"/>
      <c r="C16" s="232" t="s">
        <v>245</v>
      </c>
      <c r="D16" s="364" t="s">
        <v>257</v>
      </c>
      <c r="E16" s="233" t="s">
        <v>75</v>
      </c>
      <c r="F16" s="234"/>
      <c r="G16" s="234"/>
      <c r="H16" s="234"/>
      <c r="I16" s="234"/>
      <c r="J16" s="318" t="s">
        <v>39</v>
      </c>
    </row>
    <row r="17" spans="2:10" ht="20" customHeight="1" x14ac:dyDescent="0.2">
      <c r="B17" s="311"/>
      <c r="C17" s="235" t="s">
        <v>388</v>
      </c>
      <c r="D17" s="376" t="s">
        <v>259</v>
      </c>
      <c r="E17" s="236" t="s">
        <v>74</v>
      </c>
      <c r="F17" s="237"/>
      <c r="G17" s="237"/>
      <c r="H17" s="237"/>
      <c r="I17" s="237"/>
      <c r="J17" s="307" t="s">
        <v>46</v>
      </c>
    </row>
    <row r="18" spans="2:10" ht="20" customHeight="1" x14ac:dyDescent="0.2">
      <c r="B18" s="311"/>
      <c r="C18" s="235" t="s">
        <v>246</v>
      </c>
      <c r="D18" s="377" t="s">
        <v>260</v>
      </c>
      <c r="E18" s="236" t="s">
        <v>41</v>
      </c>
      <c r="F18" s="237"/>
      <c r="G18" s="237"/>
      <c r="H18" s="237"/>
      <c r="I18" s="237"/>
      <c r="J18" s="307" t="s">
        <v>40</v>
      </c>
    </row>
    <row r="19" spans="2:10" ht="20" customHeight="1" x14ac:dyDescent="0.2">
      <c r="B19" s="311"/>
      <c r="C19" s="235" t="s">
        <v>247</v>
      </c>
      <c r="D19" s="377" t="s">
        <v>260</v>
      </c>
      <c r="E19" s="236" t="s">
        <v>42</v>
      </c>
      <c r="F19" s="237"/>
      <c r="G19" s="237"/>
      <c r="H19" s="237"/>
      <c r="I19" s="237"/>
      <c r="J19" s="307" t="s">
        <v>40</v>
      </c>
    </row>
    <row r="20" spans="2:10" ht="20" customHeight="1" x14ac:dyDescent="0.2">
      <c r="B20" s="311"/>
      <c r="C20" s="235" t="s">
        <v>248</v>
      </c>
      <c r="D20" s="377" t="s">
        <v>260</v>
      </c>
      <c r="E20" s="236" t="s">
        <v>43</v>
      </c>
      <c r="F20" s="237"/>
      <c r="G20" s="237"/>
      <c r="H20" s="237"/>
      <c r="I20" s="237"/>
      <c r="J20" s="307" t="s">
        <v>40</v>
      </c>
    </row>
    <row r="21" spans="2:10" ht="20" customHeight="1" x14ac:dyDescent="0.2">
      <c r="B21" s="311"/>
      <c r="C21" s="235" t="s">
        <v>249</v>
      </c>
      <c r="D21" s="377" t="s">
        <v>260</v>
      </c>
      <c r="E21" s="236" t="s">
        <v>44</v>
      </c>
      <c r="F21" s="237"/>
      <c r="G21" s="237"/>
      <c r="H21" s="237"/>
      <c r="I21" s="237"/>
      <c r="J21" s="307" t="s">
        <v>40</v>
      </c>
    </row>
    <row r="22" spans="2:10" ht="20" customHeight="1" x14ac:dyDescent="0.2">
      <c r="B22" s="319"/>
      <c r="C22" s="320" t="s">
        <v>250</v>
      </c>
      <c r="D22" s="378" t="s">
        <v>260</v>
      </c>
      <c r="E22" s="321" t="s">
        <v>45</v>
      </c>
      <c r="F22" s="322"/>
      <c r="G22" s="357"/>
      <c r="H22" s="357"/>
      <c r="I22" s="357"/>
      <c r="J22" s="323" t="s">
        <v>40</v>
      </c>
    </row>
    <row r="23" spans="2:10" ht="20" customHeight="1" x14ac:dyDescent="0.2"/>
    <row r="24" spans="2:10" ht="20" customHeight="1" x14ac:dyDescent="0.2"/>
    <row r="25" spans="2:10" ht="20" customHeight="1" x14ac:dyDescent="0.2"/>
    <row r="26" spans="2:10" ht="20" customHeight="1" x14ac:dyDescent="0.2"/>
    <row r="27" spans="2:10" ht="20" customHeight="1" x14ac:dyDescent="0.2"/>
    <row r="28" spans="2:10" ht="20" customHeight="1" x14ac:dyDescent="0.2"/>
    <row r="29" spans="2:10" ht="20" customHeight="1" x14ac:dyDescent="0.2"/>
    <row r="30" spans="2:10" ht="20" customHeight="1" x14ac:dyDescent="0.2"/>
    <row r="31" spans="2:10" ht="20" customHeight="1" x14ac:dyDescent="0.2"/>
    <row r="32" spans="2:10"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row r="47" ht="20" customHeight="1" x14ac:dyDescent="0.2"/>
    <row r="48" ht="20" customHeight="1" x14ac:dyDescent="0.2"/>
    <row r="49" ht="20" customHeight="1" x14ac:dyDescent="0.2"/>
    <row r="50" ht="20" customHeight="1" x14ac:dyDescent="0.2"/>
    <row r="51" ht="20" customHeight="1" x14ac:dyDescent="0.2"/>
    <row r="52" ht="20" customHeight="1" x14ac:dyDescent="0.2"/>
    <row r="53" ht="20" customHeight="1" x14ac:dyDescent="0.2"/>
    <row r="54" ht="20" customHeight="1" x14ac:dyDescent="0.2"/>
    <row r="55" ht="20" customHeight="1" x14ac:dyDescent="0.2"/>
    <row r="56" ht="20" customHeight="1" x14ac:dyDescent="0.2"/>
    <row r="57" ht="20" customHeight="1" x14ac:dyDescent="0.2"/>
    <row r="58" ht="20" customHeight="1" x14ac:dyDescent="0.2"/>
    <row r="59" ht="20" customHeight="1" x14ac:dyDescent="0.2"/>
    <row r="60" ht="20" customHeight="1" x14ac:dyDescent="0.2"/>
    <row r="61" ht="20" customHeight="1" x14ac:dyDescent="0.2"/>
    <row r="62" ht="20" customHeight="1" x14ac:dyDescent="0.2"/>
    <row r="63" ht="20" customHeight="1" x14ac:dyDescent="0.2"/>
    <row r="64" ht="20" customHeight="1" x14ac:dyDescent="0.2"/>
    <row r="65" ht="20" customHeight="1" x14ac:dyDescent="0.2"/>
    <row r="66" ht="20" customHeight="1" x14ac:dyDescent="0.2"/>
    <row r="67" ht="20" customHeight="1" x14ac:dyDescent="0.2"/>
    <row r="68" ht="20" customHeight="1" x14ac:dyDescent="0.2"/>
    <row r="69" ht="20" customHeight="1" x14ac:dyDescent="0.2"/>
    <row r="70" ht="20" customHeight="1" x14ac:dyDescent="0.2"/>
    <row r="71" ht="20" customHeight="1" x14ac:dyDescent="0.2"/>
    <row r="72" ht="20" customHeight="1" x14ac:dyDescent="0.2"/>
    <row r="73" ht="20" customHeight="1" x14ac:dyDescent="0.2"/>
    <row r="74" ht="20" customHeight="1" x14ac:dyDescent="0.2"/>
    <row r="75" ht="20" customHeight="1" x14ac:dyDescent="0.2"/>
    <row r="76" ht="20" customHeight="1" x14ac:dyDescent="0.2"/>
    <row r="77" ht="20" customHeight="1" x14ac:dyDescent="0.2"/>
    <row r="78" ht="20" customHeight="1" x14ac:dyDescent="0.2"/>
    <row r="79" ht="20" customHeight="1" x14ac:dyDescent="0.2"/>
    <row r="80" ht="20" customHeight="1" x14ac:dyDescent="0.2"/>
    <row r="81" ht="20" customHeight="1" x14ac:dyDescent="0.2"/>
    <row r="82" ht="20" customHeight="1" x14ac:dyDescent="0.2"/>
    <row r="83" ht="20" customHeight="1" x14ac:dyDescent="0.2"/>
    <row r="84" ht="20" customHeight="1" x14ac:dyDescent="0.2"/>
    <row r="85" ht="20" customHeight="1" x14ac:dyDescent="0.2"/>
    <row r="86" ht="20" customHeight="1" x14ac:dyDescent="0.2"/>
    <row r="87" ht="20" customHeight="1" x14ac:dyDescent="0.2"/>
    <row r="88" ht="20" customHeight="1" x14ac:dyDescent="0.2"/>
    <row r="89" ht="20" customHeight="1" x14ac:dyDescent="0.2"/>
    <row r="90" ht="20" customHeight="1" x14ac:dyDescent="0.2"/>
    <row r="91" ht="20" customHeight="1" x14ac:dyDescent="0.2"/>
    <row r="92" ht="20" customHeight="1" x14ac:dyDescent="0.2"/>
    <row r="93" ht="20" customHeight="1" x14ac:dyDescent="0.2"/>
    <row r="94" ht="20" customHeight="1" x14ac:dyDescent="0.2"/>
    <row r="95" ht="20" customHeight="1" x14ac:dyDescent="0.2"/>
    <row r="96" ht="20" customHeight="1" x14ac:dyDescent="0.2"/>
    <row r="97" ht="20" customHeight="1" x14ac:dyDescent="0.2"/>
    <row r="98" ht="20" customHeight="1" x14ac:dyDescent="0.2"/>
    <row r="99" ht="20" customHeight="1" x14ac:dyDescent="0.2"/>
    <row r="100" ht="20" customHeight="1" x14ac:dyDescent="0.2"/>
    <row r="101" ht="20" customHeight="1" x14ac:dyDescent="0.2"/>
    <row r="102" ht="20" customHeight="1" x14ac:dyDescent="0.2"/>
    <row r="103" ht="20" customHeight="1" x14ac:dyDescent="0.2"/>
    <row r="104" ht="20" customHeight="1" x14ac:dyDescent="0.2"/>
    <row r="105" ht="20" customHeight="1" x14ac:dyDescent="0.2"/>
    <row r="106" ht="20" customHeight="1" x14ac:dyDescent="0.2"/>
    <row r="107" ht="20" customHeight="1" x14ac:dyDescent="0.2"/>
    <row r="108" ht="20" customHeight="1" x14ac:dyDescent="0.2"/>
    <row r="109" ht="20" customHeight="1" x14ac:dyDescent="0.2"/>
    <row r="110" ht="20" customHeight="1" x14ac:dyDescent="0.2"/>
    <row r="111" ht="20" customHeight="1" x14ac:dyDescent="0.2"/>
    <row r="112" ht="20" customHeight="1" x14ac:dyDescent="0.2"/>
    <row r="113" ht="20" customHeight="1" x14ac:dyDescent="0.2"/>
    <row r="114" ht="20" customHeight="1" x14ac:dyDescent="0.2"/>
    <row r="115" ht="20" customHeight="1" x14ac:dyDescent="0.2"/>
    <row r="116" ht="20" customHeight="1" x14ac:dyDescent="0.2"/>
    <row r="117" ht="20" customHeight="1" x14ac:dyDescent="0.2"/>
    <row r="118" ht="20" customHeight="1" x14ac:dyDescent="0.2"/>
    <row r="119" ht="20" customHeight="1" x14ac:dyDescent="0.2"/>
    <row r="120" ht="20" customHeight="1" x14ac:dyDescent="0.2"/>
    <row r="121" ht="20" customHeight="1" x14ac:dyDescent="0.2"/>
    <row r="122" ht="20" customHeight="1" x14ac:dyDescent="0.2"/>
    <row r="123" ht="20" customHeight="1" x14ac:dyDescent="0.2"/>
    <row r="124" ht="20" customHeight="1" x14ac:dyDescent="0.2"/>
    <row r="125" ht="20" customHeight="1" x14ac:dyDescent="0.2"/>
    <row r="126" ht="20" customHeight="1" x14ac:dyDescent="0.2"/>
    <row r="127" ht="20" customHeight="1" x14ac:dyDescent="0.2"/>
    <row r="128" ht="20" customHeight="1" x14ac:dyDescent="0.2"/>
    <row r="129" ht="20" customHeight="1" x14ac:dyDescent="0.2"/>
    <row r="130" ht="20" customHeight="1" x14ac:dyDescent="0.2"/>
    <row r="131" ht="20" customHeight="1" x14ac:dyDescent="0.2"/>
    <row r="132" ht="20" customHeight="1" x14ac:dyDescent="0.2"/>
    <row r="133" ht="20" customHeight="1" x14ac:dyDescent="0.2"/>
    <row r="134" ht="20" customHeight="1" x14ac:dyDescent="0.2"/>
    <row r="135" ht="20" customHeight="1" x14ac:dyDescent="0.2"/>
    <row r="136" ht="20" customHeight="1" x14ac:dyDescent="0.2"/>
    <row r="137" ht="20" customHeight="1" x14ac:dyDescent="0.2"/>
    <row r="138" ht="20" customHeight="1" x14ac:dyDescent="0.2"/>
    <row r="139" ht="20" customHeight="1" x14ac:dyDescent="0.2"/>
    <row r="140" ht="20" customHeight="1" x14ac:dyDescent="0.2"/>
    <row r="141" ht="20" customHeight="1" x14ac:dyDescent="0.2"/>
    <row r="142" ht="20" customHeight="1" x14ac:dyDescent="0.2"/>
    <row r="143" ht="20" customHeight="1" x14ac:dyDescent="0.2"/>
    <row r="144" ht="20" customHeight="1" x14ac:dyDescent="0.2"/>
    <row r="145" ht="20" customHeight="1" x14ac:dyDescent="0.2"/>
    <row r="146" ht="20" customHeight="1" x14ac:dyDescent="0.2"/>
    <row r="147" ht="20" customHeight="1" x14ac:dyDescent="0.2"/>
    <row r="148" ht="20" customHeight="1" x14ac:dyDescent="0.2"/>
    <row r="149" ht="20" customHeight="1" x14ac:dyDescent="0.2"/>
    <row r="150" ht="20" customHeight="1" x14ac:dyDescent="0.2"/>
    <row r="151" ht="20" customHeight="1" x14ac:dyDescent="0.2"/>
    <row r="152" ht="20" customHeight="1" x14ac:dyDescent="0.2"/>
    <row r="153" ht="20" customHeight="1" x14ac:dyDescent="0.2"/>
    <row r="154" ht="20" customHeight="1" x14ac:dyDescent="0.2"/>
    <row r="155" ht="20" customHeight="1" x14ac:dyDescent="0.2"/>
    <row r="156" ht="20" customHeight="1" x14ac:dyDescent="0.2"/>
    <row r="157" ht="20" customHeight="1" x14ac:dyDescent="0.2"/>
    <row r="158" ht="20" customHeight="1" x14ac:dyDescent="0.2"/>
    <row r="159" ht="20" customHeight="1" x14ac:dyDescent="0.2"/>
    <row r="160" ht="20" customHeight="1" x14ac:dyDescent="0.2"/>
    <row r="161" ht="20" customHeight="1" x14ac:dyDescent="0.2"/>
    <row r="162" ht="20" customHeight="1" x14ac:dyDescent="0.2"/>
    <row r="163" ht="20" customHeight="1" x14ac:dyDescent="0.2"/>
    <row r="164" ht="20" customHeight="1" x14ac:dyDescent="0.2"/>
    <row r="165" ht="20" customHeight="1" x14ac:dyDescent="0.2"/>
    <row r="166" ht="20" customHeight="1" x14ac:dyDescent="0.2"/>
    <row r="167" ht="20" customHeight="1" x14ac:dyDescent="0.2"/>
    <row r="168" ht="20" customHeight="1" x14ac:dyDescent="0.2"/>
    <row r="169" ht="20" customHeight="1" x14ac:dyDescent="0.2"/>
    <row r="170" ht="20" customHeight="1" x14ac:dyDescent="0.2"/>
  </sheetData>
  <mergeCells count="1">
    <mergeCell ref="B3:J3"/>
  </mergeCells>
  <phoneticPr fontId="6" type="noConversion"/>
  <pageMargins left="0.7" right="0.7" top="0.78740157499999996" bottom="0.78740157499999996" header="0" footer="0"/>
  <pageSetup orientation="landscape"/>
  <extLst>
    <ext xmlns:x14="http://schemas.microsoft.com/office/spreadsheetml/2009/9/main" uri="{78C0D931-6437-407d-A8EE-F0AAD7539E65}">
      <x14:conditionalFormattings>
        <x14:conditionalFormatting xmlns:xm="http://schemas.microsoft.com/office/excel/2006/main">
          <x14:cfRule type="expression" priority="6" id="{0E955B69-CF22-485E-A5CD-62C2C8F7D233}">
            <xm:f>'Step 1 - Case Selection'!$V$25=""</xm:f>
            <x14:dxf>
              <font>
                <b val="0"/>
                <i/>
                <color theme="2" tint="0.39994506668294322"/>
              </font>
              <fill>
                <patternFill>
                  <bgColor theme="2"/>
                </patternFill>
              </fill>
            </x14:dxf>
          </x14:cfRule>
          <xm:sqref>B4:J22</xm:sqref>
        </x14:conditionalFormatting>
        <x14:conditionalFormatting xmlns:xm="http://schemas.microsoft.com/office/excel/2006/main">
          <x14:cfRule type="expression" priority="3" id="{92437EBE-1F39-43DA-9E2A-0D571A1E70D7}">
            <xm:f>'Step 1 - Case Selection'!$V$27="Rental"</xm:f>
            <x14:dxf>
              <font>
                <b val="0"/>
                <i/>
                <color theme="2" tint="0.39994506668294322"/>
              </font>
              <fill>
                <patternFill>
                  <bgColor theme="2"/>
                </patternFill>
              </fill>
            </x14:dxf>
          </x14:cfRule>
          <xm:sqref>B5:J13</xm:sqref>
        </x14:conditionalFormatting>
        <x14:conditionalFormatting xmlns:xm="http://schemas.microsoft.com/office/excel/2006/main">
          <x14:cfRule type="expression" priority="5" id="{A49CB083-8249-4D98-9218-897263FBF3D8}">
            <xm:f>'Step 1 - Case Selection'!$V$27&lt;&gt;"Rental"</xm:f>
            <x14:dxf>
              <font>
                <b val="0"/>
                <i/>
                <color theme="2" tint="0.39994506668294322"/>
              </font>
              <fill>
                <patternFill>
                  <bgColor theme="2"/>
                </patternFill>
              </fill>
            </x14:dxf>
          </x14:cfRule>
          <xm:sqref>B15:J22</xm:sqref>
        </x14:conditionalFormatting>
        <x14:conditionalFormatting xmlns:xm="http://schemas.microsoft.com/office/excel/2006/main">
          <x14:cfRule type="expression" priority="2" id="{7EB1CE31-6C31-4A28-B0E2-105A0ED61B54}">
            <xm:f>OR('Step 1 - Case Selection'!$V$29="Service", 'Step 1 - Case Selection'!$V$27="Recycle")</xm:f>
            <x14:dxf>
              <font>
                <b val="0"/>
                <i/>
                <color theme="2" tint="0.39994506668294322"/>
              </font>
              <fill>
                <patternFill>
                  <bgColor theme="2"/>
                </patternFill>
              </fill>
            </x14:dxf>
          </x14:cfRule>
          <xm:sqref>C6:J6</xm:sqref>
        </x14:conditionalFormatting>
        <x14:conditionalFormatting xmlns:xm="http://schemas.microsoft.com/office/excel/2006/main">
          <x14:cfRule type="expression" priority="4" id="{BC035DA6-26A7-443B-ACCC-69BDCBF9C5C6}">
            <xm:f>'Step 1 - Case Selection'!$V$27&lt;&gt;"Recycle"</xm:f>
            <x14:dxf>
              <font>
                <b val="0"/>
                <i/>
                <color theme="2" tint="0.39994506668294322"/>
              </font>
              <fill>
                <patternFill>
                  <bgColor theme="2"/>
                </patternFill>
              </fill>
            </x14:dxf>
          </x14:cfRule>
          <xm:sqref>C7:J7</xm:sqref>
        </x14:conditionalFormatting>
        <x14:conditionalFormatting xmlns:xm="http://schemas.microsoft.com/office/excel/2006/main">
          <x14:cfRule type="expression" priority="1" id="{7466B17A-6343-4308-ACF0-797309C1DCD4}">
            <xm:f>'Step 1 - Case Selection'!$V$29&lt;&gt;"Service"</xm:f>
            <x14:dxf>
              <font>
                <b val="0"/>
                <i/>
                <color theme="2" tint="0.39994506668294322"/>
              </font>
              <fill>
                <patternFill>
                  <bgColor theme="2"/>
                </patternFill>
              </fill>
            </x14:dxf>
          </x14:cfRule>
          <xm:sqref>C8:J8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7395-5832-4071-B03F-7E5BB385C924}">
  <sheetPr>
    <tabColor theme="5"/>
  </sheetPr>
  <dimension ref="A2:J170"/>
  <sheetViews>
    <sheetView showGridLines="0" topLeftCell="A2" zoomScaleNormal="100" workbookViewId="0">
      <pane ySplit="3" topLeftCell="A5" activePane="bottomLeft" state="frozen"/>
      <selection activeCell="A2" sqref="A2"/>
      <selection pane="bottomLeft" activeCell="D37" sqref="D37"/>
    </sheetView>
  </sheetViews>
  <sheetFormatPr baseColWidth="10" defaultColWidth="14.5" defaultRowHeight="20" customHeight="1" zeroHeight="1" x14ac:dyDescent="0.2"/>
  <cols>
    <col min="1" max="1" width="2.83203125" style="53" customWidth="1"/>
    <col min="2" max="2" width="14.33203125" customWidth="1"/>
    <col min="3" max="3" width="64.6640625" style="179" customWidth="1"/>
    <col min="4" max="4" width="55.83203125" style="370" customWidth="1"/>
    <col min="5" max="5" width="54.5" hidden="1" customWidth="1"/>
    <col min="6" max="6" width="15.6640625" style="140" bestFit="1" customWidth="1"/>
    <col min="7" max="9" width="15.6640625" style="140" customWidth="1"/>
    <col min="10" max="10" width="29.1640625" style="50" customWidth="1"/>
    <col min="11" max="11" width="2.83203125" style="50" customWidth="1"/>
    <col min="12" max="22" width="10.6640625" style="50" customWidth="1"/>
    <col min="23" max="16384" width="14.5" style="50"/>
  </cols>
  <sheetData>
    <row r="2" spans="2:10" s="180" customFormat="1" ht="30" customHeight="1" x14ac:dyDescent="0.2">
      <c r="B2" s="449" t="s">
        <v>637</v>
      </c>
      <c r="C2" s="450"/>
      <c r="D2" s="450"/>
      <c r="E2" s="450"/>
      <c r="F2" s="450"/>
      <c r="G2" s="450"/>
      <c r="H2" s="450"/>
      <c r="I2" s="450"/>
      <c r="J2" s="451"/>
    </row>
    <row r="3" spans="2:10" ht="113" customHeight="1" x14ac:dyDescent="0.2">
      <c r="B3" s="455" t="s">
        <v>555</v>
      </c>
      <c r="C3" s="456"/>
      <c r="D3" s="456"/>
      <c r="E3" s="456"/>
      <c r="F3" s="456"/>
      <c r="G3" s="456"/>
      <c r="H3" s="456"/>
      <c r="I3" s="456"/>
      <c r="J3" s="457"/>
    </row>
    <row r="4" spans="2:10" ht="25" x14ac:dyDescent="0.2">
      <c r="B4" s="301" t="s">
        <v>0</v>
      </c>
      <c r="C4" s="301" t="s">
        <v>59</v>
      </c>
      <c r="D4" s="360" t="s">
        <v>242</v>
      </c>
      <c r="E4" s="301" t="s">
        <v>223</v>
      </c>
      <c r="F4" s="355" t="s">
        <v>546</v>
      </c>
      <c r="G4" s="354" t="s">
        <v>568</v>
      </c>
      <c r="H4" s="354" t="s">
        <v>569</v>
      </c>
      <c r="I4" s="354" t="s">
        <v>570</v>
      </c>
      <c r="J4" s="301" t="s">
        <v>1</v>
      </c>
    </row>
    <row r="5" spans="2:10" ht="20" customHeight="1" x14ac:dyDescent="0.2">
      <c r="B5" s="333" t="s">
        <v>373</v>
      </c>
      <c r="C5" s="335"/>
      <c r="D5" s="371"/>
      <c r="E5" s="335"/>
      <c r="F5" s="336"/>
      <c r="G5" s="336"/>
      <c r="H5" s="336"/>
      <c r="I5" s="336"/>
      <c r="J5" s="337"/>
    </row>
    <row r="6" spans="2:10" ht="20" customHeight="1" x14ac:dyDescent="0.2">
      <c r="B6" s="334"/>
      <c r="C6" s="223" t="s">
        <v>359</v>
      </c>
      <c r="D6" s="362"/>
      <c r="E6" s="224" t="s">
        <v>370</v>
      </c>
      <c r="F6" s="225"/>
      <c r="G6" s="225"/>
      <c r="H6" s="225"/>
      <c r="I6" s="225"/>
      <c r="J6" s="302" t="s">
        <v>5</v>
      </c>
    </row>
    <row r="7" spans="2:10" ht="20" customHeight="1" x14ac:dyDescent="0.2">
      <c r="B7" s="334"/>
      <c r="C7" s="226" t="s">
        <v>360</v>
      </c>
      <c r="D7" s="363"/>
      <c r="E7" s="227" t="s">
        <v>371</v>
      </c>
      <c r="F7" s="228"/>
      <c r="G7" s="228"/>
      <c r="H7" s="228"/>
      <c r="I7" s="228"/>
      <c r="J7" s="303" t="s">
        <v>5</v>
      </c>
    </row>
    <row r="8" spans="2:10" ht="20" customHeight="1" x14ac:dyDescent="0.2">
      <c r="B8" s="334"/>
      <c r="C8" s="226" t="s">
        <v>365</v>
      </c>
      <c r="D8" s="363"/>
      <c r="E8" s="227" t="s">
        <v>103</v>
      </c>
      <c r="F8" s="228"/>
      <c r="G8" s="228"/>
      <c r="H8" s="228"/>
      <c r="I8" s="228"/>
      <c r="J8" s="303" t="s">
        <v>5</v>
      </c>
    </row>
    <row r="9" spans="2:10" ht="20" customHeight="1" x14ac:dyDescent="0.2">
      <c r="B9" s="334"/>
      <c r="C9" s="226" t="s">
        <v>361</v>
      </c>
      <c r="D9" s="363"/>
      <c r="E9" s="227" t="s">
        <v>372</v>
      </c>
      <c r="F9" s="228"/>
      <c r="G9" s="228"/>
      <c r="H9" s="228"/>
      <c r="I9" s="228"/>
      <c r="J9" s="303" t="s">
        <v>5</v>
      </c>
    </row>
    <row r="10" spans="2:10" ht="20" customHeight="1" x14ac:dyDescent="0.2">
      <c r="B10" s="334"/>
      <c r="C10" s="226" t="s">
        <v>362</v>
      </c>
      <c r="D10" s="363"/>
      <c r="E10" s="227" t="s">
        <v>366</v>
      </c>
      <c r="F10" s="228"/>
      <c r="G10" s="228"/>
      <c r="H10" s="228"/>
      <c r="I10" s="228"/>
      <c r="J10" s="303" t="s">
        <v>5</v>
      </c>
    </row>
    <row r="11" spans="2:10" ht="20" customHeight="1" x14ac:dyDescent="0.2">
      <c r="B11" s="334"/>
      <c r="C11" s="226" t="s">
        <v>363</v>
      </c>
      <c r="D11" s="363"/>
      <c r="E11" s="227" t="s">
        <v>102</v>
      </c>
      <c r="F11" s="228"/>
      <c r="G11" s="228"/>
      <c r="H11" s="228"/>
      <c r="I11" s="228"/>
      <c r="J11" s="303" t="s">
        <v>5</v>
      </c>
    </row>
    <row r="12" spans="2:10" ht="20" customHeight="1" x14ac:dyDescent="0.2">
      <c r="B12" s="334"/>
      <c r="C12" s="229" t="s">
        <v>364</v>
      </c>
      <c r="D12" s="365"/>
      <c r="E12" s="230" t="s">
        <v>104</v>
      </c>
      <c r="F12" s="231"/>
      <c r="G12" s="231"/>
      <c r="H12" s="231"/>
      <c r="I12" s="231"/>
      <c r="J12" s="326" t="s">
        <v>5</v>
      </c>
    </row>
    <row r="13" spans="2:10" ht="7.5" customHeight="1" x14ac:dyDescent="0.2">
      <c r="B13" s="238"/>
      <c r="C13" s="261"/>
      <c r="D13" s="366"/>
      <c r="E13" s="261"/>
      <c r="F13" s="262"/>
      <c r="G13" s="262"/>
      <c r="H13" s="262"/>
      <c r="I13" s="262"/>
      <c r="J13" s="263"/>
    </row>
    <row r="14" spans="2:10" ht="20" customHeight="1" x14ac:dyDescent="0.2">
      <c r="B14" s="338" t="s">
        <v>367</v>
      </c>
      <c r="C14" s="340"/>
      <c r="D14" s="372"/>
      <c r="E14" s="340"/>
      <c r="F14" s="341"/>
      <c r="G14" s="341"/>
      <c r="H14" s="341"/>
      <c r="I14" s="341"/>
      <c r="J14" s="342"/>
    </row>
    <row r="15" spans="2:10" ht="20" customHeight="1" x14ac:dyDescent="0.2">
      <c r="B15" s="334"/>
      <c r="C15" s="223" t="s">
        <v>251</v>
      </c>
      <c r="D15" s="362"/>
      <c r="E15" s="224" t="s">
        <v>101</v>
      </c>
      <c r="F15" s="225"/>
      <c r="G15" s="225"/>
      <c r="H15" s="225"/>
      <c r="I15" s="225"/>
      <c r="J15" s="302" t="s">
        <v>5</v>
      </c>
    </row>
    <row r="16" spans="2:10" ht="20" customHeight="1" x14ac:dyDescent="0.2">
      <c r="B16" s="334"/>
      <c r="C16" s="226" t="s">
        <v>368</v>
      </c>
      <c r="D16" s="363" t="s">
        <v>255</v>
      </c>
      <c r="E16" s="227" t="s">
        <v>56</v>
      </c>
      <c r="F16" s="228"/>
      <c r="G16" s="228"/>
      <c r="H16" s="228"/>
      <c r="I16" s="228"/>
      <c r="J16" s="303" t="s">
        <v>9</v>
      </c>
    </row>
    <row r="17" spans="2:10" ht="20" customHeight="1" x14ac:dyDescent="0.2">
      <c r="B17" s="334"/>
      <c r="C17" s="226" t="s">
        <v>369</v>
      </c>
      <c r="D17" s="363" t="s">
        <v>256</v>
      </c>
      <c r="E17" s="227" t="s">
        <v>55</v>
      </c>
      <c r="F17" s="228"/>
      <c r="G17" s="228"/>
      <c r="H17" s="228"/>
      <c r="I17" s="228"/>
      <c r="J17" s="303" t="s">
        <v>9</v>
      </c>
    </row>
    <row r="18" spans="2:10" ht="20" customHeight="1" x14ac:dyDescent="0.2">
      <c r="B18" s="339"/>
      <c r="C18" s="327" t="s">
        <v>54</v>
      </c>
      <c r="D18" s="369"/>
      <c r="E18" s="328" t="s">
        <v>54</v>
      </c>
      <c r="F18" s="329"/>
      <c r="G18" s="329"/>
      <c r="H18" s="329"/>
      <c r="I18" s="329"/>
      <c r="J18" s="330" t="s">
        <v>5</v>
      </c>
    </row>
    <row r="19" spans="2:10" ht="20" customHeight="1" x14ac:dyDescent="0.2"/>
    <row r="20" spans="2:10" ht="20" customHeight="1" x14ac:dyDescent="0.2"/>
    <row r="21" spans="2:10" ht="20" customHeight="1" x14ac:dyDescent="0.2"/>
    <row r="22" spans="2:10" ht="20" customHeight="1" x14ac:dyDescent="0.2"/>
    <row r="23" spans="2:10" ht="20" customHeight="1" x14ac:dyDescent="0.2"/>
    <row r="24" spans="2:10" ht="20" customHeight="1" x14ac:dyDescent="0.2"/>
    <row r="25" spans="2:10" ht="20" customHeight="1" x14ac:dyDescent="0.2"/>
    <row r="26" spans="2:10" ht="20" customHeight="1" x14ac:dyDescent="0.2"/>
    <row r="27" spans="2:10" ht="20" customHeight="1" x14ac:dyDescent="0.2"/>
    <row r="28" spans="2:10" ht="20" customHeight="1" x14ac:dyDescent="0.2"/>
    <row r="29" spans="2:10" ht="20" customHeight="1" x14ac:dyDescent="0.2"/>
    <row r="30" spans="2:10" ht="20" customHeight="1" x14ac:dyDescent="0.2"/>
    <row r="31" spans="2:10" ht="20" customHeight="1" x14ac:dyDescent="0.2"/>
    <row r="32" spans="2:10"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row r="47" ht="20" customHeight="1" x14ac:dyDescent="0.2"/>
    <row r="48" ht="20" customHeight="1" x14ac:dyDescent="0.2"/>
    <row r="49" ht="20" customHeight="1" x14ac:dyDescent="0.2"/>
    <row r="50" ht="20" customHeight="1" x14ac:dyDescent="0.2"/>
    <row r="51" ht="20" customHeight="1" x14ac:dyDescent="0.2"/>
    <row r="52" ht="20" customHeight="1" x14ac:dyDescent="0.2"/>
    <row r="53" ht="20" customHeight="1" x14ac:dyDescent="0.2"/>
    <row r="54" ht="20" customHeight="1" x14ac:dyDescent="0.2"/>
    <row r="55" ht="20" customHeight="1" x14ac:dyDescent="0.2"/>
    <row r="56" ht="20" customHeight="1" x14ac:dyDescent="0.2"/>
    <row r="57" ht="20" customHeight="1" x14ac:dyDescent="0.2"/>
    <row r="58" ht="20" customHeight="1" x14ac:dyDescent="0.2"/>
    <row r="59" ht="20" customHeight="1" x14ac:dyDescent="0.2"/>
    <row r="60" ht="20" customHeight="1" x14ac:dyDescent="0.2"/>
    <row r="61" ht="20" customHeight="1" x14ac:dyDescent="0.2"/>
    <row r="62" ht="20" customHeight="1" x14ac:dyDescent="0.2"/>
    <row r="63" ht="20" customHeight="1" x14ac:dyDescent="0.2"/>
    <row r="64" ht="20" customHeight="1" x14ac:dyDescent="0.2"/>
    <row r="65" ht="20" customHeight="1" x14ac:dyDescent="0.2"/>
    <row r="66" ht="20" customHeight="1" x14ac:dyDescent="0.2"/>
    <row r="67" ht="20" customHeight="1" x14ac:dyDescent="0.2"/>
    <row r="68" ht="20" customHeight="1" x14ac:dyDescent="0.2"/>
    <row r="69" ht="20" customHeight="1" x14ac:dyDescent="0.2"/>
    <row r="70" ht="20" customHeight="1" x14ac:dyDescent="0.2"/>
    <row r="71" ht="20" customHeight="1" x14ac:dyDescent="0.2"/>
    <row r="72" ht="20" customHeight="1" x14ac:dyDescent="0.2"/>
    <row r="73" ht="20" customHeight="1" x14ac:dyDescent="0.2"/>
    <row r="74" ht="20" customHeight="1" x14ac:dyDescent="0.2"/>
    <row r="75" ht="20" customHeight="1" x14ac:dyDescent="0.2"/>
    <row r="76" ht="20" customHeight="1" x14ac:dyDescent="0.2"/>
    <row r="77" ht="20" customHeight="1" x14ac:dyDescent="0.2"/>
    <row r="78" ht="20" customHeight="1" x14ac:dyDescent="0.2"/>
    <row r="79" ht="20" customHeight="1" x14ac:dyDescent="0.2"/>
    <row r="80" ht="20" customHeight="1" x14ac:dyDescent="0.2"/>
    <row r="81" ht="20" customHeight="1" x14ac:dyDescent="0.2"/>
    <row r="82" ht="20" customHeight="1" x14ac:dyDescent="0.2"/>
    <row r="83" ht="20" customHeight="1" x14ac:dyDescent="0.2"/>
    <row r="84" ht="20" customHeight="1" x14ac:dyDescent="0.2"/>
    <row r="85" ht="20" customHeight="1" x14ac:dyDescent="0.2"/>
    <row r="86" ht="20" customHeight="1" x14ac:dyDescent="0.2"/>
    <row r="87" ht="20" customHeight="1" x14ac:dyDescent="0.2"/>
    <row r="88" ht="20" customHeight="1" x14ac:dyDescent="0.2"/>
    <row r="89" ht="20" customHeight="1" x14ac:dyDescent="0.2"/>
    <row r="90" ht="20" customHeight="1" x14ac:dyDescent="0.2"/>
    <row r="91" ht="20" customHeight="1" x14ac:dyDescent="0.2"/>
    <row r="92" ht="20" customHeight="1" x14ac:dyDescent="0.2"/>
    <row r="93" ht="20" customHeight="1" x14ac:dyDescent="0.2"/>
    <row r="94" ht="20" customHeight="1" x14ac:dyDescent="0.2"/>
    <row r="95" ht="20" customHeight="1" x14ac:dyDescent="0.2"/>
    <row r="96" ht="20" customHeight="1" x14ac:dyDescent="0.2"/>
    <row r="97" ht="20" customHeight="1" x14ac:dyDescent="0.2"/>
    <row r="98" ht="20" customHeight="1" x14ac:dyDescent="0.2"/>
    <row r="99" ht="20" customHeight="1" x14ac:dyDescent="0.2"/>
    <row r="100" ht="20" customHeight="1" x14ac:dyDescent="0.2"/>
    <row r="101" ht="20" customHeight="1" x14ac:dyDescent="0.2"/>
    <row r="102" ht="20" customHeight="1" x14ac:dyDescent="0.2"/>
    <row r="103" ht="20" customHeight="1" x14ac:dyDescent="0.2"/>
    <row r="104" ht="20" customHeight="1" x14ac:dyDescent="0.2"/>
    <row r="105" ht="20" customHeight="1" x14ac:dyDescent="0.2"/>
    <row r="106" ht="20" customHeight="1" x14ac:dyDescent="0.2"/>
    <row r="107" ht="20" customHeight="1" x14ac:dyDescent="0.2"/>
    <row r="108" ht="20" customHeight="1" x14ac:dyDescent="0.2"/>
    <row r="109" ht="20" customHeight="1" x14ac:dyDescent="0.2"/>
    <row r="110" ht="20" customHeight="1" x14ac:dyDescent="0.2"/>
    <row r="111" ht="20" customHeight="1" x14ac:dyDescent="0.2"/>
    <row r="112" ht="20" customHeight="1" x14ac:dyDescent="0.2"/>
    <row r="113" ht="20" customHeight="1" x14ac:dyDescent="0.2"/>
    <row r="114" ht="20" customHeight="1" x14ac:dyDescent="0.2"/>
    <row r="115" ht="20" customHeight="1" x14ac:dyDescent="0.2"/>
    <row r="116" ht="20" customHeight="1" x14ac:dyDescent="0.2"/>
    <row r="117" ht="20" customHeight="1" x14ac:dyDescent="0.2"/>
    <row r="118" ht="20" customHeight="1" x14ac:dyDescent="0.2"/>
    <row r="119" ht="20" customHeight="1" x14ac:dyDescent="0.2"/>
    <row r="120" ht="20" customHeight="1" x14ac:dyDescent="0.2"/>
    <row r="121" ht="20" customHeight="1" x14ac:dyDescent="0.2"/>
    <row r="122" ht="20" customHeight="1" x14ac:dyDescent="0.2"/>
    <row r="123" ht="20" customHeight="1" x14ac:dyDescent="0.2"/>
    <row r="124" ht="20" customHeight="1" x14ac:dyDescent="0.2"/>
    <row r="125" ht="20" customHeight="1" x14ac:dyDescent="0.2"/>
    <row r="126" ht="20" customHeight="1" x14ac:dyDescent="0.2"/>
    <row r="127" ht="20" customHeight="1" x14ac:dyDescent="0.2"/>
    <row r="128" ht="20" customHeight="1" x14ac:dyDescent="0.2"/>
    <row r="129" ht="20" customHeight="1" x14ac:dyDescent="0.2"/>
    <row r="130" ht="20" customHeight="1" x14ac:dyDescent="0.2"/>
    <row r="131" ht="20" customHeight="1" x14ac:dyDescent="0.2"/>
    <row r="132" ht="20" customHeight="1" x14ac:dyDescent="0.2"/>
    <row r="133" ht="20" customHeight="1" x14ac:dyDescent="0.2"/>
    <row r="134" ht="20" customHeight="1" x14ac:dyDescent="0.2"/>
    <row r="135" ht="20" customHeight="1" x14ac:dyDescent="0.2"/>
    <row r="136" ht="20" customHeight="1" x14ac:dyDescent="0.2"/>
    <row r="137" ht="20" customHeight="1" x14ac:dyDescent="0.2"/>
    <row r="138" ht="20" customHeight="1" x14ac:dyDescent="0.2"/>
    <row r="139" ht="20" customHeight="1" x14ac:dyDescent="0.2"/>
    <row r="140" ht="20" customHeight="1" x14ac:dyDescent="0.2"/>
    <row r="141" ht="20" customHeight="1" x14ac:dyDescent="0.2"/>
    <row r="142" ht="20" customHeight="1" x14ac:dyDescent="0.2"/>
    <row r="143" ht="20" customHeight="1" x14ac:dyDescent="0.2"/>
    <row r="144" ht="20" customHeight="1" x14ac:dyDescent="0.2"/>
    <row r="145" ht="20" customHeight="1" x14ac:dyDescent="0.2"/>
    <row r="146" ht="20" customHeight="1" x14ac:dyDescent="0.2"/>
    <row r="147" ht="20" customHeight="1" x14ac:dyDescent="0.2"/>
    <row r="148" ht="20" customHeight="1" x14ac:dyDescent="0.2"/>
    <row r="149" ht="20" customHeight="1" x14ac:dyDescent="0.2"/>
    <row r="150" ht="20" customHeight="1" x14ac:dyDescent="0.2"/>
    <row r="151" ht="20" customHeight="1" x14ac:dyDescent="0.2"/>
    <row r="152" ht="20" customHeight="1" x14ac:dyDescent="0.2"/>
    <row r="153" ht="20" customHeight="1" x14ac:dyDescent="0.2"/>
    <row r="154" ht="20" customHeight="1" x14ac:dyDescent="0.2"/>
    <row r="155" ht="20" customHeight="1" x14ac:dyDescent="0.2"/>
    <row r="156" ht="20" customHeight="1" x14ac:dyDescent="0.2"/>
    <row r="157" ht="20" customHeight="1" x14ac:dyDescent="0.2"/>
    <row r="158" ht="20" customHeight="1" x14ac:dyDescent="0.2"/>
    <row r="159" ht="20" customHeight="1" x14ac:dyDescent="0.2"/>
    <row r="160" ht="20" customHeight="1" x14ac:dyDescent="0.2"/>
    <row r="161" ht="20" customHeight="1" x14ac:dyDescent="0.2"/>
    <row r="162" ht="20" customHeight="1" x14ac:dyDescent="0.2"/>
    <row r="163" ht="20" customHeight="1" x14ac:dyDescent="0.2"/>
    <row r="164" ht="20" customHeight="1" x14ac:dyDescent="0.2"/>
    <row r="165" ht="20" customHeight="1" x14ac:dyDescent="0.2"/>
    <row r="166" ht="20" customHeight="1" x14ac:dyDescent="0.2"/>
    <row r="167" ht="20" customHeight="1" x14ac:dyDescent="0.2"/>
    <row r="168" ht="20" customHeight="1" x14ac:dyDescent="0.2"/>
    <row r="169" ht="20" customHeight="1" x14ac:dyDescent="0.2"/>
    <row r="170" ht="20" customHeight="1" x14ac:dyDescent="0.2"/>
  </sheetData>
  <mergeCells count="2">
    <mergeCell ref="B3:J3"/>
    <mergeCell ref="B2:J2"/>
  </mergeCells>
  <pageMargins left="0.7" right="0.7" top="0.78740157499999996" bottom="0.78740157499999996" header="0" footer="0"/>
  <pageSetup orientation="landscape"/>
  <extLst>
    <ext xmlns:x14="http://schemas.microsoft.com/office/spreadsheetml/2009/9/main" uri="{78C0D931-6437-407d-A8EE-F0AAD7539E65}">
      <x14:conditionalFormattings>
        <x14:conditionalFormatting xmlns:xm="http://schemas.microsoft.com/office/excel/2006/main">
          <x14:cfRule type="expression" priority="2" id="{393C819F-7356-4FCC-BB4E-85A60BC0E6D3}">
            <xm:f>'Step 1 - Case Selection'!$V$25=""</xm:f>
            <x14:dxf>
              <font>
                <b val="0"/>
                <i/>
                <color theme="2" tint="0.39994506668294322"/>
              </font>
              <fill>
                <patternFill>
                  <bgColor theme="2"/>
                </patternFill>
              </fill>
            </x14:dxf>
          </x14:cfRule>
          <xm:sqref>B4:J18</xm:sqref>
        </x14:conditionalFormatting>
        <x14:conditionalFormatting xmlns:xm="http://schemas.microsoft.com/office/excel/2006/main">
          <x14:cfRule type="expression" priority="1" id="{03E671D6-9876-4FD8-A502-F1D80E524910}">
            <xm:f>'Step 1 - Case Selection'!$V$55&lt;&gt;"Yes"</xm:f>
            <x14:dxf>
              <font>
                <b val="0"/>
                <i/>
                <color theme="2" tint="0.39994506668294322"/>
              </font>
              <fill>
                <patternFill>
                  <bgColor theme="2"/>
                </patternFill>
              </fill>
            </x14:dxf>
          </x14:cfRule>
          <xm:sqref>B5:J18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DA22-E499-43B0-A1F5-DB53B9D24022}">
  <sheetPr>
    <tabColor theme="5"/>
  </sheetPr>
  <dimension ref="A1:J229"/>
  <sheetViews>
    <sheetView showGridLines="0" topLeftCell="A2" zoomScaleNormal="100" workbookViewId="0">
      <pane ySplit="3" topLeftCell="A5" activePane="bottomLeft" state="frozen"/>
      <selection activeCell="A2" sqref="A2"/>
      <selection pane="bottomLeft" activeCell="N37" sqref="N37"/>
    </sheetView>
  </sheetViews>
  <sheetFormatPr baseColWidth="10" defaultColWidth="14.5" defaultRowHeight="20" customHeight="1" zeroHeight="1" x14ac:dyDescent="0.2"/>
  <cols>
    <col min="1" max="1" width="2.83203125" style="53" customWidth="1"/>
    <col min="2" max="2" width="14.33203125" customWidth="1"/>
    <col min="3" max="3" width="64.6640625" style="179" customWidth="1"/>
    <col min="4" max="4" width="55.83203125" style="370" customWidth="1"/>
    <col min="5" max="5" width="44.5" hidden="1" customWidth="1"/>
    <col min="6" max="6" width="15.6640625" style="140" bestFit="1" customWidth="1"/>
    <col min="7" max="9" width="15.6640625" style="140" customWidth="1"/>
    <col min="10" max="10" width="29.1640625" style="50" customWidth="1"/>
    <col min="11" max="11" width="2.83203125" style="50" customWidth="1"/>
    <col min="12" max="21" width="10.6640625" style="50" customWidth="1"/>
    <col min="22" max="16384" width="14.5" style="50"/>
  </cols>
  <sheetData>
    <row r="1" spans="2:10" ht="20" hidden="1" customHeight="1" x14ac:dyDescent="0.2">
      <c r="B1" s="343"/>
      <c r="C1" s="344"/>
      <c r="D1" s="359"/>
      <c r="E1" s="345"/>
      <c r="F1" s="346"/>
      <c r="G1" s="346"/>
      <c r="H1" s="346"/>
      <c r="I1" s="346"/>
      <c r="J1" s="347"/>
    </row>
    <row r="2" spans="2:10" s="180" customFormat="1" ht="30" customHeight="1" x14ac:dyDescent="0.2">
      <c r="B2" s="449" t="s">
        <v>638</v>
      </c>
      <c r="C2" s="450"/>
      <c r="D2" s="450"/>
      <c r="E2" s="450"/>
      <c r="F2" s="450"/>
      <c r="G2" s="450"/>
      <c r="H2" s="450"/>
      <c r="I2" s="450"/>
      <c r="J2" s="451"/>
    </row>
    <row r="3" spans="2:10" ht="113" customHeight="1" x14ac:dyDescent="0.2">
      <c r="B3" s="455" t="s">
        <v>556</v>
      </c>
      <c r="C3" s="456"/>
      <c r="D3" s="456"/>
      <c r="E3" s="456"/>
      <c r="F3" s="456"/>
      <c r="G3" s="456"/>
      <c r="H3" s="456"/>
      <c r="I3" s="456"/>
      <c r="J3" s="457"/>
    </row>
    <row r="4" spans="2:10" ht="25" x14ac:dyDescent="0.2">
      <c r="B4" s="301" t="s">
        <v>0</v>
      </c>
      <c r="C4" s="301" t="s">
        <v>59</v>
      </c>
      <c r="D4" s="360" t="s">
        <v>242</v>
      </c>
      <c r="E4" s="301" t="s">
        <v>223</v>
      </c>
      <c r="F4" s="355" t="s">
        <v>546</v>
      </c>
      <c r="G4" s="354" t="s">
        <v>568</v>
      </c>
      <c r="H4" s="354" t="s">
        <v>569</v>
      </c>
      <c r="I4" s="354" t="s">
        <v>570</v>
      </c>
      <c r="J4" s="301" t="s">
        <v>1</v>
      </c>
    </row>
    <row r="5" spans="2:10" ht="20" customHeight="1" x14ac:dyDescent="0.2">
      <c r="B5" s="245" t="s">
        <v>311</v>
      </c>
      <c r="C5" s="246"/>
      <c r="D5" s="361"/>
      <c r="E5" s="246"/>
      <c r="F5" s="247"/>
      <c r="G5" s="247"/>
      <c r="H5" s="247"/>
      <c r="I5" s="247"/>
      <c r="J5" s="248"/>
    </row>
    <row r="6" spans="2:10" ht="20" customHeight="1" x14ac:dyDescent="0.2">
      <c r="B6" s="249"/>
      <c r="C6" s="227" t="s">
        <v>605</v>
      </c>
      <c r="D6" s="363" t="s">
        <v>606</v>
      </c>
      <c r="E6" s="227" t="s">
        <v>65</v>
      </c>
      <c r="F6" s="228"/>
      <c r="G6" s="228"/>
      <c r="H6" s="228"/>
      <c r="I6" s="228"/>
      <c r="J6" s="303" t="s">
        <v>12</v>
      </c>
    </row>
    <row r="7" spans="2:10" ht="20" customHeight="1" x14ac:dyDescent="0.2">
      <c r="B7" s="249"/>
      <c r="C7" s="227" t="s">
        <v>264</v>
      </c>
      <c r="D7" s="363"/>
      <c r="E7" s="227" t="s">
        <v>66</v>
      </c>
      <c r="F7" s="228"/>
      <c r="G7" s="228"/>
      <c r="H7" s="228"/>
      <c r="I7" s="228"/>
      <c r="J7" s="303" t="s">
        <v>12</v>
      </c>
    </row>
    <row r="8" spans="2:10" ht="20" customHeight="1" x14ac:dyDescent="0.2">
      <c r="B8" s="249"/>
      <c r="C8" s="226" t="s">
        <v>265</v>
      </c>
      <c r="D8" s="363" t="s">
        <v>276</v>
      </c>
      <c r="E8" s="227" t="s">
        <v>86</v>
      </c>
      <c r="F8" s="228"/>
      <c r="G8" s="228"/>
      <c r="H8" s="228"/>
      <c r="I8" s="228"/>
      <c r="J8" s="303" t="s">
        <v>12</v>
      </c>
    </row>
    <row r="9" spans="2:10" ht="20" customHeight="1" x14ac:dyDescent="0.2">
      <c r="B9" s="249"/>
      <c r="C9" s="226" t="s">
        <v>244</v>
      </c>
      <c r="D9" s="363" t="s">
        <v>261</v>
      </c>
      <c r="E9" s="227" t="s">
        <v>67</v>
      </c>
      <c r="F9" s="228"/>
      <c r="G9" s="228"/>
      <c r="H9" s="228"/>
      <c r="I9" s="228"/>
      <c r="J9" s="303" t="s">
        <v>258</v>
      </c>
    </row>
    <row r="10" spans="2:10" ht="20" customHeight="1" x14ac:dyDescent="0.2">
      <c r="B10" s="249"/>
      <c r="C10" s="232" t="s">
        <v>263</v>
      </c>
      <c r="D10" s="364"/>
      <c r="E10" s="233" t="s">
        <v>262</v>
      </c>
      <c r="F10" s="234"/>
      <c r="G10" s="234"/>
      <c r="H10" s="234"/>
      <c r="I10" s="234"/>
      <c r="J10" s="318" t="s">
        <v>70</v>
      </c>
    </row>
    <row r="11" spans="2:10" ht="20" customHeight="1" x14ac:dyDescent="0.2">
      <c r="B11" s="249"/>
      <c r="C11" s="229" t="s">
        <v>266</v>
      </c>
      <c r="D11" s="365"/>
      <c r="E11" s="230" t="s">
        <v>125</v>
      </c>
      <c r="F11" s="231"/>
      <c r="G11" s="356"/>
      <c r="H11" s="356"/>
      <c r="I11" s="356"/>
      <c r="J11" s="326" t="s">
        <v>6</v>
      </c>
    </row>
    <row r="12" spans="2:10" ht="7.5" customHeight="1" x14ac:dyDescent="0.2">
      <c r="B12" s="238"/>
      <c r="C12" s="261"/>
      <c r="D12" s="366"/>
      <c r="E12" s="261"/>
      <c r="F12" s="262"/>
      <c r="G12" s="262"/>
      <c r="H12" s="262"/>
      <c r="I12" s="262"/>
      <c r="J12" s="263"/>
    </row>
    <row r="13" spans="2:10" ht="20" customHeight="1" x14ac:dyDescent="0.2">
      <c r="B13" s="245" t="s">
        <v>557</v>
      </c>
      <c r="C13" s="246"/>
      <c r="D13" s="361"/>
      <c r="E13" s="246"/>
      <c r="F13" s="247"/>
      <c r="G13" s="247"/>
      <c r="H13" s="247"/>
      <c r="I13" s="247"/>
      <c r="J13" s="248"/>
    </row>
    <row r="14" spans="2:10" ht="20" customHeight="1" x14ac:dyDescent="0.2">
      <c r="B14" s="249"/>
      <c r="C14" s="224" t="s">
        <v>267</v>
      </c>
      <c r="D14" s="362" t="s">
        <v>612</v>
      </c>
      <c r="E14" s="224" t="s">
        <v>150</v>
      </c>
      <c r="F14" s="251"/>
      <c r="G14" s="251"/>
      <c r="H14" s="251"/>
      <c r="I14" s="251"/>
      <c r="J14" s="302" t="s">
        <v>600</v>
      </c>
    </row>
    <row r="15" spans="2:10" ht="20" customHeight="1" x14ac:dyDescent="0.2">
      <c r="B15" s="249"/>
      <c r="C15" s="227" t="s">
        <v>268</v>
      </c>
      <c r="D15" s="362" t="s">
        <v>612</v>
      </c>
      <c r="E15" s="227" t="s">
        <v>83</v>
      </c>
      <c r="F15" s="250"/>
      <c r="G15" s="250"/>
      <c r="H15" s="250"/>
      <c r="I15" s="250"/>
      <c r="J15" s="302" t="s">
        <v>600</v>
      </c>
    </row>
    <row r="16" spans="2:10" ht="20" customHeight="1" x14ac:dyDescent="0.2">
      <c r="B16" s="249"/>
      <c r="C16" s="227" t="s">
        <v>269</v>
      </c>
      <c r="D16" s="362" t="s">
        <v>612</v>
      </c>
      <c r="E16" s="227" t="s">
        <v>84</v>
      </c>
      <c r="F16" s="250"/>
      <c r="G16" s="250"/>
      <c r="H16" s="250"/>
      <c r="I16" s="250"/>
      <c r="J16" s="302" t="s">
        <v>600</v>
      </c>
    </row>
    <row r="17" spans="2:10" ht="20" customHeight="1" x14ac:dyDescent="0.2">
      <c r="B17" s="249"/>
      <c r="C17" s="227" t="s">
        <v>270</v>
      </c>
      <c r="D17" s="363"/>
      <c r="E17" s="227" t="s">
        <v>85</v>
      </c>
      <c r="F17" s="250"/>
      <c r="G17" s="250"/>
      <c r="H17" s="250"/>
      <c r="I17" s="250"/>
      <c r="J17" s="302" t="s">
        <v>600</v>
      </c>
    </row>
    <row r="18" spans="2:10" ht="20" customHeight="1" x14ac:dyDescent="0.2">
      <c r="B18" s="249"/>
      <c r="C18" s="227" t="s">
        <v>271</v>
      </c>
      <c r="D18" s="363"/>
      <c r="E18" s="227" t="s">
        <v>93</v>
      </c>
      <c r="F18" s="250"/>
      <c r="G18" s="250"/>
      <c r="H18" s="250"/>
      <c r="I18" s="250"/>
      <c r="J18" s="302" t="s">
        <v>600</v>
      </c>
    </row>
    <row r="19" spans="2:10" ht="20" customHeight="1" x14ac:dyDescent="0.2">
      <c r="B19" s="249"/>
      <c r="C19" s="227" t="s">
        <v>272</v>
      </c>
      <c r="D19" s="363"/>
      <c r="E19" s="227" t="s">
        <v>95</v>
      </c>
      <c r="F19" s="250"/>
      <c r="G19" s="250"/>
      <c r="H19" s="250"/>
      <c r="I19" s="250"/>
      <c r="J19" s="302" t="s">
        <v>600</v>
      </c>
    </row>
    <row r="20" spans="2:10" ht="20" customHeight="1" x14ac:dyDescent="0.2">
      <c r="B20" s="249"/>
      <c r="C20" s="253" t="s">
        <v>273</v>
      </c>
      <c r="D20" s="365"/>
      <c r="E20" s="253" t="s">
        <v>96</v>
      </c>
      <c r="F20" s="383"/>
      <c r="G20" s="383"/>
      <c r="H20" s="383"/>
      <c r="I20" s="383"/>
      <c r="J20" s="302" t="s">
        <v>600</v>
      </c>
    </row>
    <row r="21" spans="2:10" ht="7.5" customHeight="1" x14ac:dyDescent="0.2">
      <c r="B21" s="238"/>
      <c r="C21" s="261"/>
      <c r="D21" s="366"/>
      <c r="E21" s="261"/>
      <c r="F21" s="262"/>
      <c r="G21" s="262"/>
      <c r="H21" s="262"/>
      <c r="I21" s="262"/>
      <c r="J21" s="263"/>
    </row>
    <row r="22" spans="2:10" ht="20" customHeight="1" x14ac:dyDescent="0.2">
      <c r="B22" s="245" t="s">
        <v>61</v>
      </c>
      <c r="C22" s="246"/>
      <c r="D22" s="361"/>
      <c r="E22" s="246"/>
      <c r="F22" s="247"/>
      <c r="G22" s="247"/>
      <c r="H22" s="247"/>
      <c r="I22" s="247"/>
      <c r="J22" s="248"/>
    </row>
    <row r="23" spans="2:10" ht="20" customHeight="1" x14ac:dyDescent="0.2">
      <c r="B23" s="249"/>
      <c r="C23" s="223" t="s">
        <v>279</v>
      </c>
      <c r="D23" s="362" t="s">
        <v>278</v>
      </c>
      <c r="E23" s="224" t="s">
        <v>48</v>
      </c>
      <c r="F23" s="225"/>
      <c r="G23" s="225"/>
      <c r="H23" s="225"/>
      <c r="I23" s="225"/>
      <c r="J23" s="302" t="s">
        <v>6</v>
      </c>
    </row>
    <row r="24" spans="2:10" ht="20" customHeight="1" x14ac:dyDescent="0.2">
      <c r="B24" s="249"/>
      <c r="C24" s="227" t="s">
        <v>50</v>
      </c>
      <c r="D24" s="362"/>
      <c r="E24" s="227" t="s">
        <v>50</v>
      </c>
      <c r="F24" s="228"/>
      <c r="G24" s="228"/>
      <c r="H24" s="228"/>
      <c r="I24" s="228"/>
      <c r="J24" s="303" t="s">
        <v>64</v>
      </c>
    </row>
    <row r="25" spans="2:10" ht="20" customHeight="1" x14ac:dyDescent="0.2">
      <c r="B25" s="249"/>
      <c r="C25" s="226" t="s">
        <v>274</v>
      </c>
      <c r="D25" s="362"/>
      <c r="E25" s="227" t="s">
        <v>78</v>
      </c>
      <c r="F25" s="228"/>
      <c r="G25" s="228"/>
      <c r="H25" s="228"/>
      <c r="I25" s="228"/>
      <c r="J25" s="303" t="s">
        <v>68</v>
      </c>
    </row>
    <row r="26" spans="2:10" ht="20" customHeight="1" x14ac:dyDescent="0.2">
      <c r="B26" s="249"/>
      <c r="C26" s="223" t="s">
        <v>280</v>
      </c>
      <c r="D26" s="363" t="s">
        <v>277</v>
      </c>
      <c r="E26" s="227" t="s">
        <v>51</v>
      </c>
      <c r="F26" s="228"/>
      <c r="G26" s="228"/>
      <c r="H26" s="228"/>
      <c r="I26" s="228"/>
      <c r="J26" s="303" t="s">
        <v>6</v>
      </c>
    </row>
    <row r="27" spans="2:10" ht="20" customHeight="1" x14ac:dyDescent="0.2">
      <c r="B27" s="249"/>
      <c r="C27" s="227" t="s">
        <v>52</v>
      </c>
      <c r="D27" s="363"/>
      <c r="E27" s="227" t="s">
        <v>52</v>
      </c>
      <c r="F27" s="228"/>
      <c r="G27" s="228"/>
      <c r="H27" s="228"/>
      <c r="I27" s="228"/>
      <c r="J27" s="303" t="s">
        <v>64</v>
      </c>
    </row>
    <row r="28" spans="2:10" ht="20" customHeight="1" x14ac:dyDescent="0.2">
      <c r="B28" s="254"/>
      <c r="C28" s="226" t="s">
        <v>275</v>
      </c>
      <c r="D28" s="363"/>
      <c r="E28" s="230" t="s">
        <v>77</v>
      </c>
      <c r="F28" s="231"/>
      <c r="G28" s="231"/>
      <c r="H28" s="231"/>
      <c r="I28" s="231"/>
      <c r="J28" s="326" t="s">
        <v>68</v>
      </c>
    </row>
    <row r="29" spans="2:10" ht="7.5" customHeight="1" x14ac:dyDescent="0.2">
      <c r="B29" s="238"/>
      <c r="C29" s="261"/>
      <c r="D29" s="366"/>
      <c r="E29" s="261"/>
      <c r="F29" s="262"/>
      <c r="G29" s="262"/>
      <c r="H29" s="262"/>
      <c r="I29" s="262"/>
      <c r="J29" s="263"/>
    </row>
    <row r="30" spans="2:10" ht="20" customHeight="1" x14ac:dyDescent="0.2">
      <c r="B30" s="245" t="s">
        <v>62</v>
      </c>
      <c r="C30" s="246"/>
      <c r="D30" s="361"/>
      <c r="E30" s="246"/>
      <c r="F30" s="247"/>
      <c r="G30" s="247"/>
      <c r="H30" s="247"/>
      <c r="I30" s="247"/>
      <c r="J30" s="248"/>
    </row>
    <row r="31" spans="2:10" ht="20" customHeight="1" x14ac:dyDescent="0.2">
      <c r="B31" s="249"/>
      <c r="C31" s="223" t="s">
        <v>281</v>
      </c>
      <c r="D31" s="362"/>
      <c r="E31" s="224" t="s">
        <v>49</v>
      </c>
      <c r="F31" s="225"/>
      <c r="G31" s="225"/>
      <c r="H31" s="225"/>
      <c r="I31" s="225"/>
      <c r="J31" s="302" t="s">
        <v>6</v>
      </c>
    </row>
    <row r="32" spans="2:10" ht="20" customHeight="1" x14ac:dyDescent="0.2">
      <c r="B32" s="249"/>
      <c r="C32" s="227" t="s">
        <v>53</v>
      </c>
      <c r="D32" s="363"/>
      <c r="E32" s="227" t="s">
        <v>53</v>
      </c>
      <c r="F32" s="228"/>
      <c r="G32" s="228"/>
      <c r="H32" s="228"/>
      <c r="I32" s="228"/>
      <c r="J32" s="303" t="s">
        <v>6</v>
      </c>
    </row>
    <row r="33" spans="2:10" ht="20" customHeight="1" x14ac:dyDescent="0.2">
      <c r="B33" s="254"/>
      <c r="C33" s="230" t="s">
        <v>57</v>
      </c>
      <c r="D33" s="365"/>
      <c r="E33" s="230" t="s">
        <v>57</v>
      </c>
      <c r="F33" s="231"/>
      <c r="G33" s="231"/>
      <c r="H33" s="231"/>
      <c r="I33" s="231"/>
      <c r="J33" s="326" t="s">
        <v>6</v>
      </c>
    </row>
    <row r="34" spans="2:10" ht="7.5" customHeight="1" x14ac:dyDescent="0.2">
      <c r="B34" s="238"/>
      <c r="C34" s="261"/>
      <c r="D34" s="366"/>
      <c r="E34" s="261"/>
      <c r="F34" s="262"/>
      <c r="G34" s="262"/>
      <c r="H34" s="262"/>
      <c r="I34" s="262"/>
      <c r="J34" s="263"/>
    </row>
    <row r="35" spans="2:10" ht="20" customHeight="1" x14ac:dyDescent="0.2">
      <c r="B35" s="245" t="s">
        <v>216</v>
      </c>
      <c r="C35" s="246"/>
      <c r="D35" s="361"/>
      <c r="E35" s="246"/>
      <c r="F35" s="247"/>
      <c r="G35" s="247"/>
      <c r="H35" s="247"/>
      <c r="I35" s="247"/>
      <c r="J35" s="248"/>
    </row>
    <row r="36" spans="2:10" ht="20" customHeight="1" x14ac:dyDescent="0.2">
      <c r="B36" s="249"/>
      <c r="C36" s="224" t="s">
        <v>573</v>
      </c>
      <c r="D36" s="362"/>
      <c r="E36" s="224" t="s">
        <v>406</v>
      </c>
      <c r="F36" s="225"/>
      <c r="G36" s="352"/>
      <c r="H36" s="352"/>
      <c r="I36" s="352"/>
      <c r="J36" s="302" t="s">
        <v>70</v>
      </c>
    </row>
    <row r="37" spans="2:10" ht="20" customHeight="1" x14ac:dyDescent="0.2">
      <c r="B37" s="249"/>
      <c r="C37" s="227" t="s">
        <v>574</v>
      </c>
      <c r="D37" s="367"/>
      <c r="E37" s="227" t="s">
        <v>407</v>
      </c>
      <c r="F37" s="286"/>
      <c r="G37" s="358"/>
      <c r="H37" s="358"/>
      <c r="I37" s="358"/>
      <c r="J37" s="303" t="s">
        <v>70</v>
      </c>
    </row>
    <row r="38" spans="2:10" ht="20" customHeight="1" x14ac:dyDescent="0.2">
      <c r="B38" s="249"/>
      <c r="C38" s="227" t="s">
        <v>575</v>
      </c>
      <c r="D38" s="363"/>
      <c r="E38" s="227" t="s">
        <v>408</v>
      </c>
      <c r="F38" s="228"/>
      <c r="G38" s="353"/>
      <c r="H38" s="353"/>
      <c r="I38" s="353"/>
      <c r="J38" s="303" t="s">
        <v>224</v>
      </c>
    </row>
    <row r="39" spans="2:10" ht="20" customHeight="1" x14ac:dyDescent="0.2">
      <c r="B39" s="249"/>
      <c r="C39" s="227" t="s">
        <v>576</v>
      </c>
      <c r="D39" s="363"/>
      <c r="E39" s="227" t="s">
        <v>409</v>
      </c>
      <c r="F39" s="228"/>
      <c r="G39" s="353"/>
      <c r="H39" s="353"/>
      <c r="I39" s="353"/>
      <c r="J39" s="303" t="s">
        <v>224</v>
      </c>
    </row>
    <row r="40" spans="2:10" ht="20" customHeight="1" x14ac:dyDescent="0.2">
      <c r="B40" s="254"/>
      <c r="C40" s="230" t="s">
        <v>282</v>
      </c>
      <c r="D40" s="365"/>
      <c r="E40" s="230" t="s">
        <v>157</v>
      </c>
      <c r="F40" s="231"/>
      <c r="G40" s="356"/>
      <c r="H40" s="356"/>
      <c r="I40" s="356"/>
      <c r="J40" s="326" t="s">
        <v>6</v>
      </c>
    </row>
    <row r="41" spans="2:10" ht="7.5" customHeight="1" x14ac:dyDescent="0.2">
      <c r="B41" s="238"/>
      <c r="C41" s="261"/>
      <c r="D41" s="366"/>
      <c r="E41" s="261"/>
      <c r="F41" s="262"/>
      <c r="G41" s="262"/>
      <c r="H41" s="262"/>
      <c r="I41" s="262"/>
      <c r="J41" s="263"/>
    </row>
    <row r="42" spans="2:10" ht="20" customHeight="1" x14ac:dyDescent="0.2">
      <c r="B42" s="245" t="s">
        <v>559</v>
      </c>
      <c r="C42" s="246"/>
      <c r="D42" s="361"/>
      <c r="E42" s="246"/>
      <c r="F42" s="247"/>
      <c r="G42" s="247"/>
      <c r="H42" s="247"/>
      <c r="I42" s="247"/>
      <c r="J42" s="248"/>
    </row>
    <row r="43" spans="2:10" ht="20" customHeight="1" x14ac:dyDescent="0.2">
      <c r="B43" s="249"/>
      <c r="C43" s="226" t="s">
        <v>403</v>
      </c>
      <c r="D43" s="363"/>
      <c r="E43" s="227" t="s">
        <v>391</v>
      </c>
      <c r="F43" s="228"/>
      <c r="G43" s="228"/>
      <c r="H43" s="228"/>
      <c r="I43" s="228"/>
      <c r="J43" s="303" t="s">
        <v>58</v>
      </c>
    </row>
    <row r="44" spans="2:10" ht="20" customHeight="1" x14ac:dyDescent="0.2">
      <c r="B44" s="249"/>
      <c r="C44" s="226" t="s">
        <v>308</v>
      </c>
      <c r="D44" s="363" t="s">
        <v>295</v>
      </c>
      <c r="E44" s="227" t="s">
        <v>392</v>
      </c>
      <c r="F44" s="228"/>
      <c r="G44" s="353"/>
      <c r="H44" s="353"/>
      <c r="I44" s="353"/>
      <c r="J44" s="303" t="s">
        <v>14</v>
      </c>
    </row>
    <row r="45" spans="2:10" ht="20" customHeight="1" x14ac:dyDescent="0.2">
      <c r="B45" s="249"/>
      <c r="C45" s="226" t="s">
        <v>296</v>
      </c>
      <c r="D45" s="363"/>
      <c r="E45" s="227" t="s">
        <v>393</v>
      </c>
      <c r="F45" s="228"/>
      <c r="G45" s="353"/>
      <c r="H45" s="353"/>
      <c r="I45" s="353"/>
      <c r="J45" s="303" t="s">
        <v>14</v>
      </c>
    </row>
    <row r="46" spans="2:10" ht="20" customHeight="1" x14ac:dyDescent="0.2">
      <c r="B46" s="249"/>
      <c r="C46" s="226" t="s">
        <v>297</v>
      </c>
      <c r="D46" s="363"/>
      <c r="E46" s="227" t="s">
        <v>395</v>
      </c>
      <c r="F46" s="228"/>
      <c r="G46" s="353"/>
      <c r="H46" s="353"/>
      <c r="I46" s="353"/>
      <c r="J46" s="303" t="s">
        <v>94</v>
      </c>
    </row>
    <row r="47" spans="2:10" ht="20" customHeight="1" x14ac:dyDescent="0.2">
      <c r="B47" s="249"/>
      <c r="C47" s="227" t="s">
        <v>621</v>
      </c>
      <c r="D47" s="367"/>
      <c r="E47" s="227" t="s">
        <v>405</v>
      </c>
      <c r="F47" s="286"/>
      <c r="G47" s="358"/>
      <c r="H47" s="358"/>
      <c r="I47" s="358"/>
      <c r="J47" s="303" t="s">
        <v>352</v>
      </c>
    </row>
    <row r="48" spans="2:10" ht="20" customHeight="1" x14ac:dyDescent="0.2">
      <c r="B48" s="249"/>
      <c r="C48" s="226" t="s">
        <v>622</v>
      </c>
      <c r="D48" s="363" t="s">
        <v>608</v>
      </c>
      <c r="E48" s="227" t="s">
        <v>394</v>
      </c>
      <c r="F48" s="228"/>
      <c r="G48" s="353"/>
      <c r="H48" s="353"/>
      <c r="I48" s="353"/>
      <c r="J48" s="303" t="s">
        <v>58</v>
      </c>
    </row>
    <row r="49" spans="2:10" ht="20" customHeight="1" x14ac:dyDescent="0.2">
      <c r="B49" s="249"/>
      <c r="C49" s="227" t="s">
        <v>149</v>
      </c>
      <c r="D49" s="363"/>
      <c r="E49" s="227" t="s">
        <v>149</v>
      </c>
      <c r="F49" s="228"/>
      <c r="G49" s="228"/>
      <c r="H49" s="228"/>
      <c r="I49" s="228"/>
      <c r="J49" s="303" t="s">
        <v>58</v>
      </c>
    </row>
    <row r="50" spans="2:10" ht="20" customHeight="1" x14ac:dyDescent="0.2">
      <c r="B50" s="254"/>
      <c r="C50" s="230" t="s">
        <v>299</v>
      </c>
      <c r="D50" s="365"/>
      <c r="E50" s="230" t="s">
        <v>123</v>
      </c>
      <c r="F50" s="231"/>
      <c r="G50" s="356"/>
      <c r="H50" s="356"/>
      <c r="I50" s="356"/>
      <c r="J50" s="326" t="s">
        <v>6</v>
      </c>
    </row>
    <row r="51" spans="2:10" ht="7.5" customHeight="1" x14ac:dyDescent="0.2">
      <c r="B51" s="238"/>
      <c r="C51" s="261"/>
      <c r="D51" s="366"/>
      <c r="E51" s="261"/>
      <c r="F51" s="262"/>
      <c r="G51" s="262"/>
      <c r="H51" s="262"/>
      <c r="I51" s="262"/>
      <c r="J51" s="263"/>
    </row>
    <row r="52" spans="2:10" ht="20" customHeight="1" x14ac:dyDescent="0.2">
      <c r="B52" s="245" t="s">
        <v>558</v>
      </c>
      <c r="C52" s="246"/>
      <c r="D52" s="361"/>
      <c r="E52" s="246"/>
      <c r="F52" s="247"/>
      <c r="G52" s="247"/>
      <c r="H52" s="247"/>
      <c r="I52" s="247"/>
      <c r="J52" s="248"/>
    </row>
    <row r="53" spans="2:10" ht="20" customHeight="1" x14ac:dyDescent="0.2">
      <c r="B53" s="249"/>
      <c r="C53" s="227" t="s">
        <v>577</v>
      </c>
      <c r="D53" s="362"/>
      <c r="E53" s="224" t="s">
        <v>211</v>
      </c>
      <c r="F53" s="225"/>
      <c r="G53" s="225"/>
      <c r="H53" s="225"/>
      <c r="I53" s="225"/>
      <c r="J53" s="302" t="s">
        <v>601</v>
      </c>
    </row>
    <row r="54" spans="2:10" ht="20" customHeight="1" x14ac:dyDescent="0.2">
      <c r="B54" s="249"/>
      <c r="C54" s="227" t="s">
        <v>578</v>
      </c>
      <c r="D54" s="363"/>
      <c r="E54" s="227" t="s">
        <v>210</v>
      </c>
      <c r="F54" s="228"/>
      <c r="G54" s="353"/>
      <c r="H54" s="353"/>
      <c r="I54" s="353"/>
      <c r="J54" s="303" t="s">
        <v>601</v>
      </c>
    </row>
    <row r="55" spans="2:10" ht="20" customHeight="1" x14ac:dyDescent="0.2">
      <c r="B55" s="254"/>
      <c r="C55" s="230" t="s">
        <v>283</v>
      </c>
      <c r="D55" s="365"/>
      <c r="E55" s="230" t="s">
        <v>209</v>
      </c>
      <c r="F55" s="231"/>
      <c r="G55" s="356"/>
      <c r="H55" s="356"/>
      <c r="I55" s="356"/>
      <c r="J55" s="326" t="s">
        <v>6</v>
      </c>
    </row>
    <row r="56" spans="2:10" ht="7.5" customHeight="1" x14ac:dyDescent="0.2">
      <c r="B56" s="238"/>
      <c r="C56" s="261"/>
      <c r="D56" s="366"/>
      <c r="E56" s="261"/>
      <c r="F56" s="262"/>
      <c r="G56" s="262"/>
      <c r="H56" s="262"/>
      <c r="I56" s="262"/>
      <c r="J56" s="263"/>
    </row>
    <row r="57" spans="2:10" ht="40.5" customHeight="1" x14ac:dyDescent="0.2">
      <c r="B57" s="458" t="s">
        <v>560</v>
      </c>
      <c r="C57" s="459"/>
      <c r="D57" s="459"/>
      <c r="E57" s="459"/>
      <c r="F57" s="459"/>
      <c r="G57" s="459"/>
      <c r="H57" s="459"/>
      <c r="I57" s="459"/>
      <c r="J57" s="464"/>
    </row>
    <row r="58" spans="2:10" ht="20" customHeight="1" x14ac:dyDescent="0.2">
      <c r="B58" s="249"/>
      <c r="C58" s="227" t="s">
        <v>579</v>
      </c>
      <c r="D58" s="368"/>
      <c r="E58" s="348" t="s">
        <v>71</v>
      </c>
      <c r="F58" s="349"/>
      <c r="G58" s="349"/>
      <c r="H58" s="349"/>
      <c r="I58" s="349"/>
      <c r="J58" s="350" t="s">
        <v>601</v>
      </c>
    </row>
    <row r="59" spans="2:10" ht="20" customHeight="1" x14ac:dyDescent="0.2">
      <c r="B59" s="249"/>
      <c r="C59" s="227" t="s">
        <v>580</v>
      </c>
      <c r="D59" s="363"/>
      <c r="E59" s="227" t="s">
        <v>87</v>
      </c>
      <c r="F59" s="228"/>
      <c r="G59" s="228"/>
      <c r="H59" s="228"/>
      <c r="I59" s="228"/>
      <c r="J59" s="303" t="s">
        <v>601</v>
      </c>
    </row>
    <row r="60" spans="2:10" ht="16" x14ac:dyDescent="0.2">
      <c r="B60" s="249"/>
      <c r="C60" s="328" t="s">
        <v>300</v>
      </c>
      <c r="D60" s="369"/>
      <c r="E60" s="328" t="s">
        <v>72</v>
      </c>
      <c r="F60" s="329"/>
      <c r="G60" s="329"/>
      <c r="H60" s="329"/>
      <c r="I60" s="329"/>
      <c r="J60" s="330" t="s">
        <v>58</v>
      </c>
    </row>
    <row r="61" spans="2:10" ht="16" x14ac:dyDescent="0.2">
      <c r="B61" s="254"/>
      <c r="C61" s="230" t="s">
        <v>284</v>
      </c>
      <c r="D61" s="365"/>
      <c r="E61" s="230" t="s">
        <v>116</v>
      </c>
      <c r="F61" s="231"/>
      <c r="G61" s="231"/>
      <c r="H61" s="231"/>
      <c r="I61" s="231"/>
      <c r="J61" s="230" t="s">
        <v>6</v>
      </c>
    </row>
    <row r="62" spans="2:10" ht="7.5" customHeight="1" x14ac:dyDescent="0.2">
      <c r="B62" s="238"/>
      <c r="C62" s="261"/>
      <c r="D62" s="366"/>
      <c r="E62" s="261"/>
      <c r="F62" s="262"/>
      <c r="G62" s="262"/>
      <c r="H62" s="262"/>
      <c r="I62" s="262"/>
      <c r="J62" s="263"/>
    </row>
    <row r="63" spans="2:10" ht="19" x14ac:dyDescent="0.2">
      <c r="B63" s="245" t="s">
        <v>561</v>
      </c>
      <c r="C63" s="246"/>
      <c r="D63" s="361"/>
      <c r="E63" s="246"/>
      <c r="F63" s="247"/>
      <c r="G63" s="247"/>
      <c r="H63" s="247"/>
      <c r="I63" s="247"/>
      <c r="J63" s="331"/>
    </row>
    <row r="64" spans="2:10" ht="16" x14ac:dyDescent="0.2">
      <c r="B64" s="249"/>
      <c r="C64" s="227" t="s">
        <v>581</v>
      </c>
      <c r="D64" s="362"/>
      <c r="E64" s="224" t="s">
        <v>111</v>
      </c>
      <c r="F64" s="225"/>
      <c r="G64" s="225"/>
      <c r="H64" s="225"/>
      <c r="I64" s="225"/>
      <c r="J64" s="302" t="s">
        <v>601</v>
      </c>
    </row>
    <row r="65" spans="2:10" ht="16" x14ac:dyDescent="0.2">
      <c r="B65" s="249"/>
      <c r="C65" s="227" t="s">
        <v>582</v>
      </c>
      <c r="D65" s="363"/>
      <c r="E65" s="227" t="s">
        <v>110</v>
      </c>
      <c r="F65" s="228"/>
      <c r="G65" s="228"/>
      <c r="H65" s="228"/>
      <c r="I65" s="228"/>
      <c r="J65" s="303" t="s">
        <v>601</v>
      </c>
    </row>
    <row r="66" spans="2:10" ht="16" x14ac:dyDescent="0.2">
      <c r="B66" s="254"/>
      <c r="C66" s="230" t="s">
        <v>285</v>
      </c>
      <c r="D66" s="365"/>
      <c r="E66" s="230" t="s">
        <v>117</v>
      </c>
      <c r="F66" s="231"/>
      <c r="G66" s="231"/>
      <c r="H66" s="231"/>
      <c r="I66" s="231"/>
      <c r="J66" s="230" t="s">
        <v>6</v>
      </c>
    </row>
    <row r="67" spans="2:10" ht="7.5" customHeight="1" x14ac:dyDescent="0.2">
      <c r="B67" s="238"/>
      <c r="C67" s="261"/>
      <c r="D67" s="366"/>
      <c r="E67" s="261"/>
      <c r="F67" s="262"/>
      <c r="G67" s="262"/>
      <c r="H67" s="262"/>
      <c r="I67" s="262"/>
      <c r="J67" s="263"/>
    </row>
    <row r="68" spans="2:10" ht="19" x14ac:dyDescent="0.2">
      <c r="B68" s="458" t="s">
        <v>562</v>
      </c>
      <c r="C68" s="459"/>
      <c r="D68" s="459"/>
      <c r="E68" s="459"/>
      <c r="F68" s="459"/>
      <c r="G68" s="459"/>
      <c r="H68" s="459"/>
      <c r="I68" s="459"/>
      <c r="J68" s="460"/>
    </row>
    <row r="69" spans="2:10" ht="16" x14ac:dyDescent="0.2">
      <c r="B69" s="249"/>
      <c r="C69" s="227" t="s">
        <v>583</v>
      </c>
      <c r="D69" s="368"/>
      <c r="E69" s="348" t="s">
        <v>79</v>
      </c>
      <c r="F69" s="349"/>
      <c r="G69" s="349"/>
      <c r="H69" s="349"/>
      <c r="I69" s="349"/>
      <c r="J69" s="350" t="s">
        <v>601</v>
      </c>
    </row>
    <row r="70" spans="2:10" ht="16" x14ac:dyDescent="0.2">
      <c r="B70" s="249"/>
      <c r="C70" s="227" t="s">
        <v>584</v>
      </c>
      <c r="D70" s="363"/>
      <c r="E70" s="227" t="s">
        <v>88</v>
      </c>
      <c r="F70" s="228"/>
      <c r="G70" s="228"/>
      <c r="H70" s="228"/>
      <c r="I70" s="228"/>
      <c r="J70" s="303" t="s">
        <v>601</v>
      </c>
    </row>
    <row r="71" spans="2:10" ht="34" x14ac:dyDescent="0.2">
      <c r="B71" s="249"/>
      <c r="C71" s="226" t="s">
        <v>301</v>
      </c>
      <c r="D71" s="363" t="s">
        <v>302</v>
      </c>
      <c r="E71" s="227" t="s">
        <v>151</v>
      </c>
      <c r="F71" s="228"/>
      <c r="G71" s="228"/>
      <c r="H71" s="228"/>
      <c r="I71" s="228"/>
      <c r="J71" s="227" t="s">
        <v>602</v>
      </c>
    </row>
    <row r="72" spans="2:10" ht="16" x14ac:dyDescent="0.2">
      <c r="B72" s="249"/>
      <c r="C72" s="226" t="s">
        <v>304</v>
      </c>
      <c r="D72" s="363"/>
      <c r="E72" s="227" t="s">
        <v>152</v>
      </c>
      <c r="F72" s="228"/>
      <c r="G72" s="228"/>
      <c r="H72" s="228"/>
      <c r="I72" s="228"/>
      <c r="J72" s="227" t="s">
        <v>602</v>
      </c>
    </row>
    <row r="73" spans="2:10" ht="17" x14ac:dyDescent="0.2">
      <c r="B73" s="249"/>
      <c r="C73" s="226" t="s">
        <v>153</v>
      </c>
      <c r="D73" s="363" t="s">
        <v>305</v>
      </c>
      <c r="E73" s="227" t="s">
        <v>153</v>
      </c>
      <c r="F73" s="252"/>
      <c r="G73" s="252"/>
      <c r="H73" s="252"/>
      <c r="I73" s="252"/>
      <c r="J73" s="227" t="s">
        <v>11</v>
      </c>
    </row>
    <row r="74" spans="2:10" ht="16" x14ac:dyDescent="0.2">
      <c r="B74" s="249"/>
      <c r="C74" s="227" t="s">
        <v>303</v>
      </c>
      <c r="D74" s="363"/>
      <c r="E74" s="227" t="s">
        <v>73</v>
      </c>
      <c r="F74" s="228"/>
      <c r="G74" s="228"/>
      <c r="H74" s="228"/>
      <c r="I74" s="228"/>
      <c r="J74" s="227" t="s">
        <v>69</v>
      </c>
    </row>
    <row r="75" spans="2:10" ht="16" x14ac:dyDescent="0.2">
      <c r="B75" s="254"/>
      <c r="C75" s="230" t="s">
        <v>286</v>
      </c>
      <c r="D75" s="365"/>
      <c r="E75" s="230" t="s">
        <v>118</v>
      </c>
      <c r="F75" s="231"/>
      <c r="G75" s="231"/>
      <c r="H75" s="231"/>
      <c r="I75" s="231"/>
      <c r="J75" s="230" t="s">
        <v>6</v>
      </c>
    </row>
    <row r="76" spans="2:10" ht="7.5" customHeight="1" x14ac:dyDescent="0.2">
      <c r="B76" s="238"/>
      <c r="C76" s="261"/>
      <c r="D76" s="366"/>
      <c r="E76" s="261"/>
      <c r="F76" s="262"/>
      <c r="G76" s="262"/>
      <c r="H76" s="262"/>
      <c r="I76" s="262"/>
      <c r="J76" s="263"/>
    </row>
    <row r="77" spans="2:10" ht="19" x14ac:dyDescent="0.2">
      <c r="B77" s="245" t="s">
        <v>563</v>
      </c>
      <c r="C77" s="246"/>
      <c r="D77" s="361"/>
      <c r="E77" s="246"/>
      <c r="F77" s="247"/>
      <c r="G77" s="247"/>
      <c r="H77" s="247"/>
      <c r="I77" s="247"/>
      <c r="J77" s="331"/>
    </row>
    <row r="78" spans="2:10" ht="16" x14ac:dyDescent="0.2">
      <c r="B78" s="249"/>
      <c r="C78" s="227" t="s">
        <v>585</v>
      </c>
      <c r="D78" s="362"/>
      <c r="E78" s="224" t="s">
        <v>80</v>
      </c>
      <c r="F78" s="225"/>
      <c r="G78" s="225"/>
      <c r="H78" s="225"/>
      <c r="I78" s="225"/>
      <c r="J78" s="302" t="s">
        <v>601</v>
      </c>
    </row>
    <row r="79" spans="2:10" ht="16" x14ac:dyDescent="0.2">
      <c r="B79" s="249"/>
      <c r="C79" s="227" t="s">
        <v>586</v>
      </c>
      <c r="D79" s="363"/>
      <c r="E79" s="227" t="s">
        <v>89</v>
      </c>
      <c r="F79" s="228"/>
      <c r="G79" s="228"/>
      <c r="H79" s="228"/>
      <c r="I79" s="228"/>
      <c r="J79" s="303" t="s">
        <v>601</v>
      </c>
    </row>
    <row r="80" spans="2:10" ht="16" x14ac:dyDescent="0.2">
      <c r="B80" s="254"/>
      <c r="C80" s="230" t="s">
        <v>287</v>
      </c>
      <c r="D80" s="365"/>
      <c r="E80" s="230" t="s">
        <v>119</v>
      </c>
      <c r="F80" s="231"/>
      <c r="G80" s="231"/>
      <c r="H80" s="231"/>
      <c r="I80" s="231"/>
      <c r="J80" s="230" t="s">
        <v>6</v>
      </c>
    </row>
    <row r="81" spans="2:10" ht="7.5" customHeight="1" x14ac:dyDescent="0.2">
      <c r="B81" s="238"/>
      <c r="C81" s="261"/>
      <c r="D81" s="366"/>
      <c r="E81" s="261"/>
      <c r="F81" s="262"/>
      <c r="G81" s="262"/>
      <c r="H81" s="262"/>
      <c r="I81" s="262"/>
      <c r="J81" s="263"/>
    </row>
    <row r="82" spans="2:10" ht="19" x14ac:dyDescent="0.2">
      <c r="B82" s="245" t="s">
        <v>564</v>
      </c>
      <c r="C82" s="246"/>
      <c r="D82" s="361"/>
      <c r="E82" s="246"/>
      <c r="F82" s="247"/>
      <c r="G82" s="247"/>
      <c r="H82" s="247"/>
      <c r="I82" s="247"/>
      <c r="J82" s="331"/>
    </row>
    <row r="83" spans="2:10" ht="16" x14ac:dyDescent="0.2">
      <c r="B83" s="249"/>
      <c r="C83" s="227" t="s">
        <v>289</v>
      </c>
      <c r="D83" s="362"/>
      <c r="E83" s="224" t="s">
        <v>81</v>
      </c>
      <c r="F83" s="225"/>
      <c r="G83" s="225"/>
      <c r="H83" s="225"/>
      <c r="I83" s="225"/>
      <c r="J83" s="302" t="s">
        <v>601</v>
      </c>
    </row>
    <row r="84" spans="2:10" ht="16" x14ac:dyDescent="0.2">
      <c r="B84" s="249"/>
      <c r="C84" s="227" t="s">
        <v>290</v>
      </c>
      <c r="D84" s="363"/>
      <c r="E84" s="227" t="s">
        <v>90</v>
      </c>
      <c r="F84" s="228"/>
      <c r="G84" s="228"/>
      <c r="H84" s="228"/>
      <c r="I84" s="228"/>
      <c r="J84" s="303" t="s">
        <v>601</v>
      </c>
    </row>
    <row r="85" spans="2:10" ht="16" x14ac:dyDescent="0.2">
      <c r="B85" s="249"/>
      <c r="C85" s="227" t="s">
        <v>353</v>
      </c>
      <c r="D85" s="367"/>
      <c r="E85" s="227" t="s">
        <v>354</v>
      </c>
      <c r="F85" s="228"/>
      <c r="G85" s="228"/>
      <c r="H85" s="228"/>
      <c r="I85" s="228"/>
      <c r="J85" s="227" t="s">
        <v>58</v>
      </c>
    </row>
    <row r="86" spans="2:10" ht="16" x14ac:dyDescent="0.2">
      <c r="B86" s="254"/>
      <c r="C86" s="230" t="s">
        <v>288</v>
      </c>
      <c r="D86" s="365"/>
      <c r="E86" s="230" t="s">
        <v>120</v>
      </c>
      <c r="F86" s="231"/>
      <c r="G86" s="231"/>
      <c r="H86" s="231"/>
      <c r="I86" s="231"/>
      <c r="J86" s="230" t="s">
        <v>6</v>
      </c>
    </row>
    <row r="87" spans="2:10" ht="7.5" customHeight="1" x14ac:dyDescent="0.2">
      <c r="B87" s="238"/>
      <c r="C87" s="261"/>
      <c r="D87" s="366"/>
      <c r="E87" s="261"/>
      <c r="F87" s="262"/>
      <c r="G87" s="262"/>
      <c r="H87" s="262"/>
      <c r="I87" s="262"/>
      <c r="J87" s="263"/>
    </row>
    <row r="88" spans="2:10" ht="19" x14ac:dyDescent="0.2">
      <c r="B88" s="458" t="s">
        <v>565</v>
      </c>
      <c r="C88" s="459"/>
      <c r="D88" s="459"/>
      <c r="E88" s="459"/>
      <c r="F88" s="459"/>
      <c r="G88" s="459"/>
      <c r="H88" s="459"/>
      <c r="I88" s="459"/>
      <c r="J88" s="460"/>
    </row>
    <row r="89" spans="2:10" ht="16" x14ac:dyDescent="0.2">
      <c r="B89" s="249"/>
      <c r="C89" s="227" t="s">
        <v>587</v>
      </c>
      <c r="D89" s="368"/>
      <c r="E89" s="348" t="s">
        <v>112</v>
      </c>
      <c r="F89" s="349"/>
      <c r="G89" s="349"/>
      <c r="H89" s="349"/>
      <c r="I89" s="349"/>
      <c r="J89" s="350" t="s">
        <v>224</v>
      </c>
    </row>
    <row r="90" spans="2:10" ht="16" x14ac:dyDescent="0.2">
      <c r="B90" s="249"/>
      <c r="C90" s="227" t="s">
        <v>588</v>
      </c>
      <c r="D90" s="363"/>
      <c r="E90" s="227" t="s">
        <v>113</v>
      </c>
      <c r="F90" s="228"/>
      <c r="G90" s="228"/>
      <c r="H90" s="228"/>
      <c r="I90" s="228"/>
      <c r="J90" s="302" t="s">
        <v>224</v>
      </c>
    </row>
    <row r="91" spans="2:10" ht="16" x14ac:dyDescent="0.2">
      <c r="B91" s="249"/>
      <c r="C91" s="226" t="s">
        <v>426</v>
      </c>
      <c r="D91" s="363"/>
      <c r="E91" s="227" t="s">
        <v>425</v>
      </c>
      <c r="F91" s="228"/>
      <c r="G91" s="228"/>
      <c r="H91" s="228"/>
      <c r="I91" s="228"/>
      <c r="J91" s="227" t="s">
        <v>70</v>
      </c>
    </row>
    <row r="92" spans="2:10" ht="16" x14ac:dyDescent="0.2">
      <c r="B92" s="249"/>
      <c r="C92" s="226" t="s">
        <v>427</v>
      </c>
      <c r="D92" s="363"/>
      <c r="E92" s="227" t="s">
        <v>424</v>
      </c>
      <c r="F92" s="228"/>
      <c r="G92" s="228"/>
      <c r="H92" s="228"/>
      <c r="I92" s="228"/>
      <c r="J92" s="227" t="s">
        <v>70</v>
      </c>
    </row>
    <row r="93" spans="2:10" ht="16" x14ac:dyDescent="0.2">
      <c r="B93" s="254"/>
      <c r="C93" s="230" t="s">
        <v>291</v>
      </c>
      <c r="D93" s="365"/>
      <c r="E93" s="230" t="s">
        <v>121</v>
      </c>
      <c r="F93" s="231"/>
      <c r="G93" s="231"/>
      <c r="H93" s="231"/>
      <c r="I93" s="231"/>
      <c r="J93" s="230" t="s">
        <v>6</v>
      </c>
    </row>
    <row r="94" spans="2:10" ht="7.5" customHeight="1" x14ac:dyDescent="0.2">
      <c r="B94" s="238"/>
      <c r="C94" s="261"/>
      <c r="D94" s="366"/>
      <c r="E94" s="261"/>
      <c r="F94" s="262"/>
      <c r="G94" s="262"/>
      <c r="H94" s="262"/>
      <c r="I94" s="262"/>
      <c r="J94" s="263"/>
    </row>
    <row r="95" spans="2:10" ht="19" x14ac:dyDescent="0.2">
      <c r="B95" s="461" t="s">
        <v>566</v>
      </c>
      <c r="C95" s="462"/>
      <c r="D95" s="462"/>
      <c r="E95" s="462"/>
      <c r="F95" s="462"/>
      <c r="G95" s="462"/>
      <c r="H95" s="462"/>
      <c r="I95" s="462"/>
      <c r="J95" s="463"/>
    </row>
    <row r="96" spans="2:10" ht="16" x14ac:dyDescent="0.2">
      <c r="B96" s="249"/>
      <c r="C96" s="227" t="s">
        <v>589</v>
      </c>
      <c r="D96" s="368"/>
      <c r="E96" s="348" t="s">
        <v>82</v>
      </c>
      <c r="F96" s="349"/>
      <c r="G96" s="349"/>
      <c r="H96" s="349"/>
      <c r="I96" s="349"/>
      <c r="J96" s="350" t="s">
        <v>224</v>
      </c>
    </row>
    <row r="97" spans="2:10" ht="16" x14ac:dyDescent="0.2">
      <c r="B97" s="249"/>
      <c r="C97" s="227" t="s">
        <v>590</v>
      </c>
      <c r="D97" s="363"/>
      <c r="E97" s="227" t="s">
        <v>91</v>
      </c>
      <c r="F97" s="228"/>
      <c r="G97" s="228"/>
      <c r="H97" s="228"/>
      <c r="I97" s="228"/>
      <c r="J97" s="302" t="s">
        <v>224</v>
      </c>
    </row>
    <row r="98" spans="2:10" ht="16" x14ac:dyDescent="0.2">
      <c r="B98" s="249"/>
      <c r="C98" s="227" t="s">
        <v>541</v>
      </c>
      <c r="D98" s="363"/>
      <c r="E98" s="227" t="s">
        <v>540</v>
      </c>
      <c r="F98" s="228"/>
      <c r="G98" s="228"/>
      <c r="H98" s="228"/>
      <c r="I98" s="228"/>
      <c r="J98" s="227" t="s">
        <v>70</v>
      </c>
    </row>
    <row r="99" spans="2:10" ht="20" customHeight="1" x14ac:dyDescent="0.2">
      <c r="B99" s="254"/>
      <c r="C99" s="230" t="s">
        <v>292</v>
      </c>
      <c r="D99" s="365"/>
      <c r="E99" s="230" t="s">
        <v>122</v>
      </c>
      <c r="F99" s="231"/>
      <c r="G99" s="231"/>
      <c r="H99" s="231"/>
      <c r="I99" s="231"/>
      <c r="J99" s="230" t="s">
        <v>6</v>
      </c>
    </row>
    <row r="100" spans="2:10" ht="7.5" customHeight="1" x14ac:dyDescent="0.2">
      <c r="B100" s="238"/>
      <c r="C100" s="261"/>
      <c r="D100" s="366"/>
      <c r="E100" s="261"/>
      <c r="F100" s="262"/>
      <c r="G100" s="262"/>
      <c r="H100" s="262"/>
      <c r="I100" s="262"/>
      <c r="J100" s="263"/>
    </row>
    <row r="101" spans="2:10" ht="19" x14ac:dyDescent="0.2">
      <c r="B101" s="245" t="s">
        <v>567</v>
      </c>
      <c r="C101" s="246"/>
      <c r="D101" s="361"/>
      <c r="E101" s="246"/>
      <c r="F101" s="247"/>
      <c r="G101" s="247"/>
      <c r="H101" s="247"/>
      <c r="I101" s="247"/>
      <c r="J101" s="331"/>
    </row>
    <row r="102" spans="2:10" ht="16" x14ac:dyDescent="0.2">
      <c r="B102" s="249"/>
      <c r="C102" s="226" t="s">
        <v>402</v>
      </c>
      <c r="D102" s="363"/>
      <c r="E102" s="227" t="s">
        <v>397</v>
      </c>
      <c r="F102" s="228"/>
      <c r="G102" s="228"/>
      <c r="H102" s="228"/>
      <c r="I102" s="228"/>
      <c r="J102" s="227" t="s">
        <v>58</v>
      </c>
    </row>
    <row r="103" spans="2:10" ht="16" x14ac:dyDescent="0.2">
      <c r="B103" s="249"/>
      <c r="C103" s="226" t="s">
        <v>294</v>
      </c>
      <c r="D103" s="363"/>
      <c r="E103" s="227" t="s">
        <v>398</v>
      </c>
      <c r="F103" s="228"/>
      <c r="G103" s="228"/>
      <c r="H103" s="228"/>
      <c r="I103" s="228"/>
      <c r="J103" s="227" t="s">
        <v>14</v>
      </c>
    </row>
    <row r="104" spans="2:10" ht="16" x14ac:dyDescent="0.2">
      <c r="B104" s="249"/>
      <c r="C104" s="227" t="s">
        <v>609</v>
      </c>
      <c r="D104" s="363"/>
      <c r="E104" s="227" t="s">
        <v>399</v>
      </c>
      <c r="F104" s="228"/>
      <c r="G104" s="228"/>
      <c r="H104" s="228"/>
      <c r="I104" s="228"/>
      <c r="J104" s="227" t="s">
        <v>603</v>
      </c>
    </row>
    <row r="105" spans="2:10" ht="16" x14ac:dyDescent="0.2">
      <c r="B105" s="249"/>
      <c r="C105" s="226" t="s">
        <v>297</v>
      </c>
      <c r="D105" s="363"/>
      <c r="E105" s="227" t="s">
        <v>400</v>
      </c>
      <c r="F105" s="228"/>
      <c r="G105" s="228"/>
      <c r="H105" s="228"/>
      <c r="I105" s="228"/>
      <c r="J105" s="227" t="s">
        <v>92</v>
      </c>
    </row>
    <row r="106" spans="2:10" ht="16" x14ac:dyDescent="0.2">
      <c r="B106" s="249"/>
      <c r="C106" s="227" t="s">
        <v>351</v>
      </c>
      <c r="D106" s="367"/>
      <c r="E106" s="227" t="s">
        <v>404</v>
      </c>
      <c r="F106" s="228"/>
      <c r="G106" s="228"/>
      <c r="H106" s="228"/>
      <c r="I106" s="228"/>
      <c r="J106" s="227" t="s">
        <v>70</v>
      </c>
    </row>
    <row r="107" spans="2:10" ht="20" customHeight="1" x14ac:dyDescent="0.2">
      <c r="B107" s="249"/>
      <c r="C107" s="226" t="s">
        <v>623</v>
      </c>
      <c r="D107" s="363"/>
      <c r="E107" s="227" t="s">
        <v>401</v>
      </c>
      <c r="F107" s="228"/>
      <c r="G107" s="228"/>
      <c r="H107" s="228"/>
      <c r="I107" s="228"/>
      <c r="J107" s="227" t="s">
        <v>70</v>
      </c>
    </row>
    <row r="108" spans="2:10" ht="16" x14ac:dyDescent="0.2">
      <c r="B108" s="332"/>
      <c r="C108" s="227" t="s">
        <v>306</v>
      </c>
      <c r="D108" s="363"/>
      <c r="E108" s="227" t="s">
        <v>124</v>
      </c>
      <c r="F108" s="228"/>
      <c r="G108" s="228"/>
      <c r="H108" s="228"/>
      <c r="I108" s="228"/>
      <c r="J108" s="227" t="s">
        <v>6</v>
      </c>
    </row>
    <row r="109" spans="2:10" ht="20" customHeight="1" x14ac:dyDescent="0.2"/>
    <row r="110" spans="2:10" ht="20" customHeight="1" x14ac:dyDescent="0.2"/>
    <row r="111" spans="2:10" ht="20" customHeight="1" x14ac:dyDescent="0.2"/>
    <row r="112" spans="2:10" ht="20" customHeight="1" x14ac:dyDescent="0.2"/>
    <row r="113" ht="20" customHeight="1" x14ac:dyDescent="0.2"/>
    <row r="114" ht="20" customHeight="1" x14ac:dyDescent="0.2"/>
    <row r="115" ht="20" customHeight="1" x14ac:dyDescent="0.2"/>
    <row r="116" ht="20" customHeight="1" x14ac:dyDescent="0.2"/>
    <row r="117" ht="20" customHeight="1" x14ac:dyDescent="0.2"/>
    <row r="118" ht="20" customHeight="1" x14ac:dyDescent="0.2"/>
    <row r="119" ht="20" customHeight="1" x14ac:dyDescent="0.2"/>
    <row r="120" ht="20" customHeight="1" x14ac:dyDescent="0.2"/>
    <row r="121" ht="20" customHeight="1" x14ac:dyDescent="0.2"/>
    <row r="122" ht="20" customHeight="1" x14ac:dyDescent="0.2"/>
    <row r="123" ht="20" customHeight="1" x14ac:dyDescent="0.2"/>
    <row r="124" ht="20" customHeight="1" x14ac:dyDescent="0.2"/>
    <row r="125" ht="20" customHeight="1" x14ac:dyDescent="0.2"/>
    <row r="126" ht="20" customHeight="1" x14ac:dyDescent="0.2"/>
    <row r="127" ht="20" customHeight="1" x14ac:dyDescent="0.2"/>
    <row r="128" ht="20" customHeight="1" x14ac:dyDescent="0.2"/>
    <row r="129" ht="20" customHeight="1" x14ac:dyDescent="0.2"/>
    <row r="130" ht="20" customHeight="1" x14ac:dyDescent="0.2"/>
    <row r="131" ht="20" customHeight="1" x14ac:dyDescent="0.2"/>
    <row r="132" ht="20" customHeight="1" x14ac:dyDescent="0.2"/>
    <row r="133" ht="20" customHeight="1" x14ac:dyDescent="0.2"/>
    <row r="134" ht="20" customHeight="1" x14ac:dyDescent="0.2"/>
    <row r="135" ht="20" customHeight="1" x14ac:dyDescent="0.2"/>
    <row r="136" ht="20" customHeight="1" x14ac:dyDescent="0.2"/>
    <row r="137" ht="20" customHeight="1" x14ac:dyDescent="0.2"/>
    <row r="138" ht="20" customHeight="1" x14ac:dyDescent="0.2"/>
    <row r="139" ht="20" customHeight="1" x14ac:dyDescent="0.2"/>
    <row r="140" ht="20" customHeight="1" x14ac:dyDescent="0.2"/>
    <row r="141" ht="20" customHeight="1" x14ac:dyDescent="0.2"/>
    <row r="142" ht="20" customHeight="1" x14ac:dyDescent="0.2"/>
    <row r="143" ht="20" customHeight="1" x14ac:dyDescent="0.2"/>
    <row r="144" ht="20" customHeight="1" x14ac:dyDescent="0.2"/>
    <row r="145" ht="20" customHeight="1" x14ac:dyDescent="0.2"/>
    <row r="146" ht="20" customHeight="1" x14ac:dyDescent="0.2"/>
    <row r="147" ht="20" customHeight="1" x14ac:dyDescent="0.2"/>
    <row r="148" ht="20" customHeight="1" x14ac:dyDescent="0.2"/>
    <row r="149" ht="20" customHeight="1" x14ac:dyDescent="0.2"/>
    <row r="150" ht="20" customHeight="1" x14ac:dyDescent="0.2"/>
    <row r="151" ht="20" customHeight="1" x14ac:dyDescent="0.2"/>
    <row r="152" ht="20" customHeight="1" x14ac:dyDescent="0.2"/>
    <row r="153" ht="20" customHeight="1" x14ac:dyDescent="0.2"/>
    <row r="154" ht="20" customHeight="1" x14ac:dyDescent="0.2"/>
    <row r="155" ht="20" customHeight="1" x14ac:dyDescent="0.2"/>
    <row r="156" ht="20" customHeight="1" x14ac:dyDescent="0.2"/>
    <row r="157" ht="20" customHeight="1" x14ac:dyDescent="0.2"/>
    <row r="158" ht="20" customHeight="1" x14ac:dyDescent="0.2"/>
    <row r="159" ht="20" customHeight="1" x14ac:dyDescent="0.2"/>
    <row r="160" ht="20" customHeight="1" x14ac:dyDescent="0.2"/>
    <row r="161" ht="20" customHeight="1" x14ac:dyDescent="0.2"/>
    <row r="162" ht="20" customHeight="1" x14ac:dyDescent="0.2"/>
    <row r="163" ht="20" customHeight="1" x14ac:dyDescent="0.2"/>
    <row r="164" ht="20" customHeight="1" x14ac:dyDescent="0.2"/>
    <row r="165" ht="20" customHeight="1" x14ac:dyDescent="0.2"/>
    <row r="166" ht="20" customHeight="1" x14ac:dyDescent="0.2"/>
    <row r="167" ht="20" customHeight="1" x14ac:dyDescent="0.2"/>
    <row r="168" ht="20" customHeight="1" x14ac:dyDescent="0.2"/>
    <row r="169" ht="20" customHeight="1" x14ac:dyDescent="0.2"/>
    <row r="170" ht="20" customHeight="1" x14ac:dyDescent="0.2"/>
    <row r="171" ht="20" customHeight="1" x14ac:dyDescent="0.2"/>
    <row r="172" ht="20" customHeight="1" x14ac:dyDescent="0.2"/>
    <row r="173" ht="20" customHeight="1" x14ac:dyDescent="0.2"/>
    <row r="174" ht="20" customHeight="1" x14ac:dyDescent="0.2"/>
    <row r="175" ht="20" customHeight="1" x14ac:dyDescent="0.2"/>
    <row r="176" ht="20" customHeight="1" x14ac:dyDescent="0.2"/>
    <row r="177" ht="20" customHeight="1" x14ac:dyDescent="0.2"/>
    <row r="178" ht="20" customHeight="1" x14ac:dyDescent="0.2"/>
    <row r="179" ht="20" customHeight="1" x14ac:dyDescent="0.2"/>
    <row r="180" ht="20" customHeight="1" x14ac:dyDescent="0.2"/>
    <row r="181" ht="20" customHeight="1" x14ac:dyDescent="0.2"/>
    <row r="182" ht="20" customHeight="1" x14ac:dyDescent="0.2"/>
    <row r="183" ht="20" customHeight="1" x14ac:dyDescent="0.2"/>
    <row r="184" ht="20" customHeight="1" x14ac:dyDescent="0.2"/>
    <row r="185" ht="20" customHeight="1" x14ac:dyDescent="0.2"/>
    <row r="186" ht="20" customHeight="1" x14ac:dyDescent="0.2"/>
    <row r="187" ht="20" customHeight="1" x14ac:dyDescent="0.2"/>
    <row r="188" ht="20" customHeight="1" x14ac:dyDescent="0.2"/>
    <row r="189" ht="20" customHeight="1" x14ac:dyDescent="0.2"/>
    <row r="190" ht="20" customHeight="1" x14ac:dyDescent="0.2"/>
    <row r="191" ht="20" customHeight="1" x14ac:dyDescent="0.2"/>
    <row r="192" ht="20" customHeight="1" x14ac:dyDescent="0.2"/>
    <row r="193" ht="20" customHeight="1" x14ac:dyDescent="0.2"/>
    <row r="194" ht="20" customHeight="1" x14ac:dyDescent="0.2"/>
    <row r="195" ht="20" customHeight="1" x14ac:dyDescent="0.2"/>
    <row r="196" ht="20" customHeight="1" x14ac:dyDescent="0.2"/>
    <row r="197" ht="20" customHeight="1" x14ac:dyDescent="0.2"/>
    <row r="198" ht="20" customHeight="1" x14ac:dyDescent="0.2"/>
    <row r="199" ht="20" customHeight="1" x14ac:dyDescent="0.2"/>
    <row r="200" ht="20" customHeight="1" x14ac:dyDescent="0.2"/>
    <row r="201" ht="20" customHeight="1" x14ac:dyDescent="0.2"/>
    <row r="202" ht="20" customHeight="1" x14ac:dyDescent="0.2"/>
    <row r="203" ht="20" customHeight="1" x14ac:dyDescent="0.2"/>
    <row r="204" ht="20" customHeight="1" x14ac:dyDescent="0.2"/>
    <row r="205" ht="20" customHeight="1" x14ac:dyDescent="0.2"/>
    <row r="206" ht="20" customHeight="1" x14ac:dyDescent="0.2"/>
    <row r="207" ht="20" customHeight="1" x14ac:dyDescent="0.2"/>
    <row r="208" ht="20" customHeight="1" x14ac:dyDescent="0.2"/>
    <row r="209" ht="20" customHeight="1" x14ac:dyDescent="0.2"/>
    <row r="210" ht="20" customHeight="1" x14ac:dyDescent="0.2"/>
    <row r="211" ht="20" customHeight="1" x14ac:dyDescent="0.2"/>
    <row r="212" ht="20" customHeight="1" x14ac:dyDescent="0.2"/>
    <row r="213" ht="20" customHeight="1" x14ac:dyDescent="0.2"/>
    <row r="214" ht="20" customHeight="1" x14ac:dyDescent="0.2"/>
    <row r="215" ht="20" customHeight="1" x14ac:dyDescent="0.2"/>
    <row r="216" ht="20" customHeight="1" x14ac:dyDescent="0.2"/>
    <row r="217" ht="20" customHeight="1" x14ac:dyDescent="0.2"/>
    <row r="218" ht="20" customHeight="1" x14ac:dyDescent="0.2"/>
    <row r="219" ht="20" customHeight="1" x14ac:dyDescent="0.2"/>
    <row r="220" ht="20" customHeight="1" x14ac:dyDescent="0.2"/>
    <row r="221" ht="20" customHeight="1" x14ac:dyDescent="0.2"/>
    <row r="222" ht="20" customHeight="1" x14ac:dyDescent="0.2"/>
    <row r="223" ht="20" customHeight="1" x14ac:dyDescent="0.2"/>
    <row r="224" ht="20" customHeight="1" x14ac:dyDescent="0.2"/>
    <row r="225" ht="20" customHeight="1" x14ac:dyDescent="0.2"/>
    <row r="226" ht="20" customHeight="1" x14ac:dyDescent="0.2"/>
    <row r="227" ht="20" customHeight="1" x14ac:dyDescent="0.2"/>
    <row r="228" ht="20" customHeight="1" x14ac:dyDescent="0.2"/>
    <row r="229" ht="20" customHeight="1" x14ac:dyDescent="0.2"/>
  </sheetData>
  <mergeCells count="6">
    <mergeCell ref="B88:J88"/>
    <mergeCell ref="B95:J95"/>
    <mergeCell ref="B3:J3"/>
    <mergeCell ref="B2:J2"/>
    <mergeCell ref="B57:J57"/>
    <mergeCell ref="B68:J68"/>
  </mergeCells>
  <pageMargins left="0.7" right="0.7" top="0.78740157499999996" bottom="0.78740157499999996" header="0" footer="0"/>
  <pageSetup orientation="landscape"/>
  <extLst>
    <ext xmlns:x14="http://schemas.microsoft.com/office/spreadsheetml/2009/9/main" uri="{78C0D931-6437-407d-A8EE-F0AAD7539E65}">
      <x14:conditionalFormattings>
        <x14:conditionalFormatting xmlns:xm="http://schemas.microsoft.com/office/excel/2006/main">
          <x14:cfRule type="expression" priority="2" id="{8709C71C-038B-5345-BB2B-C2A8EB05CECE}">
            <xm:f>'Step 1 - Case Selection'!$V$25=""</xm:f>
            <x14:dxf>
              <font>
                <b val="0"/>
                <i/>
                <color theme="2" tint="0.39994506668294322"/>
              </font>
              <fill>
                <patternFill>
                  <bgColor theme="2"/>
                </patternFill>
              </fill>
            </x14:dxf>
          </x14:cfRule>
          <xm:sqref>B4:J108</xm:sqref>
        </x14:conditionalFormatting>
        <x14:conditionalFormatting xmlns:xm="http://schemas.microsoft.com/office/excel/2006/main">
          <x14:cfRule type="expression" priority="4" id="{CB5C30E5-5A79-4865-8391-7C74DABDAFBB}">
            <xm:f>AND('Step 1 - Case Selection'!$V$25&lt;&gt;"Linear Case",'Step 1 - Case Selection'!$V$27="")</xm:f>
            <x14:dxf>
              <font>
                <b val="0"/>
                <i/>
                <color theme="2" tint="0.39994506668294322"/>
              </font>
              <fill>
                <patternFill>
                  <bgColor theme="2"/>
                </patternFill>
              </fill>
            </x14:dxf>
          </x14:cfRule>
          <xm:sqref>B5:J108</xm:sqref>
        </x14:conditionalFormatting>
        <x14:conditionalFormatting xmlns:xm="http://schemas.microsoft.com/office/excel/2006/main">
          <x14:cfRule type="expression" priority="29" id="{EF747A02-8D55-4E6E-BFE6-8E33F5DE40B3}">
            <xm:f>'Step 1 - Case Selection'!$V$25&lt;&gt;"Linear Case"</xm:f>
            <x14:dxf>
              <font>
                <b val="0"/>
                <i/>
                <color theme="2" tint="0.39994506668294322"/>
              </font>
              <fill>
                <patternFill>
                  <bgColor theme="2"/>
                </patternFill>
              </fill>
            </x14:dxf>
          </x14:cfRule>
          <xm:sqref>B35:J40</xm:sqref>
        </x14:conditionalFormatting>
        <x14:conditionalFormatting xmlns:xm="http://schemas.microsoft.com/office/excel/2006/main">
          <x14:cfRule type="expression" priority="3" id="{74A391F7-1597-41CC-937B-2044EDB99909}">
            <xm:f>'Step 1 - Case Selection'!$V$25="Linear Case"</xm:f>
            <x14:dxf>
              <font>
                <b val="0"/>
                <i/>
                <color theme="2" tint="0.39994506668294322"/>
              </font>
              <fill>
                <patternFill>
                  <bgColor theme="2"/>
                </patternFill>
              </fill>
            </x14:dxf>
          </x14:cfRule>
          <xm:sqref>B52:J55 B57:J61 B63:J66 B68:J75 B77:J80 B82:J86 B88:J93 B95:J99</xm:sqref>
        </x14:conditionalFormatting>
        <x14:conditionalFormatting xmlns:xm="http://schemas.microsoft.com/office/excel/2006/main">
          <x14:cfRule type="expression" priority="16" id="{58805894-7617-4172-A828-5A08EBA3E4F1}">
            <xm:f>'Step 1 - Case Selection'!$V$31="Customer-Site Service"</xm:f>
            <x14:dxf>
              <font>
                <b val="0"/>
                <i/>
                <color theme="2" tint="0.39994506668294322"/>
              </font>
              <fill>
                <patternFill>
                  <bgColor theme="2"/>
                </patternFill>
              </fill>
            </x14:dxf>
          </x14:cfRule>
          <xm:sqref>B57:J61</xm:sqref>
        </x14:conditionalFormatting>
        <x14:conditionalFormatting xmlns:xm="http://schemas.microsoft.com/office/excel/2006/main">
          <x14:cfRule type="expression" priority="17" id="{AB9C698D-4A48-4B73-A075-E86F8F931D8E}">
            <xm:f>'Step 1 - Case Selection'!$V$29="Service"</xm:f>
            <x14:dxf>
              <font>
                <b val="0"/>
                <i/>
                <color theme="2" tint="0.39994506668294322"/>
              </font>
              <fill>
                <patternFill>
                  <bgColor theme="2"/>
                </patternFill>
              </fill>
            </x14:dxf>
          </x14:cfRule>
          <x14:cfRule type="expression" priority="18" id="{017573B6-093D-46DE-9784-9260D41B9D29}">
            <xm:f>'Step 1 - Case Selection'!$V$27="Repair"</xm:f>
            <x14:dxf>
              <font>
                <b val="0"/>
                <i/>
                <color theme="2" tint="0.39994506668294322"/>
              </font>
              <fill>
                <patternFill>
                  <bgColor theme="2"/>
                </patternFill>
              </fill>
            </x14:dxf>
          </x14:cfRule>
          <xm:sqref>B95:J99</xm:sqref>
        </x14:conditionalFormatting>
        <x14:conditionalFormatting xmlns:xm="http://schemas.microsoft.com/office/excel/2006/main">
          <x14:cfRule type="expression" priority="23" id="{20E95626-8C43-43A2-B8FC-66CF2907E7EC}">
            <xm:f>'Step 1 - Case Selection'!$V$27="Rental"</xm:f>
            <x14:dxf>
              <font>
                <b val="0"/>
                <i/>
                <color theme="2" tint="0.39994506668294322"/>
              </font>
              <fill>
                <patternFill>
                  <bgColor theme="2"/>
                </patternFill>
              </fill>
            </x14:dxf>
          </x14:cfRule>
          <xm:sqref>C9:J9 B63:J66 B68:J75 B77:J80 B82:J86 B88:J93 B95:J99</xm:sqref>
        </x14:conditionalFormatting>
        <x14:conditionalFormatting xmlns:xm="http://schemas.microsoft.com/office/excel/2006/main">
          <x14:cfRule type="expression" priority="27" id="{26851209-B992-42F5-BAC2-BCD356EA4ECB}">
            <xm:f>'Step 1 - Case Selection'!$V$27&lt;&gt;"Recycle"</xm:f>
            <x14:dxf>
              <font>
                <b val="0"/>
                <i/>
                <color theme="2" tint="0.39994506668294322"/>
              </font>
              <fill>
                <patternFill>
                  <bgColor theme="2"/>
                </patternFill>
              </fill>
            </x14:dxf>
          </x14:cfRule>
          <xm:sqref>C9:J9</xm:sqref>
        </x14:conditionalFormatting>
        <x14:conditionalFormatting xmlns:xm="http://schemas.microsoft.com/office/excel/2006/main">
          <x14:cfRule type="expression" priority="26" id="{8F41676F-14B7-44FA-A13E-9E0EC046C280}">
            <xm:f>'Step 1 - Case Selection'!$V$27&lt;&gt;"Rental"</xm:f>
            <x14:dxf>
              <font>
                <b val="0"/>
                <i/>
                <color theme="2" tint="0.39994506668294322"/>
              </font>
              <fill>
                <patternFill>
                  <bgColor theme="2"/>
                </patternFill>
              </fill>
            </x14:dxf>
          </x14:cfRule>
          <xm:sqref>C10:J10</xm:sqref>
        </x14:conditionalFormatting>
        <x14:conditionalFormatting xmlns:xm="http://schemas.microsoft.com/office/excel/2006/main">
          <x14:cfRule type="expression" priority="20" id="{3305D339-ED9E-45E0-A116-4B15D034FCD8}">
            <xm:f>'Step 1 - Case Selection'!$V$27="Reuse"</xm:f>
            <x14:dxf>
              <font>
                <b val="0"/>
                <i/>
                <color theme="2" tint="0.39994506668294322"/>
              </font>
              <fill>
                <patternFill>
                  <bgColor theme="2"/>
                </patternFill>
              </fill>
            </x14:dxf>
          </x14:cfRule>
          <xm:sqref>C14:J14 B63:J66 B68:J75 B77:J80 B82:J86 B88:J93 B95:J99</xm:sqref>
        </x14:conditionalFormatting>
        <x14:conditionalFormatting xmlns:xm="http://schemas.microsoft.com/office/excel/2006/main">
          <x14:cfRule type="expression" priority="28" id="{9022C11A-1971-4D13-BB66-CE6A156D95A0}">
            <xm:f>'Step 1 - Case Selection'!$V$27="Recycle"</xm:f>
            <x14:dxf>
              <font>
                <b val="0"/>
                <i/>
                <color theme="2" tint="0.39994506668294322"/>
              </font>
              <fill>
                <patternFill>
                  <bgColor theme="2"/>
                </patternFill>
              </fill>
            </x14:dxf>
          </x14:cfRule>
          <xm:sqref>C14:J14 B77:J80 B82:J86 B88:J93 B95:J99</xm:sqref>
        </x14:conditionalFormatting>
        <x14:conditionalFormatting xmlns:xm="http://schemas.microsoft.com/office/excel/2006/main">
          <x14:cfRule type="expression" priority="22" id="{3262F703-9A9F-4BE8-8A8F-BAF1B4A85F21}">
            <xm:f>'Step 1 - Case Selection'!$V$39&lt;&gt;"Yes"</xm:f>
            <x14:dxf>
              <font>
                <b val="0"/>
                <i/>
                <color theme="2" tint="0.39994506668294322"/>
              </font>
              <fill>
                <patternFill>
                  <bgColor theme="2"/>
                </patternFill>
              </fill>
            </x14:dxf>
          </x14:cfRule>
          <xm:sqref>C19:J19 B42:J48 B49 B50:J50</xm:sqref>
        </x14:conditionalFormatting>
        <x14:conditionalFormatting xmlns:xm="http://schemas.microsoft.com/office/excel/2006/main">
          <x14:cfRule type="expression" priority="13" id="{228C73A7-340D-4055-901D-612BE7287C9A}">
            <xm:f>'Step 1 - Case Selection'!$V$41&lt;&gt;"as a Flat Rate"</xm:f>
            <x14:dxf>
              <font>
                <b val="0"/>
                <i/>
                <color theme="2" tint="0.39994506668294322"/>
              </font>
              <fill>
                <patternFill>
                  <bgColor theme="2"/>
                </patternFill>
              </fill>
            </x14:dxf>
          </x14:cfRule>
          <xm:sqref>C43:J43</xm:sqref>
        </x14:conditionalFormatting>
        <x14:conditionalFormatting xmlns:xm="http://schemas.microsoft.com/office/excel/2006/main">
          <x14:cfRule type="expression" priority="12" id="{11A05F24-3AF6-460A-8B8B-BD7A5BB9C579}">
            <xm:f>'Step 1 - Case Selection'!$V$43&lt;&gt;"Company-Led Pickup"</xm:f>
            <x14:dxf>
              <font>
                <b val="0"/>
                <i/>
                <color theme="2" tint="0.39994506668294322"/>
              </font>
              <fill>
                <patternFill>
                  <bgColor theme="2"/>
                </patternFill>
              </fill>
            </x14:dxf>
          </x14:cfRule>
          <xm:sqref>C44:J46</xm:sqref>
        </x14:conditionalFormatting>
        <x14:conditionalFormatting xmlns:xm="http://schemas.microsoft.com/office/excel/2006/main">
          <x14:cfRule type="expression" priority="14" id="{EAFD4554-34C3-4C26-9928-2FC1AD106EC0}">
            <xm:f>'Step 1 - Case Selection'!$V$41&lt;&gt;"in Detail"</xm:f>
            <x14:dxf>
              <font>
                <b val="0"/>
                <i/>
                <color theme="2" tint="0.39994506668294322"/>
              </font>
              <fill>
                <patternFill>
                  <bgColor theme="2"/>
                </patternFill>
              </fill>
            </x14:dxf>
          </x14:cfRule>
          <xm:sqref>C44:J48</xm:sqref>
        </x14:conditionalFormatting>
        <x14:conditionalFormatting xmlns:xm="http://schemas.microsoft.com/office/excel/2006/main">
          <x14:cfRule type="expression" priority="10" id="{DE7B30FD-B4B6-43FB-88AB-33B9499ABDC9}">
            <xm:f>'Step 1 - Case Selection'!$V$45&lt;&gt;"Multi Stage System"</xm:f>
            <x14:dxf>
              <font>
                <b val="0"/>
                <i/>
                <color theme="2" tint="0.39994506668294322"/>
              </font>
              <fill>
                <patternFill>
                  <bgColor theme="2"/>
                </patternFill>
              </fill>
            </x14:dxf>
          </x14:cfRule>
          <xm:sqref>C45:J45</xm:sqref>
        </x14:conditionalFormatting>
        <x14:conditionalFormatting xmlns:xm="http://schemas.microsoft.com/office/excel/2006/main">
          <x14:cfRule type="expression" priority="11" id="{87C1EEB6-DCFC-466E-A5C6-94A72608844A}">
            <xm:f>'Step 1 - Case Selection'!$V$43&lt;&gt;"Customer-Led Return"</xm:f>
            <x14:dxf>
              <font>
                <b val="0"/>
                <i/>
                <color theme="2" tint="0.39994506668294322"/>
              </font>
              <fill>
                <patternFill>
                  <bgColor theme="2"/>
                </patternFill>
              </fill>
            </x14:dxf>
          </x14:cfRule>
          <xm:sqref>C48:J48</xm:sqref>
        </x14:conditionalFormatting>
        <x14:conditionalFormatting xmlns:xm="http://schemas.microsoft.com/office/excel/2006/main">
          <x14:cfRule type="expression" priority="15" id="{0EE63609-9C68-497C-9579-DC9A071B8B7F}">
            <xm:f>'Step 1 - Case Selection'!$V$37&lt;&gt;"Yes"</xm:f>
            <x14:dxf>
              <font>
                <b val="0"/>
                <i/>
                <color theme="2" tint="0.39994506668294322"/>
              </font>
              <fill>
                <patternFill>
                  <bgColor theme="2"/>
                </patternFill>
              </fill>
            </x14:dxf>
          </x14:cfRule>
          <xm:sqref>C49:J49</xm:sqref>
        </x14:conditionalFormatting>
        <x14:conditionalFormatting xmlns:xm="http://schemas.microsoft.com/office/excel/2006/main">
          <x14:cfRule type="expression" priority="8" id="{D8F13395-2086-4DC1-9E57-9D9619C4A244}">
            <xm:f>'Step 1 - Case Selection'!$V$51&lt;&gt;"as a Flat Rate"</xm:f>
            <x14:dxf>
              <font>
                <b val="0"/>
                <i/>
                <color theme="2" tint="0.39994506668294322"/>
              </font>
              <fill>
                <patternFill>
                  <bgColor theme="2"/>
                </patternFill>
              </fill>
            </x14:dxf>
          </x14:cfRule>
          <xm:sqref>C102:J102</xm:sqref>
        </x14:conditionalFormatting>
        <x14:conditionalFormatting xmlns:xm="http://schemas.microsoft.com/office/excel/2006/main">
          <x14:cfRule type="expression" priority="6" id="{2A5E99A8-83F7-400B-94CE-BF9D49D94B6F}">
            <xm:f>'Step 1 - Case Selection'!$V$53&lt;&gt;"Delivery Service"</xm:f>
            <x14:dxf>
              <font>
                <b val="0"/>
                <i/>
                <color theme="2" tint="0.39994506668294322"/>
              </font>
              <fill>
                <patternFill>
                  <bgColor theme="2"/>
                </patternFill>
              </fill>
            </x14:dxf>
          </x14:cfRule>
          <xm:sqref>C103:J103 C105:J105</xm:sqref>
        </x14:conditionalFormatting>
        <x14:conditionalFormatting xmlns:xm="http://schemas.microsoft.com/office/excel/2006/main">
          <x14:cfRule type="expression" priority="9" id="{54680517-69EB-4A8D-A815-D424B640DFDF}">
            <xm:f>'Step 1 - Case Selection'!$V$51&lt;&gt;"in Detail"</xm:f>
            <x14:dxf>
              <font>
                <b val="0"/>
                <i/>
                <color theme="2" tint="0.39994506668294322"/>
              </font>
              <fill>
                <patternFill>
                  <bgColor theme="2"/>
                </patternFill>
              </fill>
            </x14:dxf>
          </x14:cfRule>
          <xm:sqref>C103:J107</xm:sqref>
        </x14:conditionalFormatting>
        <x14:conditionalFormatting xmlns:xm="http://schemas.microsoft.com/office/excel/2006/main">
          <x14:cfRule type="expression" priority="7" id="{AA2C671A-BF6E-4FB8-89FC-71D87EE3AF12}">
            <xm:f>'Step 1 - Case Selection'!$V$31&lt;&gt;"Customer-Site Service"</xm:f>
            <x14:dxf>
              <font>
                <b val="0"/>
                <i/>
                <color theme="2" tint="0.39994506668294322"/>
              </font>
              <fill>
                <patternFill>
                  <bgColor theme="2"/>
                </patternFill>
              </fill>
            </x14:dxf>
          </x14:cfRule>
          <xm:sqref>C104:J104</xm:sqref>
        </x14:conditionalFormatting>
        <x14:conditionalFormatting xmlns:xm="http://schemas.microsoft.com/office/excel/2006/main">
          <x14:cfRule type="expression" priority="5" id="{E22B6974-AE6E-4343-93C3-5F63E0CFDDC5}">
            <xm:f>'Step 1 - Case Selection'!$V$53&lt;&gt;"Shipment (e.g. postal)"</xm:f>
            <x14:dxf>
              <font>
                <b val="0"/>
                <i/>
                <color theme="2" tint="0.39994506668294322"/>
              </font>
              <fill>
                <patternFill>
                  <bgColor theme="2"/>
                </patternFill>
              </fill>
            </x14:dxf>
          </x14:cfRule>
          <xm:sqref>C107:J107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AQ62"/>
  <sheetViews>
    <sheetView showGridLines="0" zoomScaleNormal="100" workbookViewId="0">
      <selection activeCell="BC40" sqref="BC40"/>
    </sheetView>
  </sheetViews>
  <sheetFormatPr baseColWidth="10" defaultColWidth="3.33203125" defaultRowHeight="18" customHeight="1" x14ac:dyDescent="0.2"/>
  <cols>
    <col min="22" max="22" width="3.33203125" customWidth="1"/>
  </cols>
  <sheetData>
    <row r="1" spans="1:43" ht="18" customHeight="1" x14ac:dyDescent="0.2">
      <c r="A1" s="44"/>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row>
    <row r="2" spans="1:43" ht="18" customHeight="1" x14ac:dyDescent="0.2">
      <c r="A2" s="44"/>
      <c r="B2" s="438" t="s">
        <v>237</v>
      </c>
      <c r="C2" s="438"/>
      <c r="D2" s="438"/>
      <c r="E2" s="438"/>
      <c r="F2" s="438"/>
      <c r="G2" s="438"/>
      <c r="H2" s="438"/>
      <c r="I2" s="438"/>
      <c r="J2" s="438"/>
      <c r="K2" s="438"/>
      <c r="L2" s="438"/>
      <c r="M2" s="438"/>
      <c r="N2" s="438"/>
      <c r="O2" s="438"/>
      <c r="P2" s="150"/>
      <c r="Q2" s="485" t="str">
        <f>IF('Step 1 - Case Selection'!J12="","",'Step 1 - Case Selection'!J12)</f>
        <v xml:space="preserve">  Test Company</v>
      </c>
      <c r="R2" s="485"/>
      <c r="S2" s="485"/>
      <c r="T2" s="485"/>
      <c r="U2" s="485"/>
      <c r="V2" s="485"/>
      <c r="W2" s="485"/>
      <c r="X2" s="485"/>
      <c r="Y2" s="485"/>
      <c r="Z2" s="486"/>
      <c r="AA2" s="54"/>
      <c r="AB2" s="54"/>
      <c r="AC2" s="54"/>
      <c r="AD2" s="54"/>
      <c r="AE2" s="54"/>
      <c r="AF2" s="54"/>
      <c r="AG2" s="56"/>
      <c r="AH2" s="41"/>
      <c r="AI2" s="41"/>
      <c r="AJ2" s="41"/>
      <c r="AK2" s="467"/>
      <c r="AL2" s="467"/>
      <c r="AM2" s="467"/>
      <c r="AN2" s="467"/>
      <c r="AO2" s="467"/>
      <c r="AP2" s="467"/>
      <c r="AQ2" s="44"/>
    </row>
    <row r="3" spans="1:43" ht="3.75" customHeight="1" x14ac:dyDescent="0.2">
      <c r="A3" s="44"/>
      <c r="B3" s="151"/>
      <c r="C3" s="151"/>
      <c r="D3" s="151"/>
      <c r="E3" s="151"/>
      <c r="F3" s="152"/>
      <c r="G3" s="152"/>
      <c r="H3" s="152"/>
      <c r="I3" s="152"/>
      <c r="J3" s="152"/>
      <c r="K3" s="152"/>
      <c r="L3" s="152"/>
      <c r="M3" s="152"/>
      <c r="N3" s="152"/>
      <c r="O3" s="152"/>
      <c r="P3" s="152"/>
      <c r="Q3" s="152"/>
      <c r="R3" s="152"/>
      <c r="S3" s="152"/>
      <c r="T3" s="152"/>
      <c r="U3" s="152"/>
      <c r="V3" s="152"/>
      <c r="W3" s="152"/>
      <c r="X3" s="220"/>
      <c r="Y3" s="220"/>
      <c r="Z3" s="222"/>
      <c r="AA3" s="55"/>
      <c r="AB3" s="55"/>
      <c r="AC3" s="55"/>
      <c r="AD3" s="55"/>
      <c r="AE3" s="55"/>
      <c r="AF3" s="55"/>
      <c r="AG3" s="57"/>
      <c r="AH3" s="42"/>
      <c r="AI3" s="42"/>
      <c r="AJ3" s="42"/>
      <c r="AK3" s="467"/>
      <c r="AL3" s="467"/>
      <c r="AM3" s="467"/>
      <c r="AN3" s="467"/>
      <c r="AO3" s="467"/>
      <c r="AP3" s="467"/>
      <c r="AQ3" s="44"/>
    </row>
    <row r="4" spans="1:43" ht="18" customHeight="1" thickBot="1" x14ac:dyDescent="0.25">
      <c r="A4" s="44"/>
      <c r="B4" s="148"/>
      <c r="C4" s="221" t="s">
        <v>220</v>
      </c>
      <c r="D4" s="148"/>
      <c r="E4" s="148"/>
      <c r="F4" s="153"/>
      <c r="G4" s="154" t="str">
        <f>IF('Step 1 - Case Selection'!J14="","",'Step 1 - Case Selection'!J14)</f>
        <v xml:space="preserve">  Test Case</v>
      </c>
      <c r="H4" s="154"/>
      <c r="I4" s="154"/>
      <c r="J4" s="154"/>
      <c r="K4" s="154"/>
      <c r="L4" s="154"/>
      <c r="M4" s="154"/>
      <c r="N4" s="154"/>
      <c r="O4" s="154"/>
      <c r="P4" s="154"/>
      <c r="Q4" s="154"/>
      <c r="R4" s="154"/>
      <c r="S4" s="155"/>
      <c r="T4" s="154"/>
      <c r="U4" s="154"/>
      <c r="V4" s="465">
        <f ca="1">TODAY()</f>
        <v>46195</v>
      </c>
      <c r="W4" s="465"/>
      <c r="X4" s="465"/>
      <c r="Y4" s="465"/>
      <c r="Z4" s="466"/>
      <c r="AA4" s="58"/>
      <c r="AB4" s="50"/>
      <c r="AC4" s="54"/>
      <c r="AD4" s="54"/>
      <c r="AE4" s="54"/>
      <c r="AF4" s="54"/>
      <c r="AG4" s="59"/>
      <c r="AH4" s="43"/>
      <c r="AI4" s="43"/>
      <c r="AJ4" s="44"/>
      <c r="AK4" s="467"/>
      <c r="AL4" s="467"/>
      <c r="AM4" s="467"/>
      <c r="AN4" s="467"/>
      <c r="AO4" s="467"/>
      <c r="AP4" s="467"/>
      <c r="AQ4" s="44"/>
    </row>
    <row r="5" spans="1:43" ht="7.5" customHeight="1" x14ac:dyDescent="0.2">
      <c r="A5" s="44"/>
      <c r="B5" s="44"/>
      <c r="C5" s="45"/>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row>
    <row r="6" spans="1:43" ht="18" customHeight="1" x14ac:dyDescent="0.2">
      <c r="A6" s="44"/>
      <c r="B6" s="477" t="s">
        <v>230</v>
      </c>
      <c r="C6" s="477"/>
      <c r="D6" s="477"/>
      <c r="E6" s="477"/>
      <c r="F6" s="477"/>
      <c r="G6" s="477"/>
      <c r="H6" s="477"/>
      <c r="I6" s="477"/>
      <c r="J6" s="477"/>
      <c r="K6" s="477"/>
      <c r="L6" s="477"/>
      <c r="M6" s="477"/>
      <c r="N6" s="477"/>
      <c r="O6" s="477"/>
      <c r="P6" s="477"/>
      <c r="Q6" s="477"/>
      <c r="R6" s="477"/>
      <c r="S6" s="477"/>
      <c r="T6" s="477"/>
      <c r="U6" s="477"/>
      <c r="V6" s="477"/>
      <c r="W6" s="477"/>
      <c r="X6" s="477"/>
      <c r="Y6" s="477"/>
      <c r="Z6" s="477"/>
      <c r="AA6" s="477"/>
      <c r="AB6" s="477"/>
      <c r="AC6" s="477"/>
      <c r="AD6" s="477"/>
      <c r="AE6" s="477"/>
      <c r="AF6" s="477"/>
      <c r="AG6" s="477"/>
      <c r="AH6" s="477"/>
      <c r="AI6" s="477"/>
      <c r="AJ6" s="477"/>
      <c r="AK6" s="477"/>
      <c r="AL6" s="477"/>
      <c r="AM6" s="477"/>
      <c r="AN6" s="477"/>
      <c r="AO6" s="477"/>
      <c r="AP6" s="478"/>
      <c r="AQ6" s="44"/>
    </row>
    <row r="7" spans="1:43" ht="3.75" customHeight="1" x14ac:dyDescent="0.2">
      <c r="A7" s="44"/>
      <c r="B7" s="142"/>
      <c r="C7" s="142"/>
      <c r="D7" s="142"/>
      <c r="E7" s="142"/>
      <c r="F7" s="142"/>
      <c r="G7" s="142"/>
      <c r="H7" s="142"/>
      <c r="I7" s="142"/>
      <c r="J7" s="142"/>
      <c r="K7" s="142"/>
      <c r="L7" s="142"/>
      <c r="M7" s="142"/>
      <c r="N7" s="142"/>
      <c r="O7" s="142"/>
      <c r="P7" s="142"/>
      <c r="Q7" s="142"/>
      <c r="R7" s="142"/>
      <c r="S7" s="142"/>
      <c r="T7" s="142"/>
      <c r="U7" s="142"/>
      <c r="V7" s="142"/>
      <c r="W7" s="142"/>
      <c r="X7" s="142"/>
      <c r="Y7" s="143"/>
      <c r="Z7" s="142"/>
      <c r="AA7" s="142"/>
      <c r="AB7" s="142"/>
      <c r="AC7" s="142"/>
      <c r="AD7" s="142"/>
      <c r="AE7" s="142"/>
      <c r="AF7" s="142"/>
      <c r="AG7" s="142"/>
      <c r="AH7" s="142"/>
      <c r="AI7" s="142"/>
      <c r="AJ7" s="142"/>
      <c r="AK7" s="142"/>
      <c r="AL7" s="142"/>
      <c r="AM7" s="142"/>
      <c r="AN7" s="142"/>
      <c r="AO7" s="142"/>
      <c r="AP7" s="156"/>
      <c r="AQ7" s="44"/>
    </row>
    <row r="8" spans="1:43" ht="18" customHeight="1" x14ac:dyDescent="0.2">
      <c r="A8" s="44"/>
      <c r="B8" s="142"/>
      <c r="C8" s="479" t="s">
        <v>189</v>
      </c>
      <c r="D8" s="479"/>
      <c r="E8" s="479"/>
      <c r="F8" s="479"/>
      <c r="G8" s="479"/>
      <c r="H8" s="479"/>
      <c r="I8" s="479"/>
      <c r="J8" s="479"/>
      <c r="K8" s="479"/>
      <c r="L8" s="479"/>
      <c r="M8" s="480"/>
      <c r="N8" s="144"/>
      <c r="O8" s="144"/>
      <c r="P8" s="144"/>
      <c r="Q8" s="479" t="s">
        <v>190</v>
      </c>
      <c r="R8" s="479"/>
      <c r="S8" s="479"/>
      <c r="T8" s="479"/>
      <c r="U8" s="479"/>
      <c r="V8" s="479"/>
      <c r="W8" s="479"/>
      <c r="X8" s="479"/>
      <c r="Y8" s="479"/>
      <c r="Z8" s="479"/>
      <c r="AA8" s="480"/>
      <c r="AB8" s="144"/>
      <c r="AC8" s="144"/>
      <c r="AD8" s="144"/>
      <c r="AE8" s="479" t="s">
        <v>191</v>
      </c>
      <c r="AF8" s="479"/>
      <c r="AG8" s="479"/>
      <c r="AH8" s="479"/>
      <c r="AI8" s="479"/>
      <c r="AJ8" s="479"/>
      <c r="AK8" s="479"/>
      <c r="AL8" s="479"/>
      <c r="AM8" s="479"/>
      <c r="AN8" s="479"/>
      <c r="AO8" s="480"/>
      <c r="AP8" s="156"/>
      <c r="AQ8" s="44"/>
    </row>
    <row r="9" spans="1:43" ht="18" customHeight="1" thickBot="1" x14ac:dyDescent="0.25">
      <c r="A9" s="44"/>
      <c r="B9" s="142"/>
      <c r="C9" s="481">
        <f>'Calculation (BC)'!G148</f>
        <v>0</v>
      </c>
      <c r="D9" s="481"/>
      <c r="E9" s="481"/>
      <c r="F9" s="481"/>
      <c r="G9" s="481"/>
      <c r="H9" s="159" t="s">
        <v>192</v>
      </c>
      <c r="I9" s="481">
        <f>'Calculation (BC)'!G157</f>
        <v>0</v>
      </c>
      <c r="J9" s="481"/>
      <c r="K9" s="481"/>
      <c r="L9" s="481"/>
      <c r="M9" s="482"/>
      <c r="N9" s="144"/>
      <c r="O9" s="144"/>
      <c r="P9" s="144"/>
      <c r="Q9" s="483" t="e">
        <f>'Calculation (BC)'!G150</f>
        <v>#NUM!</v>
      </c>
      <c r="R9" s="483"/>
      <c r="S9" s="483"/>
      <c r="T9" s="483"/>
      <c r="U9" s="483"/>
      <c r="V9" s="159" t="s">
        <v>192</v>
      </c>
      <c r="W9" s="483" t="e">
        <f>'Calculation (BC)'!G159</f>
        <v>#NUM!</v>
      </c>
      <c r="X9" s="483"/>
      <c r="Y9" s="483"/>
      <c r="Z9" s="483"/>
      <c r="AA9" s="484"/>
      <c r="AB9" s="144"/>
      <c r="AC9" s="144"/>
      <c r="AD9" s="144"/>
      <c r="AE9" s="475" t="e">
        <f>"ca. " &amp; ROUND('Calculation (BC)'!G153,1) &amp; " Years"</f>
        <v>#VALUE!</v>
      </c>
      <c r="AF9" s="475"/>
      <c r="AG9" s="475"/>
      <c r="AH9" s="475"/>
      <c r="AI9" s="475"/>
      <c r="AJ9" s="159" t="s">
        <v>192</v>
      </c>
      <c r="AK9" s="475" t="e">
        <f>"ca. " &amp; ROUND('Calculation (BC)'!G162,1) &amp; " Years"</f>
        <v>#VALUE!</v>
      </c>
      <c r="AL9" s="475"/>
      <c r="AM9" s="475"/>
      <c r="AN9" s="475"/>
      <c r="AO9" s="476"/>
      <c r="AP9" s="156"/>
      <c r="AQ9" s="44"/>
    </row>
    <row r="10" spans="1:43" ht="7.5" customHeight="1" thickBot="1" x14ac:dyDescent="0.25">
      <c r="A10" s="44"/>
      <c r="B10" s="157"/>
      <c r="C10" s="157"/>
      <c r="D10" s="157"/>
      <c r="E10" s="157"/>
      <c r="F10" s="157"/>
      <c r="G10" s="157"/>
      <c r="H10" s="157"/>
      <c r="I10" s="157"/>
      <c r="J10" s="157"/>
      <c r="K10" s="157"/>
      <c r="L10" s="157"/>
      <c r="M10" s="157"/>
      <c r="N10" s="157"/>
      <c r="O10" s="157"/>
      <c r="P10" s="157"/>
      <c r="Q10" s="157"/>
      <c r="R10" s="157"/>
      <c r="S10" s="157"/>
      <c r="T10" s="157"/>
      <c r="U10" s="157"/>
      <c r="V10" s="157"/>
      <c r="W10" s="157"/>
      <c r="X10" s="157"/>
      <c r="Y10" s="157"/>
      <c r="Z10" s="157"/>
      <c r="AA10" s="157"/>
      <c r="AB10" s="157"/>
      <c r="AC10" s="157"/>
      <c r="AD10" s="157"/>
      <c r="AE10" s="157"/>
      <c r="AF10" s="157"/>
      <c r="AG10" s="157"/>
      <c r="AH10" s="157"/>
      <c r="AI10" s="157"/>
      <c r="AJ10" s="157"/>
      <c r="AK10" s="157"/>
      <c r="AL10" s="157"/>
      <c r="AM10" s="157"/>
      <c r="AN10" s="157"/>
      <c r="AO10" s="157"/>
      <c r="AP10" s="158"/>
      <c r="AQ10" s="44"/>
    </row>
    <row r="11" spans="1:43" ht="7.5" customHeight="1" x14ac:dyDescent="0.2">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row>
    <row r="12" spans="1:43" ht="18" customHeight="1" x14ac:dyDescent="0.2">
      <c r="A12" s="44"/>
      <c r="B12" s="141"/>
      <c r="C12" s="141"/>
      <c r="D12" s="141"/>
      <c r="E12" s="141"/>
      <c r="F12" s="141"/>
      <c r="G12" s="141"/>
      <c r="H12" s="141"/>
      <c r="I12" s="141"/>
      <c r="J12" s="141"/>
      <c r="K12" s="141"/>
      <c r="L12" s="141"/>
      <c r="M12" s="141"/>
      <c r="N12" s="141"/>
      <c r="O12" s="141"/>
      <c r="P12" s="141"/>
      <c r="Q12" s="141"/>
      <c r="R12" s="141"/>
      <c r="S12" s="141"/>
      <c r="T12" s="141"/>
      <c r="U12" s="166"/>
      <c r="V12" s="44"/>
      <c r="W12" s="469" t="s">
        <v>544</v>
      </c>
      <c r="X12" s="470"/>
      <c r="Y12" s="470"/>
      <c r="Z12" s="470"/>
      <c r="AA12" s="470"/>
      <c r="AB12" s="470"/>
      <c r="AC12" s="470"/>
      <c r="AD12" s="470"/>
      <c r="AE12" s="470"/>
      <c r="AF12" s="470"/>
      <c r="AG12" s="470"/>
      <c r="AH12" s="470"/>
      <c r="AI12" s="470"/>
      <c r="AJ12" s="470"/>
      <c r="AK12" s="470"/>
      <c r="AL12" s="470"/>
      <c r="AM12" s="470"/>
      <c r="AN12" s="470"/>
      <c r="AO12" s="470"/>
      <c r="AP12" s="471"/>
      <c r="AQ12" s="44"/>
    </row>
    <row r="13" spans="1:43" ht="3.75" customHeight="1" x14ac:dyDescent="0.2">
      <c r="A13" s="44"/>
      <c r="B13" s="141"/>
      <c r="C13" s="141"/>
      <c r="D13" s="141"/>
      <c r="E13" s="141"/>
      <c r="F13" s="141"/>
      <c r="G13" s="141"/>
      <c r="H13" s="141"/>
      <c r="I13" s="141"/>
      <c r="J13" s="141"/>
      <c r="K13" s="141"/>
      <c r="L13" s="141"/>
      <c r="M13" s="141"/>
      <c r="N13" s="141"/>
      <c r="O13" s="141"/>
      <c r="P13" s="141"/>
      <c r="Q13" s="141"/>
      <c r="R13" s="141"/>
      <c r="S13" s="141"/>
      <c r="T13" s="141"/>
      <c r="U13" s="166"/>
      <c r="V13" s="44"/>
      <c r="W13" s="142"/>
      <c r="X13" s="142"/>
      <c r="Y13" s="142"/>
      <c r="Z13" s="142"/>
      <c r="AA13" s="142"/>
      <c r="AB13" s="142"/>
      <c r="AC13" s="142"/>
      <c r="AD13" s="142"/>
      <c r="AE13" s="142"/>
      <c r="AF13" s="142"/>
      <c r="AG13" s="142"/>
      <c r="AH13" s="142"/>
      <c r="AI13" s="142"/>
      <c r="AJ13" s="142"/>
      <c r="AK13" s="142"/>
      <c r="AL13" s="142"/>
      <c r="AM13" s="142"/>
      <c r="AN13" s="142"/>
      <c r="AO13" s="142"/>
      <c r="AP13" s="156"/>
      <c r="AQ13" s="44"/>
    </row>
    <row r="14" spans="1:43" ht="18" customHeight="1" x14ac:dyDescent="0.2">
      <c r="A14" s="44"/>
      <c r="B14" s="141"/>
      <c r="C14" s="141"/>
      <c r="D14" s="141"/>
      <c r="E14" s="141"/>
      <c r="F14" s="141"/>
      <c r="G14" s="141"/>
      <c r="H14" s="141"/>
      <c r="I14" s="141"/>
      <c r="J14" s="141"/>
      <c r="K14" s="141"/>
      <c r="L14" s="141"/>
      <c r="M14" s="141"/>
      <c r="N14" s="141"/>
      <c r="O14" s="141"/>
      <c r="P14" s="141"/>
      <c r="Q14" s="141"/>
      <c r="R14" s="141"/>
      <c r="S14" s="141"/>
      <c r="T14" s="141"/>
      <c r="U14" s="166"/>
      <c r="V14" s="44"/>
      <c r="W14" s="142"/>
      <c r="X14" s="472" t="s">
        <v>200</v>
      </c>
      <c r="Y14" s="472"/>
      <c r="Z14" s="472"/>
      <c r="AA14" s="472"/>
      <c r="AB14" s="472"/>
      <c r="AC14" s="472"/>
      <c r="AD14" s="472"/>
      <c r="AE14" s="472"/>
      <c r="AF14" s="472"/>
      <c r="AG14" s="160" t="s">
        <v>199</v>
      </c>
      <c r="AH14" s="468" t="e">
        <f>'Calculation (BC)'!I139/Sales_Year_1</f>
        <v>#DIV/0!</v>
      </c>
      <c r="AI14" s="468"/>
      <c r="AJ14" s="468"/>
      <c r="AK14" s="468"/>
      <c r="AL14" s="468"/>
      <c r="AM14" s="468"/>
      <c r="AN14" s="468"/>
      <c r="AO14" s="468"/>
      <c r="AP14" s="156"/>
      <c r="AQ14" s="44"/>
    </row>
    <row r="15" spans="1:43" ht="18" customHeight="1" x14ac:dyDescent="0.2">
      <c r="A15" s="44"/>
      <c r="B15" s="141"/>
      <c r="C15" s="141"/>
      <c r="D15" s="141"/>
      <c r="E15" s="141"/>
      <c r="F15" s="141"/>
      <c r="G15" s="141"/>
      <c r="H15" s="141"/>
      <c r="I15" s="141"/>
      <c r="J15" s="141"/>
      <c r="K15" s="141"/>
      <c r="L15" s="141"/>
      <c r="M15" s="141"/>
      <c r="N15" s="141"/>
      <c r="O15" s="141"/>
      <c r="P15" s="141"/>
      <c r="Q15" s="141"/>
      <c r="R15" s="141"/>
      <c r="S15" s="141"/>
      <c r="T15" s="141"/>
      <c r="U15" s="166"/>
      <c r="V15" s="44"/>
      <c r="W15" s="142"/>
      <c r="X15" s="472" t="s">
        <v>207</v>
      </c>
      <c r="Y15" s="472"/>
      <c r="Z15" s="472"/>
      <c r="AA15" s="472"/>
      <c r="AB15" s="472"/>
      <c r="AC15" s="472"/>
      <c r="AD15" s="472"/>
      <c r="AE15" s="472"/>
      <c r="AF15" s="472"/>
      <c r="AG15" s="160" t="s">
        <v>199</v>
      </c>
      <c r="AH15" s="468">
        <f>Price_Product+Price_Material_for_Recycling+Price_Service</f>
        <v>0</v>
      </c>
      <c r="AI15" s="468"/>
      <c r="AJ15" s="468"/>
      <c r="AK15" s="468"/>
      <c r="AL15" s="468"/>
      <c r="AM15" s="468"/>
      <c r="AN15" s="468"/>
      <c r="AO15" s="468"/>
      <c r="AP15" s="156"/>
      <c r="AQ15" s="44"/>
    </row>
    <row r="16" spans="1:43" ht="3.75" customHeight="1" thickTop="1" x14ac:dyDescent="0.2">
      <c r="A16" s="44"/>
      <c r="B16" s="141"/>
      <c r="C16" s="141"/>
      <c r="D16" s="141"/>
      <c r="E16" s="141"/>
      <c r="F16" s="141"/>
      <c r="G16" s="141"/>
      <c r="H16" s="141"/>
      <c r="I16" s="141"/>
      <c r="J16" s="141"/>
      <c r="K16" s="141"/>
      <c r="L16" s="141"/>
      <c r="M16" s="141"/>
      <c r="N16" s="141"/>
      <c r="O16" s="141"/>
      <c r="P16" s="141"/>
      <c r="Q16" s="141"/>
      <c r="R16" s="141"/>
      <c r="S16" s="141"/>
      <c r="T16" s="141"/>
      <c r="U16" s="166"/>
      <c r="V16" s="44"/>
      <c r="W16" s="142"/>
      <c r="X16" s="163"/>
      <c r="Y16" s="163"/>
      <c r="Z16" s="163"/>
      <c r="AA16" s="163"/>
      <c r="AB16" s="163"/>
      <c r="AC16" s="163"/>
      <c r="AD16" s="163"/>
      <c r="AE16" s="163"/>
      <c r="AF16" s="164"/>
      <c r="AG16" s="160"/>
      <c r="AH16" s="161"/>
      <c r="AI16" s="161"/>
      <c r="AJ16" s="161"/>
      <c r="AK16" s="161"/>
      <c r="AL16" s="161"/>
      <c r="AM16" s="161"/>
      <c r="AN16" s="161"/>
      <c r="AO16" s="161"/>
      <c r="AP16" s="156"/>
      <c r="AQ16" s="44"/>
    </row>
    <row r="17" spans="1:43" ht="18" customHeight="1" thickTop="1" thickBot="1" x14ac:dyDescent="0.25">
      <c r="A17" s="44"/>
      <c r="B17" s="141"/>
      <c r="C17" s="141"/>
      <c r="D17" s="141"/>
      <c r="E17" s="141"/>
      <c r="F17" s="141"/>
      <c r="G17" s="141"/>
      <c r="H17" s="141"/>
      <c r="I17" s="141"/>
      <c r="J17" s="141"/>
      <c r="K17" s="141"/>
      <c r="L17" s="141"/>
      <c r="M17" s="141"/>
      <c r="N17" s="141"/>
      <c r="O17" s="141"/>
      <c r="P17" s="141"/>
      <c r="Q17" s="141"/>
      <c r="R17" s="141"/>
      <c r="S17" s="141"/>
      <c r="T17" s="141"/>
      <c r="U17" s="166"/>
      <c r="V17" s="44"/>
      <c r="W17" s="157"/>
      <c r="X17" s="473" t="s">
        <v>201</v>
      </c>
      <c r="Y17" s="473"/>
      <c r="Z17" s="473"/>
      <c r="AA17" s="473"/>
      <c r="AB17" s="473"/>
      <c r="AC17" s="473"/>
      <c r="AD17" s="473"/>
      <c r="AE17" s="473"/>
      <c r="AF17" s="473"/>
      <c r="AG17" s="162" t="s">
        <v>199</v>
      </c>
      <c r="AH17" s="474" t="e">
        <f>AH15-AH14</f>
        <v>#DIV/0!</v>
      </c>
      <c r="AI17" s="474"/>
      <c r="AJ17" s="474"/>
      <c r="AK17" s="474"/>
      <c r="AL17" s="474"/>
      <c r="AM17" s="474"/>
      <c r="AN17" s="474"/>
      <c r="AO17" s="474"/>
      <c r="AP17" s="158"/>
      <c r="AQ17" s="44"/>
    </row>
    <row r="18" spans="1:43" ht="7.5" customHeight="1" x14ac:dyDescent="0.2">
      <c r="A18" s="44"/>
      <c r="B18" s="142"/>
      <c r="C18" s="142"/>
      <c r="D18" s="142"/>
      <c r="E18" s="142"/>
      <c r="F18" s="142"/>
      <c r="G18" s="142"/>
      <c r="H18" s="142"/>
      <c r="I18" s="142"/>
      <c r="J18" s="142"/>
      <c r="K18" s="142"/>
      <c r="L18" s="142"/>
      <c r="M18" s="142"/>
      <c r="N18" s="142"/>
      <c r="O18" s="142"/>
      <c r="P18" s="142"/>
      <c r="Q18" s="142"/>
      <c r="R18" s="142"/>
      <c r="S18" s="142"/>
      <c r="T18" s="142"/>
      <c r="U18" s="156"/>
      <c r="V18" s="44"/>
      <c r="W18" s="47"/>
      <c r="X18" s="47"/>
      <c r="Y18" s="47"/>
      <c r="Z18" s="47"/>
      <c r="AA18" s="47"/>
      <c r="AB18" s="47"/>
      <c r="AC18" s="47"/>
      <c r="AD18" s="47"/>
      <c r="AE18" s="47"/>
      <c r="AF18" s="47"/>
      <c r="AG18" s="47"/>
      <c r="AH18" s="47"/>
      <c r="AI18" s="47"/>
      <c r="AJ18" s="47"/>
      <c r="AK18" s="47"/>
      <c r="AL18" s="47"/>
      <c r="AM18" s="47"/>
      <c r="AN18" s="47"/>
      <c r="AO18" s="47"/>
      <c r="AP18" s="47"/>
      <c r="AQ18" s="44"/>
    </row>
    <row r="19" spans="1:43" ht="18" customHeight="1" x14ac:dyDescent="0.2">
      <c r="A19" s="44"/>
      <c r="B19" s="142"/>
      <c r="C19" s="142"/>
      <c r="D19" s="142"/>
      <c r="E19" s="142"/>
      <c r="F19" s="142"/>
      <c r="G19" s="142"/>
      <c r="H19" s="142"/>
      <c r="I19" s="142"/>
      <c r="J19" s="142"/>
      <c r="K19" s="142"/>
      <c r="L19" s="142"/>
      <c r="M19" s="142"/>
      <c r="N19" s="142"/>
      <c r="O19" s="142"/>
      <c r="P19" s="142"/>
      <c r="Q19" s="142"/>
      <c r="R19" s="142"/>
      <c r="S19" s="142"/>
      <c r="T19" s="142"/>
      <c r="U19" s="156"/>
      <c r="V19" s="44"/>
      <c r="W19" s="142"/>
      <c r="X19" s="142"/>
      <c r="Y19" s="142"/>
      <c r="Z19" s="142"/>
      <c r="AA19" s="142"/>
      <c r="AB19" s="142"/>
      <c r="AC19" s="142"/>
      <c r="AD19" s="142"/>
      <c r="AE19" s="142"/>
      <c r="AF19" s="142"/>
      <c r="AG19" s="142"/>
      <c r="AH19" s="142"/>
      <c r="AI19" s="142"/>
      <c r="AJ19" s="142"/>
      <c r="AK19" s="142"/>
      <c r="AL19" s="142"/>
      <c r="AM19" s="142"/>
      <c r="AN19" s="142"/>
      <c r="AO19" s="142"/>
      <c r="AP19" s="156"/>
      <c r="AQ19" s="44"/>
    </row>
    <row r="20" spans="1:43" ht="18" customHeight="1" x14ac:dyDescent="0.2">
      <c r="A20" s="44"/>
      <c r="B20" s="142"/>
      <c r="C20" s="142"/>
      <c r="D20" s="142"/>
      <c r="E20" s="142"/>
      <c r="F20" s="142"/>
      <c r="G20" s="142"/>
      <c r="H20" s="142"/>
      <c r="I20" s="142"/>
      <c r="J20" s="142"/>
      <c r="K20" s="142"/>
      <c r="L20" s="142"/>
      <c r="M20" s="142"/>
      <c r="N20" s="142"/>
      <c r="O20" s="142"/>
      <c r="P20" s="142"/>
      <c r="Q20" s="142"/>
      <c r="R20" s="142"/>
      <c r="S20" s="142"/>
      <c r="T20" s="142"/>
      <c r="U20" s="156"/>
      <c r="V20" s="44"/>
      <c r="W20" s="142"/>
      <c r="X20" s="142"/>
      <c r="Y20" s="142"/>
      <c r="Z20" s="142"/>
      <c r="AA20" s="142"/>
      <c r="AB20" s="142"/>
      <c r="AC20" s="142"/>
      <c r="AD20" s="142"/>
      <c r="AE20" s="142"/>
      <c r="AF20" s="142"/>
      <c r="AG20" s="142"/>
      <c r="AH20" s="142"/>
      <c r="AI20" s="142"/>
      <c r="AJ20" s="142"/>
      <c r="AK20" s="142"/>
      <c r="AL20" s="142"/>
      <c r="AM20" s="142"/>
      <c r="AN20" s="142"/>
      <c r="AO20" s="142"/>
      <c r="AP20" s="156"/>
      <c r="AQ20" s="44"/>
    </row>
    <row r="21" spans="1:43" ht="18" customHeight="1" x14ac:dyDescent="0.2">
      <c r="A21" s="44"/>
      <c r="B21" s="142"/>
      <c r="C21" s="142"/>
      <c r="D21" s="142"/>
      <c r="E21" s="142"/>
      <c r="F21" s="142"/>
      <c r="G21" s="142"/>
      <c r="H21" s="142"/>
      <c r="I21" s="142"/>
      <c r="J21" s="142"/>
      <c r="K21" s="142"/>
      <c r="L21" s="142"/>
      <c r="M21" s="142"/>
      <c r="N21" s="142"/>
      <c r="O21" s="142"/>
      <c r="P21" s="142"/>
      <c r="Q21" s="142"/>
      <c r="R21" s="142"/>
      <c r="S21" s="142"/>
      <c r="T21" s="142"/>
      <c r="U21" s="156"/>
      <c r="V21" s="44"/>
      <c r="W21" s="141"/>
      <c r="X21" s="141"/>
      <c r="Y21" s="141"/>
      <c r="Z21" s="141"/>
      <c r="AA21" s="141"/>
      <c r="AB21" s="141"/>
      <c r="AC21" s="141"/>
      <c r="AD21" s="141"/>
      <c r="AE21" s="141"/>
      <c r="AF21" s="141"/>
      <c r="AG21" s="141"/>
      <c r="AH21" s="141"/>
      <c r="AI21" s="141"/>
      <c r="AJ21" s="141"/>
      <c r="AK21" s="141"/>
      <c r="AL21" s="141"/>
      <c r="AM21" s="141"/>
      <c r="AN21" s="141"/>
      <c r="AO21" s="141"/>
      <c r="AP21" s="166"/>
      <c r="AQ21" s="44"/>
    </row>
    <row r="22" spans="1:43" ht="18" customHeight="1" x14ac:dyDescent="0.2">
      <c r="A22" s="44"/>
      <c r="B22" s="142"/>
      <c r="C22" s="142"/>
      <c r="D22" s="142"/>
      <c r="E22" s="142"/>
      <c r="F22" s="142"/>
      <c r="G22" s="142"/>
      <c r="H22" s="142"/>
      <c r="I22" s="142"/>
      <c r="J22" s="142"/>
      <c r="K22" s="142"/>
      <c r="L22" s="142"/>
      <c r="M22" s="142"/>
      <c r="N22" s="142"/>
      <c r="O22" s="142"/>
      <c r="P22" s="142"/>
      <c r="Q22" s="142"/>
      <c r="R22" s="142"/>
      <c r="S22" s="142"/>
      <c r="T22" s="142"/>
      <c r="U22" s="156"/>
      <c r="V22" s="44"/>
      <c r="W22" s="141"/>
      <c r="X22" s="141"/>
      <c r="Y22" s="141"/>
      <c r="Z22" s="141"/>
      <c r="AA22" s="141"/>
      <c r="AB22" s="141"/>
      <c r="AC22" s="141"/>
      <c r="AD22" s="141"/>
      <c r="AE22" s="141"/>
      <c r="AF22" s="141"/>
      <c r="AG22" s="141"/>
      <c r="AH22" s="141"/>
      <c r="AI22" s="141"/>
      <c r="AJ22" s="141"/>
      <c r="AK22" s="141"/>
      <c r="AL22" s="141"/>
      <c r="AM22" s="141"/>
      <c r="AN22" s="141"/>
      <c r="AO22" s="141"/>
      <c r="AP22" s="166"/>
      <c r="AQ22" s="44"/>
    </row>
    <row r="23" spans="1:43" ht="18" customHeight="1" x14ac:dyDescent="0.2">
      <c r="A23" s="44"/>
      <c r="B23" s="142"/>
      <c r="C23" s="142"/>
      <c r="D23" s="142"/>
      <c r="E23" s="142"/>
      <c r="F23" s="142"/>
      <c r="G23" s="142"/>
      <c r="H23" s="142"/>
      <c r="I23" s="142"/>
      <c r="J23" s="142"/>
      <c r="K23" s="142"/>
      <c r="L23" s="142"/>
      <c r="M23" s="142"/>
      <c r="N23" s="142"/>
      <c r="O23" s="142"/>
      <c r="P23" s="142"/>
      <c r="Q23" s="142"/>
      <c r="R23" s="142"/>
      <c r="S23" s="142"/>
      <c r="T23" s="142"/>
      <c r="U23" s="156"/>
      <c r="V23" s="44"/>
      <c r="W23" s="141"/>
      <c r="X23" s="141"/>
      <c r="Y23" s="141"/>
      <c r="Z23" s="141"/>
      <c r="AA23" s="141"/>
      <c r="AB23" s="141"/>
      <c r="AC23" s="141"/>
      <c r="AD23" s="141"/>
      <c r="AE23" s="141"/>
      <c r="AF23" s="141"/>
      <c r="AG23" s="141"/>
      <c r="AH23" s="141"/>
      <c r="AI23" s="141"/>
      <c r="AJ23" s="141"/>
      <c r="AK23" s="141"/>
      <c r="AL23" s="141"/>
      <c r="AM23" s="141"/>
      <c r="AN23" s="141"/>
      <c r="AO23" s="141"/>
      <c r="AP23" s="166"/>
      <c r="AQ23" s="44"/>
    </row>
    <row r="24" spans="1:43" ht="18" customHeight="1" x14ac:dyDescent="0.2">
      <c r="A24" s="44"/>
      <c r="B24" s="142"/>
      <c r="C24" s="142"/>
      <c r="D24" s="142"/>
      <c r="E24" s="142"/>
      <c r="F24" s="142"/>
      <c r="G24" s="142"/>
      <c r="H24" s="142"/>
      <c r="I24" s="142"/>
      <c r="J24" s="142"/>
      <c r="K24" s="142"/>
      <c r="L24" s="142"/>
      <c r="M24" s="142"/>
      <c r="N24" s="142"/>
      <c r="O24" s="142"/>
      <c r="P24" s="142"/>
      <c r="Q24" s="142"/>
      <c r="R24" s="142"/>
      <c r="S24" s="142"/>
      <c r="T24" s="142"/>
      <c r="U24" s="156"/>
      <c r="V24" s="44"/>
      <c r="W24" s="141"/>
      <c r="X24" s="141"/>
      <c r="Y24" s="141"/>
      <c r="Z24" s="141"/>
      <c r="AA24" s="141"/>
      <c r="AB24" s="141"/>
      <c r="AC24" s="141"/>
      <c r="AD24" s="141"/>
      <c r="AE24" s="141"/>
      <c r="AF24" s="141"/>
      <c r="AG24" s="141"/>
      <c r="AH24" s="141"/>
      <c r="AI24" s="141"/>
      <c r="AJ24" s="141"/>
      <c r="AK24" s="141"/>
      <c r="AL24" s="141"/>
      <c r="AM24" s="141"/>
      <c r="AN24" s="141"/>
      <c r="AO24" s="141"/>
      <c r="AP24" s="166"/>
      <c r="AQ24" s="44"/>
    </row>
    <row r="25" spans="1:43" ht="18" customHeight="1" x14ac:dyDescent="0.2">
      <c r="A25" s="44"/>
      <c r="B25" s="142"/>
      <c r="C25" s="142"/>
      <c r="D25" s="142"/>
      <c r="E25" s="142"/>
      <c r="F25" s="142"/>
      <c r="G25" s="142"/>
      <c r="H25" s="142"/>
      <c r="I25" s="142"/>
      <c r="J25" s="142"/>
      <c r="K25" s="142"/>
      <c r="L25" s="142"/>
      <c r="M25" s="142"/>
      <c r="N25" s="142"/>
      <c r="O25" s="142"/>
      <c r="P25" s="142"/>
      <c r="Q25" s="142"/>
      <c r="R25" s="142"/>
      <c r="S25" s="142"/>
      <c r="T25" s="142"/>
      <c r="U25" s="156"/>
      <c r="V25" s="44"/>
      <c r="W25" s="141"/>
      <c r="X25" s="141"/>
      <c r="Y25" s="141"/>
      <c r="Z25" s="141"/>
      <c r="AA25" s="141"/>
      <c r="AB25" s="141"/>
      <c r="AC25" s="141"/>
      <c r="AD25" s="141"/>
      <c r="AE25" s="141"/>
      <c r="AF25" s="141"/>
      <c r="AG25" s="141"/>
      <c r="AH25" s="141"/>
      <c r="AI25" s="141"/>
      <c r="AJ25" s="141"/>
      <c r="AK25" s="141"/>
      <c r="AL25" s="141"/>
      <c r="AM25" s="141"/>
      <c r="AN25" s="141"/>
      <c r="AO25" s="141"/>
      <c r="AP25" s="166"/>
      <c r="AQ25" s="44"/>
    </row>
    <row r="26" spans="1:43" ht="18" customHeight="1" x14ac:dyDescent="0.2">
      <c r="A26" s="44"/>
      <c r="B26" s="142"/>
      <c r="C26" s="142"/>
      <c r="D26" s="142"/>
      <c r="E26" s="142"/>
      <c r="F26" s="142"/>
      <c r="G26" s="142"/>
      <c r="H26" s="142"/>
      <c r="I26" s="142"/>
      <c r="J26" s="142"/>
      <c r="K26" s="142"/>
      <c r="L26" s="142"/>
      <c r="M26" s="142"/>
      <c r="N26" s="142"/>
      <c r="O26" s="142"/>
      <c r="P26" s="142"/>
      <c r="Q26" s="142"/>
      <c r="R26" s="142"/>
      <c r="S26" s="142"/>
      <c r="T26" s="142"/>
      <c r="U26" s="156"/>
      <c r="V26" s="44"/>
      <c r="W26" s="141"/>
      <c r="X26" s="141"/>
      <c r="Y26" s="141"/>
      <c r="Z26" s="141"/>
      <c r="AA26" s="141"/>
      <c r="AB26" s="141"/>
      <c r="AC26" s="141"/>
      <c r="AD26" s="141"/>
      <c r="AE26" s="141"/>
      <c r="AF26" s="141"/>
      <c r="AG26" s="141"/>
      <c r="AH26" s="141"/>
      <c r="AI26" s="141"/>
      <c r="AJ26" s="141"/>
      <c r="AK26" s="141"/>
      <c r="AL26" s="141"/>
      <c r="AM26" s="141"/>
      <c r="AN26" s="141"/>
      <c r="AO26" s="141"/>
      <c r="AP26" s="166"/>
      <c r="AQ26" s="44"/>
    </row>
    <row r="27" spans="1:43" ht="18" customHeight="1" x14ac:dyDescent="0.2">
      <c r="A27" s="44"/>
      <c r="B27" s="142"/>
      <c r="C27" s="142"/>
      <c r="D27" s="142"/>
      <c r="E27" s="142"/>
      <c r="F27" s="142"/>
      <c r="G27" s="142"/>
      <c r="H27" s="142"/>
      <c r="I27" s="142"/>
      <c r="J27" s="142"/>
      <c r="K27" s="142"/>
      <c r="L27" s="142"/>
      <c r="M27" s="142"/>
      <c r="N27" s="142"/>
      <c r="O27" s="142"/>
      <c r="P27" s="142"/>
      <c r="Q27" s="142"/>
      <c r="R27" s="142"/>
      <c r="S27" s="142"/>
      <c r="T27" s="142"/>
      <c r="U27" s="156"/>
      <c r="V27" s="44"/>
      <c r="W27" s="141"/>
      <c r="X27" s="141"/>
      <c r="Y27" s="141"/>
      <c r="Z27" s="141"/>
      <c r="AA27" s="141"/>
      <c r="AB27" s="141"/>
      <c r="AC27" s="141"/>
      <c r="AD27" s="141"/>
      <c r="AE27" s="141"/>
      <c r="AF27" s="141"/>
      <c r="AG27" s="141"/>
      <c r="AH27" s="141"/>
      <c r="AI27" s="141"/>
      <c r="AJ27" s="141"/>
      <c r="AK27" s="141"/>
      <c r="AL27" s="141"/>
      <c r="AM27" s="141"/>
      <c r="AN27" s="141"/>
      <c r="AO27" s="141"/>
      <c r="AP27" s="166"/>
      <c r="AQ27" s="44"/>
    </row>
    <row r="28" spans="1:43" ht="18" customHeight="1" x14ac:dyDescent="0.2">
      <c r="A28" s="44"/>
      <c r="B28" s="142"/>
      <c r="C28" s="142"/>
      <c r="D28" s="142"/>
      <c r="E28" s="142"/>
      <c r="F28" s="142"/>
      <c r="G28" s="142"/>
      <c r="H28" s="142"/>
      <c r="I28" s="142"/>
      <c r="J28" s="142"/>
      <c r="K28" s="142"/>
      <c r="L28" s="142"/>
      <c r="M28" s="142"/>
      <c r="N28" s="142"/>
      <c r="O28" s="142"/>
      <c r="P28" s="142"/>
      <c r="Q28" s="142"/>
      <c r="R28" s="142"/>
      <c r="S28" s="142"/>
      <c r="T28" s="142"/>
      <c r="U28" s="156"/>
      <c r="V28" s="44"/>
      <c r="W28" s="142"/>
      <c r="X28" s="142"/>
      <c r="Y28" s="142"/>
      <c r="Z28" s="142"/>
      <c r="AA28" s="142"/>
      <c r="AB28" s="142"/>
      <c r="AC28" s="142"/>
      <c r="AD28" s="142"/>
      <c r="AE28" s="142"/>
      <c r="AF28" s="142"/>
      <c r="AG28" s="142"/>
      <c r="AH28" s="142"/>
      <c r="AI28" s="142"/>
      <c r="AJ28" s="142"/>
      <c r="AK28" s="142"/>
      <c r="AL28" s="142"/>
      <c r="AM28" s="142"/>
      <c r="AN28" s="142"/>
      <c r="AO28" s="142"/>
      <c r="AP28" s="156"/>
      <c r="AQ28" s="44"/>
    </row>
    <row r="29" spans="1:43" ht="18" customHeight="1" x14ac:dyDescent="0.2">
      <c r="A29" s="46"/>
      <c r="B29" s="142"/>
      <c r="C29" s="142"/>
      <c r="D29" s="142"/>
      <c r="E29" s="142"/>
      <c r="F29" s="142"/>
      <c r="G29" s="142"/>
      <c r="H29" s="142"/>
      <c r="I29" s="142"/>
      <c r="J29" s="142"/>
      <c r="K29" s="142"/>
      <c r="L29" s="142"/>
      <c r="M29" s="142"/>
      <c r="N29" s="142"/>
      <c r="O29" s="142"/>
      <c r="P29" s="142"/>
      <c r="Q29" s="142"/>
      <c r="R29" s="142"/>
      <c r="S29" s="142"/>
      <c r="T29" s="142"/>
      <c r="U29" s="156"/>
      <c r="V29" s="46"/>
      <c r="W29" s="142"/>
      <c r="X29" s="142"/>
      <c r="Y29" s="142"/>
      <c r="Z29" s="142"/>
      <c r="AA29" s="142"/>
      <c r="AB29" s="142"/>
      <c r="AC29" s="142"/>
      <c r="AD29" s="142"/>
      <c r="AE29" s="142"/>
      <c r="AF29" s="142"/>
      <c r="AG29" s="142"/>
      <c r="AH29" s="142"/>
      <c r="AI29" s="142"/>
      <c r="AJ29" s="142"/>
      <c r="AK29" s="142"/>
      <c r="AL29" s="142"/>
      <c r="AM29" s="142"/>
      <c r="AN29" s="142"/>
      <c r="AO29" s="142"/>
      <c r="AP29" s="156"/>
      <c r="AQ29" s="46"/>
    </row>
    <row r="30" spans="1:43" ht="18" customHeight="1" x14ac:dyDescent="0.2">
      <c r="A30" s="48"/>
      <c r="B30" s="142"/>
      <c r="C30" s="142"/>
      <c r="D30" s="142"/>
      <c r="E30" s="142"/>
      <c r="F30" s="142"/>
      <c r="G30" s="142"/>
      <c r="H30" s="142"/>
      <c r="I30" s="142"/>
      <c r="J30" s="142"/>
      <c r="K30" s="142"/>
      <c r="L30" s="142"/>
      <c r="M30" s="142"/>
      <c r="N30" s="142"/>
      <c r="O30" s="142"/>
      <c r="P30" s="142"/>
      <c r="Q30" s="142"/>
      <c r="R30" s="142"/>
      <c r="S30" s="142"/>
      <c r="T30" s="142"/>
      <c r="U30" s="156"/>
      <c r="V30" s="46"/>
      <c r="W30" s="142"/>
      <c r="X30" s="142"/>
      <c r="Y30" s="142"/>
      <c r="Z30" s="142"/>
      <c r="AA30" s="142"/>
      <c r="AB30" s="142"/>
      <c r="AC30" s="142"/>
      <c r="AD30" s="142"/>
      <c r="AE30" s="142"/>
      <c r="AF30" s="142"/>
      <c r="AG30" s="142"/>
      <c r="AH30" s="142"/>
      <c r="AI30" s="142"/>
      <c r="AJ30" s="142"/>
      <c r="AK30" s="142"/>
      <c r="AL30" s="142"/>
      <c r="AM30" s="142"/>
      <c r="AN30" s="142"/>
      <c r="AO30" s="142"/>
      <c r="AP30" s="156"/>
      <c r="AQ30" s="46"/>
    </row>
    <row r="31" spans="1:43" ht="18" customHeight="1" x14ac:dyDescent="0.2">
      <c r="A31" s="50"/>
      <c r="B31" s="141"/>
      <c r="C31" s="141"/>
      <c r="D31" s="141"/>
      <c r="E31" s="141"/>
      <c r="F31" s="141"/>
      <c r="G31" s="141"/>
      <c r="H31" s="141"/>
      <c r="I31" s="141"/>
      <c r="J31" s="141"/>
      <c r="K31" s="141"/>
      <c r="L31" s="141"/>
      <c r="M31" s="141"/>
      <c r="N31" s="141"/>
      <c r="O31" s="141"/>
      <c r="P31" s="141"/>
      <c r="Q31" s="141"/>
      <c r="R31" s="141"/>
      <c r="S31" s="141"/>
      <c r="T31" s="141"/>
      <c r="U31" s="166"/>
      <c r="W31" s="141"/>
      <c r="X31" s="141"/>
      <c r="Y31" s="141"/>
      <c r="Z31" s="141"/>
      <c r="AA31" s="141"/>
      <c r="AB31" s="141"/>
      <c r="AC31" s="141"/>
      <c r="AD31" s="141"/>
      <c r="AE31" s="141"/>
      <c r="AF31" s="141"/>
      <c r="AG31" s="141"/>
      <c r="AH31" s="141"/>
      <c r="AI31" s="141"/>
      <c r="AJ31" s="141"/>
      <c r="AK31" s="141"/>
      <c r="AL31" s="141"/>
      <c r="AM31" s="141"/>
      <c r="AN31" s="141"/>
      <c r="AO31" s="141"/>
      <c r="AP31" s="166"/>
    </row>
    <row r="32" spans="1:43" ht="18" customHeight="1" thickTop="1" x14ac:dyDescent="0.2">
      <c r="B32" s="165"/>
      <c r="C32" s="165"/>
      <c r="D32" s="165"/>
      <c r="E32" s="165"/>
      <c r="F32" s="165"/>
      <c r="G32" s="165"/>
      <c r="H32" s="165"/>
      <c r="I32" s="165"/>
      <c r="J32" s="165"/>
      <c r="K32" s="165"/>
      <c r="L32" s="165"/>
      <c r="M32" s="165"/>
      <c r="N32" s="165"/>
      <c r="O32" s="165"/>
      <c r="P32" s="165"/>
      <c r="Q32" s="165"/>
      <c r="R32" s="165"/>
      <c r="S32" s="165"/>
      <c r="T32" s="165"/>
      <c r="U32" s="167"/>
      <c r="W32" s="165"/>
      <c r="X32" s="165"/>
      <c r="Y32" s="165"/>
      <c r="Z32" s="165"/>
      <c r="AA32" s="165"/>
      <c r="AB32" s="165"/>
      <c r="AC32" s="165"/>
      <c r="AD32" s="165"/>
      <c r="AE32" s="165"/>
      <c r="AF32" s="165"/>
      <c r="AG32" s="165"/>
      <c r="AH32" s="165"/>
      <c r="AI32" s="165"/>
      <c r="AJ32" s="165"/>
      <c r="AK32" s="165"/>
      <c r="AL32" s="165"/>
      <c r="AM32" s="165"/>
      <c r="AN32" s="165"/>
      <c r="AO32" s="165"/>
      <c r="AP32" s="167"/>
    </row>
    <row r="33" spans="1:43" ht="18" customHeight="1" x14ac:dyDescent="0.2">
      <c r="AQ33" s="51"/>
    </row>
    <row r="34" spans="1:43" ht="18" customHeight="1" x14ac:dyDescent="0.2">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row>
    <row r="35" spans="1:43" ht="18" customHeight="1" x14ac:dyDescent="0.2">
      <c r="A35" s="44"/>
      <c r="B35" s="438" t="s">
        <v>237</v>
      </c>
      <c r="C35" s="438"/>
      <c r="D35" s="438"/>
      <c r="E35" s="438"/>
      <c r="F35" s="438"/>
      <c r="G35" s="438"/>
      <c r="H35" s="438"/>
      <c r="I35" s="438"/>
      <c r="J35" s="438"/>
      <c r="K35" s="438"/>
      <c r="L35" s="438"/>
      <c r="M35" s="438"/>
      <c r="N35" s="438"/>
      <c r="O35" s="438"/>
      <c r="P35" s="150"/>
      <c r="Q35" s="485" t="str">
        <f>IF('Step 1 - Case Selection'!J12="","",'Step 1 - Case Selection'!J12)</f>
        <v xml:space="preserve">  Test Company</v>
      </c>
      <c r="R35" s="485"/>
      <c r="S35" s="485"/>
      <c r="T35" s="485"/>
      <c r="U35" s="485"/>
      <c r="V35" s="485"/>
      <c r="W35" s="485"/>
      <c r="X35" s="485"/>
      <c r="Y35" s="485"/>
      <c r="Z35" s="486"/>
      <c r="AA35" s="54"/>
      <c r="AB35" s="54"/>
      <c r="AC35" s="54"/>
      <c r="AD35" s="54"/>
      <c r="AE35" s="54"/>
      <c r="AF35" s="54"/>
      <c r="AG35" s="56"/>
      <c r="AH35" s="41"/>
      <c r="AI35" s="41"/>
      <c r="AJ35" s="41"/>
      <c r="AK35" s="467"/>
      <c r="AL35" s="467"/>
      <c r="AM35" s="467"/>
      <c r="AN35" s="467"/>
      <c r="AO35" s="467"/>
      <c r="AP35" s="467"/>
      <c r="AQ35" s="44"/>
    </row>
    <row r="36" spans="1:43" ht="3.75" customHeight="1" x14ac:dyDescent="0.2">
      <c r="A36" s="44"/>
      <c r="B36" s="151"/>
      <c r="C36" s="151"/>
      <c r="D36" s="151"/>
      <c r="E36" s="151"/>
      <c r="F36" s="152"/>
      <c r="G36" s="152"/>
      <c r="H36" s="152"/>
      <c r="I36" s="152"/>
      <c r="J36" s="152"/>
      <c r="K36" s="152"/>
      <c r="L36" s="152"/>
      <c r="M36" s="152"/>
      <c r="N36" s="152"/>
      <c r="O36" s="152"/>
      <c r="P36" s="152"/>
      <c r="Q36" s="152"/>
      <c r="R36" s="152"/>
      <c r="S36" s="152"/>
      <c r="T36" s="152"/>
      <c r="U36" s="152"/>
      <c r="V36" s="152"/>
      <c r="W36" s="152"/>
      <c r="X36" s="220"/>
      <c r="Y36" s="220"/>
      <c r="Z36" s="222"/>
      <c r="AA36" s="55"/>
      <c r="AB36" s="55"/>
      <c r="AC36" s="55"/>
      <c r="AD36" s="55"/>
      <c r="AE36" s="55"/>
      <c r="AF36" s="55"/>
      <c r="AG36" s="57"/>
      <c r="AH36" s="42"/>
      <c r="AI36" s="42"/>
      <c r="AJ36" s="42"/>
      <c r="AK36" s="467"/>
      <c r="AL36" s="467"/>
      <c r="AM36" s="467"/>
      <c r="AN36" s="467"/>
      <c r="AO36" s="467"/>
      <c r="AP36" s="467"/>
      <c r="AQ36" s="44"/>
    </row>
    <row r="37" spans="1:43" ht="18" customHeight="1" thickBot="1" x14ac:dyDescent="0.25">
      <c r="A37" s="44"/>
      <c r="B37" s="148"/>
      <c r="C37" s="221" t="s">
        <v>220</v>
      </c>
      <c r="D37" s="148"/>
      <c r="E37" s="148"/>
      <c r="F37" s="153"/>
      <c r="G37" s="154" t="str">
        <f>IF('Step 1 - Case Selection'!J14="","",'Step 1 - Case Selection'!J14)</f>
        <v xml:space="preserve">  Test Case</v>
      </c>
      <c r="H37" s="154"/>
      <c r="I37" s="154"/>
      <c r="J37" s="154"/>
      <c r="K37" s="154"/>
      <c r="L37" s="154"/>
      <c r="M37" s="154"/>
      <c r="N37" s="154"/>
      <c r="O37" s="154"/>
      <c r="P37" s="154"/>
      <c r="Q37" s="154"/>
      <c r="R37" s="154"/>
      <c r="S37" s="155"/>
      <c r="T37" s="154"/>
      <c r="U37" s="154"/>
      <c r="V37" s="465">
        <f ca="1">TODAY()</f>
        <v>46195</v>
      </c>
      <c r="W37" s="465"/>
      <c r="X37" s="465"/>
      <c r="Y37" s="465"/>
      <c r="Z37" s="466"/>
      <c r="AA37" s="58"/>
      <c r="AB37" s="50"/>
      <c r="AC37" s="54"/>
      <c r="AD37" s="54"/>
      <c r="AE37" s="54"/>
      <c r="AF37" s="54"/>
      <c r="AG37" s="59"/>
      <c r="AH37" s="43"/>
      <c r="AI37" s="43"/>
      <c r="AJ37" s="44"/>
      <c r="AK37" s="467"/>
      <c r="AL37" s="467"/>
      <c r="AM37" s="467"/>
      <c r="AN37" s="467"/>
      <c r="AO37" s="467"/>
      <c r="AP37" s="467"/>
      <c r="AQ37" s="44"/>
    </row>
    <row r="38" spans="1:43" ht="7.5" customHeight="1" x14ac:dyDescent="0.2">
      <c r="A38" s="44"/>
      <c r="B38" s="44"/>
      <c r="C38" s="45"/>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row>
    <row r="39" spans="1:43" ht="18" customHeight="1" x14ac:dyDescent="0.2">
      <c r="AJ39" s="58"/>
      <c r="AK39" s="58"/>
      <c r="AL39" s="58"/>
      <c r="AM39" s="58"/>
      <c r="AN39" s="58"/>
      <c r="AO39" s="58"/>
      <c r="AP39" s="58"/>
      <c r="AQ39" s="44"/>
    </row>
    <row r="40" spans="1:43" ht="18" customHeight="1" x14ac:dyDescent="0.2">
      <c r="B40" s="145"/>
      <c r="C40" s="145"/>
      <c r="D40" s="145"/>
      <c r="E40" s="145"/>
      <c r="F40" s="145"/>
      <c r="G40" s="145"/>
      <c r="H40" s="145"/>
      <c r="I40" s="145"/>
      <c r="J40" s="145"/>
      <c r="K40" s="145"/>
      <c r="L40" s="145"/>
      <c r="M40" s="145"/>
      <c r="N40" s="145"/>
      <c r="O40" s="145"/>
      <c r="P40" s="145"/>
      <c r="Q40" s="145"/>
      <c r="R40" s="145"/>
      <c r="S40" s="145"/>
      <c r="T40" s="145"/>
      <c r="U40" s="168"/>
      <c r="W40" s="145"/>
      <c r="X40" s="145"/>
      <c r="Y40" s="145"/>
      <c r="Z40" s="145"/>
      <c r="AA40" s="145"/>
      <c r="AB40" s="145"/>
      <c r="AC40" s="145"/>
      <c r="AD40" s="145"/>
      <c r="AE40" s="145"/>
      <c r="AF40" s="145"/>
      <c r="AG40" s="145"/>
      <c r="AH40" s="145"/>
      <c r="AI40" s="145"/>
      <c r="AJ40" s="145"/>
      <c r="AK40" s="145"/>
      <c r="AL40" s="145"/>
      <c r="AM40" s="145"/>
      <c r="AN40" s="145"/>
      <c r="AO40" s="145"/>
      <c r="AP40" s="168"/>
      <c r="AQ40" s="44"/>
    </row>
    <row r="41" spans="1:43" ht="7.5" customHeight="1" x14ac:dyDescent="0.2">
      <c r="B41" s="145"/>
      <c r="C41" s="145"/>
      <c r="D41" s="145"/>
      <c r="E41" s="145"/>
      <c r="F41" s="145"/>
      <c r="G41" s="145"/>
      <c r="H41" s="145"/>
      <c r="I41" s="145"/>
      <c r="J41" s="145"/>
      <c r="K41" s="145"/>
      <c r="L41" s="145"/>
      <c r="M41" s="145"/>
      <c r="N41" s="145"/>
      <c r="O41" s="145"/>
      <c r="P41" s="145"/>
      <c r="Q41" s="145"/>
      <c r="R41" s="145"/>
      <c r="S41" s="145"/>
      <c r="T41" s="145"/>
      <c r="U41" s="168"/>
      <c r="W41" s="145"/>
      <c r="X41" s="145"/>
      <c r="Y41" s="145"/>
      <c r="Z41" s="145"/>
      <c r="AA41" s="145"/>
      <c r="AB41" s="145"/>
      <c r="AC41" s="145"/>
      <c r="AD41" s="145"/>
      <c r="AE41" s="145"/>
      <c r="AF41" s="145"/>
      <c r="AG41" s="145"/>
      <c r="AH41" s="145"/>
      <c r="AI41" s="145"/>
      <c r="AJ41" s="145"/>
      <c r="AK41" s="145"/>
      <c r="AL41" s="145"/>
      <c r="AM41" s="145"/>
      <c r="AN41" s="145"/>
      <c r="AO41" s="145"/>
      <c r="AP41" s="168"/>
      <c r="AQ41" s="44"/>
    </row>
    <row r="42" spans="1:43" ht="7.5" customHeight="1" x14ac:dyDescent="0.2">
      <c r="B42" s="145"/>
      <c r="C42" s="145"/>
      <c r="D42" s="145"/>
      <c r="E42" s="145"/>
      <c r="F42" s="145"/>
      <c r="G42" s="145"/>
      <c r="H42" s="145"/>
      <c r="I42" s="145"/>
      <c r="J42" s="145"/>
      <c r="K42" s="145"/>
      <c r="L42" s="145"/>
      <c r="M42" s="145"/>
      <c r="N42" s="145"/>
      <c r="O42" s="145"/>
      <c r="P42" s="145"/>
      <c r="Q42" s="145"/>
      <c r="R42" s="145"/>
      <c r="S42" s="145"/>
      <c r="T42" s="145"/>
      <c r="U42" s="168"/>
      <c r="W42" s="145"/>
      <c r="X42" s="145"/>
      <c r="Y42" s="145"/>
      <c r="Z42" s="145"/>
      <c r="AA42" s="145"/>
      <c r="AB42" s="145"/>
      <c r="AC42" s="145"/>
      <c r="AD42" s="145"/>
      <c r="AE42" s="145"/>
      <c r="AF42" s="145"/>
      <c r="AG42" s="145"/>
      <c r="AH42" s="145"/>
      <c r="AI42" s="145"/>
      <c r="AJ42" s="145"/>
      <c r="AK42" s="145"/>
      <c r="AL42" s="145"/>
      <c r="AM42" s="145"/>
      <c r="AN42" s="145"/>
      <c r="AO42" s="145"/>
      <c r="AP42" s="168"/>
      <c r="AQ42" s="44"/>
    </row>
    <row r="43" spans="1:43" ht="18" customHeight="1" x14ac:dyDescent="0.2">
      <c r="B43" s="145"/>
      <c r="C43" s="145"/>
      <c r="D43" s="145"/>
      <c r="E43" s="145"/>
      <c r="F43" s="145"/>
      <c r="G43" s="145"/>
      <c r="H43" s="145"/>
      <c r="I43" s="145"/>
      <c r="J43" s="145"/>
      <c r="K43" s="145"/>
      <c r="L43" s="145"/>
      <c r="M43" s="145"/>
      <c r="N43" s="145"/>
      <c r="O43" s="145"/>
      <c r="P43" s="145"/>
      <c r="Q43" s="145"/>
      <c r="R43" s="145"/>
      <c r="S43" s="145"/>
      <c r="T43" s="145"/>
      <c r="U43" s="168"/>
      <c r="W43" s="145"/>
      <c r="X43" s="145"/>
      <c r="Y43" s="145"/>
      <c r="Z43" s="145"/>
      <c r="AA43" s="145"/>
      <c r="AB43" s="145"/>
      <c r="AC43" s="145"/>
      <c r="AD43" s="145"/>
      <c r="AE43" s="145"/>
      <c r="AF43" s="145"/>
      <c r="AG43" s="145"/>
      <c r="AH43" s="145"/>
      <c r="AI43" s="145"/>
      <c r="AJ43" s="145"/>
      <c r="AK43" s="145"/>
      <c r="AL43" s="145"/>
      <c r="AM43" s="145"/>
      <c r="AN43" s="145"/>
      <c r="AO43" s="145"/>
      <c r="AP43" s="168"/>
    </row>
    <row r="44" spans="1:43" ht="18" customHeight="1" x14ac:dyDescent="0.2">
      <c r="B44" s="145"/>
      <c r="C44" s="145"/>
      <c r="D44" s="145"/>
      <c r="E44" s="145"/>
      <c r="F44" s="145"/>
      <c r="G44" s="145"/>
      <c r="H44" s="145"/>
      <c r="I44" s="145"/>
      <c r="J44" s="145"/>
      <c r="K44" s="145"/>
      <c r="L44" s="145"/>
      <c r="M44" s="145"/>
      <c r="N44" s="145"/>
      <c r="O44" s="145"/>
      <c r="P44" s="145"/>
      <c r="Q44" s="145"/>
      <c r="R44" s="145"/>
      <c r="S44" s="145"/>
      <c r="T44" s="145"/>
      <c r="U44" s="168"/>
      <c r="W44" s="145"/>
      <c r="X44" s="145"/>
      <c r="Y44" s="145"/>
      <c r="Z44" s="145"/>
      <c r="AA44" s="145"/>
      <c r="AB44" s="145"/>
      <c r="AC44" s="145"/>
      <c r="AD44" s="145"/>
      <c r="AE44" s="145"/>
      <c r="AF44" s="145"/>
      <c r="AG44" s="145"/>
      <c r="AH44" s="145"/>
      <c r="AI44" s="145"/>
      <c r="AJ44" s="145"/>
      <c r="AK44" s="145"/>
      <c r="AL44" s="145"/>
      <c r="AM44" s="145"/>
      <c r="AN44" s="145"/>
      <c r="AO44" s="145"/>
      <c r="AP44" s="168"/>
    </row>
    <row r="45" spans="1:43" ht="18" customHeight="1" x14ac:dyDescent="0.2">
      <c r="B45" s="145"/>
      <c r="C45" s="145"/>
      <c r="D45" s="145"/>
      <c r="E45" s="145"/>
      <c r="F45" s="145"/>
      <c r="G45" s="145"/>
      <c r="H45" s="145"/>
      <c r="I45" s="145"/>
      <c r="J45" s="145"/>
      <c r="K45" s="145"/>
      <c r="L45" s="145"/>
      <c r="M45" s="145"/>
      <c r="N45" s="145"/>
      <c r="O45" s="145"/>
      <c r="P45" s="145"/>
      <c r="Q45" s="145"/>
      <c r="R45" s="145"/>
      <c r="S45" s="145"/>
      <c r="T45" s="145"/>
      <c r="U45" s="168"/>
      <c r="W45" s="145"/>
      <c r="X45" s="145"/>
      <c r="Y45" s="145"/>
      <c r="Z45" s="145"/>
      <c r="AA45" s="145"/>
      <c r="AB45" s="145"/>
      <c r="AC45" s="145"/>
      <c r="AD45" s="145"/>
      <c r="AE45" s="145"/>
      <c r="AF45" s="145"/>
      <c r="AG45" s="145"/>
      <c r="AH45" s="145"/>
      <c r="AI45" s="145"/>
      <c r="AJ45" s="145"/>
      <c r="AK45" s="145"/>
      <c r="AL45" s="145"/>
      <c r="AM45" s="145"/>
      <c r="AN45" s="145"/>
      <c r="AO45" s="145"/>
      <c r="AP45" s="168"/>
    </row>
    <row r="46" spans="1:43" ht="18" customHeight="1" x14ac:dyDescent="0.2">
      <c r="B46" s="145"/>
      <c r="C46" s="145"/>
      <c r="D46" s="145"/>
      <c r="E46" s="145"/>
      <c r="F46" s="145"/>
      <c r="G46" s="145"/>
      <c r="H46" s="145"/>
      <c r="I46" s="145"/>
      <c r="J46" s="145"/>
      <c r="K46" s="145"/>
      <c r="L46" s="145"/>
      <c r="M46" s="145"/>
      <c r="N46" s="145"/>
      <c r="O46" s="145"/>
      <c r="P46" s="145"/>
      <c r="Q46" s="145"/>
      <c r="R46" s="145"/>
      <c r="S46" s="145"/>
      <c r="T46" s="145"/>
      <c r="U46" s="168"/>
      <c r="W46" s="145"/>
      <c r="X46" s="145"/>
      <c r="Y46" s="145"/>
      <c r="Z46" s="145"/>
      <c r="AA46" s="145"/>
      <c r="AB46" s="145"/>
      <c r="AC46" s="145"/>
      <c r="AD46" s="145"/>
      <c r="AE46" s="145"/>
      <c r="AF46" s="145"/>
      <c r="AG46" s="145"/>
      <c r="AH46" s="145"/>
      <c r="AI46" s="145"/>
      <c r="AJ46" s="145"/>
      <c r="AK46" s="145"/>
      <c r="AL46" s="145"/>
      <c r="AM46" s="145"/>
      <c r="AN46" s="145"/>
      <c r="AO46" s="145"/>
      <c r="AP46" s="168"/>
    </row>
    <row r="47" spans="1:43" ht="18" customHeight="1" x14ac:dyDescent="0.2">
      <c r="B47" s="145"/>
      <c r="C47" s="145"/>
      <c r="D47" s="145"/>
      <c r="E47" s="145"/>
      <c r="F47" s="145"/>
      <c r="G47" s="145"/>
      <c r="H47" s="145"/>
      <c r="I47" s="145"/>
      <c r="J47" s="145"/>
      <c r="K47" s="145"/>
      <c r="L47" s="145"/>
      <c r="M47" s="145"/>
      <c r="N47" s="145"/>
      <c r="O47" s="145"/>
      <c r="P47" s="145"/>
      <c r="Q47" s="145"/>
      <c r="R47" s="145"/>
      <c r="S47" s="145"/>
      <c r="T47" s="145"/>
      <c r="U47" s="168"/>
      <c r="W47" s="145"/>
      <c r="X47" s="145"/>
      <c r="Y47" s="145"/>
      <c r="Z47" s="145"/>
      <c r="AA47" s="145"/>
      <c r="AB47" s="145"/>
      <c r="AC47" s="145"/>
      <c r="AD47" s="145"/>
      <c r="AE47" s="145"/>
      <c r="AF47" s="145"/>
      <c r="AG47" s="145"/>
      <c r="AH47" s="145"/>
      <c r="AI47" s="145"/>
      <c r="AJ47" s="145"/>
      <c r="AK47" s="145"/>
      <c r="AL47" s="145"/>
      <c r="AM47" s="145"/>
      <c r="AN47" s="145"/>
      <c r="AO47" s="145"/>
      <c r="AP47" s="168"/>
    </row>
    <row r="48" spans="1:43" ht="18" customHeight="1" x14ac:dyDescent="0.2">
      <c r="B48" s="145"/>
      <c r="C48" s="145"/>
      <c r="D48" s="145"/>
      <c r="E48" s="145"/>
      <c r="F48" s="145"/>
      <c r="G48" s="145"/>
      <c r="H48" s="145"/>
      <c r="I48" s="145"/>
      <c r="J48" s="145"/>
      <c r="K48" s="145"/>
      <c r="L48" s="145"/>
      <c r="M48" s="145"/>
      <c r="N48" s="145"/>
      <c r="O48" s="145"/>
      <c r="P48" s="145"/>
      <c r="Q48" s="145"/>
      <c r="R48" s="145"/>
      <c r="S48" s="145"/>
      <c r="T48" s="145"/>
      <c r="U48" s="168"/>
      <c r="W48" s="145"/>
      <c r="X48" s="145"/>
      <c r="Y48" s="145"/>
      <c r="Z48" s="145"/>
      <c r="AA48" s="145"/>
      <c r="AB48" s="145"/>
      <c r="AC48" s="145"/>
      <c r="AD48" s="145"/>
      <c r="AE48" s="145"/>
      <c r="AF48" s="145"/>
      <c r="AG48" s="145"/>
      <c r="AH48" s="145"/>
      <c r="AI48" s="145"/>
      <c r="AJ48" s="145"/>
      <c r="AK48" s="145"/>
      <c r="AL48" s="145"/>
      <c r="AM48" s="145"/>
      <c r="AN48" s="145"/>
      <c r="AO48" s="145"/>
      <c r="AP48" s="168"/>
    </row>
    <row r="49" spans="2:43" ht="18" customHeight="1" x14ac:dyDescent="0.2">
      <c r="B49" s="145"/>
      <c r="C49" s="145"/>
      <c r="D49" s="145"/>
      <c r="E49" s="145"/>
      <c r="F49" s="145"/>
      <c r="G49" s="145"/>
      <c r="H49" s="145"/>
      <c r="I49" s="145"/>
      <c r="J49" s="145"/>
      <c r="K49" s="145"/>
      <c r="L49" s="145"/>
      <c r="M49" s="145"/>
      <c r="N49" s="145"/>
      <c r="O49" s="145"/>
      <c r="P49" s="145"/>
      <c r="Q49" s="145"/>
      <c r="R49" s="145"/>
      <c r="S49" s="145"/>
      <c r="T49" s="145"/>
      <c r="U49" s="168"/>
      <c r="W49" s="145"/>
      <c r="X49" s="145"/>
      <c r="Y49" s="145"/>
      <c r="Z49" s="145"/>
      <c r="AA49" s="145"/>
      <c r="AB49" s="145"/>
      <c r="AC49" s="145"/>
      <c r="AD49" s="145"/>
      <c r="AE49" s="145"/>
      <c r="AF49" s="145"/>
      <c r="AG49" s="145"/>
      <c r="AH49" s="145"/>
      <c r="AI49" s="145"/>
      <c r="AJ49" s="145"/>
      <c r="AK49" s="145"/>
      <c r="AL49" s="145"/>
      <c r="AM49" s="145"/>
      <c r="AN49" s="145"/>
      <c r="AO49" s="145"/>
      <c r="AP49" s="168"/>
    </row>
    <row r="50" spans="2:43" ht="18" customHeight="1" x14ac:dyDescent="0.2">
      <c r="B50" s="145"/>
      <c r="C50" s="145"/>
      <c r="D50" s="145"/>
      <c r="E50" s="145"/>
      <c r="F50" s="145"/>
      <c r="G50" s="145"/>
      <c r="H50" s="145"/>
      <c r="I50" s="145"/>
      <c r="J50" s="145"/>
      <c r="K50" s="145"/>
      <c r="L50" s="145"/>
      <c r="M50" s="145"/>
      <c r="N50" s="145"/>
      <c r="O50" s="145"/>
      <c r="P50" s="145"/>
      <c r="Q50" s="145"/>
      <c r="R50" s="145"/>
      <c r="S50" s="145"/>
      <c r="T50" s="145"/>
      <c r="U50" s="168"/>
      <c r="W50" s="145"/>
      <c r="X50" s="145"/>
      <c r="Y50" s="145"/>
      <c r="Z50" s="145"/>
      <c r="AA50" s="145"/>
      <c r="AB50" s="145"/>
      <c r="AC50" s="145"/>
      <c r="AD50" s="145"/>
      <c r="AE50" s="145"/>
      <c r="AF50" s="145"/>
      <c r="AG50" s="145"/>
      <c r="AH50" s="145"/>
      <c r="AI50" s="145"/>
      <c r="AJ50" s="145"/>
      <c r="AK50" s="145"/>
      <c r="AL50" s="145"/>
      <c r="AM50" s="145"/>
      <c r="AN50" s="145"/>
      <c r="AO50" s="145"/>
      <c r="AP50" s="168"/>
    </row>
    <row r="51" spans="2:43" ht="18" customHeight="1" x14ac:dyDescent="0.2">
      <c r="B51" s="145"/>
      <c r="C51" s="145"/>
      <c r="D51" s="145"/>
      <c r="E51" s="145"/>
      <c r="F51" s="145"/>
      <c r="G51" s="145"/>
      <c r="H51" s="145"/>
      <c r="I51" s="145"/>
      <c r="J51" s="145"/>
      <c r="K51" s="145"/>
      <c r="L51" s="145"/>
      <c r="M51" s="145"/>
      <c r="N51" s="145"/>
      <c r="O51" s="145"/>
      <c r="P51" s="145"/>
      <c r="Q51" s="145"/>
      <c r="R51" s="145"/>
      <c r="S51" s="145"/>
      <c r="T51" s="145"/>
      <c r="U51" s="168"/>
      <c r="W51" s="145"/>
      <c r="X51" s="145"/>
      <c r="Y51" s="145"/>
      <c r="Z51" s="145"/>
      <c r="AA51" s="145"/>
      <c r="AB51" s="145"/>
      <c r="AC51" s="145"/>
      <c r="AD51" s="145"/>
      <c r="AE51" s="145"/>
      <c r="AF51" s="145"/>
      <c r="AG51" s="145"/>
      <c r="AH51" s="145"/>
      <c r="AI51" s="145"/>
      <c r="AJ51" s="145"/>
      <c r="AK51" s="145"/>
      <c r="AL51" s="145"/>
      <c r="AM51" s="145"/>
      <c r="AN51" s="145"/>
      <c r="AO51" s="145"/>
      <c r="AP51" s="168"/>
    </row>
    <row r="52" spans="2:43" ht="18" customHeight="1" x14ac:dyDescent="0.2">
      <c r="B52" s="145"/>
      <c r="C52" s="145"/>
      <c r="D52" s="145"/>
      <c r="E52" s="145"/>
      <c r="F52" s="145"/>
      <c r="G52" s="145"/>
      <c r="H52" s="145"/>
      <c r="I52" s="145"/>
      <c r="J52" s="145"/>
      <c r="K52" s="145"/>
      <c r="L52" s="145"/>
      <c r="M52" s="145"/>
      <c r="N52" s="145"/>
      <c r="O52" s="145"/>
      <c r="P52" s="145"/>
      <c r="Q52" s="145"/>
      <c r="R52" s="145"/>
      <c r="S52" s="145"/>
      <c r="T52" s="145"/>
      <c r="U52" s="168"/>
      <c r="W52" s="145"/>
      <c r="X52" s="145"/>
      <c r="Y52" s="145"/>
      <c r="Z52" s="145"/>
      <c r="AA52" s="145"/>
      <c r="AB52" s="145"/>
      <c r="AC52" s="145"/>
      <c r="AD52" s="145"/>
      <c r="AE52" s="145"/>
      <c r="AF52" s="145"/>
      <c r="AG52" s="145"/>
      <c r="AH52" s="145"/>
      <c r="AI52" s="145"/>
      <c r="AJ52" s="145"/>
      <c r="AK52" s="145"/>
      <c r="AL52" s="145"/>
      <c r="AM52" s="145"/>
      <c r="AN52" s="145"/>
      <c r="AO52" s="145"/>
      <c r="AP52" s="168"/>
    </row>
    <row r="53" spans="2:43" ht="18" customHeight="1" x14ac:dyDescent="0.2">
      <c r="B53" s="145"/>
      <c r="C53" s="145"/>
      <c r="D53" s="145"/>
      <c r="E53" s="145"/>
      <c r="F53" s="145"/>
      <c r="G53" s="145"/>
      <c r="H53" s="145"/>
      <c r="I53" s="145"/>
      <c r="J53" s="145"/>
      <c r="K53" s="145"/>
      <c r="L53" s="145"/>
      <c r="M53" s="145"/>
      <c r="N53" s="145"/>
      <c r="O53" s="145"/>
      <c r="P53" s="145"/>
      <c r="Q53" s="145"/>
      <c r="R53" s="145"/>
      <c r="S53" s="145"/>
      <c r="T53" s="145"/>
      <c r="U53" s="168"/>
      <c r="W53" s="145"/>
      <c r="X53" s="145"/>
      <c r="Y53" s="145"/>
      <c r="Z53" s="145"/>
      <c r="AA53" s="145"/>
      <c r="AB53" s="145"/>
      <c r="AC53" s="145"/>
      <c r="AD53" s="145"/>
      <c r="AE53" s="145"/>
      <c r="AF53" s="145"/>
      <c r="AG53" s="145"/>
      <c r="AH53" s="145"/>
      <c r="AI53" s="145"/>
      <c r="AJ53" s="145"/>
      <c r="AK53" s="145"/>
      <c r="AL53" s="145"/>
      <c r="AM53" s="145"/>
      <c r="AN53" s="145"/>
      <c r="AO53" s="145"/>
      <c r="AP53" s="168"/>
    </row>
    <row r="54" spans="2:43" ht="18" customHeight="1" x14ac:dyDescent="0.2">
      <c r="B54" s="145"/>
      <c r="C54" s="145"/>
      <c r="D54" s="145"/>
      <c r="E54" s="145"/>
      <c r="F54" s="145"/>
      <c r="G54" s="145"/>
      <c r="H54" s="145"/>
      <c r="I54" s="145"/>
      <c r="J54" s="145"/>
      <c r="K54" s="145"/>
      <c r="L54" s="145"/>
      <c r="M54" s="145"/>
      <c r="N54" s="145"/>
      <c r="O54" s="145"/>
      <c r="P54" s="145"/>
      <c r="Q54" s="145"/>
      <c r="R54" s="145"/>
      <c r="S54" s="145"/>
      <c r="T54" s="145"/>
      <c r="U54" s="168"/>
      <c r="W54" s="145"/>
      <c r="X54" s="145"/>
      <c r="Y54" s="145"/>
      <c r="Z54" s="145"/>
      <c r="AA54" s="145"/>
      <c r="AB54" s="145"/>
      <c r="AC54" s="145"/>
      <c r="AD54" s="145"/>
      <c r="AE54" s="145"/>
      <c r="AF54" s="145"/>
      <c r="AG54" s="145"/>
      <c r="AH54" s="145"/>
      <c r="AI54" s="145"/>
      <c r="AJ54" s="145"/>
      <c r="AK54" s="145"/>
      <c r="AL54" s="145"/>
      <c r="AM54" s="145"/>
      <c r="AN54" s="145"/>
      <c r="AO54" s="145"/>
      <c r="AP54" s="168"/>
    </row>
    <row r="55" spans="2:43" ht="18" customHeight="1" x14ac:dyDescent="0.2">
      <c r="B55" s="145"/>
      <c r="C55" s="145"/>
      <c r="D55" s="145"/>
      <c r="E55" s="145"/>
      <c r="F55" s="145"/>
      <c r="G55" s="145"/>
      <c r="H55" s="145"/>
      <c r="I55" s="145"/>
      <c r="J55" s="145"/>
      <c r="K55" s="145"/>
      <c r="L55" s="145"/>
      <c r="M55" s="145"/>
      <c r="N55" s="145"/>
      <c r="O55" s="145"/>
      <c r="P55" s="145"/>
      <c r="Q55" s="145"/>
      <c r="R55" s="145"/>
      <c r="S55" s="145"/>
      <c r="T55" s="145"/>
      <c r="U55" s="168"/>
      <c r="W55" s="145"/>
      <c r="X55" s="145"/>
      <c r="Y55" s="145"/>
      <c r="Z55" s="145"/>
      <c r="AA55" s="145"/>
      <c r="AB55" s="145"/>
      <c r="AC55" s="145"/>
      <c r="AD55" s="145"/>
      <c r="AE55" s="145"/>
      <c r="AF55" s="145"/>
      <c r="AG55" s="145"/>
      <c r="AH55" s="145"/>
      <c r="AI55" s="145"/>
      <c r="AJ55" s="145"/>
      <c r="AK55" s="145"/>
      <c r="AL55" s="145"/>
      <c r="AM55" s="145"/>
      <c r="AN55" s="145"/>
      <c r="AO55" s="145"/>
      <c r="AP55" s="168"/>
    </row>
    <row r="56" spans="2:43" ht="18" customHeight="1" x14ac:dyDescent="0.2">
      <c r="B56" s="145"/>
      <c r="C56" s="145"/>
      <c r="D56" s="145"/>
      <c r="E56" s="145"/>
      <c r="F56" s="145"/>
      <c r="G56" s="145"/>
      <c r="H56" s="145"/>
      <c r="I56" s="145"/>
      <c r="J56" s="145"/>
      <c r="K56" s="145"/>
      <c r="L56" s="145"/>
      <c r="M56" s="145"/>
      <c r="N56" s="145"/>
      <c r="O56" s="145"/>
      <c r="P56" s="145"/>
      <c r="Q56" s="145"/>
      <c r="R56" s="145"/>
      <c r="S56" s="145"/>
      <c r="T56" s="145"/>
      <c r="U56" s="168"/>
      <c r="W56" s="145"/>
      <c r="X56" s="145"/>
      <c r="Y56" s="145"/>
      <c r="Z56" s="145"/>
      <c r="AA56" s="145"/>
      <c r="AB56" s="145"/>
      <c r="AC56" s="145"/>
      <c r="AD56" s="145"/>
      <c r="AE56" s="145"/>
      <c r="AF56" s="145"/>
      <c r="AG56" s="145"/>
      <c r="AH56" s="145"/>
      <c r="AI56" s="145"/>
      <c r="AJ56" s="145"/>
      <c r="AK56" s="145"/>
      <c r="AL56" s="145"/>
      <c r="AM56" s="145"/>
      <c r="AN56" s="145"/>
      <c r="AO56" s="145"/>
      <c r="AP56" s="168"/>
    </row>
    <row r="57" spans="2:43" ht="18" customHeight="1" x14ac:dyDescent="0.2">
      <c r="B57" s="145"/>
      <c r="C57" s="145"/>
      <c r="D57" s="145"/>
      <c r="E57" s="145"/>
      <c r="F57" s="145"/>
      <c r="G57" s="145"/>
      <c r="H57" s="145"/>
      <c r="I57" s="145"/>
      <c r="J57" s="145"/>
      <c r="K57" s="145"/>
      <c r="L57" s="145"/>
      <c r="M57" s="145"/>
      <c r="N57" s="145"/>
      <c r="O57" s="145"/>
      <c r="P57" s="145"/>
      <c r="Q57" s="145"/>
      <c r="R57" s="145"/>
      <c r="S57" s="145"/>
      <c r="T57" s="145"/>
      <c r="U57" s="168"/>
      <c r="W57" s="145"/>
      <c r="X57" s="145"/>
      <c r="Y57" s="145"/>
      <c r="Z57" s="145"/>
      <c r="AA57" s="145"/>
      <c r="AB57" s="145"/>
      <c r="AC57" s="145"/>
      <c r="AD57" s="145"/>
      <c r="AE57" s="145"/>
      <c r="AF57" s="145"/>
      <c r="AG57" s="145"/>
      <c r="AH57" s="145"/>
      <c r="AI57" s="145"/>
      <c r="AJ57" s="145"/>
      <c r="AK57" s="145"/>
      <c r="AL57" s="145"/>
      <c r="AM57" s="145"/>
      <c r="AN57" s="145"/>
      <c r="AO57" s="145"/>
      <c r="AP57" s="168"/>
    </row>
    <row r="58" spans="2:43" ht="18" customHeight="1" x14ac:dyDescent="0.2">
      <c r="B58" s="145"/>
      <c r="C58" s="145"/>
      <c r="D58" s="145"/>
      <c r="E58" s="145"/>
      <c r="F58" s="145"/>
      <c r="G58" s="145"/>
      <c r="H58" s="145"/>
      <c r="I58" s="145"/>
      <c r="J58" s="145"/>
      <c r="K58" s="145"/>
      <c r="L58" s="145"/>
      <c r="M58" s="145"/>
      <c r="N58" s="145"/>
      <c r="O58" s="145"/>
      <c r="P58" s="145"/>
      <c r="Q58" s="145"/>
      <c r="R58" s="145"/>
      <c r="S58" s="145"/>
      <c r="T58" s="145"/>
      <c r="U58" s="168"/>
      <c r="W58" s="145"/>
      <c r="X58" s="145"/>
      <c r="Y58" s="145"/>
      <c r="Z58" s="145"/>
      <c r="AA58" s="145"/>
      <c r="AB58" s="145"/>
      <c r="AC58" s="145"/>
      <c r="AD58" s="145"/>
      <c r="AE58" s="145"/>
      <c r="AF58" s="145"/>
      <c r="AG58" s="145"/>
      <c r="AH58" s="145"/>
      <c r="AI58" s="145"/>
      <c r="AJ58" s="145"/>
      <c r="AK58" s="145"/>
      <c r="AL58" s="145"/>
      <c r="AM58" s="145"/>
      <c r="AN58" s="145"/>
      <c r="AO58" s="145"/>
      <c r="AP58" s="168"/>
    </row>
    <row r="59" spans="2:43" ht="18" customHeight="1" x14ac:dyDescent="0.2">
      <c r="B59" s="145"/>
      <c r="C59" s="145"/>
      <c r="D59" s="145"/>
      <c r="E59" s="145"/>
      <c r="F59" s="145"/>
      <c r="G59" s="145"/>
      <c r="H59" s="145"/>
      <c r="I59" s="145"/>
      <c r="J59" s="145"/>
      <c r="K59" s="145"/>
      <c r="L59" s="145"/>
      <c r="M59" s="145"/>
      <c r="N59" s="145"/>
      <c r="O59" s="145"/>
      <c r="P59" s="145"/>
      <c r="Q59" s="145"/>
      <c r="R59" s="145"/>
      <c r="S59" s="145"/>
      <c r="T59" s="145"/>
      <c r="U59" s="168"/>
      <c r="W59" s="145"/>
      <c r="X59" s="145"/>
      <c r="Y59" s="145"/>
      <c r="Z59" s="145"/>
      <c r="AA59" s="145"/>
      <c r="AB59" s="145"/>
      <c r="AC59" s="145"/>
      <c r="AD59" s="145"/>
      <c r="AE59" s="145"/>
      <c r="AF59" s="145"/>
      <c r="AG59" s="145"/>
      <c r="AH59" s="145"/>
      <c r="AI59" s="145"/>
      <c r="AJ59" s="145"/>
      <c r="AK59" s="145"/>
      <c r="AL59" s="145"/>
      <c r="AM59" s="145"/>
      <c r="AN59" s="145"/>
      <c r="AO59" s="145"/>
      <c r="AP59" s="168"/>
    </row>
    <row r="60" spans="2:43" ht="18" customHeight="1" thickBot="1" x14ac:dyDescent="0.25">
      <c r="B60" s="149"/>
      <c r="C60" s="149"/>
      <c r="D60" s="149"/>
      <c r="E60" s="149"/>
      <c r="F60" s="149"/>
      <c r="G60" s="149"/>
      <c r="H60" s="149"/>
      <c r="I60" s="149"/>
      <c r="J60" s="149"/>
      <c r="K60" s="149"/>
      <c r="L60" s="149"/>
      <c r="M60" s="149"/>
      <c r="N60" s="149"/>
      <c r="O60" s="149"/>
      <c r="P60" s="149"/>
      <c r="Q60" s="149"/>
      <c r="R60" s="149"/>
      <c r="S60" s="149"/>
      <c r="T60" s="149"/>
      <c r="U60" s="169"/>
      <c r="W60" s="149"/>
      <c r="X60" s="149"/>
      <c r="Y60" s="149"/>
      <c r="Z60" s="149"/>
      <c r="AA60" s="149"/>
      <c r="AB60" s="149"/>
      <c r="AC60" s="149"/>
      <c r="AD60" s="149"/>
      <c r="AE60" s="149"/>
      <c r="AF60" s="149"/>
      <c r="AG60" s="149"/>
      <c r="AH60" s="149"/>
      <c r="AI60" s="149"/>
      <c r="AJ60" s="149"/>
      <c r="AK60" s="149"/>
      <c r="AL60" s="149"/>
      <c r="AM60" s="149"/>
      <c r="AN60" s="149"/>
      <c r="AO60" s="149"/>
      <c r="AP60" s="169"/>
    </row>
    <row r="61" spans="2:43" ht="18" customHeight="1" x14ac:dyDescent="0.2">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row>
    <row r="62" spans="2:43" ht="18" customHeight="1" x14ac:dyDescent="0.2">
      <c r="AQ62" s="51"/>
    </row>
  </sheetData>
  <sheetProtection sheet="1" objects="1" scenarios="1"/>
  <mergeCells count="25">
    <mergeCell ref="B35:O35"/>
    <mergeCell ref="AK2:AP4"/>
    <mergeCell ref="AE9:AI9"/>
    <mergeCell ref="AK9:AO9"/>
    <mergeCell ref="B6:AP6"/>
    <mergeCell ref="C8:M8"/>
    <mergeCell ref="Q8:AA8"/>
    <mergeCell ref="AE8:AO8"/>
    <mergeCell ref="B2:O2"/>
    <mergeCell ref="C9:G9"/>
    <mergeCell ref="I9:M9"/>
    <mergeCell ref="Q9:U9"/>
    <mergeCell ref="W9:AA9"/>
    <mergeCell ref="Q2:Z2"/>
    <mergeCell ref="V4:Z4"/>
    <mergeCell ref="Q35:Z35"/>
    <mergeCell ref="V37:Z37"/>
    <mergeCell ref="AK35:AP37"/>
    <mergeCell ref="AH14:AO14"/>
    <mergeCell ref="W12:AP12"/>
    <mergeCell ref="X14:AF14"/>
    <mergeCell ref="X15:AF15"/>
    <mergeCell ref="X17:AF17"/>
    <mergeCell ref="AH17:AO17"/>
    <mergeCell ref="AH15:AO15"/>
  </mergeCells>
  <pageMargins left="0.23622047244094491" right="0.23622047244094491" top="0.74803149606299213" bottom="0.74803149606299213" header="0.31496062992125984" footer="0.31496062992125984"/>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9DC39-679F-4AD9-82C5-E12FC80120DF}">
  <sheetPr>
    <tabColor theme="4"/>
  </sheetPr>
  <dimension ref="A1:AQ27"/>
  <sheetViews>
    <sheetView showGridLines="0" zoomScaleNormal="100" workbookViewId="0">
      <selection activeCell="BC11" sqref="BC11"/>
    </sheetView>
  </sheetViews>
  <sheetFormatPr baseColWidth="10" defaultColWidth="3.33203125" defaultRowHeight="18" customHeight="1" x14ac:dyDescent="0.2"/>
  <cols>
    <col min="22" max="22" width="3.33203125" customWidth="1"/>
    <col min="36" max="36" width="3.33203125" customWidth="1"/>
  </cols>
  <sheetData>
    <row r="1" spans="1:43" ht="18" customHeight="1" x14ac:dyDescent="0.2">
      <c r="A1" s="44"/>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row>
    <row r="2" spans="1:43" ht="18" customHeight="1" x14ac:dyDescent="0.2">
      <c r="A2" s="44"/>
      <c r="B2" s="438" t="s">
        <v>237</v>
      </c>
      <c r="C2" s="438"/>
      <c r="D2" s="438"/>
      <c r="E2" s="438"/>
      <c r="F2" s="438"/>
      <c r="G2" s="438"/>
      <c r="H2" s="438"/>
      <c r="I2" s="438"/>
      <c r="J2" s="438"/>
      <c r="K2" s="438"/>
      <c r="L2" s="438"/>
      <c r="M2" s="438"/>
      <c r="N2" s="438"/>
      <c r="O2" s="438"/>
      <c r="P2" s="150"/>
      <c r="Q2" s="485" t="str">
        <f>IF('Step 1 - Case Selection'!J12="","",'Step 1 - Case Selection'!J12)</f>
        <v xml:space="preserve">  Test Company</v>
      </c>
      <c r="R2" s="485"/>
      <c r="S2" s="485"/>
      <c r="T2" s="485"/>
      <c r="U2" s="485"/>
      <c r="V2" s="485"/>
      <c r="W2" s="485"/>
      <c r="X2" s="485"/>
      <c r="Y2" s="485"/>
      <c r="Z2" s="486"/>
      <c r="AA2" s="54"/>
      <c r="AB2" s="54"/>
      <c r="AC2" s="54"/>
      <c r="AD2" s="54"/>
      <c r="AE2" s="54"/>
      <c r="AF2" s="54"/>
      <c r="AG2" s="56"/>
      <c r="AH2" s="41"/>
      <c r="AI2" s="41"/>
      <c r="AJ2" s="41"/>
      <c r="AK2" s="467"/>
      <c r="AL2" s="467"/>
      <c r="AM2" s="467"/>
      <c r="AN2" s="467"/>
      <c r="AO2" s="467"/>
      <c r="AP2" s="467"/>
      <c r="AQ2" s="44"/>
    </row>
    <row r="3" spans="1:43" ht="3.75" customHeight="1" x14ac:dyDescent="0.2">
      <c r="A3" s="44"/>
      <c r="B3" s="151"/>
      <c r="C3" s="151"/>
      <c r="D3" s="151"/>
      <c r="E3" s="151"/>
      <c r="F3" s="152"/>
      <c r="G3" s="152"/>
      <c r="H3" s="152"/>
      <c r="I3" s="152"/>
      <c r="J3" s="152"/>
      <c r="K3" s="152"/>
      <c r="L3" s="152"/>
      <c r="M3" s="152"/>
      <c r="N3" s="152"/>
      <c r="O3" s="152"/>
      <c r="P3" s="152"/>
      <c r="Q3" s="152"/>
      <c r="R3" s="152"/>
      <c r="S3" s="152"/>
      <c r="T3" s="152"/>
      <c r="U3" s="152"/>
      <c r="V3" s="152"/>
      <c r="W3" s="152"/>
      <c r="X3" s="220"/>
      <c r="Y3" s="220"/>
      <c r="Z3" s="222"/>
      <c r="AA3" s="55"/>
      <c r="AB3" s="55"/>
      <c r="AC3" s="55"/>
      <c r="AD3" s="55"/>
      <c r="AE3" s="55"/>
      <c r="AF3" s="55"/>
      <c r="AG3" s="57"/>
      <c r="AH3" s="42"/>
      <c r="AI3" s="42"/>
      <c r="AJ3" s="42"/>
      <c r="AK3" s="467"/>
      <c r="AL3" s="467"/>
      <c r="AM3" s="467"/>
      <c r="AN3" s="467"/>
      <c r="AO3" s="467"/>
      <c r="AP3" s="467"/>
      <c r="AQ3" s="44"/>
    </row>
    <row r="4" spans="1:43" ht="18" customHeight="1" thickBot="1" x14ac:dyDescent="0.25">
      <c r="A4" s="44"/>
      <c r="B4" s="148"/>
      <c r="C4" s="221" t="s">
        <v>220</v>
      </c>
      <c r="D4" s="148"/>
      <c r="E4" s="148"/>
      <c r="F4" s="153"/>
      <c r="G4" s="154" t="str">
        <f>IF('Step 1 - Case Selection'!J14="","",'Step 1 - Case Selection'!J14)</f>
        <v xml:space="preserve">  Test Case</v>
      </c>
      <c r="H4" s="154"/>
      <c r="I4" s="154"/>
      <c r="J4" s="154"/>
      <c r="K4" s="154"/>
      <c r="L4" s="154"/>
      <c r="M4" s="154"/>
      <c r="N4" s="154"/>
      <c r="O4" s="154"/>
      <c r="P4" s="154"/>
      <c r="Q4" s="154"/>
      <c r="R4" s="154"/>
      <c r="S4" s="155"/>
      <c r="T4" s="154"/>
      <c r="U4" s="154"/>
      <c r="V4" s="465">
        <f ca="1">TODAY()</f>
        <v>46195</v>
      </c>
      <c r="W4" s="465"/>
      <c r="X4" s="465"/>
      <c r="Y4" s="465"/>
      <c r="Z4" s="466"/>
      <c r="AA4" s="58"/>
      <c r="AB4" s="50"/>
      <c r="AC4" s="54"/>
      <c r="AD4" s="54"/>
      <c r="AE4" s="54"/>
      <c r="AF4" s="54"/>
      <c r="AG4" s="59"/>
      <c r="AH4" s="43"/>
      <c r="AI4" s="43"/>
      <c r="AJ4" s="44"/>
      <c r="AK4" s="467"/>
      <c r="AL4" s="467"/>
      <c r="AM4" s="467"/>
      <c r="AN4" s="467"/>
      <c r="AO4" s="467"/>
      <c r="AP4" s="467"/>
      <c r="AQ4" s="44"/>
    </row>
    <row r="5" spans="1:43" ht="7.5" customHeight="1" x14ac:dyDescent="0.2">
      <c r="A5" s="44"/>
      <c r="B5" s="44"/>
      <c r="C5" s="45"/>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row>
    <row r="6" spans="1:43" ht="18" customHeight="1" x14ac:dyDescent="0.2">
      <c r="A6" s="44"/>
      <c r="Z6" s="168"/>
      <c r="AB6" s="384" t="s">
        <v>591</v>
      </c>
      <c r="AC6" s="384"/>
      <c r="AD6" s="384"/>
      <c r="AE6" s="384"/>
      <c r="AF6" s="384"/>
      <c r="AG6" s="384"/>
      <c r="AH6" s="384"/>
      <c r="AI6" s="384"/>
      <c r="AJ6" s="384"/>
      <c r="AK6" s="384"/>
      <c r="AL6" s="384"/>
      <c r="AM6" s="384"/>
      <c r="AN6" s="384"/>
      <c r="AO6" s="384"/>
      <c r="AP6" s="168"/>
      <c r="AQ6" s="44"/>
    </row>
    <row r="7" spans="1:43" ht="3.75" customHeight="1" x14ac:dyDescent="0.2">
      <c r="A7" s="44"/>
      <c r="Z7" s="168"/>
      <c r="AB7" s="142"/>
      <c r="AC7" s="142"/>
      <c r="AD7" s="142"/>
      <c r="AE7" s="142"/>
      <c r="AF7" s="142"/>
      <c r="AG7" s="142"/>
      <c r="AH7" s="142"/>
      <c r="AI7" s="142"/>
      <c r="AJ7" s="142"/>
      <c r="AK7" s="142"/>
      <c r="AL7" s="142"/>
      <c r="AM7" s="142"/>
      <c r="AN7" s="142"/>
      <c r="AO7" s="142"/>
      <c r="AP7" s="168"/>
      <c r="AQ7" s="44"/>
    </row>
    <row r="8" spans="1:43" ht="18" customHeight="1" x14ac:dyDescent="0.2">
      <c r="A8" s="44"/>
      <c r="B8" s="141"/>
      <c r="C8" s="141"/>
      <c r="D8" s="141"/>
      <c r="E8" s="141"/>
      <c r="F8" s="141"/>
      <c r="G8" s="141"/>
      <c r="H8" s="141"/>
      <c r="I8" s="141"/>
      <c r="J8" s="141"/>
      <c r="K8" s="141"/>
      <c r="L8" s="141"/>
      <c r="M8" s="141"/>
      <c r="N8" s="141"/>
      <c r="O8" s="141"/>
      <c r="P8" s="141"/>
      <c r="Q8" s="141"/>
      <c r="R8" s="141"/>
      <c r="S8" s="141"/>
      <c r="T8" s="141"/>
      <c r="U8" s="44"/>
      <c r="V8" s="44"/>
      <c r="W8" s="44"/>
      <c r="X8" s="44"/>
      <c r="Y8" s="44"/>
      <c r="Z8" s="168"/>
      <c r="AA8" s="44"/>
      <c r="AB8" s="142"/>
      <c r="AC8" s="479" t="s">
        <v>189</v>
      </c>
      <c r="AD8" s="479"/>
      <c r="AE8" s="479"/>
      <c r="AF8" s="479"/>
      <c r="AG8" s="479"/>
      <c r="AH8" s="479"/>
      <c r="AI8" s="479"/>
      <c r="AJ8" s="479"/>
      <c r="AK8" s="479"/>
      <c r="AL8" s="479"/>
      <c r="AM8" s="479"/>
      <c r="AN8" s="479"/>
      <c r="AO8" s="480"/>
      <c r="AP8" s="168"/>
      <c r="AQ8" s="44"/>
    </row>
    <row r="9" spans="1:43" ht="18" customHeight="1" x14ac:dyDescent="0.2">
      <c r="A9" s="44"/>
      <c r="B9" s="141"/>
      <c r="C9" s="141"/>
      <c r="D9" s="141"/>
      <c r="E9" s="141"/>
      <c r="F9" s="141"/>
      <c r="G9" s="141"/>
      <c r="H9" s="141"/>
      <c r="I9" s="141"/>
      <c r="J9" s="141"/>
      <c r="K9" s="141"/>
      <c r="L9" s="141"/>
      <c r="M9" s="141"/>
      <c r="N9" s="141"/>
      <c r="O9" s="141"/>
      <c r="P9" s="141"/>
      <c r="Q9" s="141"/>
      <c r="R9" s="141"/>
      <c r="S9" s="141"/>
      <c r="T9" s="141"/>
      <c r="U9" s="166"/>
      <c r="V9" s="44"/>
      <c r="W9" s="44"/>
      <c r="X9" s="44"/>
      <c r="Y9" s="44"/>
      <c r="Z9" s="168"/>
      <c r="AA9" s="44"/>
      <c r="AB9" s="386"/>
      <c r="AC9" s="489" t="s">
        <v>546</v>
      </c>
      <c r="AD9" s="489"/>
      <c r="AE9" s="489"/>
      <c r="AF9" s="489"/>
      <c r="AG9" s="489"/>
      <c r="AH9" s="489"/>
      <c r="AI9" s="489"/>
      <c r="AJ9" s="489" t="s">
        <v>592</v>
      </c>
      <c r="AK9" s="489"/>
      <c r="AL9" s="489" t="s">
        <v>593</v>
      </c>
      <c r="AM9" s="489"/>
      <c r="AN9" s="489" t="s">
        <v>594</v>
      </c>
      <c r="AO9" s="490"/>
      <c r="AP9" s="168"/>
      <c r="AQ9" s="44"/>
    </row>
    <row r="10" spans="1:43" ht="18" customHeight="1" thickBot="1" x14ac:dyDescent="0.25">
      <c r="A10" s="44"/>
      <c r="B10" s="141"/>
      <c r="C10" s="141"/>
      <c r="D10" s="141"/>
      <c r="E10" s="141"/>
      <c r="F10" s="141"/>
      <c r="G10" s="141"/>
      <c r="H10" s="141"/>
      <c r="I10" s="141"/>
      <c r="J10" s="141"/>
      <c r="K10" s="141"/>
      <c r="L10" s="141"/>
      <c r="M10" s="141"/>
      <c r="N10" s="141"/>
      <c r="O10" s="141"/>
      <c r="P10" s="141"/>
      <c r="Q10" s="141"/>
      <c r="R10" s="141"/>
      <c r="S10" s="141"/>
      <c r="T10" s="141"/>
      <c r="U10" s="44"/>
      <c r="V10" s="44"/>
      <c r="W10" s="44"/>
      <c r="X10" s="44"/>
      <c r="Y10" s="44"/>
      <c r="Z10" s="168"/>
      <c r="AA10" s="44"/>
      <c r="AB10" s="385"/>
      <c r="AC10" s="481">
        <f>'Calculation (BC)'!G157</f>
        <v>0</v>
      </c>
      <c r="AD10" s="481"/>
      <c r="AE10" s="481"/>
      <c r="AF10" s="481"/>
      <c r="AG10" s="481"/>
      <c r="AH10" s="481"/>
      <c r="AI10" s="481"/>
      <c r="AJ10" s="487" t="str">
        <f>IF('Calculation (sI)'!F155 = 0, "/", ('Calculation (sI)'!F155 - 'Calculation (BC)'!G157)/'Calculation (BC)'!G157)</f>
        <v>/</v>
      </c>
      <c r="AK10" s="487"/>
      <c r="AL10" s="487" t="str">
        <f>IF('Calculation (sII)'!F155 = 0, "/", ('Calculation (sII)'!F155 - 'Calculation (BC)'!G157)/'Calculation (BC)'!G157)</f>
        <v>/</v>
      </c>
      <c r="AM10" s="487"/>
      <c r="AN10" s="487" t="str">
        <f>IF('Calculation (sIII)'!F155=0,"/",('Calculation (sIII)'!F155-'Calculation (BC)'!G157)/'Calculation (BC)'!G157)</f>
        <v>/</v>
      </c>
      <c r="AO10" s="488"/>
      <c r="AP10" s="168"/>
      <c r="AQ10" s="44"/>
    </row>
    <row r="11" spans="1:43" ht="18" customHeight="1" x14ac:dyDescent="0.2">
      <c r="A11" s="44"/>
      <c r="B11" s="141"/>
      <c r="C11" s="141"/>
      <c r="D11" s="141"/>
      <c r="E11" s="141"/>
      <c r="F11" s="141"/>
      <c r="G11" s="141"/>
      <c r="H11" s="141"/>
      <c r="I11" s="141"/>
      <c r="J11" s="141"/>
      <c r="K11" s="141"/>
      <c r="L11" s="141"/>
      <c r="M11" s="141"/>
      <c r="N11" s="141"/>
      <c r="O11" s="141"/>
      <c r="P11" s="141"/>
      <c r="Q11" s="141"/>
      <c r="R11" s="141"/>
      <c r="S11" s="141"/>
      <c r="T11" s="141"/>
      <c r="U11" s="44"/>
      <c r="V11" s="44"/>
      <c r="W11" s="44"/>
      <c r="X11" s="44"/>
      <c r="Y11" s="44"/>
      <c r="Z11" s="168"/>
      <c r="AA11" s="44"/>
      <c r="AB11" s="385"/>
      <c r="AC11" s="385"/>
      <c r="AD11" s="385"/>
      <c r="AE11" s="385"/>
      <c r="AF11" s="385"/>
      <c r="AG11" s="385"/>
      <c r="AH11" s="385"/>
      <c r="AI11" s="385"/>
      <c r="AJ11" s="385"/>
      <c r="AK11" s="385"/>
      <c r="AL11" s="385"/>
      <c r="AM11" s="385"/>
      <c r="AN11" s="385"/>
      <c r="AO11" s="385"/>
      <c r="AP11" s="168"/>
      <c r="AQ11" s="44"/>
    </row>
    <row r="12" spans="1:43" ht="18" customHeight="1" x14ac:dyDescent="0.2">
      <c r="A12" s="44"/>
      <c r="B12" s="141"/>
      <c r="C12" s="141"/>
      <c r="D12" s="141"/>
      <c r="E12" s="141"/>
      <c r="F12" s="141"/>
      <c r="G12" s="141"/>
      <c r="H12" s="141"/>
      <c r="I12" s="141"/>
      <c r="J12" s="141"/>
      <c r="K12" s="141"/>
      <c r="L12" s="141"/>
      <c r="M12" s="141"/>
      <c r="N12" s="141"/>
      <c r="O12" s="141"/>
      <c r="P12" s="141"/>
      <c r="Q12" s="141"/>
      <c r="R12" s="141"/>
      <c r="S12" s="141"/>
      <c r="T12" s="141"/>
      <c r="U12" s="44"/>
      <c r="V12" s="44"/>
      <c r="W12" s="44"/>
      <c r="X12" s="44"/>
      <c r="Y12" s="44"/>
      <c r="Z12" s="168"/>
      <c r="AA12" s="44"/>
      <c r="AB12" s="385"/>
      <c r="AC12" s="479" t="s">
        <v>190</v>
      </c>
      <c r="AD12" s="479"/>
      <c r="AE12" s="479"/>
      <c r="AF12" s="479"/>
      <c r="AG12" s="479"/>
      <c r="AH12" s="479"/>
      <c r="AI12" s="479"/>
      <c r="AJ12" s="479"/>
      <c r="AK12" s="479"/>
      <c r="AL12" s="479"/>
      <c r="AM12" s="479"/>
      <c r="AN12" s="479"/>
      <c r="AO12" s="480"/>
      <c r="AP12" s="168"/>
      <c r="AQ12" s="44"/>
    </row>
    <row r="13" spans="1:43" ht="18" customHeight="1" x14ac:dyDescent="0.2">
      <c r="A13" s="44"/>
      <c r="B13" s="142"/>
      <c r="C13" s="142"/>
      <c r="D13" s="142"/>
      <c r="E13" s="142"/>
      <c r="F13" s="142"/>
      <c r="G13" s="142"/>
      <c r="H13" s="142"/>
      <c r="I13" s="142"/>
      <c r="J13" s="142"/>
      <c r="K13" s="142"/>
      <c r="L13" s="142"/>
      <c r="M13" s="142"/>
      <c r="N13" s="142"/>
      <c r="O13" s="142"/>
      <c r="P13" s="142"/>
      <c r="Q13" s="142"/>
      <c r="R13" s="142"/>
      <c r="S13" s="142"/>
      <c r="T13" s="142"/>
      <c r="U13" s="44"/>
      <c r="V13" s="44"/>
      <c r="W13" s="44"/>
      <c r="X13" s="44"/>
      <c r="Y13" s="44"/>
      <c r="Z13" s="168"/>
      <c r="AA13" s="44"/>
      <c r="AB13" s="385"/>
      <c r="AC13" s="489" t="s">
        <v>546</v>
      </c>
      <c r="AD13" s="489"/>
      <c r="AE13" s="489"/>
      <c r="AF13" s="489"/>
      <c r="AG13" s="489"/>
      <c r="AH13" s="489"/>
      <c r="AI13" s="489"/>
      <c r="AJ13" s="489" t="s">
        <v>592</v>
      </c>
      <c r="AK13" s="489"/>
      <c r="AL13" s="489" t="s">
        <v>593</v>
      </c>
      <c r="AM13" s="489"/>
      <c r="AN13" s="489" t="s">
        <v>594</v>
      </c>
      <c r="AO13" s="490"/>
      <c r="AP13" s="168"/>
      <c r="AQ13" s="44"/>
    </row>
    <row r="14" spans="1:43" ht="18" customHeight="1" thickBot="1" x14ac:dyDescent="0.25">
      <c r="A14" s="44"/>
      <c r="B14" s="142"/>
      <c r="C14" s="142"/>
      <c r="D14" s="142"/>
      <c r="E14" s="142"/>
      <c r="F14" s="142"/>
      <c r="G14" s="142"/>
      <c r="H14" s="142"/>
      <c r="I14" s="142"/>
      <c r="J14" s="142"/>
      <c r="K14" s="142"/>
      <c r="L14" s="142"/>
      <c r="M14" s="142"/>
      <c r="N14" s="142"/>
      <c r="O14" s="142"/>
      <c r="P14" s="142"/>
      <c r="Q14" s="142"/>
      <c r="R14" s="142"/>
      <c r="S14" s="142"/>
      <c r="T14" s="142"/>
      <c r="U14" s="44"/>
      <c r="V14" s="44"/>
      <c r="W14" s="44"/>
      <c r="X14" s="44"/>
      <c r="Y14" s="44"/>
      <c r="Z14" s="168"/>
      <c r="AA14" s="44"/>
      <c r="AB14" s="385"/>
      <c r="AC14" s="483" t="e">
        <f>'Calculation (BC)'!G159</f>
        <v>#NUM!</v>
      </c>
      <c r="AD14" s="483"/>
      <c r="AE14" s="483"/>
      <c r="AF14" s="483"/>
      <c r="AG14" s="483"/>
      <c r="AH14" s="481"/>
      <c r="AI14" s="481"/>
      <c r="AJ14" s="487" t="str">
        <f>IFERROR(('Calculation (sI)'!F157 - 'Calculation (BC)'!G159)/'Calculation (BC)'!G159,"/")</f>
        <v>/</v>
      </c>
      <c r="AK14" s="487"/>
      <c r="AL14" s="487" t="str">
        <f>IFERROR(('Calculation (sII)'!F157 - 'Calculation (BC)'!G159)/'Calculation (BC)'!G159,"/")</f>
        <v>/</v>
      </c>
      <c r="AM14" s="487"/>
      <c r="AN14" s="487" t="str">
        <f>IFERROR(('Calculation (sIII)'!F157 - 'Calculation (BC)'!G159)/'Calculation (BC)'!G159,"/")</f>
        <v>/</v>
      </c>
      <c r="AO14" s="488"/>
      <c r="AP14" s="168"/>
      <c r="AQ14" s="44"/>
    </row>
    <row r="15" spans="1:43" ht="18" customHeight="1" x14ac:dyDescent="0.2">
      <c r="A15" s="44"/>
      <c r="B15" s="142"/>
      <c r="C15" s="142"/>
      <c r="D15" s="142"/>
      <c r="E15" s="142"/>
      <c r="F15" s="142"/>
      <c r="G15" s="142"/>
      <c r="H15" s="142"/>
      <c r="I15" s="142"/>
      <c r="J15" s="142"/>
      <c r="K15" s="142"/>
      <c r="L15" s="142"/>
      <c r="M15" s="142"/>
      <c r="N15" s="142"/>
      <c r="O15" s="142"/>
      <c r="P15" s="142"/>
      <c r="Q15" s="142"/>
      <c r="R15" s="142"/>
      <c r="S15" s="142"/>
      <c r="T15" s="142"/>
      <c r="U15" s="44"/>
      <c r="V15" s="44"/>
      <c r="W15" s="44"/>
      <c r="X15" s="44"/>
      <c r="Y15" s="44"/>
      <c r="Z15" s="168"/>
      <c r="AA15" s="44"/>
      <c r="AB15" s="385"/>
      <c r="AC15" s="385"/>
      <c r="AD15" s="385"/>
      <c r="AE15" s="385"/>
      <c r="AF15" s="385"/>
      <c r="AG15" s="385"/>
      <c r="AH15" s="385"/>
      <c r="AI15" s="385"/>
      <c r="AJ15" s="385"/>
      <c r="AK15" s="385"/>
      <c r="AL15" s="385"/>
      <c r="AM15" s="385"/>
      <c r="AN15" s="385"/>
      <c r="AO15" s="385"/>
      <c r="AP15" s="168"/>
      <c r="AQ15" s="44"/>
    </row>
    <row r="16" spans="1:43" ht="18" customHeight="1" x14ac:dyDescent="0.2">
      <c r="A16" s="44"/>
      <c r="B16" s="142"/>
      <c r="C16" s="142"/>
      <c r="D16" s="142"/>
      <c r="E16" s="142"/>
      <c r="F16" s="142"/>
      <c r="G16" s="142"/>
      <c r="H16" s="142"/>
      <c r="I16" s="142"/>
      <c r="J16" s="142"/>
      <c r="K16" s="142"/>
      <c r="L16" s="142"/>
      <c r="M16" s="142"/>
      <c r="N16" s="142"/>
      <c r="O16" s="142"/>
      <c r="P16" s="142"/>
      <c r="Q16" s="142"/>
      <c r="R16" s="142"/>
      <c r="S16" s="142"/>
      <c r="T16" s="142"/>
      <c r="U16" s="44"/>
      <c r="V16" s="44"/>
      <c r="W16" s="44"/>
      <c r="X16" s="44"/>
      <c r="Y16" s="44"/>
      <c r="Z16" s="168"/>
      <c r="AA16" s="44"/>
      <c r="AB16" s="385"/>
      <c r="AC16" s="479" t="s">
        <v>191</v>
      </c>
      <c r="AD16" s="479"/>
      <c r="AE16" s="479"/>
      <c r="AF16" s="479"/>
      <c r="AG16" s="479"/>
      <c r="AH16" s="479"/>
      <c r="AI16" s="479"/>
      <c r="AJ16" s="479"/>
      <c r="AK16" s="479"/>
      <c r="AL16" s="479"/>
      <c r="AM16" s="479"/>
      <c r="AN16" s="479"/>
      <c r="AO16" s="480"/>
      <c r="AP16" s="168"/>
      <c r="AQ16" s="44"/>
    </row>
    <row r="17" spans="1:43" ht="18" customHeight="1" x14ac:dyDescent="0.2">
      <c r="A17" s="44"/>
      <c r="B17" s="142"/>
      <c r="C17" s="142"/>
      <c r="D17" s="142"/>
      <c r="E17" s="142"/>
      <c r="F17" s="142"/>
      <c r="G17" s="142"/>
      <c r="H17" s="142"/>
      <c r="I17" s="142"/>
      <c r="J17" s="142"/>
      <c r="K17" s="142"/>
      <c r="L17" s="142"/>
      <c r="M17" s="142"/>
      <c r="N17" s="142"/>
      <c r="O17" s="142"/>
      <c r="P17" s="142"/>
      <c r="Q17" s="142"/>
      <c r="R17" s="142"/>
      <c r="S17" s="142"/>
      <c r="T17" s="142"/>
      <c r="U17" s="44"/>
      <c r="V17" s="44"/>
      <c r="W17" s="44"/>
      <c r="X17" s="44"/>
      <c r="Y17" s="44"/>
      <c r="Z17" s="168"/>
      <c r="AA17" s="44"/>
      <c r="AB17" s="385"/>
      <c r="AC17" s="489" t="s">
        <v>546</v>
      </c>
      <c r="AD17" s="489"/>
      <c r="AE17" s="489"/>
      <c r="AF17" s="489"/>
      <c r="AG17" s="489"/>
      <c r="AH17" s="489"/>
      <c r="AI17" s="489"/>
      <c r="AJ17" s="489" t="s">
        <v>592</v>
      </c>
      <c r="AK17" s="489"/>
      <c r="AL17" s="489" t="s">
        <v>593</v>
      </c>
      <c r="AM17" s="489"/>
      <c r="AN17" s="489" t="s">
        <v>594</v>
      </c>
      <c r="AO17" s="490"/>
      <c r="AP17" s="168"/>
      <c r="AQ17" s="44"/>
    </row>
    <row r="18" spans="1:43" ht="18" customHeight="1" thickBot="1" x14ac:dyDescent="0.25">
      <c r="A18" s="44"/>
      <c r="B18" s="142"/>
      <c r="C18" s="142"/>
      <c r="D18" s="142"/>
      <c r="E18" s="142"/>
      <c r="F18" s="142"/>
      <c r="G18" s="142"/>
      <c r="H18" s="142"/>
      <c r="I18" s="142"/>
      <c r="J18" s="142"/>
      <c r="K18" s="142"/>
      <c r="L18" s="142"/>
      <c r="M18" s="142"/>
      <c r="N18" s="142"/>
      <c r="O18" s="142"/>
      <c r="P18" s="142"/>
      <c r="Q18" s="142"/>
      <c r="R18" s="142"/>
      <c r="S18" s="142"/>
      <c r="T18" s="142"/>
      <c r="U18" s="44"/>
      <c r="V18" s="44"/>
      <c r="W18" s="44"/>
      <c r="X18" s="44"/>
      <c r="Y18" s="44"/>
      <c r="Z18" s="168"/>
      <c r="AA18" s="44"/>
      <c r="AB18" s="385"/>
      <c r="AC18" s="481" t="e">
        <f>"ca. " &amp; ROUND('Calculation (BC)'!G162,1) &amp; " Years"</f>
        <v>#VALUE!</v>
      </c>
      <c r="AD18" s="481"/>
      <c r="AE18" s="481"/>
      <c r="AF18" s="481"/>
      <c r="AG18" s="481"/>
      <c r="AH18" s="481"/>
      <c r="AI18" s="481"/>
      <c r="AJ18" s="487" t="str">
        <f>IFERROR(('Calculation (sI)'!F160 - 'Calculation (BC)'!G162)/'Calculation (BC)'!G162, "/")</f>
        <v>/</v>
      </c>
      <c r="AK18" s="487"/>
      <c r="AL18" s="487" t="str">
        <f>IFERROR(('Calculation (sII)'!F160 - 'Calculation (BC)'!G162)/'Calculation (BC)'!G162, "/")</f>
        <v>/</v>
      </c>
      <c r="AM18" s="487"/>
      <c r="AN18" s="487" t="str">
        <f>IFERROR(('Calculation (sIII)'!F160 - 'Calculation (BC)'!G162)/'Calculation (BC)'!G162, "/")</f>
        <v>/</v>
      </c>
      <c r="AO18" s="488"/>
      <c r="AP18" s="168"/>
      <c r="AQ18" s="44"/>
    </row>
    <row r="19" spans="1:43" ht="18" customHeight="1" thickBot="1" x14ac:dyDescent="0.25">
      <c r="A19" s="44"/>
      <c r="B19" s="142"/>
      <c r="C19" s="142"/>
      <c r="D19" s="142"/>
      <c r="E19" s="142"/>
      <c r="F19" s="142"/>
      <c r="G19" s="142"/>
      <c r="H19" s="142"/>
      <c r="I19" s="142"/>
      <c r="J19" s="142"/>
      <c r="K19" s="142"/>
      <c r="L19" s="142"/>
      <c r="M19" s="142"/>
      <c r="N19" s="142"/>
      <c r="O19" s="142"/>
      <c r="P19" s="142"/>
      <c r="Q19" s="142"/>
      <c r="R19" s="142"/>
      <c r="S19" s="142"/>
      <c r="T19" s="142"/>
      <c r="U19" s="44"/>
      <c r="V19" s="44"/>
      <c r="W19" s="44"/>
      <c r="X19" s="44"/>
      <c r="Y19" s="44"/>
      <c r="Z19" s="168"/>
      <c r="AA19" s="44"/>
      <c r="AB19" s="165"/>
      <c r="AC19" s="165"/>
      <c r="AD19" s="165"/>
      <c r="AE19" s="165"/>
      <c r="AF19" s="165"/>
      <c r="AG19" s="165"/>
      <c r="AH19" s="165"/>
      <c r="AI19" s="165"/>
      <c r="AJ19" s="165"/>
      <c r="AK19" s="165"/>
      <c r="AL19" s="165"/>
      <c r="AM19" s="165"/>
      <c r="AN19" s="165"/>
      <c r="AO19" s="165"/>
      <c r="AP19" s="169"/>
      <c r="AQ19" s="44"/>
    </row>
    <row r="20" spans="1:43" ht="18" customHeight="1" x14ac:dyDescent="0.2">
      <c r="A20" s="44"/>
      <c r="B20" s="142"/>
      <c r="C20" s="142"/>
      <c r="D20" s="142"/>
      <c r="E20" s="142"/>
      <c r="F20" s="142"/>
      <c r="G20" s="142"/>
      <c r="H20" s="142"/>
      <c r="I20" s="142"/>
      <c r="J20" s="142"/>
      <c r="K20" s="142"/>
      <c r="L20" s="142"/>
      <c r="M20" s="142"/>
      <c r="N20" s="142"/>
      <c r="O20" s="142"/>
      <c r="P20" s="142"/>
      <c r="Q20" s="142"/>
      <c r="R20" s="142"/>
      <c r="S20" s="142"/>
      <c r="T20" s="142"/>
      <c r="U20" s="44"/>
      <c r="V20" s="44"/>
      <c r="W20" s="44"/>
      <c r="X20" s="44"/>
      <c r="Y20" s="44"/>
      <c r="Z20" s="168"/>
      <c r="AA20" s="44"/>
      <c r="AB20" s="46"/>
      <c r="AC20" s="46"/>
      <c r="AD20" s="46"/>
      <c r="AE20" s="46"/>
      <c r="AF20" s="46"/>
      <c r="AG20" s="46"/>
      <c r="AH20" s="46"/>
      <c r="AI20" s="46"/>
      <c r="AJ20" s="46"/>
      <c r="AK20" s="46"/>
      <c r="AL20" s="46"/>
      <c r="AM20" s="46"/>
      <c r="AN20" s="46"/>
      <c r="AO20" s="46"/>
      <c r="AP20" s="46"/>
      <c r="AQ20" s="44"/>
    </row>
    <row r="21" spans="1:43" ht="18" customHeight="1" x14ac:dyDescent="0.2">
      <c r="A21" s="44"/>
      <c r="B21" s="142"/>
      <c r="C21" s="142"/>
      <c r="D21" s="142"/>
      <c r="E21" s="142"/>
      <c r="F21" s="142"/>
      <c r="G21" s="142"/>
      <c r="H21" s="142"/>
      <c r="I21" s="142"/>
      <c r="J21" s="142"/>
      <c r="K21" s="142"/>
      <c r="L21" s="142"/>
      <c r="M21" s="142"/>
      <c r="N21" s="142"/>
      <c r="O21" s="142"/>
      <c r="P21" s="142"/>
      <c r="Q21" s="142"/>
      <c r="R21" s="142"/>
      <c r="S21" s="142"/>
      <c r="T21" s="142"/>
      <c r="U21" s="44"/>
      <c r="V21" s="44"/>
      <c r="W21" s="44"/>
      <c r="X21" s="44"/>
      <c r="Y21" s="44"/>
      <c r="Z21" s="168"/>
      <c r="AA21" s="44"/>
      <c r="AB21" s="46"/>
      <c r="AC21" s="46"/>
      <c r="AD21" s="46"/>
      <c r="AE21" s="46"/>
      <c r="AF21" s="46"/>
      <c r="AG21" s="46"/>
      <c r="AH21" s="46"/>
      <c r="AI21" s="46"/>
      <c r="AJ21" s="46"/>
      <c r="AK21" s="46"/>
      <c r="AL21" s="46"/>
      <c r="AM21" s="46"/>
      <c r="AN21" s="46"/>
      <c r="AO21" s="46"/>
      <c r="AP21" s="46"/>
      <c r="AQ21" s="44"/>
    </row>
    <row r="22" spans="1:43" ht="18" customHeight="1" x14ac:dyDescent="0.2">
      <c r="A22" s="44"/>
      <c r="B22" s="142"/>
      <c r="C22" s="142"/>
      <c r="D22" s="142"/>
      <c r="E22" s="142"/>
      <c r="F22" s="142"/>
      <c r="G22" s="142"/>
      <c r="H22" s="142"/>
      <c r="I22" s="142"/>
      <c r="J22" s="142"/>
      <c r="K22" s="142"/>
      <c r="L22" s="142"/>
      <c r="M22" s="142"/>
      <c r="N22" s="142"/>
      <c r="O22" s="142"/>
      <c r="P22" s="142"/>
      <c r="Q22" s="142"/>
      <c r="R22" s="142"/>
      <c r="S22" s="142"/>
      <c r="T22" s="142"/>
      <c r="U22" s="44"/>
      <c r="V22" s="44"/>
      <c r="W22" s="44"/>
      <c r="X22" s="44"/>
      <c r="Y22" s="44"/>
      <c r="Z22" s="168"/>
      <c r="AA22" s="44"/>
      <c r="AB22" s="46"/>
      <c r="AC22" s="46"/>
      <c r="AD22" s="46"/>
      <c r="AE22" s="46"/>
      <c r="AF22" s="46"/>
      <c r="AG22" s="46"/>
      <c r="AH22" s="46"/>
      <c r="AI22" s="46"/>
      <c r="AJ22" s="46"/>
      <c r="AK22" s="46"/>
      <c r="AL22" s="46"/>
      <c r="AM22" s="46"/>
      <c r="AN22" s="46"/>
      <c r="AO22" s="46"/>
      <c r="AP22" s="46"/>
      <c r="AQ22" s="44"/>
    </row>
    <row r="23" spans="1:43" ht="18" customHeight="1" x14ac:dyDescent="0.2">
      <c r="A23" s="46"/>
      <c r="B23" s="142"/>
      <c r="C23" s="142"/>
      <c r="D23" s="142"/>
      <c r="E23" s="142"/>
      <c r="F23" s="142"/>
      <c r="G23" s="142"/>
      <c r="H23" s="142"/>
      <c r="I23" s="142"/>
      <c r="J23" s="142"/>
      <c r="K23" s="142"/>
      <c r="L23" s="142"/>
      <c r="M23" s="142"/>
      <c r="N23" s="142"/>
      <c r="O23" s="142"/>
      <c r="P23" s="142"/>
      <c r="Q23" s="142"/>
      <c r="R23" s="142"/>
      <c r="S23" s="142"/>
      <c r="T23" s="142"/>
      <c r="U23" s="44"/>
      <c r="V23" s="46"/>
      <c r="W23" s="44"/>
      <c r="X23" s="44"/>
      <c r="Y23" s="44"/>
      <c r="Z23" s="168"/>
      <c r="AA23" s="44"/>
      <c r="AB23" s="46"/>
      <c r="AC23" s="46"/>
      <c r="AD23" s="46"/>
      <c r="AE23" s="46"/>
      <c r="AF23" s="46"/>
      <c r="AG23" s="46"/>
      <c r="AH23" s="46"/>
      <c r="AI23" s="46"/>
      <c r="AJ23" s="46"/>
      <c r="AK23" s="46"/>
      <c r="AL23" s="46"/>
      <c r="AM23" s="46"/>
      <c r="AN23" s="46"/>
      <c r="AO23" s="46"/>
      <c r="AP23" s="46"/>
      <c r="AQ23" s="46"/>
    </row>
    <row r="24" spans="1:43" ht="18" customHeight="1" x14ac:dyDescent="0.2">
      <c r="A24" s="48"/>
      <c r="B24" s="142"/>
      <c r="C24" s="142"/>
      <c r="D24" s="142"/>
      <c r="E24" s="142"/>
      <c r="F24" s="142"/>
      <c r="G24" s="142"/>
      <c r="H24" s="142"/>
      <c r="I24" s="142"/>
      <c r="J24" s="142"/>
      <c r="K24" s="142"/>
      <c r="L24" s="142"/>
      <c r="M24" s="142"/>
      <c r="N24" s="142"/>
      <c r="O24" s="142"/>
      <c r="P24" s="142"/>
      <c r="Q24" s="142"/>
      <c r="R24" s="142"/>
      <c r="S24" s="142"/>
      <c r="T24" s="142"/>
      <c r="U24" s="44"/>
      <c r="V24" s="46"/>
      <c r="W24" s="44"/>
      <c r="X24" s="44"/>
      <c r="Y24" s="44"/>
      <c r="Z24" s="168"/>
      <c r="AA24" s="44"/>
      <c r="AB24" s="46"/>
      <c r="AC24" s="46"/>
      <c r="AD24" s="46"/>
      <c r="AE24" s="46"/>
      <c r="AF24" s="46"/>
      <c r="AG24" s="46"/>
      <c r="AH24" s="46"/>
      <c r="AI24" s="46"/>
      <c r="AJ24" s="46"/>
      <c r="AK24" s="46"/>
      <c r="AL24" s="46"/>
      <c r="AM24" s="46"/>
      <c r="AN24" s="46"/>
      <c r="AO24" s="46"/>
      <c r="AP24" s="46"/>
      <c r="AQ24" s="46"/>
    </row>
    <row r="25" spans="1:43" ht="18" customHeight="1" x14ac:dyDescent="0.2">
      <c r="A25" s="50"/>
      <c r="B25" s="141"/>
      <c r="C25" s="141"/>
      <c r="D25" s="141"/>
      <c r="E25" s="141"/>
      <c r="F25" s="141"/>
      <c r="G25" s="141"/>
      <c r="H25" s="141"/>
      <c r="I25" s="141"/>
      <c r="J25" s="141"/>
      <c r="K25" s="141"/>
      <c r="L25" s="141"/>
      <c r="M25" s="141"/>
      <c r="N25" s="141"/>
      <c r="O25" s="141"/>
      <c r="P25" s="141"/>
      <c r="Q25" s="141"/>
      <c r="R25" s="141"/>
      <c r="S25" s="141"/>
      <c r="T25" s="141"/>
      <c r="U25" s="44"/>
      <c r="W25" s="44"/>
      <c r="X25" s="44"/>
      <c r="Y25" s="44"/>
      <c r="Z25" s="168"/>
      <c r="AA25" s="44"/>
      <c r="AB25" s="46"/>
      <c r="AC25" s="46"/>
      <c r="AD25" s="46"/>
      <c r="AE25" s="46"/>
      <c r="AF25" s="46"/>
      <c r="AG25" s="46"/>
      <c r="AH25" s="46"/>
      <c r="AI25" s="46"/>
      <c r="AJ25" s="46"/>
      <c r="AK25" s="46"/>
      <c r="AL25" s="46"/>
      <c r="AM25" s="46"/>
      <c r="AN25" s="46"/>
      <c r="AO25" s="46"/>
      <c r="AP25" s="46"/>
    </row>
    <row r="26" spans="1:43" ht="18" customHeight="1" thickBot="1" x14ac:dyDescent="0.25">
      <c r="B26" s="165"/>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9"/>
      <c r="AA26" s="44"/>
      <c r="AB26" s="46"/>
      <c r="AC26" s="46"/>
      <c r="AD26" s="46"/>
      <c r="AE26" s="46"/>
      <c r="AF26" s="46"/>
      <c r="AG26" s="46"/>
      <c r="AH26" s="46"/>
      <c r="AI26" s="46"/>
      <c r="AJ26" s="46"/>
      <c r="AK26" s="46"/>
      <c r="AL26" s="46"/>
      <c r="AM26" s="46"/>
      <c r="AN26" s="46"/>
      <c r="AO26" s="46"/>
      <c r="AP26" s="46"/>
    </row>
    <row r="27" spans="1:43" ht="18" customHeight="1" x14ac:dyDescent="0.2">
      <c r="AQ27" s="51"/>
    </row>
  </sheetData>
  <sheetProtection sheet="1" objects="1" scenarios="1"/>
  <mergeCells count="34">
    <mergeCell ref="AC12:AO12"/>
    <mergeCell ref="AC13:AI13"/>
    <mergeCell ref="AJ13:AK13"/>
    <mergeCell ref="AJ9:AK9"/>
    <mergeCell ref="AL9:AM9"/>
    <mergeCell ref="AN9:AO9"/>
    <mergeCell ref="AC10:AG10"/>
    <mergeCell ref="AC9:AI9"/>
    <mergeCell ref="AJ10:AK10"/>
    <mergeCell ref="AL10:AM10"/>
    <mergeCell ref="AN10:AO10"/>
    <mergeCell ref="AH10:AI10"/>
    <mergeCell ref="AL13:AM13"/>
    <mergeCell ref="AN13:AO13"/>
    <mergeCell ref="B2:O2"/>
    <mergeCell ref="Q2:Z2"/>
    <mergeCell ref="AK2:AP4"/>
    <mergeCell ref="V4:Z4"/>
    <mergeCell ref="AC8:AO8"/>
    <mergeCell ref="AC14:AG14"/>
    <mergeCell ref="AH14:AI14"/>
    <mergeCell ref="AJ14:AK14"/>
    <mergeCell ref="AL14:AM14"/>
    <mergeCell ref="AN14:AO14"/>
    <mergeCell ref="AC16:AO16"/>
    <mergeCell ref="AC17:AI17"/>
    <mergeCell ref="AJ17:AK17"/>
    <mergeCell ref="AL17:AM17"/>
    <mergeCell ref="AN17:AO17"/>
    <mergeCell ref="AC18:AG18"/>
    <mergeCell ref="AH18:AI18"/>
    <mergeCell ref="AJ18:AK18"/>
    <mergeCell ref="AL18:AM18"/>
    <mergeCell ref="AN18:AO18"/>
  </mergeCells>
  <pageMargins left="0.23622047244094491" right="0.23622047244094491" top="0.74803149606299213" bottom="0.74803149606299213" header="0.31496062992125984" footer="0.31496062992125984"/>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sheetPr>
  <dimension ref="A1:AH202"/>
  <sheetViews>
    <sheetView zoomScaleNormal="100" workbookViewId="0">
      <pane ySplit="1" topLeftCell="A2" activePane="bottomLeft" state="frozen"/>
      <selection activeCell="B1" sqref="B1"/>
      <selection pane="bottomLeft" activeCell="D28" sqref="D28"/>
    </sheetView>
  </sheetViews>
  <sheetFormatPr baseColWidth="10" defaultColWidth="0" defaultRowHeight="15" customHeight="1" zeroHeight="1" x14ac:dyDescent="0.15"/>
  <cols>
    <col min="1" max="1" width="28.5" style="4" bestFit="1" customWidth="1"/>
    <col min="2" max="2" width="51.5" style="35" bestFit="1" customWidth="1"/>
    <col min="3" max="3" width="58.5" style="4" bestFit="1" customWidth="1"/>
    <col min="4" max="4" width="68.6640625" style="4" bestFit="1" customWidth="1"/>
    <col min="5" max="5" width="231.5" style="4" bestFit="1" customWidth="1"/>
    <col min="6" max="6" width="7.83203125" style="15" bestFit="1" customWidth="1"/>
    <col min="7" max="14" width="20" style="4" customWidth="1"/>
    <col min="15" max="15" width="25.83203125" style="4" bestFit="1" customWidth="1"/>
    <col min="16" max="34" width="10.6640625" style="4" hidden="1" customWidth="1"/>
    <col min="35" max="16384" width="11.5" style="4" hidden="1"/>
  </cols>
  <sheetData>
    <row r="1" spans="1:15" ht="20" x14ac:dyDescent="0.2">
      <c r="A1" s="138" t="s">
        <v>219</v>
      </c>
      <c r="B1" s="138" t="s">
        <v>0</v>
      </c>
      <c r="C1" s="138" t="s">
        <v>18</v>
      </c>
      <c r="D1" s="138" t="s">
        <v>107</v>
      </c>
      <c r="E1" s="138" t="s">
        <v>19</v>
      </c>
      <c r="F1" s="139" t="s">
        <v>1</v>
      </c>
      <c r="G1" s="138" t="s">
        <v>20</v>
      </c>
      <c r="H1" s="138" t="s">
        <v>21</v>
      </c>
      <c r="I1" s="138" t="s">
        <v>22</v>
      </c>
      <c r="J1" s="138" t="s">
        <v>23</v>
      </c>
      <c r="K1" s="138" t="s">
        <v>24</v>
      </c>
      <c r="L1" s="138" t="s">
        <v>25</v>
      </c>
      <c r="M1" s="138" t="s">
        <v>26</v>
      </c>
      <c r="N1" s="138" t="s">
        <v>164</v>
      </c>
      <c r="O1" s="138" t="s">
        <v>218</v>
      </c>
    </row>
    <row r="2" spans="1:15" ht="18" x14ac:dyDescent="0.2">
      <c r="A2" s="74" t="s">
        <v>222</v>
      </c>
      <c r="B2" s="75"/>
      <c r="C2" s="76"/>
      <c r="D2" s="76"/>
      <c r="E2" s="77" t="s">
        <v>176</v>
      </c>
      <c r="F2" s="78" t="s">
        <v>5</v>
      </c>
      <c r="G2" s="79">
        <f t="shared" ref="G2" si="0">SUM(H2:M2)</f>
        <v>0</v>
      </c>
      <c r="H2" s="79">
        <f t="shared" ref="H2:M2" si="1">SUM(H4,H13)</f>
        <v>0</v>
      </c>
      <c r="I2" s="79">
        <f t="shared" si="1"/>
        <v>0</v>
      </c>
      <c r="J2" s="79">
        <f t="shared" si="1"/>
        <v>0</v>
      </c>
      <c r="K2" s="79">
        <f t="shared" si="1"/>
        <v>0</v>
      </c>
      <c r="L2" s="79">
        <f t="shared" si="1"/>
        <v>0</v>
      </c>
      <c r="M2" s="79">
        <f t="shared" si="1"/>
        <v>0</v>
      </c>
      <c r="N2" s="79"/>
      <c r="O2"/>
    </row>
    <row r="3" spans="1:15" ht="7.5" customHeight="1" x14ac:dyDescent="0.2">
      <c r="A3" s="61"/>
      <c r="B3" s="62"/>
      <c r="C3" s="61"/>
      <c r="D3" s="61"/>
      <c r="E3" s="61"/>
      <c r="F3" s="63"/>
      <c r="G3" s="61"/>
      <c r="H3" s="61"/>
      <c r="I3" s="61"/>
      <c r="J3" s="61"/>
      <c r="K3" s="61"/>
      <c r="L3" s="61"/>
      <c r="M3" s="61"/>
      <c r="N3" s="61"/>
      <c r="O3"/>
    </row>
    <row r="4" spans="1:15" customFormat="1" x14ac:dyDescent="0.2">
      <c r="A4" s="69"/>
      <c r="B4" s="70" t="s">
        <v>3</v>
      </c>
      <c r="C4" s="69"/>
      <c r="D4" s="69"/>
      <c r="E4" s="71" t="s">
        <v>435</v>
      </c>
      <c r="F4" s="72" t="s">
        <v>5</v>
      </c>
      <c r="G4" s="73">
        <f>SUM(H4:M4)</f>
        <v>0</v>
      </c>
      <c r="H4" s="73"/>
      <c r="I4" s="73">
        <f>SUM(I5+I9)</f>
        <v>0</v>
      </c>
      <c r="J4" s="73">
        <f t="shared" ref="J4:M4" si="2">SUM(J5+J9)</f>
        <v>0</v>
      </c>
      <c r="K4" s="73">
        <f t="shared" si="2"/>
        <v>0</v>
      </c>
      <c r="L4" s="73">
        <f t="shared" si="2"/>
        <v>0</v>
      </c>
      <c r="M4" s="73">
        <f t="shared" si="2"/>
        <v>0</v>
      </c>
      <c r="N4" s="73"/>
    </row>
    <row r="5" spans="1:15" customFormat="1" x14ac:dyDescent="0.2">
      <c r="A5" s="16"/>
      <c r="B5" s="30"/>
      <c r="C5" s="16" t="s">
        <v>410</v>
      </c>
      <c r="D5" s="16"/>
      <c r="E5" s="17" t="s">
        <v>434</v>
      </c>
      <c r="F5" s="18" t="s">
        <v>5</v>
      </c>
      <c r="G5" s="3">
        <f>SUM(H5:M5)</f>
        <v>0</v>
      </c>
      <c r="H5" s="3"/>
      <c r="I5" s="3">
        <f>SUM(I6:I8)</f>
        <v>0</v>
      </c>
      <c r="J5" s="3">
        <f t="shared" ref="J5:M5" si="3">SUM(J6:J8)</f>
        <v>0</v>
      </c>
      <c r="K5" s="3">
        <f t="shared" si="3"/>
        <v>0</v>
      </c>
      <c r="L5" s="3">
        <f t="shared" si="3"/>
        <v>0</v>
      </c>
      <c r="M5" s="3">
        <f t="shared" si="3"/>
        <v>0</v>
      </c>
      <c r="N5" s="3"/>
    </row>
    <row r="6" spans="1:15" customFormat="1" x14ac:dyDescent="0.2">
      <c r="A6" s="16"/>
      <c r="B6" s="30"/>
      <c r="C6" s="16"/>
      <c r="D6" s="5" t="s">
        <v>154</v>
      </c>
      <c r="E6" s="20" t="s">
        <v>429</v>
      </c>
      <c r="F6" s="21" t="s">
        <v>5</v>
      </c>
      <c r="G6" s="22">
        <f>SUM(H6:M6)</f>
        <v>0</v>
      </c>
      <c r="H6" s="22"/>
      <c r="I6" s="22">
        <f>Sales_Year_1*Price_Product</f>
        <v>0</v>
      </c>
      <c r="J6" s="22">
        <f>Sales_Year_2*Price_Product</f>
        <v>0</v>
      </c>
      <c r="K6" s="22">
        <f>Sales_Year_3*Price_Product</f>
        <v>0</v>
      </c>
      <c r="L6" s="22">
        <f>Sales_Year_4*Price_Product</f>
        <v>0</v>
      </c>
      <c r="M6" s="22">
        <f>Sales_Year_5*Price_Product</f>
        <v>0</v>
      </c>
      <c r="N6" s="3"/>
    </row>
    <row r="7" spans="1:15" customFormat="1" x14ac:dyDescent="0.2">
      <c r="A7" s="16"/>
      <c r="B7" s="30"/>
      <c r="C7" s="16"/>
      <c r="D7" s="5" t="s">
        <v>390</v>
      </c>
      <c r="E7" s="20" t="s">
        <v>430</v>
      </c>
      <c r="F7" s="21" t="s">
        <v>5</v>
      </c>
      <c r="G7" s="22">
        <f t="shared" ref="G7:G13" si="4">SUM(H7:M7)</f>
        <v>0</v>
      </c>
      <c r="H7" s="22"/>
      <c r="I7" s="22">
        <f>Sales_Year_1*Price_Material_for_Recycling</f>
        <v>0</v>
      </c>
      <c r="J7" s="22">
        <f>Sales_Year_2*Price_Material_for_Recycling</f>
        <v>0</v>
      </c>
      <c r="K7" s="22">
        <f>Sales_Year_3*Price_Material_for_Recycling</f>
        <v>0</v>
      </c>
      <c r="L7" s="22">
        <f>Sales_Year_4*Price_Material_for_Recycling</f>
        <v>0</v>
      </c>
      <c r="M7" s="22">
        <f>Sales_Year_5*Price_Material_for_Recycling</f>
        <v>0</v>
      </c>
      <c r="N7" s="3"/>
    </row>
    <row r="8" spans="1:15" customFormat="1" x14ac:dyDescent="0.2">
      <c r="A8" s="16"/>
      <c r="B8" s="30"/>
      <c r="C8" s="16"/>
      <c r="D8" s="5" t="s">
        <v>389</v>
      </c>
      <c r="E8" s="20" t="s">
        <v>431</v>
      </c>
      <c r="F8" s="21" t="s">
        <v>5</v>
      </c>
      <c r="G8" s="22">
        <f>SUM(H8:M8)</f>
        <v>0</v>
      </c>
      <c r="H8" s="22"/>
      <c r="I8" s="22">
        <f>Sales_Year_1*Price_Service</f>
        <v>0</v>
      </c>
      <c r="J8" s="22">
        <f>Sales_Year_2*Price_Service</f>
        <v>0</v>
      </c>
      <c r="K8" s="22">
        <f>Sales_Year_3*Price_Service</f>
        <v>0</v>
      </c>
      <c r="L8" s="22">
        <f>Sales_Year_4*Price_Service</f>
        <v>0</v>
      </c>
      <c r="M8" s="22">
        <f>Sales_Year_5*Price_Service</f>
        <v>0</v>
      </c>
      <c r="N8" s="3"/>
    </row>
    <row r="9" spans="1:15" x14ac:dyDescent="0.2">
      <c r="A9" s="16"/>
      <c r="B9" s="30"/>
      <c r="C9" s="16" t="s">
        <v>108</v>
      </c>
      <c r="D9" s="16"/>
      <c r="E9" s="17" t="s">
        <v>432</v>
      </c>
      <c r="F9" s="18" t="s">
        <v>5</v>
      </c>
      <c r="G9" s="3">
        <f>SUM(H9:M9)</f>
        <v>0</v>
      </c>
      <c r="H9" s="3"/>
      <c r="I9" s="3">
        <f>I10*Annual_Price_Rental_Contract</f>
        <v>0</v>
      </c>
      <c r="J9" s="3">
        <f>J10*Annual_Price_Rental_Contract</f>
        <v>0</v>
      </c>
      <c r="K9" s="3">
        <f>K10*Annual_Price_Rental_Contract</f>
        <v>0</v>
      </c>
      <c r="L9" s="3">
        <f>L10*Annual_Price_Rental_Contract</f>
        <v>0</v>
      </c>
      <c r="M9" s="3">
        <f>M10*Annual_Price_Rental_Contract</f>
        <v>0</v>
      </c>
      <c r="N9" s="3"/>
      <c r="O9"/>
    </row>
    <row r="10" spans="1:15" customFormat="1" x14ac:dyDescent="0.2">
      <c r="A10" s="19"/>
      <c r="B10" s="31"/>
      <c r="C10" s="19"/>
      <c r="D10" s="5" t="s">
        <v>109</v>
      </c>
      <c r="E10" s="20" t="s">
        <v>433</v>
      </c>
      <c r="F10" s="21" t="s">
        <v>166</v>
      </c>
      <c r="G10" s="5"/>
      <c r="H10" s="5"/>
      <c r="I10" s="5">
        <f>New_Rental_Contracts_Year_1</f>
        <v>0</v>
      </c>
      <c r="J10" s="5">
        <f>IF(Rental_Contract_Duration&gt;1,New_Rental_Contracts_Year_1+New_Rental_Contracts_Year_2,New_Rental_Contracts_Year_2)</f>
        <v>0</v>
      </c>
      <c r="K10" s="5" cm="1">
        <f t="array" ref="K10">_xlfn.IFS(Rental_Contract_Duration&gt;2, New_Rental_Contracts_Year_1+New_Rental_Contracts_Year_2+New_Rental_Contracts_Year_3,Rental_Contract_Duration&gt;1,New_Rental_Contracts_Year_2+New_Rental_Contracts_Year_3, Rental_Contract_Duration&lt;=1, New_Rental_Contracts_Year_3)</f>
        <v>0</v>
      </c>
      <c r="L10" s="5" cm="1">
        <f t="array" ref="L10">_xlfn.IFS(Rental_Contract_Duration&gt;3, New_Rental_Contracts_Year_1+New_Rental_Contracts_Year_2+New_Rental_Contracts_Year_3+ New_Rental_Contracts_Year_4, Rental_Contract_Duration&gt;2,New_Rental_Contracts_Year_2+New_Rental_Contracts_Year_3+New_Rental_Contracts_Year_4, Rental_Contract_Duration&gt;1, New_Rental_Contracts_Year_3+New_Rental_Contracts_Year_4, Rental_Contract_Duration&lt;=1, New_Rental_Contracts_Year_4)</f>
        <v>0</v>
      </c>
      <c r="M10" s="5" cm="1">
        <f t="array" ref="M10">_xlfn.IFS(Rental_Contract_Duration&gt;4, New_Rental_Contracts_Year_1+New_Rental_Contracts_Year_2+New_Rental_Contracts_Year_3+ New_Rental_Contracts_Year_4+New_Rental_Contracts_Year_5, Rental_Contract_Duration&gt;3,New_Rental_Contracts_Year_2+New_Rental_Contracts_Year_3+New_Rental_Contracts_Year_4+New_Rental_Contracts_Year_5, Rental_Contract_Duration&gt;2, New_Rental_Contracts_Year_3+New_Rental_Contracts_Year_4+New_Rental_Contracts_Year_5, Rental_Contract_Duration&gt;1, New_Rental_Contracts_Year_4+New_Rental_Contracts_Year_5,Rental_Contract_Duration&lt;=1, New_Rental_Contracts_Year_5)</f>
        <v>0</v>
      </c>
      <c r="N10" s="5"/>
    </row>
    <row r="11" spans="1:15" customFormat="1" x14ac:dyDescent="0.2">
      <c r="A11" s="19"/>
      <c r="B11" s="31"/>
      <c r="C11" s="19"/>
      <c r="D11" s="5" t="s">
        <v>187</v>
      </c>
      <c r="E11" s="20" t="s">
        <v>175</v>
      </c>
      <c r="F11" s="21" t="s">
        <v>5</v>
      </c>
      <c r="G11" s="22">
        <f>SUM(H11:N11)</f>
        <v>0</v>
      </c>
      <c r="H11" s="22"/>
      <c r="I11" s="22"/>
      <c r="J11" s="22"/>
      <c r="K11" s="22"/>
      <c r="L11" s="22"/>
      <c r="M11" s="22"/>
      <c r="N11" s="22" cm="1">
        <f t="array" ref="N11">_xlfn.IFS(Rental_Contract_Duration&gt;5, ((Rental_Contract_Duration-5)*New_Rental_Contracts_Year_1+(Rental_Contract_Duration-4)*New_Rental_Contracts_Year_2+(Rental_Contract_Duration-3)*New_Rental_Contracts_Year_3+(Rental_Contract_Duration-2)*New_Rental_Contracts_Year_4+(Rental_Contract_Duration-1)*New_Rental_Contracts_Year_5)*Annual_Price_Rental_Contract, Rental_Contract_Duration&gt;4, ((Rental_Contract_Duration-4)*New_Rental_Contracts_Year_2+(Rental_Contract_Duration-3)*New_Rental_Contracts_Year_3+(Rental_Contract_Duration-2)*New_Rental_Contracts_Year_4+(Rental_Contract_Duration-1)*New_Rental_Contracts_Year_5)*Annual_Price_Rental_Contract, Rental_Contract_Duration&gt;3, ((Rental_Contract_Duration-3)*New_Rental_Contracts_Year_3+(Rental_Contract_Duration-2)*New_Rental_Contracts_Year_4+(Rental_Contract_Duration-1)*New_Rental_Contracts_Year_5)*Annual_Price_Rental_Contract, Rental_Contract_Duration&gt;2,((Rental_Contract_Duration-2)*New_Rental_Contracts_Year_4+(Rental_Contract_Duration-1)*New_Rental_Contracts_Year_5)*Annual_Price_Rental_Contract, Rental_Contract_Duration&gt;1, (Rental_Contract_Duration-1)*New_Rental_Contracts_Year_5*Annual_Price_Rental_Contract, Rental_Contract_Duration&lt;=1, 0)</f>
        <v>0</v>
      </c>
    </row>
    <row r="12" spans="1:15" customFormat="1" ht="7.5" customHeight="1" x14ac:dyDescent="0.2">
      <c r="A12" s="61"/>
      <c r="B12" s="62"/>
      <c r="C12" s="61"/>
      <c r="D12" s="61"/>
      <c r="E12" s="61"/>
      <c r="F12" s="63"/>
      <c r="G12" s="61"/>
      <c r="H12" s="61"/>
      <c r="I12" s="61"/>
      <c r="J12" s="61"/>
      <c r="K12" s="61"/>
      <c r="L12" s="61"/>
      <c r="M12" s="61"/>
      <c r="N12" s="61"/>
    </row>
    <row r="13" spans="1:15" customFormat="1" x14ac:dyDescent="0.2">
      <c r="A13" s="69"/>
      <c r="B13" s="70" t="s">
        <v>179</v>
      </c>
      <c r="C13" s="69"/>
      <c r="D13" s="69"/>
      <c r="E13" s="71" t="s">
        <v>180</v>
      </c>
      <c r="F13" s="72" t="s">
        <v>5</v>
      </c>
      <c r="G13" s="73">
        <f t="shared" si="4"/>
        <v>0</v>
      </c>
      <c r="H13" s="73">
        <f>SUM(H14:H15)</f>
        <v>0</v>
      </c>
      <c r="I13" s="73">
        <f t="shared" ref="I13:M13" si="5">SUM(I14:I15)</f>
        <v>0</v>
      </c>
      <c r="J13" s="73">
        <f t="shared" si="5"/>
        <v>0</v>
      </c>
      <c r="K13" s="73">
        <f t="shared" si="5"/>
        <v>0</v>
      </c>
      <c r="L13" s="73">
        <f t="shared" si="5"/>
        <v>0</v>
      </c>
      <c r="M13" s="73">
        <f t="shared" si="5"/>
        <v>0</v>
      </c>
      <c r="N13" s="73"/>
    </row>
    <row r="14" spans="1:15" customFormat="1" x14ac:dyDescent="0.2">
      <c r="A14" s="16"/>
      <c r="B14" s="30"/>
      <c r="C14" s="16" t="s">
        <v>4</v>
      </c>
      <c r="D14" s="16"/>
      <c r="E14" s="17" t="s">
        <v>178</v>
      </c>
      <c r="F14" s="18" t="s">
        <v>5</v>
      </c>
      <c r="G14" s="3">
        <f t="shared" ref="G14:G15" si="6">SUM(H14:M14)</f>
        <v>0</v>
      </c>
      <c r="H14" s="3">
        <f>Debt_Capital</f>
        <v>0</v>
      </c>
      <c r="I14" s="3"/>
      <c r="J14" s="3"/>
      <c r="K14" s="3"/>
      <c r="L14" s="3"/>
      <c r="M14" s="3"/>
      <c r="N14" s="3"/>
    </row>
    <row r="15" spans="1:15" customFormat="1" x14ac:dyDescent="0.2">
      <c r="A15" s="16"/>
      <c r="B15" s="30"/>
      <c r="C15" s="16" t="s">
        <v>27</v>
      </c>
      <c r="D15" s="16"/>
      <c r="E15" s="17" t="s">
        <v>177</v>
      </c>
      <c r="F15" s="18" t="s">
        <v>5</v>
      </c>
      <c r="G15" s="3">
        <f t="shared" si="6"/>
        <v>0</v>
      </c>
      <c r="H15" s="3">
        <f>Public_Funding_Initial</f>
        <v>0</v>
      </c>
      <c r="I15" s="3">
        <f>Public_Funding_Annual</f>
        <v>0</v>
      </c>
      <c r="J15" s="3">
        <f>Public_Funding_Annual</f>
        <v>0</v>
      </c>
      <c r="K15" s="3">
        <f>Public_Funding_Annual</f>
        <v>0</v>
      </c>
      <c r="L15" s="3">
        <f>Public_Funding_Annual</f>
        <v>0</v>
      </c>
      <c r="M15" s="3">
        <f>Public_Funding_Annual</f>
        <v>0</v>
      </c>
      <c r="N15" s="3"/>
    </row>
    <row r="16" spans="1:15" customFormat="1" ht="7" customHeight="1" x14ac:dyDescent="0.2">
      <c r="A16" s="65"/>
      <c r="B16" s="66"/>
      <c r="C16" s="65"/>
      <c r="D16" s="65"/>
      <c r="E16" s="65"/>
      <c r="F16" s="67"/>
      <c r="G16" s="65"/>
      <c r="H16" s="65"/>
      <c r="I16" s="65"/>
      <c r="J16" s="65"/>
      <c r="K16" s="65"/>
      <c r="L16" s="65"/>
      <c r="M16" s="65"/>
      <c r="N16" s="65"/>
    </row>
    <row r="17" spans="1:14" customFormat="1" ht="18" x14ac:dyDescent="0.2">
      <c r="A17" s="80" t="s">
        <v>7</v>
      </c>
      <c r="B17" s="81"/>
      <c r="C17" s="82"/>
      <c r="D17" s="82"/>
      <c r="E17" s="82" t="s">
        <v>132</v>
      </c>
      <c r="F17" s="83" t="s">
        <v>5</v>
      </c>
      <c r="G17" s="84">
        <f>SUM(H17:M17)</f>
        <v>0</v>
      </c>
      <c r="H17" s="84">
        <f>SUM(H19+H24)</f>
        <v>0</v>
      </c>
      <c r="I17" s="84"/>
      <c r="J17" s="84"/>
      <c r="K17" s="84"/>
      <c r="L17" s="84"/>
      <c r="M17" s="84"/>
      <c r="N17" s="84"/>
    </row>
    <row r="18" spans="1:14" customFormat="1" ht="7.5" customHeight="1" x14ac:dyDescent="0.2">
      <c r="A18" s="61"/>
      <c r="B18" s="62"/>
      <c r="C18" s="61"/>
      <c r="D18" s="61"/>
      <c r="E18" s="61"/>
      <c r="F18" s="63"/>
      <c r="G18" s="61"/>
      <c r="H18" s="61"/>
      <c r="I18" s="61"/>
      <c r="J18" s="61"/>
      <c r="K18" s="61"/>
      <c r="L18" s="61"/>
      <c r="M18" s="61"/>
      <c r="N18" s="61"/>
    </row>
    <row r="19" spans="1:14" customFormat="1" ht="15.75" customHeight="1" x14ac:dyDescent="0.2">
      <c r="A19" s="85"/>
      <c r="B19" s="86" t="s">
        <v>373</v>
      </c>
      <c r="C19" s="85"/>
      <c r="D19" s="85"/>
      <c r="E19" s="85" t="s">
        <v>436</v>
      </c>
      <c r="F19" s="87"/>
      <c r="G19" s="88">
        <f>SUM(H19:M19)</f>
        <v>0</v>
      </c>
      <c r="H19" s="88">
        <f>SUM(H20:H22)</f>
        <v>0</v>
      </c>
      <c r="I19" s="88"/>
      <c r="J19" s="88"/>
      <c r="K19" s="88"/>
      <c r="L19" s="88"/>
      <c r="M19" s="88"/>
      <c r="N19" s="88"/>
    </row>
    <row r="20" spans="1:14" customFormat="1" ht="15.75" customHeight="1" x14ac:dyDescent="0.2">
      <c r="A20" s="23"/>
      <c r="B20" s="32"/>
      <c r="C20" s="23" t="s">
        <v>28</v>
      </c>
      <c r="D20" s="23"/>
      <c r="E20" s="23" t="s">
        <v>437</v>
      </c>
      <c r="F20" s="8" t="s">
        <v>5</v>
      </c>
      <c r="G20" s="89">
        <f>SUM(H20:M20)</f>
        <v>0</v>
      </c>
      <c r="H20" s="6">
        <f>SUM(Invest_Land_Building+Invest_Technical_Equipment_Machinery+Invest_Office_Equipment)</f>
        <v>0</v>
      </c>
      <c r="I20" s="6"/>
      <c r="J20" s="6"/>
      <c r="K20" s="6"/>
      <c r="L20" s="6"/>
      <c r="M20" s="6"/>
      <c r="N20" s="6"/>
    </row>
    <row r="21" spans="1:14" customFormat="1" ht="15.75" customHeight="1" x14ac:dyDescent="0.2">
      <c r="A21" s="23"/>
      <c r="B21" s="32"/>
      <c r="C21" s="23" t="s">
        <v>8</v>
      </c>
      <c r="D21" s="23"/>
      <c r="E21" s="23" t="s">
        <v>438</v>
      </c>
      <c r="F21" s="8" t="s">
        <v>5</v>
      </c>
      <c r="G21" s="89">
        <f>SUM(H21:M21)</f>
        <v>0</v>
      </c>
      <c r="H21" s="6">
        <f>SUM(Invest_Certificates+Invest_Patents_Licences+Invest_Software)</f>
        <v>0</v>
      </c>
      <c r="I21" s="6"/>
      <c r="J21" s="6"/>
      <c r="K21" s="6"/>
      <c r="L21" s="6"/>
      <c r="M21" s="6"/>
      <c r="N21" s="6"/>
    </row>
    <row r="22" spans="1:14" customFormat="1" ht="15.75" customHeight="1" x14ac:dyDescent="0.2">
      <c r="A22" s="23"/>
      <c r="B22" s="32"/>
      <c r="C22" s="23" t="s">
        <v>114</v>
      </c>
      <c r="D22" s="23"/>
      <c r="E22" s="23" t="s">
        <v>439</v>
      </c>
      <c r="F22" s="8" t="s">
        <v>5</v>
      </c>
      <c r="G22" s="89">
        <f>SUM(H22:M22)</f>
        <v>0</v>
      </c>
      <c r="H22" s="6">
        <f>Invest_Equity_Holdings</f>
        <v>0</v>
      </c>
      <c r="I22" s="6"/>
      <c r="J22" s="6"/>
      <c r="K22" s="6"/>
      <c r="L22" s="6"/>
      <c r="M22" s="6"/>
      <c r="N22" s="6"/>
    </row>
    <row r="23" spans="1:14" customFormat="1" ht="7.5" customHeight="1" x14ac:dyDescent="0.2">
      <c r="A23" s="61"/>
      <c r="B23" s="62"/>
      <c r="C23" s="61"/>
      <c r="D23" s="61"/>
      <c r="E23" s="61"/>
      <c r="F23" s="63"/>
      <c r="G23" s="61"/>
      <c r="H23" s="61"/>
      <c r="I23" s="61"/>
      <c r="J23" s="61"/>
      <c r="K23" s="61"/>
      <c r="L23" s="61"/>
      <c r="M23" s="61"/>
      <c r="N23" s="61"/>
    </row>
    <row r="24" spans="1:14" customFormat="1" ht="15.75" customHeight="1" x14ac:dyDescent="0.2">
      <c r="A24" s="85"/>
      <c r="B24" s="86" t="s">
        <v>29</v>
      </c>
      <c r="C24" s="85"/>
      <c r="D24" s="85"/>
      <c r="E24" s="85" t="s">
        <v>440</v>
      </c>
      <c r="F24" s="87" t="s">
        <v>5</v>
      </c>
      <c r="G24" s="88">
        <f>SUM(H24:M24)</f>
        <v>0</v>
      </c>
      <c r="H24" s="88">
        <f>SUM(H25:H28)</f>
        <v>0</v>
      </c>
      <c r="I24" s="88"/>
      <c r="J24" s="88"/>
      <c r="K24" s="88"/>
      <c r="L24" s="88"/>
      <c r="M24" s="88"/>
      <c r="N24" s="88"/>
    </row>
    <row r="25" spans="1:14" customFormat="1" ht="15.75" customHeight="1" x14ac:dyDescent="0.2">
      <c r="A25" s="23"/>
      <c r="B25" s="32"/>
      <c r="C25" s="23" t="s">
        <v>31</v>
      </c>
      <c r="D25" s="23"/>
      <c r="E25" s="23" t="s">
        <v>441</v>
      </c>
      <c r="F25" s="8" t="s">
        <v>5</v>
      </c>
      <c r="G25" s="89">
        <f t="shared" ref="G25:G28" si="7">SUM(H25:M25)</f>
        <v>0</v>
      </c>
      <c r="H25" s="6">
        <f>Commissioning_Time_Administration*Hourly_Rate_Administration</f>
        <v>0</v>
      </c>
      <c r="I25" s="6"/>
      <c r="J25" s="6"/>
      <c r="K25" s="6"/>
      <c r="L25" s="6"/>
      <c r="M25" s="6"/>
      <c r="N25" s="6"/>
    </row>
    <row r="26" spans="1:14" customFormat="1" ht="15.75" customHeight="1" x14ac:dyDescent="0.2">
      <c r="A26" s="23"/>
      <c r="B26" s="32"/>
      <c r="C26" s="23" t="s">
        <v>30</v>
      </c>
      <c r="D26" s="23"/>
      <c r="E26" s="23" t="s">
        <v>442</v>
      </c>
      <c r="F26" s="8" t="s">
        <v>5</v>
      </c>
      <c r="G26" s="89">
        <f t="shared" si="7"/>
        <v>0</v>
      </c>
      <c r="H26" s="6">
        <f>Commissioning_Time_Production_Staff*Hourly_Rate_Production_Staff</f>
        <v>0</v>
      </c>
      <c r="I26" s="6"/>
      <c r="J26" s="6"/>
      <c r="K26" s="6"/>
      <c r="L26" s="6"/>
      <c r="M26" s="6"/>
      <c r="N26" s="6"/>
    </row>
    <row r="27" spans="1:14" customFormat="1" ht="15.75" customHeight="1" x14ac:dyDescent="0.2">
      <c r="A27" s="23"/>
      <c r="B27" s="32"/>
      <c r="C27" s="23" t="s">
        <v>126</v>
      </c>
      <c r="D27" s="23"/>
      <c r="E27" s="23" t="s">
        <v>129</v>
      </c>
      <c r="F27" s="8" t="s">
        <v>5</v>
      </c>
      <c r="G27" s="89">
        <f t="shared" si="7"/>
        <v>0</v>
      </c>
      <c r="H27" s="6">
        <f>Commissioning_Costs_Research___Development</f>
        <v>0</v>
      </c>
      <c r="I27" s="6"/>
      <c r="J27" s="6"/>
      <c r="K27" s="6"/>
      <c r="L27" s="6"/>
      <c r="M27" s="6"/>
      <c r="N27" s="6"/>
    </row>
    <row r="28" spans="1:14" customFormat="1" ht="15.75" customHeight="1" x14ac:dyDescent="0.2">
      <c r="A28" s="23"/>
      <c r="B28" s="32"/>
      <c r="C28" s="23" t="s">
        <v>32</v>
      </c>
      <c r="D28" s="23"/>
      <c r="E28" s="23" t="s">
        <v>443</v>
      </c>
      <c r="F28" s="8" t="s">
        <v>5</v>
      </c>
      <c r="G28" s="89">
        <f t="shared" si="7"/>
        <v>0</v>
      </c>
      <c r="H28" s="6">
        <f>Additional_Commissioning_Costs</f>
        <v>0</v>
      </c>
      <c r="I28" s="6"/>
      <c r="J28" s="6"/>
      <c r="K28" s="6"/>
      <c r="L28" s="6"/>
      <c r="M28" s="6"/>
      <c r="N28" s="6"/>
    </row>
    <row r="29" spans="1:14" customFormat="1" ht="7" customHeight="1" x14ac:dyDescent="0.2">
      <c r="A29" s="65"/>
      <c r="B29" s="66"/>
      <c r="C29" s="65"/>
      <c r="D29" s="65"/>
      <c r="E29" s="65"/>
      <c r="F29" s="67"/>
      <c r="G29" s="65"/>
      <c r="H29" s="65"/>
      <c r="I29" s="65"/>
      <c r="J29" s="65"/>
      <c r="K29" s="65"/>
      <c r="L29" s="65"/>
      <c r="M29" s="65"/>
      <c r="N29" s="65"/>
    </row>
    <row r="30" spans="1:14" customFormat="1" ht="18" x14ac:dyDescent="0.2">
      <c r="A30" s="90" t="s">
        <v>10</v>
      </c>
      <c r="B30" s="91"/>
      <c r="C30" s="92"/>
      <c r="D30" s="92"/>
      <c r="E30" s="92" t="s">
        <v>131</v>
      </c>
      <c r="F30" s="93" t="s">
        <v>5</v>
      </c>
      <c r="G30" s="94">
        <f>SUM(H30:M30)</f>
        <v>0</v>
      </c>
      <c r="H30" s="94"/>
      <c r="I30" s="94">
        <f>SUM(I32:I33)</f>
        <v>0</v>
      </c>
      <c r="J30" s="94">
        <f>SUM(J32:J33)</f>
        <v>0</v>
      </c>
      <c r="K30" s="94">
        <f>SUM(K32:K33)</f>
        <v>0</v>
      </c>
      <c r="L30" s="94">
        <f>SUM(L32:L33)</f>
        <v>0</v>
      </c>
      <c r="M30" s="94">
        <f>SUM(M32:M33)</f>
        <v>0</v>
      </c>
      <c r="N30" s="94"/>
    </row>
    <row r="31" spans="1:14" customFormat="1" ht="7.5" customHeight="1" x14ac:dyDescent="0.2">
      <c r="A31" s="62"/>
      <c r="B31" s="62"/>
      <c r="C31" s="61"/>
      <c r="D31" s="61"/>
      <c r="E31" s="61"/>
      <c r="F31" s="63"/>
      <c r="G31" s="61"/>
      <c r="H31" s="61"/>
      <c r="I31" s="61"/>
      <c r="J31" s="61"/>
      <c r="K31" s="61"/>
      <c r="L31" s="61"/>
      <c r="M31" s="61"/>
      <c r="N31" s="61"/>
    </row>
    <row r="32" spans="1:14" customFormat="1" ht="15.75" customHeight="1" x14ac:dyDescent="0.2">
      <c r="A32" s="95"/>
      <c r="B32" s="96" t="s">
        <v>47</v>
      </c>
      <c r="C32" s="95"/>
      <c r="D32" s="95"/>
      <c r="E32" s="95" t="s">
        <v>183</v>
      </c>
      <c r="F32" s="97" t="s">
        <v>5</v>
      </c>
      <c r="G32" s="98">
        <f>SUM(H32:M32)</f>
        <v>0</v>
      </c>
      <c r="H32" s="99"/>
      <c r="I32" s="99">
        <f>SUM(I33*Administrative_Overhead)</f>
        <v>0</v>
      </c>
      <c r="J32" s="99">
        <f>SUM(J33*Administrative_Overhead)</f>
        <v>0</v>
      </c>
      <c r="K32" s="99">
        <f>SUM(K33*Administrative_Overhead)</f>
        <v>0</v>
      </c>
      <c r="L32" s="99">
        <f>SUM(L33*Administrative_Overhead)</f>
        <v>0</v>
      </c>
      <c r="M32" s="99">
        <f>SUM(M33*Administrative_Overhead)</f>
        <v>0</v>
      </c>
      <c r="N32" s="99"/>
    </row>
    <row r="33" spans="1:14" customFormat="1" ht="15.75" customHeight="1" x14ac:dyDescent="0.2">
      <c r="A33" s="33"/>
      <c r="B33" s="33"/>
      <c r="C33" s="10"/>
      <c r="D33" s="101" t="s">
        <v>156</v>
      </c>
      <c r="E33" s="101" t="s">
        <v>184</v>
      </c>
      <c r="F33" s="102" t="s">
        <v>5</v>
      </c>
      <c r="G33" s="103"/>
      <c r="H33" s="103"/>
      <c r="I33" s="103">
        <f>SUM(I35,I37,I41,I47,I70,I74,I79,I83,I89,I93,I98,I103,I108)+Additional_Special_Costs</f>
        <v>0</v>
      </c>
      <c r="J33" s="103">
        <f>SUM(J35,J37,J41,J47,J70,J74,J79,J83,J89,J93,J98,J103,J108)+Additional_Special_Costs</f>
        <v>0</v>
      </c>
      <c r="K33" s="103">
        <f>SUM(K35,K37,K41,K47,K70,K74,K79,K83,K89,K93,K98,K103,K108)+Additional_Special_Costs</f>
        <v>0</v>
      </c>
      <c r="L33" s="103">
        <f>SUM(L35,L37,L41,L47,L70,L74,L79,L83,L89,L93,L98,L103,L108)+Additional_Special_Costs</f>
        <v>0</v>
      </c>
      <c r="M33" s="103">
        <f>SUM(M35,M37,M41,M47,M70,M74,M79,M83,M89,M93,M98,M103,M108)+Additional_Special_Costs</f>
        <v>0</v>
      </c>
      <c r="N33" s="103"/>
    </row>
    <row r="34" spans="1:14" customFormat="1" ht="7.5" customHeight="1" x14ac:dyDescent="0.2">
      <c r="A34" s="62"/>
      <c r="B34" s="62"/>
      <c r="C34" s="61"/>
      <c r="D34" s="61"/>
      <c r="E34" s="61"/>
      <c r="F34" s="63"/>
      <c r="G34" s="61"/>
      <c r="H34" s="61"/>
      <c r="I34" s="61"/>
      <c r="J34" s="61"/>
      <c r="K34" s="61"/>
      <c r="L34" s="61"/>
      <c r="M34" s="61"/>
      <c r="N34" s="61"/>
    </row>
    <row r="35" spans="1:14" customFormat="1" ht="15.75" customHeight="1" x14ac:dyDescent="0.2">
      <c r="A35" s="96"/>
      <c r="B35" s="96" t="s">
        <v>145</v>
      </c>
      <c r="C35" s="95"/>
      <c r="D35" s="95"/>
      <c r="E35" s="95" t="s">
        <v>148</v>
      </c>
      <c r="F35" s="97" t="s">
        <v>5</v>
      </c>
      <c r="G35" s="98">
        <f>SUM(H35:M35)</f>
        <v>0</v>
      </c>
      <c r="H35" s="99"/>
      <c r="I35" s="99">
        <f>Basic_Rent+Property_Insurance+Additional_Ongoing_Property_Costs</f>
        <v>0</v>
      </c>
      <c r="J35" s="99">
        <f>Basic_Rent+Property_Insurance+Additional_Ongoing_Property_Costs</f>
        <v>0</v>
      </c>
      <c r="K35" s="99">
        <f>Basic_Rent+Property_Insurance+Additional_Ongoing_Property_Costs</f>
        <v>0</v>
      </c>
      <c r="L35" s="99">
        <f>Basic_Rent+Property_Insurance+Additional_Ongoing_Property_Costs</f>
        <v>0</v>
      </c>
      <c r="M35" s="99">
        <f>Basic_Rent+Property_Insurance+Additional_Ongoing_Property_Costs</f>
        <v>0</v>
      </c>
      <c r="N35" s="99"/>
    </row>
    <row r="36" spans="1:14" customFormat="1" ht="7.5" customHeight="1" x14ac:dyDescent="0.2">
      <c r="A36" s="62"/>
      <c r="B36" s="62"/>
      <c r="C36" s="61"/>
      <c r="D36" s="61"/>
      <c r="E36" s="61"/>
      <c r="F36" s="63"/>
      <c r="G36" s="61"/>
      <c r="H36" s="61"/>
      <c r="I36" s="61"/>
      <c r="J36" s="61"/>
      <c r="K36" s="61"/>
      <c r="L36" s="61"/>
      <c r="M36" s="61"/>
      <c r="N36" s="61"/>
    </row>
    <row r="37" spans="1:14" customFormat="1" ht="15.75" customHeight="1" x14ac:dyDescent="0.2">
      <c r="A37" s="96"/>
      <c r="B37" s="96" t="s">
        <v>61</v>
      </c>
      <c r="C37" s="95"/>
      <c r="D37" s="95"/>
      <c r="E37" s="95" t="s">
        <v>444</v>
      </c>
      <c r="F37" s="97" t="s">
        <v>5</v>
      </c>
      <c r="G37" s="98">
        <f>SUM(H37:M37)</f>
        <v>0</v>
      </c>
      <c r="H37" s="99"/>
      <c r="I37" s="99">
        <f>SUM(I38:I39)</f>
        <v>0</v>
      </c>
      <c r="J37" s="99">
        <f t="shared" ref="J37:M37" si="8">SUM(J38:J39)</f>
        <v>0</v>
      </c>
      <c r="K37" s="99">
        <f t="shared" si="8"/>
        <v>0</v>
      </c>
      <c r="L37" s="99">
        <f t="shared" si="8"/>
        <v>0</v>
      </c>
      <c r="M37" s="99">
        <f t="shared" si="8"/>
        <v>0</v>
      </c>
      <c r="N37" s="99"/>
    </row>
    <row r="38" spans="1:14" customFormat="1" ht="15.75" customHeight="1" x14ac:dyDescent="0.2">
      <c r="A38" s="33"/>
      <c r="B38" s="33"/>
      <c r="C38" s="10" t="s">
        <v>146</v>
      </c>
      <c r="D38" s="10"/>
      <c r="E38" s="10" t="s">
        <v>181</v>
      </c>
      <c r="F38" s="11" t="s">
        <v>5</v>
      </c>
      <c r="G38" s="12">
        <f>SUM(H38:M38)</f>
        <v>0</v>
      </c>
      <c r="H38" s="12"/>
      <c r="I38" s="12">
        <f>(Base_Costs_Electricity+Energy_Consumption_Electricity*Consumption_Cost_Electricity)*(1+Annual_Price_Trend_Electricity)^0</f>
        <v>0</v>
      </c>
      <c r="J38" s="12">
        <f>(Base_Costs_Electricity+Energy_Consumption_Electricity*Consumption_Cost_Electricity)*(1+Annual_Price_Trend_Electricity)^1</f>
        <v>0</v>
      </c>
      <c r="K38" s="12">
        <f>(Base_Costs_Electricity+Energy_Consumption_Electricity*Consumption_Cost_Electricity)*(1+Annual_Price_Trend_Electricity)^2</f>
        <v>0</v>
      </c>
      <c r="L38" s="12">
        <f>(Base_Costs_Electricity+Energy_Consumption_Electricity*Consumption_Cost_Electricity)*(1+Annual_Price_Trend_Electricity)^3</f>
        <v>0</v>
      </c>
      <c r="M38" s="12">
        <f>(Base_Costs_Electricity+Energy_Consumption_Electricity*Consumption_Cost_Electricity)*(1+Annual_Price_Trend_Electricity)^4</f>
        <v>0</v>
      </c>
      <c r="N38" s="12"/>
    </row>
    <row r="39" spans="1:14" customFormat="1" ht="15.75" customHeight="1" x14ac:dyDescent="0.2">
      <c r="A39" s="33"/>
      <c r="B39" s="33"/>
      <c r="C39" s="10" t="s">
        <v>147</v>
      </c>
      <c r="D39" s="10"/>
      <c r="E39" s="10" t="s">
        <v>182</v>
      </c>
      <c r="F39" s="11" t="s">
        <v>5</v>
      </c>
      <c r="G39" s="12">
        <f>SUM(H39:M39)</f>
        <v>0</v>
      </c>
      <c r="H39" s="12"/>
      <c r="I39" s="12">
        <f>(Base_Costs_Heating+Energy_Consumption_Heating*Consumption_Cost_Heating)*(1+Annual_Price_Trend_Heating)^0</f>
        <v>0</v>
      </c>
      <c r="J39" s="12">
        <f>(Base_Costs_Heating+Energy_Consumption_Heating*Consumption_Cost_Heating)*(1+Annual_Price_Trend_Heating)^1</f>
        <v>0</v>
      </c>
      <c r="K39" s="12">
        <f>(Base_Costs_Heating+Energy_Consumption_Heating*Consumption_Cost_Heating)*(1+Annual_Price_Trend_Heating)^2</f>
        <v>0</v>
      </c>
      <c r="L39" s="12">
        <f>(Base_Costs_Heating+Energy_Consumption_Heating*Consumption_Cost_Heating)*(1+Annual_Price_Trend_Heating)^3</f>
        <v>0</v>
      </c>
      <c r="M39" s="12">
        <f>(Base_Costs_Heating+Energy_Consumption_Heating*Consumption_Cost_Heating)*(1+Annual_Price_Trend_Heating)^4</f>
        <v>0</v>
      </c>
      <c r="N39" s="12"/>
    </row>
    <row r="40" spans="1:14" customFormat="1" ht="7.5" customHeight="1" x14ac:dyDescent="0.2">
      <c r="A40" s="62"/>
      <c r="B40" s="62"/>
      <c r="C40" s="61"/>
      <c r="D40" s="61"/>
      <c r="E40" s="61"/>
      <c r="F40" s="63"/>
      <c r="G40" s="61"/>
      <c r="H40" s="61"/>
      <c r="I40" s="61"/>
      <c r="J40" s="61"/>
      <c r="K40" s="61"/>
      <c r="L40" s="61"/>
      <c r="M40" s="61"/>
      <c r="N40" s="61"/>
    </row>
    <row r="41" spans="1:14" customFormat="1" ht="15.75" customHeight="1" x14ac:dyDescent="0.2">
      <c r="A41" s="96"/>
      <c r="B41" s="96" t="s">
        <v>173</v>
      </c>
      <c r="C41" s="95"/>
      <c r="D41" s="95"/>
      <c r="E41" s="95" t="s">
        <v>445</v>
      </c>
      <c r="F41" s="97" t="s">
        <v>5</v>
      </c>
      <c r="G41" s="98">
        <f>SUM(H41:M41)</f>
        <v>0</v>
      </c>
      <c r="H41" s="99"/>
      <c r="I41" s="99">
        <f>SUM(I42:I45)+Special_Costs_Linear_Production</f>
        <v>0</v>
      </c>
      <c r="J41" s="99">
        <f>SUM(J42:J45)+Special_Costs_Linear_Production</f>
        <v>0</v>
      </c>
      <c r="K41" s="99">
        <f>SUM(K42:K45)+Special_Costs_Linear_Production</f>
        <v>0</v>
      </c>
      <c r="L41" s="99">
        <f>SUM(L42:L45)+Special_Costs_Linear_Production</f>
        <v>0</v>
      </c>
      <c r="M41" s="99">
        <f>SUM(M42:M45)+Special_Costs_Linear_Production</f>
        <v>0</v>
      </c>
      <c r="N41" s="99"/>
    </row>
    <row r="42" spans="1:14" customFormat="1" ht="15.75" customHeight="1" x14ac:dyDescent="0.2">
      <c r="A42" s="33"/>
      <c r="B42" s="33"/>
      <c r="C42" s="10" t="s">
        <v>60</v>
      </c>
      <c r="D42" s="10"/>
      <c r="E42" s="10" t="s">
        <v>448</v>
      </c>
      <c r="F42" s="11" t="s">
        <v>5</v>
      </c>
      <c r="G42" s="12">
        <f>SUM(H42:M42)</f>
        <v>0</v>
      </c>
      <c r="H42" s="12"/>
      <c r="I42" s="12">
        <f>Sales_Year_1*Material_Cost_Linear_Production*(1+Annual_Price_Trend_Virgin_Materials)^0</f>
        <v>0</v>
      </c>
      <c r="J42" s="12">
        <f>Sales_Year_2*Material_Cost_Linear_Production*(1+Annual_Price_Trend_Virgin_Materials)^1</f>
        <v>0</v>
      </c>
      <c r="K42" s="12">
        <f>Sales_Year_3*Material_Cost_Linear_Production*(1+Annual_Price_Trend_Virgin_Materials)^2</f>
        <v>0</v>
      </c>
      <c r="L42" s="12">
        <f>Sales_Year_4*Material_Cost_Linear_Production*(1+Annual_Price_Trend_Virgin_Materials)^3</f>
        <v>0</v>
      </c>
      <c r="M42" s="12">
        <f>Sales_Year_5*Material_Cost_Linear_Production*(1+Annual_Price_Trend_Virgin_Materials)^4</f>
        <v>0</v>
      </c>
      <c r="N42" s="12"/>
    </row>
    <row r="43" spans="1:14" customFormat="1" ht="15.75" customHeight="1" x14ac:dyDescent="0.2">
      <c r="A43" s="33"/>
      <c r="B43" s="33"/>
      <c r="C43" s="10" t="s">
        <v>63</v>
      </c>
      <c r="D43" s="10"/>
      <c r="E43" s="10" t="s">
        <v>446</v>
      </c>
      <c r="F43" s="11" t="s">
        <v>5</v>
      </c>
      <c r="G43" s="12">
        <f>SUM(H43:M43)</f>
        <v>0</v>
      </c>
      <c r="H43" s="12"/>
      <c r="I43" s="12">
        <f>Sales_Year_1*Disposal_Cost_Linear_Production</f>
        <v>0</v>
      </c>
      <c r="J43" s="12">
        <f>Sales_Year_2*Disposal_Cost_Linear_Production</f>
        <v>0</v>
      </c>
      <c r="K43" s="12">
        <f>Sales_Year_3*Disposal_Cost_Linear_Production</f>
        <v>0</v>
      </c>
      <c r="L43" s="12">
        <f>Sales_Year_4*Disposal_Cost_Linear_Production</f>
        <v>0</v>
      </c>
      <c r="M43" s="12">
        <f>Sales_Year_5*Disposal_Cost_Linear_Production</f>
        <v>0</v>
      </c>
      <c r="N43" s="12"/>
    </row>
    <row r="44" spans="1:14" customFormat="1" ht="15.75" customHeight="1" x14ac:dyDescent="0.2">
      <c r="A44" s="33"/>
      <c r="B44" s="33"/>
      <c r="C44" s="10" t="s">
        <v>158</v>
      </c>
      <c r="D44" s="10"/>
      <c r="E44" s="10" t="s">
        <v>449</v>
      </c>
      <c r="F44" s="11" t="s">
        <v>5</v>
      </c>
      <c r="G44" s="12">
        <f t="shared" ref="G44:G45" si="9">SUM(H44:M44)</f>
        <v>0</v>
      </c>
      <c r="H44" s="12"/>
      <c r="I44" s="12">
        <f>Sales_Year_1*(Manual_Labour_Linear_Production*Hourly_Rate_Production_Staff)*(1-Annual_Efficiency_Increase_Manual_Labour)^0</f>
        <v>0</v>
      </c>
      <c r="J44" s="12">
        <f>Sales_Year_2*(Manual_Labour_Linear_Production*Hourly_Rate_Production_Staff)*(1-Annual_Efficiency_Increase_Manual_Labour)^1</f>
        <v>0</v>
      </c>
      <c r="K44" s="12">
        <f>Sales_Year_3*(Manual_Labour_Linear_Production*Hourly_Rate_Production_Staff)*(1-Annual_Efficiency_Increase_Manual_Labour)^2</f>
        <v>0</v>
      </c>
      <c r="L44" s="12">
        <f>Sales_Year_4*(Manual_Labour_Linear_Production*Hourly_Rate_Production_Staff)*(1-Annual_Efficiency_Increase_Manual_Labour)^3</f>
        <v>0</v>
      </c>
      <c r="M44" s="12">
        <f>Sales_Year_5*(Manual_Labour_Linear_Production*Hourly_Rate_Production_Staff)*(1-Annual_Efficiency_Increase_Manual_Labour)^4</f>
        <v>0</v>
      </c>
      <c r="N44" s="12"/>
    </row>
    <row r="45" spans="1:14" customFormat="1" ht="15.75" customHeight="1" x14ac:dyDescent="0.2">
      <c r="A45" s="33"/>
      <c r="B45" s="33"/>
      <c r="C45" s="10" t="s">
        <v>159</v>
      </c>
      <c r="D45" s="10"/>
      <c r="E45" s="10" t="s">
        <v>447</v>
      </c>
      <c r="F45" s="11" t="s">
        <v>5</v>
      </c>
      <c r="G45" s="12">
        <f t="shared" si="9"/>
        <v>0</v>
      </c>
      <c r="H45" s="12"/>
      <c r="I45" s="12">
        <f>Sales_Year_1*(Automated_Labour_Linear_Production*Hourly_Rate_Machines)*(1-Annual_Efficiency_Increase_Automated_Labour)^0</f>
        <v>0</v>
      </c>
      <c r="J45" s="12">
        <f>Sales_Year_2*(Automated_Labour_Linear_Production*Hourly_Rate_Machines)*(1-Annual_Efficiency_Increase_Automated_Labour)^1</f>
        <v>0</v>
      </c>
      <c r="K45" s="12">
        <f>Sales_Year_3*(Automated_Labour_Linear_Production*Hourly_Rate_Machines)*(1-Annual_Efficiency_Increase_Automated_Labour)^2</f>
        <v>0</v>
      </c>
      <c r="L45" s="12">
        <f>Sales_Year_4*(Automated_Labour_Linear_Production*Hourly_Rate_Machines)*(1-Annual_Efficiency_Increase_Automated_Labour)^3</f>
        <v>0</v>
      </c>
      <c r="M45" s="12">
        <f>Sales_Year_5*(Automated_Labour_Linear_Production*Hourly_Rate_Machines)*(1-Annual_Efficiency_Increase_Automated_Labour)^4</f>
        <v>0</v>
      </c>
      <c r="N45" s="12"/>
    </row>
    <row r="46" spans="1:14" customFormat="1" ht="7.5" customHeight="1" x14ac:dyDescent="0.2">
      <c r="A46" s="62"/>
      <c r="B46" s="62"/>
      <c r="C46" s="61"/>
      <c r="D46" s="61"/>
      <c r="E46" s="61"/>
      <c r="F46" s="63"/>
      <c r="G46" s="61"/>
      <c r="H46" s="61"/>
      <c r="I46" s="61"/>
      <c r="J46" s="61"/>
      <c r="K46" s="61"/>
      <c r="L46" s="61"/>
      <c r="M46" s="61"/>
      <c r="N46" s="61"/>
    </row>
    <row r="47" spans="1:14" customFormat="1" ht="15.75" customHeight="1" x14ac:dyDescent="0.2">
      <c r="A47" s="96"/>
      <c r="B47" s="96" t="s">
        <v>15</v>
      </c>
      <c r="C47" s="95"/>
      <c r="D47" s="95"/>
      <c r="E47" s="95" t="s">
        <v>613</v>
      </c>
      <c r="F47" s="97" t="s">
        <v>5</v>
      </c>
      <c r="G47" s="98">
        <f>SUM(H47:M47)</f>
        <v>0</v>
      </c>
      <c r="H47" s="99"/>
      <c r="I47" s="99">
        <f>IF('Step 1 - Case Selection'!V41="as a Flat Rate",I48+I54+Special_Costs_Backward_Logistics,SUM(I48,I55,I61,I68)+Special_Costs_Backward_Logistics)</f>
        <v>0</v>
      </c>
      <c r="J47" s="99">
        <f>IF('Step 1 - Case Selection'!V41="as a Flat Rate",J48+J54+Special_Costs_Backward_Logistics,SUM(J48,J55,J61,J68)+Special_Costs_Backward_Logistics)</f>
        <v>0</v>
      </c>
      <c r="K47" s="99">
        <f>IF('Step 1 - Case Selection'!V41="as a Flat Rate",K48+K54+Special_Costs_Backward_Logistics,SUM(K48,K55,K61,K68)+Special_Costs_Backward_Logistics)</f>
        <v>0</v>
      </c>
      <c r="L47" s="99">
        <f>IF('Step 1 - Case Selection'!V41="as a Flat Rate",L48+L54+Special_Costs_Backward_Logistics,SUM(L48,L55,L61,L68)+Special_Costs_Backward_Logistics)</f>
        <v>0</v>
      </c>
      <c r="M47" s="99">
        <f>IF('Step 1 - Case Selection'!V41="as a Flat Rate",M48+M54+Special_Costs_Backward_Logistics,SUM(M48,M55,M61,M68)+Special_Costs_Backward_Logistics)</f>
        <v>0</v>
      </c>
      <c r="N47" s="99"/>
    </row>
    <row r="48" spans="1:14" customFormat="1" ht="15.75" customHeight="1" x14ac:dyDescent="0.2">
      <c r="A48" s="33"/>
      <c r="B48" s="33"/>
      <c r="C48" s="10"/>
      <c r="D48" s="104" t="s">
        <v>160</v>
      </c>
      <c r="E48" s="104" t="s">
        <v>452</v>
      </c>
      <c r="F48" s="102" t="s">
        <v>5</v>
      </c>
      <c r="G48" s="103">
        <f>SUM(H48:M48)</f>
        <v>0</v>
      </c>
      <c r="H48" s="103"/>
      <c r="I48" s="103">
        <f>Core_Premium*(I49+I51)</f>
        <v>0</v>
      </c>
      <c r="J48" s="103">
        <f>Core_Premium*(J49+J51)</f>
        <v>0</v>
      </c>
      <c r="K48" s="103">
        <f>Core_Premium*(K49+K51)</f>
        <v>0</v>
      </c>
      <c r="L48" s="103">
        <f>Core_Premium*(L49+L51)</f>
        <v>0</v>
      </c>
      <c r="M48" s="103">
        <f>Core_Premium*(M49+M51)</f>
        <v>0</v>
      </c>
      <c r="N48" s="103"/>
    </row>
    <row r="49" spans="1:14" customFormat="1" ht="15.75" customHeight="1" x14ac:dyDescent="0.2">
      <c r="A49" s="33"/>
      <c r="B49" s="33"/>
      <c r="C49" s="10"/>
      <c r="D49" s="104" t="s">
        <v>414</v>
      </c>
      <c r="E49" s="104" t="s">
        <v>625</v>
      </c>
      <c r="F49" s="102" t="s">
        <v>166</v>
      </c>
      <c r="G49" s="101"/>
      <c r="H49" s="101"/>
      <c r="I49" s="101">
        <f>ROUND(IF('Step 1 - Case Selection'!V27&lt;&gt;"Recycle", Sales_Year_1/Core_Reuse_Rate*Required_Input_Cores),0)</f>
        <v>0</v>
      </c>
      <c r="J49" s="101">
        <f>ROUND(IF('Step 1 - Case Selection'!V27&lt;&gt;"Recycle", Sales_Year_2/Core_Reuse_Rate*Required_Input_Cores),0)</f>
        <v>0</v>
      </c>
      <c r="K49" s="101">
        <f>ROUND(IF('Step 1 - Case Selection'!V27&lt;&gt;"Recycle", Sales_Year_3/Core_Reuse_Rate*Required_Input_Cores),0)</f>
        <v>0</v>
      </c>
      <c r="L49" s="101">
        <f>ROUND(IF('Step 1 - Case Selection'!V27&lt;&gt;"Recycle", Sales_Year_4/Core_Reuse_Rate*Required_Input_Cores),0)</f>
        <v>0</v>
      </c>
      <c r="M49" s="101">
        <f>ROUND(IF('Step 1 - Case Selection'!V27&lt;&gt;"Recycle", Sales_Year_5/Core_Reuse_Rate*Required_Input_Cores),0)</f>
        <v>0</v>
      </c>
      <c r="N49" s="101"/>
    </row>
    <row r="50" spans="1:14" customFormat="1" ht="15.75" customHeight="1" x14ac:dyDescent="0.2">
      <c r="A50" s="33"/>
      <c r="B50" s="33"/>
      <c r="C50" s="10"/>
      <c r="D50" s="104" t="s">
        <v>415</v>
      </c>
      <c r="E50" s="104" t="s">
        <v>624</v>
      </c>
      <c r="F50" s="102" t="s">
        <v>166</v>
      </c>
      <c r="G50" s="101"/>
      <c r="H50" s="101"/>
      <c r="I50" s="101">
        <f>ROUND(IF('Step 1 - Case Selection'!V27&lt;&gt;"Recycle", Sales_Year_1*Required_Input_Cores),0)</f>
        <v>0</v>
      </c>
      <c r="J50" s="101">
        <f>ROUND(IF('Step 1 - Case Selection'!V27&lt;&gt;"Recycle", Sales_Year_2*Required_Input_Cores),0)</f>
        <v>0</v>
      </c>
      <c r="K50" s="101">
        <f>ROUND(IF('Step 1 - Case Selection'!V27&lt;&gt;"Recycle", Sales_Year_3*Required_Input_Cores),0)</f>
        <v>0</v>
      </c>
      <c r="L50" s="101">
        <f>ROUND(IF('Step 1 - Case Selection'!V27&lt;&gt;"Recycle", Sales_Year_4*Required_Input_Cores),0)</f>
        <v>0</v>
      </c>
      <c r="M50" s="101">
        <f>ROUND(IF('Step 1 - Case Selection'!V27&lt;&gt;"Recycle", Sales_Year_5*Required_Input_Cores),0)</f>
        <v>0</v>
      </c>
      <c r="N50" s="101"/>
    </row>
    <row r="51" spans="1:14" customFormat="1" ht="15.75" customHeight="1" x14ac:dyDescent="0.2">
      <c r="A51" s="33"/>
      <c r="B51" s="33"/>
      <c r="C51" s="10"/>
      <c r="D51" s="104" t="s">
        <v>416</v>
      </c>
      <c r="E51" s="104" t="s">
        <v>626</v>
      </c>
      <c r="F51" s="102" t="s">
        <v>166</v>
      </c>
      <c r="G51" s="101"/>
      <c r="H51" s="101"/>
      <c r="I51" s="101">
        <f>ROUND(IF('Step 1 - Case Selection'!V27="Recycle", Sales_Year_1/Output_Core_Material_for_Recycling/Core_Reuse_Rate, 0),0)</f>
        <v>0</v>
      </c>
      <c r="J51" s="101">
        <f>ROUND(IF('Step 1 - Case Selection'!V27="Recycle", Sales_Year_2/Output_Core_Material_for_Recycling/Core_Reuse_Rate, 0),0)</f>
        <v>0</v>
      </c>
      <c r="K51" s="101">
        <f>ROUND(IF('Step 1 - Case Selection'!V27="Recycle", Sales_Year_3/Output_Core_Material_for_Recycling/Core_Reuse_Rate, 0),0)</f>
        <v>0</v>
      </c>
      <c r="L51" s="101">
        <f>ROUND(IF('Step 1 - Case Selection'!V27="Recycle", Sales_Year_4/Output_Core_Material_for_Recycling/Core_Reuse_Rate, 0),0)</f>
        <v>0</v>
      </c>
      <c r="M51" s="101">
        <f>ROUND(IF('Step 1 - Case Selection'!V27="Recycle", Sales_Year_5/Output_Core_Material_for_Recycling/Core_Reuse_Rate, 0),0)</f>
        <v>0</v>
      </c>
      <c r="N51" s="101"/>
    </row>
    <row r="52" spans="1:14" customFormat="1" ht="15.75" customHeight="1" x14ac:dyDescent="0.2">
      <c r="A52" s="33"/>
      <c r="B52" s="33"/>
      <c r="C52" s="10"/>
      <c r="D52" s="104" t="s">
        <v>417</v>
      </c>
      <c r="E52" s="104" t="s">
        <v>627</v>
      </c>
      <c r="F52" s="102" t="s">
        <v>166</v>
      </c>
      <c r="G52" s="101"/>
      <c r="H52" s="101"/>
      <c r="I52" s="101">
        <f>ROUND(IF('Step 1 - Case Selection'!V27="Recycle", Sales_Year_1/Output_Core_Material_for_Recycling, 0),0)</f>
        <v>0</v>
      </c>
      <c r="J52" s="101">
        <f>ROUND(IF('Step 1 - Case Selection'!V27="Recycle", Sales_Year_2/Output_Core_Material_for_Recycling, 0),0)</f>
        <v>0</v>
      </c>
      <c r="K52" s="101">
        <f>ROUND(IF('Step 1 - Case Selection'!V27="Recycle", Sales_Year_3/Output_Core_Material_for_Recycling, 0),0)</f>
        <v>0</v>
      </c>
      <c r="L52" s="101">
        <f>ROUND(IF('Step 1 - Case Selection'!V27="Recycle", Sales_Year_4/Output_Core_Material_for_Recycling, 0),0)</f>
        <v>0</v>
      </c>
      <c r="M52" s="101">
        <f>ROUND(IF('Step 1 - Case Selection'!V27="Recycle", Sales_Year_5/Output_Core_Material_for_Recycling, 0),0)</f>
        <v>0</v>
      </c>
      <c r="N52" s="101"/>
    </row>
    <row r="53" spans="1:14" customFormat="1" ht="15.75" customHeight="1" x14ac:dyDescent="0.2">
      <c r="A53" s="33"/>
      <c r="B53" s="33"/>
      <c r="C53" s="13"/>
      <c r="D53" s="104" t="s">
        <v>162</v>
      </c>
      <c r="E53" s="104" t="s">
        <v>185</v>
      </c>
      <c r="F53" s="102" t="s">
        <v>166</v>
      </c>
      <c r="G53" s="101"/>
      <c r="H53" s="101"/>
      <c r="I53" s="101">
        <f>IF('Step 1 - Case Selection'!V59&lt;1, 0, IF(Rental_Contract_Duration&lt;=1, New_Rental_Contracts_Year_1, 0))</f>
        <v>0</v>
      </c>
      <c r="J53" s="101" cm="1">
        <f t="array" ref="J53">IF('Step 1 - Case Selection'!V59&lt;2, 0, _xlfn.IFS(Rental_Contract_Duration&lt;=1, New_Rental_Contracts_Year_2, Rental_Contract_Duration&lt;=2, New_Rental_Contracts_Year_1, Rental_Contract_Duration&gt;2, 0))</f>
        <v>0</v>
      </c>
      <c r="K53" s="101" cm="1">
        <f t="array" ref="K53">IF('Step 1 - Case Selection'!V59&lt;3, 0, _xlfn.IFS(Rental_Contract_Duration&lt;=1, New_Rental_Contracts_Year_3, Rental_Contract_Duration&lt;=2, New_Rental_Contracts_Year_2, Rental_Contract_Duration&lt;=3, New_Rental_Contracts_Year_1, Rental_Contract_Duration&gt;3, 0))</f>
        <v>0</v>
      </c>
      <c r="L53" s="101" cm="1">
        <f t="array" ref="L53">IF('Step 1 - Case Selection'!V59&lt;4, 0, _xlfn.IFS(Rental_Contract_Duration&lt;=1, New_Rental_Contracts_Year_4, Rental_Contract_Duration&lt;=2, New_Rental_Contracts_Year_3, Rental_Contract_Duration&lt;=3, New_Rental_Contracts_Year_2, Rental_Contract_Duration&lt;=4, New_Rental_Contracts_Year_1, Rental_Contract_Duration&gt;4, 0))</f>
        <v>0</v>
      </c>
      <c r="M53" s="101" cm="1">
        <f t="array" ref="M53">IF('Step 1 - Case Selection'!V59&lt;5, 0, _xlfn.IFS(Rental_Contract_Duration&lt;=1, New_Rental_Contracts_Year_5, Rental_Contract_Duration&lt;=2, New_Rental_Contracts_Year_4, Rental_Contract_Duration&lt;=3, New_Rental_Contracts_Year_3, Rental_Contract_Duration&lt;=4, New_Rental_Contracts_Year_2, Rental_Contract_Duration&lt;=5, New_Rental_Contracts_Year_1,Rental_Contract_Duration&gt;5, 0))</f>
        <v>0</v>
      </c>
      <c r="N53" s="101">
        <f>SUM(New_Rental_Contracts_Year_1+New_Rental_Contracts_Year_2+New_Rental_Contracts_Year_3+New_Rental_Contracts_Year_4+New_Rental_Contracts_Year_5-(SUM(I53:M53)))</f>
        <v>0</v>
      </c>
    </row>
    <row r="54" spans="1:14" customFormat="1" ht="15.75" customHeight="1" x14ac:dyDescent="0.2">
      <c r="A54" s="33"/>
      <c r="B54" s="33"/>
      <c r="C54" s="13" t="s">
        <v>428</v>
      </c>
      <c r="D54" s="13"/>
      <c r="E54" s="13" t="s">
        <v>450</v>
      </c>
      <c r="F54" s="11" t="s">
        <v>5</v>
      </c>
      <c r="G54" s="12">
        <f>SUM(H54:M54)</f>
        <v>0</v>
      </c>
      <c r="H54" s="12"/>
      <c r="I54" s="12">
        <f>BL_Flat_Rate*(I49+I51+I53)</f>
        <v>0</v>
      </c>
      <c r="J54" s="12">
        <f>BL_Flat_Rate*(J49+J51+J53)</f>
        <v>0</v>
      </c>
      <c r="K54" s="12">
        <f>BL_Flat_Rate*(K49+K51+K53)</f>
        <v>0</v>
      </c>
      <c r="L54" s="12">
        <f>BL_Flat_Rate*(L49+L51+L53)</f>
        <v>0</v>
      </c>
      <c r="M54" s="12">
        <f>BL_Flat_Rate*(M49+M51+M53)</f>
        <v>0</v>
      </c>
      <c r="N54" s="12"/>
    </row>
    <row r="55" spans="1:14" customFormat="1" ht="15.75" customHeight="1" x14ac:dyDescent="0.2">
      <c r="A55" s="33"/>
      <c r="B55" s="33"/>
      <c r="C55" s="13" t="s">
        <v>165</v>
      </c>
      <c r="D55" s="13"/>
      <c r="E55" s="13" t="s">
        <v>451</v>
      </c>
      <c r="F55" s="11" t="s">
        <v>5</v>
      </c>
      <c r="G55" s="12">
        <f>SUM(H55:M55)</f>
        <v>0</v>
      </c>
      <c r="H55" s="12"/>
      <c r="I55" s="12">
        <f>SUM(I56:I60)</f>
        <v>0</v>
      </c>
      <c r="J55" s="12">
        <f t="shared" ref="J55:M55" si="10">SUM(J56:J60)</f>
        <v>0</v>
      </c>
      <c r="K55" s="12">
        <f t="shared" si="10"/>
        <v>0</v>
      </c>
      <c r="L55" s="12">
        <f t="shared" si="10"/>
        <v>0</v>
      </c>
      <c r="M55" s="12">
        <f t="shared" si="10"/>
        <v>0</v>
      </c>
      <c r="N55" s="12"/>
    </row>
    <row r="56" spans="1:14" customFormat="1" ht="15.75" customHeight="1" x14ac:dyDescent="0.2">
      <c r="A56" s="33"/>
      <c r="B56" s="33"/>
      <c r="C56" s="10"/>
      <c r="D56" s="104" t="s">
        <v>133</v>
      </c>
      <c r="E56" s="104" t="s">
        <v>453</v>
      </c>
      <c r="F56" s="102" t="s">
        <v>5</v>
      </c>
      <c r="G56" s="103">
        <f>SUM(H56:M56)</f>
        <v>0</v>
      </c>
      <c r="H56" s="103"/>
      <c r="I56" s="103">
        <f>IF(BL_Type=1,(I49+I51)*(BL_Distance_Customer*BL_KM_Cost)*(1-Annual_Efficiency_Increase_Backward_Logistics)^0,0)</f>
        <v>0</v>
      </c>
      <c r="J56" s="103">
        <f>IF(BL_Type=1,(J49+J51)*(BL_Distance_Customer*BL_KM_Cost)*(1-Annual_Efficiency_Increase_Backward_Logistics)^1,0)</f>
        <v>0</v>
      </c>
      <c r="K56" s="103">
        <f>IF(BL_Type=1,(K49+K51)*(BL_Distance_Customer*BL_KM_Cost)*(1-Annual_Efficiency_Increase_Backward_Logistics)^2,0)</f>
        <v>0</v>
      </c>
      <c r="L56" s="103">
        <f>IF(BL_Type=1,(L49+L51)*(BL_Distance_Customer*BL_KM_Cost)*(1-Annual_Efficiency_Increase_Backward_Logistics)^3,0)</f>
        <v>0</v>
      </c>
      <c r="M56" s="103">
        <f>IF(BL_Type=1,(M49+M51)*(BL_Distance_Customer*BL_KM_Cost)*(1-Annual_Efficiency_Increase_Backward_Logistics)^4,0)</f>
        <v>0</v>
      </c>
      <c r="N56" s="103"/>
    </row>
    <row r="57" spans="1:14" customFormat="1" ht="15.75" customHeight="1" x14ac:dyDescent="0.2">
      <c r="A57" s="33"/>
      <c r="B57" s="33"/>
      <c r="C57" s="10"/>
      <c r="D57" s="104" t="s">
        <v>134</v>
      </c>
      <c r="E57" s="104" t="s">
        <v>454</v>
      </c>
      <c r="F57" s="102" t="s">
        <v>5</v>
      </c>
      <c r="G57" s="103">
        <f t="shared" ref="G57:G60" si="11">SUM(H57:M57)</f>
        <v>0</v>
      </c>
      <c r="H57" s="103"/>
      <c r="I57" s="103">
        <f>IF(OR(BL_Type=2,BL_Type=3),(I49+I51)*(BL_Distance_Customer*BL_KM_Cost)*(1-Annual_Efficiency_Increase_Backward_Logistics)^0,0)</f>
        <v>0</v>
      </c>
      <c r="J57" s="103">
        <f>IF(OR(BL_Type=2,BL_Type=3),(J49+J51)*(BL_Distance_Customer*BL_KM_Cost)*(1-Annual_Efficiency_Increase_Backward_Logistics)^1,0)</f>
        <v>0</v>
      </c>
      <c r="K57" s="103">
        <f>IF(OR(BL_Type=2,BL_Type=3),(K49+K51)*(BL_Distance_Customer*BL_KM_Cost)*(1-Annual_Efficiency_Increase_Backward_Logistics)^2,0)</f>
        <v>0</v>
      </c>
      <c r="L57" s="103">
        <f>IF(OR(BL_Type=2,BL_Type=3),(L49+L51)*(BL_Distance_Customer*BL_KM_Cost)*(1-Annual_Efficiency_Increase_Backward_Logistics)^3,0)</f>
        <v>0</v>
      </c>
      <c r="M57" s="103">
        <f>IF(OR(BL_Type=2,BL_Type=3),(M49+M51)*(BL_Distance_Customer*BL_KM_Cost)*(1-Annual_Efficiency_Increase_Backward_Logistics)^4,0)</f>
        <v>0</v>
      </c>
      <c r="N57" s="103"/>
    </row>
    <row r="58" spans="1:14" customFormat="1" ht="15.75" customHeight="1" x14ac:dyDescent="0.2">
      <c r="A58" s="33"/>
      <c r="B58" s="33"/>
      <c r="C58" s="10"/>
      <c r="D58" s="104" t="s">
        <v>135</v>
      </c>
      <c r="E58" s="104" t="s">
        <v>455</v>
      </c>
      <c r="F58" s="102" t="s">
        <v>5</v>
      </c>
      <c r="G58" s="103">
        <f t="shared" si="11"/>
        <v>0</v>
      </c>
      <c r="H58" s="103"/>
      <c r="I58" s="103">
        <f>IF(BL_Type=2,(I49+I51)*(BL_Distance_Core_Acquisition_Site*BL_KM_Cost)*(1-Annual_Efficiency_Increase_Backward_Logistics)^0,0)</f>
        <v>0</v>
      </c>
      <c r="J58" s="103">
        <f>IF(BL_Type=2,(J49+J51)*(BL_Distance_Core_Acquisition_Site*BL_KM_Cost)*(1-Annual_Efficiency_Increase_Backward_Logistics)^1,0)</f>
        <v>0</v>
      </c>
      <c r="K58" s="103">
        <f>IF(BL_Type=2,(K49+K51)*(BL_Distance_Core_Acquisition_Site*BL_KM_Cost)*(1-Annual_Efficiency_Increase_Backward_Logistics)^2,0)</f>
        <v>0</v>
      </c>
      <c r="L58" s="103">
        <f>IF(BL_Type=2,(L49+L51)*(BL_Distance_Core_Acquisition_Site*BL_KM_Cost)*(1-Annual_Efficiency_Increase_Backward_Logistics)^3,0)</f>
        <v>0</v>
      </c>
      <c r="M58" s="103">
        <f>IF(BL_Type=2,(M49+M51)*(BL_Distance_Core_Acquisition_Site*BL_KM_Cost)*(1-Annual_Efficiency_Increase_Backward_Logistics)^4,0)</f>
        <v>0</v>
      </c>
      <c r="N58" s="103"/>
    </row>
    <row r="59" spans="1:14" customFormat="1" ht="15.75" customHeight="1" x14ac:dyDescent="0.2">
      <c r="A59" s="33"/>
      <c r="B59" s="33"/>
      <c r="C59" s="10"/>
      <c r="D59" s="104" t="s">
        <v>136</v>
      </c>
      <c r="E59" s="104" t="s">
        <v>456</v>
      </c>
      <c r="F59" s="102" t="s">
        <v>5</v>
      </c>
      <c r="G59" s="103">
        <f t="shared" si="11"/>
        <v>0</v>
      </c>
      <c r="H59" s="103"/>
      <c r="I59" s="103">
        <f>IF(BL_Type=3,(I50+I52)*(BL_Distance_Core_Acquisition_Site*BL_KM_Cost)*(1-Annual_Efficiency_Increase_Backward_Logistics)^0,0)</f>
        <v>0</v>
      </c>
      <c r="J59" s="103">
        <f>IF(BL_Type=3,(J50+J52)*(BL_Distance_Core_Acquisition_Site*BL_KM_Cost)*(1-Annual_Efficiency_Increase_Backward_Logistics)^1,0)</f>
        <v>0</v>
      </c>
      <c r="K59" s="103">
        <f>IF(BL_Type=3,(K50+K52)*(BL_Distance_Core_Acquisition_Site*BL_KM_Cost)*(1-Annual_Efficiency_Increase_Backward_Logistics)^2,0)</f>
        <v>0</v>
      </c>
      <c r="L59" s="103">
        <f>IF(BL_Type=3,(L50+L52)*(BL_Distance_Core_Acquisition_Site*BL_KM_Cost)*(1-Annual_Efficiency_Increase_Backward_Logistics)^3,0)</f>
        <v>0</v>
      </c>
      <c r="M59" s="103">
        <f>IF(BL_Type=3,(M50+M52)*(BL_Distance_Core_Acquisition_Site*BL_KM_Cost)*(1-Annual_Efficiency_Increase_Backward_Logistics)^4,0)</f>
        <v>0</v>
      </c>
      <c r="N59" s="103"/>
    </row>
    <row r="60" spans="1:14" customFormat="1" ht="15.75" customHeight="1" x14ac:dyDescent="0.2">
      <c r="A60" s="33"/>
      <c r="B60" s="33"/>
      <c r="C60" s="10"/>
      <c r="D60" s="104" t="s">
        <v>137</v>
      </c>
      <c r="E60" s="104" t="s">
        <v>457</v>
      </c>
      <c r="F60" s="102" t="s">
        <v>5</v>
      </c>
      <c r="G60" s="103">
        <f t="shared" si="11"/>
        <v>0</v>
      </c>
      <c r="H60" s="103"/>
      <c r="I60" s="103">
        <f>IF(BL_Type=4,(I49+I51)*(BL_Shipment_Cost),0)</f>
        <v>0</v>
      </c>
      <c r="J60" s="103">
        <f>IF(BL_Type=4,(J49+J51)*(BL_Shipment_Cost),0)</f>
        <v>0</v>
      </c>
      <c r="K60" s="103">
        <f>IF(BL_Type=4,(K49+K51)*(BL_Shipment_Cost),0)</f>
        <v>0</v>
      </c>
      <c r="L60" s="103">
        <f>IF(BL_Type=4,(L49+L51)*(BL_Shipment_Cost),0)</f>
        <v>0</v>
      </c>
      <c r="M60" s="103">
        <f>IF(BL_Type=4,(M49+M51)*(BL_Shipment_Cost),0)</f>
        <v>0</v>
      </c>
      <c r="N60" s="103"/>
    </row>
    <row r="61" spans="1:14" customFormat="1" ht="15.75" customHeight="1" x14ac:dyDescent="0.2">
      <c r="A61" s="33"/>
      <c r="B61" s="33"/>
      <c r="C61" s="13" t="s">
        <v>161</v>
      </c>
      <c r="D61" s="13"/>
      <c r="E61" s="13" t="s">
        <v>458</v>
      </c>
      <c r="F61" s="11" t="s">
        <v>5</v>
      </c>
      <c r="G61" s="12">
        <f>SUM(H61:M61)</f>
        <v>0</v>
      </c>
      <c r="H61" s="12"/>
      <c r="I61" s="12">
        <f>SUM(I62:I66)</f>
        <v>0</v>
      </c>
      <c r="J61" s="12">
        <f>SUM(J62:J66)</f>
        <v>0</v>
      </c>
      <c r="K61" s="12">
        <f>SUM(K62:K66)</f>
        <v>0</v>
      </c>
      <c r="L61" s="12">
        <f>SUM(L62:L66)</f>
        <v>0</v>
      </c>
      <c r="M61" s="12">
        <f>SUM(M62:M66)</f>
        <v>0</v>
      </c>
      <c r="N61" s="12"/>
    </row>
    <row r="62" spans="1:14" customFormat="1" ht="15.75" customHeight="1" x14ac:dyDescent="0.2">
      <c r="A62" s="33"/>
      <c r="B62" s="33"/>
      <c r="C62" s="13"/>
      <c r="D62" s="104" t="s">
        <v>133</v>
      </c>
      <c r="E62" s="104" t="s">
        <v>459</v>
      </c>
      <c r="F62" s="102" t="s">
        <v>5</v>
      </c>
      <c r="G62" s="103">
        <f>SUM(H62:M62)</f>
        <v>0</v>
      </c>
      <c r="H62" s="103"/>
      <c r="I62" s="103">
        <f>IF(BL_Type=1,I53*(BL_Distance_Customer*BL_KM_Cost)*(1-Annual_Efficiency_Increase_Backward_Logistics)^0,0)</f>
        <v>0</v>
      </c>
      <c r="J62" s="103">
        <f>IF(BL_Type=1,J53*(BL_Distance_Customer*BL_KM_Cost)*(1-Annual_Efficiency_Increase_Backward_Logistics)^1,0)</f>
        <v>0</v>
      </c>
      <c r="K62" s="103">
        <f>IF(BL_Type=1,K53*(BL_Distance_Customer*BL_KM_Cost)*(1-Annual_Efficiency_Increase_Backward_Logistics)^2,0)</f>
        <v>0</v>
      </c>
      <c r="L62" s="103">
        <f>IF(BL_Type=1,L53*(BL_Distance_Customer*BL_KM_Cost)*(1-Annual_Efficiency_Increase_Backward_Logistics)^3,0)</f>
        <v>0</v>
      </c>
      <c r="M62" s="103">
        <f>IF(BL_Type=1,M53*(BL_Distance_Customer*BL_KM_Cost)*(1-Annual_Efficiency_Increase_Backward_Logistics)^4,0)</f>
        <v>0</v>
      </c>
      <c r="N62" s="103">
        <f>IF(BL_Type=1,N53*(BL_Distance_Customer*BL_KM_Cost)*(1-Annual_Efficiency_Increase_Backward_Logistics)^5,0)</f>
        <v>0</v>
      </c>
    </row>
    <row r="63" spans="1:14" customFormat="1" ht="15.75" customHeight="1" x14ac:dyDescent="0.2">
      <c r="A63" s="33"/>
      <c r="B63" s="33"/>
      <c r="C63" s="13"/>
      <c r="D63" s="104" t="s">
        <v>134</v>
      </c>
      <c r="E63" s="104" t="s">
        <v>460</v>
      </c>
      <c r="F63" s="102" t="s">
        <v>5</v>
      </c>
      <c r="G63" s="103">
        <f t="shared" ref="G63:G67" si="12">SUM(H63:M63)</f>
        <v>0</v>
      </c>
      <c r="H63" s="103"/>
      <c r="I63" s="103">
        <f>IF(OR(BL_Type=2,BL_Type=3),I53*(BL_Distance_Customer*BL_KM_Cost)*(1-Annual_Efficiency_Increase_Backward_Logistics)^0,0)</f>
        <v>0</v>
      </c>
      <c r="J63" s="103">
        <f>IF(OR(BL_Type=2,BL_Type=3),J53*(BL_Distance_Customer*BL_KM_Cost)*(1-Annual_Efficiency_Increase_Backward_Logistics)^1,0)</f>
        <v>0</v>
      </c>
      <c r="K63" s="103">
        <f>IF(OR(BL_Type=2,BL_Type=3),K53*(BL_Distance_Customer*BL_KM_Cost)*(1-Annual_Efficiency_Increase_Backward_Logistics)^2,0)</f>
        <v>0</v>
      </c>
      <c r="L63" s="103">
        <f>IF(OR(BL_Type=2,BL_Type=3),L53*(BL_Distance_Customer*BL_KM_Cost)*(1-Annual_Efficiency_Increase_Backward_Logistics)^3,0)</f>
        <v>0</v>
      </c>
      <c r="M63" s="103">
        <f>IF(OR(BL_Type=2,BL_Type=3),M53*(BL_Distance_Customer*BL_KM_Cost)*(1-Annual_Efficiency_Increase_Backward_Logistics)^4,0)</f>
        <v>0</v>
      </c>
      <c r="N63" s="103">
        <f>IF(OR(BL_Type=2,BL_Type=3),N53*(BL_Distance_Customer*BL_KM_Cost)*(1-Annual_Efficiency_Increase_Backward_Logistics)^5,0)</f>
        <v>0</v>
      </c>
    </row>
    <row r="64" spans="1:14" customFormat="1" ht="15.75" customHeight="1" x14ac:dyDescent="0.2">
      <c r="A64" s="33"/>
      <c r="B64" s="33"/>
      <c r="C64" s="13"/>
      <c r="D64" s="104" t="s">
        <v>135</v>
      </c>
      <c r="E64" s="104" t="s">
        <v>461</v>
      </c>
      <c r="F64" s="102" t="s">
        <v>5</v>
      </c>
      <c r="G64" s="103">
        <f t="shared" si="12"/>
        <v>0</v>
      </c>
      <c r="H64" s="103"/>
      <c r="I64" s="103">
        <f>IF(BL_Type=2,I53*(BL_Distance_Core_Acquisition_Site*BL_KM_Cost)*(1-Annual_Efficiency_Increase_Backward_Logistics)^0,0)</f>
        <v>0</v>
      </c>
      <c r="J64" s="103">
        <f>IF(BL_Type=2,J53*(BL_Distance_Core_Acquisition_Site*BL_KM_Cost)*(1-Annual_Efficiency_Increase_Backward_Logistics)^1,0)</f>
        <v>0</v>
      </c>
      <c r="K64" s="103">
        <f>IF(BL_Type=2,K53*(BL_Distance_Core_Acquisition_Site*BL_KM_Cost)*(1-Annual_Efficiency_Increase_Backward_Logistics)^2,0)</f>
        <v>0</v>
      </c>
      <c r="L64" s="103">
        <f>IF(BL_Type=2,L53*(BL_Distance_Core_Acquisition_Site*BL_KM_Cost)*(1-Annual_Efficiency_Increase_Backward_Logistics)^3,0)</f>
        <v>0</v>
      </c>
      <c r="M64" s="103">
        <f>IF(BL_Type=2,M53*(BL_Distance_Core_Acquisition_Site*BL_KM_Cost)*(1-Annual_Efficiency_Increase_Backward_Logistics)^4,0)</f>
        <v>0</v>
      </c>
      <c r="N64" s="103">
        <f>IF(BL_Type=2,N53*(BL_Distance_Core_Acquisition_Site*BL_KM_Cost)*(1-Annual_Efficiency_Increase_Backward_Logistics)^5,0)</f>
        <v>0</v>
      </c>
    </row>
    <row r="65" spans="1:14" customFormat="1" ht="15.75" customHeight="1" x14ac:dyDescent="0.2">
      <c r="A65" s="33"/>
      <c r="B65" s="33"/>
      <c r="C65" s="13"/>
      <c r="D65" s="104" t="s">
        <v>136</v>
      </c>
      <c r="E65" s="104" t="s">
        <v>462</v>
      </c>
      <c r="F65" s="102" t="s">
        <v>5</v>
      </c>
      <c r="G65" s="103">
        <f t="shared" si="12"/>
        <v>0</v>
      </c>
      <c r="H65" s="103"/>
      <c r="I65" s="103">
        <f>IF(BL_Type=3,I53*Core_Reuse_Rate*(BL_Distance_Core_Acquisition_Site*BL_KM_Cost)*(1-Annual_Efficiency_Increase_Backward_Logistics)^0,0)</f>
        <v>0</v>
      </c>
      <c r="J65" s="103">
        <f>IF(BL_Type=3,J53*Core_Reuse_Rate*(BL_Distance_Core_Acquisition_Site*BL_KM_Cost)*(1-Annual_Efficiency_Increase_Backward_Logistics)^1,0)</f>
        <v>0</v>
      </c>
      <c r="K65" s="103">
        <f>IF(BL_Type=3,K53*Core_Reuse_Rate*(BL_Distance_Core_Acquisition_Site*BL_KM_Cost)*(1-Annual_Efficiency_Increase_Backward_Logistics)^2,0)</f>
        <v>0</v>
      </c>
      <c r="L65" s="103">
        <f>IF(BL_Type=3,L53*Core_Reuse_Rate*(BL_Distance_Core_Acquisition_Site*BL_KM_Cost)*(1-Annual_Efficiency_Increase_Backward_Logistics)^3,0)</f>
        <v>0</v>
      </c>
      <c r="M65" s="103">
        <f>IF(BL_Type=3,M53*Core_Reuse_Rate*(BL_Distance_Core_Acquisition_Site*BL_KM_Cost)*(1-Annual_Efficiency_Increase_Backward_Logistics)^4,0)</f>
        <v>0</v>
      </c>
      <c r="N65" s="103">
        <f>IF(BL_Type=3,N53*Core_Reuse_Rate*(BL_Distance_Core_Acquisition_Site*BL_KM_Cost)*(1-Annual_Efficiency_Increase_Backward_Logistics)^5,0)</f>
        <v>0</v>
      </c>
    </row>
    <row r="66" spans="1:14" customFormat="1" ht="15.75" customHeight="1" x14ac:dyDescent="0.2">
      <c r="A66" s="33"/>
      <c r="B66" s="33"/>
      <c r="C66" s="13"/>
      <c r="D66" s="104" t="s">
        <v>137</v>
      </c>
      <c r="E66" s="104" t="s">
        <v>463</v>
      </c>
      <c r="F66" s="102" t="s">
        <v>5</v>
      </c>
      <c r="G66" s="103">
        <f t="shared" si="12"/>
        <v>0</v>
      </c>
      <c r="H66" s="103"/>
      <c r="I66" s="103">
        <f t="shared" ref="I66:N66" si="13">IF(BL_Type=4,I53*(BL_Shipment_Cost),0)</f>
        <v>0</v>
      </c>
      <c r="J66" s="103">
        <f t="shared" si="13"/>
        <v>0</v>
      </c>
      <c r="K66" s="103">
        <f t="shared" si="13"/>
        <v>0</v>
      </c>
      <c r="L66" s="103">
        <f t="shared" si="13"/>
        <v>0</v>
      </c>
      <c r="M66" s="103">
        <f t="shared" si="13"/>
        <v>0</v>
      </c>
      <c r="N66" s="103">
        <f t="shared" si="13"/>
        <v>0</v>
      </c>
    </row>
    <row r="67" spans="1:14" customFormat="1" ht="15.75" customHeight="1" x14ac:dyDescent="0.2">
      <c r="A67" s="33"/>
      <c r="B67" s="33"/>
      <c r="C67" s="13"/>
      <c r="D67" s="104" t="s">
        <v>163</v>
      </c>
      <c r="E67" s="104" t="s">
        <v>464</v>
      </c>
      <c r="F67" s="102" t="s">
        <v>5</v>
      </c>
      <c r="G67" s="103">
        <f t="shared" si="12"/>
        <v>0</v>
      </c>
      <c r="H67" s="103"/>
      <c r="I67" s="103"/>
      <c r="J67" s="103"/>
      <c r="K67" s="103"/>
      <c r="L67" s="103"/>
      <c r="M67" s="103"/>
      <c r="N67" s="103">
        <f>SUM(N62:N66)</f>
        <v>0</v>
      </c>
    </row>
    <row r="68" spans="1:14" customFormat="1" ht="15.75" customHeight="1" x14ac:dyDescent="0.2">
      <c r="A68" s="33"/>
      <c r="B68" s="33"/>
      <c r="C68" s="13" t="s">
        <v>421</v>
      </c>
      <c r="D68" s="13"/>
      <c r="E68" s="13" t="s">
        <v>465</v>
      </c>
      <c r="F68" s="11" t="s">
        <v>5</v>
      </c>
      <c r="G68" s="12">
        <f>SUM(H68:M68)</f>
        <v>0</v>
      </c>
      <c r="H68" s="12"/>
      <c r="I68" s="12">
        <f>BL_Packaging_Cost*(I49+I51+I53)</f>
        <v>0</v>
      </c>
      <c r="J68" s="12">
        <f>BL_Packaging_Cost*(J49+J51+J53)</f>
        <v>0</v>
      </c>
      <c r="K68" s="12">
        <f>BL_Packaging_Cost*(K49+K51+K53)</f>
        <v>0</v>
      </c>
      <c r="L68" s="12">
        <f>BL_Packaging_Cost*(L49+L51+L53)</f>
        <v>0</v>
      </c>
      <c r="M68" s="12">
        <f>BL_Packaging_Cost*(M49+M51+M53)</f>
        <v>0</v>
      </c>
      <c r="N68" s="12"/>
    </row>
    <row r="69" spans="1:14" customFormat="1" ht="7.5" customHeight="1" x14ac:dyDescent="0.2">
      <c r="A69" s="62"/>
      <c r="B69" s="62"/>
      <c r="C69" s="61"/>
      <c r="D69" s="61"/>
      <c r="E69" s="61"/>
      <c r="F69" s="63"/>
      <c r="G69" s="61"/>
      <c r="H69" s="61"/>
      <c r="I69" s="61"/>
      <c r="J69" s="61"/>
      <c r="K69" s="61"/>
      <c r="L69" s="61"/>
      <c r="M69" s="61"/>
      <c r="N69" s="61"/>
    </row>
    <row r="70" spans="1:14" customFormat="1" ht="15.75" customHeight="1" x14ac:dyDescent="0.2">
      <c r="A70" s="96"/>
      <c r="B70" s="96" t="s">
        <v>208</v>
      </c>
      <c r="C70" s="95"/>
      <c r="D70" s="95"/>
      <c r="E70" s="95" t="s">
        <v>482</v>
      </c>
      <c r="F70" s="97" t="s">
        <v>5</v>
      </c>
      <c r="G70" s="98">
        <f>SUM(H70:M70)</f>
        <v>0</v>
      </c>
      <c r="H70" s="99"/>
      <c r="I70" s="100">
        <f>SUM(I71:I72)+Special_Costs_Dismantling</f>
        <v>0</v>
      </c>
      <c r="J70" s="100">
        <f>SUM(J71:J72)+Special_Costs_Dismantling</f>
        <v>0</v>
      </c>
      <c r="K70" s="100">
        <f>SUM(K71:K72)+Special_Costs_Dismantling</f>
        <v>0</v>
      </c>
      <c r="L70" s="100">
        <f>SUM(L71:L72)+Special_Costs_Dismantling</f>
        <v>0</v>
      </c>
      <c r="M70" s="100">
        <f>SUM(M71:M72)+Special_Costs_Dismantling</f>
        <v>0</v>
      </c>
      <c r="N70" s="99"/>
    </row>
    <row r="71" spans="1:14" customFormat="1" ht="15.75" customHeight="1" x14ac:dyDescent="0.2">
      <c r="A71" s="33"/>
      <c r="B71" s="33"/>
      <c r="C71" s="10" t="s">
        <v>158</v>
      </c>
      <c r="D71" s="10"/>
      <c r="E71" s="10" t="s">
        <v>466</v>
      </c>
      <c r="F71" s="11" t="s">
        <v>5</v>
      </c>
      <c r="G71" s="12">
        <f t="shared" ref="G71:G72" si="14">SUM(H71:M71)</f>
        <v>0</v>
      </c>
      <c r="H71" s="12"/>
      <c r="I71" s="12">
        <f>Manual_Labour_Dismantling*Hourly_Rate_Production_Staff*(I49+I51)*(1-Annual_Efficiency_Increase_Manual_Labour)^0</f>
        <v>0</v>
      </c>
      <c r="J71" s="12">
        <f>Manual_Labour_Dismantling*Hourly_Rate_Production_Staff*(J49+J51)*(1-Annual_Efficiency_Increase_Manual_Labour)^1</f>
        <v>0</v>
      </c>
      <c r="K71" s="12">
        <f>Manual_Labour_Dismantling*Hourly_Rate_Production_Staff*(K49+K51)*(1-Annual_Efficiency_Increase_Manual_Labour)^2</f>
        <v>0</v>
      </c>
      <c r="L71" s="12">
        <f>Manual_Labour_Dismantling*Hourly_Rate_Production_Staff*(L49+L51)*(1-Annual_Efficiency_Increase_Manual_Labour)^3</f>
        <v>0</v>
      </c>
      <c r="M71" s="12">
        <f>Manual_Labour_Dismantling*Hourly_Rate_Production_Staff*(M49+M51)*(1-Annual_Efficiency_Increase_Manual_Labour)^4</f>
        <v>0</v>
      </c>
      <c r="N71" s="12"/>
    </row>
    <row r="72" spans="1:14" customFormat="1" ht="15.75" customHeight="1" x14ac:dyDescent="0.2">
      <c r="A72" s="33"/>
      <c r="B72" s="33"/>
      <c r="C72" s="10" t="s">
        <v>159</v>
      </c>
      <c r="D72" s="10"/>
      <c r="E72" s="10" t="s">
        <v>467</v>
      </c>
      <c r="F72" s="11" t="s">
        <v>5</v>
      </c>
      <c r="G72" s="12">
        <f t="shared" si="14"/>
        <v>0</v>
      </c>
      <c r="H72" s="12"/>
      <c r="I72" s="12">
        <f>Automated_Labour_Dismantling*Hourly_Rate_Machines*(I49+I51)*(1-Annual_Efficiency_Increase_Automated_Labour)^0</f>
        <v>0</v>
      </c>
      <c r="J72" s="12">
        <f>Automated_Labour_Dismantling*Hourly_Rate_Machines*(J49+J51)*(1-Annual_Efficiency_Increase_Automated_Labour)^1</f>
        <v>0</v>
      </c>
      <c r="K72" s="12">
        <f>Automated_Labour_Dismantling*Hourly_Rate_Machines*(K49+K51)*(1-Annual_Efficiency_Increase_Automated_Labour)^2</f>
        <v>0</v>
      </c>
      <c r="L72" s="12">
        <f>Automated_Labour_Dismantling*Hourly_Rate_Machines*(L49+L51)*(1-Annual_Efficiency_Increase_Automated_Labour)^3</f>
        <v>0</v>
      </c>
      <c r="M72" s="12">
        <f>Automated_Labour_Dismantling*Hourly_Rate_Machines*(M49+M51)*(1-Annual_Efficiency_Increase_Automated_Labour)^4</f>
        <v>0</v>
      </c>
      <c r="N72" s="12"/>
    </row>
    <row r="73" spans="1:14" customFormat="1" ht="7.5" customHeight="1" x14ac:dyDescent="0.2">
      <c r="A73" s="62"/>
      <c r="B73" s="62"/>
      <c r="C73" s="61"/>
      <c r="D73" s="61"/>
      <c r="E73" s="61"/>
      <c r="F73" s="63"/>
      <c r="G73" s="61"/>
      <c r="H73" s="61"/>
      <c r="I73" s="61"/>
      <c r="J73" s="61"/>
      <c r="K73" s="61"/>
      <c r="L73" s="61"/>
      <c r="M73" s="61"/>
      <c r="N73" s="61"/>
    </row>
    <row r="74" spans="1:14" customFormat="1" ht="15.75" customHeight="1" x14ac:dyDescent="0.2">
      <c r="A74" s="96"/>
      <c r="B74" s="96" t="s">
        <v>138</v>
      </c>
      <c r="C74" s="95"/>
      <c r="D74" s="95"/>
      <c r="E74" s="95" t="s">
        <v>483</v>
      </c>
      <c r="F74" s="97" t="s">
        <v>5</v>
      </c>
      <c r="G74" s="98">
        <f>SUM(H74:M74)</f>
        <v>0</v>
      </c>
      <c r="H74" s="99"/>
      <c r="I74" s="99">
        <f>SUM(I75:I77)+Special_Costs_Identification___Sorting</f>
        <v>0</v>
      </c>
      <c r="J74" s="99">
        <f>SUM(J75:J77)+Special_Costs_Identification___Sorting</f>
        <v>0</v>
      </c>
      <c r="K74" s="99">
        <f>SUM(K75:K77)+Special_Costs_Identification___Sorting</f>
        <v>0</v>
      </c>
      <c r="L74" s="99">
        <f>SUM(L75:L77)+Special_Costs_Identification___Sorting</f>
        <v>0</v>
      </c>
      <c r="M74" s="99">
        <f>SUM(M75:M77)+Special_Costs_Identification___Sorting</f>
        <v>0</v>
      </c>
      <c r="N74" s="99"/>
    </row>
    <row r="75" spans="1:14" customFormat="1" ht="15.75" customHeight="1" x14ac:dyDescent="0.2">
      <c r="A75" s="33"/>
      <c r="B75" s="33"/>
      <c r="C75" s="10" t="s">
        <v>158</v>
      </c>
      <c r="D75" s="10"/>
      <c r="E75" s="10" t="s">
        <v>468</v>
      </c>
      <c r="F75" s="11" t="s">
        <v>5</v>
      </c>
      <c r="G75" s="12">
        <f t="shared" ref="G75:G77" si="15">SUM(H75:M75)</f>
        <v>0</v>
      </c>
      <c r="H75" s="12"/>
      <c r="I75" s="12">
        <f>Manual_Labour_Identification___Sorting*Hourly_Rate_Production_Staff*(I49+I51)*(1-Annual_Efficiency_Increase_Manual_Labour)^0</f>
        <v>0</v>
      </c>
      <c r="J75" s="12">
        <f>Manual_Labour_Identification___Sorting*Hourly_Rate_Production_Staff*(J49+J51)*(1-Annual_Efficiency_Increase_Manual_Labour)^1</f>
        <v>0</v>
      </c>
      <c r="K75" s="12">
        <f>Manual_Labour_Identification___Sorting*Hourly_Rate_Production_Staff*(K49+K51)*(1-Annual_Efficiency_Increase_Manual_Labour)^2</f>
        <v>0</v>
      </c>
      <c r="L75" s="12">
        <f>Manual_Labour_Identification___Sorting*Hourly_Rate_Production_Staff*(L49+L51)*(1-Annual_Efficiency_Increase_Manual_Labour)^3</f>
        <v>0</v>
      </c>
      <c r="M75" s="12">
        <f>Manual_Labour_Identification___Sorting*Hourly_Rate_Production_Staff*(M49+M51)*(1-Annual_Efficiency_Increase_Manual_Labour)^4</f>
        <v>0</v>
      </c>
      <c r="N75" s="12"/>
    </row>
    <row r="76" spans="1:14" customFormat="1" ht="15.75" customHeight="1" x14ac:dyDescent="0.2">
      <c r="A76" s="33"/>
      <c r="B76" s="33"/>
      <c r="C76" s="10" t="s">
        <v>159</v>
      </c>
      <c r="D76" s="10"/>
      <c r="E76" s="10" t="s">
        <v>469</v>
      </c>
      <c r="F76" s="11" t="s">
        <v>5</v>
      </c>
      <c r="G76" s="12">
        <f t="shared" si="15"/>
        <v>0</v>
      </c>
      <c r="H76" s="12"/>
      <c r="I76" s="12">
        <f>Automated_Labour_Identification___Sorting*Hourly_Rate_Machines*(I49+I51)*(1-Annual_Efficiency_Increase_Automated_Labour)^0</f>
        <v>0</v>
      </c>
      <c r="J76" s="12">
        <f>Automated_Labour_Identification___Sorting*Hourly_Rate_Machines*(J49+J51)*(1-Annual_Efficiency_Increase_Automated_Labour)^1</f>
        <v>0</v>
      </c>
      <c r="K76" s="12">
        <f>Automated_Labour_Identification___Sorting*Hourly_Rate_Machines*(K49+K51)*(1-Annual_Efficiency_Increase_Automated_Labour)^2</f>
        <v>0</v>
      </c>
      <c r="L76" s="12">
        <f>Automated_Labour_Identification___Sorting*Hourly_Rate_Machines*(L49+L51)*(1-Annual_Efficiency_Increase_Automated_Labour)^3</f>
        <v>0</v>
      </c>
      <c r="M76" s="12">
        <f>Automated_Labour_Identification___Sorting*Hourly_Rate_Machines*(M49+M51)*(1-Annual_Efficiency_Increase_Automated_Labour)^4</f>
        <v>0</v>
      </c>
      <c r="N76" s="12"/>
    </row>
    <row r="77" spans="1:14" customFormat="1" ht="15.75" customHeight="1" x14ac:dyDescent="0.2">
      <c r="A77" s="33"/>
      <c r="B77" s="33"/>
      <c r="C77" s="10" t="s">
        <v>167</v>
      </c>
      <c r="D77" s="10"/>
      <c r="E77" s="10" t="s">
        <v>470</v>
      </c>
      <c r="F77" s="11" t="s">
        <v>5</v>
      </c>
      <c r="G77" s="12">
        <f t="shared" si="15"/>
        <v>0</v>
      </c>
      <c r="H77" s="12"/>
      <c r="I77" s="12">
        <f>Disposal_Cost_Core*((I49-I50)+(I51-I52))</f>
        <v>0</v>
      </c>
      <c r="J77" s="12">
        <f>Disposal_Cost_Core*((J49-J50)+(J51-J52))</f>
        <v>0</v>
      </c>
      <c r="K77" s="12">
        <f>Disposal_Cost_Core*((K49-K50)+(K51-K52))</f>
        <v>0</v>
      </c>
      <c r="L77" s="12">
        <f>Disposal_Cost_Core*((L49-L50)+(L51-L52))</f>
        <v>0</v>
      </c>
      <c r="M77" s="12">
        <f>Disposal_Cost_Core*((M49-M50)+(M51-M52))</f>
        <v>0</v>
      </c>
      <c r="N77" s="12"/>
    </row>
    <row r="78" spans="1:14" customFormat="1" ht="7.5" customHeight="1" x14ac:dyDescent="0.2">
      <c r="A78" s="62"/>
      <c r="B78" s="62"/>
      <c r="C78" s="61"/>
      <c r="D78" s="61"/>
      <c r="E78" s="61"/>
      <c r="F78" s="63"/>
      <c r="G78" s="61"/>
      <c r="H78" s="61"/>
      <c r="I78" s="61"/>
      <c r="J78" s="61"/>
      <c r="K78" s="61"/>
      <c r="L78" s="61"/>
      <c r="M78" s="61"/>
      <c r="N78" s="61"/>
    </row>
    <row r="79" spans="1:14" customFormat="1" ht="15" customHeight="1" x14ac:dyDescent="0.2">
      <c r="A79" s="96"/>
      <c r="B79" s="96" t="s">
        <v>139</v>
      </c>
      <c r="C79" s="95"/>
      <c r="D79" s="95"/>
      <c r="E79" s="95" t="s">
        <v>484</v>
      </c>
      <c r="F79" s="97" t="s">
        <v>5</v>
      </c>
      <c r="G79" s="98">
        <f>SUM(H79:M79)</f>
        <v>0</v>
      </c>
      <c r="H79" s="99"/>
      <c r="I79" s="99">
        <f>SUM(I80:I81)+Special_Costs_Disassembly</f>
        <v>0</v>
      </c>
      <c r="J79" s="99">
        <f>SUM(J80:J81)+Special_Costs_Disassembly</f>
        <v>0</v>
      </c>
      <c r="K79" s="99">
        <f>SUM(K80:K81)+Special_Costs_Disassembly</f>
        <v>0</v>
      </c>
      <c r="L79" s="99">
        <f>SUM(L80:L81)+Special_Costs_Disassembly</f>
        <v>0</v>
      </c>
      <c r="M79" s="99">
        <f>SUM(M80:M81)+Special_Costs_Disassembly</f>
        <v>0</v>
      </c>
      <c r="N79" s="99"/>
    </row>
    <row r="80" spans="1:14" customFormat="1" ht="15.75" customHeight="1" x14ac:dyDescent="0.2">
      <c r="A80" s="33"/>
      <c r="B80" s="33"/>
      <c r="C80" s="10" t="s">
        <v>158</v>
      </c>
      <c r="D80" s="10"/>
      <c r="E80" s="10" t="s">
        <v>471</v>
      </c>
      <c r="F80" s="11" t="s">
        <v>5</v>
      </c>
      <c r="G80" s="12">
        <f t="shared" ref="G80" si="16">SUM(H80:M80)</f>
        <v>0</v>
      </c>
      <c r="H80" s="12"/>
      <c r="I80" s="12">
        <f>Manual_Labour_Disassembly*Hourly_Rate_Production_Staff*(I50+I52)*(1-Annual_Efficiency_Increase_Manual_Labour)^0</f>
        <v>0</v>
      </c>
      <c r="J80" s="12">
        <f>Manual_Labour_Disassembly*Hourly_Rate_Production_Staff*(J50+J52)*(1-Annual_Efficiency_Increase_Manual_Labour)^1</f>
        <v>0</v>
      </c>
      <c r="K80" s="12">
        <f>Manual_Labour_Disassembly*Hourly_Rate_Production_Staff*(K50+K52)*(1-Annual_Efficiency_Increase_Manual_Labour)^2</f>
        <v>0</v>
      </c>
      <c r="L80" s="12">
        <f>Manual_Labour_Disassembly*Hourly_Rate_Production_Staff*(L50+L52)*(1-Annual_Efficiency_Increase_Manual_Labour)^3</f>
        <v>0</v>
      </c>
      <c r="M80" s="12">
        <f>Manual_Labour_Disassembly*Hourly_Rate_Production_Staff*(M50+M52)*(1-Annual_Efficiency_Increase_Manual_Labour)^4</f>
        <v>0</v>
      </c>
      <c r="N80" s="12"/>
    </row>
    <row r="81" spans="1:14" customFormat="1" ht="15.75" customHeight="1" x14ac:dyDescent="0.2">
      <c r="A81" s="33"/>
      <c r="B81" s="33"/>
      <c r="C81" s="10" t="s">
        <v>159</v>
      </c>
      <c r="D81" s="10"/>
      <c r="E81" s="10" t="s">
        <v>472</v>
      </c>
      <c r="F81" s="11" t="s">
        <v>5</v>
      </c>
      <c r="G81" s="12">
        <f t="shared" ref="G81" si="17">SUM(H81:M81)</f>
        <v>0</v>
      </c>
      <c r="H81" s="12"/>
      <c r="I81" s="12">
        <f>Automated_Labour_Disassembly*Hourly_Rate_Machines*(I50+I52)*(1-Annual_Efficiency_Increase_Automated_Labour)^0</f>
        <v>0</v>
      </c>
      <c r="J81" s="12">
        <f>Automated_Labour_Disassembly*Hourly_Rate_Machines*(J50+J52)*(1-Annual_Efficiency_Increase_Automated_Labour)^1</f>
        <v>0</v>
      </c>
      <c r="K81" s="12">
        <f>Automated_Labour_Disassembly*Hourly_Rate_Machines*(K50+K52)*(1-Annual_Efficiency_Increase_Automated_Labour)^2</f>
        <v>0</v>
      </c>
      <c r="L81" s="12">
        <f>Automated_Labour_Disassembly*Hourly_Rate_Machines*(L50+L52)*(1-Annual_Efficiency_Increase_Automated_Labour)^3</f>
        <v>0</v>
      </c>
      <c r="M81" s="12">
        <f>Automated_Labour_Disassembly*Hourly_Rate_Machines*(M50+M52)*(1-Annual_Efficiency_Increase_Automated_Labour)^4</f>
        <v>0</v>
      </c>
      <c r="N81" s="12"/>
    </row>
    <row r="82" spans="1:14" customFormat="1" ht="7.5" customHeight="1" x14ac:dyDescent="0.2">
      <c r="A82" s="62"/>
      <c r="B82" s="62"/>
      <c r="C82" s="61"/>
      <c r="D82" s="61"/>
      <c r="E82" s="61"/>
      <c r="F82" s="63"/>
      <c r="G82" s="61"/>
      <c r="H82" s="61"/>
      <c r="I82" s="61"/>
      <c r="J82" s="61"/>
      <c r="K82" s="61"/>
      <c r="L82" s="61"/>
      <c r="M82" s="61"/>
      <c r="N82" s="61"/>
    </row>
    <row r="83" spans="1:14" customFormat="1" ht="15.75" customHeight="1" x14ac:dyDescent="0.2">
      <c r="A83" s="96"/>
      <c r="B83" s="96" t="s">
        <v>140</v>
      </c>
      <c r="C83" s="95"/>
      <c r="D83" s="95"/>
      <c r="E83" s="95" t="s">
        <v>487</v>
      </c>
      <c r="F83" s="97" t="s">
        <v>5</v>
      </c>
      <c r="G83" s="98">
        <f>SUM(H83:M83)</f>
        <v>0</v>
      </c>
      <c r="H83" s="99"/>
      <c r="I83" s="99">
        <f>SUM(I84:I87)+Special_Costs_Inspection</f>
        <v>0</v>
      </c>
      <c r="J83" s="99">
        <f>SUM(J84:J87)+Special_Costs_Inspection</f>
        <v>0</v>
      </c>
      <c r="K83" s="99">
        <f>SUM(K84:K87)+Special_Costs_Inspection</f>
        <v>0</v>
      </c>
      <c r="L83" s="99">
        <f>SUM(L84:L87)+Special_Costs_Inspection</f>
        <v>0</v>
      </c>
      <c r="M83" s="99">
        <f>SUM(M84:M87)+Special_Costs_Inspection</f>
        <v>0</v>
      </c>
      <c r="N83" s="99"/>
    </row>
    <row r="84" spans="1:14" customFormat="1" ht="15.75" customHeight="1" x14ac:dyDescent="0.2">
      <c r="A84" s="33"/>
      <c r="B84" s="33"/>
      <c r="C84" s="10" t="s">
        <v>158</v>
      </c>
      <c r="D84" s="10"/>
      <c r="E84" s="10" t="s">
        <v>475</v>
      </c>
      <c r="F84" s="11" t="s">
        <v>5</v>
      </c>
      <c r="G84" s="12">
        <f t="shared" ref="G84:G85" si="18">SUM(H84:M84)</f>
        <v>0</v>
      </c>
      <c r="H84" s="12"/>
      <c r="I84" s="12">
        <f>Manual_Labour_Inspection*Hourly_Rate_Production_Staff*(I50)*(1-Annual_Efficiency_Increase_Manual_Labour)^0</f>
        <v>0</v>
      </c>
      <c r="J84" s="12">
        <f>Manual_Labour_Inspection*Hourly_Rate_Production_Staff*(J50)*(1-Annual_Efficiency_Increase_Manual_Labour)^1</f>
        <v>0</v>
      </c>
      <c r="K84" s="12">
        <f>Manual_Labour_Inspection*Hourly_Rate_Production_Staff*(K50)*(1-Annual_Efficiency_Increase_Manual_Labour)^2</f>
        <v>0</v>
      </c>
      <c r="L84" s="12">
        <f>Manual_Labour_Inspection*Hourly_Rate_Production_Staff*(L50)*(1-Annual_Efficiency_Increase_Manual_Labour)^3</f>
        <v>0</v>
      </c>
      <c r="M84" s="12">
        <f>Manual_Labour_Inspection*Hourly_Rate_Production_Staff*(M50)*(1-Annual_Efficiency_Increase_Manual_Labour)^4</f>
        <v>0</v>
      </c>
      <c r="N84" s="12"/>
    </row>
    <row r="85" spans="1:14" customFormat="1" ht="15.75" customHeight="1" x14ac:dyDescent="0.2">
      <c r="A85" s="33"/>
      <c r="B85" s="33"/>
      <c r="C85" s="10" t="s">
        <v>159</v>
      </c>
      <c r="D85" s="10"/>
      <c r="E85" s="10" t="s">
        <v>476</v>
      </c>
      <c r="F85" s="11" t="s">
        <v>5</v>
      </c>
      <c r="G85" s="12">
        <f t="shared" si="18"/>
        <v>0</v>
      </c>
      <c r="H85" s="12"/>
      <c r="I85" s="12">
        <f>Automated_Labour_Inspection*Hourly_Rate_Machines*(I50)*(1-Annual_Efficiency_Increase_Automated_Labour)^0</f>
        <v>0</v>
      </c>
      <c r="J85" s="12">
        <f>Automated_Labour_Inspection*Hourly_Rate_Machines*(J50)*(1-Annual_Efficiency_Increase_Automated_Labour)^1</f>
        <v>0</v>
      </c>
      <c r="K85" s="12">
        <f>Automated_Labour_Inspection*Hourly_Rate_Machines*(K50)*(1-Annual_Efficiency_Increase_Automated_Labour)^2</f>
        <v>0</v>
      </c>
      <c r="L85" s="12">
        <f>Automated_Labour_Inspection*Hourly_Rate_Machines*(L50)*(1-Annual_Efficiency_Increase_Automated_Labour)^3</f>
        <v>0</v>
      </c>
      <c r="M85" s="12">
        <f>Automated_Labour_Inspection*Hourly_Rate_Machines*(M50)*(1-Annual_Efficiency_Increase_Automated_Labour)^4</f>
        <v>0</v>
      </c>
      <c r="N85" s="12"/>
    </row>
    <row r="86" spans="1:14" customFormat="1" ht="15.75" customHeight="1" x14ac:dyDescent="0.2">
      <c r="A86" s="33"/>
      <c r="B86" s="33"/>
      <c r="C86" s="10" t="s">
        <v>169</v>
      </c>
      <c r="D86" s="10"/>
      <c r="E86" s="10" t="s">
        <v>473</v>
      </c>
      <c r="F86" s="11" t="s">
        <v>5</v>
      </c>
      <c r="G86" s="12">
        <f>SUM(H86:M86)</f>
        <v>0</v>
      </c>
      <c r="H86" s="12"/>
      <c r="I86" s="12">
        <f>Disposal_Cost_Component*Scrap_Rate*Reusable_Components*(I50+I52)</f>
        <v>0</v>
      </c>
      <c r="J86" s="12">
        <f>Disposal_Cost_Component*Scrap_Rate*Reusable_Components*(J50+J52)</f>
        <v>0</v>
      </c>
      <c r="K86" s="12">
        <f>Disposal_Cost_Component*Scrap_Rate*Reusable_Components*(K50+K52)</f>
        <v>0</v>
      </c>
      <c r="L86" s="12">
        <f>Disposal_Cost_Component*Scrap_Rate*Reusable_Components*(L50+L52)</f>
        <v>0</v>
      </c>
      <c r="M86" s="12">
        <f>Disposal_Cost_Component*Scrap_Rate*Reusable_Components*(M50+M52)</f>
        <v>0</v>
      </c>
      <c r="N86" s="12"/>
    </row>
    <row r="87" spans="1:14" customFormat="1" ht="15.75" customHeight="1" x14ac:dyDescent="0.2">
      <c r="A87" s="33"/>
      <c r="B87" s="33"/>
      <c r="C87" s="10" t="s">
        <v>168</v>
      </c>
      <c r="D87" s="10"/>
      <c r="E87" s="10" t="s">
        <v>474</v>
      </c>
      <c r="F87" s="11" t="s">
        <v>5</v>
      </c>
      <c r="G87" s="12">
        <f>SUM(H87:M87)</f>
        <v>0</v>
      </c>
      <c r="H87" s="12"/>
      <c r="I87" s="12">
        <f>Disposal_Cost_Component*Not_Reusable_Components*(I50+I52)</f>
        <v>0</v>
      </c>
      <c r="J87" s="12">
        <f>Disposal_Cost_Component*Not_Reusable_Components*(J50+J52)</f>
        <v>0</v>
      </c>
      <c r="K87" s="12">
        <f>Disposal_Cost_Component*Not_Reusable_Components*(K50+K52)</f>
        <v>0</v>
      </c>
      <c r="L87" s="12">
        <f>Disposal_Cost_Component*Not_Reusable_Components*(L50+L52)</f>
        <v>0</v>
      </c>
      <c r="M87" s="12">
        <f>Disposal_Cost_Component*Not_Reusable_Components*(M50+M52)</f>
        <v>0</v>
      </c>
      <c r="N87" s="12"/>
    </row>
    <row r="88" spans="1:14" customFormat="1" ht="7.5" customHeight="1" x14ac:dyDescent="0.2">
      <c r="A88" s="62"/>
      <c r="B88" s="62"/>
      <c r="C88" s="61"/>
      <c r="D88" s="61"/>
      <c r="E88" s="61"/>
      <c r="F88" s="63"/>
      <c r="G88" s="61"/>
      <c r="H88" s="61"/>
      <c r="I88" s="61"/>
      <c r="J88" s="61"/>
      <c r="K88" s="61"/>
      <c r="L88" s="61"/>
      <c r="M88" s="61"/>
      <c r="N88" s="61"/>
    </row>
    <row r="89" spans="1:14" customFormat="1" ht="15.75" customHeight="1" x14ac:dyDescent="0.2">
      <c r="A89" s="96"/>
      <c r="B89" s="96" t="s">
        <v>141</v>
      </c>
      <c r="C89" s="95"/>
      <c r="D89" s="95"/>
      <c r="E89" s="95" t="s">
        <v>486</v>
      </c>
      <c r="F89" s="97" t="s">
        <v>5</v>
      </c>
      <c r="G89" s="98">
        <f>SUM(H89:M89)</f>
        <v>0</v>
      </c>
      <c r="H89" s="99"/>
      <c r="I89" s="99">
        <f>SUM(I90:I91)+Special_Costs_Cleaning</f>
        <v>0</v>
      </c>
      <c r="J89" s="99">
        <f>SUM(J90:J91)+Special_Costs_Cleaning</f>
        <v>0</v>
      </c>
      <c r="K89" s="99">
        <f>SUM(K90:K91)+Special_Costs_Cleaning</f>
        <v>0</v>
      </c>
      <c r="L89" s="99">
        <f>SUM(L90:L91)+Special_Costs_Cleaning</f>
        <v>0</v>
      </c>
      <c r="M89" s="99">
        <f>SUM(M90:M91)+Special_Costs_Cleaning</f>
        <v>0</v>
      </c>
      <c r="N89" s="99"/>
    </row>
    <row r="90" spans="1:14" customFormat="1" ht="15.75" customHeight="1" x14ac:dyDescent="0.2">
      <c r="A90" s="33"/>
      <c r="B90" s="33"/>
      <c r="C90" s="10" t="s">
        <v>158</v>
      </c>
      <c r="D90" s="10"/>
      <c r="E90" s="10" t="s">
        <v>477</v>
      </c>
      <c r="F90" s="11" t="s">
        <v>5</v>
      </c>
      <c r="G90" s="12">
        <f t="shared" ref="G90:G91" si="19">SUM(H90:M90)</f>
        <v>0</v>
      </c>
      <c r="H90" s="12"/>
      <c r="I90" s="12">
        <f>Manual_Labour_Cleaning*Hourly_Rate_Production_Staff*(I50)*(1-Annual_Efficiency_Increase_Manual_Labour)^0</f>
        <v>0</v>
      </c>
      <c r="J90" s="12">
        <f>Manual_Labour_Cleaning*Hourly_Rate_Production_Staff*(J50)*(1-Annual_Efficiency_Increase_Manual_Labour)^1</f>
        <v>0</v>
      </c>
      <c r="K90" s="12">
        <f>Manual_Labour_Cleaning*Hourly_Rate_Production_Staff*(K50)*(1-Annual_Efficiency_Increase_Manual_Labour)^2</f>
        <v>0</v>
      </c>
      <c r="L90" s="12">
        <f>Manual_Labour_Cleaning*Hourly_Rate_Production_Staff*(L50)*(1-Annual_Efficiency_Increase_Manual_Labour)^3</f>
        <v>0</v>
      </c>
      <c r="M90" s="12">
        <f>Manual_Labour_Cleaning*Hourly_Rate_Production_Staff*(M50)*(1-Annual_Efficiency_Increase_Manual_Labour)^4</f>
        <v>0</v>
      </c>
      <c r="N90" s="12"/>
    </row>
    <row r="91" spans="1:14" customFormat="1" ht="15.75" customHeight="1" x14ac:dyDescent="0.2">
      <c r="A91" s="33"/>
      <c r="B91" s="33"/>
      <c r="C91" s="10" t="s">
        <v>159</v>
      </c>
      <c r="D91" s="10"/>
      <c r="E91" s="10" t="s">
        <v>478</v>
      </c>
      <c r="F91" s="11" t="s">
        <v>5</v>
      </c>
      <c r="G91" s="12">
        <f t="shared" si="19"/>
        <v>0</v>
      </c>
      <c r="H91" s="12"/>
      <c r="I91" s="12">
        <f>Automated_Labour_Cleaning*Hourly_Rate_Machines*(I50)*(1-Annual_Efficiency_Increase_Automated_Labour)^0</f>
        <v>0</v>
      </c>
      <c r="J91" s="12">
        <f>Automated_Labour_Cleaning*Hourly_Rate_Machines*(J50)*(1-Annual_Efficiency_Increase_Automated_Labour)^1</f>
        <v>0</v>
      </c>
      <c r="K91" s="12">
        <f>Automated_Labour_Cleaning*Hourly_Rate_Machines*(K50)*(1-Annual_Efficiency_Increase_Automated_Labour)^2</f>
        <v>0</v>
      </c>
      <c r="L91" s="12">
        <f>Automated_Labour_Cleaning*Hourly_Rate_Machines*(L50)*(1-Annual_Efficiency_Increase_Automated_Labour)^3</f>
        <v>0</v>
      </c>
      <c r="M91" s="12">
        <f>Automated_Labour_Cleaning*Hourly_Rate_Machines*(M50)*(1-Annual_Efficiency_Increase_Automated_Labour)^4</f>
        <v>0</v>
      </c>
      <c r="N91" s="12"/>
    </row>
    <row r="92" spans="1:14" customFormat="1" ht="7.5" customHeight="1" x14ac:dyDescent="0.2">
      <c r="A92" s="62"/>
      <c r="B92" s="62"/>
      <c r="C92" s="61"/>
      <c r="D92" s="61"/>
      <c r="E92" s="61"/>
      <c r="F92" s="63"/>
      <c r="G92" s="61"/>
      <c r="H92" s="61"/>
      <c r="I92" s="61"/>
      <c r="J92" s="61"/>
      <c r="K92" s="61"/>
      <c r="L92" s="61"/>
      <c r="M92" s="61"/>
      <c r="N92" s="61"/>
    </row>
    <row r="93" spans="1:14" customFormat="1" ht="15.75" customHeight="1" x14ac:dyDescent="0.2">
      <c r="A93" s="96"/>
      <c r="B93" s="96" t="s">
        <v>142</v>
      </c>
      <c r="C93" s="95"/>
      <c r="D93" s="95"/>
      <c r="E93" s="95" t="s">
        <v>485</v>
      </c>
      <c r="F93" s="97" t="s">
        <v>5</v>
      </c>
      <c r="G93" s="98">
        <f>SUM(H93:M93)</f>
        <v>0</v>
      </c>
      <c r="H93" s="99"/>
      <c r="I93" s="99">
        <f>SUM(I94:I96)+Special_Costs_Restoring</f>
        <v>0</v>
      </c>
      <c r="J93" s="99">
        <f>SUM(J94:J96)+Special_Costs_Restoring</f>
        <v>0</v>
      </c>
      <c r="K93" s="99">
        <f>SUM(K94:K96)+Special_Costs_Restoring</f>
        <v>0</v>
      </c>
      <c r="L93" s="99">
        <f>SUM(L94:L96)+Special_Costs_Restoring</f>
        <v>0</v>
      </c>
      <c r="M93" s="99">
        <f>SUM(M94:M96)+Special_Costs_Restoring</f>
        <v>0</v>
      </c>
      <c r="N93" s="99"/>
    </row>
    <row r="94" spans="1:14" customFormat="1" ht="15.75" customHeight="1" x14ac:dyDescent="0.2">
      <c r="A94" s="33"/>
      <c r="B94" s="33"/>
      <c r="C94" s="10" t="s">
        <v>158</v>
      </c>
      <c r="D94" s="10"/>
      <c r="E94" s="10" t="s">
        <v>479</v>
      </c>
      <c r="F94" s="11" t="s">
        <v>5</v>
      </c>
      <c r="G94" s="12">
        <f t="shared" ref="G94:G96" si="20">SUM(H94:M94)</f>
        <v>0</v>
      </c>
      <c r="H94" s="12"/>
      <c r="I94" s="12">
        <f>Manual_Labour_Restoring*Hourly_Rate_Production_Staff*(I50)*(1-Annual_Efficiency_Increase_Manual_Labour)^0</f>
        <v>0</v>
      </c>
      <c r="J94" s="12">
        <f>Manual_Labour_Restoring*Hourly_Rate_Production_Staff*(J50)*(1-Annual_Efficiency_Increase_Manual_Labour)^1</f>
        <v>0</v>
      </c>
      <c r="K94" s="12">
        <f>Manual_Labour_Restoring*Hourly_Rate_Production_Staff*(K50)*(1-Annual_Efficiency_Increase_Manual_Labour)^2</f>
        <v>0</v>
      </c>
      <c r="L94" s="12">
        <f>Manual_Labour_Restoring*Hourly_Rate_Production_Staff*(L50)*(1-Annual_Efficiency_Increase_Manual_Labour)^3</f>
        <v>0</v>
      </c>
      <c r="M94" s="12">
        <f>Manual_Labour_Restoring*Hourly_Rate_Production_Staff*(M50)*(1-Annual_Efficiency_Increase_Manual_Labour)^4</f>
        <v>0</v>
      </c>
      <c r="N94" s="12"/>
    </row>
    <row r="95" spans="1:14" customFormat="1" ht="15.75" customHeight="1" x14ac:dyDescent="0.2">
      <c r="A95" s="33"/>
      <c r="B95" s="33"/>
      <c r="C95" s="10" t="s">
        <v>159</v>
      </c>
      <c r="D95" s="10"/>
      <c r="E95" s="10" t="s">
        <v>480</v>
      </c>
      <c r="F95" s="11" t="s">
        <v>5</v>
      </c>
      <c r="G95" s="12">
        <f t="shared" si="20"/>
        <v>0</v>
      </c>
      <c r="H95" s="12"/>
      <c r="I95" s="12">
        <f>Automated_Labour_Restoring*Hourly_Rate_Machines*(I50)*(1-Annual_Efficiency_Increase_Automated_Labour)^0</f>
        <v>0</v>
      </c>
      <c r="J95" s="12">
        <f>Automated_Labour_Restoring*Hourly_Rate_Machines*(J50)*(1-Annual_Efficiency_Increase_Automated_Labour)^1</f>
        <v>0</v>
      </c>
      <c r="K95" s="12">
        <f>Automated_Labour_Restoring*Hourly_Rate_Machines*(K50)*(1-Annual_Efficiency_Increase_Automated_Labour)^2</f>
        <v>0</v>
      </c>
      <c r="L95" s="12">
        <f>Automated_Labour_Restoring*Hourly_Rate_Machines*(L50)*(1-Annual_Efficiency_Increase_Automated_Labour)^3</f>
        <v>0</v>
      </c>
      <c r="M95" s="12">
        <f>Automated_Labour_Restoring*Hourly_Rate_Machines*(M50)*(1-Annual_Efficiency_Increase_Automated_Labour)^4</f>
        <v>0</v>
      </c>
      <c r="N95" s="12"/>
    </row>
    <row r="96" spans="1:14" customFormat="1" ht="15.75" customHeight="1" x14ac:dyDescent="0.2">
      <c r="A96" s="33"/>
      <c r="B96" s="33"/>
      <c r="C96" s="10" t="s">
        <v>423</v>
      </c>
      <c r="D96" s="10"/>
      <c r="E96" s="10" t="s">
        <v>481</v>
      </c>
      <c r="F96" s="11" t="s">
        <v>5</v>
      </c>
      <c r="G96" s="12">
        <f t="shared" si="20"/>
        <v>0</v>
      </c>
      <c r="H96" s="12"/>
      <c r="I96" s="12">
        <f>Material_Cost_Restoring*I50*(1+Annual_Price_Trend_Virgin_Materials)^0</f>
        <v>0</v>
      </c>
      <c r="J96" s="12">
        <f>Material_Cost_Restoring*J50*(1+Annual_Price_Trend_Virgin_Materials)^1</f>
        <v>0</v>
      </c>
      <c r="K96" s="12">
        <f>Material_Cost_Restoring*K50*(1+Annual_Price_Trend_Virgin_Materials)^2</f>
        <v>0</v>
      </c>
      <c r="L96" s="12">
        <f>Material_Cost_Restoring*L50*(1+Annual_Price_Trend_Virgin_Materials)^3</f>
        <v>0</v>
      </c>
      <c r="M96" s="12">
        <f>Material_Cost_Restoring*M50*(1+Annual_Price_Trend_Virgin_Materials)^4</f>
        <v>0</v>
      </c>
      <c r="N96" s="12"/>
    </row>
    <row r="97" spans="1:14" customFormat="1" ht="7.5" customHeight="1" x14ac:dyDescent="0.2">
      <c r="A97" s="62"/>
      <c r="B97" s="62"/>
      <c r="C97" s="61"/>
      <c r="D97" s="61"/>
      <c r="E97" s="61"/>
      <c r="F97" s="63"/>
      <c r="G97" s="61"/>
      <c r="H97" s="61"/>
      <c r="I97" s="61"/>
      <c r="J97" s="61"/>
      <c r="K97" s="61"/>
      <c r="L97" s="61"/>
      <c r="M97" s="61"/>
      <c r="N97" s="61"/>
    </row>
    <row r="98" spans="1:14" customFormat="1" ht="15.75" customHeight="1" x14ac:dyDescent="0.2">
      <c r="A98" s="96"/>
      <c r="B98" s="96" t="s">
        <v>143</v>
      </c>
      <c r="C98" s="95"/>
      <c r="D98" s="95"/>
      <c r="E98" s="95" t="s">
        <v>493</v>
      </c>
      <c r="F98" s="97" t="s">
        <v>5</v>
      </c>
      <c r="G98" s="98">
        <f>SUM(H98:M98)</f>
        <v>0</v>
      </c>
      <c r="H98" s="99"/>
      <c r="I98" s="99">
        <f>SUM(I99:I101)+Special_Costs_Assembly</f>
        <v>0</v>
      </c>
      <c r="J98" s="99">
        <f>SUM(J99:J101)+Special_Costs_Assembly</f>
        <v>0</v>
      </c>
      <c r="K98" s="99">
        <f>SUM(K99:K101)+Special_Costs_Assembly</f>
        <v>0</v>
      </c>
      <c r="L98" s="99">
        <f>SUM(L99:L101)+Special_Costs_Assembly</f>
        <v>0</v>
      </c>
      <c r="M98" s="99">
        <f>SUM(M99:M101)+Special_Costs_Assembly</f>
        <v>0</v>
      </c>
      <c r="N98" s="99"/>
    </row>
    <row r="99" spans="1:14" customFormat="1" ht="15.75" customHeight="1" x14ac:dyDescent="0.2">
      <c r="A99" s="33"/>
      <c r="B99" s="33"/>
      <c r="C99" s="10" t="s">
        <v>158</v>
      </c>
      <c r="D99" s="10"/>
      <c r="E99" s="10" t="s">
        <v>488</v>
      </c>
      <c r="F99" s="11" t="s">
        <v>5</v>
      </c>
      <c r="G99" s="12">
        <f t="shared" ref="G99:G101" si="21">SUM(H99:M99)</f>
        <v>0</v>
      </c>
      <c r="H99" s="12"/>
      <c r="I99" s="12">
        <f>Manual_Labour_Assembly*Hourly_Rate_Production_Staff*(Sales_Year_1)*(1-Annual_Efficiency_Increase_Manual_Labour)^0</f>
        <v>0</v>
      </c>
      <c r="J99" s="12">
        <f>Manual_Labour_Assembly*Hourly_Rate_Production_Staff*(Sales_Year_2)*(1-Annual_Efficiency_Increase_Manual_Labour)^1</f>
        <v>0</v>
      </c>
      <c r="K99" s="12">
        <f>Manual_Labour_Assembly*Hourly_Rate_Production_Staff*(Sales_Year_3)*(1-Annual_Efficiency_Increase_Manual_Labour)^2</f>
        <v>0</v>
      </c>
      <c r="L99" s="12">
        <f>Manual_Labour_Assembly*Hourly_Rate_Production_Staff*(Sales_Year_4)*(1-Annual_Efficiency_Increase_Manual_Labour)^3</f>
        <v>0</v>
      </c>
      <c r="M99" s="12">
        <f>Manual_Labour_Assembly*Hourly_Rate_Production_Staff*(Sales_Year_5)*(1-Annual_Efficiency_Increase_Manual_Labour)^4</f>
        <v>0</v>
      </c>
      <c r="N99" s="12"/>
    </row>
    <row r="100" spans="1:14" customFormat="1" ht="15.75" customHeight="1" x14ac:dyDescent="0.2">
      <c r="A100" s="33"/>
      <c r="B100" s="33"/>
      <c r="C100" s="10" t="s">
        <v>159</v>
      </c>
      <c r="D100" s="10"/>
      <c r="E100" s="10" t="s">
        <v>489</v>
      </c>
      <c r="F100" s="11" t="s">
        <v>5</v>
      </c>
      <c r="G100" s="12">
        <f t="shared" si="21"/>
        <v>0</v>
      </c>
      <c r="H100" s="12"/>
      <c r="I100" s="12">
        <f>Automated_Labour_Assembly*Hourly_Rate_Machines*(Sales_Year_1)*(1-Annual_Efficiency_Increase_Automated_Labour)^0</f>
        <v>0</v>
      </c>
      <c r="J100" s="12">
        <f>Automated_Labour_Assembly*Hourly_Rate_Machines*(Sales_Year_2)*(1-Annual_Efficiency_Increase_Automated_Labour)^1</f>
        <v>0</v>
      </c>
      <c r="K100" s="12">
        <f>Automated_Labour_Assembly*Hourly_Rate_Machines*(Sales_Year_3)*(1-Annual_Efficiency_Increase_Automated_Labour)^2</f>
        <v>0</v>
      </c>
      <c r="L100" s="12">
        <f>Automated_Labour_Assembly*Hourly_Rate_Machines*(Sales_Year_4)*(1-Annual_Efficiency_Increase_Automated_Labour)^3</f>
        <v>0</v>
      </c>
      <c r="M100" s="12">
        <f>Automated_Labour_Assembly*Hourly_Rate_Machines*(Sales_Year_5)*(1-Annual_Efficiency_Increase_Automated_Labour)^4</f>
        <v>0</v>
      </c>
      <c r="N100" s="12"/>
    </row>
    <row r="101" spans="1:14" customFormat="1" ht="15.75" customHeight="1" x14ac:dyDescent="0.2">
      <c r="A101" s="33"/>
      <c r="B101" s="33"/>
      <c r="C101" s="10" t="s">
        <v>422</v>
      </c>
      <c r="D101" s="10"/>
      <c r="E101" s="10" t="s">
        <v>490</v>
      </c>
      <c r="F101" s="11" t="s">
        <v>5</v>
      </c>
      <c r="G101" s="12">
        <f t="shared" si="21"/>
        <v>0</v>
      </c>
      <c r="H101" s="12"/>
      <c r="I101" s="12">
        <f>(Spare_Part_Costs+Additional_Component_Costs)*Sales_Year_1*(1+Annual_Price_Trend_Virgin_Materials)^0</f>
        <v>0</v>
      </c>
      <c r="J101" s="12">
        <f>(Spare_Part_Costs+Additional_Component_Costs)*Sales_Year_2*(1+Annual_Price_Trend_Virgin_Materials)^1</f>
        <v>0</v>
      </c>
      <c r="K101" s="12">
        <f>(Spare_Part_Costs+Additional_Component_Costs)*Sales_Year_3*(1+Annual_Price_Trend_Virgin_Materials)^2</f>
        <v>0</v>
      </c>
      <c r="L101" s="12">
        <f>(Spare_Part_Costs+Additional_Component_Costs)*Sales_Year_4*(1+Annual_Price_Trend_Virgin_Materials)^3</f>
        <v>0</v>
      </c>
      <c r="M101" s="12">
        <f>(Spare_Part_Costs+Additional_Component_Costs)*Sales_Year_5*(1+Annual_Price_Trend_Virgin_Materials)^4</f>
        <v>0</v>
      </c>
      <c r="N101" s="12"/>
    </row>
    <row r="102" spans="1:14" customFormat="1" ht="7.5" customHeight="1" x14ac:dyDescent="0.2">
      <c r="A102" s="62"/>
      <c r="B102" s="62"/>
      <c r="C102" s="61"/>
      <c r="D102" s="61"/>
      <c r="E102" s="61"/>
      <c r="F102" s="63"/>
      <c r="G102" s="61"/>
      <c r="H102" s="61"/>
      <c r="I102" s="61"/>
      <c r="J102" s="61"/>
      <c r="K102" s="61"/>
      <c r="L102" s="61"/>
      <c r="M102" s="61"/>
      <c r="N102" s="61"/>
    </row>
    <row r="103" spans="1:14" customFormat="1" ht="15.75" customHeight="1" x14ac:dyDescent="0.2">
      <c r="A103" s="96"/>
      <c r="B103" s="96" t="s">
        <v>144</v>
      </c>
      <c r="C103" s="95"/>
      <c r="D103" s="95"/>
      <c r="E103" s="95" t="s">
        <v>494</v>
      </c>
      <c r="F103" s="97" t="s">
        <v>5</v>
      </c>
      <c r="G103" s="98">
        <f>SUM(H103:M103)</f>
        <v>0</v>
      </c>
      <c r="H103" s="99"/>
      <c r="I103" s="99">
        <f>SUM(I104:I105)+Special_Costs_Testing</f>
        <v>0</v>
      </c>
      <c r="J103" s="99">
        <f>SUM(J104:J105)+Special_Costs_Testing</f>
        <v>0</v>
      </c>
      <c r="K103" s="99">
        <f>SUM(K104:K105)+Special_Costs_Testing</f>
        <v>0</v>
      </c>
      <c r="L103" s="99">
        <f>SUM(L104:L105)+Special_Costs_Testing</f>
        <v>0</v>
      </c>
      <c r="M103" s="99">
        <f>SUM(M104:M105)+Special_Costs_Testing</f>
        <v>0</v>
      </c>
      <c r="N103" s="99"/>
    </row>
    <row r="104" spans="1:14" customFormat="1" ht="15.75" customHeight="1" x14ac:dyDescent="0.2">
      <c r="A104" s="33"/>
      <c r="B104" s="33"/>
      <c r="C104" s="10" t="s">
        <v>158</v>
      </c>
      <c r="D104" s="10"/>
      <c r="E104" s="10" t="s">
        <v>491</v>
      </c>
      <c r="F104" s="11" t="s">
        <v>5</v>
      </c>
      <c r="G104" s="12">
        <f t="shared" ref="G104:G105" si="22">SUM(H104:M104)</f>
        <v>0</v>
      </c>
      <c r="H104" s="12"/>
      <c r="I104" s="12">
        <f>Manual_Labour_Testing*Hourly_Rate_Production_Staff*(Sales_Year_1)*(1-Annual_Efficiency_Increase_Manual_Labour)^0</f>
        <v>0</v>
      </c>
      <c r="J104" s="12">
        <f>Manual_Labour_Testing*Hourly_Rate_Production_Staff*(Sales_Year_2)*(1-Annual_Efficiency_Increase_Manual_Labour)^1</f>
        <v>0</v>
      </c>
      <c r="K104" s="12">
        <f>Manual_Labour_Testing*Hourly_Rate_Production_Staff*(Sales_Year_3)*(1-Annual_Efficiency_Increase_Manual_Labour)^2</f>
        <v>0</v>
      </c>
      <c r="L104" s="12">
        <f>Manual_Labour_Testing*Hourly_Rate_Production_Staff*(Sales_Year_4)*(1-Annual_Efficiency_Increase_Manual_Labour)^3</f>
        <v>0</v>
      </c>
      <c r="M104" s="12">
        <f>Manual_Labour_Testing*Hourly_Rate_Production_Staff*(Sales_Year_5)*(1-Annual_Efficiency_Increase_Manual_Labour)^4</f>
        <v>0</v>
      </c>
      <c r="N104" s="12"/>
    </row>
    <row r="105" spans="1:14" customFormat="1" ht="15.75" customHeight="1" x14ac:dyDescent="0.2">
      <c r="A105" s="33"/>
      <c r="B105" s="33"/>
      <c r="C105" s="10" t="s">
        <v>159</v>
      </c>
      <c r="D105" s="10"/>
      <c r="E105" s="10" t="s">
        <v>492</v>
      </c>
      <c r="F105" s="11" t="s">
        <v>5</v>
      </c>
      <c r="G105" s="12">
        <f t="shared" si="22"/>
        <v>0</v>
      </c>
      <c r="H105" s="12"/>
      <c r="I105" s="12">
        <f>Automated_Labour_Testing*Hourly_Rate_Machines*(Sales_Year_1)*(1-Annual_Efficiency_Increase_Automated_Labour)^0</f>
        <v>0</v>
      </c>
      <c r="J105" s="12">
        <f>Automated_Labour_Testing*Hourly_Rate_Machines*(Sales_Year_2)*(1-Annual_Efficiency_Increase_Automated_Labour)^1</f>
        <v>0</v>
      </c>
      <c r="K105" s="12">
        <f>Automated_Labour_Testing*Hourly_Rate_Machines*(Sales_Year_3)*(1-Annual_Efficiency_Increase_Automated_Labour)^2</f>
        <v>0</v>
      </c>
      <c r="L105" s="12">
        <f>Automated_Labour_Testing*Hourly_Rate_Machines*(Sales_Year_4)*(1-Annual_Efficiency_Increase_Automated_Labour)^3</f>
        <v>0</v>
      </c>
      <c r="M105" s="12">
        <f>Automated_Labour_Testing*Hourly_Rate_Machines*(Sales_Year_5)*(1-Annual_Efficiency_Increase_Automated_Labour)^4</f>
        <v>0</v>
      </c>
      <c r="N105" s="12"/>
    </row>
    <row r="106" spans="1:14" customFormat="1" ht="15.75" customHeight="1" x14ac:dyDescent="0.2">
      <c r="A106" s="33"/>
      <c r="B106" s="33"/>
      <c r="C106" s="10" t="s">
        <v>540</v>
      </c>
      <c r="D106" s="10"/>
      <c r="E106" s="10" t="s">
        <v>542</v>
      </c>
      <c r="F106" s="11" t="s">
        <v>5</v>
      </c>
      <c r="G106" s="12">
        <f t="shared" ref="G106" si="23">SUM(H106:M106)</f>
        <v>0</v>
      </c>
      <c r="H106" s="12"/>
      <c r="I106" s="12">
        <f>Certification_Costs*Sales_Year_1</f>
        <v>0</v>
      </c>
      <c r="J106" s="12">
        <f>Certification_Costs*Sales_Year_2</f>
        <v>0</v>
      </c>
      <c r="K106" s="12">
        <f>Certification_Costs*Sales_Year_3</f>
        <v>0</v>
      </c>
      <c r="L106" s="12">
        <f>Certification_Costs*Sales_Year_4</f>
        <v>0</v>
      </c>
      <c r="M106" s="12">
        <f>Certification_Costs*Sales_Year_5</f>
        <v>0</v>
      </c>
      <c r="N106" s="12"/>
    </row>
    <row r="107" spans="1:14" customFormat="1" ht="7.5" customHeight="1" x14ac:dyDescent="0.2">
      <c r="A107" s="62"/>
      <c r="B107" s="62"/>
      <c r="C107" s="61"/>
      <c r="D107" s="61"/>
      <c r="E107" s="61"/>
      <c r="F107" s="63"/>
      <c r="G107" s="61"/>
      <c r="H107" s="61"/>
      <c r="I107" s="61"/>
      <c r="J107" s="61"/>
      <c r="K107" s="61"/>
      <c r="L107" s="61"/>
      <c r="M107" s="61"/>
      <c r="N107" s="61"/>
    </row>
    <row r="108" spans="1:14" customFormat="1" ht="15" customHeight="1" x14ac:dyDescent="0.2">
      <c r="A108" s="96"/>
      <c r="B108" s="96" t="s">
        <v>13</v>
      </c>
      <c r="C108" s="95"/>
      <c r="D108" s="95"/>
      <c r="E108" s="95" t="s">
        <v>500</v>
      </c>
      <c r="F108" s="97" t="s">
        <v>5</v>
      </c>
      <c r="G108" s="98">
        <f>SUM(H108:M108)</f>
        <v>0</v>
      </c>
      <c r="H108" s="99"/>
      <c r="I108" s="99">
        <f>IF('Step 1 - Case Selection'!V51="as a Flat Rate",I109+Special_Costs_Forward_Logistics,SUM(I110:I113)+Special_Costs_Forward_Logistics)</f>
        <v>0</v>
      </c>
      <c r="J108" s="99">
        <f>IF('Step 1 - Case Selection'!V51="as a Flat Rate",J109+Special_Costs_Forward_Logistics,SUM(J110:J113)+Special_Costs_Forward_Logistics)</f>
        <v>0</v>
      </c>
      <c r="K108" s="99">
        <f>IF('Step 1 - Case Selection'!V51="as a Flat Rate",K109+Special_Costs_Forward_Logistics,SUM(K110:K113)+Special_Costs_Forward_Logistics)</f>
        <v>0</v>
      </c>
      <c r="L108" s="99">
        <f>IF('Step 1 - Case Selection'!V51="as a Flat Rate",L109+Special_Costs_Forward_Logistics,SUM(L110:L113)+Special_Costs_Forward_Logistics)</f>
        <v>0</v>
      </c>
      <c r="M108" s="99">
        <f>IF('Step 1 - Case Selection'!V51="as a Flat Rate",M109+Special_Costs_Forward_Logistics,SUM(M110:M113)+Special_Costs_Forward_Logistics)</f>
        <v>0</v>
      </c>
      <c r="N108" s="99"/>
    </row>
    <row r="109" spans="1:14" customFormat="1" ht="15.75" customHeight="1" x14ac:dyDescent="0.2">
      <c r="A109" s="34"/>
      <c r="B109" s="34"/>
      <c r="C109" s="13" t="s">
        <v>428</v>
      </c>
      <c r="D109" s="13"/>
      <c r="E109" s="13" t="s">
        <v>495</v>
      </c>
      <c r="F109" s="24" t="s">
        <v>5</v>
      </c>
      <c r="G109" s="12">
        <f t="shared" ref="G109:G110" si="24">SUM(H109:M109)</f>
        <v>0</v>
      </c>
      <c r="H109" s="14"/>
      <c r="I109" s="14">
        <f>FL_Flat_Rate*(Sales_Year_1+New_Rental_Contracts_Year_1)</f>
        <v>0</v>
      </c>
      <c r="J109" s="14">
        <f>FL_Flat_Rate*(Sales_Year_2+New_Rental_Contracts_Year_2)</f>
        <v>0</v>
      </c>
      <c r="K109" s="14">
        <f>FL_Flat_Rate*(Sales_Year_3+New_Rental_Contracts_Year_3)</f>
        <v>0</v>
      </c>
      <c r="L109" s="14">
        <f>FL_Flat_Rate*(Sales_Year_4+New_Rental_Contracts_Year_4)</f>
        <v>0</v>
      </c>
      <c r="M109" s="14">
        <f>FL_Flat_Rate*(Sales_Year_5+New_Rental_Contracts_Year_5)</f>
        <v>0</v>
      </c>
      <c r="N109" s="14"/>
    </row>
    <row r="110" spans="1:14" customFormat="1" ht="15.75" customHeight="1" x14ac:dyDescent="0.2">
      <c r="A110" s="34"/>
      <c r="B110" s="34"/>
      <c r="C110" s="13" t="s">
        <v>411</v>
      </c>
      <c r="D110" s="13"/>
      <c r="E110" s="13" t="s">
        <v>496</v>
      </c>
      <c r="F110" s="24" t="s">
        <v>5</v>
      </c>
      <c r="G110" s="12">
        <f t="shared" si="24"/>
        <v>0</v>
      </c>
      <c r="H110" s="14"/>
      <c r="I110" s="14">
        <f>IF(FL_Type=1,FL_Distance_Customer*FL_KM_Cost*(Sales_Year_1+New_Rental_Contracts_Year_1)*(1-Annual_Efficiency_Increase_Forward_Logistics)^0,0)</f>
        <v>0</v>
      </c>
      <c r="J110" s="14">
        <f>IF(FL_Type=1, FL_Distance_Customer*FL_KM_Cost*(Sales_Year_2+New_Rental_Contracts_Year_2)*(1-Annual_Efficiency_Increase_Forward_Logistics)^1,0)</f>
        <v>0</v>
      </c>
      <c r="K110" s="14">
        <f>IF(FL_Type=1, FL_Distance_Customer*FL_KM_Cost*(Sales_Year_3+New_Rental_Contracts_Year_3)*(1-Annual_Efficiency_Increase_Forward_Logistics)^2,0)</f>
        <v>0</v>
      </c>
      <c r="L110" s="14">
        <f>IF(FL_Type=1, FL_Distance_Customer*FL_KM_Cost*(Sales_Year_4+New_Rental_Contracts_Year_4)*(1-Annual_Efficiency_Increase_Forward_Logistics)^3,0)</f>
        <v>0</v>
      </c>
      <c r="M110" s="14">
        <f>IF(FL_Type=1, FL_Distance_Customer*FL_KM_Cost*(Sales_Year_5+New_Rental_Contracts_Year_5)*(1-Annual_Efficiency_Increase_Forward_Logistics)^4,0)</f>
        <v>0</v>
      </c>
      <c r="N110" s="14"/>
    </row>
    <row r="111" spans="1:14" customFormat="1" ht="15.75" customHeight="1" x14ac:dyDescent="0.2">
      <c r="A111" s="34"/>
      <c r="B111" s="34"/>
      <c r="C111" s="13" t="s">
        <v>412</v>
      </c>
      <c r="D111" s="13"/>
      <c r="E111" s="13" t="s">
        <v>497</v>
      </c>
      <c r="F111" s="24" t="s">
        <v>5</v>
      </c>
      <c r="G111" s="12">
        <f t="shared" ref="G111" si="25">SUM(H111:M111)</f>
        <v>0</v>
      </c>
      <c r="H111" s="14"/>
      <c r="I111" s="14">
        <f>IF(FL_Type=2,FL_Shipment_Cost*(Sales_Year_1+New_Rental_Contracts_Year_1),0)</f>
        <v>0</v>
      </c>
      <c r="J111" s="14">
        <f>IF(FL_Type=2,FL_Shipment_Cost*(Sales_Year_2+New_Rental_Contracts_Year_2),0)</f>
        <v>0</v>
      </c>
      <c r="K111" s="14">
        <f>IF(FL_Type=2,FL_Shipment_Cost*(Sales_Year_3+New_Rental_Contracts_Year_3),0)</f>
        <v>0</v>
      </c>
      <c r="L111" s="14">
        <f>IF(FL_Type=2,FL_Shipment_Cost*(Sales_Year_4+New_Rental_Contracts_Year_4),0)</f>
        <v>0</v>
      </c>
      <c r="M111" s="14">
        <f>IF(FL_Type=2,FL_Shipment_Cost*(Sales_Year_5+New_Rental_Contracts_Year_5),0)</f>
        <v>0</v>
      </c>
      <c r="N111" s="14"/>
    </row>
    <row r="112" spans="1:14" customFormat="1" ht="15.75" customHeight="1" x14ac:dyDescent="0.2">
      <c r="A112" s="34"/>
      <c r="B112" s="34"/>
      <c r="C112" s="13" t="s">
        <v>171</v>
      </c>
      <c r="D112" s="13"/>
      <c r="E112" s="13" t="s">
        <v>498</v>
      </c>
      <c r="F112" s="24" t="s">
        <v>5</v>
      </c>
      <c r="G112" s="12">
        <f t="shared" ref="G112:G113" si="26">SUM(H112:M112)</f>
        <v>0</v>
      </c>
      <c r="H112" s="14"/>
      <c r="I112" s="14">
        <f>IF(FL_Type=3, FL_Distance_Customer*FL_KM_Cost*Sales_Year_1*FL_Average_Journey_Number*(1-Annual_Efficiency_Increase_Forward_Logistics)^0,0)</f>
        <v>0</v>
      </c>
      <c r="J112" s="14">
        <f>IF(FL_Type=3, FL_Distance_Customer*FL_KM_Cost*Sales_Year_2*FL_Average_Journey_Number*(1-Annual_Efficiency_Increase_Forward_Logistics)^1,0)</f>
        <v>0</v>
      </c>
      <c r="K112" s="14">
        <f>IF(FL_Type=3, FL_Distance_Customer*FL_KM_Cost*Sales_Year_3*FL_Average_Journey_Number*(1-Annual_Efficiency_Increase_Forward_Logistics)^2,0)</f>
        <v>0</v>
      </c>
      <c r="L112" s="14">
        <f>IF(FL_Type=3, FL_Distance_Customer*FL_KM_Cost*Sales_Year_4*FL_Average_Journey_Number*(1-Annual_Efficiency_Increase_Forward_Logistics)^3,0)</f>
        <v>0</v>
      </c>
      <c r="M112" s="14">
        <f>IF(FL_Type=3, FL_Distance_Customer*FL_KM_Cost*Sales_Year_5*FL_Average_Journey_Number*(1-Annual_Efficiency_Increase_Forward_Logistics)^4,0)</f>
        <v>0</v>
      </c>
      <c r="N112" s="14"/>
    </row>
    <row r="113" spans="1:15" customFormat="1" ht="15.75" customHeight="1" x14ac:dyDescent="0.2">
      <c r="A113" s="34"/>
      <c r="B113" s="34"/>
      <c r="C113" s="13" t="s">
        <v>421</v>
      </c>
      <c r="D113" s="13"/>
      <c r="E113" s="13" t="s">
        <v>499</v>
      </c>
      <c r="F113" s="24" t="s">
        <v>5</v>
      </c>
      <c r="G113" s="12">
        <f t="shared" si="26"/>
        <v>0</v>
      </c>
      <c r="H113" s="14"/>
      <c r="I113" s="14">
        <f>FL_Packaging_Cost*(Sales_Year_1+New_Rental_Contracts_Year_1)</f>
        <v>0</v>
      </c>
      <c r="J113" s="14">
        <f>FL_Packaging_Cost*(Sales_Year_2+New_Rental_Contracts_Year_2)</f>
        <v>0</v>
      </c>
      <c r="K113" s="14">
        <f>FL_Packaging_Cost*(Sales_Year_3+New_Rental_Contracts_Year_3)</f>
        <v>0</v>
      </c>
      <c r="L113" s="14">
        <f>FL_Packaging_Cost*(Sales_Year_4+New_Rental_Contracts_Year_4)</f>
        <v>0</v>
      </c>
      <c r="M113" s="14">
        <f>FL_Packaging_Cost*(Sales_Year_5+New_Rental_Contracts_Year_5)</f>
        <v>0</v>
      </c>
      <c r="N113" s="14"/>
    </row>
    <row r="114" spans="1:15" customFormat="1" ht="7" customHeight="1" x14ac:dyDescent="0.2">
      <c r="A114" s="65"/>
      <c r="B114" s="66"/>
      <c r="C114" s="65"/>
      <c r="D114" s="65"/>
      <c r="E114" s="65"/>
      <c r="F114" s="67"/>
      <c r="G114" s="65"/>
      <c r="H114" s="65"/>
      <c r="I114" s="65"/>
      <c r="J114" s="65"/>
      <c r="K114" s="65"/>
      <c r="L114" s="65"/>
      <c r="M114" s="65"/>
      <c r="N114" s="65"/>
    </row>
    <row r="115" spans="1:15" s="110" customFormat="1" ht="18" x14ac:dyDescent="0.2">
      <c r="A115" s="105" t="s">
        <v>33</v>
      </c>
      <c r="B115" s="106"/>
      <c r="C115" s="107"/>
      <c r="D115" s="107"/>
      <c r="E115" s="107" t="s">
        <v>127</v>
      </c>
      <c r="F115" s="108" t="s">
        <v>5</v>
      </c>
      <c r="G115" s="109" t="e">
        <f>SUM(H115:M115)</f>
        <v>#DIV/0!</v>
      </c>
      <c r="H115" s="109"/>
      <c r="I115" s="109" t="e">
        <f>SUM(I117)</f>
        <v>#DIV/0!</v>
      </c>
      <c r="J115" s="109">
        <f>SUM(J117)</f>
        <v>0</v>
      </c>
      <c r="K115" s="109">
        <f>SUM(K117)</f>
        <v>0</v>
      </c>
      <c r="L115" s="109">
        <f t="shared" ref="L115:M115" si="27">SUM(L117)</f>
        <v>0</v>
      </c>
      <c r="M115" s="109">
        <f t="shared" si="27"/>
        <v>0</v>
      </c>
      <c r="N115" s="109"/>
      <c r="O115"/>
    </row>
    <row r="116" spans="1:15" s="64" customFormat="1" ht="7.5" customHeight="1" x14ac:dyDescent="0.2">
      <c r="A116" s="61"/>
      <c r="B116" s="62"/>
      <c r="C116" s="61"/>
      <c r="D116" s="61"/>
      <c r="E116" s="61"/>
      <c r="F116" s="63"/>
      <c r="G116" s="61"/>
      <c r="H116" s="61"/>
      <c r="I116" s="61"/>
      <c r="J116" s="61"/>
      <c r="K116" s="61"/>
      <c r="L116" s="61"/>
      <c r="M116" s="61"/>
      <c r="N116" s="61"/>
      <c r="O116"/>
    </row>
    <row r="117" spans="1:15" s="115" customFormat="1" ht="15.75" customHeight="1" x14ac:dyDescent="0.2">
      <c r="A117" s="111"/>
      <c r="B117" s="112" t="s">
        <v>4</v>
      </c>
      <c r="C117" s="111"/>
      <c r="D117" s="111"/>
      <c r="E117" s="111" t="s">
        <v>128</v>
      </c>
      <c r="F117" s="113" t="s">
        <v>5</v>
      </c>
      <c r="G117" s="114" t="e">
        <f>SUM(I117:M117)</f>
        <v>#DIV/0!</v>
      </c>
      <c r="H117" s="114"/>
      <c r="I117" s="114" t="e">
        <f t="shared" ref="I117:M117" si="28">SUM(I118:I119)</f>
        <v>#DIV/0!</v>
      </c>
      <c r="J117" s="114">
        <f t="shared" si="28"/>
        <v>0</v>
      </c>
      <c r="K117" s="114">
        <f t="shared" si="28"/>
        <v>0</v>
      </c>
      <c r="L117" s="114">
        <f t="shared" si="28"/>
        <v>0</v>
      </c>
      <c r="M117" s="114">
        <f t="shared" si="28"/>
        <v>0</v>
      </c>
      <c r="N117" s="114"/>
      <c r="O117"/>
    </row>
    <row r="118" spans="1:15" s="115" customFormat="1" ht="15.75" customHeight="1" x14ac:dyDescent="0.2">
      <c r="A118" s="111"/>
      <c r="B118" s="112"/>
      <c r="C118" s="111" t="s">
        <v>34</v>
      </c>
      <c r="D118" s="111"/>
      <c r="E118" s="111" t="s">
        <v>547</v>
      </c>
      <c r="F118" s="113" t="s">
        <v>5</v>
      </c>
      <c r="G118" s="114" t="e">
        <f t="shared" ref="G118:G119" si="29">SUM(I118:M118)</f>
        <v>#DIV/0!</v>
      </c>
      <c r="H118" s="114"/>
      <c r="I118" s="114" t="e">
        <f>Debt_Capital/Loan_Term</f>
        <v>#DIV/0!</v>
      </c>
      <c r="J118" s="114">
        <f>IF(Loan_Term&gt;1, Debt_Capital/Loan_Term, 0)</f>
        <v>0</v>
      </c>
      <c r="K118" s="114">
        <f>IF(Loan_Term&gt;2, Debt_Capital/Loan_Term, 0)</f>
        <v>0</v>
      </c>
      <c r="L118" s="114">
        <f>IF(Loan_Term&gt;3, Debt_Capital/Loan_Term, 0)</f>
        <v>0</v>
      </c>
      <c r="M118" s="114">
        <f>IF(Loan_Term&gt;4, Debt_Capital/Loan_Term, 0)</f>
        <v>0</v>
      </c>
      <c r="N118" s="114"/>
      <c r="O118"/>
    </row>
    <row r="119" spans="1:15" s="115" customFormat="1" ht="15.75" customHeight="1" x14ac:dyDescent="0.2">
      <c r="A119" s="111"/>
      <c r="B119" s="112"/>
      <c r="C119" s="111" t="s">
        <v>35</v>
      </c>
      <c r="D119" s="111"/>
      <c r="E119" s="111" t="s">
        <v>186</v>
      </c>
      <c r="F119" s="113" t="s">
        <v>5</v>
      </c>
      <c r="G119" s="114">
        <f t="shared" si="29"/>
        <v>0</v>
      </c>
      <c r="H119" s="114"/>
      <c r="I119" s="114">
        <f>Yearly_Interest_Cost</f>
        <v>0</v>
      </c>
      <c r="J119" s="114">
        <f>IF(Loan_Term&gt;1, Yearly_Interest_Cost, 0)</f>
        <v>0</v>
      </c>
      <c r="K119" s="114">
        <f>IF(Loan_Term&gt;2, Yearly_Interest_Cost, 0)</f>
        <v>0</v>
      </c>
      <c r="L119" s="114">
        <f>IF(Loan_Term&gt;3, Yearly_Interest_Cost, 0)</f>
        <v>0</v>
      </c>
      <c r="M119" s="114">
        <f>IF(Loan_Term&gt;4, Yearly_Interest_Cost, 0)</f>
        <v>0</v>
      </c>
      <c r="N119" s="114"/>
      <c r="O119"/>
    </row>
    <row r="120" spans="1:15" s="68" customFormat="1" ht="7" customHeight="1" x14ac:dyDescent="0.15">
      <c r="A120" s="65"/>
      <c r="B120" s="66"/>
      <c r="C120" s="65"/>
      <c r="D120" s="65"/>
      <c r="E120" s="65"/>
      <c r="F120" s="67"/>
      <c r="G120" s="65"/>
      <c r="H120" s="65"/>
      <c r="I120" s="65"/>
      <c r="J120" s="65"/>
      <c r="K120" s="65"/>
      <c r="L120" s="65"/>
      <c r="M120" s="65"/>
      <c r="N120" s="65"/>
      <c r="O120" s="65"/>
    </row>
    <row r="121" spans="1:15" s="64" customFormat="1" ht="7.5" customHeight="1" x14ac:dyDescent="0.15">
      <c r="A121" s="61"/>
      <c r="B121" s="296"/>
      <c r="C121" s="61"/>
      <c r="D121" s="61"/>
      <c r="E121" s="61"/>
      <c r="F121" s="63"/>
      <c r="G121" s="61"/>
      <c r="H121" s="61"/>
      <c r="I121" s="61"/>
      <c r="J121" s="61"/>
      <c r="K121" s="61"/>
      <c r="L121" s="61"/>
      <c r="M121" s="61"/>
      <c r="N121" s="61"/>
      <c r="O121" s="61"/>
    </row>
    <row r="122" spans="1:15" s="68" customFormat="1" ht="7" customHeight="1" collapsed="1" x14ac:dyDescent="0.15">
      <c r="A122" s="65"/>
      <c r="B122" s="66"/>
      <c r="C122" s="65"/>
      <c r="D122" s="65"/>
      <c r="E122" s="65"/>
      <c r="F122" s="67"/>
      <c r="G122" s="65"/>
      <c r="H122" s="65"/>
      <c r="I122" s="65"/>
      <c r="J122" s="65"/>
      <c r="K122" s="65"/>
      <c r="L122" s="65"/>
      <c r="M122" s="65"/>
      <c r="N122" s="65"/>
      <c r="O122" s="65"/>
    </row>
    <row r="123" spans="1:15" s="64" customFormat="1" ht="7.5" customHeight="1" x14ac:dyDescent="0.15">
      <c r="A123" s="61"/>
      <c r="B123" s="296"/>
      <c r="C123" s="61"/>
      <c r="D123" s="61"/>
      <c r="E123" s="61"/>
      <c r="F123" s="63"/>
      <c r="G123" s="61"/>
      <c r="H123" s="61"/>
      <c r="I123" s="61"/>
      <c r="J123" s="61"/>
      <c r="K123" s="61"/>
      <c r="L123" s="61"/>
      <c r="M123" s="61"/>
      <c r="N123" s="61"/>
      <c r="O123" s="61"/>
    </row>
    <row r="124" spans="1:15" s="68" customFormat="1" ht="7" customHeight="1" collapsed="1" x14ac:dyDescent="0.15">
      <c r="A124" s="65"/>
      <c r="B124" s="66"/>
      <c r="C124" s="65"/>
      <c r="D124" s="65"/>
      <c r="E124" s="65"/>
      <c r="F124" s="67"/>
      <c r="G124" s="65"/>
      <c r="H124" s="65"/>
      <c r="I124" s="65"/>
      <c r="J124" s="65"/>
      <c r="K124" s="65"/>
      <c r="L124" s="65"/>
      <c r="M124" s="65"/>
      <c r="N124" s="65"/>
      <c r="O124" s="65"/>
    </row>
    <row r="125" spans="1:15" s="119" customFormat="1" ht="30.75" customHeight="1" x14ac:dyDescent="0.15">
      <c r="A125" s="491" t="s">
        <v>571</v>
      </c>
      <c r="B125" s="492"/>
      <c r="C125" s="116"/>
      <c r="D125" s="116"/>
      <c r="E125" s="117"/>
      <c r="F125" s="118"/>
      <c r="G125" s="116"/>
      <c r="H125" s="116"/>
      <c r="I125" s="116"/>
      <c r="J125" s="116"/>
      <c r="K125" s="116"/>
      <c r="L125" s="116"/>
      <c r="M125" s="116"/>
      <c r="N125" s="290"/>
      <c r="O125" s="290"/>
    </row>
    <row r="126" spans="1:15" s="64" customFormat="1" ht="7.5" customHeight="1" x14ac:dyDescent="0.15">
      <c r="A126" s="61"/>
      <c r="B126" s="62"/>
      <c r="C126" s="61"/>
      <c r="D126" s="61"/>
      <c r="E126" s="61"/>
      <c r="F126" s="63"/>
      <c r="G126" s="61"/>
      <c r="H126" s="61"/>
      <c r="I126" s="61"/>
      <c r="J126" s="61"/>
      <c r="K126" s="61"/>
      <c r="L126" s="61"/>
      <c r="M126" s="61"/>
      <c r="N126" s="61"/>
      <c r="O126" s="61"/>
    </row>
    <row r="127" spans="1:15" s="124" customFormat="1" ht="15.75" customHeight="1" x14ac:dyDescent="0.2">
      <c r="A127" s="120"/>
      <c r="B127" s="294" t="s">
        <v>339</v>
      </c>
      <c r="C127" s="120"/>
      <c r="D127" s="120"/>
      <c r="E127" s="121"/>
      <c r="F127" s="122"/>
      <c r="G127" s="123"/>
      <c r="H127" s="120"/>
      <c r="I127" s="120"/>
      <c r="J127" s="120"/>
      <c r="K127" s="120"/>
      <c r="L127" s="120"/>
      <c r="M127" s="120"/>
      <c r="N127" s="291"/>
      <c r="O127" s="291"/>
    </row>
    <row r="128" spans="1:15" s="132" customFormat="1" ht="15.75" customHeight="1" x14ac:dyDescent="0.2">
      <c r="A128" s="128"/>
      <c r="B128" s="295"/>
      <c r="C128" s="128" t="s">
        <v>516</v>
      </c>
      <c r="D128" s="128"/>
      <c r="E128" s="129" t="s">
        <v>501</v>
      </c>
      <c r="F128" s="130" t="s">
        <v>5</v>
      </c>
      <c r="G128" s="128"/>
      <c r="H128" s="284">
        <f>IF('Step 1 - Case Selection'!V55="No",0,H129-H130)</f>
        <v>0</v>
      </c>
      <c r="I128" s="284">
        <f>IF('Step 1 - Case Selection'!V59&lt;1,0,I129-I130)</f>
        <v>0</v>
      </c>
      <c r="J128" s="284">
        <f>IF('Step 1 - Case Selection'!V59&lt;2,0,J129-J130)</f>
        <v>0</v>
      </c>
      <c r="K128" s="284">
        <f>IF('Step 1 - Case Selection'!V59&lt;3,0,K129-K130)</f>
        <v>0</v>
      </c>
      <c r="L128" s="284">
        <f>IF('Step 1 - Case Selection'!V59&lt;4,0,L129-L130)</f>
        <v>0</v>
      </c>
      <c r="M128" s="284">
        <f>IF('Step 1 - Case Selection'!V59&lt;5,0,M129-M130)</f>
        <v>0</v>
      </c>
      <c r="N128" s="292"/>
      <c r="O128" s="292"/>
    </row>
    <row r="129" spans="1:15" s="132" customFormat="1" ht="15.75" customHeight="1" x14ac:dyDescent="0.2">
      <c r="A129" s="127"/>
      <c r="B129" s="295"/>
      <c r="C129" s="128"/>
      <c r="D129" s="25" t="s">
        <v>506</v>
      </c>
      <c r="E129" s="26" t="s">
        <v>509</v>
      </c>
      <c r="F129" s="27" t="s">
        <v>5</v>
      </c>
      <c r="G129" s="28"/>
      <c r="H129" s="28">
        <f t="shared" ref="H129:M129" si="30">H2</f>
        <v>0</v>
      </c>
      <c r="I129" s="28">
        <f t="shared" si="30"/>
        <v>0</v>
      </c>
      <c r="J129" s="28">
        <f t="shared" si="30"/>
        <v>0</v>
      </c>
      <c r="K129" s="28">
        <f t="shared" si="30"/>
        <v>0</v>
      </c>
      <c r="L129" s="28">
        <f t="shared" si="30"/>
        <v>0</v>
      </c>
      <c r="M129" s="28">
        <f t="shared" si="30"/>
        <v>0</v>
      </c>
      <c r="N129" s="292"/>
      <c r="O129" s="292"/>
    </row>
    <row r="130" spans="1:15" s="132" customFormat="1" ht="15.75" customHeight="1" x14ac:dyDescent="0.2">
      <c r="A130" s="292"/>
      <c r="B130" s="292"/>
      <c r="C130" s="128"/>
      <c r="D130" s="25" t="s">
        <v>505</v>
      </c>
      <c r="E130" s="26" t="s">
        <v>511</v>
      </c>
      <c r="F130" s="27" t="s">
        <v>5</v>
      </c>
      <c r="G130" s="28"/>
      <c r="H130" s="28">
        <f t="shared" ref="H130:M130" si="31">H17+H30+H115+H145</f>
        <v>0</v>
      </c>
      <c r="I130" s="28" t="e">
        <f t="shared" si="31"/>
        <v>#DIV/0!</v>
      </c>
      <c r="J130" s="28">
        <f t="shared" si="31"/>
        <v>0</v>
      </c>
      <c r="K130" s="28">
        <f t="shared" si="31"/>
        <v>0</v>
      </c>
      <c r="L130" s="28">
        <f t="shared" si="31"/>
        <v>0</v>
      </c>
      <c r="M130" s="28">
        <f t="shared" si="31"/>
        <v>0</v>
      </c>
      <c r="N130" s="292"/>
      <c r="O130" s="292"/>
    </row>
    <row r="131" spans="1:15" s="132" customFormat="1" ht="15.75" customHeight="1" x14ac:dyDescent="0.2">
      <c r="A131" s="292"/>
      <c r="B131" s="295"/>
      <c r="C131" s="128" t="s">
        <v>610</v>
      </c>
      <c r="D131" s="128"/>
      <c r="E131" s="129"/>
      <c r="F131" s="130" t="s">
        <v>5</v>
      </c>
      <c r="G131" s="128"/>
      <c r="H131" s="131">
        <f>H128</f>
        <v>0</v>
      </c>
      <c r="I131" s="131">
        <f>H131+I128</f>
        <v>0</v>
      </c>
      <c r="J131" s="131">
        <f t="shared" ref="J131:M131" si="32">I131+J128</f>
        <v>0</v>
      </c>
      <c r="K131" s="131">
        <f t="shared" si="32"/>
        <v>0</v>
      </c>
      <c r="L131" s="131">
        <f t="shared" si="32"/>
        <v>0</v>
      </c>
      <c r="M131" s="131">
        <f t="shared" si="32"/>
        <v>0</v>
      </c>
      <c r="N131" s="292"/>
      <c r="O131" s="292"/>
    </row>
    <row r="132" spans="1:15" s="132" customFormat="1" ht="15.75" customHeight="1" x14ac:dyDescent="0.2">
      <c r="A132" s="292"/>
      <c r="B132" s="295"/>
      <c r="C132" s="128" t="s">
        <v>517</v>
      </c>
      <c r="D132" s="128"/>
      <c r="E132" s="129" t="s">
        <v>519</v>
      </c>
      <c r="F132" s="130" t="s">
        <v>5</v>
      </c>
      <c r="G132" s="128"/>
      <c r="H132" s="284">
        <f>IF('Step 1 - Case Selection'!V55="No",0,H128-H143)</f>
        <v>0</v>
      </c>
      <c r="I132" s="284">
        <f>IF('Step 1 - Case Selection'!V59&lt;1,0,I128-I143)</f>
        <v>0</v>
      </c>
      <c r="J132" s="284">
        <f>IF('Step 1 - Case Selection'!V59&lt;2,0,J128-J143)</f>
        <v>0</v>
      </c>
      <c r="K132" s="284">
        <f>IF('Step 1 - Case Selection'!V59&lt;3,0,K128-K143)</f>
        <v>0</v>
      </c>
      <c r="L132" s="284">
        <f>IF('Step 1 - Case Selection'!V59&lt;4,0,L128-L143)</f>
        <v>0</v>
      </c>
      <c r="M132" s="284">
        <f>IF('Step 1 - Case Selection'!V59&lt;5,0,M128-M143)</f>
        <v>0</v>
      </c>
      <c r="N132" s="292"/>
      <c r="O132" s="292"/>
    </row>
    <row r="133" spans="1:15" s="132" customFormat="1" ht="15.75" customHeight="1" x14ac:dyDescent="0.2">
      <c r="A133" s="292"/>
      <c r="B133" s="295"/>
      <c r="C133" s="128" t="s">
        <v>611</v>
      </c>
      <c r="D133" s="128"/>
      <c r="E133" s="129"/>
      <c r="F133" s="130" t="s">
        <v>5</v>
      </c>
      <c r="G133" s="128"/>
      <c r="H133" s="131">
        <f>H132</f>
        <v>0</v>
      </c>
      <c r="I133" s="131">
        <f>H133+I132</f>
        <v>0</v>
      </c>
      <c r="J133" s="131">
        <f t="shared" ref="J133:M133" si="33">I133+J132</f>
        <v>0</v>
      </c>
      <c r="K133" s="131">
        <f t="shared" si="33"/>
        <v>0</v>
      </c>
      <c r="L133" s="131">
        <f t="shared" si="33"/>
        <v>0</v>
      </c>
      <c r="M133" s="131">
        <f t="shared" si="33"/>
        <v>0</v>
      </c>
      <c r="N133" s="292"/>
      <c r="O133" s="292"/>
    </row>
    <row r="134" spans="1:15" s="64" customFormat="1" ht="7.5" customHeight="1" x14ac:dyDescent="0.15">
      <c r="A134" s="61"/>
      <c r="B134" s="296"/>
      <c r="C134" s="61"/>
      <c r="D134" s="61"/>
      <c r="E134" s="61"/>
      <c r="F134" s="63"/>
      <c r="G134" s="61"/>
      <c r="H134" s="61"/>
      <c r="I134" s="61"/>
      <c r="J134" s="61"/>
      <c r="K134" s="61"/>
      <c r="L134" s="61"/>
      <c r="M134" s="61"/>
      <c r="N134" s="61"/>
      <c r="O134" s="61"/>
    </row>
    <row r="135" spans="1:15" s="124" customFormat="1" ht="15.75" customHeight="1" x14ac:dyDescent="0.2">
      <c r="A135" s="291"/>
      <c r="B135" s="294" t="s">
        <v>340</v>
      </c>
      <c r="C135" s="120"/>
      <c r="D135" s="120"/>
      <c r="E135" s="121"/>
      <c r="F135" s="122"/>
      <c r="G135" s="123"/>
      <c r="H135" s="120"/>
      <c r="I135" s="120"/>
      <c r="J135" s="120"/>
      <c r="K135" s="120"/>
      <c r="L135" s="120"/>
      <c r="M135" s="120"/>
      <c r="N135" s="291"/>
      <c r="O135" s="291"/>
    </row>
    <row r="136" spans="1:15" s="132" customFormat="1" ht="15.75" customHeight="1" x14ac:dyDescent="0.2">
      <c r="A136" s="292"/>
      <c r="B136" s="295"/>
      <c r="C136" s="128" t="s">
        <v>514</v>
      </c>
      <c r="D136" s="128"/>
      <c r="E136" s="129" t="s">
        <v>502</v>
      </c>
      <c r="F136" s="130" t="s">
        <v>5</v>
      </c>
      <c r="G136" s="131"/>
      <c r="H136" s="131">
        <f>IF('Step 1 - Case Selection'!V55="No",0,H137-H139)</f>
        <v>0</v>
      </c>
      <c r="I136" s="131">
        <f>IF('Step 1 - Case Selection'!V59&lt;1,0,I137-I139)</f>
        <v>0</v>
      </c>
      <c r="J136" s="131">
        <f>IF('Step 1 - Case Selection'!V59&lt;2,0,J137-J139)</f>
        <v>0</v>
      </c>
      <c r="K136" s="131">
        <f>IF('Step 1 - Case Selection'!V59&lt;3,0,K137-K139)</f>
        <v>0</v>
      </c>
      <c r="L136" s="131">
        <f>IF('Step 1 - Case Selection'!V59&lt;4,0,L137-L139)</f>
        <v>0</v>
      </c>
      <c r="M136" s="131">
        <f>IF('Step 1 - Case Selection'!V59&lt;5,0,M137-M139)</f>
        <v>0</v>
      </c>
      <c r="N136" s="292"/>
      <c r="O136" s="292"/>
    </row>
    <row r="137" spans="1:15" s="132" customFormat="1" ht="15.75" customHeight="1" x14ac:dyDescent="0.2">
      <c r="A137" s="292"/>
      <c r="B137" s="295"/>
      <c r="C137" s="128"/>
      <c r="D137" s="25" t="s">
        <v>3</v>
      </c>
      <c r="E137" s="26" t="s">
        <v>510</v>
      </c>
      <c r="F137" s="27" t="s">
        <v>5</v>
      </c>
      <c r="G137" s="28"/>
      <c r="H137" s="28">
        <f t="shared" ref="H137:M137" si="34">H4</f>
        <v>0</v>
      </c>
      <c r="I137" s="28">
        <f t="shared" si="34"/>
        <v>0</v>
      </c>
      <c r="J137" s="28">
        <f t="shared" si="34"/>
        <v>0</v>
      </c>
      <c r="K137" s="28">
        <f t="shared" si="34"/>
        <v>0</v>
      </c>
      <c r="L137" s="28">
        <f t="shared" si="34"/>
        <v>0</v>
      </c>
      <c r="M137" s="28">
        <f t="shared" si="34"/>
        <v>0</v>
      </c>
      <c r="N137" s="292"/>
      <c r="O137" s="292"/>
    </row>
    <row r="138" spans="1:15" s="132" customFormat="1" ht="15.75" customHeight="1" x14ac:dyDescent="0.2">
      <c r="A138" s="292"/>
      <c r="B138" s="292"/>
      <c r="C138" s="128"/>
      <c r="D138" s="25" t="s">
        <v>504</v>
      </c>
      <c r="E138" s="26" t="s">
        <v>512</v>
      </c>
      <c r="F138" s="27" t="s">
        <v>5</v>
      </c>
      <c r="G138" s="28"/>
      <c r="H138" s="28">
        <f t="shared" ref="H138:M138" si="35">H17+H30+H119+H145</f>
        <v>0</v>
      </c>
      <c r="I138" s="28">
        <f t="shared" si="35"/>
        <v>0</v>
      </c>
      <c r="J138" s="28">
        <f t="shared" si="35"/>
        <v>0</v>
      </c>
      <c r="K138" s="28">
        <f t="shared" si="35"/>
        <v>0</v>
      </c>
      <c r="L138" s="28">
        <f t="shared" si="35"/>
        <v>0</v>
      </c>
      <c r="M138" s="28">
        <f t="shared" si="35"/>
        <v>0</v>
      </c>
      <c r="N138" s="292"/>
      <c r="O138" s="292"/>
    </row>
    <row r="139" spans="1:15" s="132" customFormat="1" ht="15.75" customHeight="1" x14ac:dyDescent="0.2">
      <c r="A139" s="292"/>
      <c r="B139" s="295"/>
      <c r="C139" s="128"/>
      <c r="D139" s="25" t="s">
        <v>503</v>
      </c>
      <c r="E139" s="26" t="s">
        <v>513</v>
      </c>
      <c r="F139" s="27" t="s">
        <v>5</v>
      </c>
      <c r="G139" s="28"/>
      <c r="H139" s="28">
        <f t="shared" ref="H139:M139" si="36">H138-H15</f>
        <v>0</v>
      </c>
      <c r="I139" s="28">
        <f t="shared" si="36"/>
        <v>0</v>
      </c>
      <c r="J139" s="28">
        <f t="shared" si="36"/>
        <v>0</v>
      </c>
      <c r="K139" s="28">
        <f t="shared" si="36"/>
        <v>0</v>
      </c>
      <c r="L139" s="28">
        <f t="shared" si="36"/>
        <v>0</v>
      </c>
      <c r="M139" s="28">
        <f t="shared" si="36"/>
        <v>0</v>
      </c>
      <c r="N139" s="292"/>
      <c r="O139" s="292"/>
    </row>
    <row r="140" spans="1:15" s="132" customFormat="1" ht="15.75" customHeight="1" x14ac:dyDescent="0.2">
      <c r="A140" s="292"/>
      <c r="B140" s="295"/>
      <c r="C140" s="128" t="s">
        <v>515</v>
      </c>
      <c r="D140" s="128"/>
      <c r="E140" s="129" t="s">
        <v>518</v>
      </c>
      <c r="F140" s="130" t="s">
        <v>5</v>
      </c>
      <c r="G140" s="128"/>
      <c r="H140" s="131">
        <f>IF('Step 1 - Case Selection'!V55="No",0,H136)</f>
        <v>0</v>
      </c>
      <c r="I140" s="131">
        <f>IF('Step 1 - Case Selection'!V59&lt;1,0,I136-I143)</f>
        <v>0</v>
      </c>
      <c r="J140" s="131">
        <f>IF('Step 1 - Case Selection'!V59&lt;2,0,J136-J143)</f>
        <v>0</v>
      </c>
      <c r="K140" s="131">
        <f>IF('Step 1 - Case Selection'!V59&lt;3,0,K136-K143)</f>
        <v>0</v>
      </c>
      <c r="L140" s="131">
        <f>IF('Step 1 - Case Selection'!V59&lt;4,0,L136-L143)</f>
        <v>0</v>
      </c>
      <c r="M140" s="131">
        <f>IF('Step 1 - Case Selection'!V59&lt;5,0,M136-M143)</f>
        <v>0</v>
      </c>
      <c r="N140" s="292"/>
      <c r="O140" s="292"/>
    </row>
    <row r="141" spans="1:15" s="132" customFormat="1" ht="15.75" customHeight="1" x14ac:dyDescent="0.2">
      <c r="A141" s="292"/>
      <c r="B141" s="295"/>
      <c r="C141" s="128"/>
      <c r="D141" s="25" t="s">
        <v>342</v>
      </c>
      <c r="E141" s="26" t="s">
        <v>520</v>
      </c>
      <c r="F141" s="27"/>
      <c r="G141" s="25"/>
      <c r="H141" s="28">
        <f>H137-H139</f>
        <v>0</v>
      </c>
      <c r="I141" s="28">
        <f t="shared" ref="I141:M141" si="37">I137-I139</f>
        <v>0</v>
      </c>
      <c r="J141" s="28">
        <f t="shared" si="37"/>
        <v>0</v>
      </c>
      <c r="K141" s="28">
        <f t="shared" si="37"/>
        <v>0</v>
      </c>
      <c r="L141" s="28">
        <f t="shared" si="37"/>
        <v>0</v>
      </c>
      <c r="M141" s="28">
        <f t="shared" si="37"/>
        <v>0</v>
      </c>
      <c r="N141" s="292"/>
      <c r="O141" s="292"/>
    </row>
    <row r="142" spans="1:15" s="132" customFormat="1" ht="15.75" customHeight="1" x14ac:dyDescent="0.2">
      <c r="A142" s="292"/>
      <c r="B142" s="295"/>
      <c r="C142" s="128"/>
      <c r="D142" s="25" t="s">
        <v>36</v>
      </c>
      <c r="E142" s="26" t="s">
        <v>521</v>
      </c>
      <c r="F142" s="27" t="s">
        <v>5</v>
      </c>
      <c r="G142" s="25"/>
      <c r="H142" s="28"/>
      <c r="I142" s="28">
        <f>IF('Step 1 - Case Selection'!V59&lt;1,0,Annual_Depreciation)</f>
        <v>0</v>
      </c>
      <c r="J142" s="28">
        <f>IF('Step 1 - Case Selection'!V59&lt;2,0,Annual_Depreciation)</f>
        <v>0</v>
      </c>
      <c r="K142" s="28">
        <f>IF('Step 1 - Case Selection'!V59&lt;3,0,Annual_Depreciation)</f>
        <v>0</v>
      </c>
      <c r="L142" s="28">
        <f>IF('Step 1 - Case Selection'!V59&lt;4,0,Annual_Depreciation)</f>
        <v>0</v>
      </c>
      <c r="M142" s="28">
        <f>IF('Step 1 - Case Selection'!V59&lt;5,0,Annual_Depreciation)</f>
        <v>0</v>
      </c>
      <c r="N142" s="292"/>
      <c r="O142" s="292"/>
    </row>
    <row r="143" spans="1:15" s="132" customFormat="1" ht="15.75" customHeight="1" x14ac:dyDescent="0.2">
      <c r="A143" s="292"/>
      <c r="B143" s="295"/>
      <c r="C143" s="128"/>
      <c r="D143" s="25" t="s">
        <v>37</v>
      </c>
      <c r="E143" s="26" t="s">
        <v>522</v>
      </c>
      <c r="F143" s="27" t="s">
        <v>5</v>
      </c>
      <c r="G143" s="25"/>
      <c r="H143" s="28"/>
      <c r="I143" s="28">
        <f>IF((I141-I142)&gt;=0,(I141-I142)*Corporate_Tax_Rate,0)</f>
        <v>0</v>
      </c>
      <c r="J143" s="28">
        <f>IF((J141-J142)&gt;=0,(J141-J142)*Corporate_Tax_Rate,0)</f>
        <v>0</v>
      </c>
      <c r="K143" s="28">
        <f>IF((K141-K142)&gt;=0,(K141-K142)*Corporate_Tax_Rate,0)</f>
        <v>0</v>
      </c>
      <c r="L143" s="28">
        <f>IF((L141-L142)&gt;=0,(L141-L142)*Corporate_Tax_Rate,0)</f>
        <v>0</v>
      </c>
      <c r="M143" s="28">
        <f>IF((M141-M142)&gt;=0,(M141-M142)*Corporate_Tax_Rate,0)</f>
        <v>0</v>
      </c>
      <c r="N143" s="292"/>
      <c r="O143" s="292"/>
    </row>
    <row r="144" spans="1:15" s="124" customFormat="1" ht="15.75" customHeight="1" x14ac:dyDescent="0.2">
      <c r="A144" s="291"/>
      <c r="B144" s="294" t="s">
        <v>341</v>
      </c>
      <c r="C144" s="120"/>
      <c r="D144" s="120"/>
      <c r="E144" s="121"/>
      <c r="F144" s="122"/>
      <c r="G144" s="123"/>
      <c r="H144" s="120"/>
      <c r="I144" s="120"/>
      <c r="J144" s="120"/>
      <c r="K144" s="120"/>
      <c r="L144" s="120"/>
      <c r="M144" s="120"/>
      <c r="N144" s="291"/>
      <c r="O144" s="291"/>
    </row>
    <row r="145" spans="1:15" s="132" customFormat="1" ht="15.75" customHeight="1" x14ac:dyDescent="0.2">
      <c r="A145" s="292"/>
      <c r="B145" s="295"/>
      <c r="C145" s="128"/>
      <c r="D145" s="25" t="s">
        <v>174</v>
      </c>
      <c r="E145" s="26" t="s">
        <v>523</v>
      </c>
      <c r="F145" s="27" t="s">
        <v>5</v>
      </c>
      <c r="G145" s="25"/>
      <c r="H145" s="28"/>
      <c r="I145" s="28">
        <f>New_Rental_Contracts_Year_1*Total_Cost_Rental_Product*(1+Annual_Price_Trend_Virgin_Materials)^0</f>
        <v>0</v>
      </c>
      <c r="J145" s="28">
        <f>New_Rental_Contracts_Year_2*Total_Cost_Rental_Product*(1+Annual_Price_Trend_Virgin_Materials)^1</f>
        <v>0</v>
      </c>
      <c r="K145" s="28">
        <f>New_Rental_Contracts_Year_3*Total_Cost_Rental_Product*(1+Annual_Price_Trend_Virgin_Materials)^2</f>
        <v>0</v>
      </c>
      <c r="L145" s="28">
        <f>New_Rental_Contracts_Year_4*Total_Cost_Rental_Product*(1+Annual_Price_Trend_Virgin_Materials)^3</f>
        <v>0</v>
      </c>
      <c r="M145" s="28">
        <f>New_Rental_Contracts_Year_5*Total_Cost_Rental_Product*(1+Annual_Price_Trend_Virgin_Materials)^4</f>
        <v>0</v>
      </c>
      <c r="N145" s="292"/>
      <c r="O145" s="292"/>
    </row>
    <row r="146" spans="1:15" s="64" customFormat="1" ht="7.5" customHeight="1" x14ac:dyDescent="0.15">
      <c r="A146" s="61"/>
      <c r="B146" s="296"/>
      <c r="C146" s="61"/>
      <c r="D146" s="61"/>
      <c r="E146" s="61"/>
      <c r="F146" s="63"/>
      <c r="G146" s="61"/>
      <c r="H146" s="61"/>
      <c r="I146" s="61"/>
      <c r="J146" s="61"/>
      <c r="K146" s="61"/>
      <c r="L146" s="61"/>
      <c r="M146" s="61"/>
      <c r="N146" s="61"/>
      <c r="O146" s="61"/>
    </row>
    <row r="147" spans="1:15" s="124" customFormat="1" ht="15.75" customHeight="1" x14ac:dyDescent="0.2">
      <c r="A147" s="291"/>
      <c r="B147" s="294" t="s">
        <v>337</v>
      </c>
      <c r="C147" s="120"/>
      <c r="D147" s="120"/>
      <c r="E147" s="121"/>
      <c r="F147" s="122"/>
      <c r="G147" s="125"/>
      <c r="H147" s="120"/>
      <c r="I147" s="126"/>
      <c r="J147" s="126"/>
      <c r="K147" s="126"/>
      <c r="L147" s="126"/>
      <c r="M147" s="126"/>
      <c r="N147" s="291"/>
      <c r="O147" s="291"/>
    </row>
    <row r="148" spans="1:15" s="132" customFormat="1" ht="15.75" customHeight="1" x14ac:dyDescent="0.2">
      <c r="A148" s="292"/>
      <c r="B148" s="295"/>
      <c r="C148" s="128" t="s">
        <v>346</v>
      </c>
      <c r="D148" s="128"/>
      <c r="E148" s="129" t="s">
        <v>528</v>
      </c>
      <c r="F148" s="130" t="s">
        <v>5</v>
      </c>
      <c r="G148" s="284">
        <f>SUM(H151:M151)</f>
        <v>0</v>
      </c>
      <c r="H148" s="128"/>
      <c r="I148" s="285"/>
      <c r="J148" s="285"/>
      <c r="K148" s="285"/>
      <c r="L148" s="285"/>
      <c r="M148" s="285"/>
      <c r="N148" s="292"/>
      <c r="O148" s="292"/>
    </row>
    <row r="149" spans="1:15" s="132" customFormat="1" ht="15.75" customHeight="1" x14ac:dyDescent="0.2">
      <c r="A149" s="292"/>
      <c r="B149" s="295"/>
      <c r="C149" s="133" t="s">
        <v>343</v>
      </c>
      <c r="D149" s="128"/>
      <c r="E149" s="129" t="s">
        <v>524</v>
      </c>
      <c r="F149" s="130" t="s">
        <v>11</v>
      </c>
      <c r="G149" s="134" t="e">
        <f>IF(ROUND(IRR(H136:M136),5) =0, "&lt;= 0%", ROUND(IRR(H136:M136),5))</f>
        <v>#NUM!</v>
      </c>
      <c r="H149" s="135"/>
      <c r="I149" s="128"/>
      <c r="J149" s="128"/>
      <c r="K149" s="128"/>
      <c r="L149" s="128"/>
      <c r="M149" s="128"/>
      <c r="N149" s="292"/>
      <c r="O149" s="292"/>
    </row>
    <row r="150" spans="1:15" s="132" customFormat="1" ht="15.75" customHeight="1" x14ac:dyDescent="0.2">
      <c r="A150" s="292"/>
      <c r="B150" s="295"/>
      <c r="C150" s="133" t="s">
        <v>344</v>
      </c>
      <c r="D150" s="128"/>
      <c r="E150" s="129" t="s">
        <v>525</v>
      </c>
      <c r="F150" s="130" t="s">
        <v>11</v>
      </c>
      <c r="G150" s="134" t="e">
        <f>G149-Discount_Rate</f>
        <v>#NUM!</v>
      </c>
      <c r="H150" s="135"/>
      <c r="I150" s="128"/>
      <c r="J150" s="128"/>
      <c r="K150" s="128"/>
      <c r="L150" s="128"/>
      <c r="M150" s="128"/>
      <c r="N150" s="292"/>
      <c r="O150" s="292"/>
    </row>
    <row r="151" spans="1:15" s="137" customFormat="1" ht="15.75" customHeight="1" x14ac:dyDescent="0.2">
      <c r="A151" s="292"/>
      <c r="B151" s="295"/>
      <c r="C151" s="128"/>
      <c r="D151" s="25" t="s">
        <v>530</v>
      </c>
      <c r="E151" s="26" t="s">
        <v>526</v>
      </c>
      <c r="F151" s="27" t="s">
        <v>5</v>
      </c>
      <c r="G151" s="36"/>
      <c r="H151" s="49">
        <f>H136/(1+Discount_Rate)^0</f>
        <v>0</v>
      </c>
      <c r="I151" s="49">
        <f>I136/(1+Discount_Rate)^1</f>
        <v>0</v>
      </c>
      <c r="J151" s="49">
        <f>J136/(1+Discount_Rate)^2</f>
        <v>0</v>
      </c>
      <c r="K151" s="49">
        <f>K136/(1+Discount_Rate)^3</f>
        <v>0</v>
      </c>
      <c r="L151" s="49">
        <f>L136/(1+Discount_Rate)^4</f>
        <v>0</v>
      </c>
      <c r="M151" s="49">
        <f>M136/(1+Discount_Rate)^5</f>
        <v>0</v>
      </c>
      <c r="N151" s="293"/>
      <c r="O151" s="293"/>
    </row>
    <row r="152" spans="1:15" s="137" customFormat="1" ht="15.75" customHeight="1" x14ac:dyDescent="0.2">
      <c r="A152" s="292"/>
      <c r="B152" s="295"/>
      <c r="C152" s="128"/>
      <c r="D152" s="25" t="s">
        <v>221</v>
      </c>
      <c r="E152" s="26"/>
      <c r="F152" s="39" t="s">
        <v>38</v>
      </c>
      <c r="G152" s="40"/>
      <c r="H152" s="37" t="s">
        <v>198</v>
      </c>
      <c r="I152" s="38" t="s">
        <v>193</v>
      </c>
      <c r="J152" s="38" t="s">
        <v>194</v>
      </c>
      <c r="K152" s="38" t="s">
        <v>195</v>
      </c>
      <c r="L152" s="38" t="s">
        <v>196</v>
      </c>
      <c r="M152" s="38" t="s">
        <v>197</v>
      </c>
      <c r="N152" s="293"/>
      <c r="O152" s="293"/>
    </row>
    <row r="153" spans="1:15" s="132" customFormat="1" ht="15.75" customHeight="1" x14ac:dyDescent="0.2">
      <c r="A153" s="292"/>
      <c r="B153" s="297"/>
      <c r="C153" s="127" t="s">
        <v>345</v>
      </c>
      <c r="D153" s="127"/>
      <c r="E153" s="127" t="s">
        <v>527</v>
      </c>
      <c r="F153" s="136" t="s">
        <v>188</v>
      </c>
      <c r="G153" s="127" t="str" cm="1">
        <f t="array" ref="G153">IFERROR(ROUND(_xlfn.IFS(M154&lt;0, "no-break-even-point",L154&lt;0,4+ABS(L154)/M151,K154&lt;0, 3+ABS(K154)/L151,J154&lt;0, 2+ABS(J154)/K151,I154&lt;0, 1+ABS(I154)/J151,H154&lt;0,0+ABS(H154)/I151),3), "no-break-even-point")</f>
        <v>no-break-even-point</v>
      </c>
      <c r="H153" s="127"/>
      <c r="I153" s="127"/>
      <c r="J153" s="127"/>
      <c r="K153" s="127"/>
      <c r="L153" s="127"/>
      <c r="M153" s="127"/>
      <c r="N153" s="292"/>
      <c r="O153" s="292"/>
    </row>
    <row r="154" spans="1:15" s="132" customFormat="1" ht="15.75" customHeight="1" x14ac:dyDescent="0.2">
      <c r="A154" s="292"/>
      <c r="B154" s="295"/>
      <c r="C154" s="128"/>
      <c r="D154" s="25" t="s">
        <v>529</v>
      </c>
      <c r="E154" s="26" t="s">
        <v>528</v>
      </c>
      <c r="F154" s="27" t="s">
        <v>5</v>
      </c>
      <c r="G154" s="36"/>
      <c r="H154" s="49">
        <f>H151</f>
        <v>0</v>
      </c>
      <c r="I154" s="49">
        <f>H154+I151</f>
        <v>0</v>
      </c>
      <c r="J154" s="49">
        <f>I154+J151</f>
        <v>0</v>
      </c>
      <c r="K154" s="49">
        <f>J154+K151</f>
        <v>0</v>
      </c>
      <c r="L154" s="49">
        <f>K154+L151</f>
        <v>0</v>
      </c>
      <c r="M154" s="49">
        <f>L154+M151</f>
        <v>0</v>
      </c>
      <c r="N154" s="292"/>
      <c r="O154" s="292"/>
    </row>
    <row r="155" spans="1:15" s="64" customFormat="1" ht="7.5" customHeight="1" x14ac:dyDescent="0.15">
      <c r="A155" s="61"/>
      <c r="B155" s="296"/>
      <c r="C155" s="61"/>
      <c r="D155" s="61"/>
      <c r="E155" s="61"/>
      <c r="F155" s="63"/>
      <c r="G155" s="61"/>
      <c r="H155" s="61"/>
      <c r="I155" s="61"/>
      <c r="J155" s="61"/>
      <c r="K155" s="61"/>
      <c r="L155" s="61"/>
      <c r="M155" s="61"/>
      <c r="N155" s="61"/>
      <c r="O155" s="61"/>
    </row>
    <row r="156" spans="1:15" s="124" customFormat="1" ht="15.75" customHeight="1" x14ac:dyDescent="0.2">
      <c r="A156" s="291"/>
      <c r="B156" s="294" t="s">
        <v>338</v>
      </c>
      <c r="C156" s="120"/>
      <c r="D156" s="120"/>
      <c r="E156" s="121"/>
      <c r="F156" s="122"/>
      <c r="G156" s="125"/>
      <c r="H156" s="120"/>
      <c r="I156" s="126"/>
      <c r="J156" s="126"/>
      <c r="K156" s="126"/>
      <c r="L156" s="126"/>
      <c r="M156" s="126"/>
      <c r="N156" s="291"/>
      <c r="O156" s="291"/>
    </row>
    <row r="157" spans="1:15" s="132" customFormat="1" ht="15.75" customHeight="1" x14ac:dyDescent="0.2">
      <c r="A157" s="292"/>
      <c r="B157" s="295"/>
      <c r="C157" s="128" t="s">
        <v>347</v>
      </c>
      <c r="D157" s="128"/>
      <c r="E157" s="129" t="s">
        <v>531</v>
      </c>
      <c r="F157" s="130" t="s">
        <v>5</v>
      </c>
      <c r="G157" s="284">
        <f>SUM(H160:M160)</f>
        <v>0</v>
      </c>
      <c r="H157" s="128"/>
      <c r="I157" s="285"/>
      <c r="J157" s="285"/>
      <c r="K157" s="285"/>
      <c r="L157" s="285"/>
      <c r="M157" s="285"/>
      <c r="N157" s="292"/>
      <c r="O157" s="292"/>
    </row>
    <row r="158" spans="1:15" s="132" customFormat="1" ht="15.75" customHeight="1" x14ac:dyDescent="0.2">
      <c r="A158" s="292"/>
      <c r="B158" s="295"/>
      <c r="C158" s="133" t="s">
        <v>348</v>
      </c>
      <c r="D158" s="128"/>
      <c r="E158" s="129" t="s">
        <v>532</v>
      </c>
      <c r="F158" s="130" t="s">
        <v>11</v>
      </c>
      <c r="G158" s="134" t="e">
        <f>IF(ROUND(IRR(H140:M140),5) =0, "&lt;= 0%", ROUND(IRR(H140:M140),5))</f>
        <v>#NUM!</v>
      </c>
      <c r="H158" s="135"/>
      <c r="I158" s="128"/>
      <c r="J158" s="128"/>
      <c r="K158" s="128"/>
      <c r="L158" s="128"/>
      <c r="M158" s="128"/>
      <c r="N158" s="292"/>
      <c r="O158" s="292"/>
    </row>
    <row r="159" spans="1:15" s="132" customFormat="1" ht="15.75" customHeight="1" x14ac:dyDescent="0.2">
      <c r="A159" s="292"/>
      <c r="B159" s="295"/>
      <c r="C159" s="133" t="s">
        <v>349</v>
      </c>
      <c r="D159" s="128"/>
      <c r="E159" s="129" t="s">
        <v>533</v>
      </c>
      <c r="F159" s="130" t="s">
        <v>11</v>
      </c>
      <c r="G159" s="134" t="e">
        <f>G158-Discount_Rate</f>
        <v>#NUM!</v>
      </c>
      <c r="H159" s="135"/>
      <c r="I159" s="128"/>
      <c r="J159" s="128"/>
      <c r="K159" s="128"/>
      <c r="L159" s="128"/>
      <c r="M159" s="128"/>
      <c r="N159" s="292"/>
      <c r="O159" s="292"/>
    </row>
    <row r="160" spans="1:15" s="132" customFormat="1" ht="15.75" customHeight="1" x14ac:dyDescent="0.2">
      <c r="A160" s="292"/>
      <c r="B160" s="295"/>
      <c r="C160" s="128"/>
      <c r="D160" s="25" t="s">
        <v>507</v>
      </c>
      <c r="E160" s="26" t="s">
        <v>534</v>
      </c>
      <c r="F160" s="27" t="s">
        <v>5</v>
      </c>
      <c r="G160" s="25"/>
      <c r="H160" s="49">
        <f>H140/(1+Discount_Rate)^0</f>
        <v>0</v>
      </c>
      <c r="I160" s="49">
        <f>I140/(1+Discount_Rate)^1</f>
        <v>0</v>
      </c>
      <c r="J160" s="49">
        <f>J140/(1+Discount_Rate)^2</f>
        <v>0</v>
      </c>
      <c r="K160" s="49">
        <f>K140/(1+Discount_Rate)^3</f>
        <v>0</v>
      </c>
      <c r="L160" s="49">
        <f>L140/(1+Discount_Rate)^4</f>
        <v>0</v>
      </c>
      <c r="M160" s="49">
        <f>M140/(1+Discount_Rate)^5</f>
        <v>0</v>
      </c>
      <c r="N160" s="292"/>
      <c r="O160" s="292"/>
    </row>
    <row r="161" spans="1:15" s="132" customFormat="1" ht="15.75" customHeight="1" x14ac:dyDescent="0.2">
      <c r="A161" s="292"/>
      <c r="B161" s="295"/>
      <c r="C161" s="128"/>
      <c r="D161" s="25" t="s">
        <v>221</v>
      </c>
      <c r="E161" s="26"/>
      <c r="F161" s="39" t="s">
        <v>38</v>
      </c>
      <c r="G161" s="40"/>
      <c r="H161" s="37" t="s">
        <v>595</v>
      </c>
      <c r="I161" s="38" t="s">
        <v>193</v>
      </c>
      <c r="J161" s="38" t="s">
        <v>194</v>
      </c>
      <c r="K161" s="38" t="s">
        <v>195</v>
      </c>
      <c r="L161" s="38" t="s">
        <v>196</v>
      </c>
      <c r="M161" s="38" t="s">
        <v>197</v>
      </c>
      <c r="N161" s="292"/>
      <c r="O161" s="292"/>
    </row>
    <row r="162" spans="1:15" s="132" customFormat="1" ht="15.75" customHeight="1" x14ac:dyDescent="0.2">
      <c r="A162" s="292"/>
      <c r="B162" s="297"/>
      <c r="C162" s="127" t="s">
        <v>350</v>
      </c>
      <c r="D162" s="127"/>
      <c r="E162" s="127" t="s">
        <v>535</v>
      </c>
      <c r="F162" s="136" t="s">
        <v>188</v>
      </c>
      <c r="G162" s="127" t="str" cm="1">
        <f t="array" ref="G162">IFERROR(ROUND(_xlfn.IFS(M163&lt;0, "no-break-even-point",L163&lt;0,4+ABS(L163)/M160,K163&lt;0, 3+ABS(K163)/L160,J163&lt;0, 2+ABS(J163)/K160,I163&lt;0, 1+ABS(I163)/J160,H163&lt;0,0+ABS(H163)/I160),3), "no-break-even-point")</f>
        <v>no-break-even-point</v>
      </c>
      <c r="H162" s="127"/>
      <c r="I162" s="127"/>
      <c r="J162" s="127"/>
      <c r="K162" s="127"/>
      <c r="L162" s="127"/>
      <c r="M162" s="127"/>
      <c r="N162" s="292"/>
      <c r="O162" s="292"/>
    </row>
    <row r="163" spans="1:15" s="137" customFormat="1" ht="15.75" customHeight="1" x14ac:dyDescent="0.2">
      <c r="A163" s="292"/>
      <c r="B163" s="295"/>
      <c r="C163" s="128"/>
      <c r="D163" s="25" t="s">
        <v>508</v>
      </c>
      <c r="E163" s="26" t="s">
        <v>536</v>
      </c>
      <c r="F163" s="27" t="s">
        <v>5</v>
      </c>
      <c r="G163" s="36"/>
      <c r="H163" s="49">
        <f>H160</f>
        <v>0</v>
      </c>
      <c r="I163" s="49">
        <f>H163+I160</f>
        <v>0</v>
      </c>
      <c r="J163" s="49">
        <f>I163+J160</f>
        <v>0</v>
      </c>
      <c r="K163" s="49">
        <f>J163+K160</f>
        <v>0</v>
      </c>
      <c r="L163" s="49">
        <f>K163+L160</f>
        <v>0</v>
      </c>
      <c r="M163" s="49">
        <f>L163+M160</f>
        <v>0</v>
      </c>
      <c r="N163" s="293"/>
      <c r="O163" s="293"/>
    </row>
    <row r="164" spans="1:15" s="68" customFormat="1" ht="7" customHeight="1" collapsed="1" x14ac:dyDescent="0.15">
      <c r="A164" s="65"/>
      <c r="B164" s="66"/>
      <c r="C164" s="65"/>
      <c r="D164" s="65"/>
      <c r="E164" s="65"/>
      <c r="F164" s="67"/>
      <c r="G164" s="65"/>
      <c r="H164" s="65"/>
      <c r="I164" s="65"/>
      <c r="J164" s="65"/>
      <c r="K164" s="65"/>
      <c r="L164" s="65"/>
      <c r="M164" s="65"/>
      <c r="N164" s="65"/>
      <c r="O164" s="65"/>
    </row>
    <row r="165" spans="1:15" s="64" customFormat="1" ht="7.5" customHeight="1" x14ac:dyDescent="0.15">
      <c r="A165" s="61"/>
      <c r="B165" s="296"/>
      <c r="C165" s="61"/>
      <c r="D165" s="61"/>
      <c r="E165" s="61"/>
      <c r="F165" s="63"/>
      <c r="G165" s="61"/>
      <c r="H165" s="61"/>
      <c r="I165" s="61"/>
      <c r="J165" s="61"/>
      <c r="K165" s="61"/>
      <c r="L165" s="61"/>
      <c r="M165" s="61"/>
      <c r="N165" s="61"/>
      <c r="O165" s="61"/>
    </row>
    <row r="166" spans="1:15" s="68" customFormat="1" ht="7" customHeight="1" collapsed="1" x14ac:dyDescent="0.15">
      <c r="A166" s="65"/>
      <c r="B166" s="66"/>
      <c r="C166" s="65"/>
      <c r="D166" s="65"/>
      <c r="E166" s="65"/>
      <c r="F166" s="67"/>
      <c r="G166" s="65"/>
      <c r="H166" s="65"/>
      <c r="I166" s="65"/>
      <c r="J166" s="65"/>
      <c r="K166" s="65"/>
      <c r="L166" s="65"/>
      <c r="M166" s="65"/>
      <c r="N166" s="65"/>
      <c r="O166" s="65"/>
    </row>
    <row r="167" spans="1:15" s="124" customFormat="1" ht="15.75" customHeight="1" x14ac:dyDescent="0.2">
      <c r="A167" s="291"/>
      <c r="B167" s="294" t="s">
        <v>225</v>
      </c>
      <c r="C167" s="120"/>
      <c r="D167" s="120"/>
      <c r="E167" s="121"/>
      <c r="F167" s="122"/>
      <c r="G167" s="123"/>
      <c r="H167" s="123"/>
      <c r="I167" s="123"/>
      <c r="J167" s="123"/>
      <c r="K167" s="123"/>
      <c r="L167" s="123"/>
      <c r="M167" s="123"/>
      <c r="N167" s="123" t="s">
        <v>212</v>
      </c>
      <c r="O167" s="123" t="s">
        <v>213</v>
      </c>
    </row>
    <row r="168" spans="1:15" s="132" customFormat="1" ht="15.75" customHeight="1" x14ac:dyDescent="0.2">
      <c r="A168" s="292"/>
      <c r="B168" s="295"/>
      <c r="C168" s="133" t="s">
        <v>226</v>
      </c>
      <c r="D168" s="128"/>
      <c r="E168" s="129"/>
      <c r="F168" s="130"/>
      <c r="G168" s="131">
        <f>SUM(H168:M168)</f>
        <v>0</v>
      </c>
      <c r="H168" s="134"/>
      <c r="I168" s="131">
        <f>SUM(I169:I180)</f>
        <v>0</v>
      </c>
      <c r="J168" s="131">
        <f>SUM(J169:J180)</f>
        <v>0</v>
      </c>
      <c r="K168" s="131">
        <f>SUM(K169:K180)</f>
        <v>0</v>
      </c>
      <c r="L168" s="131">
        <f>SUM(L169:L180)</f>
        <v>0</v>
      </c>
      <c r="M168" s="131">
        <f>SUM(M169:M180)</f>
        <v>0</v>
      </c>
      <c r="N168" s="131"/>
      <c r="O168" s="131"/>
    </row>
    <row r="169" spans="1:15" s="137" customFormat="1" ht="15.75" customHeight="1" x14ac:dyDescent="0.2">
      <c r="A169" s="292"/>
      <c r="B169" s="295"/>
      <c r="C169" s="133"/>
      <c r="D169" s="25" t="s">
        <v>216</v>
      </c>
      <c r="E169" s="26"/>
      <c r="F169" s="27" t="s">
        <v>5</v>
      </c>
      <c r="G169" s="52">
        <f t="shared" ref="G169" si="38">SUM(H169:M169)</f>
        <v>0</v>
      </c>
      <c r="H169" s="49"/>
      <c r="I169" s="28">
        <f>IF('Step 1 - Case Selection'!V59&lt;1,0,I41)</f>
        <v>0</v>
      </c>
      <c r="J169" s="28">
        <f>IF('Step 1 - Case Selection'!V59&lt;2,0,J41)</f>
        <v>0</v>
      </c>
      <c r="K169" s="28">
        <f>IF('Step 1 - Case Selection'!V59&lt;3,0,K41)</f>
        <v>0</v>
      </c>
      <c r="L169" s="28">
        <f>IF('Step 1 - Case Selection'!V59&lt;4,0,L41)</f>
        <v>0</v>
      </c>
      <c r="M169" s="28">
        <f>IF('Step 1 - Case Selection'!V59&lt;5,0,M41)</f>
        <v>0</v>
      </c>
      <c r="N169" s="36" t="e">
        <f>G169/G168</f>
        <v>#DIV/0!</v>
      </c>
      <c r="O169" s="25" t="e">
        <f>IF(N169&gt;0.03,"Linear Production " &amp; ROUND(N169*100,1) &amp; " %", "")</f>
        <v>#DIV/0!</v>
      </c>
    </row>
    <row r="170" spans="1:15" s="137" customFormat="1" ht="15.75" customHeight="1" x14ac:dyDescent="0.2">
      <c r="A170" s="292"/>
      <c r="B170" s="295"/>
      <c r="C170" s="133"/>
      <c r="D170" s="25" t="s">
        <v>202</v>
      </c>
      <c r="E170" s="26"/>
      <c r="F170" s="27" t="s">
        <v>5</v>
      </c>
      <c r="G170" s="52">
        <f t="shared" ref="G170:G180" si="39">SUM(H170:M170)</f>
        <v>0</v>
      </c>
      <c r="H170" s="49"/>
      <c r="I170" s="28">
        <f>IF('Step 1 - Case Selection'!V59&lt;1,0,I47)</f>
        <v>0</v>
      </c>
      <c r="J170" s="28">
        <f>IF('Step 1 - Case Selection'!V59&lt;2,0,J47)</f>
        <v>0</v>
      </c>
      <c r="K170" s="28">
        <f>IF('Step 1 - Case Selection'!V59&lt;3,0,K47)</f>
        <v>0</v>
      </c>
      <c r="L170" s="28">
        <f>IF('Step 1 - Case Selection'!V59&lt;4,0,L47)</f>
        <v>0</v>
      </c>
      <c r="M170" s="28">
        <f>IF('Step 1 - Case Selection'!V59&lt;5,0,M47)</f>
        <v>0</v>
      </c>
      <c r="N170" s="36" t="e">
        <f>G170/G168</f>
        <v>#DIV/0!</v>
      </c>
      <c r="O170" s="25" t="e">
        <f>IF(N170&gt;0.03,"Backward Logistic " &amp; ROUND(N170*100,1) &amp; " %", "")</f>
        <v>#DIV/0!</v>
      </c>
    </row>
    <row r="171" spans="1:15" s="137" customFormat="1" ht="15.75" customHeight="1" x14ac:dyDescent="0.2">
      <c r="A171" s="292"/>
      <c r="B171" s="295"/>
      <c r="C171" s="133"/>
      <c r="D171" s="25" t="s">
        <v>208</v>
      </c>
      <c r="E171" s="26"/>
      <c r="F171" s="27" t="s">
        <v>5</v>
      </c>
      <c r="G171" s="52">
        <f t="shared" si="39"/>
        <v>0</v>
      </c>
      <c r="H171" s="49"/>
      <c r="I171" s="28">
        <f>IF('Step 1 - Case Selection'!V59&lt;1,0,I70)</f>
        <v>0</v>
      </c>
      <c r="J171" s="28">
        <f>IF('Step 1 - Case Selection'!V59&lt;2,0,J70)</f>
        <v>0</v>
      </c>
      <c r="K171" s="28">
        <f>IF('Step 1 - Case Selection'!V59&lt;3,0,K70)</f>
        <v>0</v>
      </c>
      <c r="L171" s="28">
        <f>IF('Step 1 - Case Selection'!V59&lt;4,0,L70)</f>
        <v>0</v>
      </c>
      <c r="M171" s="28">
        <f>IF('Step 1 - Case Selection'!V59&lt;5,0,M70)</f>
        <v>0</v>
      </c>
      <c r="N171" s="36" t="e">
        <f>G171/G168</f>
        <v>#DIV/0!</v>
      </c>
      <c r="O171" s="25" t="e">
        <f>IF(N171&gt;0.03,"Dismantling " &amp; ROUND(N171*100,1) &amp; " %", "")</f>
        <v>#DIV/0!</v>
      </c>
    </row>
    <row r="172" spans="1:15" s="137" customFormat="1" ht="15.75" customHeight="1" x14ac:dyDescent="0.2">
      <c r="A172" s="292"/>
      <c r="B172" s="295"/>
      <c r="C172" s="133"/>
      <c r="D172" s="25" t="s">
        <v>214</v>
      </c>
      <c r="E172" s="26"/>
      <c r="F172" s="27" t="s">
        <v>5</v>
      </c>
      <c r="G172" s="52">
        <f t="shared" si="39"/>
        <v>0</v>
      </c>
      <c r="H172" s="49"/>
      <c r="I172" s="28">
        <f>IF('Step 1 - Case Selection'!V59&lt;1,0,I74)</f>
        <v>0</v>
      </c>
      <c r="J172" s="28">
        <f>IF('Step 1 - Case Selection'!V59&lt;2,0,J74)</f>
        <v>0</v>
      </c>
      <c r="K172" s="28">
        <f>IF('Step 1 - Case Selection'!V59&lt;3,0,K74)</f>
        <v>0</v>
      </c>
      <c r="L172" s="28">
        <f>IF('Step 1 - Case Selection'!V59&lt;4,0,L74)</f>
        <v>0</v>
      </c>
      <c r="M172" s="28">
        <f>IF('Step 1 - Case Selection'!V59&lt;5,0,M74)</f>
        <v>0</v>
      </c>
      <c r="N172" s="36" t="e">
        <f>G172/G168</f>
        <v>#DIV/0!</v>
      </c>
      <c r="O172" s="25" t="e">
        <f>IF(N172&gt;0.03,"Identification &amp; Sorting " &amp; ROUND(N172*100,1) &amp; " %", "")</f>
        <v>#DIV/0!</v>
      </c>
    </row>
    <row r="173" spans="1:15" s="137" customFormat="1" ht="15.75" customHeight="1" x14ac:dyDescent="0.2">
      <c r="A173" s="292"/>
      <c r="B173" s="295"/>
      <c r="C173" s="133"/>
      <c r="D173" s="25" t="s">
        <v>139</v>
      </c>
      <c r="E173" s="26"/>
      <c r="F173" s="27" t="s">
        <v>5</v>
      </c>
      <c r="G173" s="52">
        <f t="shared" si="39"/>
        <v>0</v>
      </c>
      <c r="H173" s="49"/>
      <c r="I173" s="28">
        <f>IF('Step 1 - Case Selection'!V59&lt;1,0,I79)</f>
        <v>0</v>
      </c>
      <c r="J173" s="28">
        <f>IF('Step 1 - Case Selection'!V59&lt;2,0,J79)</f>
        <v>0</v>
      </c>
      <c r="K173" s="28">
        <f>IF('Step 1 - Case Selection'!V59&lt;3,0,K79)</f>
        <v>0</v>
      </c>
      <c r="L173" s="28">
        <f>IF('Step 1 - Case Selection'!V59&lt;4,0,L79)</f>
        <v>0</v>
      </c>
      <c r="M173" s="28">
        <f>IF('Step 1 - Case Selection'!V59&lt;5,0,M79)</f>
        <v>0</v>
      </c>
      <c r="N173" s="36" t="e">
        <f>G173/G168</f>
        <v>#DIV/0!</v>
      </c>
      <c r="O173" s="25" t="e">
        <f>IF(N173&gt;0.03,"Disassembly " &amp; ROUND(N173*100,1) &amp; " %", "")</f>
        <v>#DIV/0!</v>
      </c>
    </row>
    <row r="174" spans="1:15" s="137" customFormat="1" ht="15.75" customHeight="1" x14ac:dyDescent="0.2">
      <c r="A174" s="292"/>
      <c r="B174" s="295"/>
      <c r="C174" s="133"/>
      <c r="D174" s="25" t="s">
        <v>140</v>
      </c>
      <c r="E174" s="26"/>
      <c r="F174" s="27" t="s">
        <v>5</v>
      </c>
      <c r="G174" s="52">
        <f t="shared" si="39"/>
        <v>0</v>
      </c>
      <c r="H174" s="49"/>
      <c r="I174" s="28">
        <f>IF('Step 1 - Case Selection'!V59&lt;1,0,I83)</f>
        <v>0</v>
      </c>
      <c r="J174" s="28">
        <f>IF('Step 1 - Case Selection'!V59&lt;2,0,J83)</f>
        <v>0</v>
      </c>
      <c r="K174" s="28">
        <f>IF('Step 1 - Case Selection'!V59&lt;3,0,K83)</f>
        <v>0</v>
      </c>
      <c r="L174" s="28">
        <f>IF('Step 1 - Case Selection'!V59&lt;4,0,L83)</f>
        <v>0</v>
      </c>
      <c r="M174" s="28">
        <f>IF('Step 1 - Case Selection'!V59&lt;5,0,M83)</f>
        <v>0</v>
      </c>
      <c r="N174" s="36" t="e">
        <f>G174/G168</f>
        <v>#DIV/0!</v>
      </c>
      <c r="O174" s="25" t="e">
        <f>IF(N174&gt;0.03,"Inspection " &amp; ROUND(N174*100,1) &amp; " %", "")</f>
        <v>#DIV/0!</v>
      </c>
    </row>
    <row r="175" spans="1:15" s="137" customFormat="1" ht="15.75" customHeight="1" x14ac:dyDescent="0.2">
      <c r="A175" s="292"/>
      <c r="B175" s="295"/>
      <c r="C175" s="133"/>
      <c r="D175" s="25" t="s">
        <v>141</v>
      </c>
      <c r="E175" s="26"/>
      <c r="F175" s="27" t="s">
        <v>5</v>
      </c>
      <c r="G175" s="52">
        <f t="shared" si="39"/>
        <v>0</v>
      </c>
      <c r="H175" s="49"/>
      <c r="I175" s="28">
        <f>IF('Step 1 - Case Selection'!V59&lt;1,0,I89)</f>
        <v>0</v>
      </c>
      <c r="J175" s="28">
        <f>IF('Step 1 - Case Selection'!V59&lt;2,0,J89)</f>
        <v>0</v>
      </c>
      <c r="K175" s="28">
        <f>IF('Step 1 - Case Selection'!V59&lt;3,0,K89)</f>
        <v>0</v>
      </c>
      <c r="L175" s="28">
        <f>IF('Step 1 - Case Selection'!V59&lt;4,0,L89)</f>
        <v>0</v>
      </c>
      <c r="M175" s="28">
        <f>IF('Step 1 - Case Selection'!V59&lt;5,0,M89)</f>
        <v>0</v>
      </c>
      <c r="N175" s="36" t="e">
        <f>G175/G168</f>
        <v>#DIV/0!</v>
      </c>
      <c r="O175" s="25" t="e">
        <f>IF(N175&gt;0.03,"Cleaning " &amp; ROUND(N175*100,1) &amp; " %", "")</f>
        <v>#DIV/0!</v>
      </c>
    </row>
    <row r="176" spans="1:15" s="137" customFormat="1" ht="15.75" customHeight="1" x14ac:dyDescent="0.2">
      <c r="A176" s="292"/>
      <c r="B176" s="295"/>
      <c r="C176" s="133"/>
      <c r="D176" s="25" t="s">
        <v>142</v>
      </c>
      <c r="E176" s="26"/>
      <c r="F176" s="27" t="s">
        <v>5</v>
      </c>
      <c r="G176" s="52">
        <f t="shared" si="39"/>
        <v>0</v>
      </c>
      <c r="H176" s="49"/>
      <c r="I176" s="28">
        <f>IF('Step 1 - Case Selection'!V59&lt;1,0,I93)</f>
        <v>0</v>
      </c>
      <c r="J176" s="28">
        <f>IF('Step 1 - Case Selection'!V59&lt;2,0,J93)</f>
        <v>0</v>
      </c>
      <c r="K176" s="28">
        <f>IF('Step 1 - Case Selection'!V59&lt;3,0,K93)</f>
        <v>0</v>
      </c>
      <c r="L176" s="28">
        <f>IF('Step 1 - Case Selection'!V59&lt;4,0,L93)</f>
        <v>0</v>
      </c>
      <c r="M176" s="28">
        <f>IF('Step 1 - Case Selection'!V59&lt;5,0,M93)</f>
        <v>0</v>
      </c>
      <c r="N176" s="36" t="e">
        <f>G176/G168</f>
        <v>#DIV/0!</v>
      </c>
      <c r="O176" s="25" t="e">
        <f>IF(N176&gt;0.03,"Restoring " &amp; ROUND(N176*100,1) &amp; " %", "")</f>
        <v>#DIV/0!</v>
      </c>
    </row>
    <row r="177" spans="1:15" s="137" customFormat="1" ht="15.75" customHeight="1" x14ac:dyDescent="0.2">
      <c r="A177" s="292"/>
      <c r="B177" s="295"/>
      <c r="C177" s="133"/>
      <c r="D177" s="25" t="s">
        <v>143</v>
      </c>
      <c r="E177" s="26"/>
      <c r="F177" s="27" t="s">
        <v>5</v>
      </c>
      <c r="G177" s="52">
        <f t="shared" si="39"/>
        <v>0</v>
      </c>
      <c r="H177" s="49"/>
      <c r="I177" s="28">
        <f>IF('Step 1 - Case Selection'!V59&lt;1,0,I98)</f>
        <v>0</v>
      </c>
      <c r="J177" s="28">
        <f>IF('Step 1 - Case Selection'!V59&lt;2,0,J98)</f>
        <v>0</v>
      </c>
      <c r="K177" s="28">
        <f>IF('Step 1 - Case Selection'!V59&lt;3,0,K98)</f>
        <v>0</v>
      </c>
      <c r="L177" s="28">
        <f>IF('Step 1 - Case Selection'!V59&lt;4,0,L98)</f>
        <v>0</v>
      </c>
      <c r="M177" s="28">
        <f>IF('Step 1 - Case Selection'!V59&lt;5,0,M98)</f>
        <v>0</v>
      </c>
      <c r="N177" s="36" t="e">
        <f>G177/G168</f>
        <v>#DIV/0!</v>
      </c>
      <c r="O177" s="25" t="e">
        <f>IF(N177&gt;0.03,"Assembly " &amp; ROUND(N177*100,1) &amp; " %", "")</f>
        <v>#DIV/0!</v>
      </c>
    </row>
    <row r="178" spans="1:15" s="137" customFormat="1" ht="15.75" customHeight="1" x14ac:dyDescent="0.2">
      <c r="A178" s="292"/>
      <c r="B178" s="295"/>
      <c r="C178" s="133"/>
      <c r="D178" s="25" t="s">
        <v>144</v>
      </c>
      <c r="E178" s="26"/>
      <c r="F178" s="27" t="s">
        <v>5</v>
      </c>
      <c r="G178" s="52">
        <f t="shared" si="39"/>
        <v>0</v>
      </c>
      <c r="H178" s="49"/>
      <c r="I178" s="28">
        <f>IF('Step 1 - Case Selection'!V59&lt;1,0,I103)</f>
        <v>0</v>
      </c>
      <c r="J178" s="28">
        <f>IF('Step 1 - Case Selection'!V59&lt;2,0,J103)</f>
        <v>0</v>
      </c>
      <c r="K178" s="28">
        <f>IF('Step 1 - Case Selection'!V59&lt;3,0,K103)</f>
        <v>0</v>
      </c>
      <c r="L178" s="28">
        <f>IF('Step 1 - Case Selection'!V59&lt;4,0,L103)</f>
        <v>0</v>
      </c>
      <c r="M178" s="28">
        <f>IF('Step 1 - Case Selection'!V59&lt;5,0,M103)</f>
        <v>0</v>
      </c>
      <c r="N178" s="36" t="e">
        <f>G178/G168</f>
        <v>#DIV/0!</v>
      </c>
      <c r="O178" s="25" t="e">
        <f>IF(N178&gt;0.03,"Testing " &amp; ROUND(N178*100,1) &amp; " %", "")</f>
        <v>#DIV/0!</v>
      </c>
    </row>
    <row r="179" spans="1:15" s="137" customFormat="1" ht="15.75" customHeight="1" x14ac:dyDescent="0.2">
      <c r="A179" s="292"/>
      <c r="B179" s="295"/>
      <c r="C179" s="133"/>
      <c r="D179" s="25" t="s">
        <v>215</v>
      </c>
      <c r="E179" s="26"/>
      <c r="F179" s="27" t="s">
        <v>5</v>
      </c>
      <c r="G179" s="52">
        <f t="shared" si="39"/>
        <v>0</v>
      </c>
      <c r="H179" s="49"/>
      <c r="I179" s="28">
        <f>IF('Step 1 - Case Selection'!V59&lt;1,0,I108)</f>
        <v>0</v>
      </c>
      <c r="J179" s="28">
        <f>IF('Step 1 - Case Selection'!V59&lt;2,0,J108)</f>
        <v>0</v>
      </c>
      <c r="K179" s="28">
        <f>IF('Step 1 - Case Selection'!V59&lt;3,0,K108)</f>
        <v>0</v>
      </c>
      <c r="L179" s="28">
        <f>IF('Step 1 - Case Selection'!V59&lt;4,0,L108)</f>
        <v>0</v>
      </c>
      <c r="M179" s="28">
        <f>IF('Step 1 - Case Selection'!V59&lt;5,0,M108)</f>
        <v>0</v>
      </c>
      <c r="N179" s="36" t="e">
        <f>G179/G168</f>
        <v>#DIV/0!</v>
      </c>
      <c r="O179" s="25" t="e">
        <f>IF(N179&gt;0.03,"Forward Logistic " &amp; ROUND(N179*100,1) &amp; " %", "")</f>
        <v>#DIV/0!</v>
      </c>
    </row>
    <row r="180" spans="1:15" s="137" customFormat="1" ht="15.75" customHeight="1" x14ac:dyDescent="0.2">
      <c r="A180" s="292"/>
      <c r="B180" s="295"/>
      <c r="C180" s="133"/>
      <c r="D180" s="25" t="s">
        <v>206</v>
      </c>
      <c r="E180" s="26"/>
      <c r="F180" s="27" t="s">
        <v>5</v>
      </c>
      <c r="G180" s="52">
        <f t="shared" si="39"/>
        <v>0</v>
      </c>
      <c r="H180" s="49"/>
      <c r="I180" s="28">
        <f>IF('Step 1 - Case Selection'!V59&lt;1,0,I32+I35+I37+I119)</f>
        <v>0</v>
      </c>
      <c r="J180" s="28">
        <f>IF('Step 1 - Case Selection'!V59&lt;2,0,J32+J35+J37+J119)</f>
        <v>0</v>
      </c>
      <c r="K180" s="28">
        <f>IF('Step 1 - Case Selection'!V59&lt;3,0,K32+K35+K37+K119)</f>
        <v>0</v>
      </c>
      <c r="L180" s="28">
        <f>IF('Step 1 - Case Selection'!V59&lt;4,0,L32+L35+L37+L119)</f>
        <v>0</v>
      </c>
      <c r="M180" s="28">
        <f>IF('Step 1 - Case Selection'!V59&lt;5,0,M32+M35+M37+M119)</f>
        <v>0</v>
      </c>
      <c r="N180" s="36" t="e">
        <f>G180/G168</f>
        <v>#DIV/0!</v>
      </c>
      <c r="O180" s="25" t="e">
        <f>IF(N180&gt;0.03,"Overhead " &amp; ROUND(N180*100,1) &amp; " %", "")</f>
        <v>#DIV/0!</v>
      </c>
    </row>
    <row r="181" spans="1:15" s="137" customFormat="1" ht="15.75" customHeight="1" x14ac:dyDescent="0.2">
      <c r="A181" s="292"/>
      <c r="B181" s="295"/>
      <c r="C181" s="133" t="s">
        <v>227</v>
      </c>
      <c r="D181" s="128"/>
      <c r="E181" s="129"/>
      <c r="F181" s="130"/>
      <c r="G181" s="131">
        <f>SUM(H181:M181)</f>
        <v>0</v>
      </c>
      <c r="H181" s="134"/>
      <c r="I181" s="131">
        <f>SUM(I182:I191)</f>
        <v>0</v>
      </c>
      <c r="J181" s="131">
        <f>SUM(J182:J191)</f>
        <v>0</v>
      </c>
      <c r="K181" s="131">
        <f>SUM(K182:K191)</f>
        <v>0</v>
      </c>
      <c r="L181" s="131">
        <f>SUM(L182:L191)</f>
        <v>0</v>
      </c>
      <c r="M181" s="131">
        <f>SUM(M182:M191)</f>
        <v>0</v>
      </c>
      <c r="N181" s="128"/>
      <c r="O181" s="128"/>
    </row>
    <row r="182" spans="1:15" s="137" customFormat="1" ht="15.75" customHeight="1" x14ac:dyDescent="0.2">
      <c r="A182" s="292"/>
      <c r="B182" s="295"/>
      <c r="C182" s="133"/>
      <c r="D182" s="25" t="s">
        <v>62</v>
      </c>
      <c r="E182" s="26"/>
      <c r="F182" s="27" t="s">
        <v>5</v>
      </c>
      <c r="G182" s="52">
        <f t="shared" ref="G182:G189" si="40">SUM(H182:M182)</f>
        <v>0</v>
      </c>
      <c r="H182" s="49"/>
      <c r="I182" s="28">
        <f>IF('Step 1 - Case Selection'!V59&lt;1,0,I35)</f>
        <v>0</v>
      </c>
      <c r="J182" s="28">
        <f>IF('Step 1 - Case Selection'!V59&lt;2,0,J35)</f>
        <v>0</v>
      </c>
      <c r="K182" s="28">
        <f>IF('Step 1 - Case Selection'!V59&lt;3,0,K35)</f>
        <v>0</v>
      </c>
      <c r="L182" s="28">
        <f>IF('Step 1 - Case Selection'!V59&lt;4,0,L35)</f>
        <v>0</v>
      </c>
      <c r="M182" s="28">
        <f>IF('Step 1 - Case Selection'!V59&lt;5,0,M35)</f>
        <v>0</v>
      </c>
      <c r="N182" s="36" t="e">
        <f>G182/G181</f>
        <v>#DIV/0!</v>
      </c>
      <c r="O182" s="25" t="e">
        <f>IF(N182&gt;0.03,"Property " &amp; ROUND(N182*100,1) &amp; " %", "")</f>
        <v>#DIV/0!</v>
      </c>
    </row>
    <row r="183" spans="1:15" customFormat="1" ht="15.75" customHeight="1" x14ac:dyDescent="0.2">
      <c r="A183" s="292"/>
      <c r="B183" s="295"/>
      <c r="C183" s="133"/>
      <c r="D183" s="25" t="s">
        <v>61</v>
      </c>
      <c r="E183" s="26"/>
      <c r="F183" s="27" t="s">
        <v>5</v>
      </c>
      <c r="G183" s="52">
        <f t="shared" si="40"/>
        <v>0</v>
      </c>
      <c r="H183" s="49"/>
      <c r="I183" s="28">
        <f>IF('Step 1 - Case Selection'!V59&lt;1,0,I37)</f>
        <v>0</v>
      </c>
      <c r="J183" s="28">
        <f>IF('Step 1 - Case Selection'!V59&lt;2,0,J37)</f>
        <v>0</v>
      </c>
      <c r="K183" s="28">
        <f>IF('Step 1 - Case Selection'!V59&lt;3,0,K37)</f>
        <v>0</v>
      </c>
      <c r="L183" s="28">
        <f>IF('Step 1 - Case Selection'!V59&lt;4,0,L37)</f>
        <v>0</v>
      </c>
      <c r="M183" s="28">
        <f>IF('Step 1 - Case Selection'!V59&lt;5,0,M37)</f>
        <v>0</v>
      </c>
      <c r="N183" s="36" t="e">
        <f>G183/G181</f>
        <v>#DIV/0!</v>
      </c>
      <c r="O183" s="25" t="e">
        <f>IF(N183&gt;0.03,"Energy " &amp; ROUND(N183*100,1) &amp; " %", "")</f>
        <v>#DIV/0!</v>
      </c>
    </row>
    <row r="184" spans="1:15" customFormat="1" ht="15.75" customHeight="1" x14ac:dyDescent="0.2">
      <c r="A184" s="292"/>
      <c r="B184" s="295"/>
      <c r="C184" s="133"/>
      <c r="D184" s="25" t="s">
        <v>203</v>
      </c>
      <c r="E184" s="26"/>
      <c r="F184" s="27" t="s">
        <v>5</v>
      </c>
      <c r="G184" s="52">
        <f t="shared" si="40"/>
        <v>0</v>
      </c>
      <c r="H184" s="49"/>
      <c r="I184" s="28">
        <f>IF('Step 1 - Case Selection'!V59&lt;1,0,I108+I47-I48)</f>
        <v>0</v>
      </c>
      <c r="J184" s="28">
        <f>IF('Step 1 - Case Selection'!V59&lt;2,0,J108+J47-J48)</f>
        <v>0</v>
      </c>
      <c r="K184" s="28">
        <f>IF('Step 1 - Case Selection'!V59&lt;3,0,K108+K47-K48)</f>
        <v>0</v>
      </c>
      <c r="L184" s="28">
        <f>IF('Step 1 - Case Selection'!V59&lt;4,0,L108+L47-L48)</f>
        <v>0</v>
      </c>
      <c r="M184" s="28">
        <f>IF('Step 1 - Case Selection'!V59&lt;5,0,M108+M47-M48)</f>
        <v>0</v>
      </c>
      <c r="N184" s="36" t="e">
        <f>G184/G181</f>
        <v>#DIV/0!</v>
      </c>
      <c r="O184" s="25" t="e">
        <f>IF(N184&gt;0.03,"Logistics " &amp; ROUND(N184*100,1) &amp; " %", "")</f>
        <v>#DIV/0!</v>
      </c>
    </row>
    <row r="185" spans="1:15" customFormat="1" ht="15.75" customHeight="1" x14ac:dyDescent="0.2">
      <c r="A185" s="292"/>
      <c r="B185" s="295"/>
      <c r="C185" s="133"/>
      <c r="D185" s="25" t="s">
        <v>204</v>
      </c>
      <c r="E185" s="26"/>
      <c r="F185" s="27" t="s">
        <v>5</v>
      </c>
      <c r="G185" s="52">
        <f t="shared" si="40"/>
        <v>0</v>
      </c>
      <c r="H185" s="49"/>
      <c r="I185" s="28">
        <f>IF('Step 1 - Case Selection'!V59&lt;1,0,I104+I99+I94+I90+I84+I80+I75+I71+I44)</f>
        <v>0</v>
      </c>
      <c r="J185" s="28">
        <f>IF('Step 1 - Case Selection'!V59&lt;2,0,J104+J99+J94+J90+J84+J80+J75+J71+J44)</f>
        <v>0</v>
      </c>
      <c r="K185" s="28">
        <f>IF('Step 1 - Case Selection'!V59&lt;3,0,K104+K99+K94+K90+K84+K80+K75+K71+K44)</f>
        <v>0</v>
      </c>
      <c r="L185" s="28">
        <f>IF('Step 1 - Case Selection'!V59&lt;4,0,L104+L99+L94+L90+L84+L80+L75+L71+L44)</f>
        <v>0</v>
      </c>
      <c r="M185" s="28">
        <f>IF('Step 1 - Case Selection'!V59&lt;5,0,M104+M99+M94+M90+M84+M80+M75+M71+M44)</f>
        <v>0</v>
      </c>
      <c r="N185" s="36" t="e">
        <f>G185/G181</f>
        <v>#DIV/0!</v>
      </c>
      <c r="O185" s="25" t="e">
        <f>IF(N185&gt;0.03,"Personell " &amp; ROUND(N185*100,1) &amp; " %", "")</f>
        <v>#DIV/0!</v>
      </c>
    </row>
    <row r="186" spans="1:15" customFormat="1" ht="15.75" customHeight="1" x14ac:dyDescent="0.2">
      <c r="A186" s="292"/>
      <c r="B186" s="295"/>
      <c r="C186" s="133"/>
      <c r="D186" s="25" t="s">
        <v>159</v>
      </c>
      <c r="E186" s="26"/>
      <c r="F186" s="27" t="s">
        <v>5</v>
      </c>
      <c r="G186" s="52">
        <f t="shared" si="40"/>
        <v>0</v>
      </c>
      <c r="H186" s="49"/>
      <c r="I186" s="28">
        <f>IF('Step 1 - Case Selection'!V59&lt;1,0,I105+I100+I95+I91+I85+I81+I76+I72+I45)</f>
        <v>0</v>
      </c>
      <c r="J186" s="28">
        <f>IF('Step 1 - Case Selection'!V59&lt;2,0,J105+J100+J95+J91+J85+J81+J76+J72+J45)</f>
        <v>0</v>
      </c>
      <c r="K186" s="28">
        <f>IF('Step 1 - Case Selection'!V59&lt;3,0,K105+K100+K95+K91+K85+K81+K76+K72+K45)</f>
        <v>0</v>
      </c>
      <c r="L186" s="28">
        <f>IF('Step 1 - Case Selection'!V59&lt;4,0,L105+L100+L95+L91+L85+L81+L76+L72+L45)</f>
        <v>0</v>
      </c>
      <c r="M186" s="28">
        <f>IF('Step 1 - Case Selection'!V59&lt;5,0,M105+M100+M95+M91+M85+M81+M76+M72+M45)</f>
        <v>0</v>
      </c>
      <c r="N186" s="36" t="e">
        <f>G186/G181</f>
        <v>#DIV/0!</v>
      </c>
      <c r="O186" s="25" t="e">
        <f>IF(N186&gt;0.03,"Machines " &amp; ROUND(N186*100,1) &amp; " %", "")</f>
        <v>#DIV/0!</v>
      </c>
    </row>
    <row r="187" spans="1:15" customFormat="1" ht="15.75" customHeight="1" x14ac:dyDescent="0.2">
      <c r="A187" s="292"/>
      <c r="B187" s="295"/>
      <c r="C187" s="133"/>
      <c r="D187" s="25" t="s">
        <v>60</v>
      </c>
      <c r="E187" s="26"/>
      <c r="F187" s="27" t="s">
        <v>5</v>
      </c>
      <c r="G187" s="52">
        <f t="shared" si="40"/>
        <v>0</v>
      </c>
      <c r="H187" s="49"/>
      <c r="I187" s="28">
        <f>IF('Step 1 - Case Selection'!V59&lt;1,0,I101+I96+I48)</f>
        <v>0</v>
      </c>
      <c r="J187" s="28">
        <f>IF('Step 1 - Case Selection'!V59&lt;2,0,J101+J96+J48)</f>
        <v>0</v>
      </c>
      <c r="K187" s="28">
        <f>IF('Step 1 - Case Selection'!V59&lt;3,0,K101+K96+K48)</f>
        <v>0</v>
      </c>
      <c r="L187" s="28">
        <f>IF('Step 1 - Case Selection'!V59&lt;4,0,L101+L96+L48)</f>
        <v>0</v>
      </c>
      <c r="M187" s="28">
        <f>IF('Step 1 - Case Selection'!V59&lt;5,0,M101+M96+M48)</f>
        <v>0</v>
      </c>
      <c r="N187" s="36" t="e">
        <f>G187/G181</f>
        <v>#DIV/0!</v>
      </c>
      <c r="O187" s="25" t="e">
        <f>IF(N187&gt;0.03,"Material " &amp; ROUND(N187*100,1) &amp; " %", "")</f>
        <v>#DIV/0!</v>
      </c>
    </row>
    <row r="188" spans="1:15" customFormat="1" ht="15.75" customHeight="1" x14ac:dyDescent="0.2">
      <c r="A188" s="292"/>
      <c r="B188" s="295"/>
      <c r="C188" s="133"/>
      <c r="D188" s="25" t="s">
        <v>63</v>
      </c>
      <c r="E188" s="26"/>
      <c r="F188" s="27" t="s">
        <v>5</v>
      </c>
      <c r="G188" s="52">
        <f t="shared" si="40"/>
        <v>0</v>
      </c>
      <c r="H188" s="49"/>
      <c r="I188" s="28">
        <f>IF('Step 1 - Case Selection'!V59&lt;1,0,I77+I87+I86)</f>
        <v>0</v>
      </c>
      <c r="J188" s="28">
        <f>IF('Step 1 - Case Selection'!V59&lt;2,0,J77+J87+J86)</f>
        <v>0</v>
      </c>
      <c r="K188" s="28">
        <f>IF('Step 1 - Case Selection'!V59&lt;3,0,K77+K87+K86)</f>
        <v>0</v>
      </c>
      <c r="L188" s="28">
        <f>IF('Step 1 - Case Selection'!V59&lt;4,0,L77+L87+L86)</f>
        <v>0</v>
      </c>
      <c r="M188" s="28">
        <f>IF('Step 1 - Case Selection'!V59&lt;5,0,M77+M87+M86)</f>
        <v>0</v>
      </c>
      <c r="N188" s="36" t="e">
        <f>G188/G181</f>
        <v>#DIV/0!</v>
      </c>
      <c r="O188" s="25" t="e">
        <f>IF(N188&gt;0.03,"Disposal " &amp; ROUND(N188*100,1) &amp; " %", "")</f>
        <v>#DIV/0!</v>
      </c>
    </row>
    <row r="189" spans="1:15" customFormat="1" ht="15.75" customHeight="1" x14ac:dyDescent="0.2">
      <c r="A189" s="292"/>
      <c r="B189" s="295"/>
      <c r="C189" s="133"/>
      <c r="D189" s="25" t="s">
        <v>16</v>
      </c>
      <c r="E189" s="26"/>
      <c r="F189" s="27" t="s">
        <v>5</v>
      </c>
      <c r="G189" s="52">
        <f t="shared" si="40"/>
        <v>0</v>
      </c>
      <c r="H189" s="49"/>
      <c r="I189" s="28">
        <f>IF('Step 1 - Case Selection'!V59&lt;1,0,I119)</f>
        <v>0</v>
      </c>
      <c r="J189" s="28">
        <f>IF('Step 1 - Case Selection'!V59&lt;2,0,J119)</f>
        <v>0</v>
      </c>
      <c r="K189" s="28">
        <f>IF('Step 1 - Case Selection'!V59&lt;3,0,K119)</f>
        <v>0</v>
      </c>
      <c r="L189" s="28">
        <f>IF('Step 1 - Case Selection'!V59&lt;4,0,L119)</f>
        <v>0</v>
      </c>
      <c r="M189" s="28">
        <f>IF('Step 1 - Case Selection'!V59&lt;5,0,M119)</f>
        <v>0</v>
      </c>
      <c r="N189" s="36" t="e">
        <f>G189/G181</f>
        <v>#DIV/0!</v>
      </c>
      <c r="O189" s="25" t="e">
        <f>IF(N189&gt;0.03,"Financing " &amp; ROUND(N189*100,1) &amp; " %", "")</f>
        <v>#DIV/0!</v>
      </c>
    </row>
    <row r="190" spans="1:15" customFormat="1" ht="15.75" customHeight="1" x14ac:dyDescent="0.2">
      <c r="A190" s="292"/>
      <c r="B190" s="295"/>
      <c r="C190" s="133"/>
      <c r="D190" s="25" t="s">
        <v>115</v>
      </c>
      <c r="E190" s="26"/>
      <c r="F190" s="27" t="s">
        <v>5</v>
      </c>
      <c r="G190" s="52">
        <f t="shared" ref="G190" si="41">SUM(H190:M190)</f>
        <v>0</v>
      </c>
      <c r="H190" s="49"/>
      <c r="I190" s="28">
        <f>IF('Step 1 - Case Selection'!V59&lt;1,0,Special_Costs_Linear_Production+Special_Costs_Dismantling+Special_Costs_Identification___Sorting+Special_Costs_Disassembly+Special_Costs_Inspection+Special_Costs_Cleaning+Special_Costs_Restoring+Special_Costs_Assembly+Special_Costs_Testing+Additional_Special_Costs)</f>
        <v>0</v>
      </c>
      <c r="J190" s="28">
        <f>IF('Step 1 - Case Selection'!V59&lt;2,0,Special_Costs_Linear_Production+Special_Costs_Dismantling+Special_Costs_Identification___Sorting+Special_Costs_Disassembly+Special_Costs_Inspection+Special_Costs_Cleaning+Special_Costs_Restoring+Special_Costs_Assembly+Special_Costs_Testing+Additional_Special_Costs)</f>
        <v>0</v>
      </c>
      <c r="K190" s="28">
        <f>IF('Step 1 - Case Selection'!V59&lt;3,0,Special_Costs_Linear_Production+Special_Costs_Dismantling+Special_Costs_Identification___Sorting+Special_Costs_Disassembly+Special_Costs_Inspection+Special_Costs_Cleaning+Special_Costs_Restoring+Special_Costs_Assembly+Special_Costs_Testing+Additional_Special_Costs)</f>
        <v>0</v>
      </c>
      <c r="L190" s="28">
        <f>IF('Step 1 - Case Selection'!V59&lt;4,0,Special_Costs_Linear_Production+Special_Costs_Dismantling+Special_Costs_Identification___Sorting+Special_Costs_Disassembly+Special_Costs_Inspection+Special_Costs_Cleaning+Special_Costs_Restoring+Special_Costs_Assembly+Special_Costs_Testing+Additional_Special_Costs)</f>
        <v>0</v>
      </c>
      <c r="M190" s="28">
        <f>IF('Step 1 - Case Selection'!V59&lt;5,0,Special_Costs_Linear_Production+Special_Costs_Dismantling+Special_Costs_Identification___Sorting+Special_Costs_Disassembly+Special_Costs_Inspection+Special_Costs_Cleaning+Special_Costs_Restoring+Special_Costs_Assembly+Special_Costs_Testing+Additional_Special_Costs)</f>
        <v>0</v>
      </c>
      <c r="N190" s="36" t="e">
        <f>G190/G181</f>
        <v>#DIV/0!</v>
      </c>
      <c r="O190" s="25" t="e">
        <f>IF(N190&gt;0.03,"Special Costs " &amp; ROUND(N190*100,1) &amp; " %", "")</f>
        <v>#DIV/0!</v>
      </c>
    </row>
    <row r="191" spans="1:15" customFormat="1" ht="15.75" customHeight="1" x14ac:dyDescent="0.2">
      <c r="A191" s="292"/>
      <c r="B191" s="295"/>
      <c r="C191" s="133"/>
      <c r="D191" s="25" t="s">
        <v>205</v>
      </c>
      <c r="E191" s="26"/>
      <c r="F191" s="27" t="s">
        <v>5</v>
      </c>
      <c r="G191" s="52">
        <f>SUM(H191:M191)</f>
        <v>0</v>
      </c>
      <c r="H191" s="49"/>
      <c r="I191" s="28">
        <f>IF('Step 1 - Case Selection'!V59&lt;1,0,I32)</f>
        <v>0</v>
      </c>
      <c r="J191" s="28">
        <f>IF('Step 1 - Case Selection'!V59&lt;2,0,J32)</f>
        <v>0</v>
      </c>
      <c r="K191" s="28">
        <f>IF('Step 1 - Case Selection'!V59&lt;3,0,K32)</f>
        <v>0</v>
      </c>
      <c r="L191" s="28">
        <f>IF('Step 1 - Case Selection'!V59&lt;4,0,L32)</f>
        <v>0</v>
      </c>
      <c r="M191" s="28">
        <f>IF('Step 1 - Case Selection'!V59&lt;5,0,M32)</f>
        <v>0</v>
      </c>
      <c r="N191" s="36" t="e">
        <f>G191/G181</f>
        <v>#DIV/0!</v>
      </c>
      <c r="O191" s="25" t="e">
        <f>IF(N191&gt;0.03,"Administration " &amp; ROUND(N191*100,1) &amp; " %", "")</f>
        <v>#DIV/0!</v>
      </c>
    </row>
    <row r="192" spans="1:15" customFormat="1" ht="15.75" customHeight="1" x14ac:dyDescent="0.2">
      <c r="A192" s="292"/>
      <c r="B192" s="295"/>
      <c r="C192" s="133" t="s">
        <v>228</v>
      </c>
      <c r="D192" s="128"/>
      <c r="E192" s="129"/>
      <c r="F192" s="130"/>
      <c r="G192" s="131">
        <f>SUM(H192:M192)</f>
        <v>0</v>
      </c>
      <c r="H192" s="131">
        <f>SUM(H193:H195)</f>
        <v>0</v>
      </c>
      <c r="I192" s="131">
        <f>SUM(I193:I195)</f>
        <v>0</v>
      </c>
      <c r="J192" s="131">
        <f t="shared" ref="J192:M192" si="42">SUM(J193:J195)</f>
        <v>0</v>
      </c>
      <c r="K192" s="131">
        <f t="shared" si="42"/>
        <v>0</v>
      </c>
      <c r="L192" s="131">
        <f t="shared" si="42"/>
        <v>0</v>
      </c>
      <c r="M192" s="131">
        <f t="shared" si="42"/>
        <v>0</v>
      </c>
      <c r="N192" s="128"/>
      <c r="O192" s="128"/>
    </row>
    <row r="193" spans="1:15" customFormat="1" ht="15.75" customHeight="1" x14ac:dyDescent="0.2">
      <c r="A193" s="292"/>
      <c r="B193" s="295"/>
      <c r="C193" s="133"/>
      <c r="D193" s="25" t="s">
        <v>7</v>
      </c>
      <c r="E193" s="26"/>
      <c r="F193" s="27" t="s">
        <v>5</v>
      </c>
      <c r="G193" s="52">
        <f t="shared" ref="G193:G195" si="43">SUM(H193:M193)</f>
        <v>0</v>
      </c>
      <c r="H193" s="52">
        <f>H17</f>
        <v>0</v>
      </c>
      <c r="I193" s="52">
        <f>IF('Step 1 - Case Selection'!V59&lt;1,0,I17)</f>
        <v>0</v>
      </c>
      <c r="J193" s="52">
        <f>IF('Step 1 - Case Selection'!V59&lt;2,0,J17)</f>
        <v>0</v>
      </c>
      <c r="K193" s="52">
        <f>IF('Step 1 - Case Selection'!V59&lt;3,0,K17)</f>
        <v>0</v>
      </c>
      <c r="L193" s="52">
        <f>IF('Step 1 - Case Selection'!V59&lt;4,0,L17)</f>
        <v>0</v>
      </c>
      <c r="M193" s="52">
        <f>IF('Step 1 - Case Selection'!V59&lt;5,0,M17)</f>
        <v>0</v>
      </c>
      <c r="N193" s="36" t="e">
        <f>G193/G192</f>
        <v>#DIV/0!</v>
      </c>
      <c r="O193" s="25" t="e">
        <f>IF(N193&gt;0.03,"CapEx " &amp; ROUND(N193*100,1) &amp; " %", "")</f>
        <v>#DIV/0!</v>
      </c>
    </row>
    <row r="194" spans="1:15" customFormat="1" ht="15.75" customHeight="1" x14ac:dyDescent="0.2">
      <c r="A194" s="292"/>
      <c r="B194" s="295"/>
      <c r="C194" s="133"/>
      <c r="D194" s="25" t="s">
        <v>10</v>
      </c>
      <c r="E194" s="26"/>
      <c r="F194" s="27" t="s">
        <v>5</v>
      </c>
      <c r="G194" s="52">
        <f t="shared" si="43"/>
        <v>0</v>
      </c>
      <c r="H194" s="49"/>
      <c r="I194" s="28">
        <f>IF('Step 1 - Case Selection'!V59&lt;1,0,I30)</f>
        <v>0</v>
      </c>
      <c r="J194" s="28">
        <f>IF('Step 1 - Case Selection'!V59&lt;2,0,J30)</f>
        <v>0</v>
      </c>
      <c r="K194" s="28">
        <f>IF('Step 1 - Case Selection'!V59&lt;3,0,K30)</f>
        <v>0</v>
      </c>
      <c r="L194" s="28">
        <f>IF('Step 1 - Case Selection'!V59&lt;4,0,L30)</f>
        <v>0</v>
      </c>
      <c r="M194" s="28">
        <f>IF('Step 1 - Case Selection'!V59&lt;5,0,M30)</f>
        <v>0</v>
      </c>
      <c r="N194" s="36" t="e">
        <f>G194/G192</f>
        <v>#DIV/0!</v>
      </c>
      <c r="O194" s="25" t="e">
        <f>IF(N194&gt;0.03,"OpEx " &amp; ROUND(N194*100,1) &amp; " %", "")</f>
        <v>#DIV/0!</v>
      </c>
    </row>
    <row r="195" spans="1:15" customFormat="1" ht="15.75" customHeight="1" x14ac:dyDescent="0.2">
      <c r="A195" s="292"/>
      <c r="B195" s="299"/>
      <c r="C195" s="264"/>
      <c r="D195" s="265" t="s">
        <v>229</v>
      </c>
      <c r="E195" s="266"/>
      <c r="F195" s="267" t="s">
        <v>5</v>
      </c>
      <c r="G195" s="268">
        <f t="shared" si="43"/>
        <v>0</v>
      </c>
      <c r="H195" s="269"/>
      <c r="I195" s="270">
        <f>IF('Step 1 - Case Selection'!V59&lt;1,0,I119)</f>
        <v>0</v>
      </c>
      <c r="J195" s="270">
        <f>IF('Step 1 - Case Selection'!V59&lt;2,0,J119)</f>
        <v>0</v>
      </c>
      <c r="K195" s="270">
        <f>IF('Step 1 - Case Selection'!V59&lt;3,0,K119)</f>
        <v>0</v>
      </c>
      <c r="L195" s="270">
        <f>IF('Step 1 - Case Selection'!V59&lt;4,0,L119)</f>
        <v>0</v>
      </c>
      <c r="M195" s="270">
        <f>IF('Step 1 - Case Selection'!V59&lt;5,0,M119)</f>
        <v>0</v>
      </c>
      <c r="N195" s="271" t="e">
        <f>G195/G192</f>
        <v>#DIV/0!</v>
      </c>
      <c r="O195" s="25" t="e">
        <f>IF(N195&gt;0.02,"CoD " &amp; ROUND(N195*100,1) &amp; " %", "")</f>
        <v>#DIV/0!</v>
      </c>
    </row>
    <row r="196" spans="1:15" ht="15" customHeight="1" x14ac:dyDescent="0.15"/>
    <row r="197" spans="1:15" ht="15" customHeight="1" x14ac:dyDescent="0.15"/>
    <row r="198" spans="1:15" ht="15" customHeight="1" x14ac:dyDescent="0.15"/>
    <row r="199" spans="1:15" ht="15" customHeight="1" x14ac:dyDescent="0.15"/>
    <row r="200" spans="1:15" ht="15" customHeight="1" x14ac:dyDescent="0.15"/>
    <row r="201" spans="1:15" ht="15" customHeight="1" x14ac:dyDescent="0.15"/>
    <row r="202" spans="1:15" ht="15" customHeight="1" x14ac:dyDescent="0.15"/>
  </sheetData>
  <sheetProtection sheet="1" objects="1" scenarios="1"/>
  <mergeCells count="1">
    <mergeCell ref="A125:B125"/>
  </mergeCells>
  <phoneticPr fontId="6" type="noConversion"/>
  <pageMargins left="0.7" right="0.7" top="0.78740157499999996" bottom="0.78740157499999996"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B8CCF-2C84-475E-8E85-2B6538297DBC}">
  <sheetPr>
    <tabColor theme="2"/>
  </sheetPr>
  <dimension ref="A1:AH197"/>
  <sheetViews>
    <sheetView zoomScale="70" zoomScaleNormal="70" workbookViewId="0">
      <pane ySplit="1" topLeftCell="A2" activePane="bottomLeft" state="frozen"/>
      <selection activeCell="B1" sqref="B1"/>
      <selection pane="bottomLeft" activeCell="H100" sqref="H100"/>
    </sheetView>
  </sheetViews>
  <sheetFormatPr baseColWidth="10" defaultColWidth="0" defaultRowHeight="15" customHeight="1" zeroHeight="1" x14ac:dyDescent="0.15"/>
  <cols>
    <col min="1" max="1" width="28.5" style="4" bestFit="1" customWidth="1"/>
    <col min="2" max="2" width="51.5" style="35" bestFit="1" customWidth="1"/>
    <col min="3" max="3" width="58.5" style="4" bestFit="1" customWidth="1"/>
    <col min="4" max="4" width="68.6640625" style="4" bestFit="1" customWidth="1"/>
    <col min="5" max="5" width="7.83203125" style="15" bestFit="1" customWidth="1"/>
    <col min="6" max="13" width="20" style="4" customWidth="1"/>
    <col min="14" max="14" width="25.83203125" style="4" bestFit="1" customWidth="1"/>
    <col min="15" max="34" width="10.6640625" style="4" hidden="1" customWidth="1"/>
    <col min="35" max="16384" width="11.5" style="4" hidden="1"/>
  </cols>
  <sheetData>
    <row r="1" spans="1:14" ht="20" x14ac:dyDescent="0.2">
      <c r="A1" s="138" t="s">
        <v>219</v>
      </c>
      <c r="B1" s="138" t="s">
        <v>0</v>
      </c>
      <c r="C1" s="138" t="s">
        <v>18</v>
      </c>
      <c r="D1" s="138" t="s">
        <v>107</v>
      </c>
      <c r="E1" s="139" t="s">
        <v>1</v>
      </c>
      <c r="F1" s="138" t="s">
        <v>20</v>
      </c>
      <c r="G1" s="138" t="s">
        <v>21</v>
      </c>
      <c r="H1" s="138" t="s">
        <v>22</v>
      </c>
      <c r="I1" s="138" t="s">
        <v>23</v>
      </c>
      <c r="J1" s="138" t="s">
        <v>24</v>
      </c>
      <c r="K1" s="138" t="s">
        <v>25</v>
      </c>
      <c r="L1" s="138" t="s">
        <v>26</v>
      </c>
      <c r="M1" s="138" t="s">
        <v>164</v>
      </c>
      <c r="N1" s="138" t="s">
        <v>218</v>
      </c>
    </row>
    <row r="2" spans="1:14" ht="18" x14ac:dyDescent="0.2">
      <c r="A2" s="74" t="s">
        <v>222</v>
      </c>
      <c r="B2" s="75"/>
      <c r="C2" s="76"/>
      <c r="D2" s="76"/>
      <c r="E2" s="78" t="s">
        <v>5</v>
      </c>
      <c r="F2" s="79">
        <f t="shared" ref="F2" si="0">SUM(G2:L2)</f>
        <v>0</v>
      </c>
      <c r="G2" s="79">
        <f t="shared" ref="G2:L2" si="1">SUM(G4,G13)</f>
        <v>0</v>
      </c>
      <c r="H2" s="79">
        <f t="shared" si="1"/>
        <v>0</v>
      </c>
      <c r="I2" s="79">
        <f t="shared" si="1"/>
        <v>0</v>
      </c>
      <c r="J2" s="79">
        <f t="shared" si="1"/>
        <v>0</v>
      </c>
      <c r="K2" s="79">
        <f t="shared" si="1"/>
        <v>0</v>
      </c>
      <c r="L2" s="79">
        <f t="shared" si="1"/>
        <v>0</v>
      </c>
      <c r="M2" s="79"/>
      <c r="N2"/>
    </row>
    <row r="3" spans="1:14" ht="7.5" customHeight="1" x14ac:dyDescent="0.2">
      <c r="A3" s="61"/>
      <c r="B3" s="62"/>
      <c r="C3" s="61"/>
      <c r="D3" s="61"/>
      <c r="E3" s="63"/>
      <c r="F3" s="61"/>
      <c r="G3" s="61"/>
      <c r="H3" s="61"/>
      <c r="I3" s="61"/>
      <c r="J3" s="61"/>
      <c r="K3" s="61"/>
      <c r="L3" s="61"/>
      <c r="M3" s="61"/>
      <c r="N3"/>
    </row>
    <row r="4" spans="1:14" customFormat="1" x14ac:dyDescent="0.2">
      <c r="A4" s="69"/>
      <c r="B4" s="70" t="s">
        <v>3</v>
      </c>
      <c r="C4" s="69"/>
      <c r="D4" s="69"/>
      <c r="E4" s="72" t="s">
        <v>5</v>
      </c>
      <c r="F4" s="73">
        <f>SUM(G4:L4)</f>
        <v>0</v>
      </c>
      <c r="G4" s="73"/>
      <c r="H4" s="73">
        <f>SUM(H5+H9)</f>
        <v>0</v>
      </c>
      <c r="I4" s="73">
        <f t="shared" ref="I4:L4" si="2">SUM(I5+I9)</f>
        <v>0</v>
      </c>
      <c r="J4" s="73">
        <f t="shared" si="2"/>
        <v>0</v>
      </c>
      <c r="K4" s="73">
        <f t="shared" si="2"/>
        <v>0</v>
      </c>
      <c r="L4" s="73">
        <f t="shared" si="2"/>
        <v>0</v>
      </c>
      <c r="M4" s="73"/>
    </row>
    <row r="5" spans="1:14" customFormat="1" x14ac:dyDescent="0.2">
      <c r="A5" s="16"/>
      <c r="B5" s="30"/>
      <c r="C5" s="16" t="s">
        <v>410</v>
      </c>
      <c r="D5" s="16"/>
      <c r="E5" s="18" t="s">
        <v>5</v>
      </c>
      <c r="F5" s="3">
        <f>SUM(G5:L5)</f>
        <v>0</v>
      </c>
      <c r="G5" s="3"/>
      <c r="H5" s="3">
        <f>SUM(H6:H8)</f>
        <v>0</v>
      </c>
      <c r="I5" s="3">
        <f t="shared" ref="I5:L5" si="3">SUM(I6:I8)</f>
        <v>0</v>
      </c>
      <c r="J5" s="3">
        <f t="shared" si="3"/>
        <v>0</v>
      </c>
      <c r="K5" s="3">
        <f t="shared" si="3"/>
        <v>0</v>
      </c>
      <c r="L5" s="3">
        <f t="shared" si="3"/>
        <v>0</v>
      </c>
      <c r="M5" s="3"/>
    </row>
    <row r="6" spans="1:14" customFormat="1" x14ac:dyDescent="0.2">
      <c r="A6" s="16"/>
      <c r="B6" s="30"/>
      <c r="C6" s="16"/>
      <c r="D6" s="5" t="s">
        <v>154</v>
      </c>
      <c r="E6" s="21" t="s">
        <v>5</v>
      </c>
      <c r="F6" s="22">
        <f>SUM(G6:L6)</f>
        <v>0</v>
      </c>
      <c r="G6" s="22"/>
      <c r="H6" s="22">
        <f>'Step 2.2 - Data Input (Revenue)'!G9*'Step 2.2 - Data Input (Revenue)'!G6</f>
        <v>0</v>
      </c>
      <c r="I6" s="22">
        <f>'Step 2.2 - Data Input (Revenue)'!G10*'Step 2.2 - Data Input (Revenue)'!G6</f>
        <v>0</v>
      </c>
      <c r="J6" s="22">
        <f>'Step 2.2 - Data Input (Revenue)'!G11*'Step 2.2 - Data Input (Revenue)'!G6</f>
        <v>0</v>
      </c>
      <c r="K6" s="22">
        <f>'Step 2.2 - Data Input (Revenue)'!G12*'Step 2.2 - Data Input (Revenue)'!G6</f>
        <v>0</v>
      </c>
      <c r="L6" s="22">
        <f>'Step 2.2 - Data Input (Revenue)'!G13*'Step 2.2 - Data Input (Revenue)'!G6</f>
        <v>0</v>
      </c>
      <c r="M6" s="3"/>
    </row>
    <row r="7" spans="1:14" customFormat="1" x14ac:dyDescent="0.2">
      <c r="A7" s="16"/>
      <c r="B7" s="30"/>
      <c r="C7" s="16"/>
      <c r="D7" s="5" t="s">
        <v>390</v>
      </c>
      <c r="E7" s="21" t="s">
        <v>5</v>
      </c>
      <c r="F7" s="22">
        <f t="shared" ref="F7" si="4">SUM(G7:L7)</f>
        <v>0</v>
      </c>
      <c r="G7" s="22"/>
      <c r="H7" s="22">
        <f>'Step 2.2 - Data Input (Revenue)'!G9*'Step 2.2 - Data Input (Revenue)'!G7</f>
        <v>0</v>
      </c>
      <c r="I7" s="22">
        <f>'Step 2.2 - Data Input (Revenue)'!G10*'Step 2.2 - Data Input (Revenue)'!G7</f>
        <v>0</v>
      </c>
      <c r="J7" s="22">
        <f>'Step 2.2 - Data Input (Revenue)'!G11*'Step 2.2 - Data Input (Revenue)'!G7</f>
        <v>0</v>
      </c>
      <c r="K7" s="22">
        <f>'Step 2.2 - Data Input (Revenue)'!G12*'Step 2.2 - Data Input (Revenue)'!G7</f>
        <v>0</v>
      </c>
      <c r="L7" s="22">
        <f>'Step 2.2 - Data Input (Revenue)'!G13*'Step 2.2 - Data Input (Revenue)'!G7</f>
        <v>0</v>
      </c>
      <c r="M7" s="3"/>
    </row>
    <row r="8" spans="1:14" customFormat="1" x14ac:dyDescent="0.2">
      <c r="A8" s="16"/>
      <c r="B8" s="30"/>
      <c r="C8" s="16"/>
      <c r="D8" s="5" t="s">
        <v>389</v>
      </c>
      <c r="E8" s="21" t="s">
        <v>5</v>
      </c>
      <c r="F8" s="22">
        <f>SUM(G8:L8)</f>
        <v>0</v>
      </c>
      <c r="G8" s="22"/>
      <c r="H8" s="22">
        <f>'Step 2.2 - Data Input (Revenue)'!G9*'Step 2.2 - Data Input (Revenue)'!G8</f>
        <v>0</v>
      </c>
      <c r="I8" s="22">
        <f>'Step 2.2 - Data Input (Revenue)'!G10*'Step 2.2 - Data Input (Revenue)'!G8</f>
        <v>0</v>
      </c>
      <c r="J8" s="22">
        <f>'Step 2.2 - Data Input (Revenue)'!G11*'Step 2.2 - Data Input (Revenue)'!G8</f>
        <v>0</v>
      </c>
      <c r="K8" s="22">
        <f>'Step 2.2 - Data Input (Revenue)'!G12*'Step 2.2 - Data Input (Revenue)'!G8</f>
        <v>0</v>
      </c>
      <c r="L8" s="22">
        <f>'Step 2.2 - Data Input (Revenue)'!G13*'Step 2.2 - Data Input (Revenue)'!G8</f>
        <v>0</v>
      </c>
      <c r="M8" s="3"/>
    </row>
    <row r="9" spans="1:14" x14ac:dyDescent="0.2">
      <c r="A9" s="16"/>
      <c r="B9" s="30"/>
      <c r="C9" s="16" t="s">
        <v>108</v>
      </c>
      <c r="D9" s="16"/>
      <c r="E9" s="18" t="s">
        <v>5</v>
      </c>
      <c r="F9" s="3">
        <f>SUM(G9:L9)</f>
        <v>0</v>
      </c>
      <c r="G9" s="3"/>
      <c r="H9" s="3">
        <f>H10*'Step 2.2 - Data Input (Revenue)'!G16</f>
        <v>0</v>
      </c>
      <c r="I9" s="3">
        <f>I10*'Step 2.2 - Data Input (Revenue)'!G16</f>
        <v>0</v>
      </c>
      <c r="J9" s="3">
        <f>J10*'Step 2.2 - Data Input (Revenue)'!G16</f>
        <v>0</v>
      </c>
      <c r="K9" s="3">
        <f>K10*'Step 2.2 - Data Input (Revenue)'!G16</f>
        <v>0</v>
      </c>
      <c r="L9" s="3">
        <f>L10*'Step 2.2 - Data Input (Revenue)'!G16</f>
        <v>0</v>
      </c>
      <c r="M9" s="3"/>
      <c r="N9"/>
    </row>
    <row r="10" spans="1:14" customFormat="1" x14ac:dyDescent="0.2">
      <c r="A10" s="19"/>
      <c r="B10" s="31"/>
      <c r="C10" s="19"/>
      <c r="D10" s="5" t="s">
        <v>109</v>
      </c>
      <c r="E10" s="21" t="s">
        <v>166</v>
      </c>
      <c r="F10" s="5"/>
      <c r="G10" s="5"/>
      <c r="H10" s="5">
        <f>'Step 2.2 - Data Input (Revenue)'!G18</f>
        <v>0</v>
      </c>
      <c r="I10" s="5">
        <f>IF('Step 2.2 - Data Input (Revenue)'!G17&gt;1,'Step 2.2 - Data Input (Revenue)'!G18+'Step 2.2 - Data Input (Revenue)'!G19,'Step 2.2 - Data Input (Revenue)'!G19)</f>
        <v>0</v>
      </c>
      <c r="J10" s="5" cm="1">
        <f t="array" ref="J10">_xlfn.IFS('Step 2.2 - Data Input (Revenue)'!G17&gt;2, 'Step 2.2 - Data Input (Revenue)'!G18+'Step 2.2 - Data Input (Revenue)'!G19+'Step 2.2 - Data Input (Revenue)'!G20,'Step 2.2 - Data Input (Revenue)'!G17&gt;1,'Step 2.2 - Data Input (Revenue)'!G19+'Step 2.2 - Data Input (Revenue)'!G20, 'Step 2.2 - Data Input (Revenue)'!G17&lt;=1, 'Step 2.2 - Data Input (Revenue)'!G20)</f>
        <v>0</v>
      </c>
      <c r="K10" s="5" cm="1">
        <f t="array" ref="K10">_xlfn.IFS('Step 2.2 - Data Input (Revenue)'!G17&gt;3, 'Step 2.2 - Data Input (Revenue)'!G18+'Step 2.2 - Data Input (Revenue)'!G19+'Step 2.2 - Data Input (Revenue)'!G20+ 'Step 2.2 - Data Input (Revenue)'!G21, 'Step 2.2 - Data Input (Revenue)'!G17&gt;2,'Step 2.2 - Data Input (Revenue)'!G19+'Step 2.2 - Data Input (Revenue)'!G20+'Step 2.2 - Data Input (Revenue)'!G21, 'Step 2.2 - Data Input (Revenue)'!G17&gt;1, 'Step 2.2 - Data Input (Revenue)'!G20+'Step 2.2 - Data Input (Revenue)'!G21, 'Step 2.2 - Data Input (Revenue)'!G17&lt;=1, 'Step 2.2 - Data Input (Revenue)'!G21)</f>
        <v>0</v>
      </c>
      <c r="L10" s="5" cm="1">
        <f t="array" ref="L10">_xlfn.IFS('Step 2.2 - Data Input (Revenue)'!G17&gt;4, 'Step 2.2 - Data Input (Revenue)'!G18+'Step 2.2 - Data Input (Revenue)'!G19+'Step 2.2 - Data Input (Revenue)'!G20+ 'Step 2.2 - Data Input (Revenue)'!G21+'Step 2.2 - Data Input (Revenue)'!G22, 'Step 2.2 - Data Input (Revenue)'!G17&gt;3,'Step 2.2 - Data Input (Revenue)'!G19+'Step 2.2 - Data Input (Revenue)'!G20+'Step 2.2 - Data Input (Revenue)'!G21+'Step 2.2 - Data Input (Revenue)'!G22, 'Step 2.2 - Data Input (Revenue)'!G17&gt;2, 'Step 2.2 - Data Input (Revenue)'!G20+'Step 2.2 - Data Input (Revenue)'!G21+'Step 2.2 - Data Input (Revenue)'!G22, 'Step 2.2 - Data Input (Revenue)'!G17&gt;1, 'Step 2.2 - Data Input (Revenue)'!G21+'Step 2.2 - Data Input (Revenue)'!G22,'Step 2.2 - Data Input (Revenue)'!G17&lt;=1, 'Step 2.2 - Data Input (Revenue)'!G22)</f>
        <v>0</v>
      </c>
      <c r="M10" s="5"/>
    </row>
    <row r="11" spans="1:14" customFormat="1" x14ac:dyDescent="0.2">
      <c r="A11" s="19"/>
      <c r="B11" s="31"/>
      <c r="C11" s="19"/>
      <c r="D11" s="5" t="s">
        <v>187</v>
      </c>
      <c r="E11" s="21" t="s">
        <v>5</v>
      </c>
      <c r="F11" s="22">
        <f>SUM(G11:M11)</f>
        <v>0</v>
      </c>
      <c r="G11" s="22"/>
      <c r="H11" s="22"/>
      <c r="I11" s="22"/>
      <c r="J11" s="22"/>
      <c r="K11" s="22"/>
      <c r="L11" s="22"/>
      <c r="M11" s="22" cm="1">
        <f t="array" ref="M11">_xlfn.IFS('Step 2.2 - Data Input (Revenue)'!G17&gt;5, (('Step 2.2 - Data Input (Revenue)'!G17-5)*'Step 2.2 - Data Input (Revenue)'!G18+('Step 2.2 - Data Input (Revenue)'!G17-4)*'Step 2.2 - Data Input (Revenue)'!G19+('Step 2.2 - Data Input (Revenue)'!G17-3)*'Step 2.2 - Data Input (Revenue)'!G20+('Step 2.2 - Data Input (Revenue)'!G17-2)*'Step 2.2 - Data Input (Revenue)'!G21+('Step 2.2 - Data Input (Revenue)'!G17-1)*'Step 2.2 - Data Input (Revenue)'!G22)*Annual_Price_Rental_Contract, 'Step 2.2 - Data Input (Revenue)'!G17&gt;4, (('Step 2.2 - Data Input (Revenue)'!G17-4)*'Step 2.2 - Data Input (Revenue)'!G19+('Step 2.2 - Data Input (Revenue)'!G17-3)*'Step 2.2 - Data Input (Revenue)'!G20+('Step 2.2 - Data Input (Revenue)'!G17-2)*'Step 2.2 - Data Input (Revenue)'!G21+('Step 2.2 - Data Input (Revenue)'!G17-1)*'Step 2.2 - Data Input (Revenue)'!G22)*Annual_Price_Rental_Contract, 'Step 2.2 - Data Input (Revenue)'!G17&gt;3, (('Step 2.2 - Data Input (Revenue)'!G17-3)*'Step 2.2 - Data Input (Revenue)'!G20+('Step 2.2 - Data Input (Revenue)'!G17-2)*'Step 2.2 - Data Input (Revenue)'!G21+('Step 2.2 - Data Input (Revenue)'!G17-1)*'Step 2.2 - Data Input (Revenue)'!G22)*Annual_Price_Rental_Contract, 'Step 2.2 - Data Input (Revenue)'!G17&gt;2,(('Step 2.2 - Data Input (Revenue)'!G17-2)*'Step 2.2 - Data Input (Revenue)'!G21+('Step 2.2 - Data Input (Revenue)'!G17-1)*'Step 2.2 - Data Input (Revenue)'!G22)*Annual_Price_Rental_Contract, 'Step 2.2 - Data Input (Revenue)'!G17&gt;1, ('Step 2.2 - Data Input (Revenue)'!G17-1)*'Step 2.2 - Data Input (Revenue)'!G22*Annual_Price_Rental_Contract, 'Step 2.2 - Data Input (Revenue)'!G17&lt;=1, 0)</f>
        <v>0</v>
      </c>
    </row>
    <row r="12" spans="1:14" customFormat="1" ht="7.5" customHeight="1" x14ac:dyDescent="0.2">
      <c r="A12" s="61"/>
      <c r="B12" s="62"/>
      <c r="C12" s="61"/>
      <c r="D12" s="61"/>
      <c r="E12" s="63"/>
      <c r="F12" s="61"/>
      <c r="G12" s="61"/>
      <c r="H12" s="61"/>
      <c r="I12" s="61"/>
      <c r="J12" s="61"/>
      <c r="K12" s="61"/>
      <c r="L12" s="61"/>
      <c r="M12" s="61"/>
    </row>
    <row r="13" spans="1:14" customFormat="1" x14ac:dyDescent="0.2">
      <c r="A13" s="69"/>
      <c r="B13" s="70" t="s">
        <v>179</v>
      </c>
      <c r="C13" s="69"/>
      <c r="D13" s="69"/>
      <c r="E13" s="72" t="s">
        <v>5</v>
      </c>
      <c r="F13" s="73">
        <f t="shared" ref="F13:F15" si="5">SUM(G13:L13)</f>
        <v>0</v>
      </c>
      <c r="G13" s="73">
        <f>SUM(G14:G15)</f>
        <v>0</v>
      </c>
      <c r="H13" s="73">
        <f t="shared" ref="H13:L13" si="6">SUM(H14:H15)</f>
        <v>0</v>
      </c>
      <c r="I13" s="73">
        <f t="shared" si="6"/>
        <v>0</v>
      </c>
      <c r="J13" s="73">
        <f t="shared" si="6"/>
        <v>0</v>
      </c>
      <c r="K13" s="73">
        <f t="shared" si="6"/>
        <v>0</v>
      </c>
      <c r="L13" s="73">
        <f t="shared" si="6"/>
        <v>0</v>
      </c>
      <c r="M13" s="73"/>
    </row>
    <row r="14" spans="1:14" customFormat="1" x14ac:dyDescent="0.2">
      <c r="A14" s="16"/>
      <c r="B14" s="30"/>
      <c r="C14" s="16" t="s">
        <v>4</v>
      </c>
      <c r="D14" s="16"/>
      <c r="E14" s="18" t="s">
        <v>5</v>
      </c>
      <c r="F14" s="3">
        <f t="shared" si="5"/>
        <v>0</v>
      </c>
      <c r="G14" s="3">
        <f>'Step 2.1 - Data Input (General)'!G16</f>
        <v>0</v>
      </c>
      <c r="H14" s="3"/>
      <c r="I14" s="3"/>
      <c r="J14" s="3"/>
      <c r="K14" s="3"/>
      <c r="L14" s="3"/>
      <c r="M14" s="3"/>
    </row>
    <row r="15" spans="1:14" customFormat="1" x14ac:dyDescent="0.2">
      <c r="A15" s="16"/>
      <c r="B15" s="30"/>
      <c r="C15" s="16" t="s">
        <v>27</v>
      </c>
      <c r="D15" s="16"/>
      <c r="E15" s="18" t="s">
        <v>5</v>
      </c>
      <c r="F15" s="3">
        <f t="shared" si="5"/>
        <v>0</v>
      </c>
      <c r="G15" s="3">
        <f>'Step 2.1 - Data Input (General)'!G12</f>
        <v>0</v>
      </c>
      <c r="H15" s="3">
        <f>'Step 2.1 - Data Input (General)'!G13</f>
        <v>0</v>
      </c>
      <c r="I15" s="3">
        <f>'Step 2.1 - Data Input (General)'!G13</f>
        <v>0</v>
      </c>
      <c r="J15" s="3">
        <f>'Step 2.1 - Data Input (General)'!G13</f>
        <v>0</v>
      </c>
      <c r="K15" s="3">
        <f>'Step 2.1 - Data Input (General)'!G13</f>
        <v>0</v>
      </c>
      <c r="L15" s="3">
        <f>'Step 2.1 - Data Input (General)'!G13</f>
        <v>0</v>
      </c>
      <c r="M15" s="3"/>
    </row>
    <row r="16" spans="1:14" ht="15" hidden="1" customHeight="1" x14ac:dyDescent="0.2">
      <c r="N16"/>
    </row>
    <row r="17" spans="1:13" customFormat="1" ht="18" x14ac:dyDescent="0.2">
      <c r="A17" s="80" t="s">
        <v>7</v>
      </c>
      <c r="B17" s="81"/>
      <c r="C17" s="82"/>
      <c r="D17" s="82"/>
      <c r="E17" s="83" t="s">
        <v>5</v>
      </c>
      <c r="F17" s="84">
        <f>SUM(G17:L17)</f>
        <v>0</v>
      </c>
      <c r="G17" s="84">
        <f>SUM(G19+G24)</f>
        <v>0</v>
      </c>
      <c r="H17" s="84"/>
      <c r="I17" s="84"/>
      <c r="J17" s="84"/>
      <c r="K17" s="84"/>
      <c r="L17" s="84"/>
      <c r="M17" s="84"/>
    </row>
    <row r="18" spans="1:13" customFormat="1" ht="7.5" customHeight="1" x14ac:dyDescent="0.2">
      <c r="A18" s="61"/>
      <c r="B18" s="62"/>
      <c r="C18" s="61"/>
      <c r="D18" s="61"/>
      <c r="E18" s="63"/>
      <c r="F18" s="61"/>
      <c r="G18" s="61"/>
      <c r="H18" s="61"/>
      <c r="I18" s="61"/>
      <c r="J18" s="61"/>
      <c r="K18" s="61"/>
      <c r="L18" s="61"/>
      <c r="M18" s="61"/>
    </row>
    <row r="19" spans="1:13" customFormat="1" ht="15.75" customHeight="1" x14ac:dyDescent="0.2">
      <c r="A19" s="85"/>
      <c r="B19" s="86" t="s">
        <v>373</v>
      </c>
      <c r="C19" s="85"/>
      <c r="D19" s="85"/>
      <c r="E19" s="87"/>
      <c r="F19" s="84">
        <f>SUM(G19:L19)</f>
        <v>0</v>
      </c>
      <c r="G19" s="84">
        <f>SUM(G20:G22)</f>
        <v>0</v>
      </c>
      <c r="H19" s="88"/>
      <c r="I19" s="88"/>
      <c r="J19" s="88"/>
      <c r="K19" s="88"/>
      <c r="L19" s="88"/>
      <c r="M19" s="88"/>
    </row>
    <row r="20" spans="1:13" customFormat="1" ht="15.75" customHeight="1" x14ac:dyDescent="0.2">
      <c r="A20" s="23"/>
      <c r="B20" s="32"/>
      <c r="C20" s="23" t="s">
        <v>28</v>
      </c>
      <c r="D20" s="23"/>
      <c r="E20" s="8" t="s">
        <v>5</v>
      </c>
      <c r="F20" s="89">
        <f>SUM(G20:L20)</f>
        <v>0</v>
      </c>
      <c r="G20" s="6">
        <f>SUM('Step 2.3 - Data Input (CapEx)'!G6+'Step 2.3 - Data Input (CapEx)'!G7+'Step 2.3 - Data Input (CapEx)'!G8)</f>
        <v>0</v>
      </c>
      <c r="H20" s="6"/>
      <c r="I20" s="6"/>
      <c r="J20" s="6"/>
      <c r="K20" s="6"/>
      <c r="L20" s="6"/>
      <c r="M20" s="6"/>
    </row>
    <row r="21" spans="1:13" customFormat="1" ht="15.75" customHeight="1" x14ac:dyDescent="0.2">
      <c r="A21" s="23"/>
      <c r="B21" s="32"/>
      <c r="C21" s="23" t="s">
        <v>8</v>
      </c>
      <c r="D21" s="23"/>
      <c r="E21" s="8" t="s">
        <v>5</v>
      </c>
      <c r="F21" s="89">
        <f>SUM(G21:L21)</f>
        <v>0</v>
      </c>
      <c r="G21" s="6">
        <f>SUM('Step 2.3 - Data Input (CapEx)'!G9+'Step 2.3 - Data Input (CapEx)'!G10+'Step 2.3 - Data Input (CapEx)'!G11)</f>
        <v>0</v>
      </c>
      <c r="H21" s="6"/>
      <c r="I21" s="6"/>
      <c r="J21" s="6"/>
      <c r="K21" s="6"/>
      <c r="L21" s="6"/>
      <c r="M21" s="6"/>
    </row>
    <row r="22" spans="1:13" customFormat="1" ht="15.75" customHeight="1" x14ac:dyDescent="0.2">
      <c r="A22" s="23"/>
      <c r="B22" s="32"/>
      <c r="C22" s="23" t="s">
        <v>114</v>
      </c>
      <c r="D22" s="23"/>
      <c r="E22" s="8" t="s">
        <v>5</v>
      </c>
      <c r="F22" s="89">
        <f>SUM(G22:L22)</f>
        <v>0</v>
      </c>
      <c r="G22" s="6">
        <f>'Step 2.3 - Data Input (CapEx)'!G12</f>
        <v>0</v>
      </c>
      <c r="H22" s="6"/>
      <c r="I22" s="6"/>
      <c r="J22" s="6"/>
      <c r="K22" s="6"/>
      <c r="L22" s="6"/>
      <c r="M22" s="6"/>
    </row>
    <row r="23" spans="1:13" customFormat="1" ht="7.5" customHeight="1" x14ac:dyDescent="0.2">
      <c r="A23" s="61"/>
      <c r="B23" s="62"/>
      <c r="C23" s="61"/>
      <c r="D23" s="61"/>
      <c r="E23" s="63"/>
      <c r="F23" s="61"/>
      <c r="G23" s="61"/>
      <c r="H23" s="61"/>
      <c r="I23" s="61"/>
      <c r="J23" s="61"/>
      <c r="K23" s="61"/>
      <c r="L23" s="61"/>
      <c r="M23" s="61"/>
    </row>
    <row r="24" spans="1:13" customFormat="1" ht="15.75" customHeight="1" x14ac:dyDescent="0.2">
      <c r="A24" s="85"/>
      <c r="B24" s="86" t="s">
        <v>29</v>
      </c>
      <c r="C24" s="85"/>
      <c r="D24" s="85"/>
      <c r="E24" s="87" t="s">
        <v>5</v>
      </c>
      <c r="F24" s="88">
        <f>SUM(G24:L24)</f>
        <v>0</v>
      </c>
      <c r="G24" s="88">
        <f>SUM(G25:G28)</f>
        <v>0</v>
      </c>
      <c r="H24" s="88"/>
      <c r="I24" s="88"/>
      <c r="J24" s="88"/>
      <c r="K24" s="88"/>
      <c r="L24" s="88"/>
      <c r="M24" s="88"/>
    </row>
    <row r="25" spans="1:13" customFormat="1" ht="15.75" customHeight="1" x14ac:dyDescent="0.2">
      <c r="A25" s="23"/>
      <c r="B25" s="32"/>
      <c r="C25" s="23" t="s">
        <v>31</v>
      </c>
      <c r="D25" s="23"/>
      <c r="E25" s="8" t="s">
        <v>5</v>
      </c>
      <c r="F25" s="89">
        <f t="shared" ref="F25:F28" si="7">SUM(G25:L25)</f>
        <v>0</v>
      </c>
      <c r="G25" s="6">
        <f>'Step 2.3 - Data Input (CapEx)'!G16*'Step 2.4 - Data Input (OpEx)'!G7</f>
        <v>0</v>
      </c>
      <c r="H25" s="6"/>
      <c r="I25" s="6"/>
      <c r="J25" s="6"/>
      <c r="K25" s="6"/>
      <c r="L25" s="6"/>
      <c r="M25" s="6"/>
    </row>
    <row r="26" spans="1:13" customFormat="1" ht="15.75" customHeight="1" x14ac:dyDescent="0.2">
      <c r="A26" s="23"/>
      <c r="B26" s="32"/>
      <c r="C26" s="23" t="s">
        <v>30</v>
      </c>
      <c r="D26" s="23"/>
      <c r="E26" s="8" t="s">
        <v>5</v>
      </c>
      <c r="F26" s="89">
        <f t="shared" si="7"/>
        <v>0</v>
      </c>
      <c r="G26" s="6">
        <f>'Step 2.3 - Data Input (CapEx)'!G17*'Step 2.4 - Data Input (OpEx)'!G6</f>
        <v>0</v>
      </c>
      <c r="H26" s="6"/>
      <c r="I26" s="6"/>
      <c r="J26" s="6"/>
      <c r="K26" s="6"/>
      <c r="L26" s="6"/>
      <c r="M26" s="6"/>
    </row>
    <row r="27" spans="1:13" customFormat="1" ht="15.75" customHeight="1" x14ac:dyDescent="0.2">
      <c r="A27" s="23"/>
      <c r="B27" s="32"/>
      <c r="C27" s="23" t="s">
        <v>126</v>
      </c>
      <c r="D27" s="23"/>
      <c r="E27" s="8" t="s">
        <v>5</v>
      </c>
      <c r="F27" s="89">
        <f t="shared" si="7"/>
        <v>0</v>
      </c>
      <c r="G27" s="6">
        <f>'Step 2.3 - Data Input (CapEx)'!G15</f>
        <v>0</v>
      </c>
      <c r="H27" s="6"/>
      <c r="I27" s="6"/>
      <c r="J27" s="6"/>
      <c r="K27" s="6"/>
      <c r="L27" s="6"/>
      <c r="M27" s="6"/>
    </row>
    <row r="28" spans="1:13" customFormat="1" ht="15.75" customHeight="1" x14ac:dyDescent="0.2">
      <c r="A28" s="23"/>
      <c r="B28" s="32"/>
      <c r="C28" s="23" t="s">
        <v>32</v>
      </c>
      <c r="D28" s="23"/>
      <c r="E28" s="8" t="s">
        <v>5</v>
      </c>
      <c r="F28" s="89">
        <f t="shared" si="7"/>
        <v>0</v>
      </c>
      <c r="G28" s="6">
        <f>'Step 2.3 - Data Input (CapEx)'!G18</f>
        <v>0</v>
      </c>
      <c r="H28" s="6"/>
      <c r="I28" s="6"/>
      <c r="J28" s="6"/>
      <c r="K28" s="6"/>
      <c r="L28" s="6"/>
      <c r="M28" s="6"/>
    </row>
    <row r="29" spans="1:13" customFormat="1" ht="7" customHeight="1" x14ac:dyDescent="0.2">
      <c r="A29" s="65"/>
      <c r="B29" s="66"/>
      <c r="C29" s="65"/>
      <c r="D29" s="65"/>
      <c r="E29" s="67"/>
      <c r="F29" s="65"/>
      <c r="G29" s="65"/>
      <c r="H29" s="65"/>
      <c r="I29" s="65"/>
      <c r="J29" s="65"/>
      <c r="K29" s="65"/>
      <c r="L29" s="65"/>
      <c r="M29" s="65"/>
    </row>
    <row r="30" spans="1:13" customFormat="1" ht="18" x14ac:dyDescent="0.2">
      <c r="A30" s="90" t="s">
        <v>10</v>
      </c>
      <c r="B30" s="91"/>
      <c r="C30" s="92"/>
      <c r="D30" s="92"/>
      <c r="E30" s="93" t="s">
        <v>5</v>
      </c>
      <c r="F30" s="94">
        <f>SUM(G30:L30)</f>
        <v>0</v>
      </c>
      <c r="G30" s="94"/>
      <c r="H30" s="94">
        <f>SUM(H32:H33)</f>
        <v>0</v>
      </c>
      <c r="I30" s="94">
        <f>SUM(I32:I33)</f>
        <v>0</v>
      </c>
      <c r="J30" s="94">
        <f>SUM(J32:J33)</f>
        <v>0</v>
      </c>
      <c r="K30" s="94">
        <f>SUM(K32:K33)</f>
        <v>0</v>
      </c>
      <c r="L30" s="94">
        <f>SUM(L32:L33)</f>
        <v>0</v>
      </c>
      <c r="M30" s="94"/>
    </row>
    <row r="31" spans="1:13" customFormat="1" ht="7.5" customHeight="1" x14ac:dyDescent="0.2">
      <c r="A31" s="62"/>
      <c r="B31" s="62"/>
      <c r="C31" s="61"/>
      <c r="D31" s="61"/>
      <c r="E31" s="63"/>
      <c r="F31" s="61"/>
      <c r="G31" s="61"/>
      <c r="H31" s="61"/>
      <c r="I31" s="61"/>
      <c r="J31" s="61"/>
      <c r="K31" s="61"/>
      <c r="L31" s="61"/>
      <c r="M31" s="61"/>
    </row>
    <row r="32" spans="1:13" customFormat="1" ht="15.75" customHeight="1" x14ac:dyDescent="0.2">
      <c r="A32" s="95"/>
      <c r="B32" s="96" t="s">
        <v>47</v>
      </c>
      <c r="C32" s="95"/>
      <c r="D32" s="95"/>
      <c r="E32" s="97" t="s">
        <v>5</v>
      </c>
      <c r="F32" s="98">
        <f>SUM(G32:L32)</f>
        <v>0</v>
      </c>
      <c r="G32" s="99"/>
      <c r="H32" s="99">
        <f>SUM(H33*'Step 2.1 - Data Input (General)'!G8)</f>
        <v>0</v>
      </c>
      <c r="I32" s="99">
        <f>SUM(I33*'Step 2.1 - Data Input (General)'!G8)</f>
        <v>0</v>
      </c>
      <c r="J32" s="99">
        <f>SUM(J33*'Step 2.1 - Data Input (General)'!G8)</f>
        <v>0</v>
      </c>
      <c r="K32" s="99">
        <f>SUM(K33*'Step 2.1 - Data Input (General)'!G8)</f>
        <v>0</v>
      </c>
      <c r="L32" s="99">
        <f>SUM(L33*'Step 2.1 - Data Input (General)'!G8)</f>
        <v>0</v>
      </c>
      <c r="M32" s="99"/>
    </row>
    <row r="33" spans="1:13" customFormat="1" ht="15.75" customHeight="1" x14ac:dyDescent="0.2">
      <c r="A33" s="33"/>
      <c r="B33" s="33"/>
      <c r="C33" s="10"/>
      <c r="D33" s="101" t="s">
        <v>156</v>
      </c>
      <c r="E33" s="102" t="s">
        <v>5</v>
      </c>
      <c r="F33" s="103"/>
      <c r="G33" s="103"/>
      <c r="H33" s="103">
        <f>SUM(H35,H37,H41,H47,H70,H74,H79,H83,H89,H93,H98,H103,H108)+'Step 2.4 - Data Input (OpEx)'!G11</f>
        <v>0</v>
      </c>
      <c r="I33" s="103">
        <f>SUM(I35,I37,I41,I47,I70,I74,I79,I83,I89,I93,I98,I103,I108)+'Step 2.4 - Data Input (OpEx)'!G11</f>
        <v>0</v>
      </c>
      <c r="J33" s="103">
        <f>SUM(J35,J37,J41,J47,J70,J74,J79,J83,J89,J93,J98,J103,J108)+'Step 2.4 - Data Input (OpEx)'!G11</f>
        <v>0</v>
      </c>
      <c r="K33" s="103">
        <f>SUM(K35,K37,K41,K47,K70,K74,K79,K83,K89,K93,K98,K103,K108)+'Step 2.4 - Data Input (OpEx)'!G11</f>
        <v>0</v>
      </c>
      <c r="L33" s="103">
        <f>SUM(L35,L37,L41,L47,L70,L74,L79,L83,L89,L93,L98,L103,L108)+'Step 2.4 - Data Input (OpEx)'!G11</f>
        <v>0</v>
      </c>
      <c r="M33" s="103"/>
    </row>
    <row r="34" spans="1:13" customFormat="1" ht="7.5" customHeight="1" x14ac:dyDescent="0.2">
      <c r="A34" s="62"/>
      <c r="B34" s="62"/>
      <c r="C34" s="61"/>
      <c r="D34" s="61"/>
      <c r="E34" s="63"/>
      <c r="F34" s="61"/>
      <c r="G34" s="61"/>
      <c r="H34" s="61"/>
      <c r="I34" s="61"/>
      <c r="J34" s="61"/>
      <c r="K34" s="61"/>
      <c r="L34" s="61"/>
      <c r="M34" s="61"/>
    </row>
    <row r="35" spans="1:13" customFormat="1" ht="15.75" customHeight="1" x14ac:dyDescent="0.2">
      <c r="A35" s="96"/>
      <c r="B35" s="96" t="s">
        <v>145</v>
      </c>
      <c r="C35" s="95"/>
      <c r="D35" s="95"/>
      <c r="E35" s="97" t="s">
        <v>5</v>
      </c>
      <c r="F35" s="98">
        <f>SUM(G35:L35)</f>
        <v>0</v>
      </c>
      <c r="G35" s="99"/>
      <c r="H35" s="99">
        <f>'Step 2.4 - Data Input (OpEx)'!G31+'Step 2.4 - Data Input (OpEx)'!G32+'Step 2.4 - Data Input (OpEx)'!G33</f>
        <v>0</v>
      </c>
      <c r="I35" s="99">
        <f>'Step 2.4 - Data Input (OpEx)'!G31+'Step 2.4 - Data Input (OpEx)'!G32+'Step 2.4 - Data Input (OpEx)'!G33</f>
        <v>0</v>
      </c>
      <c r="J35" s="99">
        <f>'Step 2.4 - Data Input (OpEx)'!G31+'Step 2.4 - Data Input (OpEx)'!G32+'Step 2.4 - Data Input (OpEx)'!G33</f>
        <v>0</v>
      </c>
      <c r="K35" s="99">
        <f>'Step 2.4 - Data Input (OpEx)'!G31+'Step 2.4 - Data Input (OpEx)'!G32+'Step 2.4 - Data Input (OpEx)'!G33</f>
        <v>0</v>
      </c>
      <c r="L35" s="99">
        <f>'Step 2.4 - Data Input (OpEx)'!G31+'Step 2.4 - Data Input (OpEx)'!G32+'Step 2.4 - Data Input (OpEx)'!G33</f>
        <v>0</v>
      </c>
      <c r="M35" s="99"/>
    </row>
    <row r="36" spans="1:13" customFormat="1" ht="7.5" customHeight="1" x14ac:dyDescent="0.2">
      <c r="A36" s="62"/>
      <c r="B36" s="62"/>
      <c r="C36" s="61"/>
      <c r="D36" s="61"/>
      <c r="E36" s="63"/>
      <c r="F36" s="61"/>
      <c r="G36" s="61"/>
      <c r="H36" s="61"/>
      <c r="I36" s="61"/>
      <c r="J36" s="61"/>
      <c r="K36" s="61"/>
      <c r="L36" s="61"/>
      <c r="M36" s="61"/>
    </row>
    <row r="37" spans="1:13" customFormat="1" ht="15.75" customHeight="1" x14ac:dyDescent="0.2">
      <c r="A37" s="96"/>
      <c r="B37" s="96" t="s">
        <v>61</v>
      </c>
      <c r="C37" s="95"/>
      <c r="D37" s="95"/>
      <c r="E37" s="97" t="s">
        <v>5</v>
      </c>
      <c r="F37" s="98">
        <f>SUM(G37:L37)</f>
        <v>0</v>
      </c>
      <c r="G37" s="99"/>
      <c r="H37" s="99">
        <f>SUM(H38:H39)</f>
        <v>0</v>
      </c>
      <c r="I37" s="99">
        <f t="shared" ref="I37:L37" si="8">SUM(I38:I39)</f>
        <v>0</v>
      </c>
      <c r="J37" s="99">
        <f t="shared" si="8"/>
        <v>0</v>
      </c>
      <c r="K37" s="99">
        <f t="shared" si="8"/>
        <v>0</v>
      </c>
      <c r="L37" s="99">
        <f t="shared" si="8"/>
        <v>0</v>
      </c>
      <c r="M37" s="99"/>
    </row>
    <row r="38" spans="1:13" customFormat="1" ht="15.75" customHeight="1" x14ac:dyDescent="0.2">
      <c r="A38" s="33"/>
      <c r="B38" s="33"/>
      <c r="C38" s="10" t="s">
        <v>146</v>
      </c>
      <c r="D38" s="10"/>
      <c r="E38" s="11" t="s">
        <v>5</v>
      </c>
      <c r="F38" s="12">
        <f>SUM(G38:L38)</f>
        <v>0</v>
      </c>
      <c r="G38" s="12"/>
      <c r="H38" s="12">
        <f>('Step 2.4 - Data Input (OpEx)'!G26+'Step 2.4 - Data Input (OpEx)'!G27*'Step 2.4 - Data Input (OpEx)'!G28)*(1+'Step 2.4 - Data Input (OpEx)'!G16)^0</f>
        <v>0</v>
      </c>
      <c r="I38" s="12">
        <f>('Step 2.4 - Data Input (OpEx)'!G26+'Step 2.4 - Data Input (OpEx)'!G27*'Step 2.4 - Data Input (OpEx)'!G28)*(1+'Step 2.4 - Data Input (OpEx)'!G16)^1</f>
        <v>0</v>
      </c>
      <c r="J38" s="12">
        <f>('Step 2.4 - Data Input (OpEx)'!G26+'Step 2.4 - Data Input (OpEx)'!G27*'Step 2.4 - Data Input (OpEx)'!G28)*(1+'Step 2.4 - Data Input (OpEx)'!G16)^2</f>
        <v>0</v>
      </c>
      <c r="K38" s="12">
        <f>('Step 2.4 - Data Input (OpEx)'!G26+'Step 2.4 - Data Input (OpEx)'!G27*'Step 2.4 - Data Input (OpEx)'!G28)*(1+'Step 2.4 - Data Input (OpEx)'!G16)^3</f>
        <v>0</v>
      </c>
      <c r="L38" s="12">
        <f>('Step 2.4 - Data Input (OpEx)'!G26+'Step 2.4 - Data Input (OpEx)'!G27*'Step 2.4 - Data Input (OpEx)'!G28)*(1+'Step 2.4 - Data Input (OpEx)'!G16)^4</f>
        <v>0</v>
      </c>
      <c r="M38" s="12"/>
    </row>
    <row r="39" spans="1:13" customFormat="1" ht="15.75" customHeight="1" x14ac:dyDescent="0.2">
      <c r="A39" s="33"/>
      <c r="B39" s="33"/>
      <c r="C39" s="10" t="s">
        <v>147</v>
      </c>
      <c r="D39" s="10"/>
      <c r="E39" s="11" t="s">
        <v>5</v>
      </c>
      <c r="F39" s="12">
        <f>SUM(G39:L39)</f>
        <v>0</v>
      </c>
      <c r="G39" s="12"/>
      <c r="H39" s="12">
        <f>('Step 2.4 - Data Input (OpEx)'!G23+'Step 2.4 - Data Input (OpEx)'!G24*'Step 2.4 - Data Input (OpEx)'!G25)*(1+'Step 2.4 - Data Input (OpEx)'!G15)^0</f>
        <v>0</v>
      </c>
      <c r="I39" s="12">
        <f>('Step 2.4 - Data Input (OpEx)'!G23+'Step 2.4 - Data Input (OpEx)'!G24*'Step 2.4 - Data Input (OpEx)'!G25)*(1+'Step 2.4 - Data Input (OpEx)'!G15)^1</f>
        <v>0</v>
      </c>
      <c r="J39" s="12">
        <f>('Step 2.4 - Data Input (OpEx)'!G23+'Step 2.4 - Data Input (OpEx)'!G24*'Step 2.4 - Data Input (OpEx)'!G25)*(1+'Step 2.4 - Data Input (OpEx)'!G15)^2</f>
        <v>0</v>
      </c>
      <c r="K39" s="12">
        <f>('Step 2.4 - Data Input (OpEx)'!G23+'Step 2.4 - Data Input (OpEx)'!G24*'Step 2.4 - Data Input (OpEx)'!G25)*(1+'Step 2.4 - Data Input (OpEx)'!G15)^3</f>
        <v>0</v>
      </c>
      <c r="L39" s="12">
        <f>('Step 2.4 - Data Input (OpEx)'!G23+'Step 2.4 - Data Input (OpEx)'!G24*'Step 2.4 - Data Input (OpEx)'!G25)*(1+'Step 2.4 - Data Input (OpEx)'!G15)^4</f>
        <v>0</v>
      </c>
      <c r="M39" s="12"/>
    </row>
    <row r="40" spans="1:13" customFormat="1" ht="7.5" customHeight="1" x14ac:dyDescent="0.2">
      <c r="A40" s="62"/>
      <c r="B40" s="62"/>
      <c r="C40" s="61"/>
      <c r="D40" s="61"/>
      <c r="E40" s="63"/>
      <c r="F40" s="61"/>
      <c r="G40" s="61"/>
      <c r="H40" s="61"/>
      <c r="I40" s="61"/>
      <c r="J40" s="61"/>
      <c r="K40" s="61"/>
      <c r="L40" s="61"/>
      <c r="M40" s="61"/>
    </row>
    <row r="41" spans="1:13" customFormat="1" ht="15.75" customHeight="1" x14ac:dyDescent="0.2">
      <c r="A41" s="96"/>
      <c r="B41" s="96" t="s">
        <v>173</v>
      </c>
      <c r="C41" s="95"/>
      <c r="D41" s="95"/>
      <c r="E41" s="97" t="s">
        <v>5</v>
      </c>
      <c r="F41" s="98">
        <f>SUM(G41:L41)</f>
        <v>0</v>
      </c>
      <c r="G41" s="99"/>
      <c r="H41" s="99">
        <f>SUM(H42:H45)+'Step 2.4 - Data Input (OpEx)'!G40</f>
        <v>0</v>
      </c>
      <c r="I41" s="99">
        <f>SUM(I42:I45)+'Step 2.4 - Data Input (OpEx)'!G40</f>
        <v>0</v>
      </c>
      <c r="J41" s="99">
        <f>SUM(J42:J45)+'Step 2.4 - Data Input (OpEx)'!G40</f>
        <v>0</v>
      </c>
      <c r="K41" s="100">
        <f>SUM(K42:K45)+'Step 2.4 - Data Input (OpEx)'!G40</f>
        <v>0</v>
      </c>
      <c r="L41" s="99">
        <f>SUM(L42:L45)+'Step 2.4 - Data Input (OpEx)'!G40</f>
        <v>0</v>
      </c>
      <c r="M41" s="99"/>
    </row>
    <row r="42" spans="1:13" customFormat="1" ht="15.75" customHeight="1" x14ac:dyDescent="0.2">
      <c r="A42" s="33"/>
      <c r="B42" s="33"/>
      <c r="C42" s="10" t="s">
        <v>60</v>
      </c>
      <c r="D42" s="10"/>
      <c r="E42" s="11" t="s">
        <v>5</v>
      </c>
      <c r="F42" s="12">
        <f>SUM(G42:L42)</f>
        <v>0</v>
      </c>
      <c r="G42" s="12"/>
      <c r="H42" s="12">
        <f>'Step 2.2 - Data Input (Revenue)'!G9*'Step 2.4 - Data Input (OpEx)'!G36*(1+'Step 2.4 - Data Input (OpEx)'!G14)^0</f>
        <v>0</v>
      </c>
      <c r="I42" s="12">
        <f>'Step 2.2 - Data Input (Revenue)'!G10*'Step 2.4 - Data Input (OpEx)'!G36*(1+'Step 2.4 - Data Input (OpEx)'!G14)^1</f>
        <v>0</v>
      </c>
      <c r="J42" s="12">
        <f>'Step 2.2 - Data Input (Revenue)'!G11*'Step 2.4 - Data Input (OpEx)'!G36*(1+'Step 2.4 - Data Input (OpEx)'!G14)^2</f>
        <v>0</v>
      </c>
      <c r="K42" s="12">
        <f>'Step 2.2 - Data Input (Revenue)'!G12*'Step 2.4 - Data Input (OpEx)'!G36*(1+'Step 2.4 - Data Input (OpEx)'!G14)^3</f>
        <v>0</v>
      </c>
      <c r="L42" s="12">
        <f>'Step 2.2 - Data Input (Revenue)'!G13*'Step 2.4 - Data Input (OpEx)'!G36*(1+'Step 2.4 - Data Input (OpEx)'!G14)^4</f>
        <v>0</v>
      </c>
      <c r="M42" s="12"/>
    </row>
    <row r="43" spans="1:13" customFormat="1" ht="15.75" customHeight="1" x14ac:dyDescent="0.2">
      <c r="A43" s="33"/>
      <c r="B43" s="33"/>
      <c r="C43" s="10" t="s">
        <v>63</v>
      </c>
      <c r="D43" s="10"/>
      <c r="E43" s="11" t="s">
        <v>5</v>
      </c>
      <c r="F43" s="12">
        <f>SUM(G43:L43)</f>
        <v>0</v>
      </c>
      <c r="G43" s="12"/>
      <c r="H43" s="12">
        <f>'Step 2.2 - Data Input (Revenue)'!G9*'Step 2.4 - Data Input (OpEx)'!G37</f>
        <v>0</v>
      </c>
      <c r="I43" s="12">
        <f>'Step 2.2 - Data Input (Revenue)'!G10*'Step 2.4 - Data Input (OpEx)'!G37</f>
        <v>0</v>
      </c>
      <c r="J43" s="12">
        <f>'Step 2.2 - Data Input (Revenue)'!G11*'Step 2.4 - Data Input (OpEx)'!G37</f>
        <v>0</v>
      </c>
      <c r="K43" s="12">
        <f>'Step 2.2 - Data Input (Revenue)'!G12*'Step 2.4 - Data Input (OpEx)'!G37</f>
        <v>0</v>
      </c>
      <c r="L43" s="12">
        <f>'Step 2.2 - Data Input (Revenue)'!G13*'Step 2.4 - Data Input (OpEx)'!G37</f>
        <v>0</v>
      </c>
      <c r="M43" s="12"/>
    </row>
    <row r="44" spans="1:13" customFormat="1" ht="15.75" customHeight="1" x14ac:dyDescent="0.2">
      <c r="A44" s="33"/>
      <c r="B44" s="33"/>
      <c r="C44" s="10" t="s">
        <v>158</v>
      </c>
      <c r="D44" s="10"/>
      <c r="E44" s="11" t="s">
        <v>5</v>
      </c>
      <c r="F44" s="12">
        <f t="shared" ref="F44:F45" si="9">SUM(G44:L44)</f>
        <v>0</v>
      </c>
      <c r="G44" s="12"/>
      <c r="H44" s="12">
        <f>'Step 2.2 - Data Input (Revenue)'!G9*('Step 2.4 - Data Input (OpEx)'!G38*'Step 2.4 - Data Input (OpEx)'!G6)*(1-'Step 2.4 - Data Input (OpEx)'!G17)^0</f>
        <v>0</v>
      </c>
      <c r="I44" s="12">
        <f>'Step 2.2 - Data Input (Revenue)'!G10*('Step 2.4 - Data Input (OpEx)'!G38*'Step 2.4 - Data Input (OpEx)'!G6)*(1-'Step 2.4 - Data Input (OpEx)'!G17)^1</f>
        <v>0</v>
      </c>
      <c r="J44" s="12">
        <f>'Step 2.2 - Data Input (Revenue)'!G11*('Step 2.4 - Data Input (OpEx)'!G38*'Step 2.4 - Data Input (OpEx)'!G6)*(1-'Step 2.4 - Data Input (OpEx)'!G17)^2</f>
        <v>0</v>
      </c>
      <c r="K44" s="12">
        <f>'Step 2.2 - Data Input (Revenue)'!G12*('Step 2.4 - Data Input (OpEx)'!G38*'Step 2.4 - Data Input (OpEx)'!G6)*(1-'Step 2.4 - Data Input (OpEx)'!G17)^3</f>
        <v>0</v>
      </c>
      <c r="L44" s="12">
        <f>'Step 2.2 - Data Input (Revenue)'!G13*('Step 2.4 - Data Input (OpEx)'!G38*'Step 2.4 - Data Input (OpEx)'!G6)*(1-'Step 2.4 - Data Input (OpEx)'!G17)^4</f>
        <v>0</v>
      </c>
      <c r="M44" s="12"/>
    </row>
    <row r="45" spans="1:13" customFormat="1" ht="15.75" customHeight="1" x14ac:dyDescent="0.2">
      <c r="A45" s="33"/>
      <c r="B45" s="33"/>
      <c r="C45" s="10" t="s">
        <v>159</v>
      </c>
      <c r="D45" s="10"/>
      <c r="E45" s="11" t="s">
        <v>5</v>
      </c>
      <c r="F45" s="12">
        <f t="shared" si="9"/>
        <v>0</v>
      </c>
      <c r="G45" s="12"/>
      <c r="H45" s="12">
        <f>'Step 2.2 - Data Input (Revenue)'!G9*('Step 2.4 - Data Input (OpEx)'!G39*'Step 2.4 - Data Input (OpEx)'!G8)*(1-'Step 2.4 - Data Input (OpEx)'!G18)^0</f>
        <v>0</v>
      </c>
      <c r="I45" s="12">
        <f>'Step 2.2 - Data Input (Revenue)'!G10*('Step 2.4 - Data Input (OpEx)'!G39*'Step 2.4 - Data Input (OpEx)'!G8)*(1-'Step 2.4 - Data Input (OpEx)'!G18)^1</f>
        <v>0</v>
      </c>
      <c r="J45" s="12">
        <f>'Step 2.2 - Data Input (Revenue)'!G11*('Step 2.4 - Data Input (OpEx)'!G39*'Step 2.4 - Data Input (OpEx)'!G8)*(1-'Step 2.4 - Data Input (OpEx)'!G18)^2</f>
        <v>0</v>
      </c>
      <c r="K45" s="12">
        <f>'Step 2.2 - Data Input (Revenue)'!G12*('Step 2.4 - Data Input (OpEx)'!G39*'Step 2.4 - Data Input (OpEx)'!G8)*(1-'Step 2.4 - Data Input (OpEx)'!G18)^3</f>
        <v>0</v>
      </c>
      <c r="L45" s="12">
        <f>'Step 2.2 - Data Input (Revenue)'!G13*('Step 2.4 - Data Input (OpEx)'!G39*'Step 2.4 - Data Input (OpEx)'!G8)*(1-'Step 2.4 - Data Input (OpEx)'!G18)^4</f>
        <v>0</v>
      </c>
      <c r="M45" s="12"/>
    </row>
    <row r="46" spans="1:13" customFormat="1" ht="7.5" customHeight="1" x14ac:dyDescent="0.2">
      <c r="A46" s="62"/>
      <c r="B46" s="62"/>
      <c r="C46" s="61"/>
      <c r="D46" s="61"/>
      <c r="E46" s="63"/>
      <c r="F46" s="61"/>
      <c r="G46" s="61"/>
      <c r="H46" s="61"/>
      <c r="I46" s="61"/>
      <c r="J46" s="61"/>
      <c r="K46" s="61"/>
      <c r="L46" s="61"/>
      <c r="M46" s="61"/>
    </row>
    <row r="47" spans="1:13" customFormat="1" ht="15.75" customHeight="1" x14ac:dyDescent="0.2">
      <c r="A47" s="96"/>
      <c r="B47" s="96" t="s">
        <v>15</v>
      </c>
      <c r="C47" s="95"/>
      <c r="D47" s="95"/>
      <c r="E47" s="97" t="s">
        <v>5</v>
      </c>
      <c r="F47" s="98">
        <f>SUM(G47:L47)</f>
        <v>0</v>
      </c>
      <c r="G47" s="99"/>
      <c r="H47" s="99">
        <f>IF('Step 1 - Case Selection'!V41="as a Flat Rate",H48+H54+Special_Costs_Backward_Logistics,SUM(H48,H55,H61,H68)+Special_Costs_Backward_Logistics)</f>
        <v>0</v>
      </c>
      <c r="I47" s="99">
        <f>IF('Step 1 - Case Selection'!V41="as a Flat Rate",I48+I54+Special_Costs_Backward_Logistics,SUM(I48,I55,I61,I68)+Special_Costs_Backward_Logistics)</f>
        <v>0</v>
      </c>
      <c r="J47" s="99">
        <f>IF('Step 1 - Case Selection'!V41="as a Flat Rate",J48+J54+Special_Costs_Backward_Logistics,SUM(J48,J55,J61,J68)+Special_Costs_Backward_Logistics)</f>
        <v>0</v>
      </c>
      <c r="K47" s="99">
        <f>IF('Step 1 - Case Selection'!V41="as a Flat Rate",K48+K54+Special_Costs_Backward_Logistics,SUM(K48,K55,K61,K68)+Special_Costs_Backward_Logistics)</f>
        <v>0</v>
      </c>
      <c r="L47" s="99">
        <f>IF('Step 1 - Case Selection'!V41="as a Flat Rate",L48+L54+Special_Costs_Backward_Logistics,SUM(L48,L55,L61,L68)+Special_Costs_Backward_Logistics)</f>
        <v>0</v>
      </c>
      <c r="M47" s="99"/>
    </row>
    <row r="48" spans="1:13" customFormat="1" ht="15.75" customHeight="1" x14ac:dyDescent="0.2">
      <c r="A48" s="33"/>
      <c r="B48" s="33"/>
      <c r="C48" s="10"/>
      <c r="D48" s="104" t="s">
        <v>160</v>
      </c>
      <c r="E48" s="102" t="s">
        <v>5</v>
      </c>
      <c r="F48" s="103">
        <f>SUM(G48:L48)</f>
        <v>0</v>
      </c>
      <c r="G48" s="103"/>
      <c r="H48" s="103">
        <f>'Step 2.4 - Data Input (OpEx)'!G49*(H49+H51)</f>
        <v>0</v>
      </c>
      <c r="I48" s="103">
        <f>'Step 2.4 - Data Input (OpEx)'!G49*(I49+I51)</f>
        <v>0</v>
      </c>
      <c r="J48" s="103">
        <f>'Step 2.4 - Data Input (OpEx)'!G49*(J49+J51)</f>
        <v>0</v>
      </c>
      <c r="K48" s="103">
        <f>'Step 2.4 - Data Input (OpEx)'!G49*(K49+K51)</f>
        <v>0</v>
      </c>
      <c r="L48" s="103">
        <f>'Step 2.4 - Data Input (OpEx)'!G49*(L49+L51)</f>
        <v>0</v>
      </c>
      <c r="M48" s="103"/>
    </row>
    <row r="49" spans="1:13" customFormat="1" ht="15.75" customHeight="1" x14ac:dyDescent="0.2">
      <c r="A49" s="33"/>
      <c r="B49" s="33"/>
      <c r="C49" s="10"/>
      <c r="D49" s="104" t="s">
        <v>414</v>
      </c>
      <c r="E49" s="102" t="s">
        <v>166</v>
      </c>
      <c r="F49" s="101"/>
      <c r="G49" s="101"/>
      <c r="H49" s="101">
        <f>ROUND(IF('Step 1 - Case Selection'!V27&lt;&gt;"Recycle", 'Step 2.2 - Data Input (Revenue)'!G9/'Step 2.1 - Data Input (General)'!G24*'Step 2.1 - Data Input (General)'!G23, 0),0)</f>
        <v>0</v>
      </c>
      <c r="I49" s="101">
        <f>ROUND(IF('Step 1 - Case Selection'!V27&lt;&gt;"Recycle", 'Step 2.2 - Data Input (Revenue)'!G10/'Step 2.1 - Data Input (General)'!G24*'Step 2.1 - Data Input (General)'!G23, 0),0)</f>
        <v>0</v>
      </c>
      <c r="J49" s="101">
        <f>ROUND(IF('Step 1 - Case Selection'!V27&lt;&gt;"Recycle", 'Step 2.2 - Data Input (Revenue)'!G11/'Step 2.1 - Data Input (General)'!G24*'Step 2.1 - Data Input (General)'!G23, 0),0)</f>
        <v>0</v>
      </c>
      <c r="K49" s="101">
        <f>ROUND(IF('Step 1 - Case Selection'!V27&lt;&gt;"Recycle", 'Step 2.2 - Data Input (Revenue)'!G12/'Step 2.1 - Data Input (General)'!G24*'Step 2.1 - Data Input (General)'!G23, 0),0)</f>
        <v>0</v>
      </c>
      <c r="L49" s="101">
        <f>ROUND(IF('Step 1 - Case Selection'!V27&lt;&gt;"Recycle", 'Step 2.2 - Data Input (Revenue)'!G13/'Step 2.1 - Data Input (General)'!G24*'Step 2.1 - Data Input (General)'!G23, 0),0)</f>
        <v>0</v>
      </c>
      <c r="M49" s="101"/>
    </row>
    <row r="50" spans="1:13" customFormat="1" ht="15.75" customHeight="1" x14ac:dyDescent="0.2">
      <c r="A50" s="33"/>
      <c r="B50" s="33"/>
      <c r="C50" s="10"/>
      <c r="D50" s="104" t="s">
        <v>415</v>
      </c>
      <c r="E50" s="102" t="s">
        <v>166</v>
      </c>
      <c r="F50" s="101"/>
      <c r="G50" s="101"/>
      <c r="H50" s="101">
        <f>ROUND(IF('Step 1 - Case Selection'!V27&lt;&gt;"Recycle", 'Step 2.2 - Data Input (Revenue)'!G9*'Step 2.1 - Data Input (General)'!G23,0),0)</f>
        <v>0</v>
      </c>
      <c r="I50" s="101">
        <f>ROUND(IF('Step 1 - Case Selection'!V27&lt;&gt;"Recycle", 'Step 2.2 - Data Input (Revenue)'!G10*'Step 2.1 - Data Input (General)'!G23,0),0)</f>
        <v>0</v>
      </c>
      <c r="J50" s="101">
        <f>ROUND(IF('Step 1 - Case Selection'!V27&lt;&gt;"Recycle", 'Step 2.2 - Data Input (Revenue)'!G11*'Step 2.1 - Data Input (General)'!G23,0),0)</f>
        <v>0</v>
      </c>
      <c r="K50" s="101">
        <f>ROUND(IF('Step 1 - Case Selection'!V27&lt;&gt;"Recycle", 'Step 2.2 - Data Input (Revenue)'!G12*'Step 2.1 - Data Input (General)'!G23,0),0)</f>
        <v>0</v>
      </c>
      <c r="L50" s="101">
        <f>ROUND(IF('Step 1 - Case Selection'!V27&lt;&gt;"Recycle", 'Step 2.2 - Data Input (Revenue)'!G13*'Step 2.1 - Data Input (General)'!G23,0),0)</f>
        <v>0</v>
      </c>
      <c r="M50" s="101"/>
    </row>
    <row r="51" spans="1:13" customFormat="1" ht="15.75" customHeight="1" x14ac:dyDescent="0.2">
      <c r="A51" s="33"/>
      <c r="B51" s="33"/>
      <c r="C51" s="10"/>
      <c r="D51" s="104" t="s">
        <v>416</v>
      </c>
      <c r="E51" s="102" t="s">
        <v>166</v>
      </c>
      <c r="F51" s="101"/>
      <c r="G51" s="101"/>
      <c r="H51" s="101">
        <f>ROUND(IF('Step 1 - Case Selection'!V27="Recycle", 'Step 2.2 - Data Input (Revenue)'!G9/'Step 2.4 - Data Input (OpEx)'!G9/'Step 2.1 - Data Input (General)'!G24,0),0)</f>
        <v>0</v>
      </c>
      <c r="I51" s="101">
        <f>ROUND(IF('Step 1 - Case Selection'!V27="Recycle", 'Step 2.2 - Data Input (Revenue)'!G10/'Step 2.4 - Data Input (OpEx)'!G9/'Step 2.1 - Data Input (General)'!G24,0),0)</f>
        <v>0</v>
      </c>
      <c r="J51" s="101">
        <f>ROUND(IF('Step 1 - Case Selection'!V27="Recycle", 'Step 2.2 - Data Input (Revenue)'!G11/'Step 2.4 - Data Input (OpEx)'!G9/'Step 2.1 - Data Input (General)'!G24,0),0)</f>
        <v>0</v>
      </c>
      <c r="K51" s="101">
        <f>ROUND(IF('Step 1 - Case Selection'!V27="Recycle", 'Step 2.2 - Data Input (Revenue)'!G12/'Step 2.4 - Data Input (OpEx)'!G9/'Step 2.1 - Data Input (General)'!G24,0),0)</f>
        <v>0</v>
      </c>
      <c r="L51" s="101">
        <f>ROUND(IF('Step 1 - Case Selection'!V27="Recycle", 'Step 2.2 - Data Input (Revenue)'!G13/'Step 2.4 - Data Input (OpEx)'!G9/'Step 2.1 - Data Input (General)'!G24,0),0)</f>
        <v>0</v>
      </c>
      <c r="M51" s="101"/>
    </row>
    <row r="52" spans="1:13" customFormat="1" ht="15.75" customHeight="1" x14ac:dyDescent="0.2">
      <c r="A52" s="33"/>
      <c r="B52" s="33"/>
      <c r="C52" s="10"/>
      <c r="D52" s="104" t="s">
        <v>417</v>
      </c>
      <c r="E52" s="102" t="s">
        <v>166</v>
      </c>
      <c r="F52" s="101"/>
      <c r="G52" s="101"/>
      <c r="H52" s="101">
        <f>ROUND(IF('Step 1 - Case Selection'!V27="Recycle", 'Step 2.2 - Data Input (Revenue)'!G9/'Step 2.4 - Data Input (OpEx)'!G9,0),0)</f>
        <v>0</v>
      </c>
      <c r="I52" s="101">
        <f>ROUND(IF('Step 1 - Case Selection'!V27="Recycle", 'Step 2.2 - Data Input (Revenue)'!G10/'Step 2.4 - Data Input (OpEx)'!G9,0),0)</f>
        <v>0</v>
      </c>
      <c r="J52" s="101">
        <f>ROUND(IF('Step 1 - Case Selection'!V27="Recycle", 'Step 2.2 - Data Input (Revenue)'!G11/'Step 2.4 - Data Input (OpEx)'!G9,0),0)</f>
        <v>0</v>
      </c>
      <c r="K52" s="101">
        <f>ROUND(IF('Step 1 - Case Selection'!V27="Recycle", 'Step 2.2 - Data Input (Revenue)'!G12/'Step 2.4 - Data Input (OpEx)'!G9,0),0)</f>
        <v>0</v>
      </c>
      <c r="L52" s="101">
        <f>ROUND(IF('Step 1 - Case Selection'!V27="Recycle", 'Step 2.2 - Data Input (Revenue)'!G13/'Step 2.4 - Data Input (OpEx)'!G9,0),0)</f>
        <v>0</v>
      </c>
      <c r="M52" s="101"/>
    </row>
    <row r="53" spans="1:13" customFormat="1" ht="15.75" customHeight="1" x14ac:dyDescent="0.2">
      <c r="A53" s="33"/>
      <c r="B53" s="33"/>
      <c r="C53" s="13"/>
      <c r="D53" s="104" t="s">
        <v>162</v>
      </c>
      <c r="E53" s="102" t="s">
        <v>166</v>
      </c>
      <c r="F53" s="101"/>
      <c r="G53" s="101"/>
      <c r="H53" s="101">
        <f>IF('Step 2.2 - Data Input (Revenue)'!G17&lt;=1, 'Step 2.2 - Data Input (Revenue)'!G18, 0)</f>
        <v>0</v>
      </c>
      <c r="I53" s="101" cm="1">
        <f t="array" ref="I53">_xlfn.IFS('Step 2.2 - Data Input (Revenue)'!G17&lt;=1, 'Step 2.2 - Data Input (Revenue)'!G19, 'Step 2.2 - Data Input (Revenue)'!G17&lt;=2, 'Step 2.2 - Data Input (Revenue)'!G18, 'Step 2.2 - Data Input (Revenue)'!G17&gt;2, 0)</f>
        <v>0</v>
      </c>
      <c r="J53" s="101" cm="1">
        <f t="array" ref="J53">_xlfn.IFS('Step 2.2 - Data Input (Revenue)'!G17&lt;=1, 'Step 2.2 - Data Input (Revenue)'!G20, 'Step 2.2 - Data Input (Revenue)'!G17&lt;=2, 'Step 2.2 - Data Input (Revenue)'!G19, 'Step 2.2 - Data Input (Revenue)'!G17&lt;=3, 'Step 2.2 - Data Input (Revenue)'!G18, 'Step 2.2 - Data Input (Revenue)'!G17&gt;3, 0)</f>
        <v>0</v>
      </c>
      <c r="K53" s="101" cm="1">
        <f t="array" ref="K53">_xlfn.IFS('Step 2.2 - Data Input (Revenue)'!G17&lt;=1, 'Step 2.2 - Data Input (Revenue)'!G21, 'Step 2.2 - Data Input (Revenue)'!G17&lt;=2, 'Step 2.2 - Data Input (Revenue)'!G20, 'Step 2.2 - Data Input (Revenue)'!G17&lt;=3, 'Step 2.2 - Data Input (Revenue)'!G19, 'Step 2.2 - Data Input (Revenue)'!G17&lt;=4, 'Step 2.2 - Data Input (Revenue)'!G18, 'Step 2.2 - Data Input (Revenue)'!G17&gt;4, 0)</f>
        <v>0</v>
      </c>
      <c r="L53" s="101" cm="1">
        <f t="array" ref="L53">_xlfn.IFS('Step 2.2 - Data Input (Revenue)'!G17&lt;=1, 'Step 2.2 - Data Input (Revenue)'!G22, 'Step 2.2 - Data Input (Revenue)'!G17&lt;=2, 'Step 2.2 - Data Input (Revenue)'!G21, 'Step 2.2 - Data Input (Revenue)'!G17&lt;=3, 'Step 2.2 - Data Input (Revenue)'!G20, 'Step 2.2 - Data Input (Revenue)'!G17&lt;=4, 'Step 2.2 - Data Input (Revenue)'!G19, 'Step 2.2 - Data Input (Revenue)'!G17&lt;=5, 'Step 2.2 - Data Input (Revenue)'!G18,'Step 2.2 - Data Input (Revenue)'!G17&gt;5, 0)</f>
        <v>0</v>
      </c>
      <c r="M53" s="101">
        <f>SUM('Step 2.2 - Data Input (Revenue)'!G18+'Step 2.2 - Data Input (Revenue)'!G19+'Step 2.2 - Data Input (Revenue)'!G20+'Step 2.2 - Data Input (Revenue)'!G21+'Step 2.2 - Data Input (Revenue)'!G22-(SUM(H53:L53)))</f>
        <v>0</v>
      </c>
    </row>
    <row r="54" spans="1:13" customFormat="1" ht="15.75" customHeight="1" x14ac:dyDescent="0.2">
      <c r="A54" s="33"/>
      <c r="B54" s="33"/>
      <c r="C54" s="13" t="s">
        <v>428</v>
      </c>
      <c r="D54" s="13"/>
      <c r="E54" s="11" t="s">
        <v>5</v>
      </c>
      <c r="F54" s="12">
        <f>SUM(G54:L54)</f>
        <v>0</v>
      </c>
      <c r="G54" s="12"/>
      <c r="H54" s="12">
        <f>'Step 2.4 - Data Input (OpEx)'!G43*(H49+H51+H53)</f>
        <v>0</v>
      </c>
      <c r="I54" s="12">
        <f>'Step 2.4 - Data Input (OpEx)'!G43*(I49+I51+I53)</f>
        <v>0</v>
      </c>
      <c r="J54" s="12">
        <f>'Step 2.4 - Data Input (OpEx)'!G43*(J49+J51+J53)</f>
        <v>0</v>
      </c>
      <c r="K54" s="12">
        <f>'Step 2.4 - Data Input (OpEx)'!G43*(K49+K51+K53)</f>
        <v>0</v>
      </c>
      <c r="L54" s="12">
        <f>'Step 2.4 - Data Input (OpEx)'!G43*(L49+L51+L53)</f>
        <v>0</v>
      </c>
      <c r="M54" s="12"/>
    </row>
    <row r="55" spans="1:13" customFormat="1" ht="15.75" customHeight="1" x14ac:dyDescent="0.2">
      <c r="A55" s="33"/>
      <c r="B55" s="33"/>
      <c r="C55" s="13" t="s">
        <v>165</v>
      </c>
      <c r="D55" s="13"/>
      <c r="E55" s="11" t="s">
        <v>5</v>
      </c>
      <c r="F55" s="12">
        <f>SUM(G55:L55)</f>
        <v>0</v>
      </c>
      <c r="G55" s="12"/>
      <c r="H55" s="12">
        <f>SUM(H56:H60)</f>
        <v>0</v>
      </c>
      <c r="I55" s="12">
        <f t="shared" ref="I55:L55" si="10">SUM(I56:I60)</f>
        <v>0</v>
      </c>
      <c r="J55" s="12">
        <f t="shared" si="10"/>
        <v>0</v>
      </c>
      <c r="K55" s="12">
        <f t="shared" si="10"/>
        <v>0</v>
      </c>
      <c r="L55" s="12">
        <f t="shared" si="10"/>
        <v>0</v>
      </c>
      <c r="M55" s="12"/>
    </row>
    <row r="56" spans="1:13" customFormat="1" ht="15.75" customHeight="1" x14ac:dyDescent="0.2">
      <c r="A56" s="33"/>
      <c r="B56" s="33"/>
      <c r="C56" s="10"/>
      <c r="D56" s="104" t="s">
        <v>133</v>
      </c>
      <c r="E56" s="102" t="s">
        <v>5</v>
      </c>
      <c r="F56" s="103">
        <f>SUM(G56:L56)</f>
        <v>0</v>
      </c>
      <c r="G56" s="103"/>
      <c r="H56" s="103">
        <f>IF(BL_Type=1,(H49+H51)*('Step 2.4 - Data Input (OpEx)'!G44*'Step 2.4 - Data Input (OpEx)'!G46)*(1-'Step 2.4 - Data Input (OpEx)'!G19)^0,0)</f>
        <v>0</v>
      </c>
      <c r="I56" s="103">
        <f>IF(BL_Type=1,(I49+I51)*('Step 2.4 - Data Input (OpEx)'!G44*'Step 2.4 - Data Input (OpEx)'!G46)*(1-'Step 2.4 - Data Input (OpEx)'!G19)^1,0)</f>
        <v>0</v>
      </c>
      <c r="J56" s="103">
        <f>IF(BL_Type=1,(J49+J51)*('Step 2.4 - Data Input (OpEx)'!G44*'Step 2.4 - Data Input (OpEx)'!G46)*(1-'Step 2.4 - Data Input (OpEx)'!G19)^2,0)</f>
        <v>0</v>
      </c>
      <c r="K56" s="103">
        <f>IF(BL_Type=1,(K49+K51)*('Step 2.4 - Data Input (OpEx)'!G44*'Step 2.4 - Data Input (OpEx)'!G46)*(1-'Step 2.4 - Data Input (OpEx)'!G19)^3,0)</f>
        <v>0</v>
      </c>
      <c r="L56" s="103">
        <f>IF(BL_Type=1,(L49+L51)*('Step 2.4 - Data Input (OpEx)'!G44*'Step 2.4 - Data Input (OpEx)'!G46)*(1-'Step 2.4 - Data Input (OpEx)'!G19)^4,0)</f>
        <v>0</v>
      </c>
      <c r="M56" s="103"/>
    </row>
    <row r="57" spans="1:13" customFormat="1" ht="15.75" customHeight="1" x14ac:dyDescent="0.2">
      <c r="A57" s="33"/>
      <c r="B57" s="33"/>
      <c r="C57" s="10"/>
      <c r="D57" s="104" t="s">
        <v>134</v>
      </c>
      <c r="E57" s="102" t="s">
        <v>5</v>
      </c>
      <c r="F57" s="103">
        <f t="shared" ref="F57:F60" si="11">SUM(G57:L57)</f>
        <v>0</v>
      </c>
      <c r="G57" s="103"/>
      <c r="H57" s="103">
        <f>IF(OR(BL_Type=2,BL_Type=3),(H49+H51)*('Step 2.4 - Data Input (OpEx)'!G44*'Step 2.4 - Data Input (OpEx)'!G46)*(1-'Step 2.4 - Data Input (OpEx)'!G19)^0,0)</f>
        <v>0</v>
      </c>
      <c r="I57" s="103">
        <f>IF(OR(BL_Type=2,BL_Type=3),(I49+I51)*('Step 2.4 - Data Input (OpEx)'!G44*'Step 2.4 - Data Input (OpEx)'!G46)*(1-'Step 2.4 - Data Input (OpEx)'!G19)^1,0)</f>
        <v>0</v>
      </c>
      <c r="J57" s="103">
        <f>IF(OR(BL_Type=2,BL_Type=3),(J49+J51)*('Step 2.4 - Data Input (OpEx)'!G44*'Step 2.4 - Data Input (OpEx)'!G46)*(1-'Step 2.4 - Data Input (OpEx)'!G19)^2,0)</f>
        <v>0</v>
      </c>
      <c r="K57" s="103">
        <f>IF(OR(BL_Type=2,BL_Type=3),(K49+K51)*('Step 2.4 - Data Input (OpEx)'!G44*'Step 2.4 - Data Input (OpEx)'!G46)*(1-'Step 2.4 - Data Input (OpEx)'!G19)^3,0)</f>
        <v>0</v>
      </c>
      <c r="L57" s="103">
        <f>IF(OR(BL_Type=2,BL_Type=3),(L49+L51)*('Step 2.4 - Data Input (OpEx)'!G44*'Step 2.4 - Data Input (OpEx)'!G46)*(1-'Step 2.4 - Data Input (OpEx)'!G19)^4,0)</f>
        <v>0</v>
      </c>
      <c r="M57" s="103"/>
    </row>
    <row r="58" spans="1:13" customFormat="1" ht="15.75" customHeight="1" x14ac:dyDescent="0.2">
      <c r="A58" s="33"/>
      <c r="B58" s="33"/>
      <c r="C58" s="10"/>
      <c r="D58" s="104" t="s">
        <v>135</v>
      </c>
      <c r="E58" s="102" t="s">
        <v>5</v>
      </c>
      <c r="F58" s="103">
        <f t="shared" si="11"/>
        <v>0</v>
      </c>
      <c r="G58" s="103"/>
      <c r="H58" s="103">
        <f>IF(BL_Type=2,(H49+H51)*('Step 2.4 - Data Input (OpEx)'!G45*'Step 2.4 - Data Input (OpEx)'!G46)*(1-'Step 2.4 - Data Input (OpEx)'!G19)^0,0)</f>
        <v>0</v>
      </c>
      <c r="I58" s="103">
        <f>IF(BL_Type=2,(I49+I51)*('Step 2.4 - Data Input (OpEx)'!G45*'Step 2.4 - Data Input (OpEx)'!G46)*(1-'Step 2.4 - Data Input (OpEx)'!G19)^1,0)</f>
        <v>0</v>
      </c>
      <c r="J58" s="103">
        <f>IF(BL_Type=2,(J49+J51)*('Step 2.4 - Data Input (OpEx)'!G45*'Step 2.4 - Data Input (OpEx)'!G46)*(1-'Step 2.4 - Data Input (OpEx)'!G19)^2,0)</f>
        <v>0</v>
      </c>
      <c r="K58" s="103">
        <f>IF(BL_Type=2,(K49+K51)*('Step 2.4 - Data Input (OpEx)'!G45*'Step 2.4 - Data Input (OpEx)'!G46)*(1-'Step 2.4 - Data Input (OpEx)'!G19)^3,0)</f>
        <v>0</v>
      </c>
      <c r="L58" s="103">
        <f>IF(BL_Type=2,(L49+L51)*('Step 2.4 - Data Input (OpEx)'!G45*'Step 2.4 - Data Input (OpEx)'!G46)*(1-'Step 2.4 - Data Input (OpEx)'!G19)^4,0)</f>
        <v>0</v>
      </c>
      <c r="M58" s="103"/>
    </row>
    <row r="59" spans="1:13" customFormat="1" ht="15.75" customHeight="1" x14ac:dyDescent="0.2">
      <c r="A59" s="33"/>
      <c r="B59" s="33"/>
      <c r="C59" s="10"/>
      <c r="D59" s="104" t="s">
        <v>136</v>
      </c>
      <c r="E59" s="102" t="s">
        <v>5</v>
      </c>
      <c r="F59" s="103">
        <f t="shared" si="11"/>
        <v>0</v>
      </c>
      <c r="G59" s="103"/>
      <c r="H59" s="103">
        <f>IF(BL_Type=3,(H50+H52)*('Step 2.4 - Data Input (OpEx)'!G45*'Step 2.4 - Data Input (OpEx)'!G46)*(1-'Step 2.4 - Data Input (OpEx)'!G19)^0,0)</f>
        <v>0</v>
      </c>
      <c r="I59" s="103">
        <f>IF(BL_Type=3,(I50+I52)*('Step 2.4 - Data Input (OpEx)'!G45*'Step 2.4 - Data Input (OpEx)'!G46)*(1-'Step 2.4 - Data Input (OpEx)'!G19)^1,0)</f>
        <v>0</v>
      </c>
      <c r="J59" s="103">
        <f>IF(BL_Type=3,(J50+J52)*('Step 2.4 - Data Input (OpEx)'!G45*'Step 2.4 - Data Input (OpEx)'!G46)*(1-'Step 2.4 - Data Input (OpEx)'!G19)^2,0)</f>
        <v>0</v>
      </c>
      <c r="K59" s="103">
        <f>IF(BL_Type=3,(K50+K52)*('Step 2.4 - Data Input (OpEx)'!G45*'Step 2.4 - Data Input (OpEx)'!G46)*(1-'Step 2.4 - Data Input (OpEx)'!G19)^3,0)</f>
        <v>0</v>
      </c>
      <c r="L59" s="103">
        <f>IF(BL_Type=3,(L50+L52)*('Step 2.4 - Data Input (OpEx)'!G45*'Step 2.4 - Data Input (OpEx)'!G46)*(1-'Step 2.4 - Data Input (OpEx)'!G19)^4,0)</f>
        <v>0</v>
      </c>
      <c r="M59" s="103"/>
    </row>
    <row r="60" spans="1:13" customFormat="1" ht="15.75" customHeight="1" x14ac:dyDescent="0.2">
      <c r="A60" s="33"/>
      <c r="B60" s="33"/>
      <c r="C60" s="10"/>
      <c r="D60" s="104" t="s">
        <v>137</v>
      </c>
      <c r="E60" s="102" t="s">
        <v>5</v>
      </c>
      <c r="F60" s="103">
        <f t="shared" si="11"/>
        <v>0</v>
      </c>
      <c r="G60" s="103"/>
      <c r="H60" s="103">
        <f>IF(BL_Type=4,(H49+H51)*('Step 2.4 - Data Input (OpEx)'!G48),0)</f>
        <v>0</v>
      </c>
      <c r="I60" s="103">
        <f>IF(BL_Type=4,(I49+I51)*('Step 2.4 - Data Input (OpEx)'!G48),0)</f>
        <v>0</v>
      </c>
      <c r="J60" s="103">
        <f>IF(BL_Type=4,(J49+J51)*('Step 2.4 - Data Input (OpEx)'!G48),0)</f>
        <v>0</v>
      </c>
      <c r="K60" s="103">
        <f>IF(BL_Type=4,(K49+K51)*('Step 2.4 - Data Input (OpEx)'!G48),0)</f>
        <v>0</v>
      </c>
      <c r="L60" s="103">
        <f>IF(BL_Type=4,(L49+L51)*('Step 2.4 - Data Input (OpEx)'!G48),0)</f>
        <v>0</v>
      </c>
      <c r="M60" s="103"/>
    </row>
    <row r="61" spans="1:13" customFormat="1" ht="15.75" customHeight="1" x14ac:dyDescent="0.2">
      <c r="A61" s="33"/>
      <c r="B61" s="33"/>
      <c r="C61" s="13" t="s">
        <v>161</v>
      </c>
      <c r="D61" s="13"/>
      <c r="E61" s="11" t="s">
        <v>5</v>
      </c>
      <c r="F61" s="12">
        <f>SUM(G61:L61)</f>
        <v>0</v>
      </c>
      <c r="G61" s="12"/>
      <c r="H61" s="12">
        <f>SUM(H62:H66)</f>
        <v>0</v>
      </c>
      <c r="I61" s="12">
        <f>SUM(I62:I66)</f>
        <v>0</v>
      </c>
      <c r="J61" s="12">
        <f>SUM(J62:J66)</f>
        <v>0</v>
      </c>
      <c r="K61" s="12">
        <f>SUM(K62:K66)</f>
        <v>0</v>
      </c>
      <c r="L61" s="12">
        <f>SUM(L62:L66)</f>
        <v>0</v>
      </c>
      <c r="M61" s="12"/>
    </row>
    <row r="62" spans="1:13" customFormat="1" ht="15.75" customHeight="1" x14ac:dyDescent="0.2">
      <c r="A62" s="33"/>
      <c r="B62" s="33"/>
      <c r="C62" s="13"/>
      <c r="D62" s="104" t="s">
        <v>133</v>
      </c>
      <c r="E62" s="102" t="s">
        <v>5</v>
      </c>
      <c r="F62" s="103">
        <f>SUM(G62:L62)</f>
        <v>0</v>
      </c>
      <c r="G62" s="103"/>
      <c r="H62" s="103">
        <f>IF(BL_Type=1,H53*('Step 2.4 - Data Input (OpEx)'!G44*'Step 2.4 - Data Input (OpEx)'!G46)*(1-'Step 2.4 - Data Input (OpEx)'!G19)^0,0)</f>
        <v>0</v>
      </c>
      <c r="I62" s="103">
        <f>IF(BL_Type=1,I53*('Step 2.4 - Data Input (OpEx)'!G44*'Step 2.4 - Data Input (OpEx)'!G46)*(1-'Step 2.4 - Data Input (OpEx)'!G19)^1,0)</f>
        <v>0</v>
      </c>
      <c r="J62" s="103">
        <f>IF(BL_Type=1,J53*('Step 2.4 - Data Input (OpEx)'!G44*'Step 2.4 - Data Input (OpEx)'!G46)*(1-'Step 2.4 - Data Input (OpEx)'!G19)^2,0)</f>
        <v>0</v>
      </c>
      <c r="K62" s="103">
        <f>IF(BL_Type=1,K53*('Step 2.4 - Data Input (OpEx)'!G44*'Step 2.4 - Data Input (OpEx)'!G46)*(1-'Step 2.4 - Data Input (OpEx)'!G19)^3,0)</f>
        <v>0</v>
      </c>
      <c r="L62" s="103">
        <f>IF(BL_Type=1,L53*('Step 2.4 - Data Input (OpEx)'!G44*'Step 2.4 - Data Input (OpEx)'!G46)*(1-'Step 2.4 - Data Input (OpEx)'!G19)^4,0)</f>
        <v>0</v>
      </c>
      <c r="M62" s="103">
        <f>IF(BL_Type=1,M53*('Step 2.4 - Data Input (OpEx)'!G44*'Step 2.4 - Data Input (OpEx)'!G46)*(1-'Step 2.4 - Data Input (OpEx)'!G19)^5,0)</f>
        <v>0</v>
      </c>
    </row>
    <row r="63" spans="1:13" customFormat="1" ht="15.75" customHeight="1" x14ac:dyDescent="0.2">
      <c r="A63" s="33"/>
      <c r="B63" s="33"/>
      <c r="C63" s="13"/>
      <c r="D63" s="104" t="s">
        <v>134</v>
      </c>
      <c r="E63" s="102" t="s">
        <v>5</v>
      </c>
      <c r="F63" s="103">
        <f t="shared" ref="F63:F67" si="12">SUM(G63:L63)</f>
        <v>0</v>
      </c>
      <c r="G63" s="103"/>
      <c r="H63" s="103">
        <f>IF(OR(BL_Type=2,BL_Type=3),H53*('Step 2.4 - Data Input (OpEx)'!G44*'Step 2.4 - Data Input (OpEx)'!G46)*(1-'Step 2.4 - Data Input (OpEx)'!G19)^0,0)</f>
        <v>0</v>
      </c>
      <c r="I63" s="103">
        <f>IF(OR(BL_Type=2,BL_Type=3),I53*('Step 2.4 - Data Input (OpEx)'!G44*'Step 2.4 - Data Input (OpEx)'!G46)*(1-'Step 2.4 - Data Input (OpEx)'!G19)^1,0)</f>
        <v>0</v>
      </c>
      <c r="J63" s="103">
        <f>IF(OR(BL_Type=2,BL_Type=3),J53*('Step 2.4 - Data Input (OpEx)'!G44*'Step 2.4 - Data Input (OpEx)'!G46)*(1-'Step 2.4 - Data Input (OpEx)'!G19)^2,0)</f>
        <v>0</v>
      </c>
      <c r="K63" s="103">
        <f>IF(OR(BL_Type=2,BL_Type=3),K53*('Step 2.4 - Data Input (OpEx)'!G44*'Step 2.4 - Data Input (OpEx)'!G46)*(1-'Step 2.4 - Data Input (OpEx)'!G19)^3,0)</f>
        <v>0</v>
      </c>
      <c r="L63" s="103">
        <f>IF(OR(BL_Type=2,BL_Type=3),L53*('Step 2.4 - Data Input (OpEx)'!G44*'Step 2.4 - Data Input (OpEx)'!G46)*(1-'Step 2.4 - Data Input (OpEx)'!G19)^4,0)</f>
        <v>0</v>
      </c>
      <c r="M63" s="103">
        <f>IF(OR(BL_Type=2,BL_Type=3),M53*('Step 2.4 - Data Input (OpEx)'!G44*'Step 2.4 - Data Input (OpEx)'!G46)*(1-'Step 2.4 - Data Input (OpEx)'!G19)^5,0)</f>
        <v>0</v>
      </c>
    </row>
    <row r="64" spans="1:13" customFormat="1" ht="15.75" customHeight="1" x14ac:dyDescent="0.2">
      <c r="A64" s="33"/>
      <c r="B64" s="33"/>
      <c r="C64" s="13"/>
      <c r="D64" s="104" t="s">
        <v>135</v>
      </c>
      <c r="E64" s="102" t="s">
        <v>5</v>
      </c>
      <c r="F64" s="103">
        <f t="shared" si="12"/>
        <v>0</v>
      </c>
      <c r="G64" s="103"/>
      <c r="H64" s="103">
        <f>IF(BL_Type=2,H53*('Step 2.4 - Data Input (OpEx)'!G45*'Step 2.4 - Data Input (OpEx)'!G46)*(1-'Step 2.4 - Data Input (OpEx)'!G19)^0,0)</f>
        <v>0</v>
      </c>
      <c r="I64" s="103">
        <f>IF(BL_Type=2,I53*('Step 2.4 - Data Input (OpEx)'!G45*'Step 2.4 - Data Input (OpEx)'!G46)*(1-'Step 2.4 - Data Input (OpEx)'!G19)^1,0)</f>
        <v>0</v>
      </c>
      <c r="J64" s="103">
        <f>IF(BL_Type=2,J53*('Step 2.4 - Data Input (OpEx)'!G45*'Step 2.4 - Data Input (OpEx)'!G46)*(1-'Step 2.4 - Data Input (OpEx)'!G19)^2,0)</f>
        <v>0</v>
      </c>
      <c r="K64" s="103">
        <f>IF(BL_Type=2,K53*('Step 2.4 - Data Input (OpEx)'!G45*'Step 2.4 - Data Input (OpEx)'!G46)*(1-'Step 2.4 - Data Input (OpEx)'!G19)^3,0)</f>
        <v>0</v>
      </c>
      <c r="L64" s="103">
        <f>IF(BL_Type=2,L53*('Step 2.4 - Data Input (OpEx)'!G45*'Step 2.4 - Data Input (OpEx)'!G46)*(1-'Step 2.4 - Data Input (OpEx)'!G19)^4,0)</f>
        <v>0</v>
      </c>
      <c r="M64" s="103">
        <f>IF(BL_Type=2,M53*('Step 2.4 - Data Input (OpEx)'!G45*'Step 2.4 - Data Input (OpEx)'!G46)*(1-'Step 2.4 - Data Input (OpEx)'!G19)^5,0)</f>
        <v>0</v>
      </c>
    </row>
    <row r="65" spans="1:13" customFormat="1" ht="15.75" customHeight="1" x14ac:dyDescent="0.2">
      <c r="A65" s="33"/>
      <c r="B65" s="33"/>
      <c r="C65" s="13"/>
      <c r="D65" s="104" t="s">
        <v>136</v>
      </c>
      <c r="E65" s="102" t="s">
        <v>5</v>
      </c>
      <c r="F65" s="103">
        <f t="shared" si="12"/>
        <v>0</v>
      </c>
      <c r="G65" s="103"/>
      <c r="H65" s="103">
        <f>IF(BL_Type=3,H53*'Step 2.1 - Data Input (General)'!G24*('Step 2.4 - Data Input (OpEx)'!G45*'Step 2.4 - Data Input (OpEx)'!G46)*(1-'Step 2.4 - Data Input (OpEx)'!G19)^0,0)</f>
        <v>0</v>
      </c>
      <c r="I65" s="103">
        <f>IF(BL_Type=3,I53*'Step 2.1 - Data Input (General)'!G24*('Step 2.4 - Data Input (OpEx)'!G45*'Step 2.4 - Data Input (OpEx)'!G46)*(1-'Step 2.4 - Data Input (OpEx)'!G19)^1,0)</f>
        <v>0</v>
      </c>
      <c r="J65" s="103">
        <f>IF(BL_Type=3,J53*'Step 2.1 - Data Input (General)'!G24*('Step 2.4 - Data Input (OpEx)'!G45*'Step 2.4 - Data Input (OpEx)'!G46)*(1-'Step 2.4 - Data Input (OpEx)'!G19)^2,0)</f>
        <v>0</v>
      </c>
      <c r="K65" s="103">
        <f>IF(BL_Type=3,K53*'Step 2.1 - Data Input (General)'!G24*('Step 2.4 - Data Input (OpEx)'!G45*'Step 2.4 - Data Input (OpEx)'!G46)*(1-'Step 2.4 - Data Input (OpEx)'!G19)^3,0)</f>
        <v>0</v>
      </c>
      <c r="L65" s="103">
        <f>IF(BL_Type=3,L53*'Step 2.1 - Data Input (General)'!G24*('Step 2.4 - Data Input (OpEx)'!G45*'Step 2.4 - Data Input (OpEx)'!G46)*(1-'Step 2.4 - Data Input (OpEx)'!G19)^4,0)</f>
        <v>0</v>
      </c>
      <c r="M65" s="103">
        <f>IF(BL_Type=3,M53*'Step 2.1 - Data Input (General)'!G24*('Step 2.4 - Data Input (OpEx)'!G45*'Step 2.4 - Data Input (OpEx)'!G46)*(1-'Step 2.4 - Data Input (OpEx)'!G19)^5,0)</f>
        <v>0</v>
      </c>
    </row>
    <row r="66" spans="1:13" customFormat="1" ht="15.75" customHeight="1" x14ac:dyDescent="0.2">
      <c r="A66" s="33"/>
      <c r="B66" s="33"/>
      <c r="C66" s="13"/>
      <c r="D66" s="104" t="s">
        <v>137</v>
      </c>
      <c r="E66" s="102" t="s">
        <v>5</v>
      </c>
      <c r="F66" s="103">
        <f t="shared" si="12"/>
        <v>0</v>
      </c>
      <c r="G66" s="103"/>
      <c r="H66" s="103">
        <f>IF(BL_Type=4,H53*('Step 2.4 - Data Input (OpEx)'!G48),0)</f>
        <v>0</v>
      </c>
      <c r="I66" s="103">
        <f>IF(BL_Type=4,I53*('Step 2.4 - Data Input (OpEx)'!G48),0)</f>
        <v>0</v>
      </c>
      <c r="J66" s="103">
        <f>IF(BL_Type=4,J53*('Step 2.4 - Data Input (OpEx)'!G48),0)</f>
        <v>0</v>
      </c>
      <c r="K66" s="103">
        <f>IF(BL_Type=4,K53*('Step 2.4 - Data Input (OpEx)'!G48),0)</f>
        <v>0</v>
      </c>
      <c r="L66" s="103">
        <f>IF(BL_Type=4,L53*('Step 2.4 - Data Input (OpEx)'!G48),0)</f>
        <v>0</v>
      </c>
      <c r="M66" s="103">
        <f>IF(BL_Type=4,M53*('Step 2.4 - Data Input (OpEx)'!G48),0)</f>
        <v>0</v>
      </c>
    </row>
    <row r="67" spans="1:13" customFormat="1" ht="15.75" customHeight="1" x14ac:dyDescent="0.2">
      <c r="A67" s="33"/>
      <c r="B67" s="33"/>
      <c r="C67" s="13"/>
      <c r="D67" s="104" t="s">
        <v>163</v>
      </c>
      <c r="E67" s="102" t="s">
        <v>5</v>
      </c>
      <c r="F67" s="103">
        <f t="shared" si="12"/>
        <v>0</v>
      </c>
      <c r="G67" s="103"/>
      <c r="H67" s="103"/>
      <c r="I67" s="103"/>
      <c r="J67" s="103"/>
      <c r="K67" s="103"/>
      <c r="L67" s="103"/>
      <c r="M67" s="103">
        <f>SUM(M62:M66)</f>
        <v>0</v>
      </c>
    </row>
    <row r="68" spans="1:13" customFormat="1" ht="15.75" customHeight="1" x14ac:dyDescent="0.2">
      <c r="A68" s="33"/>
      <c r="B68" s="33"/>
      <c r="C68" s="13" t="s">
        <v>421</v>
      </c>
      <c r="D68" s="13"/>
      <c r="E68" s="11" t="s">
        <v>5</v>
      </c>
      <c r="F68" s="12">
        <f>SUM(G68:L68)</f>
        <v>0</v>
      </c>
      <c r="G68" s="12"/>
      <c r="H68" s="12">
        <f>'Step 2.4 - Data Input (OpEx)'!G47*(H49+H51+H53)</f>
        <v>0</v>
      </c>
      <c r="I68" s="12">
        <f>'Step 2.4 - Data Input (OpEx)'!G47*(I49+I51+I53)</f>
        <v>0</v>
      </c>
      <c r="J68" s="12">
        <f>'Step 2.4 - Data Input (OpEx)'!G47*(J49+J51+J53)</f>
        <v>0</v>
      </c>
      <c r="K68" s="12">
        <f>'Step 2.4 - Data Input (OpEx)'!G47*(K49+K51+K53)</f>
        <v>0</v>
      </c>
      <c r="L68" s="12">
        <f>'Step 2.4 - Data Input (OpEx)'!G47*(L49+L51+L53)</f>
        <v>0</v>
      </c>
      <c r="M68" s="12"/>
    </row>
    <row r="69" spans="1:13" customFormat="1" ht="7.5" customHeight="1" x14ac:dyDescent="0.2">
      <c r="A69" s="62"/>
      <c r="B69" s="62"/>
      <c r="C69" s="61"/>
      <c r="D69" s="61"/>
      <c r="E69" s="63"/>
      <c r="F69" s="61"/>
      <c r="G69" s="61"/>
      <c r="H69" s="61"/>
      <c r="I69" s="61"/>
      <c r="J69" s="61"/>
      <c r="K69" s="61"/>
      <c r="L69" s="61"/>
      <c r="M69" s="61"/>
    </row>
    <row r="70" spans="1:13" customFormat="1" ht="15.75" customHeight="1" x14ac:dyDescent="0.2">
      <c r="A70" s="96"/>
      <c r="B70" s="96" t="s">
        <v>208</v>
      </c>
      <c r="C70" s="95"/>
      <c r="D70" s="95"/>
      <c r="E70" s="97" t="s">
        <v>5</v>
      </c>
      <c r="F70" s="98">
        <f>SUM(G70:L70)</f>
        <v>0</v>
      </c>
      <c r="G70" s="99"/>
      <c r="H70" s="100">
        <f>SUM(H71:H72)+'Step 2.4 - Data Input (OpEx)'!G55</f>
        <v>0</v>
      </c>
      <c r="I70" s="100">
        <f>SUM(I71:I72)+'Step 2.4 - Data Input (OpEx)'!G55</f>
        <v>0</v>
      </c>
      <c r="J70" s="100">
        <f>SUM(J71:J72)+'Step 2.4 - Data Input (OpEx)'!G55</f>
        <v>0</v>
      </c>
      <c r="K70" s="100">
        <f>SUM(K71:K72)+'Step 2.4 - Data Input (OpEx)'!G55</f>
        <v>0</v>
      </c>
      <c r="L70" s="100">
        <f>SUM(L71:L72)+'Step 2.4 - Data Input (OpEx)'!G55</f>
        <v>0</v>
      </c>
      <c r="M70" s="99"/>
    </row>
    <row r="71" spans="1:13" customFormat="1" ht="15.75" customHeight="1" x14ac:dyDescent="0.2">
      <c r="A71" s="33"/>
      <c r="B71" s="33"/>
      <c r="C71" s="10" t="s">
        <v>158</v>
      </c>
      <c r="D71" s="10"/>
      <c r="E71" s="11" t="s">
        <v>5</v>
      </c>
      <c r="F71" s="12">
        <f t="shared" ref="F71:F72" si="13">SUM(G71:L71)</f>
        <v>0</v>
      </c>
      <c r="G71" s="12"/>
      <c r="H71" s="12">
        <f>'Step 2.4 - Data Input (OpEx)'!G53*'Step 2.4 - Data Input (OpEx)'!G6*(H49+H51)*(1-'Step 2.4 - Data Input (OpEx)'!G17)^0</f>
        <v>0</v>
      </c>
      <c r="I71" s="12">
        <f>'Step 2.4 - Data Input (OpEx)'!G53*'Step 2.4 - Data Input (OpEx)'!G6*(I49+I51)*(1-'Step 2.4 - Data Input (OpEx)'!G17)^1</f>
        <v>0</v>
      </c>
      <c r="J71" s="12">
        <f>'Step 2.4 - Data Input (OpEx)'!G53*'Step 2.4 - Data Input (OpEx)'!G6*(J49+J51)*(1-'Step 2.4 - Data Input (OpEx)'!G17)^2</f>
        <v>0</v>
      </c>
      <c r="K71" s="12">
        <f>'Step 2.4 - Data Input (OpEx)'!G53*'Step 2.4 - Data Input (OpEx)'!G6*(K49+K51)*(1-'Step 2.4 - Data Input (OpEx)'!G17)^3</f>
        <v>0</v>
      </c>
      <c r="L71" s="12">
        <f>'Step 2.4 - Data Input (OpEx)'!G53*'Step 2.4 - Data Input (OpEx)'!G6*(L49+L51)*(1-'Step 2.4 - Data Input (OpEx)'!G17)^4</f>
        <v>0</v>
      </c>
      <c r="M71" s="12"/>
    </row>
    <row r="72" spans="1:13" customFormat="1" ht="15.75" customHeight="1" x14ac:dyDescent="0.2">
      <c r="A72" s="33"/>
      <c r="B72" s="33"/>
      <c r="C72" s="10" t="s">
        <v>159</v>
      </c>
      <c r="D72" s="10"/>
      <c r="E72" s="11" t="s">
        <v>5</v>
      </c>
      <c r="F72" s="12">
        <f t="shared" si="13"/>
        <v>0</v>
      </c>
      <c r="G72" s="12"/>
      <c r="H72" s="12">
        <f>'Step 2.4 - Data Input (OpEx)'!G54*'Step 2.4 - Data Input (OpEx)'!G8*(H49+H51)*(1-'Step 2.4 - Data Input (OpEx)'!G18)^0</f>
        <v>0</v>
      </c>
      <c r="I72" s="12">
        <f>'Step 2.4 - Data Input (OpEx)'!G54*'Step 2.4 - Data Input (OpEx)'!G8*(I49+I51)*(1-'Step 2.4 - Data Input (OpEx)'!G18)^1</f>
        <v>0</v>
      </c>
      <c r="J72" s="12">
        <f>'Step 2.4 - Data Input (OpEx)'!G54*'Step 2.4 - Data Input (OpEx)'!G8*(J49+J51)*(1-'Step 2.4 - Data Input (OpEx)'!G18)^2</f>
        <v>0</v>
      </c>
      <c r="K72" s="12">
        <f>'Step 2.4 - Data Input (OpEx)'!G54*'Step 2.4 - Data Input (OpEx)'!G8*(K49+K51)*(1-'Step 2.4 - Data Input (OpEx)'!G18)^3</f>
        <v>0</v>
      </c>
      <c r="L72" s="12">
        <f>'Step 2.4 - Data Input (OpEx)'!G54*'Step 2.4 - Data Input (OpEx)'!G8*(L49+L51)*(1-'Step 2.4 - Data Input (OpEx)'!G18)^4</f>
        <v>0</v>
      </c>
      <c r="M72" s="12"/>
    </row>
    <row r="73" spans="1:13" customFormat="1" ht="7.5" customHeight="1" x14ac:dyDescent="0.2">
      <c r="A73" s="62"/>
      <c r="B73" s="62"/>
      <c r="C73" s="61"/>
      <c r="D73" s="61"/>
      <c r="E73" s="63"/>
      <c r="F73" s="61"/>
      <c r="G73" s="61"/>
      <c r="H73" s="61"/>
      <c r="I73" s="61"/>
      <c r="J73" s="61"/>
      <c r="K73" s="61"/>
      <c r="L73" s="61"/>
      <c r="M73" s="61"/>
    </row>
    <row r="74" spans="1:13" customFormat="1" ht="15.75" customHeight="1" x14ac:dyDescent="0.2">
      <c r="A74" s="96"/>
      <c r="B74" s="96" t="s">
        <v>138</v>
      </c>
      <c r="C74" s="95"/>
      <c r="D74" s="95"/>
      <c r="E74" s="97" t="s">
        <v>5</v>
      </c>
      <c r="F74" s="98">
        <f>SUM(G74:L74)</f>
        <v>0</v>
      </c>
      <c r="G74" s="99"/>
      <c r="H74" s="99">
        <f>SUM(H75:H77)+'Step 2.4 - Data Input (OpEx)'!G61</f>
        <v>0</v>
      </c>
      <c r="I74" s="99">
        <f>SUM(I75:I77)+'Step 2.4 - Data Input (OpEx)'!G61</f>
        <v>0</v>
      </c>
      <c r="J74" s="99">
        <f>SUM(J75:J77)+'Step 2.4 - Data Input (OpEx)'!G61</f>
        <v>0</v>
      </c>
      <c r="K74" s="99">
        <f>SUM(K75:K77)+'Step 2.4 - Data Input (OpEx)'!G61</f>
        <v>0</v>
      </c>
      <c r="L74" s="99">
        <f>SUM(L75:L77)+'Step 2.4 - Data Input (OpEx)'!G61</f>
        <v>0</v>
      </c>
      <c r="M74" s="99"/>
    </row>
    <row r="75" spans="1:13" customFormat="1" ht="15.75" customHeight="1" x14ac:dyDescent="0.2">
      <c r="A75" s="33"/>
      <c r="B75" s="33"/>
      <c r="C75" s="10" t="s">
        <v>158</v>
      </c>
      <c r="D75" s="10"/>
      <c r="E75" s="11" t="s">
        <v>5</v>
      </c>
      <c r="F75" s="12">
        <f t="shared" ref="F75:F77" si="14">SUM(G75:L75)</f>
        <v>0</v>
      </c>
      <c r="G75" s="12"/>
      <c r="H75" s="12">
        <f>'Step 2.4 - Data Input (OpEx)'!G58*'Step 2.4 - Data Input (OpEx)'!G6*(H49+H51)*(1-'Step 2.4 - Data Input (OpEx)'!G17)^0</f>
        <v>0</v>
      </c>
      <c r="I75" s="12">
        <f>'Step 2.4 - Data Input (OpEx)'!G58*'Step 2.4 - Data Input (OpEx)'!G6*(I49+I51)*(1-'Step 2.4 - Data Input (OpEx)'!G17)^1</f>
        <v>0</v>
      </c>
      <c r="J75" s="12">
        <f>'Step 2.4 - Data Input (OpEx)'!G58*'Step 2.4 - Data Input (OpEx)'!G6*(J49+J51)*(1-'Step 2.4 - Data Input (OpEx)'!G17)^2</f>
        <v>0</v>
      </c>
      <c r="K75" s="12">
        <f>'Step 2.4 - Data Input (OpEx)'!G58*'Step 2.4 - Data Input (OpEx)'!G6*(K49+K51)*(1-'Step 2.4 - Data Input (OpEx)'!G17)^3</f>
        <v>0</v>
      </c>
      <c r="L75" s="12">
        <f>'Step 2.4 - Data Input (OpEx)'!G58*'Step 2.4 - Data Input (OpEx)'!G6*(L49+L51)*(1-'Step 2.4 - Data Input (OpEx)'!G17)^4</f>
        <v>0</v>
      </c>
      <c r="M75" s="12"/>
    </row>
    <row r="76" spans="1:13" customFormat="1" ht="15.75" customHeight="1" x14ac:dyDescent="0.2">
      <c r="A76" s="33"/>
      <c r="B76" s="33"/>
      <c r="C76" s="10" t="s">
        <v>159</v>
      </c>
      <c r="D76" s="10"/>
      <c r="E76" s="11" t="s">
        <v>5</v>
      </c>
      <c r="F76" s="12">
        <f t="shared" si="14"/>
        <v>0</v>
      </c>
      <c r="G76" s="12"/>
      <c r="H76" s="12">
        <f>'Step 2.4 - Data Input (OpEx)'!G59*'Step 2.4 - Data Input (OpEx)'!G8*(H49+H51)*(1-'Step 2.4 - Data Input (OpEx)'!G18)^0</f>
        <v>0</v>
      </c>
      <c r="I76" s="12">
        <f>'Step 2.4 - Data Input (OpEx)'!G59*'Step 2.4 - Data Input (OpEx)'!G8*(I49+I51)*(1-'Step 2.4 - Data Input (OpEx)'!G18)^1</f>
        <v>0</v>
      </c>
      <c r="J76" s="12">
        <f>'Step 2.4 - Data Input (OpEx)'!G59*'Step 2.4 - Data Input (OpEx)'!G8*(J49+J51)*(1-'Step 2.4 - Data Input (OpEx)'!G18)^2</f>
        <v>0</v>
      </c>
      <c r="K76" s="12">
        <f>'Step 2.4 - Data Input (OpEx)'!G59*'Step 2.4 - Data Input (OpEx)'!G8*(K49+K51)*(1-'Step 2.4 - Data Input (OpEx)'!G18)^3</f>
        <v>0</v>
      </c>
      <c r="L76" s="12">
        <f>'Step 2.4 - Data Input (OpEx)'!G59*'Step 2.4 - Data Input (OpEx)'!G8*(L49+L51)*(1-'Step 2.4 - Data Input (OpEx)'!G18)^4</f>
        <v>0</v>
      </c>
      <c r="M76" s="12"/>
    </row>
    <row r="77" spans="1:13" customFormat="1" ht="15.75" customHeight="1" x14ac:dyDescent="0.2">
      <c r="A77" s="33"/>
      <c r="B77" s="33"/>
      <c r="C77" s="10" t="s">
        <v>167</v>
      </c>
      <c r="D77" s="10"/>
      <c r="E77" s="11" t="s">
        <v>5</v>
      </c>
      <c r="F77" s="12">
        <f t="shared" si="14"/>
        <v>0</v>
      </c>
      <c r="G77" s="12"/>
      <c r="H77" s="12">
        <f>'Step 2.4 - Data Input (OpEx)'!G60*((H49-H50)+(H51-H52))</f>
        <v>0</v>
      </c>
      <c r="I77" s="12">
        <f>'Step 2.4 - Data Input (OpEx)'!G60*((I49-I50)+(I51-I52))</f>
        <v>0</v>
      </c>
      <c r="J77" s="12">
        <f>'Step 2.4 - Data Input (OpEx)'!G60*((J49-J50)+(J51-J52))</f>
        <v>0</v>
      </c>
      <c r="K77" s="12">
        <f>'Step 2.4 - Data Input (OpEx)'!G60*((K49-K50)+(K51-K52))</f>
        <v>0</v>
      </c>
      <c r="L77" s="12">
        <f>'Step 2.4 - Data Input (OpEx)'!G60*((L49-L50)+(L51-L52))</f>
        <v>0</v>
      </c>
      <c r="M77" s="12"/>
    </row>
    <row r="78" spans="1:13" customFormat="1" ht="7.5" customHeight="1" x14ac:dyDescent="0.2">
      <c r="A78" s="62"/>
      <c r="B78" s="62"/>
      <c r="C78" s="61"/>
      <c r="D78" s="61"/>
      <c r="E78" s="63"/>
      <c r="F78" s="61"/>
      <c r="G78" s="61"/>
      <c r="H78" s="61"/>
      <c r="I78" s="61"/>
      <c r="J78" s="61"/>
      <c r="K78" s="61"/>
      <c r="L78" s="61"/>
      <c r="M78" s="61"/>
    </row>
    <row r="79" spans="1:13" customFormat="1" ht="15" customHeight="1" x14ac:dyDescent="0.2">
      <c r="A79" s="96"/>
      <c r="B79" s="96" t="s">
        <v>139</v>
      </c>
      <c r="C79" s="95"/>
      <c r="D79" s="95"/>
      <c r="E79" s="97" t="s">
        <v>5</v>
      </c>
      <c r="F79" s="98">
        <f>SUM(G79:L79)</f>
        <v>0</v>
      </c>
      <c r="G79" s="99"/>
      <c r="H79" s="99">
        <f>SUM(H80:H81)+'Step 2.4 - Data Input (OpEx)'!G66</f>
        <v>0</v>
      </c>
      <c r="I79" s="99">
        <f>SUM(I80:I81)+'Step 2.4 - Data Input (OpEx)'!G66</f>
        <v>0</v>
      </c>
      <c r="J79" s="99">
        <f>SUM(J80:J81)+'Step 2.4 - Data Input (OpEx)'!G66</f>
        <v>0</v>
      </c>
      <c r="K79" s="99">
        <f>SUM(K80:K81)+'Step 2.4 - Data Input (OpEx)'!G66</f>
        <v>0</v>
      </c>
      <c r="L79" s="99">
        <f>SUM(L80:L81)+'Step 2.4 - Data Input (OpEx)'!G66</f>
        <v>0</v>
      </c>
      <c r="M79" s="99"/>
    </row>
    <row r="80" spans="1:13" customFormat="1" ht="15.75" customHeight="1" x14ac:dyDescent="0.2">
      <c r="A80" s="33"/>
      <c r="B80" s="33"/>
      <c r="C80" s="10" t="s">
        <v>158</v>
      </c>
      <c r="D80" s="10"/>
      <c r="E80" s="11" t="s">
        <v>5</v>
      </c>
      <c r="F80" s="12">
        <f t="shared" ref="F80:F81" si="15">SUM(G80:L80)</f>
        <v>0</v>
      </c>
      <c r="G80" s="12"/>
      <c r="H80" s="12">
        <f>'Step 2.4 - Data Input (OpEx)'!G64*'Step 2.4 - Data Input (OpEx)'!G6*(H50+H52)*(1-'Step 2.4 - Data Input (OpEx)'!G17)^0</f>
        <v>0</v>
      </c>
      <c r="I80" s="12">
        <f>'Step 2.4 - Data Input (OpEx)'!G64*'Step 2.4 - Data Input (OpEx)'!G6*(I50+I52)*(1-'Step 2.4 - Data Input (OpEx)'!G17)^1</f>
        <v>0</v>
      </c>
      <c r="J80" s="12">
        <f>'Step 2.4 - Data Input (OpEx)'!G64*'Step 2.4 - Data Input (OpEx)'!G6*(J50+J52)*(1-'Step 2.4 - Data Input (OpEx)'!G17)^2</f>
        <v>0</v>
      </c>
      <c r="K80" s="12">
        <f>'Step 2.4 - Data Input (OpEx)'!G64*'Step 2.4 - Data Input (OpEx)'!G6*(K50+K52)*(1-'Step 2.4 - Data Input (OpEx)'!G17)^3</f>
        <v>0</v>
      </c>
      <c r="L80" s="12">
        <f>'Step 2.4 - Data Input (OpEx)'!G64*'Step 2.4 - Data Input (OpEx)'!G6*(L50+L52)*(1-'Step 2.4 - Data Input (OpEx)'!G17)^4</f>
        <v>0</v>
      </c>
      <c r="M80" s="12"/>
    </row>
    <row r="81" spans="1:13" customFormat="1" ht="15.75" customHeight="1" x14ac:dyDescent="0.2">
      <c r="A81" s="33"/>
      <c r="B81" s="33"/>
      <c r="C81" s="10" t="s">
        <v>159</v>
      </c>
      <c r="D81" s="10"/>
      <c r="E81" s="11" t="s">
        <v>5</v>
      </c>
      <c r="F81" s="12">
        <f t="shared" si="15"/>
        <v>0</v>
      </c>
      <c r="G81" s="12"/>
      <c r="H81" s="12">
        <f>'Step 2.4 - Data Input (OpEx)'!G65*'Step 2.4 - Data Input (OpEx)'!G8*(H50+H52)*(1-'Step 2.4 - Data Input (OpEx)'!G18)^0</f>
        <v>0</v>
      </c>
      <c r="I81" s="12">
        <f>'Step 2.4 - Data Input (OpEx)'!G65*'Step 2.4 - Data Input (OpEx)'!G8*(I50+I52)*(1-'Step 2.4 - Data Input (OpEx)'!G18)^1</f>
        <v>0</v>
      </c>
      <c r="J81" s="12">
        <f>'Step 2.4 - Data Input (OpEx)'!G65*'Step 2.4 - Data Input (OpEx)'!G8*(J50+J52)*(1-'Step 2.4 - Data Input (OpEx)'!G18)^2</f>
        <v>0</v>
      </c>
      <c r="K81" s="12">
        <f>'Step 2.4 - Data Input (OpEx)'!G65*'Step 2.4 - Data Input (OpEx)'!G8*(K50+K52)*(1-'Step 2.4 - Data Input (OpEx)'!G18)^3</f>
        <v>0</v>
      </c>
      <c r="L81" s="12">
        <f>'Step 2.4 - Data Input (OpEx)'!G65*'Step 2.4 - Data Input (OpEx)'!G8*(L50+L52)*(1-'Step 2.4 - Data Input (OpEx)'!G18)^4</f>
        <v>0</v>
      </c>
      <c r="M81" s="12"/>
    </row>
    <row r="82" spans="1:13" customFormat="1" ht="7.5" customHeight="1" x14ac:dyDescent="0.2">
      <c r="A82" s="62"/>
      <c r="B82" s="62"/>
      <c r="C82" s="61"/>
      <c r="D82" s="61"/>
      <c r="E82" s="63"/>
      <c r="F82" s="61"/>
      <c r="G82" s="61"/>
      <c r="H82" s="61"/>
      <c r="I82" s="61"/>
      <c r="J82" s="61"/>
      <c r="K82" s="61"/>
      <c r="L82" s="61"/>
      <c r="M82" s="61"/>
    </row>
    <row r="83" spans="1:13" customFormat="1" ht="15.75" customHeight="1" x14ac:dyDescent="0.2">
      <c r="A83" s="96"/>
      <c r="B83" s="96" t="s">
        <v>140</v>
      </c>
      <c r="C83" s="95"/>
      <c r="D83" s="95"/>
      <c r="E83" s="97" t="s">
        <v>5</v>
      </c>
      <c r="F83" s="98">
        <f>SUM(G83:L83)</f>
        <v>0</v>
      </c>
      <c r="G83" s="99"/>
      <c r="H83" s="99">
        <f>SUM(H84:H87)+'Step 2.4 - Data Input (OpEx)'!G75</f>
        <v>0</v>
      </c>
      <c r="I83" s="99">
        <f>SUM(I84:I87)+'Step 2.4 - Data Input (OpEx)'!G75</f>
        <v>0</v>
      </c>
      <c r="J83" s="99">
        <f>SUM(J84:J87)+'Step 2.4 - Data Input (OpEx)'!G75</f>
        <v>0</v>
      </c>
      <c r="K83" s="99">
        <f>SUM(K84:K87)+'Step 2.4 - Data Input (OpEx)'!G75</f>
        <v>0</v>
      </c>
      <c r="L83" s="99">
        <f>SUM(L84:L87)+'Step 2.4 - Data Input (OpEx)'!G75</f>
        <v>0</v>
      </c>
      <c r="M83" s="99"/>
    </row>
    <row r="84" spans="1:13" customFormat="1" ht="15.75" customHeight="1" x14ac:dyDescent="0.2">
      <c r="A84" s="33"/>
      <c r="B84" s="33"/>
      <c r="C84" s="10" t="s">
        <v>158</v>
      </c>
      <c r="D84" s="10"/>
      <c r="E84" s="11" t="s">
        <v>5</v>
      </c>
      <c r="F84" s="12">
        <f t="shared" ref="F84:F85" si="16">SUM(G84:L84)</f>
        <v>0</v>
      </c>
      <c r="G84" s="12"/>
      <c r="H84" s="12">
        <f>'Step 2.4 - Data Input (OpEx)'!G69*'Step 2.4 - Data Input (OpEx)'!G6*(H50)*(1-'Step 2.4 - Data Input (OpEx)'!G17)^0</f>
        <v>0</v>
      </c>
      <c r="I84" s="12">
        <f>'Step 2.4 - Data Input (OpEx)'!G69*'Step 2.4 - Data Input (OpEx)'!G6*(I50)*(1-'Step 2.4 - Data Input (OpEx)'!G17)^1</f>
        <v>0</v>
      </c>
      <c r="J84" s="12">
        <f>'Step 2.4 - Data Input (OpEx)'!G69*'Step 2.4 - Data Input (OpEx)'!G6*(J50)*(1-'Step 2.4 - Data Input (OpEx)'!G17)^2</f>
        <v>0</v>
      </c>
      <c r="K84" s="12">
        <f>'Step 2.4 - Data Input (OpEx)'!G69*'Step 2.4 - Data Input (OpEx)'!G6*(K50)*(1-'Step 2.4 - Data Input (OpEx)'!G17)^3</f>
        <v>0</v>
      </c>
      <c r="L84" s="12">
        <f>'Step 2.4 - Data Input (OpEx)'!G69*'Step 2.4 - Data Input (OpEx)'!G6*(L50)*(1-'Step 2.4 - Data Input (OpEx)'!G17)^4</f>
        <v>0</v>
      </c>
      <c r="M84" s="12"/>
    </row>
    <row r="85" spans="1:13" customFormat="1" ht="15.75" customHeight="1" x14ac:dyDescent="0.2">
      <c r="A85" s="33"/>
      <c r="B85" s="33"/>
      <c r="C85" s="10" t="s">
        <v>159</v>
      </c>
      <c r="D85" s="10"/>
      <c r="E85" s="11" t="s">
        <v>5</v>
      </c>
      <c r="F85" s="12">
        <f t="shared" si="16"/>
        <v>0</v>
      </c>
      <c r="G85" s="12"/>
      <c r="H85" s="12">
        <f>'Step 2.4 - Data Input (OpEx)'!G70*'Step 2.4 - Data Input (OpEx)'!G8*(H50)*(1-'Step 2.4 - Data Input (OpEx)'!G18)^0</f>
        <v>0</v>
      </c>
      <c r="I85" s="12">
        <f>'Step 2.4 - Data Input (OpEx)'!G70*'Step 2.4 - Data Input (OpEx)'!G8*(I50)*(1-'Step 2.4 - Data Input (OpEx)'!G18)^1</f>
        <v>0</v>
      </c>
      <c r="J85" s="12">
        <f>'Step 2.4 - Data Input (OpEx)'!G70*'Step 2.4 - Data Input (OpEx)'!G8*(J50)*(1-'Step 2.4 - Data Input (OpEx)'!G18)^2</f>
        <v>0</v>
      </c>
      <c r="K85" s="12">
        <f>'Step 2.4 - Data Input (OpEx)'!G70*'Step 2.4 - Data Input (OpEx)'!G8*(K50)*(1-'Step 2.4 - Data Input (OpEx)'!G18)^3</f>
        <v>0</v>
      </c>
      <c r="L85" s="12">
        <f>'Step 2.4 - Data Input (OpEx)'!G70*'Step 2.4 - Data Input (OpEx)'!G8*(L50)*(1-'Step 2.4 - Data Input (OpEx)'!G18)^4</f>
        <v>0</v>
      </c>
      <c r="M85" s="12"/>
    </row>
    <row r="86" spans="1:13" customFormat="1" ht="15.75" customHeight="1" x14ac:dyDescent="0.2">
      <c r="A86" s="33"/>
      <c r="B86" s="33"/>
      <c r="C86" s="10" t="s">
        <v>169</v>
      </c>
      <c r="D86" s="10"/>
      <c r="E86" s="11" t="s">
        <v>5</v>
      </c>
      <c r="F86" s="12">
        <f>SUM(G86:L86)</f>
        <v>0</v>
      </c>
      <c r="G86" s="12"/>
      <c r="H86" s="12">
        <f>'Step 2.4 - Data Input (OpEx)'!G74*'Step 2.4 - Data Input (OpEx)'!G73*'Step 2.4 - Data Input (OpEx)'!G72*(H50+H52)</f>
        <v>0</v>
      </c>
      <c r="I86" s="12">
        <f>'Step 2.4 - Data Input (OpEx)'!G74*'Step 2.4 - Data Input (OpEx)'!G73*'Step 2.4 - Data Input (OpEx)'!G72*(I50+I52)</f>
        <v>0</v>
      </c>
      <c r="J86" s="12">
        <f>'Step 2.4 - Data Input (OpEx)'!G74*'Step 2.4 - Data Input (OpEx)'!G73*'Step 2.4 - Data Input (OpEx)'!G72*(J50+J52)</f>
        <v>0</v>
      </c>
      <c r="K86" s="12">
        <f>'Step 2.4 - Data Input (OpEx)'!G74*'Step 2.4 - Data Input (OpEx)'!G73*'Step 2.4 - Data Input (OpEx)'!G72*(K50+K52)</f>
        <v>0</v>
      </c>
      <c r="L86" s="12">
        <f>'Step 2.4 - Data Input (OpEx)'!G74*'Step 2.4 - Data Input (OpEx)'!G73*'Step 2.4 - Data Input (OpEx)'!G72*(L50+L52)</f>
        <v>0</v>
      </c>
      <c r="M86" s="12"/>
    </row>
    <row r="87" spans="1:13" customFormat="1" ht="15.75" customHeight="1" x14ac:dyDescent="0.2">
      <c r="A87" s="33"/>
      <c r="B87" s="33"/>
      <c r="C87" s="10" t="s">
        <v>168</v>
      </c>
      <c r="D87" s="10"/>
      <c r="E87" s="11" t="s">
        <v>5</v>
      </c>
      <c r="F87" s="12">
        <f>SUM(G87:L87)</f>
        <v>0</v>
      </c>
      <c r="G87" s="12"/>
      <c r="H87" s="12">
        <f>'Step 2.4 - Data Input (OpEx)'!G74*'Step 2.4 - Data Input (OpEx)'!G71*(H50+H52)</f>
        <v>0</v>
      </c>
      <c r="I87" s="12">
        <f>'Step 2.4 - Data Input (OpEx)'!G74*'Step 2.4 - Data Input (OpEx)'!G71*(I50+I52)</f>
        <v>0</v>
      </c>
      <c r="J87" s="12">
        <f>'Step 2.4 - Data Input (OpEx)'!G74*'Step 2.4 - Data Input (OpEx)'!G71*(J50+J52)</f>
        <v>0</v>
      </c>
      <c r="K87" s="12">
        <f>'Step 2.4 - Data Input (OpEx)'!G74*'Step 2.4 - Data Input (OpEx)'!G71*(K50+K52)</f>
        <v>0</v>
      </c>
      <c r="L87" s="12">
        <f>'Step 2.4 - Data Input (OpEx)'!G74*'Step 2.4 - Data Input (OpEx)'!G71*(L50+L52)</f>
        <v>0</v>
      </c>
      <c r="M87" s="12"/>
    </row>
    <row r="88" spans="1:13" customFormat="1" ht="7.5" customHeight="1" x14ac:dyDescent="0.2">
      <c r="A88" s="62"/>
      <c r="B88" s="62"/>
      <c r="C88" s="61"/>
      <c r="D88" s="61"/>
      <c r="E88" s="63"/>
      <c r="F88" s="61"/>
      <c r="G88" s="61"/>
      <c r="H88" s="61"/>
      <c r="I88" s="61"/>
      <c r="J88" s="61"/>
      <c r="K88" s="61"/>
      <c r="L88" s="61"/>
      <c r="M88" s="61"/>
    </row>
    <row r="89" spans="1:13" customFormat="1" ht="15.75" customHeight="1" x14ac:dyDescent="0.2">
      <c r="A89" s="96"/>
      <c r="B89" s="96" t="s">
        <v>141</v>
      </c>
      <c r="C89" s="95"/>
      <c r="D89" s="95"/>
      <c r="E89" s="97" t="s">
        <v>5</v>
      </c>
      <c r="F89" s="98">
        <f>SUM(G89:L89)</f>
        <v>0</v>
      </c>
      <c r="G89" s="99"/>
      <c r="H89" s="99">
        <f>SUM(H90:H91)+'Step 2.4 - Data Input (OpEx)'!G80</f>
        <v>0</v>
      </c>
      <c r="I89" s="99">
        <f>SUM(I90:I91)+'Step 2.4 - Data Input (OpEx)'!G80</f>
        <v>0</v>
      </c>
      <c r="J89" s="99">
        <f>SUM(J90:J91)+'Step 2.4 - Data Input (OpEx)'!G80</f>
        <v>0</v>
      </c>
      <c r="K89" s="99">
        <f>SUM(K90:K91)+'Step 2.4 - Data Input (OpEx)'!G80</f>
        <v>0</v>
      </c>
      <c r="L89" s="99">
        <f>SUM(L90:L91)+'Step 2.4 - Data Input (OpEx)'!G80</f>
        <v>0</v>
      </c>
      <c r="M89" s="99"/>
    </row>
    <row r="90" spans="1:13" customFormat="1" ht="15.75" customHeight="1" x14ac:dyDescent="0.2">
      <c r="A90" s="33"/>
      <c r="B90" s="33"/>
      <c r="C90" s="10" t="s">
        <v>158</v>
      </c>
      <c r="D90" s="10"/>
      <c r="E90" s="11" t="s">
        <v>5</v>
      </c>
      <c r="F90" s="12">
        <f t="shared" ref="F90:F91" si="17">SUM(G90:L90)</f>
        <v>0</v>
      </c>
      <c r="G90" s="12"/>
      <c r="H90" s="12">
        <f>'Step 2.4 - Data Input (OpEx)'!G78*'Step 2.4 - Data Input (OpEx)'!G6*(H50)*(1-'Step 2.4 - Data Input (OpEx)'!G17)^0</f>
        <v>0</v>
      </c>
      <c r="I90" s="12">
        <f>'Step 2.4 - Data Input (OpEx)'!G78*'Step 2.4 - Data Input (OpEx)'!G6*(I50)*(1-'Step 2.4 - Data Input (OpEx)'!G17)^1</f>
        <v>0</v>
      </c>
      <c r="J90" s="12">
        <f>'Step 2.4 - Data Input (OpEx)'!G78*'Step 2.4 - Data Input (OpEx)'!G6*(J50)*(1-'Step 2.4 - Data Input (OpEx)'!G17)^2</f>
        <v>0</v>
      </c>
      <c r="K90" s="12">
        <f>'Step 2.4 - Data Input (OpEx)'!G78*'Step 2.4 - Data Input (OpEx)'!G6*(K50)*(1-'Step 2.4 - Data Input (OpEx)'!G17)^3</f>
        <v>0</v>
      </c>
      <c r="L90" s="12">
        <f>'Step 2.4 - Data Input (OpEx)'!G78*'Step 2.4 - Data Input (OpEx)'!G6*(L50)*(1-'Step 2.4 - Data Input (OpEx)'!G17)^4</f>
        <v>0</v>
      </c>
      <c r="M90" s="12"/>
    </row>
    <row r="91" spans="1:13" customFormat="1" ht="15.75" customHeight="1" x14ac:dyDescent="0.2">
      <c r="A91" s="33"/>
      <c r="B91" s="33"/>
      <c r="C91" s="10" t="s">
        <v>159</v>
      </c>
      <c r="D91" s="10"/>
      <c r="E91" s="11" t="s">
        <v>5</v>
      </c>
      <c r="F91" s="12">
        <f t="shared" si="17"/>
        <v>0</v>
      </c>
      <c r="G91" s="12"/>
      <c r="H91" s="12">
        <f>'Step 2.4 - Data Input (OpEx)'!G79*'Step 2.4 - Data Input (OpEx)'!G8*(H50)*(1-'Step 2.4 - Data Input (OpEx)'!G18)^0</f>
        <v>0</v>
      </c>
      <c r="I91" s="12">
        <f>'Step 2.4 - Data Input (OpEx)'!G79*'Step 2.4 - Data Input (OpEx)'!G8*(I50)*(1-'Step 2.4 - Data Input (OpEx)'!G18)^1</f>
        <v>0</v>
      </c>
      <c r="J91" s="12">
        <f>'Step 2.4 - Data Input (OpEx)'!G79*'Step 2.4 - Data Input (OpEx)'!G8*(J50)*(1-'Step 2.4 - Data Input (OpEx)'!G18)^2</f>
        <v>0</v>
      </c>
      <c r="K91" s="12">
        <f>'Step 2.4 - Data Input (OpEx)'!G79*'Step 2.4 - Data Input (OpEx)'!G8*(K50)*(1-'Step 2.4 - Data Input (OpEx)'!G18)^3</f>
        <v>0</v>
      </c>
      <c r="L91" s="12">
        <f>'Step 2.4 - Data Input (OpEx)'!G79*'Step 2.4 - Data Input (OpEx)'!G8*(L50)*(1-'Step 2.4 - Data Input (OpEx)'!G18)^4</f>
        <v>0</v>
      </c>
      <c r="M91" s="12"/>
    </row>
    <row r="92" spans="1:13" customFormat="1" ht="7.5" customHeight="1" x14ac:dyDescent="0.2">
      <c r="A92" s="62"/>
      <c r="B92" s="62"/>
      <c r="C92" s="61"/>
      <c r="D92" s="61"/>
      <c r="E92" s="63"/>
      <c r="F92" s="61"/>
      <c r="G92" s="61"/>
      <c r="H92" s="61"/>
      <c r="I92" s="61"/>
      <c r="J92" s="61"/>
      <c r="K92" s="61"/>
      <c r="L92" s="61"/>
      <c r="M92" s="61"/>
    </row>
    <row r="93" spans="1:13" customFormat="1" ht="15.75" customHeight="1" x14ac:dyDescent="0.2">
      <c r="A93" s="96"/>
      <c r="B93" s="96" t="s">
        <v>142</v>
      </c>
      <c r="C93" s="95"/>
      <c r="D93" s="95"/>
      <c r="E93" s="97" t="s">
        <v>5</v>
      </c>
      <c r="F93" s="98">
        <f>SUM(G93:L93)</f>
        <v>0</v>
      </c>
      <c r="G93" s="99"/>
      <c r="H93" s="99">
        <f>SUM(H94:H96)+'Step 2.4 - Data Input (OpEx)'!G86</f>
        <v>0</v>
      </c>
      <c r="I93" s="99">
        <f>SUM(I94:I96)+'Step 2.4 - Data Input (OpEx)'!G86</f>
        <v>0</v>
      </c>
      <c r="J93" s="99">
        <f>SUM(J94:J96)+'Step 2.4 - Data Input (OpEx)'!G86</f>
        <v>0</v>
      </c>
      <c r="K93" s="99">
        <f>SUM(K94:K96)+'Step 2.4 - Data Input (OpEx)'!G86</f>
        <v>0</v>
      </c>
      <c r="L93" s="99">
        <f>SUM(L94:L96)+'Step 2.4 - Data Input (OpEx)'!G86</f>
        <v>0</v>
      </c>
      <c r="M93" s="99"/>
    </row>
    <row r="94" spans="1:13" customFormat="1" ht="15.75" customHeight="1" x14ac:dyDescent="0.2">
      <c r="A94" s="33"/>
      <c r="B94" s="33"/>
      <c r="C94" s="10" t="s">
        <v>158</v>
      </c>
      <c r="D94" s="10"/>
      <c r="E94" s="11" t="s">
        <v>5</v>
      </c>
      <c r="F94" s="12">
        <f t="shared" ref="F94:F96" si="18">SUM(G94:L94)</f>
        <v>0</v>
      </c>
      <c r="G94" s="12"/>
      <c r="H94" s="12">
        <f>'Step 2.4 - Data Input (OpEx)'!G83*'Step 2.4 - Data Input (OpEx)'!G6*(H50)*(1-'Step 2.4 - Data Input (OpEx)'!G17)^0</f>
        <v>0</v>
      </c>
      <c r="I94" s="12">
        <f>'Step 2.4 - Data Input (OpEx)'!G89*'Step 2.4 - Data Input (OpEx)'!G6*(I50)*(1-'Step 2.4 - Data Input (OpEx)'!G17)^1</f>
        <v>0</v>
      </c>
      <c r="J94" s="12">
        <f>'Step 2.4 - Data Input (OpEx)'!G83*'Step 2.4 - Data Input (OpEx)'!G6*(J50)*(1-'Step 2.4 - Data Input (OpEx)'!G17)^2</f>
        <v>0</v>
      </c>
      <c r="K94" s="12">
        <f>'Step 2.4 - Data Input (OpEx)'!G83*'Step 2.4 - Data Input (OpEx)'!G6*(K50)*(1-'Step 2.4 - Data Input (OpEx)'!G17)^3</f>
        <v>0</v>
      </c>
      <c r="L94" s="12">
        <f>'Step 2.4 - Data Input (OpEx)'!G83*'Step 2.4 - Data Input (OpEx)'!G6*(L50)*(1-'Step 2.4 - Data Input (OpEx)'!G17)^4</f>
        <v>0</v>
      </c>
      <c r="M94" s="12"/>
    </row>
    <row r="95" spans="1:13" customFormat="1" ht="15.75" customHeight="1" x14ac:dyDescent="0.2">
      <c r="A95" s="33"/>
      <c r="B95" s="33"/>
      <c r="C95" s="10" t="s">
        <v>159</v>
      </c>
      <c r="D95" s="10"/>
      <c r="E95" s="11" t="s">
        <v>5</v>
      </c>
      <c r="F95" s="12">
        <f t="shared" si="18"/>
        <v>0</v>
      </c>
      <c r="G95" s="12"/>
      <c r="H95" s="12">
        <f>Automated_Labour_Restoring*'Step 2.4 - Data Input (OpEx)'!G8*(H50)*(1-'Step 2.4 - Data Input (OpEx)'!G18)^0</f>
        <v>0</v>
      </c>
      <c r="I95" s="12">
        <f>'Step 2.4 - Data Input (OpEx)'!G84*'Step 2.4 - Data Input (OpEx)'!G8*(I50)*(1-'Step 2.4 - Data Input (OpEx)'!G18)^1</f>
        <v>0</v>
      </c>
      <c r="J95" s="12">
        <f>'Step 2.4 - Data Input (OpEx)'!G84*'Step 2.4 - Data Input (OpEx)'!G8*(J50)*(1-'Step 2.4 - Data Input (OpEx)'!G18)^2</f>
        <v>0</v>
      </c>
      <c r="K95" s="12">
        <f>'Step 2.4 - Data Input (OpEx)'!G84*'Step 2.4 - Data Input (OpEx)'!G8*(K50)*(1-'Step 2.4 - Data Input (OpEx)'!G18)^3</f>
        <v>0</v>
      </c>
      <c r="L95" s="12">
        <f>'Step 2.4 - Data Input (OpEx)'!G84*'Step 2.4 - Data Input (OpEx)'!G8*(L50)*(1-'Step 2.4 - Data Input (OpEx)'!G18)^4</f>
        <v>0</v>
      </c>
      <c r="M95" s="12"/>
    </row>
    <row r="96" spans="1:13" customFormat="1" ht="15.75" customHeight="1" x14ac:dyDescent="0.2">
      <c r="A96" s="33"/>
      <c r="B96" s="33"/>
      <c r="C96" s="10" t="s">
        <v>423</v>
      </c>
      <c r="D96" s="10"/>
      <c r="E96" s="11" t="s">
        <v>5</v>
      </c>
      <c r="F96" s="12">
        <f t="shared" si="18"/>
        <v>0</v>
      </c>
      <c r="G96" s="12"/>
      <c r="H96" s="12">
        <f>'Step 2.4 - Data Input (OpEx)'!G85*H50*(1+'Step 2.4 - Data Input (OpEx)'!G14)^0</f>
        <v>0</v>
      </c>
      <c r="I96" s="12">
        <f>'Step 2.4 - Data Input (OpEx)'!G85*I50*(1+'Step 2.4 - Data Input (OpEx)'!G14)^1</f>
        <v>0</v>
      </c>
      <c r="J96" s="12">
        <f>'Step 2.4 - Data Input (OpEx)'!G85*J50*(1+'Step 2.4 - Data Input (OpEx)'!G14)^2</f>
        <v>0</v>
      </c>
      <c r="K96" s="12">
        <f>'Step 2.4 - Data Input (OpEx)'!G85*K50*(1+'Step 2.4 - Data Input (OpEx)'!G14)^3</f>
        <v>0</v>
      </c>
      <c r="L96" s="12">
        <f>'Step 2.4 - Data Input (OpEx)'!G85*L50*(1+'Step 2.4 - Data Input (OpEx)'!G14)^4</f>
        <v>0</v>
      </c>
      <c r="M96" s="12"/>
    </row>
    <row r="97" spans="1:13" customFormat="1" ht="7.5" customHeight="1" x14ac:dyDescent="0.2">
      <c r="A97" s="62"/>
      <c r="B97" s="62"/>
      <c r="C97" s="61"/>
      <c r="D97" s="61"/>
      <c r="E97" s="63"/>
      <c r="F97" s="61"/>
      <c r="G97" s="61"/>
      <c r="H97" s="61"/>
      <c r="I97" s="61"/>
      <c r="J97" s="61"/>
      <c r="K97" s="61"/>
      <c r="L97" s="61"/>
      <c r="M97" s="61"/>
    </row>
    <row r="98" spans="1:13" customFormat="1" ht="15.75" customHeight="1" x14ac:dyDescent="0.2">
      <c r="A98" s="96"/>
      <c r="B98" s="96" t="s">
        <v>143</v>
      </c>
      <c r="C98" s="95"/>
      <c r="D98" s="95"/>
      <c r="E98" s="97" t="s">
        <v>5</v>
      </c>
      <c r="F98" s="98">
        <f>SUM(G98:L98)</f>
        <v>0</v>
      </c>
      <c r="G98" s="99"/>
      <c r="H98" s="99">
        <f>SUM(H99:H101)+'Step 2.4 - Data Input (OpEx)'!G93</f>
        <v>0</v>
      </c>
      <c r="I98" s="99">
        <f>SUM(I99:I101)+'Step 2.4 - Data Input (OpEx)'!G93</f>
        <v>0</v>
      </c>
      <c r="J98" s="99">
        <f>SUM(J99:J101)+'Step 2.4 - Data Input (OpEx)'!G93</f>
        <v>0</v>
      </c>
      <c r="K98" s="99">
        <f>SUM(K99:K101)+'Step 2.4 - Data Input (OpEx)'!G93</f>
        <v>0</v>
      </c>
      <c r="L98" s="99">
        <f>SUM(L99:L101)+'Step 2.4 - Data Input (OpEx)'!G93</f>
        <v>0</v>
      </c>
      <c r="M98" s="99"/>
    </row>
    <row r="99" spans="1:13" customFormat="1" ht="15.75" customHeight="1" x14ac:dyDescent="0.2">
      <c r="A99" s="33"/>
      <c r="B99" s="33"/>
      <c r="C99" s="10" t="s">
        <v>158</v>
      </c>
      <c r="D99" s="10"/>
      <c r="E99" s="11" t="s">
        <v>5</v>
      </c>
      <c r="F99" s="12">
        <f t="shared" ref="F99:F101" si="19">SUM(G99:L99)</f>
        <v>0</v>
      </c>
      <c r="G99" s="12"/>
      <c r="H99" s="12">
        <f>'Step 2.4 - Data Input (OpEx)'!G89*'Step 2.4 - Data Input (OpEx)'!G6*('Step 2.2 - Data Input (Revenue)'!G9)*(1-'Step 2.4 - Data Input (OpEx)'!G17)^0</f>
        <v>0</v>
      </c>
      <c r="I99" s="12">
        <f>'Step 2.4 - Data Input (OpEx)'!G89*'Step 2.4 - Data Input (OpEx)'!G6*('Step 2.2 - Data Input (Revenue)'!G10)*(1-'Step 2.4 - Data Input (OpEx)'!G17)^1</f>
        <v>0</v>
      </c>
      <c r="J99" s="12">
        <f>'Step 2.4 - Data Input (OpEx)'!G89*'Step 2.4 - Data Input (OpEx)'!G6*('Step 2.2 - Data Input (Revenue)'!G11)*(1-'Step 2.4 - Data Input (OpEx)'!G17)^2</f>
        <v>0</v>
      </c>
      <c r="K99" s="12">
        <f>'Step 2.4 - Data Input (OpEx)'!G89*'Step 2.4 - Data Input (OpEx)'!G6*('Step 2.2 - Data Input (Revenue)'!G12)*(1-'Step 2.4 - Data Input (OpEx)'!G17)^3</f>
        <v>0</v>
      </c>
      <c r="L99" s="12">
        <f>'Step 2.4 - Data Input (OpEx)'!G89*'Step 2.4 - Data Input (OpEx)'!G6*('Step 2.2 - Data Input (Revenue)'!G13)*(1-'Step 2.4 - Data Input (OpEx)'!G17)^4</f>
        <v>0</v>
      </c>
      <c r="M99" s="12"/>
    </row>
    <row r="100" spans="1:13" customFormat="1" ht="15.75" customHeight="1" x14ac:dyDescent="0.2">
      <c r="A100" s="33"/>
      <c r="B100" s="33"/>
      <c r="C100" s="10" t="s">
        <v>159</v>
      </c>
      <c r="D100" s="10"/>
      <c r="E100" s="11" t="s">
        <v>5</v>
      </c>
      <c r="F100" s="12">
        <f t="shared" si="19"/>
        <v>0</v>
      </c>
      <c r="G100" s="12"/>
      <c r="H100" s="12">
        <f>'Step 2.4 - Data Input (OpEx)'!G90*'Step 2.4 - Data Input (OpEx)'!G8*('Step 2.2 - Data Input (Revenue)'!G9)*(1-'Step 2.4 - Data Input (OpEx)'!G18)^0</f>
        <v>0</v>
      </c>
      <c r="I100" s="12">
        <f>'Step 2.4 - Data Input (OpEx)'!G90*'Step 2.4 - Data Input (OpEx)'!G8*('Step 2.2 - Data Input (Revenue)'!G10)*(1-'Step 2.4 - Data Input (OpEx)'!G18)^1</f>
        <v>0</v>
      </c>
      <c r="J100" s="12">
        <f>'Step 2.4 - Data Input (OpEx)'!G90*'Step 2.4 - Data Input (OpEx)'!G8*('Step 2.2 - Data Input (Revenue)'!G11)*(1-'Step 2.4 - Data Input (OpEx)'!G18)^2</f>
        <v>0</v>
      </c>
      <c r="K100" s="12">
        <f>'Step 2.4 - Data Input (OpEx)'!G90*'Step 2.4 - Data Input (OpEx)'!G8*('Step 2.2 - Data Input (Revenue)'!G12)*(1-'Step 2.4 - Data Input (OpEx)'!G18)^3</f>
        <v>0</v>
      </c>
      <c r="L100" s="12">
        <f>'Step 2.4 - Data Input (OpEx)'!G90*'Step 2.4 - Data Input (OpEx)'!G8*('Step 2.2 - Data Input (Revenue)'!G13)*(1-'Step 2.4 - Data Input (OpEx)'!G18)^4</f>
        <v>0</v>
      </c>
      <c r="M100" s="12"/>
    </row>
    <row r="101" spans="1:13" customFormat="1" ht="15.75" customHeight="1" x14ac:dyDescent="0.2">
      <c r="A101" s="33"/>
      <c r="B101" s="33"/>
      <c r="C101" s="10" t="s">
        <v>422</v>
      </c>
      <c r="D101" s="10"/>
      <c r="E101" s="11" t="s">
        <v>5</v>
      </c>
      <c r="F101" s="12">
        <f t="shared" si="19"/>
        <v>0</v>
      </c>
      <c r="G101" s="12"/>
      <c r="H101" s="12">
        <f>('Step 2.4 - Data Input (OpEx)'!G91+'Step 2.4 - Data Input (OpEx)'!G92)*'Step 2.2 - Data Input (Revenue)'!G9*(1+'Step 2.4 - Data Input (OpEx)'!G14)^0</f>
        <v>0</v>
      </c>
      <c r="I101" s="12">
        <f>('Step 2.4 - Data Input (OpEx)'!G91+'Step 2.4 - Data Input (OpEx)'!G92)*'Step 2.2 - Data Input (Revenue)'!G10*(1+'Step 2.4 - Data Input (OpEx)'!G14)^1</f>
        <v>0</v>
      </c>
      <c r="J101" s="12">
        <f>('Step 2.4 - Data Input (OpEx)'!G91+'Step 2.4 - Data Input (OpEx)'!G92)*'Step 2.2 - Data Input (Revenue)'!G11*(1+'Step 2.4 - Data Input (OpEx)'!G14)^2</f>
        <v>0</v>
      </c>
      <c r="K101" s="12">
        <f>('Step 2.4 - Data Input (OpEx)'!G91+'Step 2.4 - Data Input (OpEx)'!G92)*'Step 2.2 - Data Input (Revenue)'!G12*(1+'Step 2.4 - Data Input (OpEx)'!G14)^3</f>
        <v>0</v>
      </c>
      <c r="L101" s="12">
        <f>('Step 2.4 - Data Input (OpEx)'!G91+'Step 2.4 - Data Input (OpEx)'!G92)*'Step 2.2 - Data Input (Revenue)'!G13*(1+'Step 2.4 - Data Input (OpEx)'!G14)^4</f>
        <v>0</v>
      </c>
      <c r="M101" s="12"/>
    </row>
    <row r="102" spans="1:13" customFormat="1" ht="7.5" customHeight="1" x14ac:dyDescent="0.2">
      <c r="A102" s="62"/>
      <c r="B102" s="62"/>
      <c r="C102" s="61"/>
      <c r="D102" s="61"/>
      <c r="E102" s="63"/>
      <c r="F102" s="61"/>
      <c r="G102" s="61"/>
      <c r="H102" s="61"/>
      <c r="I102" s="61"/>
      <c r="J102" s="61"/>
      <c r="K102" s="61"/>
      <c r="L102" s="61"/>
      <c r="M102" s="61"/>
    </row>
    <row r="103" spans="1:13" customFormat="1" ht="15.75" customHeight="1" x14ac:dyDescent="0.2">
      <c r="A103" s="96"/>
      <c r="B103" s="96" t="s">
        <v>144</v>
      </c>
      <c r="C103" s="95"/>
      <c r="D103" s="95"/>
      <c r="E103" s="97" t="s">
        <v>5</v>
      </c>
      <c r="F103" s="98">
        <f>SUM(G103:L103)</f>
        <v>0</v>
      </c>
      <c r="G103" s="99"/>
      <c r="H103" s="99">
        <f>SUM(H104:H105)+'Step 2.4 - Data Input (OpEx)'!G99</f>
        <v>0</v>
      </c>
      <c r="I103" s="99">
        <f>SUM(I104:I105)+'Step 2.4 - Data Input (OpEx)'!G99</f>
        <v>0</v>
      </c>
      <c r="J103" s="99">
        <f>SUM(J104:J105)+'Step 2.4 - Data Input (OpEx)'!G99</f>
        <v>0</v>
      </c>
      <c r="K103" s="99">
        <f>SUM(K104:K105)+'Step 2.4 - Data Input (OpEx)'!G99</f>
        <v>0</v>
      </c>
      <c r="L103" s="99">
        <f>SUM(L104:L105)+'Step 2.4 - Data Input (OpEx)'!G99</f>
        <v>0</v>
      </c>
      <c r="M103" s="99"/>
    </row>
    <row r="104" spans="1:13" customFormat="1" ht="15.75" customHeight="1" x14ac:dyDescent="0.2">
      <c r="A104" s="33"/>
      <c r="B104" s="33"/>
      <c r="C104" s="10" t="s">
        <v>158</v>
      </c>
      <c r="D104" s="10"/>
      <c r="E104" s="11" t="s">
        <v>5</v>
      </c>
      <c r="F104" s="12">
        <f t="shared" ref="F104:F106" si="20">SUM(G104:L104)</f>
        <v>0</v>
      </c>
      <c r="G104" s="12"/>
      <c r="H104" s="12">
        <f>'Step 2.4 - Data Input (OpEx)'!G96*'Step 2.4 - Data Input (OpEx)'!G6*('Step 2.2 - Data Input (Revenue)'!G9)*(1-'Step 2.4 - Data Input (OpEx)'!G17)^0</f>
        <v>0</v>
      </c>
      <c r="I104" s="12">
        <f>'Step 2.4 - Data Input (OpEx)'!G96*'Step 2.4 - Data Input (OpEx)'!G6*('Step 2.2 - Data Input (Revenue)'!G10)*(1-'Step 2.4 - Data Input (OpEx)'!G17)^1</f>
        <v>0</v>
      </c>
      <c r="J104" s="12">
        <f>'Step 2.4 - Data Input (OpEx)'!G96*'Step 2.4 - Data Input (OpEx)'!G6*('Step 2.2 - Data Input (Revenue)'!G11)*(1-'Step 2.4 - Data Input (OpEx)'!G17)^2</f>
        <v>0</v>
      </c>
      <c r="K104" s="12">
        <f>'Step 2.4 - Data Input (OpEx)'!G96*'Step 2.4 - Data Input (OpEx)'!G6*('Step 2.2 - Data Input (Revenue)'!G12)*(1-'Step 2.4 - Data Input (OpEx)'!G17)^3</f>
        <v>0</v>
      </c>
      <c r="L104" s="12">
        <f>'Step 2.4 - Data Input (OpEx)'!G96*'Step 2.4 - Data Input (OpEx)'!G6*('Step 2.2 - Data Input (Revenue)'!G13)*(1-'Step 2.4 - Data Input (OpEx)'!G17)^4</f>
        <v>0</v>
      </c>
      <c r="M104" s="12"/>
    </row>
    <row r="105" spans="1:13" customFormat="1" ht="15.75" customHeight="1" x14ac:dyDescent="0.2">
      <c r="A105" s="33"/>
      <c r="B105" s="33"/>
      <c r="C105" s="10" t="s">
        <v>159</v>
      </c>
      <c r="D105" s="10"/>
      <c r="E105" s="11" t="s">
        <v>5</v>
      </c>
      <c r="F105" s="12">
        <f t="shared" si="20"/>
        <v>0</v>
      </c>
      <c r="G105" s="12"/>
      <c r="H105" s="12">
        <f>'Step 2.4 - Data Input (OpEx)'!G97*'Step 2.4 - Data Input (OpEx)'!G8*('Step 2.2 - Data Input (Revenue)'!G9)*(1-'Step 2.4 - Data Input (OpEx)'!G18)^0</f>
        <v>0</v>
      </c>
      <c r="I105" s="12">
        <f>'Step 2.4 - Data Input (OpEx)'!G97*'Step 2.4 - Data Input (OpEx)'!G8*('Step 2.2 - Data Input (Revenue)'!G10)*(1-'Step 2.4 - Data Input (OpEx)'!G18)^1</f>
        <v>0</v>
      </c>
      <c r="J105" s="12">
        <f>'Step 2.4 - Data Input (OpEx)'!G97*'Step 2.4 - Data Input (OpEx)'!G8*('Step 2.2 - Data Input (Revenue)'!G11)*(1-'Step 2.4 - Data Input (OpEx)'!G18)^2</f>
        <v>0</v>
      </c>
      <c r="K105" s="12">
        <f>'Step 2.4 - Data Input (OpEx)'!G97*'Step 2.4 - Data Input (OpEx)'!G8*('Step 2.2 - Data Input (Revenue)'!G12)*(1-'Step 2.4 - Data Input (OpEx)'!G18)^3</f>
        <v>0</v>
      </c>
      <c r="L105" s="12">
        <f>'Step 2.4 - Data Input (OpEx)'!G97*'Step 2.4 - Data Input (OpEx)'!G8*('Step 2.2 - Data Input (Revenue)'!G13)*(1-'Step 2.4 - Data Input (OpEx)'!G18)^4</f>
        <v>0</v>
      </c>
      <c r="M105" s="12"/>
    </row>
    <row r="106" spans="1:13" customFormat="1" ht="15.75" customHeight="1" x14ac:dyDescent="0.2">
      <c r="A106" s="33"/>
      <c r="B106" s="33"/>
      <c r="C106" s="10" t="s">
        <v>540</v>
      </c>
      <c r="D106" s="10"/>
      <c r="E106" s="11" t="s">
        <v>5</v>
      </c>
      <c r="F106" s="12">
        <f t="shared" si="20"/>
        <v>0</v>
      </c>
      <c r="G106" s="12"/>
      <c r="H106" s="12">
        <f>'Step 2.4 - Data Input (OpEx)'!G98*'Step 2.2 - Data Input (Revenue)'!G9</f>
        <v>0</v>
      </c>
      <c r="I106" s="12">
        <f>'Step 2.4 - Data Input (OpEx)'!G98*'Step 2.2 - Data Input (Revenue)'!G10</f>
        <v>0</v>
      </c>
      <c r="J106" s="12">
        <f>'Step 2.4 - Data Input (OpEx)'!G98*'Step 2.2 - Data Input (Revenue)'!G11</f>
        <v>0</v>
      </c>
      <c r="K106" s="12">
        <f>'Step 2.4 - Data Input (OpEx)'!G98*'Step 2.2 - Data Input (Revenue)'!G12</f>
        <v>0</v>
      </c>
      <c r="L106" s="12">
        <f>'Step 2.4 - Data Input (OpEx)'!G98*'Step 2.2 - Data Input (Revenue)'!G13</f>
        <v>0</v>
      </c>
      <c r="M106" s="12"/>
    </row>
    <row r="107" spans="1:13" customFormat="1" ht="7.5" customHeight="1" x14ac:dyDescent="0.2">
      <c r="A107" s="62"/>
      <c r="B107" s="62"/>
      <c r="C107" s="61"/>
      <c r="D107" s="61"/>
      <c r="E107" s="63"/>
      <c r="F107" s="61"/>
      <c r="G107" s="61"/>
      <c r="H107" s="61"/>
      <c r="I107" s="61"/>
      <c r="J107" s="61"/>
      <c r="K107" s="61"/>
      <c r="L107" s="61"/>
      <c r="M107" s="61"/>
    </row>
    <row r="108" spans="1:13" customFormat="1" ht="15" customHeight="1" x14ac:dyDescent="0.2">
      <c r="A108" s="96"/>
      <c r="B108" s="96" t="s">
        <v>13</v>
      </c>
      <c r="C108" s="95"/>
      <c r="D108" s="95"/>
      <c r="E108" s="97" t="s">
        <v>5</v>
      </c>
      <c r="F108" s="98">
        <f>SUM(G108:L108)</f>
        <v>0</v>
      </c>
      <c r="G108" s="99"/>
      <c r="H108" s="99">
        <f>IF('Step 1 - Case Selection'!V51="as a Flat Rate",H109+'Step 2.4 - Data Input (OpEx)'!G108,SUM(H110:H113)+'Step 2.4 - Data Input (OpEx)'!G108)</f>
        <v>0</v>
      </c>
      <c r="I108" s="99">
        <f>IF('Step 1 - Case Selection'!V51="as a Flat Rate",I109+'Step 2.4 - Data Input (OpEx)'!G108,SUM(I110:I113)+'Step 2.4 - Data Input (OpEx)'!G108)</f>
        <v>0</v>
      </c>
      <c r="J108" s="99">
        <f>IF('Step 1 - Case Selection'!V51="as a Flat Rate",J109+'Step 2.4 - Data Input (OpEx)'!G108,SUM(J110:J113)+'Step 2.4 - Data Input (OpEx)'!G108)</f>
        <v>0</v>
      </c>
      <c r="K108" s="99">
        <f>IF('Step 1 - Case Selection'!V51="as a Flat Rate",K109+'Step 2.4 - Data Input (OpEx)'!G108,SUM(K110:K113)+'Step 2.4 - Data Input (OpEx)'!G108)</f>
        <v>0</v>
      </c>
      <c r="L108" s="99">
        <f>IF('Step 1 - Case Selection'!V51="as a Flat Rate",L109+'Step 2.4 - Data Input (OpEx)'!G108,SUM(L110:L113)+'Step 2.4 - Data Input (OpEx)'!G108)</f>
        <v>0</v>
      </c>
      <c r="M108" s="99"/>
    </row>
    <row r="109" spans="1:13" customFormat="1" ht="15.75" customHeight="1" x14ac:dyDescent="0.2">
      <c r="A109" s="34"/>
      <c r="B109" s="34"/>
      <c r="C109" s="13" t="s">
        <v>428</v>
      </c>
      <c r="D109" s="13"/>
      <c r="E109" s="24" t="s">
        <v>5</v>
      </c>
      <c r="F109" s="12">
        <f t="shared" ref="F109:F113" si="21">SUM(G109:L109)</f>
        <v>0</v>
      </c>
      <c r="G109" s="14"/>
      <c r="H109" s="14">
        <f>'Step 2.4 - Data Input (OpEx)'!G102*('Step 2.2 - Data Input (Revenue)'!G9+'Step 2.2 - Data Input (Revenue)'!G18)</f>
        <v>0</v>
      </c>
      <c r="I109" s="14">
        <f>'Step 2.4 - Data Input (OpEx)'!G102*('Step 2.2 - Data Input (Revenue)'!G10+'Step 2.2 - Data Input (Revenue)'!G19)</f>
        <v>0</v>
      </c>
      <c r="J109" s="14">
        <f>'Step 2.4 - Data Input (OpEx)'!G102*('Step 2.2 - Data Input (Revenue)'!G11+'Step 2.2 - Data Input (Revenue)'!G20)</f>
        <v>0</v>
      </c>
      <c r="K109" s="14">
        <f>'Step 2.4 - Data Input (OpEx)'!G102*('Step 2.2 - Data Input (Revenue)'!G12+'Step 2.2 - Data Input (Revenue)'!G21)</f>
        <v>0</v>
      </c>
      <c r="L109" s="14">
        <f>'Step 2.4 - Data Input (OpEx)'!G102*('Step 2.2 - Data Input (Revenue)'!G13+'Step 2.2 - Data Input (Revenue)'!G22)</f>
        <v>0</v>
      </c>
      <c r="M109" s="14"/>
    </row>
    <row r="110" spans="1:13" customFormat="1" ht="15.75" customHeight="1" x14ac:dyDescent="0.2">
      <c r="A110" s="34"/>
      <c r="B110" s="34"/>
      <c r="C110" s="13" t="s">
        <v>411</v>
      </c>
      <c r="D110" s="13"/>
      <c r="E110" s="24" t="s">
        <v>5</v>
      </c>
      <c r="F110" s="12">
        <f t="shared" si="21"/>
        <v>0</v>
      </c>
      <c r="G110" s="14"/>
      <c r="H110" s="14">
        <f>IF(FL_Type=1,'Step 2.4 - Data Input (OpEx)'!G103*'Step 2.4 - Data Input (OpEx)'!G105*('Step 2.2 - Data Input (Revenue)'!G9+'Step 2.2 - Data Input (Revenue)'!G18)*(1-'Step 2.4 - Data Input (OpEx)'!G20)^0,0)</f>
        <v>0</v>
      </c>
      <c r="I110" s="14">
        <f>IF(FL_Type=1, 'Step 2.4 - Data Input (OpEx)'!G103*'Step 2.4 - Data Input (OpEx)'!G105*('Step 2.2 - Data Input (Revenue)'!G10+'Step 2.2 - Data Input (Revenue)'!G19)*(1-'Step 2.4 - Data Input (OpEx)'!G20)^1,0)</f>
        <v>0</v>
      </c>
      <c r="J110" s="14">
        <f>IF(FL_Type=1, 'Step 2.4 - Data Input (OpEx)'!G103*'Step 2.4 - Data Input (OpEx)'!G105*('Step 2.2 - Data Input (Revenue)'!G11+'Step 2.2 - Data Input (Revenue)'!G20)*(1-'Step 2.4 - Data Input (OpEx)'!G20)^2,0)</f>
        <v>0</v>
      </c>
      <c r="K110" s="14">
        <f>IF(FL_Type=1, 'Step 2.4 - Data Input (OpEx)'!G103*'Step 2.4 - Data Input (OpEx)'!G105*('Step 2.2 - Data Input (Revenue)'!G12+'Step 2.2 - Data Input (Revenue)'!G21)*(1-'Step 2.4 - Data Input (OpEx)'!G20)^3,0)</f>
        <v>0</v>
      </c>
      <c r="L110" s="14">
        <f>IF(FL_Type=1, 'Step 2.4 - Data Input (OpEx)'!G103*'Step 2.4 - Data Input (OpEx)'!G105*('Step 2.2 - Data Input (Revenue)'!G13+'Step 2.2 - Data Input (Revenue)'!G22)*(1-'Step 2.4 - Data Input (OpEx)'!G20)^4,0)</f>
        <v>0</v>
      </c>
      <c r="M110" s="14"/>
    </row>
    <row r="111" spans="1:13" customFormat="1" ht="15.75" customHeight="1" x14ac:dyDescent="0.2">
      <c r="A111" s="34"/>
      <c r="B111" s="34"/>
      <c r="C111" s="13" t="s">
        <v>412</v>
      </c>
      <c r="D111" s="13"/>
      <c r="E111" s="24" t="s">
        <v>5</v>
      </c>
      <c r="F111" s="12">
        <f t="shared" si="21"/>
        <v>0</v>
      </c>
      <c r="G111" s="14"/>
      <c r="H111" s="14">
        <f>IF(FL_Type=2,'Step 2.4 - Data Input (OpEx)'!G107*('Step 2.2 - Data Input (Revenue)'!G9+'Step 2.2 - Data Input (Revenue)'!G18),0)</f>
        <v>0</v>
      </c>
      <c r="I111" s="14">
        <f>IF(FL_Type=2,'Step 2.4 - Data Input (OpEx)'!G107*('Step 2.2 - Data Input (Revenue)'!G10+'Step 2.2 - Data Input (Revenue)'!G19),0)</f>
        <v>0</v>
      </c>
      <c r="J111" s="14">
        <f>IF(FL_Type=2,'Step 2.4 - Data Input (OpEx)'!G107*('Step 2.2 - Data Input (Revenue)'!G11+'Step 2.2 - Data Input (Revenue)'!G20),0)</f>
        <v>0</v>
      </c>
      <c r="K111" s="14">
        <f>IF(FL_Type=2,'Step 2.4 - Data Input (OpEx)'!G107*('Step 2.2 - Data Input (Revenue)'!G12+'Step 2.2 - Data Input (Revenue)'!G21),0)</f>
        <v>0</v>
      </c>
      <c r="L111" s="14">
        <f>IF(FL_Type=2,'Step 2.4 - Data Input (OpEx)'!G107*('Step 2.2 - Data Input (Revenue)'!G13+'Step 2.2 - Data Input (Revenue)'!G22),0)</f>
        <v>0</v>
      </c>
      <c r="M111" s="14"/>
    </row>
    <row r="112" spans="1:13" customFormat="1" ht="15.75" customHeight="1" x14ac:dyDescent="0.2">
      <c r="A112" s="34"/>
      <c r="B112" s="34"/>
      <c r="C112" s="13" t="s">
        <v>171</v>
      </c>
      <c r="D112" s="13"/>
      <c r="E112" s="24" t="s">
        <v>5</v>
      </c>
      <c r="F112" s="12">
        <f t="shared" si="21"/>
        <v>0</v>
      </c>
      <c r="G112" s="14"/>
      <c r="H112" s="14">
        <f>IF(FL_Type=3, 'Step 2.4 - Data Input (OpEx)'!G103*'Step 2.4 - Data Input (OpEx)'!G105*'Step 2.2 - Data Input (Revenue)'!G9*'Step 2.4 - Data Input (OpEx)'!G104*(1-'Step 2.4 - Data Input (OpEx)'!G20)^0,0)</f>
        <v>0</v>
      </c>
      <c r="I112" s="14">
        <f>IF(FL_Type=3, 'Step 2.4 - Data Input (OpEx)'!G103*'Step 2.4 - Data Input (OpEx)'!G105*'Step 2.2 - Data Input (Revenue)'!G10*'Step 2.4 - Data Input (OpEx)'!G104*(1-'Step 2.4 - Data Input (OpEx)'!G20)^1,0)</f>
        <v>0</v>
      </c>
      <c r="J112" s="14">
        <f>IF(FL_Type=3, 'Step 2.4 - Data Input (OpEx)'!G103*'Step 2.4 - Data Input (OpEx)'!G105*'Step 2.2 - Data Input (Revenue)'!G11*'Step 2.4 - Data Input (OpEx)'!G104*(1-'Step 2.4 - Data Input (OpEx)'!G20)^2,0)</f>
        <v>0</v>
      </c>
      <c r="K112" s="14">
        <f>IF(FL_Type=3, 'Step 2.4 - Data Input (OpEx)'!G103*'Step 2.4 - Data Input (OpEx)'!G105*'Step 2.2 - Data Input (Revenue)'!G12*'Step 2.4 - Data Input (OpEx)'!G104*(1-'Step 2.4 - Data Input (OpEx)'!G20)^3,0)</f>
        <v>0</v>
      </c>
      <c r="L112" s="14">
        <f>IF(FL_Type=3, 'Step 2.4 - Data Input (OpEx)'!G103*'Step 2.4 - Data Input (OpEx)'!G105*'Step 2.2 - Data Input (Revenue)'!G13*'Step 2.4 - Data Input (OpEx)'!G104*(1-'Step 2.4 - Data Input (OpEx)'!G20)^4,0)</f>
        <v>0</v>
      </c>
      <c r="M112" s="14"/>
    </row>
    <row r="113" spans="1:14" customFormat="1" ht="15.75" customHeight="1" x14ac:dyDescent="0.2">
      <c r="A113" s="34"/>
      <c r="B113" s="34"/>
      <c r="C113" s="13" t="s">
        <v>421</v>
      </c>
      <c r="D113" s="13"/>
      <c r="E113" s="24" t="s">
        <v>5</v>
      </c>
      <c r="F113" s="12">
        <f t="shared" si="21"/>
        <v>0</v>
      </c>
      <c r="G113" s="14"/>
      <c r="H113" s="14">
        <f>'Step 2.4 - Data Input (OpEx)'!G106*('Step 2.2 - Data Input (Revenue)'!G9+'Step 2.2 - Data Input (Revenue)'!G18)</f>
        <v>0</v>
      </c>
      <c r="I113" s="14">
        <f>'Step 2.4 - Data Input (OpEx)'!G106*('Step 2.2 - Data Input (Revenue)'!G10+'Step 2.2 - Data Input (Revenue)'!G19)</f>
        <v>0</v>
      </c>
      <c r="J113" s="14">
        <f>'Step 2.4 - Data Input (OpEx)'!G106*('Step 2.2 - Data Input (Revenue)'!G11+'Step 2.2 - Data Input (Revenue)'!G20)</f>
        <v>0</v>
      </c>
      <c r="K113" s="14">
        <f>'Step 2.4 - Data Input (OpEx)'!G106*('Step 2.2 - Data Input (Revenue)'!G12+'Step 2.2 - Data Input (Revenue)'!G21)</f>
        <v>0</v>
      </c>
      <c r="L113" s="14">
        <f>'Step 2.4 - Data Input (OpEx)'!G106*('Step 2.2 - Data Input (Revenue)'!G13+'Step 2.2 - Data Input (Revenue)'!G22)</f>
        <v>0</v>
      </c>
      <c r="M113" s="14"/>
    </row>
    <row r="114" spans="1:14" ht="15" hidden="1" customHeight="1" x14ac:dyDescent="0.2">
      <c r="N114"/>
    </row>
    <row r="115" spans="1:14" s="110" customFormat="1" ht="18" x14ac:dyDescent="0.2">
      <c r="A115" s="105" t="s">
        <v>33</v>
      </c>
      <c r="B115" s="106"/>
      <c r="C115" s="107"/>
      <c r="D115" s="107"/>
      <c r="E115" s="108" t="s">
        <v>5</v>
      </c>
      <c r="F115" s="109">
        <f>SUM(G115:L115)</f>
        <v>0</v>
      </c>
      <c r="G115" s="109"/>
      <c r="H115" s="109">
        <f>SUM(H117)</f>
        <v>0</v>
      </c>
      <c r="I115" s="109">
        <f>SUM(I117)</f>
        <v>0</v>
      </c>
      <c r="J115" s="109">
        <f>SUM(J117)</f>
        <v>0</v>
      </c>
      <c r="K115" s="109">
        <f t="shared" ref="K115:L115" si="22">SUM(K117)</f>
        <v>0</v>
      </c>
      <c r="L115" s="109">
        <f t="shared" si="22"/>
        <v>0</v>
      </c>
      <c r="M115" s="109"/>
      <c r="N115"/>
    </row>
    <row r="116" spans="1:14" s="64" customFormat="1" ht="7.5" customHeight="1" x14ac:dyDescent="0.2">
      <c r="A116" s="61"/>
      <c r="B116" s="62"/>
      <c r="C116" s="61"/>
      <c r="D116" s="61"/>
      <c r="E116" s="63"/>
      <c r="F116" s="61"/>
      <c r="G116" s="61"/>
      <c r="H116" s="61"/>
      <c r="I116" s="61"/>
      <c r="J116" s="61"/>
      <c r="K116" s="61"/>
      <c r="L116" s="61"/>
      <c r="M116" s="61"/>
      <c r="N116"/>
    </row>
    <row r="117" spans="1:14" s="115" customFormat="1" ht="15.75" customHeight="1" x14ac:dyDescent="0.2">
      <c r="A117" s="111"/>
      <c r="B117" s="112" t="s">
        <v>4</v>
      </c>
      <c r="C117" s="111"/>
      <c r="D117" s="111"/>
      <c r="E117" s="113" t="s">
        <v>5</v>
      </c>
      <c r="F117" s="114">
        <f>SUM(H117:L117)</f>
        <v>0</v>
      </c>
      <c r="G117" s="114"/>
      <c r="H117" s="114">
        <f t="shared" ref="H117:L117" si="23">SUM(H118:H119)</f>
        <v>0</v>
      </c>
      <c r="I117" s="114">
        <f t="shared" si="23"/>
        <v>0</v>
      </c>
      <c r="J117" s="114">
        <f t="shared" si="23"/>
        <v>0</v>
      </c>
      <c r="K117" s="114">
        <f t="shared" si="23"/>
        <v>0</v>
      </c>
      <c r="L117" s="114">
        <f t="shared" si="23"/>
        <v>0</v>
      </c>
      <c r="M117" s="114"/>
      <c r="N117"/>
    </row>
    <row r="118" spans="1:14" s="115" customFormat="1" ht="15.75" customHeight="1" x14ac:dyDescent="0.2">
      <c r="A118" s="111"/>
      <c r="B118" s="112"/>
      <c r="C118" s="111" t="s">
        <v>34</v>
      </c>
      <c r="D118" s="111"/>
      <c r="E118" s="113" t="s">
        <v>5</v>
      </c>
      <c r="F118" s="114">
        <f t="shared" ref="F118:F119" si="24">SUM(H118:L118)</f>
        <v>0</v>
      </c>
      <c r="G118" s="114"/>
      <c r="H118" s="114">
        <f>IFERROR('Step 2.1 - Data Input (General)'!G16/'Step 2.1 - Data Input (General)'!G17,0)</f>
        <v>0</v>
      </c>
      <c r="I118" s="114">
        <f>IF('Step 2.1 - Data Input (General)'!G17&gt;1, 'Step 2.1 - Data Input (General)'!G16/'Step 2.1 - Data Input (General)'!G17, 0)</f>
        <v>0</v>
      </c>
      <c r="J118" s="114">
        <f>IF('Step 2.1 - Data Input (General)'!G17&gt;2, 'Step 2.1 - Data Input (General)'!G16/'Step 2.1 - Data Input (General)'!G17, 0)</f>
        <v>0</v>
      </c>
      <c r="K118" s="114">
        <f>IF('Step 2.1 - Data Input (General)'!G17&gt;3, 'Step 2.1 - Data Input (General)'!G16/'Step 2.1 - Data Input (General)'!G17, 0)</f>
        <v>0</v>
      </c>
      <c r="L118" s="114">
        <f>IF('Step 2.1 - Data Input (General)'!G17&gt;4, 'Step 2.1 - Data Input (General)'!G16/'Step 2.1 - Data Input (General)'!G17, 0)</f>
        <v>0</v>
      </c>
      <c r="M118" s="114"/>
      <c r="N118"/>
    </row>
    <row r="119" spans="1:14" s="115" customFormat="1" ht="15.75" customHeight="1" x14ac:dyDescent="0.2">
      <c r="A119" s="111"/>
      <c r="B119" s="112"/>
      <c r="C119" s="111" t="s">
        <v>35</v>
      </c>
      <c r="D119" s="111"/>
      <c r="E119" s="113" t="s">
        <v>5</v>
      </c>
      <c r="F119" s="114">
        <f t="shared" si="24"/>
        <v>0</v>
      </c>
      <c r="G119" s="114"/>
      <c r="H119" s="114">
        <f>'Step 2.1 - Data Input (General)'!G18</f>
        <v>0</v>
      </c>
      <c r="I119" s="114">
        <f>IF('Step 2.1 - Data Input (General)'!G17&gt;1, 'Step 2.1 - Data Input (General)'!G18, 0)</f>
        <v>0</v>
      </c>
      <c r="J119" s="114">
        <f>IF('Step 2.1 - Data Input (General)'!G17&gt;2, 'Step 2.1 - Data Input (General)'!G18, 0)</f>
        <v>0</v>
      </c>
      <c r="K119" s="114">
        <f>IF('Step 2.1 - Data Input (General)'!G17&gt;3, 'Step 2.1 - Data Input (General)'!G18, 0)</f>
        <v>0</v>
      </c>
      <c r="L119" s="114">
        <f>IF('Step 2.1 - Data Input (General)'!G17&gt;4, 'Step 2.1 - Data Input (General)'!G18, 0)</f>
        <v>0</v>
      </c>
      <c r="M119" s="114"/>
      <c r="N119"/>
    </row>
    <row r="120" spans="1:14" s="68" customFormat="1" ht="7" customHeight="1" x14ac:dyDescent="0.15">
      <c r="A120" s="65"/>
      <c r="B120" s="66"/>
      <c r="C120" s="65"/>
      <c r="D120" s="65"/>
      <c r="E120" s="67"/>
      <c r="F120" s="65"/>
      <c r="G120" s="65"/>
      <c r="H120" s="65"/>
      <c r="I120" s="65"/>
      <c r="J120" s="65"/>
      <c r="K120" s="65"/>
      <c r="L120" s="65"/>
      <c r="M120" s="65"/>
      <c r="N120" s="65"/>
    </row>
    <row r="121" spans="1:14" s="1" customFormat="1" ht="7.5" customHeight="1" x14ac:dyDescent="0.15">
      <c r="A121" s="2"/>
      <c r="B121" s="29"/>
      <c r="C121" s="2"/>
      <c r="D121" s="2"/>
      <c r="E121" s="9"/>
      <c r="F121" s="2"/>
      <c r="G121" s="2"/>
      <c r="H121" s="2"/>
      <c r="I121" s="2"/>
      <c r="J121" s="2"/>
      <c r="K121" s="2"/>
      <c r="L121" s="2"/>
      <c r="M121" s="2"/>
      <c r="N121" s="2"/>
    </row>
    <row r="122" spans="1:14" s="68" customFormat="1" ht="7" customHeight="1" collapsed="1" x14ac:dyDescent="0.15">
      <c r="A122" s="65"/>
      <c r="B122" s="66"/>
      <c r="C122" s="65"/>
      <c r="D122" s="65"/>
      <c r="E122" s="67"/>
      <c r="F122" s="65"/>
      <c r="G122" s="65"/>
      <c r="H122" s="65"/>
      <c r="I122" s="65"/>
      <c r="J122" s="65"/>
      <c r="K122" s="65"/>
      <c r="L122" s="65"/>
      <c r="M122" s="65"/>
      <c r="N122" s="65"/>
    </row>
    <row r="123" spans="1:14" s="1" customFormat="1" ht="7.5" customHeight="1" x14ac:dyDescent="0.15">
      <c r="A123" s="2"/>
      <c r="B123" s="29"/>
      <c r="C123" s="2"/>
      <c r="D123" s="2"/>
      <c r="E123" s="9"/>
      <c r="F123" s="2"/>
      <c r="G123" s="2"/>
      <c r="H123" s="2"/>
      <c r="I123" s="2"/>
      <c r="J123" s="2"/>
      <c r="K123" s="2"/>
      <c r="L123" s="2"/>
      <c r="M123" s="2"/>
      <c r="N123" s="2"/>
    </row>
    <row r="124" spans="1:14" s="68" customFormat="1" ht="7" customHeight="1" collapsed="1" x14ac:dyDescent="0.15">
      <c r="A124" s="65"/>
      <c r="B124" s="66"/>
      <c r="C124" s="65"/>
      <c r="D124" s="65"/>
      <c r="E124" s="67"/>
      <c r="F124" s="65"/>
      <c r="G124" s="65"/>
      <c r="H124" s="65"/>
      <c r="I124" s="65"/>
      <c r="J124" s="65"/>
      <c r="K124" s="65"/>
      <c r="L124" s="65"/>
      <c r="M124" s="65"/>
      <c r="N124" s="65"/>
    </row>
    <row r="125" spans="1:14" s="119" customFormat="1" ht="30.75" customHeight="1" x14ac:dyDescent="0.15">
      <c r="A125" s="491" t="s">
        <v>572</v>
      </c>
      <c r="B125" s="492"/>
      <c r="C125" s="116"/>
      <c r="D125" s="116"/>
      <c r="E125" s="118"/>
      <c r="F125" s="116"/>
      <c r="G125" s="116"/>
      <c r="H125" s="116"/>
      <c r="I125" s="116"/>
      <c r="J125" s="116"/>
      <c r="K125" s="116"/>
      <c r="L125" s="116"/>
      <c r="M125" s="290"/>
      <c r="N125" s="290"/>
    </row>
    <row r="126" spans="1:14" s="64" customFormat="1" ht="7.5" customHeight="1" x14ac:dyDescent="0.15">
      <c r="A126" s="61"/>
      <c r="B126" s="62"/>
      <c r="C126" s="61"/>
      <c r="D126" s="61"/>
      <c r="E126" s="63"/>
      <c r="F126" s="61"/>
      <c r="G126" s="61"/>
      <c r="H126" s="61"/>
      <c r="I126" s="61"/>
      <c r="J126" s="61"/>
      <c r="K126" s="61"/>
      <c r="L126" s="61"/>
      <c r="M126" s="61"/>
      <c r="N126" s="61"/>
    </row>
    <row r="127" spans="1:14" s="124" customFormat="1" ht="15.75" customHeight="1" x14ac:dyDescent="0.2">
      <c r="A127" s="120"/>
      <c r="B127" s="294" t="s">
        <v>339</v>
      </c>
      <c r="C127" s="120"/>
      <c r="D127" s="120"/>
      <c r="E127" s="122"/>
      <c r="F127" s="123"/>
      <c r="G127" s="120"/>
      <c r="H127" s="120"/>
      <c r="I127" s="120"/>
      <c r="J127" s="120"/>
      <c r="K127" s="120"/>
      <c r="L127" s="120"/>
      <c r="M127" s="291"/>
      <c r="N127" s="291"/>
    </row>
    <row r="128" spans="1:14" s="132" customFormat="1" ht="15.75" customHeight="1" x14ac:dyDescent="0.2">
      <c r="A128" s="128"/>
      <c r="B128" s="295"/>
      <c r="C128" s="128" t="s">
        <v>516</v>
      </c>
      <c r="D128" s="128"/>
      <c r="E128" s="130" t="s">
        <v>5</v>
      </c>
      <c r="F128" s="128"/>
      <c r="G128" s="131">
        <f>IF('Step 1 - Case Selection'!V55="No",0,G129-G130)</f>
        <v>0</v>
      </c>
      <c r="H128" s="131">
        <f>IF('Step 1 - Case Selection'!V59&lt;1,0,H129-H130)</f>
        <v>0</v>
      </c>
      <c r="I128" s="131">
        <f>IF('Step 1 - Case Selection'!V59&lt;2,0,I129-I130)</f>
        <v>0</v>
      </c>
      <c r="J128" s="131">
        <f>IF('Step 1 - Case Selection'!V59&lt;3,0,J129-J130)</f>
        <v>0</v>
      </c>
      <c r="K128" s="131">
        <f>IF('Step 1 - Case Selection'!V59&lt;4,0,K129-K130)</f>
        <v>0</v>
      </c>
      <c r="L128" s="131">
        <f>IF('Step 1 - Case Selection'!V59&lt;5,0,L129-L130)</f>
        <v>0</v>
      </c>
      <c r="M128" s="292"/>
      <c r="N128" s="292"/>
    </row>
    <row r="129" spans="1:14" s="132" customFormat="1" ht="15.75" customHeight="1" x14ac:dyDescent="0.2">
      <c r="A129" s="127"/>
      <c r="B129" s="295"/>
      <c r="C129" s="128"/>
      <c r="D129" s="25" t="s">
        <v>506</v>
      </c>
      <c r="E129" s="27" t="s">
        <v>5</v>
      </c>
      <c r="F129" s="28"/>
      <c r="G129" s="28">
        <f t="shared" ref="G129:L129" si="25">G2</f>
        <v>0</v>
      </c>
      <c r="H129" s="28">
        <f t="shared" si="25"/>
        <v>0</v>
      </c>
      <c r="I129" s="28">
        <f t="shared" si="25"/>
        <v>0</v>
      </c>
      <c r="J129" s="28">
        <f t="shared" si="25"/>
        <v>0</v>
      </c>
      <c r="K129" s="28">
        <f t="shared" si="25"/>
        <v>0</v>
      </c>
      <c r="L129" s="28">
        <f t="shared" si="25"/>
        <v>0</v>
      </c>
      <c r="M129" s="292"/>
      <c r="N129" s="292"/>
    </row>
    <row r="130" spans="1:14" s="132" customFormat="1" ht="15.75" customHeight="1" x14ac:dyDescent="0.2">
      <c r="A130" s="292"/>
      <c r="B130" s="292"/>
      <c r="C130" s="128"/>
      <c r="D130" s="25" t="s">
        <v>505</v>
      </c>
      <c r="E130" s="27" t="s">
        <v>5</v>
      </c>
      <c r="F130" s="28"/>
      <c r="G130" s="28">
        <f t="shared" ref="G130:L130" si="26">G17+G30+G115+G143</f>
        <v>0</v>
      </c>
      <c r="H130" s="28">
        <f t="shared" si="26"/>
        <v>0</v>
      </c>
      <c r="I130" s="28">
        <f t="shared" si="26"/>
        <v>0</v>
      </c>
      <c r="J130" s="28">
        <f t="shared" si="26"/>
        <v>0</v>
      </c>
      <c r="K130" s="28">
        <f t="shared" si="26"/>
        <v>0</v>
      </c>
      <c r="L130" s="28">
        <f t="shared" si="26"/>
        <v>0</v>
      </c>
      <c r="M130" s="292"/>
      <c r="N130" s="292"/>
    </row>
    <row r="131" spans="1:14" s="132" customFormat="1" ht="15.75" customHeight="1" x14ac:dyDescent="0.2">
      <c r="A131" s="292"/>
      <c r="B131" s="295"/>
      <c r="C131" s="128" t="s">
        <v>517</v>
      </c>
      <c r="D131" s="128"/>
      <c r="E131" s="130" t="s">
        <v>5</v>
      </c>
      <c r="F131" s="128"/>
      <c r="G131" s="131">
        <f>IF('Step 1 - Case Selection'!V55="No",0,G128-G141)</f>
        <v>0</v>
      </c>
      <c r="H131" s="131">
        <f>IF('Step 1 - Case Selection'!V59&lt;1,0,H128-H141)</f>
        <v>0</v>
      </c>
      <c r="I131" s="131">
        <f>IF('Step 1 - Case Selection'!V59&lt;2,0,I128-I141)</f>
        <v>0</v>
      </c>
      <c r="J131" s="131">
        <f>IF('Step 1 - Case Selection'!V59&lt;3,0,J128-J141)</f>
        <v>0</v>
      </c>
      <c r="K131" s="131">
        <f>IF('Step 1 - Case Selection'!V59&lt;4,0,K128-K141)</f>
        <v>0</v>
      </c>
      <c r="L131" s="131">
        <f>IF('Step 1 - Case Selection'!V59&lt;5,0,L128-L141)</f>
        <v>0</v>
      </c>
      <c r="M131" s="292"/>
      <c r="N131" s="292"/>
    </row>
    <row r="132" spans="1:14" s="64" customFormat="1" ht="7.5" customHeight="1" x14ac:dyDescent="0.15">
      <c r="A132" s="61"/>
      <c r="B132" s="296"/>
      <c r="C132" s="61"/>
      <c r="D132" s="61"/>
      <c r="E132" s="63"/>
      <c r="F132" s="61"/>
      <c r="G132" s="61"/>
      <c r="H132" s="61"/>
      <c r="I132" s="61"/>
      <c r="J132" s="61"/>
      <c r="K132" s="61"/>
      <c r="L132" s="61"/>
      <c r="M132" s="61"/>
      <c r="N132" s="61"/>
    </row>
    <row r="133" spans="1:14" s="124" customFormat="1" ht="15.75" customHeight="1" x14ac:dyDescent="0.2">
      <c r="A133" s="291"/>
      <c r="B133" s="294" t="s">
        <v>340</v>
      </c>
      <c r="C133" s="120"/>
      <c r="D133" s="120"/>
      <c r="E133" s="122"/>
      <c r="F133" s="123"/>
      <c r="G133" s="120"/>
      <c r="H133" s="120"/>
      <c r="I133" s="120"/>
      <c r="J133" s="120"/>
      <c r="K133" s="120"/>
      <c r="L133" s="120"/>
      <c r="M133" s="291"/>
      <c r="N133" s="291"/>
    </row>
    <row r="134" spans="1:14" s="132" customFormat="1" ht="15.75" customHeight="1" x14ac:dyDescent="0.2">
      <c r="A134" s="292"/>
      <c r="B134" s="295"/>
      <c r="C134" s="128" t="s">
        <v>514</v>
      </c>
      <c r="D134" s="128"/>
      <c r="E134" s="130" t="s">
        <v>5</v>
      </c>
      <c r="F134" s="131"/>
      <c r="G134" s="131">
        <f>IF('Step 1 - Case Selection'!V55="No",0,G135-G137)</f>
        <v>0</v>
      </c>
      <c r="H134" s="131">
        <f>IF('Step 1 - Case Selection'!V59&lt;1,0,H135-H137)</f>
        <v>0</v>
      </c>
      <c r="I134" s="131">
        <f>IF('Step 1 - Case Selection'!V59&lt;2,0,I135-I137)</f>
        <v>0</v>
      </c>
      <c r="J134" s="131">
        <f>IF('Step 1 - Case Selection'!V59&lt;3,0,J135-J137)</f>
        <v>0</v>
      </c>
      <c r="K134" s="131">
        <f>IF('Step 1 - Case Selection'!V59&lt;4,0,K135-K137)</f>
        <v>0</v>
      </c>
      <c r="L134" s="131">
        <f>IF('Step 1 - Case Selection'!V59&lt;5,0,L135-L137)</f>
        <v>0</v>
      </c>
      <c r="M134" s="292"/>
      <c r="N134" s="292"/>
    </row>
    <row r="135" spans="1:14" s="132" customFormat="1" ht="15.75" customHeight="1" x14ac:dyDescent="0.2">
      <c r="A135" s="292"/>
      <c r="B135" s="295"/>
      <c r="C135" s="128"/>
      <c r="D135" s="25" t="s">
        <v>3</v>
      </c>
      <c r="E135" s="27" t="s">
        <v>5</v>
      </c>
      <c r="F135" s="28"/>
      <c r="G135" s="28">
        <f t="shared" ref="G135:L135" si="27">G4</f>
        <v>0</v>
      </c>
      <c r="H135" s="28">
        <f t="shared" si="27"/>
        <v>0</v>
      </c>
      <c r="I135" s="28">
        <f t="shared" si="27"/>
        <v>0</v>
      </c>
      <c r="J135" s="28">
        <f t="shared" si="27"/>
        <v>0</v>
      </c>
      <c r="K135" s="28">
        <f t="shared" si="27"/>
        <v>0</v>
      </c>
      <c r="L135" s="28">
        <f t="shared" si="27"/>
        <v>0</v>
      </c>
      <c r="M135" s="292"/>
      <c r="N135" s="292"/>
    </row>
    <row r="136" spans="1:14" s="132" customFormat="1" ht="15.75" customHeight="1" x14ac:dyDescent="0.2">
      <c r="A136" s="292"/>
      <c r="B136" s="292"/>
      <c r="C136" s="128"/>
      <c r="D136" s="25" t="s">
        <v>504</v>
      </c>
      <c r="E136" s="27" t="s">
        <v>5</v>
      </c>
      <c r="F136" s="28"/>
      <c r="G136" s="28">
        <f t="shared" ref="G136:L136" si="28">G17+G30+G119+G143</f>
        <v>0</v>
      </c>
      <c r="H136" s="28">
        <f t="shared" si="28"/>
        <v>0</v>
      </c>
      <c r="I136" s="28">
        <f t="shared" si="28"/>
        <v>0</v>
      </c>
      <c r="J136" s="28">
        <f t="shared" si="28"/>
        <v>0</v>
      </c>
      <c r="K136" s="28">
        <f t="shared" si="28"/>
        <v>0</v>
      </c>
      <c r="L136" s="28">
        <f t="shared" si="28"/>
        <v>0</v>
      </c>
      <c r="M136" s="292"/>
      <c r="N136" s="292"/>
    </row>
    <row r="137" spans="1:14" s="132" customFormat="1" ht="15.75" customHeight="1" x14ac:dyDescent="0.2">
      <c r="A137" s="292"/>
      <c r="B137" s="295"/>
      <c r="C137" s="128"/>
      <c r="D137" s="25" t="s">
        <v>503</v>
      </c>
      <c r="E137" s="27" t="s">
        <v>5</v>
      </c>
      <c r="F137" s="28"/>
      <c r="G137" s="28">
        <f t="shared" ref="G137:L137" si="29">G136-G15</f>
        <v>0</v>
      </c>
      <c r="H137" s="28">
        <f t="shared" si="29"/>
        <v>0</v>
      </c>
      <c r="I137" s="28">
        <f t="shared" si="29"/>
        <v>0</v>
      </c>
      <c r="J137" s="28">
        <f t="shared" si="29"/>
        <v>0</v>
      </c>
      <c r="K137" s="28">
        <f t="shared" si="29"/>
        <v>0</v>
      </c>
      <c r="L137" s="28">
        <f t="shared" si="29"/>
        <v>0</v>
      </c>
      <c r="M137" s="292"/>
      <c r="N137" s="292"/>
    </row>
    <row r="138" spans="1:14" s="132" customFormat="1" ht="15.75" customHeight="1" x14ac:dyDescent="0.2">
      <c r="A138" s="292"/>
      <c r="B138" s="295"/>
      <c r="C138" s="128" t="s">
        <v>515</v>
      </c>
      <c r="D138" s="128"/>
      <c r="E138" s="130" t="s">
        <v>5</v>
      </c>
      <c r="F138" s="128"/>
      <c r="G138" s="131">
        <f>IF('Step 1 - Case Selection'!V55="No",0,G134)</f>
        <v>0</v>
      </c>
      <c r="H138" s="131">
        <f>IF('Step 1 - Case Selection'!V59&lt;1,0,H134-H141)</f>
        <v>0</v>
      </c>
      <c r="I138" s="131">
        <f>IF('Step 1 - Case Selection'!V59&lt;2,0,I134-I141)</f>
        <v>0</v>
      </c>
      <c r="J138" s="131">
        <f>IF('Step 1 - Case Selection'!V59&lt;3,0,J134-J141)</f>
        <v>0</v>
      </c>
      <c r="K138" s="131">
        <f>IF('Step 1 - Case Selection'!V59&lt;4,0,K134-K141)</f>
        <v>0</v>
      </c>
      <c r="L138" s="131">
        <f>IF('Step 1 - Case Selection'!V59&lt;5,0,L134-L141)</f>
        <v>0</v>
      </c>
      <c r="M138" s="292"/>
      <c r="N138" s="292"/>
    </row>
    <row r="139" spans="1:14" s="132" customFormat="1" ht="15.75" customHeight="1" x14ac:dyDescent="0.2">
      <c r="A139" s="292"/>
      <c r="B139" s="295"/>
      <c r="C139" s="128"/>
      <c r="D139" s="25" t="s">
        <v>342</v>
      </c>
      <c r="E139" s="27"/>
      <c r="F139" s="25"/>
      <c r="G139" s="28">
        <f>G135-G137</f>
        <v>0</v>
      </c>
      <c r="H139" s="28">
        <f t="shared" ref="H139:L139" si="30">H135-H137</f>
        <v>0</v>
      </c>
      <c r="I139" s="28">
        <f t="shared" si="30"/>
        <v>0</v>
      </c>
      <c r="J139" s="28">
        <f t="shared" si="30"/>
        <v>0</v>
      </c>
      <c r="K139" s="28">
        <f t="shared" si="30"/>
        <v>0</v>
      </c>
      <c r="L139" s="28">
        <f t="shared" si="30"/>
        <v>0</v>
      </c>
      <c r="M139" s="292"/>
      <c r="N139" s="292"/>
    </row>
    <row r="140" spans="1:14" s="132" customFormat="1" ht="15.75" customHeight="1" x14ac:dyDescent="0.2">
      <c r="A140" s="292"/>
      <c r="B140" s="295"/>
      <c r="C140" s="128"/>
      <c r="D140" s="25" t="s">
        <v>36</v>
      </c>
      <c r="E140" s="27" t="s">
        <v>5</v>
      </c>
      <c r="F140" s="25"/>
      <c r="G140" s="28"/>
      <c r="H140" s="28">
        <f>IF('Step 1 - Case Selection'!V59&lt;1,0,'Step 2.1 - Data Input (General)'!G9)</f>
        <v>0</v>
      </c>
      <c r="I140" s="28">
        <f>IF('Step 1 - Case Selection'!V59&lt;2,0,'Step 2.1 - Data Input (General)'!G9)</f>
        <v>0</v>
      </c>
      <c r="J140" s="28">
        <f>IF('Step 1 - Case Selection'!V59&lt;3,0,'Step 2.1 - Data Input (General)'!G9)</f>
        <v>0</v>
      </c>
      <c r="K140" s="28">
        <f>IF('Step 1 - Case Selection'!V59&lt;4,0,'Step 2.1 - Data Input (General)'!G9)</f>
        <v>0</v>
      </c>
      <c r="L140" s="28">
        <f>IF('Step 1 - Case Selection'!V59&lt;5,0,'Step 2.1 - Data Input (General)'!G9)</f>
        <v>0</v>
      </c>
      <c r="M140" s="292"/>
      <c r="N140" s="292"/>
    </row>
    <row r="141" spans="1:14" s="132" customFormat="1" ht="15.75" customHeight="1" x14ac:dyDescent="0.2">
      <c r="A141" s="292"/>
      <c r="B141" s="295"/>
      <c r="C141" s="128"/>
      <c r="D141" s="25" t="s">
        <v>37</v>
      </c>
      <c r="E141" s="27" t="s">
        <v>5</v>
      </c>
      <c r="F141" s="25"/>
      <c r="G141" s="28"/>
      <c r="H141" s="28">
        <f>IF((H139-H140)&gt;=0,(H139-H140)*'Step 2.1 - Data Input (General)'!G6,0)</f>
        <v>0</v>
      </c>
      <c r="I141" s="28">
        <f>IF((I139-I140)&gt;=0,(I139-I140)*'Step 2.1 - Data Input (General)'!G6,0)</f>
        <v>0</v>
      </c>
      <c r="J141" s="28">
        <f>IF((J139-J140)&gt;=0,(J139-J140)*'Step 2.1 - Data Input (General)'!G6,0)</f>
        <v>0</v>
      </c>
      <c r="K141" s="28">
        <f>IF((K139-K140)&gt;=0,(K139-K140)*'Step 2.1 - Data Input (General)'!G6,0)</f>
        <v>0</v>
      </c>
      <c r="L141" s="28">
        <f>IF((L139-L140)&gt;=0,(L139-L140)*'Step 2.1 - Data Input (General)'!G6,0)</f>
        <v>0</v>
      </c>
      <c r="M141" s="292"/>
      <c r="N141" s="292"/>
    </row>
    <row r="142" spans="1:14" s="124" customFormat="1" ht="15.75" customHeight="1" x14ac:dyDescent="0.2">
      <c r="A142" s="291"/>
      <c r="B142" s="294" t="s">
        <v>341</v>
      </c>
      <c r="C142" s="120"/>
      <c r="D142" s="120"/>
      <c r="E142" s="122"/>
      <c r="F142" s="123"/>
      <c r="G142" s="120"/>
      <c r="H142" s="120"/>
      <c r="I142" s="120"/>
      <c r="J142" s="120"/>
      <c r="K142" s="120"/>
      <c r="L142" s="120"/>
      <c r="M142" s="291"/>
      <c r="N142" s="291"/>
    </row>
    <row r="143" spans="1:14" s="132" customFormat="1" ht="15.75" customHeight="1" x14ac:dyDescent="0.2">
      <c r="A143" s="292"/>
      <c r="B143" s="295"/>
      <c r="C143" s="128"/>
      <c r="D143" s="25" t="s">
        <v>174</v>
      </c>
      <c r="E143" s="27" t="s">
        <v>5</v>
      </c>
      <c r="F143" s="25"/>
      <c r="G143" s="28"/>
      <c r="H143" s="28">
        <f>'Step 2.2 - Data Input (Revenue)'!G18*'Step 2.4 - Data Input (OpEx)'!G10*(1+'Step 2.4 - Data Input (OpEx)'!G14)^0</f>
        <v>0</v>
      </c>
      <c r="I143" s="28">
        <f>'Step 2.2 - Data Input (Revenue)'!G19*'Step 2.4 - Data Input (OpEx)'!G10*(1+'Step 2.4 - Data Input (OpEx)'!G14)^1</f>
        <v>0</v>
      </c>
      <c r="J143" s="28">
        <f>'Step 2.2 - Data Input (Revenue)'!G20*'Step 2.4 - Data Input (OpEx)'!G10*(1+'Step 2.4 - Data Input (OpEx)'!G14)^2</f>
        <v>0</v>
      </c>
      <c r="K143" s="28">
        <f>'Step 2.2 - Data Input (Revenue)'!G21*'Step 2.4 - Data Input (OpEx)'!G10*(1+'Step 2.4 - Data Input (OpEx)'!G14)^3</f>
        <v>0</v>
      </c>
      <c r="L143" s="28">
        <f>'Step 2.2 - Data Input (Revenue)'!G22*'Step 2.4 - Data Input (OpEx)'!G10*(1+'Step 2.4 - Data Input (OpEx)'!G14)^4</f>
        <v>0</v>
      </c>
      <c r="M143" s="292"/>
      <c r="N143" s="292"/>
    </row>
    <row r="144" spans="1:14" s="64" customFormat="1" ht="7.5" customHeight="1" x14ac:dyDescent="0.15">
      <c r="A144" s="61"/>
      <c r="B144" s="296"/>
      <c r="C144" s="61"/>
      <c r="D144" s="61"/>
      <c r="E144" s="63"/>
      <c r="F144" s="61"/>
      <c r="G144" s="61"/>
      <c r="H144" s="61"/>
      <c r="I144" s="61"/>
      <c r="J144" s="61"/>
      <c r="K144" s="61"/>
      <c r="L144" s="61"/>
      <c r="M144" s="61"/>
      <c r="N144" s="61"/>
    </row>
    <row r="145" spans="1:14" s="124" customFormat="1" ht="15.75" customHeight="1" x14ac:dyDescent="0.2">
      <c r="A145" s="291"/>
      <c r="B145" s="294" t="s">
        <v>337</v>
      </c>
      <c r="C145" s="120"/>
      <c r="D145" s="120"/>
      <c r="E145" s="122"/>
      <c r="F145" s="125"/>
      <c r="G145" s="120"/>
      <c r="H145" s="126"/>
      <c r="I145" s="126"/>
      <c r="J145" s="126"/>
      <c r="K145" s="126"/>
      <c r="L145" s="126"/>
      <c r="M145" s="291"/>
      <c r="N145" s="291"/>
    </row>
    <row r="146" spans="1:14" s="132" customFormat="1" ht="15.75" customHeight="1" x14ac:dyDescent="0.2">
      <c r="A146" s="292"/>
      <c r="B146" s="295"/>
      <c r="C146" s="128" t="s">
        <v>346</v>
      </c>
      <c r="D146" s="128"/>
      <c r="E146" s="130" t="s">
        <v>5</v>
      </c>
      <c r="F146" s="284">
        <f>SUM(G149:L149)</f>
        <v>0</v>
      </c>
      <c r="G146" s="128"/>
      <c r="H146" s="285"/>
      <c r="I146" s="285"/>
      <c r="J146" s="285"/>
      <c r="K146" s="285"/>
      <c r="L146" s="285"/>
      <c r="M146" s="292"/>
      <c r="N146" s="292"/>
    </row>
    <row r="147" spans="1:14" s="132" customFormat="1" ht="15.75" customHeight="1" x14ac:dyDescent="0.2">
      <c r="A147" s="292"/>
      <c r="B147" s="295"/>
      <c r="C147" s="133" t="s">
        <v>343</v>
      </c>
      <c r="D147" s="128"/>
      <c r="E147" s="130" t="s">
        <v>11</v>
      </c>
      <c r="F147" s="134" t="e">
        <f>IF(ROUND(IRR(G134:L134),5) =0, "&lt;= 0%", ROUND(IRR(G134:L134),5))</f>
        <v>#NUM!</v>
      </c>
      <c r="G147" s="135"/>
      <c r="H147" s="128"/>
      <c r="I147" s="128"/>
      <c r="J147" s="128"/>
      <c r="K147" s="128"/>
      <c r="L147" s="128"/>
      <c r="M147" s="292"/>
      <c r="N147" s="292"/>
    </row>
    <row r="148" spans="1:14" s="132" customFormat="1" ht="15.75" customHeight="1" x14ac:dyDescent="0.2">
      <c r="A148" s="292"/>
      <c r="B148" s="295"/>
      <c r="C148" s="133" t="s">
        <v>344</v>
      </c>
      <c r="D148" s="128"/>
      <c r="E148" s="130" t="s">
        <v>11</v>
      </c>
      <c r="F148" s="134" t="e">
        <f>F147-'Step 2.1 - Data Input (General)'!G7</f>
        <v>#NUM!</v>
      </c>
      <c r="G148" s="135"/>
      <c r="H148" s="128"/>
      <c r="I148" s="128"/>
      <c r="J148" s="128"/>
      <c r="K148" s="128"/>
      <c r="L148" s="128"/>
      <c r="M148" s="292"/>
      <c r="N148" s="292"/>
    </row>
    <row r="149" spans="1:14" s="137" customFormat="1" ht="15.75" customHeight="1" x14ac:dyDescent="0.2">
      <c r="A149" s="292"/>
      <c r="B149" s="295"/>
      <c r="C149" s="128"/>
      <c r="D149" s="25" t="s">
        <v>530</v>
      </c>
      <c r="E149" s="27" t="s">
        <v>5</v>
      </c>
      <c r="F149" s="36"/>
      <c r="G149" s="49">
        <f>G134/(1+'Step 2.1 - Data Input (General)'!G7)^0</f>
        <v>0</v>
      </c>
      <c r="H149" s="49">
        <f>H134/(1+'Step 2.1 - Data Input (General)'!G7)^1</f>
        <v>0</v>
      </c>
      <c r="I149" s="49">
        <f>I134/(1+'Step 2.1 - Data Input (General)'!G7)^2</f>
        <v>0</v>
      </c>
      <c r="J149" s="49">
        <f>J134/(1+'Step 2.1 - Data Input (General)'!G7)^3</f>
        <v>0</v>
      </c>
      <c r="K149" s="49">
        <f>K134/(1+'Step 2.1 - Data Input (General)'!G7)^4</f>
        <v>0</v>
      </c>
      <c r="L149" s="49">
        <f>L134/(1+'Step 2.1 - Data Input (General)'!G7)^5</f>
        <v>0</v>
      </c>
      <c r="M149" s="293"/>
      <c r="N149" s="293"/>
    </row>
    <row r="150" spans="1:14" s="137" customFormat="1" ht="15.75" customHeight="1" x14ac:dyDescent="0.2">
      <c r="A150" s="292"/>
      <c r="B150" s="295"/>
      <c r="C150" s="128"/>
      <c r="D150" s="25" t="s">
        <v>221</v>
      </c>
      <c r="E150" s="39" t="s">
        <v>38</v>
      </c>
      <c r="F150" s="40"/>
      <c r="G150" s="37" t="s">
        <v>198</v>
      </c>
      <c r="H150" s="38" t="s">
        <v>193</v>
      </c>
      <c r="I150" s="38" t="s">
        <v>194</v>
      </c>
      <c r="J150" s="38" t="s">
        <v>195</v>
      </c>
      <c r="K150" s="38" t="s">
        <v>196</v>
      </c>
      <c r="L150" s="38" t="s">
        <v>197</v>
      </c>
      <c r="M150" s="293"/>
      <c r="N150" s="293"/>
    </row>
    <row r="151" spans="1:14" s="132" customFormat="1" ht="15.75" customHeight="1" x14ac:dyDescent="0.2">
      <c r="A151" s="292"/>
      <c r="B151" s="297"/>
      <c r="C151" s="127" t="s">
        <v>345</v>
      </c>
      <c r="D151" s="127"/>
      <c r="E151" s="136" t="s">
        <v>188</v>
      </c>
      <c r="F151" s="127" t="str" cm="1">
        <f t="array" ref="F151">IFERROR(ROUND(_xlfn.IFS(L152&lt;0, "no-break-even-point",K152&lt;0,4+ABS(K152)/L149,J152&lt;0, 3+ABS(J152)/K149,I152&lt;0, 2+ABS(I152)/J149,H152&lt;0, 1+ABS(H152)/I149,G152&lt;0,0+ABS(G152)/H149),3), "no-break-even-point")</f>
        <v>no-break-even-point</v>
      </c>
      <c r="G151" s="127"/>
      <c r="H151" s="127"/>
      <c r="I151" s="127"/>
      <c r="J151" s="127"/>
      <c r="K151" s="127"/>
      <c r="L151" s="127"/>
      <c r="M151" s="292"/>
      <c r="N151" s="292"/>
    </row>
    <row r="152" spans="1:14" s="132" customFormat="1" ht="15.75" customHeight="1" x14ac:dyDescent="0.2">
      <c r="A152" s="292"/>
      <c r="B152" s="295"/>
      <c r="C152" s="128"/>
      <c r="D152" s="25" t="s">
        <v>529</v>
      </c>
      <c r="E152" s="27" t="s">
        <v>5</v>
      </c>
      <c r="F152" s="36"/>
      <c r="G152" s="49">
        <f>G149</f>
        <v>0</v>
      </c>
      <c r="H152" s="49">
        <f>G152+H149</f>
        <v>0</v>
      </c>
      <c r="I152" s="49">
        <f>H152+I149</f>
        <v>0</v>
      </c>
      <c r="J152" s="49">
        <f>I152+J149</f>
        <v>0</v>
      </c>
      <c r="K152" s="49">
        <f>J152+K149</f>
        <v>0</v>
      </c>
      <c r="L152" s="49">
        <f>K152+L149</f>
        <v>0</v>
      </c>
      <c r="M152" s="292"/>
      <c r="N152" s="292"/>
    </row>
    <row r="153" spans="1:14" s="64" customFormat="1" ht="7.5" customHeight="1" x14ac:dyDescent="0.15">
      <c r="A153" s="61"/>
      <c r="B153" s="296"/>
      <c r="C153" s="61"/>
      <c r="D153" s="61"/>
      <c r="E153" s="63"/>
      <c r="F153" s="61"/>
      <c r="G153" s="61"/>
      <c r="H153" s="61"/>
      <c r="I153" s="61"/>
      <c r="J153" s="61"/>
      <c r="K153" s="61"/>
      <c r="L153" s="61"/>
      <c r="M153" s="61"/>
      <c r="N153" s="61"/>
    </row>
    <row r="154" spans="1:14" s="124" customFormat="1" ht="15.75" customHeight="1" x14ac:dyDescent="0.2">
      <c r="A154" s="291"/>
      <c r="B154" s="294" t="s">
        <v>338</v>
      </c>
      <c r="C154" s="120"/>
      <c r="D154" s="120"/>
      <c r="E154" s="122"/>
      <c r="F154" s="125"/>
      <c r="G154" s="120"/>
      <c r="H154" s="126"/>
      <c r="I154" s="126"/>
      <c r="J154" s="126"/>
      <c r="K154" s="126"/>
      <c r="L154" s="126"/>
      <c r="M154" s="291"/>
      <c r="N154" s="291"/>
    </row>
    <row r="155" spans="1:14" s="132" customFormat="1" ht="15.75" customHeight="1" x14ac:dyDescent="0.2">
      <c r="A155" s="292"/>
      <c r="B155" s="295"/>
      <c r="C155" s="128" t="s">
        <v>347</v>
      </c>
      <c r="D155" s="128"/>
      <c r="E155" s="130" t="s">
        <v>5</v>
      </c>
      <c r="F155" s="284">
        <f>SUM(G158:L158)</f>
        <v>0</v>
      </c>
      <c r="G155" s="128"/>
      <c r="H155" s="285"/>
      <c r="I155" s="285"/>
      <c r="J155" s="285"/>
      <c r="K155" s="285"/>
      <c r="L155" s="285"/>
      <c r="M155" s="292"/>
      <c r="N155" s="292"/>
    </row>
    <row r="156" spans="1:14" s="132" customFormat="1" ht="15.75" customHeight="1" x14ac:dyDescent="0.2">
      <c r="A156" s="292"/>
      <c r="B156" s="295"/>
      <c r="C156" s="133" t="s">
        <v>348</v>
      </c>
      <c r="D156" s="128"/>
      <c r="E156" s="130" t="s">
        <v>11</v>
      </c>
      <c r="F156" s="134" t="e">
        <f>IF(ROUND(IRR(G138:L138),5) =0, "&lt;= 0%", ROUND(IRR(G138:L138),5))</f>
        <v>#NUM!</v>
      </c>
      <c r="G156" s="135"/>
      <c r="H156" s="128"/>
      <c r="I156" s="128"/>
      <c r="J156" s="128"/>
      <c r="K156" s="128"/>
      <c r="L156" s="128"/>
      <c r="M156" s="292"/>
      <c r="N156" s="292"/>
    </row>
    <row r="157" spans="1:14" s="132" customFormat="1" ht="15.75" customHeight="1" x14ac:dyDescent="0.2">
      <c r="A157" s="292"/>
      <c r="B157" s="295"/>
      <c r="C157" s="133" t="s">
        <v>349</v>
      </c>
      <c r="D157" s="128"/>
      <c r="E157" s="130" t="s">
        <v>11</v>
      </c>
      <c r="F157" s="134" t="e">
        <f>F156-'Step 2.1 - Data Input (General)'!G7</f>
        <v>#NUM!</v>
      </c>
      <c r="G157" s="135"/>
      <c r="H157" s="128"/>
      <c r="I157" s="128"/>
      <c r="J157" s="128"/>
      <c r="K157" s="128"/>
      <c r="L157" s="128"/>
      <c r="M157" s="292"/>
      <c r="N157" s="292"/>
    </row>
    <row r="158" spans="1:14" s="132" customFormat="1" ht="15.75" customHeight="1" x14ac:dyDescent="0.2">
      <c r="A158" s="292"/>
      <c r="B158" s="295"/>
      <c r="C158" s="128"/>
      <c r="D158" s="25" t="s">
        <v>507</v>
      </c>
      <c r="E158" s="27" t="s">
        <v>5</v>
      </c>
      <c r="F158" s="25"/>
      <c r="G158" s="49">
        <f>G138/(1+'Step 2.1 - Data Input (General)'!G7)^0</f>
        <v>0</v>
      </c>
      <c r="H158" s="49">
        <f>H138/(1+'Step 2.1 - Data Input (General)'!G7)^1</f>
        <v>0</v>
      </c>
      <c r="I158" s="49">
        <f>I138/(1+'Step 2.1 - Data Input (General)'!G7)^2</f>
        <v>0</v>
      </c>
      <c r="J158" s="49">
        <f>J138/(1+'Step 2.1 - Data Input (General)'!G7)^3</f>
        <v>0</v>
      </c>
      <c r="K158" s="49">
        <f>K138/(1+'Step 2.1 - Data Input (General)'!G7)^4</f>
        <v>0</v>
      </c>
      <c r="L158" s="49">
        <f>L138/(1+'Step 2.1 - Data Input (General)'!G7)^5</f>
        <v>0</v>
      </c>
      <c r="M158" s="292"/>
      <c r="N158" s="292"/>
    </row>
    <row r="159" spans="1:14" s="132" customFormat="1" ht="15.75" customHeight="1" x14ac:dyDescent="0.2">
      <c r="A159" s="292"/>
      <c r="B159" s="295"/>
      <c r="C159" s="128"/>
      <c r="D159" s="25" t="s">
        <v>221</v>
      </c>
      <c r="E159" s="39" t="s">
        <v>38</v>
      </c>
      <c r="F159" s="40"/>
      <c r="G159" s="37"/>
      <c r="H159" s="38" t="s">
        <v>193</v>
      </c>
      <c r="I159" s="38" t="s">
        <v>194</v>
      </c>
      <c r="J159" s="38" t="s">
        <v>195</v>
      </c>
      <c r="K159" s="38" t="s">
        <v>196</v>
      </c>
      <c r="L159" s="38" t="s">
        <v>197</v>
      </c>
      <c r="M159" s="292"/>
      <c r="N159" s="292"/>
    </row>
    <row r="160" spans="1:14" s="132" customFormat="1" ht="15.75" customHeight="1" x14ac:dyDescent="0.2">
      <c r="A160" s="292"/>
      <c r="B160" s="297"/>
      <c r="C160" s="127" t="s">
        <v>350</v>
      </c>
      <c r="D160" s="127"/>
      <c r="E160" s="136" t="s">
        <v>188</v>
      </c>
      <c r="F160" s="127" t="str" cm="1">
        <f t="array" ref="F160">IFERROR(ROUND(_xlfn.IFS(L161&lt;0, "no-break-even-point",K161&lt;0,4+ABS(K161)/L158,J161&lt;0, 3+ABS(J161)/K158,I161&lt;0, 2+ABS(I161)/J158,H161&lt;0, 1+ABS(H161)/I158,G161&lt;0,0+ABS(G161)/H158),3), "no-break-even-point")</f>
        <v>no-break-even-point</v>
      </c>
      <c r="G160" s="127"/>
      <c r="H160" s="127"/>
      <c r="I160" s="127"/>
      <c r="J160" s="127"/>
      <c r="K160" s="127"/>
      <c r="L160" s="127"/>
      <c r="M160" s="292"/>
      <c r="N160" s="292"/>
    </row>
    <row r="161" spans="1:14" s="137" customFormat="1" ht="15.75" customHeight="1" x14ac:dyDescent="0.2">
      <c r="A161" s="292"/>
      <c r="B161" s="295"/>
      <c r="C161" s="128"/>
      <c r="D161" s="25" t="s">
        <v>508</v>
      </c>
      <c r="E161" s="27" t="s">
        <v>5</v>
      </c>
      <c r="F161" s="36"/>
      <c r="G161" s="49">
        <f>G158</f>
        <v>0</v>
      </c>
      <c r="H161" s="49">
        <f>G161+H158</f>
        <v>0</v>
      </c>
      <c r="I161" s="49">
        <f>H161+I158</f>
        <v>0</v>
      </c>
      <c r="J161" s="49">
        <f>I161+J158</f>
        <v>0</v>
      </c>
      <c r="K161" s="49">
        <f>J161+K158</f>
        <v>0</v>
      </c>
      <c r="L161" s="49">
        <f>K161+L158</f>
        <v>0</v>
      </c>
      <c r="M161" s="293"/>
      <c r="N161" s="293"/>
    </row>
    <row r="162" spans="1:14" ht="15" hidden="1" customHeight="1" x14ac:dyDescent="0.15">
      <c r="A162" s="300"/>
      <c r="B162" s="298"/>
    </row>
    <row r="163" spans="1:14" ht="15" customHeight="1" x14ac:dyDescent="0.15"/>
    <row r="164" spans="1:14" ht="15" customHeight="1" x14ac:dyDescent="0.15"/>
    <row r="165" spans="1:14" ht="15" customHeight="1" x14ac:dyDescent="0.15"/>
    <row r="166" spans="1:14" ht="15" customHeight="1" x14ac:dyDescent="0.15"/>
    <row r="167" spans="1:14" ht="15" customHeight="1" x14ac:dyDescent="0.15"/>
    <row r="168" spans="1:14" ht="15" customHeight="1" x14ac:dyDescent="0.15"/>
    <row r="169" spans="1:14" ht="15" customHeight="1" x14ac:dyDescent="0.15"/>
    <row r="170" spans="1:14" ht="15" customHeight="1" x14ac:dyDescent="0.15"/>
    <row r="171" spans="1:14" ht="15" customHeight="1" x14ac:dyDescent="0.15"/>
    <row r="172" spans="1:14" ht="15" customHeight="1" x14ac:dyDescent="0.15"/>
    <row r="173" spans="1:14" ht="15" customHeight="1" x14ac:dyDescent="0.15"/>
    <row r="174" spans="1:14" ht="15" customHeight="1" x14ac:dyDescent="0.15"/>
    <row r="175" spans="1:14" ht="15" customHeight="1" x14ac:dyDescent="0.15"/>
    <row r="176" spans="1:14"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sheetData>
  <sheetProtection sheet="1" objects="1" scenarios="1"/>
  <mergeCells count="1">
    <mergeCell ref="A125:B125"/>
  </mergeCells>
  <pageMargins left="0.7" right="0.7" top="0.78740157499999996" bottom="0.78740157499999996"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9F79-E135-41C3-8FCB-F79C158C6A2A}">
  <sheetPr>
    <tabColor theme="2"/>
  </sheetPr>
  <dimension ref="A1:AH197"/>
  <sheetViews>
    <sheetView zoomScale="70" zoomScaleNormal="70" workbookViewId="0">
      <pane ySplit="1" topLeftCell="A27" activePane="bottomLeft" state="frozen"/>
      <selection activeCell="B1" sqref="B1"/>
      <selection pane="bottomLeft" activeCell="I56" sqref="I56"/>
    </sheetView>
  </sheetViews>
  <sheetFormatPr baseColWidth="10" defaultColWidth="0" defaultRowHeight="15" customHeight="1" zeroHeight="1" x14ac:dyDescent="0.15"/>
  <cols>
    <col min="1" max="1" width="28.5" style="4" bestFit="1" customWidth="1"/>
    <col min="2" max="2" width="51.5" style="35" bestFit="1" customWidth="1"/>
    <col min="3" max="3" width="58.5" style="4" bestFit="1" customWidth="1"/>
    <col min="4" max="4" width="68.6640625" style="4" bestFit="1" customWidth="1"/>
    <col min="5" max="5" width="7.83203125" style="15" bestFit="1" customWidth="1"/>
    <col min="6" max="13" width="20" style="4" customWidth="1"/>
    <col min="14" max="14" width="25.83203125" style="4" bestFit="1" customWidth="1"/>
    <col min="15" max="34" width="10.6640625" style="4" hidden="1" customWidth="1"/>
    <col min="35" max="16384" width="11.5" style="4" hidden="1"/>
  </cols>
  <sheetData>
    <row r="1" spans="1:14" ht="20" x14ac:dyDescent="0.2">
      <c r="A1" s="138" t="s">
        <v>219</v>
      </c>
      <c r="B1" s="138" t="s">
        <v>0</v>
      </c>
      <c r="C1" s="138" t="s">
        <v>18</v>
      </c>
      <c r="D1" s="138" t="s">
        <v>107</v>
      </c>
      <c r="E1" s="139" t="s">
        <v>1</v>
      </c>
      <c r="F1" s="138" t="s">
        <v>20</v>
      </c>
      <c r="G1" s="138" t="s">
        <v>21</v>
      </c>
      <c r="H1" s="138" t="s">
        <v>22</v>
      </c>
      <c r="I1" s="138" t="s">
        <v>23</v>
      </c>
      <c r="J1" s="138" t="s">
        <v>24</v>
      </c>
      <c r="K1" s="138" t="s">
        <v>25</v>
      </c>
      <c r="L1" s="138" t="s">
        <v>26</v>
      </c>
      <c r="M1" s="138" t="s">
        <v>164</v>
      </c>
      <c r="N1" s="138" t="s">
        <v>218</v>
      </c>
    </row>
    <row r="2" spans="1:14" ht="18" x14ac:dyDescent="0.2">
      <c r="A2" s="74" t="s">
        <v>222</v>
      </c>
      <c r="B2" s="75"/>
      <c r="C2" s="76"/>
      <c r="D2" s="76"/>
      <c r="E2" s="78" t="s">
        <v>5</v>
      </c>
      <c r="F2" s="79">
        <f t="shared" ref="F2" si="0">SUM(G2:L2)</f>
        <v>0</v>
      </c>
      <c r="G2" s="79">
        <f t="shared" ref="G2:L2" si="1">SUM(G4,G13)</f>
        <v>0</v>
      </c>
      <c r="H2" s="79">
        <f t="shared" si="1"/>
        <v>0</v>
      </c>
      <c r="I2" s="79">
        <f t="shared" si="1"/>
        <v>0</v>
      </c>
      <c r="J2" s="79">
        <f t="shared" si="1"/>
        <v>0</v>
      </c>
      <c r="K2" s="79">
        <f t="shared" si="1"/>
        <v>0</v>
      </c>
      <c r="L2" s="79">
        <f t="shared" si="1"/>
        <v>0</v>
      </c>
      <c r="M2" s="79"/>
      <c r="N2"/>
    </row>
    <row r="3" spans="1:14" ht="7.5" customHeight="1" x14ac:dyDescent="0.2">
      <c r="A3" s="61"/>
      <c r="B3" s="62"/>
      <c r="C3" s="61"/>
      <c r="D3" s="61"/>
      <c r="E3" s="63"/>
      <c r="F3" s="61"/>
      <c r="G3" s="61"/>
      <c r="H3" s="61"/>
      <c r="I3" s="61"/>
      <c r="J3" s="61"/>
      <c r="K3" s="61"/>
      <c r="L3" s="61"/>
      <c r="M3" s="61"/>
      <c r="N3"/>
    </row>
    <row r="4" spans="1:14" customFormat="1" x14ac:dyDescent="0.2">
      <c r="A4" s="69"/>
      <c r="B4" s="70" t="s">
        <v>3</v>
      </c>
      <c r="C4" s="69"/>
      <c r="D4" s="69"/>
      <c r="E4" s="72" t="s">
        <v>5</v>
      </c>
      <c r="F4" s="73">
        <f>SUM(G4:L4)</f>
        <v>0</v>
      </c>
      <c r="G4" s="73"/>
      <c r="H4" s="73">
        <f>SUM(H5+H9)</f>
        <v>0</v>
      </c>
      <c r="I4" s="73">
        <f t="shared" ref="I4:L4" si="2">SUM(I5+I9)</f>
        <v>0</v>
      </c>
      <c r="J4" s="73">
        <f t="shared" si="2"/>
        <v>0</v>
      </c>
      <c r="K4" s="73">
        <f t="shared" si="2"/>
        <v>0</v>
      </c>
      <c r="L4" s="73">
        <f t="shared" si="2"/>
        <v>0</v>
      </c>
      <c r="M4" s="73"/>
    </row>
    <row r="5" spans="1:14" customFormat="1" x14ac:dyDescent="0.2">
      <c r="A5" s="16"/>
      <c r="B5" s="30"/>
      <c r="C5" s="16" t="s">
        <v>410</v>
      </c>
      <c r="D5" s="16"/>
      <c r="E5" s="18" t="s">
        <v>5</v>
      </c>
      <c r="F5" s="3">
        <f>SUM(G5:L5)</f>
        <v>0</v>
      </c>
      <c r="G5" s="3"/>
      <c r="H5" s="3">
        <f>SUM(H6:H8)</f>
        <v>0</v>
      </c>
      <c r="I5" s="3">
        <f t="shared" ref="I5:L5" si="3">SUM(I6:I8)</f>
        <v>0</v>
      </c>
      <c r="J5" s="3">
        <f t="shared" si="3"/>
        <v>0</v>
      </c>
      <c r="K5" s="3">
        <f t="shared" si="3"/>
        <v>0</v>
      </c>
      <c r="L5" s="3">
        <f t="shared" si="3"/>
        <v>0</v>
      </c>
      <c r="M5" s="3"/>
    </row>
    <row r="6" spans="1:14" customFormat="1" x14ac:dyDescent="0.2">
      <c r="A6" s="16"/>
      <c r="B6" s="30"/>
      <c r="C6" s="16"/>
      <c r="D6" s="5" t="s">
        <v>154</v>
      </c>
      <c r="E6" s="21" t="s">
        <v>5</v>
      </c>
      <c r="F6" s="22">
        <f>SUM(G6:L6)</f>
        <v>0</v>
      </c>
      <c r="G6" s="22"/>
      <c r="H6" s="22">
        <f>'Step 2.2 - Data Input (Revenue)'!H9*'Step 2.2 - Data Input (Revenue)'!H6</f>
        <v>0</v>
      </c>
      <c r="I6" s="22">
        <f>'Step 2.2 - Data Input (Revenue)'!H10*'Step 2.2 - Data Input (Revenue)'!H6</f>
        <v>0</v>
      </c>
      <c r="J6" s="22">
        <f>'Step 2.2 - Data Input (Revenue)'!H11*'Step 2.2 - Data Input (Revenue)'!H6</f>
        <v>0</v>
      </c>
      <c r="K6" s="22">
        <f>'Step 2.2 - Data Input (Revenue)'!H12*'Step 2.2 - Data Input (Revenue)'!H6</f>
        <v>0</v>
      </c>
      <c r="L6" s="22">
        <f>'Step 2.2 - Data Input (Revenue)'!H13*'Step 2.2 - Data Input (Revenue)'!H6</f>
        <v>0</v>
      </c>
      <c r="M6" s="3"/>
    </row>
    <row r="7" spans="1:14" customFormat="1" x14ac:dyDescent="0.2">
      <c r="A7" s="16"/>
      <c r="B7" s="30"/>
      <c r="C7" s="16"/>
      <c r="D7" s="5" t="s">
        <v>390</v>
      </c>
      <c r="E7" s="21" t="s">
        <v>5</v>
      </c>
      <c r="F7" s="22">
        <f t="shared" ref="F7" si="4">SUM(G7:L7)</f>
        <v>0</v>
      </c>
      <c r="G7" s="22"/>
      <c r="H7" s="22">
        <f>'Step 2.2 - Data Input (Revenue)'!H9*'Step 2.2 - Data Input (Revenue)'!H7</f>
        <v>0</v>
      </c>
      <c r="I7" s="22">
        <f>'Step 2.2 - Data Input (Revenue)'!H10*'Step 2.2 - Data Input (Revenue)'!H7</f>
        <v>0</v>
      </c>
      <c r="J7" s="22">
        <f>'Step 2.2 - Data Input (Revenue)'!H11*'Step 2.2 - Data Input (Revenue)'!H7</f>
        <v>0</v>
      </c>
      <c r="K7" s="22">
        <f>'Step 2.2 - Data Input (Revenue)'!H12*'Step 2.2 - Data Input (Revenue)'!H7</f>
        <v>0</v>
      </c>
      <c r="L7" s="22">
        <f>'Step 2.2 - Data Input (Revenue)'!H13*'Step 2.2 - Data Input (Revenue)'!H7</f>
        <v>0</v>
      </c>
      <c r="M7" s="3"/>
    </row>
    <row r="8" spans="1:14" customFormat="1" x14ac:dyDescent="0.2">
      <c r="A8" s="16"/>
      <c r="B8" s="30"/>
      <c r="C8" s="16"/>
      <c r="D8" s="5" t="s">
        <v>389</v>
      </c>
      <c r="E8" s="21" t="s">
        <v>5</v>
      </c>
      <c r="F8" s="22">
        <f>SUM(G8:L8)</f>
        <v>0</v>
      </c>
      <c r="G8" s="22"/>
      <c r="H8" s="22">
        <f>'Step 2.2 - Data Input (Revenue)'!H9*'Step 2.2 - Data Input (Revenue)'!H8</f>
        <v>0</v>
      </c>
      <c r="I8" s="22">
        <f>'Step 2.2 - Data Input (Revenue)'!H10*'Step 2.2 - Data Input (Revenue)'!H8</f>
        <v>0</v>
      </c>
      <c r="J8" s="22">
        <f>'Step 2.2 - Data Input (Revenue)'!H11*'Step 2.2 - Data Input (Revenue)'!H8</f>
        <v>0</v>
      </c>
      <c r="K8" s="22">
        <f>'Step 2.2 - Data Input (Revenue)'!H12*'Step 2.2 - Data Input (Revenue)'!H8</f>
        <v>0</v>
      </c>
      <c r="L8" s="22">
        <f>'Step 2.2 - Data Input (Revenue)'!H13*'Step 2.2 - Data Input (Revenue)'!H8</f>
        <v>0</v>
      </c>
      <c r="M8" s="3"/>
    </row>
    <row r="9" spans="1:14" x14ac:dyDescent="0.2">
      <c r="A9" s="16"/>
      <c r="B9" s="30"/>
      <c r="C9" s="16" t="s">
        <v>108</v>
      </c>
      <c r="D9" s="16"/>
      <c r="E9" s="18" t="s">
        <v>5</v>
      </c>
      <c r="F9" s="3">
        <f>SUM(G9:L9)</f>
        <v>0</v>
      </c>
      <c r="G9" s="3"/>
      <c r="H9" s="3">
        <f>H10*'Step 2.2 - Data Input (Revenue)'!H16</f>
        <v>0</v>
      </c>
      <c r="I9" s="3">
        <f>I10*'Step 2.2 - Data Input (Revenue)'!H16</f>
        <v>0</v>
      </c>
      <c r="J9" s="3">
        <f>J10*'Step 2.2 - Data Input (Revenue)'!H16</f>
        <v>0</v>
      </c>
      <c r="K9" s="3">
        <f>K10*'Step 2.2 - Data Input (Revenue)'!H16</f>
        <v>0</v>
      </c>
      <c r="L9" s="3">
        <f>L10*'Step 2.2 - Data Input (Revenue)'!H16</f>
        <v>0</v>
      </c>
      <c r="M9" s="3"/>
      <c r="N9"/>
    </row>
    <row r="10" spans="1:14" customFormat="1" x14ac:dyDescent="0.2">
      <c r="A10" s="19"/>
      <c r="B10" s="31"/>
      <c r="C10" s="19"/>
      <c r="D10" s="5" t="s">
        <v>109</v>
      </c>
      <c r="E10" s="21" t="s">
        <v>166</v>
      </c>
      <c r="F10" s="5"/>
      <c r="G10" s="5"/>
      <c r="H10" s="5">
        <f>'Step 2.2 - Data Input (Revenue)'!H18</f>
        <v>0</v>
      </c>
      <c r="I10" s="5">
        <f>IF('Step 2.2 - Data Input (Revenue)'!H17&gt;1,'Step 2.2 - Data Input (Revenue)'!H18+'Step 2.2 - Data Input (Revenue)'!H19,'Step 2.2 - Data Input (Revenue)'!H19)</f>
        <v>0</v>
      </c>
      <c r="J10" s="5" cm="1">
        <f t="array" ref="J10">_xlfn.IFS('Step 2.2 - Data Input (Revenue)'!H17&gt;2, 'Step 2.2 - Data Input (Revenue)'!H18+'Step 2.2 - Data Input (Revenue)'!H19+'Step 2.2 - Data Input (Revenue)'!H20,'Step 2.2 - Data Input (Revenue)'!H17&gt;1,'Step 2.2 - Data Input (Revenue)'!H19+'Step 2.2 - Data Input (Revenue)'!H20, 'Step 2.2 - Data Input (Revenue)'!H17&lt;=1, 'Step 2.2 - Data Input (Revenue)'!H20)</f>
        <v>0</v>
      </c>
      <c r="K10" s="5" cm="1">
        <f t="array" ref="K10">_xlfn.IFS('Step 2.2 - Data Input (Revenue)'!H17&gt;3, 'Step 2.2 - Data Input (Revenue)'!H18+'Step 2.2 - Data Input (Revenue)'!H19+'Step 2.2 - Data Input (Revenue)'!H20+ 'Step 2.2 - Data Input (Revenue)'!H21, 'Step 2.2 - Data Input (Revenue)'!H17&gt;2,'Step 2.2 - Data Input (Revenue)'!H19+'Step 2.2 - Data Input (Revenue)'!H20+'Step 2.2 - Data Input (Revenue)'!H21, 'Step 2.2 - Data Input (Revenue)'!H17&gt;1, 'Step 2.2 - Data Input (Revenue)'!H20+'Step 2.2 - Data Input (Revenue)'!H21, 'Step 2.2 - Data Input (Revenue)'!H17&lt;=1, 'Step 2.2 - Data Input (Revenue)'!H21)</f>
        <v>0</v>
      </c>
      <c r="L10" s="5" cm="1">
        <f t="array" ref="L10">_xlfn.IFS('Step 2.2 - Data Input (Revenue)'!H17&gt;4, 'Step 2.2 - Data Input (Revenue)'!H18+'Step 2.2 - Data Input (Revenue)'!H19+'Step 2.2 - Data Input (Revenue)'!H20+ 'Step 2.2 - Data Input (Revenue)'!H21+'Step 2.2 - Data Input (Revenue)'!H22, 'Step 2.2 - Data Input (Revenue)'!H17&gt;3,'Step 2.2 - Data Input (Revenue)'!H19+'Step 2.2 - Data Input (Revenue)'!H20+'Step 2.2 - Data Input (Revenue)'!H21+'Step 2.2 - Data Input (Revenue)'!H22, 'Step 2.2 - Data Input (Revenue)'!H17&gt;2, 'Step 2.2 - Data Input (Revenue)'!H20+'Step 2.2 - Data Input (Revenue)'!H21+'Step 2.2 - Data Input (Revenue)'!H22, 'Step 2.2 - Data Input (Revenue)'!H17&gt;1, 'Step 2.2 - Data Input (Revenue)'!H21+'Step 2.2 - Data Input (Revenue)'!H22,'Step 2.2 - Data Input (Revenue)'!H17&lt;=1, 'Step 2.2 - Data Input (Revenue)'!H22)</f>
        <v>0</v>
      </c>
      <c r="M10" s="5"/>
    </row>
    <row r="11" spans="1:14" customFormat="1" x14ac:dyDescent="0.2">
      <c r="A11" s="19"/>
      <c r="B11" s="31"/>
      <c r="C11" s="19"/>
      <c r="D11" s="5" t="s">
        <v>187</v>
      </c>
      <c r="E11" s="21" t="s">
        <v>5</v>
      </c>
      <c r="F11" s="22">
        <f>SUM(G11:M11)</f>
        <v>0</v>
      </c>
      <c r="G11" s="22"/>
      <c r="H11" s="22"/>
      <c r="I11" s="22"/>
      <c r="J11" s="22"/>
      <c r="K11" s="22"/>
      <c r="L11" s="22"/>
      <c r="M11" s="22" cm="1">
        <f t="array" ref="M11">_xlfn.IFS('Step 2.2 - Data Input (Revenue)'!H17&gt;5, (('Step 2.2 - Data Input (Revenue)'!H17-5)*'Step 2.2 - Data Input (Revenue)'!H18+('Step 2.2 - Data Input (Revenue)'!H17-4)*'Step 2.2 - Data Input (Revenue)'!H19+('Step 2.2 - Data Input (Revenue)'!H17-3)*'Step 2.2 - Data Input (Revenue)'!H20+('Step 2.2 - Data Input (Revenue)'!H17-2)*'Step 2.2 - Data Input (Revenue)'!H21+('Step 2.2 - Data Input (Revenue)'!H17-1)*'Step 2.2 - Data Input (Revenue)'!H22)*Annual_Price_Rental_Contract, 'Step 2.2 - Data Input (Revenue)'!H17&gt;4, (('Step 2.2 - Data Input (Revenue)'!H17-4)*'Step 2.2 - Data Input (Revenue)'!H19+('Step 2.2 - Data Input (Revenue)'!H17-3)*'Step 2.2 - Data Input (Revenue)'!H20+('Step 2.2 - Data Input (Revenue)'!H17-2)*'Step 2.2 - Data Input (Revenue)'!H21+('Step 2.2 - Data Input (Revenue)'!H17-1)*'Step 2.2 - Data Input (Revenue)'!H22)*Annual_Price_Rental_Contract, 'Step 2.2 - Data Input (Revenue)'!H17&gt;3, (('Step 2.2 - Data Input (Revenue)'!H17-3)*'Step 2.2 - Data Input (Revenue)'!H20+('Step 2.2 - Data Input (Revenue)'!H17-2)*'Step 2.2 - Data Input (Revenue)'!H21+('Step 2.2 - Data Input (Revenue)'!H17-1)*'Step 2.2 - Data Input (Revenue)'!H22)*Annual_Price_Rental_Contract, 'Step 2.2 - Data Input (Revenue)'!H17&gt;2,(('Step 2.2 - Data Input (Revenue)'!H17-2)*'Step 2.2 - Data Input (Revenue)'!H21+('Step 2.2 - Data Input (Revenue)'!H17-1)*'Step 2.2 - Data Input (Revenue)'!H22)*Annual_Price_Rental_Contract, 'Step 2.2 - Data Input (Revenue)'!H17&gt;1, ('Step 2.2 - Data Input (Revenue)'!H17-1)*'Step 2.2 - Data Input (Revenue)'!H22*Annual_Price_Rental_Contract, 'Step 2.2 - Data Input (Revenue)'!H17&lt;=1, 0)</f>
        <v>0</v>
      </c>
    </row>
    <row r="12" spans="1:14" customFormat="1" ht="7.5" customHeight="1" x14ac:dyDescent="0.2">
      <c r="A12" s="61"/>
      <c r="B12" s="62"/>
      <c r="C12" s="61"/>
      <c r="D12" s="61"/>
      <c r="E12" s="63"/>
      <c r="F12" s="61"/>
      <c r="G12" s="61"/>
      <c r="H12" s="61"/>
      <c r="I12" s="61"/>
      <c r="J12" s="61"/>
      <c r="K12" s="61"/>
      <c r="L12" s="61"/>
      <c r="M12" s="61"/>
    </row>
    <row r="13" spans="1:14" customFormat="1" x14ac:dyDescent="0.2">
      <c r="A13" s="69"/>
      <c r="B13" s="70" t="s">
        <v>179</v>
      </c>
      <c r="C13" s="69"/>
      <c r="D13" s="69"/>
      <c r="E13" s="72" t="s">
        <v>5</v>
      </c>
      <c r="F13" s="73">
        <f t="shared" ref="F13:F15" si="5">SUM(G13:L13)</f>
        <v>0</v>
      </c>
      <c r="G13" s="73">
        <f>SUM(G14:G15)</f>
        <v>0</v>
      </c>
      <c r="H13" s="73">
        <f t="shared" ref="H13:L13" si="6">SUM(H14:H15)</f>
        <v>0</v>
      </c>
      <c r="I13" s="73">
        <f t="shared" si="6"/>
        <v>0</v>
      </c>
      <c r="J13" s="73">
        <f t="shared" si="6"/>
        <v>0</v>
      </c>
      <c r="K13" s="73">
        <f t="shared" si="6"/>
        <v>0</v>
      </c>
      <c r="L13" s="73">
        <f t="shared" si="6"/>
        <v>0</v>
      </c>
      <c r="M13" s="73"/>
    </row>
    <row r="14" spans="1:14" customFormat="1" x14ac:dyDescent="0.2">
      <c r="A14" s="16"/>
      <c r="B14" s="30"/>
      <c r="C14" s="16" t="s">
        <v>4</v>
      </c>
      <c r="D14" s="16"/>
      <c r="E14" s="18" t="s">
        <v>5</v>
      </c>
      <c r="F14" s="3">
        <f t="shared" si="5"/>
        <v>0</v>
      </c>
      <c r="G14" s="3">
        <f>'Step 2.1 - Data Input (General)'!H16</f>
        <v>0</v>
      </c>
      <c r="H14" s="3"/>
      <c r="I14" s="3"/>
      <c r="J14" s="3"/>
      <c r="K14" s="3"/>
      <c r="L14" s="3"/>
      <c r="M14" s="3"/>
    </row>
    <row r="15" spans="1:14" customFormat="1" x14ac:dyDescent="0.2">
      <c r="A15" s="16"/>
      <c r="B15" s="30"/>
      <c r="C15" s="16" t="s">
        <v>27</v>
      </c>
      <c r="D15" s="16"/>
      <c r="E15" s="18" t="s">
        <v>5</v>
      </c>
      <c r="F15" s="3">
        <f t="shared" si="5"/>
        <v>0</v>
      </c>
      <c r="G15" s="3">
        <f>'Step 2.1 - Data Input (General)'!H12</f>
        <v>0</v>
      </c>
      <c r="H15" s="3">
        <f>'Step 2.1 - Data Input (General)'!H13</f>
        <v>0</v>
      </c>
      <c r="I15" s="3">
        <f>'Step 2.1 - Data Input (General)'!H13</f>
        <v>0</v>
      </c>
      <c r="J15" s="3">
        <f>'Step 2.1 - Data Input (General)'!H13</f>
        <v>0</v>
      </c>
      <c r="K15" s="3">
        <f>'Step 2.1 - Data Input (General)'!H13</f>
        <v>0</v>
      </c>
      <c r="L15" s="3">
        <f>'Step 2.1 - Data Input (General)'!H13</f>
        <v>0</v>
      </c>
      <c r="M15" s="3"/>
    </row>
    <row r="16" spans="1:14" ht="15" hidden="1" customHeight="1" x14ac:dyDescent="0.2">
      <c r="N16"/>
    </row>
    <row r="17" spans="1:13" customFormat="1" ht="18" x14ac:dyDescent="0.2">
      <c r="A17" s="80" t="s">
        <v>7</v>
      </c>
      <c r="B17" s="81"/>
      <c r="C17" s="82"/>
      <c r="D17" s="82"/>
      <c r="E17" s="83" t="s">
        <v>5</v>
      </c>
      <c r="F17" s="84">
        <f>SUM(G17:L17)</f>
        <v>0</v>
      </c>
      <c r="G17" s="84">
        <f>SUM(G19+G24)</f>
        <v>0</v>
      </c>
      <c r="H17" s="84"/>
      <c r="I17" s="84"/>
      <c r="J17" s="84"/>
      <c r="K17" s="84"/>
      <c r="L17" s="84"/>
      <c r="M17" s="84"/>
    </row>
    <row r="18" spans="1:13" customFormat="1" ht="7.5" customHeight="1" x14ac:dyDescent="0.2">
      <c r="A18" s="61"/>
      <c r="B18" s="62"/>
      <c r="C18" s="61"/>
      <c r="D18" s="61"/>
      <c r="E18" s="63"/>
      <c r="F18" s="61"/>
      <c r="G18" s="61"/>
      <c r="H18" s="61"/>
      <c r="I18" s="61"/>
      <c r="J18" s="61"/>
      <c r="K18" s="61"/>
      <c r="L18" s="61"/>
      <c r="M18" s="61"/>
    </row>
    <row r="19" spans="1:13" customFormat="1" ht="15.75" customHeight="1" x14ac:dyDescent="0.2">
      <c r="A19" s="85"/>
      <c r="B19" s="86" t="s">
        <v>373</v>
      </c>
      <c r="C19" s="85"/>
      <c r="D19" s="85"/>
      <c r="E19" s="87"/>
      <c r="F19" s="84">
        <f>SUM(G19:L19)</f>
        <v>0</v>
      </c>
      <c r="G19" s="84">
        <f>SUM(G20:G22)</f>
        <v>0</v>
      </c>
      <c r="H19" s="88"/>
      <c r="I19" s="88"/>
      <c r="J19" s="88"/>
      <c r="K19" s="88"/>
      <c r="L19" s="88"/>
      <c r="M19" s="88"/>
    </row>
    <row r="20" spans="1:13" customFormat="1" ht="15.75" customHeight="1" x14ac:dyDescent="0.2">
      <c r="A20" s="23"/>
      <c r="B20" s="32"/>
      <c r="C20" s="23" t="s">
        <v>28</v>
      </c>
      <c r="D20" s="23"/>
      <c r="E20" s="8" t="s">
        <v>5</v>
      </c>
      <c r="F20" s="89">
        <f>SUM(G20:L20)</f>
        <v>0</v>
      </c>
      <c r="G20" s="6">
        <f>SUM('Step 2.3 - Data Input (CapEx)'!H6+'Step 2.3 - Data Input (CapEx)'!H7+'Step 2.3 - Data Input (CapEx)'!G8)</f>
        <v>0</v>
      </c>
      <c r="H20" s="6"/>
      <c r="I20" s="6"/>
      <c r="J20" s="6"/>
      <c r="K20" s="6"/>
      <c r="L20" s="6"/>
      <c r="M20" s="6"/>
    </row>
    <row r="21" spans="1:13" customFormat="1" ht="15.75" customHeight="1" x14ac:dyDescent="0.2">
      <c r="A21" s="23"/>
      <c r="B21" s="32"/>
      <c r="C21" s="23" t="s">
        <v>8</v>
      </c>
      <c r="D21" s="23"/>
      <c r="E21" s="8" t="s">
        <v>5</v>
      </c>
      <c r="F21" s="89">
        <f>SUM(G21:L21)</f>
        <v>0</v>
      </c>
      <c r="G21" s="6">
        <f>SUM('Step 2.3 - Data Input (CapEx)'!H9+'Step 2.3 - Data Input (CapEx)'!H10+'Step 2.3 - Data Input (CapEx)'!H11)</f>
        <v>0</v>
      </c>
      <c r="H21" s="6"/>
      <c r="I21" s="6"/>
      <c r="J21" s="6"/>
      <c r="K21" s="6"/>
      <c r="L21" s="6"/>
      <c r="M21" s="6"/>
    </row>
    <row r="22" spans="1:13" customFormat="1" ht="15.75" customHeight="1" x14ac:dyDescent="0.2">
      <c r="A22" s="23"/>
      <c r="B22" s="32"/>
      <c r="C22" s="23" t="s">
        <v>114</v>
      </c>
      <c r="D22" s="23"/>
      <c r="E22" s="8" t="s">
        <v>5</v>
      </c>
      <c r="F22" s="89">
        <f>SUM(G22:L22)</f>
        <v>0</v>
      </c>
      <c r="G22" s="6">
        <f>'Step 2.3 - Data Input (CapEx)'!H12</f>
        <v>0</v>
      </c>
      <c r="H22" s="6"/>
      <c r="I22" s="6"/>
      <c r="J22" s="6"/>
      <c r="K22" s="6"/>
      <c r="L22" s="6"/>
      <c r="M22" s="6"/>
    </row>
    <row r="23" spans="1:13" customFormat="1" ht="7.5" customHeight="1" x14ac:dyDescent="0.2">
      <c r="A23" s="61"/>
      <c r="B23" s="62"/>
      <c r="C23" s="61"/>
      <c r="D23" s="61"/>
      <c r="E23" s="63"/>
      <c r="F23" s="61"/>
      <c r="G23" s="61"/>
      <c r="H23" s="61"/>
      <c r="I23" s="61"/>
      <c r="J23" s="61"/>
      <c r="K23" s="61"/>
      <c r="L23" s="61"/>
      <c r="M23" s="61"/>
    </row>
    <row r="24" spans="1:13" customFormat="1" ht="15.75" customHeight="1" x14ac:dyDescent="0.2">
      <c r="A24" s="85"/>
      <c r="B24" s="86" t="s">
        <v>29</v>
      </c>
      <c r="C24" s="85"/>
      <c r="D24" s="85"/>
      <c r="E24" s="87" t="s">
        <v>5</v>
      </c>
      <c r="F24" s="88">
        <f>SUM(G24:L24)</f>
        <v>0</v>
      </c>
      <c r="G24" s="88">
        <f>SUM(G25:G28)</f>
        <v>0</v>
      </c>
      <c r="H24" s="88"/>
      <c r="I24" s="88"/>
      <c r="J24" s="88"/>
      <c r="K24" s="88"/>
      <c r="L24" s="88"/>
      <c r="M24" s="88"/>
    </row>
    <row r="25" spans="1:13" customFormat="1" ht="15.75" customHeight="1" x14ac:dyDescent="0.2">
      <c r="A25" s="23"/>
      <c r="B25" s="32"/>
      <c r="C25" s="23" t="s">
        <v>31</v>
      </c>
      <c r="D25" s="23"/>
      <c r="E25" s="8" t="s">
        <v>5</v>
      </c>
      <c r="F25" s="89">
        <f t="shared" ref="F25:F28" si="7">SUM(G25:L25)</f>
        <v>0</v>
      </c>
      <c r="G25" s="6">
        <f>'Step 2.3 - Data Input (CapEx)'!H16*'Step 2.4 - Data Input (OpEx)'!H7</f>
        <v>0</v>
      </c>
      <c r="H25" s="6"/>
      <c r="I25" s="6"/>
      <c r="J25" s="6"/>
      <c r="K25" s="6"/>
      <c r="L25" s="6"/>
      <c r="M25" s="6"/>
    </row>
    <row r="26" spans="1:13" customFormat="1" ht="15.75" customHeight="1" x14ac:dyDescent="0.2">
      <c r="A26" s="23"/>
      <c r="B26" s="32"/>
      <c r="C26" s="23" t="s">
        <v>30</v>
      </c>
      <c r="D26" s="23"/>
      <c r="E26" s="8" t="s">
        <v>5</v>
      </c>
      <c r="F26" s="89">
        <f t="shared" si="7"/>
        <v>0</v>
      </c>
      <c r="G26" s="6">
        <f>'Step 2.3 - Data Input (CapEx)'!H17*'Step 2.4 - Data Input (OpEx)'!H6</f>
        <v>0</v>
      </c>
      <c r="H26" s="6"/>
      <c r="I26" s="6"/>
      <c r="J26" s="6"/>
      <c r="K26" s="6"/>
      <c r="L26" s="6"/>
      <c r="M26" s="6"/>
    </row>
    <row r="27" spans="1:13" customFormat="1" ht="15.75" customHeight="1" x14ac:dyDescent="0.2">
      <c r="A27" s="23"/>
      <c r="B27" s="32"/>
      <c r="C27" s="23" t="s">
        <v>126</v>
      </c>
      <c r="D27" s="23"/>
      <c r="E27" s="8" t="s">
        <v>5</v>
      </c>
      <c r="F27" s="89">
        <f t="shared" si="7"/>
        <v>0</v>
      </c>
      <c r="G27" s="6">
        <f>'Step 2.3 - Data Input (CapEx)'!H15</f>
        <v>0</v>
      </c>
      <c r="H27" s="6"/>
      <c r="I27" s="6"/>
      <c r="J27" s="6"/>
      <c r="K27" s="6"/>
      <c r="L27" s="6"/>
      <c r="M27" s="6"/>
    </row>
    <row r="28" spans="1:13" customFormat="1" ht="15.75" customHeight="1" x14ac:dyDescent="0.2">
      <c r="A28" s="23"/>
      <c r="B28" s="32"/>
      <c r="C28" s="23" t="s">
        <v>32</v>
      </c>
      <c r="D28" s="23"/>
      <c r="E28" s="8" t="s">
        <v>5</v>
      </c>
      <c r="F28" s="89">
        <f t="shared" si="7"/>
        <v>0</v>
      </c>
      <c r="G28" s="6">
        <f>'Step 2.3 - Data Input (CapEx)'!H18</f>
        <v>0</v>
      </c>
      <c r="H28" s="6"/>
      <c r="I28" s="6"/>
      <c r="J28" s="6"/>
      <c r="K28" s="6"/>
      <c r="L28" s="6"/>
      <c r="M28" s="6"/>
    </row>
    <row r="29" spans="1:13" customFormat="1" ht="7" customHeight="1" x14ac:dyDescent="0.2">
      <c r="A29" s="65"/>
      <c r="B29" s="66"/>
      <c r="C29" s="65"/>
      <c r="D29" s="65"/>
      <c r="E29" s="67"/>
      <c r="F29" s="65"/>
      <c r="G29" s="65"/>
      <c r="H29" s="65"/>
      <c r="I29" s="65"/>
      <c r="J29" s="65"/>
      <c r="K29" s="65"/>
      <c r="L29" s="65"/>
      <c r="M29" s="65"/>
    </row>
    <row r="30" spans="1:13" customFormat="1" ht="18" x14ac:dyDescent="0.2">
      <c r="A30" s="90" t="s">
        <v>10</v>
      </c>
      <c r="B30" s="91"/>
      <c r="C30" s="92"/>
      <c r="D30" s="92"/>
      <c r="E30" s="93" t="s">
        <v>5</v>
      </c>
      <c r="F30" s="94">
        <f>SUM(G30:L30)</f>
        <v>0</v>
      </c>
      <c r="G30" s="94"/>
      <c r="H30" s="94">
        <f>SUM(H32:H33)</f>
        <v>0</v>
      </c>
      <c r="I30" s="94">
        <f>SUM(I32:I33)</f>
        <v>0</v>
      </c>
      <c r="J30" s="94">
        <f>SUM(J32:J33)</f>
        <v>0</v>
      </c>
      <c r="K30" s="94">
        <f>SUM(K32:K33)</f>
        <v>0</v>
      </c>
      <c r="L30" s="94">
        <f>SUM(L32:L33)</f>
        <v>0</v>
      </c>
      <c r="M30" s="94"/>
    </row>
    <row r="31" spans="1:13" customFormat="1" ht="7.5" customHeight="1" x14ac:dyDescent="0.2">
      <c r="A31" s="62"/>
      <c r="B31" s="62"/>
      <c r="C31" s="61"/>
      <c r="D31" s="61"/>
      <c r="E31" s="63"/>
      <c r="F31" s="61"/>
      <c r="G31" s="61"/>
      <c r="H31" s="61"/>
      <c r="I31" s="61"/>
      <c r="J31" s="61"/>
      <c r="K31" s="61"/>
      <c r="L31" s="61"/>
      <c r="M31" s="61"/>
    </row>
    <row r="32" spans="1:13" customFormat="1" ht="15.75" customHeight="1" x14ac:dyDescent="0.2">
      <c r="A32" s="95"/>
      <c r="B32" s="96" t="s">
        <v>47</v>
      </c>
      <c r="C32" s="95"/>
      <c r="D32" s="95"/>
      <c r="E32" s="97" t="s">
        <v>5</v>
      </c>
      <c r="F32" s="98">
        <f>SUM(G32:L32)</f>
        <v>0</v>
      </c>
      <c r="G32" s="99"/>
      <c r="H32" s="99">
        <f>SUM(H33*'Step 2.1 - Data Input (General)'!H8)</f>
        <v>0</v>
      </c>
      <c r="I32" s="99">
        <f>SUM(I33*'Step 2.1 - Data Input (General)'!H8)</f>
        <v>0</v>
      </c>
      <c r="J32" s="99">
        <f>SUM(J33*'Step 2.1 - Data Input (General)'!H8)</f>
        <v>0</v>
      </c>
      <c r="K32" s="99">
        <f>SUM(K33*'Step 2.1 - Data Input (General)'!H8)</f>
        <v>0</v>
      </c>
      <c r="L32" s="99">
        <f>SUM(L33*'Step 2.1 - Data Input (General)'!H8)</f>
        <v>0</v>
      </c>
      <c r="M32" s="99"/>
    </row>
    <row r="33" spans="1:13" customFormat="1" ht="15.75" customHeight="1" x14ac:dyDescent="0.2">
      <c r="A33" s="33"/>
      <c r="B33" s="33"/>
      <c r="C33" s="10"/>
      <c r="D33" s="101" t="s">
        <v>156</v>
      </c>
      <c r="E33" s="102" t="s">
        <v>5</v>
      </c>
      <c r="F33" s="103"/>
      <c r="G33" s="103"/>
      <c r="H33" s="103">
        <f>SUM(H35,H37,H41,H47,H70,H74,H79,H83,H89,H93,H98,H103,H108)+'Step 2.4 - Data Input (OpEx)'!H11</f>
        <v>0</v>
      </c>
      <c r="I33" s="103">
        <f>SUM(I35,I37,I41,I47,I70,I74,I79,I83,I89,I93,I98,I103,I108)+'Step 2.4 - Data Input (OpEx)'!H11</f>
        <v>0</v>
      </c>
      <c r="J33" s="103">
        <f>SUM(J35,J37,J41,J47,J70,J74,J79,J83,J89,J93,J98,J103,J108)+'Step 2.4 - Data Input (OpEx)'!H11</f>
        <v>0</v>
      </c>
      <c r="K33" s="103">
        <f>SUM(K35,K37,K41,K47,K70,K74,K79,K83,K89,K93,K98,K103,K108)+'Step 2.4 - Data Input (OpEx)'!H11</f>
        <v>0</v>
      </c>
      <c r="L33" s="103">
        <f>SUM(L35,L37,L41,L47,L70,L74,L79,L83,L89,L93,L98,L103,L108)+'Step 2.4 - Data Input (OpEx)'!H11</f>
        <v>0</v>
      </c>
      <c r="M33" s="103"/>
    </row>
    <row r="34" spans="1:13" customFormat="1" ht="7.5" customHeight="1" x14ac:dyDescent="0.2">
      <c r="A34" s="62"/>
      <c r="B34" s="62"/>
      <c r="C34" s="61"/>
      <c r="D34" s="61"/>
      <c r="E34" s="63"/>
      <c r="F34" s="61"/>
      <c r="G34" s="61"/>
      <c r="H34" s="61"/>
      <c r="I34" s="61"/>
      <c r="J34" s="61"/>
      <c r="K34" s="61"/>
      <c r="L34" s="61"/>
      <c r="M34" s="61"/>
    </row>
    <row r="35" spans="1:13" customFormat="1" ht="15.75" customHeight="1" x14ac:dyDescent="0.2">
      <c r="A35" s="96"/>
      <c r="B35" s="96" t="s">
        <v>145</v>
      </c>
      <c r="C35" s="95"/>
      <c r="D35" s="95"/>
      <c r="E35" s="97" t="s">
        <v>5</v>
      </c>
      <c r="F35" s="98">
        <f>SUM(G35:L35)</f>
        <v>0</v>
      </c>
      <c r="G35" s="99"/>
      <c r="H35" s="99">
        <f>'Step 2.4 - Data Input (OpEx)'!H31+'Step 2.4 - Data Input (OpEx)'!H32+'Step 2.4 - Data Input (OpEx)'!H33</f>
        <v>0</v>
      </c>
      <c r="I35" s="99">
        <f>'Step 2.4 - Data Input (OpEx)'!H31+'Step 2.4 - Data Input (OpEx)'!H32+'Step 2.4 - Data Input (OpEx)'!H33</f>
        <v>0</v>
      </c>
      <c r="J35" s="99">
        <f>'Step 2.4 - Data Input (OpEx)'!H31+'Step 2.4 - Data Input (OpEx)'!H32+'Step 2.4 - Data Input (OpEx)'!H33</f>
        <v>0</v>
      </c>
      <c r="K35" s="99">
        <f>'Step 2.4 - Data Input (OpEx)'!H31+'Step 2.4 - Data Input (OpEx)'!H32+'Step 2.4 - Data Input (OpEx)'!H33</f>
        <v>0</v>
      </c>
      <c r="L35" s="99">
        <f>'Step 2.4 - Data Input (OpEx)'!H31+'Step 2.4 - Data Input (OpEx)'!H32+'Step 2.4 - Data Input (OpEx)'!H33</f>
        <v>0</v>
      </c>
      <c r="M35" s="99"/>
    </row>
    <row r="36" spans="1:13" customFormat="1" ht="7.5" customHeight="1" x14ac:dyDescent="0.2">
      <c r="A36" s="62"/>
      <c r="B36" s="62"/>
      <c r="C36" s="61"/>
      <c r="D36" s="61"/>
      <c r="E36" s="63"/>
      <c r="F36" s="61"/>
      <c r="G36" s="61"/>
      <c r="H36" s="61"/>
      <c r="I36" s="61"/>
      <c r="J36" s="61"/>
      <c r="K36" s="61"/>
      <c r="L36" s="61"/>
      <c r="M36" s="61"/>
    </row>
    <row r="37" spans="1:13" customFormat="1" ht="15.75" customHeight="1" x14ac:dyDescent="0.2">
      <c r="A37" s="96"/>
      <c r="B37" s="96" t="s">
        <v>61</v>
      </c>
      <c r="C37" s="95"/>
      <c r="D37" s="95"/>
      <c r="E37" s="97" t="s">
        <v>5</v>
      </c>
      <c r="F37" s="98">
        <f>SUM(G37:L37)</f>
        <v>0</v>
      </c>
      <c r="G37" s="99"/>
      <c r="H37" s="99">
        <f>SUM(H38:H39)</f>
        <v>0</v>
      </c>
      <c r="I37" s="99">
        <f t="shared" ref="I37:L37" si="8">SUM(I38:I39)</f>
        <v>0</v>
      </c>
      <c r="J37" s="99">
        <f t="shared" si="8"/>
        <v>0</v>
      </c>
      <c r="K37" s="99">
        <f t="shared" si="8"/>
        <v>0</v>
      </c>
      <c r="L37" s="99">
        <f t="shared" si="8"/>
        <v>0</v>
      </c>
      <c r="M37" s="99"/>
    </row>
    <row r="38" spans="1:13" customFormat="1" ht="15.75" customHeight="1" x14ac:dyDescent="0.2">
      <c r="A38" s="33"/>
      <c r="B38" s="33"/>
      <c r="C38" s="10" t="s">
        <v>146</v>
      </c>
      <c r="D38" s="10"/>
      <c r="E38" s="11" t="s">
        <v>5</v>
      </c>
      <c r="F38" s="12">
        <f>SUM(G38:L38)</f>
        <v>0</v>
      </c>
      <c r="G38" s="12"/>
      <c r="H38" s="12">
        <f>('Step 2.4 - Data Input (OpEx)'!H26+'Step 2.4 - Data Input (OpEx)'!H27*'Step 2.4 - Data Input (OpEx)'!H28)*(1+'Step 2.4 - Data Input (OpEx)'!H16)^0</f>
        <v>0</v>
      </c>
      <c r="I38" s="12">
        <f>('Step 2.4 - Data Input (OpEx)'!H26+'Step 2.4 - Data Input (OpEx)'!H27*'Step 2.4 - Data Input (OpEx)'!H28)*(1+'Step 2.4 - Data Input (OpEx)'!H16)^1</f>
        <v>0</v>
      </c>
      <c r="J38" s="12">
        <f>('Step 2.4 - Data Input (OpEx)'!H26+'Step 2.4 - Data Input (OpEx)'!H27*'Step 2.4 - Data Input (OpEx)'!H28)*(1+'Step 2.4 - Data Input (OpEx)'!H16)^2</f>
        <v>0</v>
      </c>
      <c r="K38" s="12">
        <f>('Step 2.4 - Data Input (OpEx)'!H26+'Step 2.4 - Data Input (OpEx)'!H27*'Step 2.4 - Data Input (OpEx)'!H28)*(1+'Step 2.4 - Data Input (OpEx)'!H16)^3</f>
        <v>0</v>
      </c>
      <c r="L38" s="12">
        <f>('Step 2.4 - Data Input (OpEx)'!H26+'Step 2.4 - Data Input (OpEx)'!H27*'Step 2.4 - Data Input (OpEx)'!H28)*(1+'Step 2.4 - Data Input (OpEx)'!H16)^4</f>
        <v>0</v>
      </c>
      <c r="M38" s="12"/>
    </row>
    <row r="39" spans="1:13" customFormat="1" ht="15.75" customHeight="1" x14ac:dyDescent="0.2">
      <c r="A39" s="33"/>
      <c r="B39" s="33"/>
      <c r="C39" s="10" t="s">
        <v>147</v>
      </c>
      <c r="D39" s="10"/>
      <c r="E39" s="11" t="s">
        <v>5</v>
      </c>
      <c r="F39" s="12">
        <f>SUM(G39:L39)</f>
        <v>0</v>
      </c>
      <c r="G39" s="12"/>
      <c r="H39" s="12">
        <f>('Step 2.4 - Data Input (OpEx)'!H23+'Step 2.4 - Data Input (OpEx)'!H24*'Step 2.4 - Data Input (OpEx)'!H25)*(1+'Step 2.4 - Data Input (OpEx)'!H15)^0</f>
        <v>0</v>
      </c>
      <c r="I39" s="12">
        <f>('Step 2.4 - Data Input (OpEx)'!H23+'Step 2.4 - Data Input (OpEx)'!H24*'Step 2.4 - Data Input (OpEx)'!H25)*(1+'Step 2.4 - Data Input (OpEx)'!H15)^1</f>
        <v>0</v>
      </c>
      <c r="J39" s="12">
        <f>('Step 2.4 - Data Input (OpEx)'!H23+'Step 2.4 - Data Input (OpEx)'!H24*'Step 2.4 - Data Input (OpEx)'!H25)*(1+'Step 2.4 - Data Input (OpEx)'!H15)^2</f>
        <v>0</v>
      </c>
      <c r="K39" s="12">
        <f>('Step 2.4 - Data Input (OpEx)'!H23+'Step 2.4 - Data Input (OpEx)'!H24*'Step 2.4 - Data Input (OpEx)'!H25)*(1+'Step 2.4 - Data Input (OpEx)'!H15)^3</f>
        <v>0</v>
      </c>
      <c r="L39" s="12">
        <f>('Step 2.4 - Data Input (OpEx)'!H23+'Step 2.4 - Data Input (OpEx)'!H24*'Step 2.4 - Data Input (OpEx)'!H25)*(1+'Step 2.4 - Data Input (OpEx)'!H15)^4</f>
        <v>0</v>
      </c>
      <c r="M39" s="12"/>
    </row>
    <row r="40" spans="1:13" customFormat="1" ht="7.5" customHeight="1" x14ac:dyDescent="0.2">
      <c r="A40" s="62"/>
      <c r="B40" s="62"/>
      <c r="C40" s="61"/>
      <c r="D40" s="61"/>
      <c r="E40" s="63"/>
      <c r="F40" s="61"/>
      <c r="G40" s="61"/>
      <c r="H40" s="61"/>
      <c r="I40" s="61"/>
      <c r="J40" s="61"/>
      <c r="K40" s="61"/>
      <c r="L40" s="61"/>
      <c r="M40" s="61"/>
    </row>
    <row r="41" spans="1:13" customFormat="1" ht="15.75" customHeight="1" x14ac:dyDescent="0.2">
      <c r="A41" s="96"/>
      <c r="B41" s="96" t="s">
        <v>173</v>
      </c>
      <c r="C41" s="95"/>
      <c r="D41" s="95"/>
      <c r="E41" s="97" t="s">
        <v>5</v>
      </c>
      <c r="F41" s="98">
        <f>SUM(G41:L41)</f>
        <v>0</v>
      </c>
      <c r="G41" s="99"/>
      <c r="H41" s="99">
        <f>SUM(H42:H45)+'Step 2.4 - Data Input (OpEx)'!H40</f>
        <v>0</v>
      </c>
      <c r="I41" s="99">
        <f>SUM(I42:I45)+'Step 2.4 - Data Input (OpEx)'!H40</f>
        <v>0</v>
      </c>
      <c r="J41" s="99">
        <f>SUM(J42:J45)+'Step 2.4 - Data Input (OpEx)'!H40</f>
        <v>0</v>
      </c>
      <c r="K41" s="100">
        <f>SUM(K42:K45)+'Step 2.4 - Data Input (OpEx)'!H40</f>
        <v>0</v>
      </c>
      <c r="L41" s="99">
        <f>SUM(L42:L45)+'Step 2.4 - Data Input (OpEx)'!H40</f>
        <v>0</v>
      </c>
      <c r="M41" s="99"/>
    </row>
    <row r="42" spans="1:13" customFormat="1" ht="15.75" customHeight="1" x14ac:dyDescent="0.2">
      <c r="A42" s="33"/>
      <c r="B42" s="33"/>
      <c r="C42" s="10" t="s">
        <v>60</v>
      </c>
      <c r="D42" s="10"/>
      <c r="E42" s="11" t="s">
        <v>5</v>
      </c>
      <c r="F42" s="12">
        <f>SUM(G42:L42)</f>
        <v>0</v>
      </c>
      <c r="G42" s="12"/>
      <c r="H42" s="12">
        <f>'Step 2.2 - Data Input (Revenue)'!H9*'Step 2.4 - Data Input (OpEx)'!H36*(1+'Step 2.4 - Data Input (OpEx)'!H14)^0</f>
        <v>0</v>
      </c>
      <c r="I42" s="12">
        <f>'Step 2.2 - Data Input (Revenue)'!H10*'Step 2.4 - Data Input (OpEx)'!H36*(1+'Step 2.4 - Data Input (OpEx)'!H14)^1</f>
        <v>0</v>
      </c>
      <c r="J42" s="12">
        <f>'Step 2.2 - Data Input (Revenue)'!H11*'Step 2.4 - Data Input (OpEx)'!H36*(1+'Step 2.4 - Data Input (OpEx)'!H14)^2</f>
        <v>0</v>
      </c>
      <c r="K42" s="12">
        <f>'Step 2.2 - Data Input (Revenue)'!H12*'Step 2.4 - Data Input (OpEx)'!H36*(1+'Step 2.4 - Data Input (OpEx)'!H14)^3</f>
        <v>0</v>
      </c>
      <c r="L42" s="12">
        <f>'Step 2.2 - Data Input (Revenue)'!H13*'Step 2.4 - Data Input (OpEx)'!H36*(1+'Step 2.4 - Data Input (OpEx)'!H14)^4</f>
        <v>0</v>
      </c>
      <c r="M42" s="12"/>
    </row>
    <row r="43" spans="1:13" customFormat="1" ht="15.75" customHeight="1" x14ac:dyDescent="0.2">
      <c r="A43" s="33"/>
      <c r="B43" s="33"/>
      <c r="C43" s="10" t="s">
        <v>63</v>
      </c>
      <c r="D43" s="10"/>
      <c r="E43" s="11" t="s">
        <v>5</v>
      </c>
      <c r="F43" s="12">
        <f>SUM(G43:L43)</f>
        <v>0</v>
      </c>
      <c r="G43" s="12"/>
      <c r="H43" s="12">
        <f>'Step 2.2 - Data Input (Revenue)'!H9*'Step 2.4 - Data Input (OpEx)'!H37</f>
        <v>0</v>
      </c>
      <c r="I43" s="12">
        <f>'Step 2.2 - Data Input (Revenue)'!H10*'Step 2.4 - Data Input (OpEx)'!H37</f>
        <v>0</v>
      </c>
      <c r="J43" s="12">
        <f>'Step 2.2 - Data Input (Revenue)'!H11*'Step 2.4 - Data Input (OpEx)'!H37</f>
        <v>0</v>
      </c>
      <c r="K43" s="12">
        <f>'Step 2.2 - Data Input (Revenue)'!H12*'Step 2.4 - Data Input (OpEx)'!H37</f>
        <v>0</v>
      </c>
      <c r="L43" s="12">
        <f>'Step 2.2 - Data Input (Revenue)'!H13*'Step 2.4 - Data Input (OpEx)'!H37</f>
        <v>0</v>
      </c>
      <c r="M43" s="12"/>
    </row>
    <row r="44" spans="1:13" customFormat="1" ht="15.75" customHeight="1" x14ac:dyDescent="0.2">
      <c r="A44" s="33"/>
      <c r="B44" s="33"/>
      <c r="C44" s="10" t="s">
        <v>158</v>
      </c>
      <c r="D44" s="10"/>
      <c r="E44" s="11" t="s">
        <v>5</v>
      </c>
      <c r="F44" s="12">
        <f t="shared" ref="F44:F45" si="9">SUM(G44:L44)</f>
        <v>0</v>
      </c>
      <c r="G44" s="12"/>
      <c r="H44" s="12">
        <f>'Step 2.2 - Data Input (Revenue)'!H9*('Step 2.4 - Data Input (OpEx)'!H38*'Step 2.4 - Data Input (OpEx)'!H6)*(1-'Step 2.4 - Data Input (OpEx)'!H17)^0</f>
        <v>0</v>
      </c>
      <c r="I44" s="12">
        <f>'Step 2.2 - Data Input (Revenue)'!H10*('Step 2.4 - Data Input (OpEx)'!H38*'Step 2.4 - Data Input (OpEx)'!H6)*(1-'Step 2.4 - Data Input (OpEx)'!H17)^1</f>
        <v>0</v>
      </c>
      <c r="J44" s="12">
        <f>'Step 2.2 - Data Input (Revenue)'!H11*('Step 2.4 - Data Input (OpEx)'!H38*'Step 2.4 - Data Input (OpEx)'!H6)*(1-'Step 2.4 - Data Input (OpEx)'!H17)^2</f>
        <v>0</v>
      </c>
      <c r="K44" s="12">
        <f>'Step 2.2 - Data Input (Revenue)'!H12*('Step 2.4 - Data Input (OpEx)'!H38*'Step 2.4 - Data Input (OpEx)'!H6)*(1-'Step 2.4 - Data Input (OpEx)'!H17)^3</f>
        <v>0</v>
      </c>
      <c r="L44" s="12">
        <f>'Step 2.2 - Data Input (Revenue)'!H13*('Step 2.4 - Data Input (OpEx)'!H38*'Step 2.4 - Data Input (OpEx)'!H6)*(1-'Step 2.4 - Data Input (OpEx)'!H17)^4</f>
        <v>0</v>
      </c>
      <c r="M44" s="12"/>
    </row>
    <row r="45" spans="1:13" customFormat="1" ht="15.75" customHeight="1" x14ac:dyDescent="0.2">
      <c r="A45" s="33"/>
      <c r="B45" s="33"/>
      <c r="C45" s="10" t="s">
        <v>159</v>
      </c>
      <c r="D45" s="10"/>
      <c r="E45" s="11" t="s">
        <v>5</v>
      </c>
      <c r="F45" s="12">
        <f t="shared" si="9"/>
        <v>0</v>
      </c>
      <c r="G45" s="12"/>
      <c r="H45" s="12">
        <f>'Step 2.2 - Data Input (Revenue)'!H9*('Step 2.4 - Data Input (OpEx)'!H39*'Step 2.4 - Data Input (OpEx)'!H8)*(1-'Step 2.4 - Data Input (OpEx)'!H18)^0</f>
        <v>0</v>
      </c>
      <c r="I45" s="12">
        <f>'Step 2.2 - Data Input (Revenue)'!H10*('Step 2.4 - Data Input (OpEx)'!H39*'Step 2.4 - Data Input (OpEx)'!H8)*(1-'Step 2.4 - Data Input (OpEx)'!H18)^1</f>
        <v>0</v>
      </c>
      <c r="J45" s="12">
        <f>'Step 2.2 - Data Input (Revenue)'!H11*('Step 2.4 - Data Input (OpEx)'!H39*'Step 2.4 - Data Input (OpEx)'!H8)*(1-'Step 2.4 - Data Input (OpEx)'!H18)^2</f>
        <v>0</v>
      </c>
      <c r="K45" s="12">
        <f>'Step 2.2 - Data Input (Revenue)'!H12*('Step 2.4 - Data Input (OpEx)'!H39*'Step 2.4 - Data Input (OpEx)'!H8)*(1-'Step 2.4 - Data Input (OpEx)'!H18)^3</f>
        <v>0</v>
      </c>
      <c r="L45" s="12">
        <f>'Step 2.2 - Data Input (Revenue)'!H13*('Step 2.4 - Data Input (OpEx)'!H39*'Step 2.4 - Data Input (OpEx)'!H8)*(1-'Step 2.4 - Data Input (OpEx)'!H18)^4</f>
        <v>0</v>
      </c>
      <c r="M45" s="12"/>
    </row>
    <row r="46" spans="1:13" customFormat="1" ht="7.5" customHeight="1" x14ac:dyDescent="0.2">
      <c r="A46" s="62"/>
      <c r="B46" s="62"/>
      <c r="C46" s="61"/>
      <c r="D46" s="61"/>
      <c r="E46" s="63"/>
      <c r="F46" s="61"/>
      <c r="G46" s="61"/>
      <c r="H46" s="61"/>
      <c r="I46" s="61"/>
      <c r="J46" s="61"/>
      <c r="K46" s="61"/>
      <c r="L46" s="61"/>
      <c r="M46" s="61"/>
    </row>
    <row r="47" spans="1:13" customFormat="1" ht="15.75" customHeight="1" x14ac:dyDescent="0.2">
      <c r="A47" s="96"/>
      <c r="B47" s="96" t="s">
        <v>15</v>
      </c>
      <c r="C47" s="95"/>
      <c r="D47" s="95"/>
      <c r="E47" s="97" t="s">
        <v>5</v>
      </c>
      <c r="F47" s="98">
        <f>SUM(G47:L47)</f>
        <v>0</v>
      </c>
      <c r="G47" s="99"/>
      <c r="H47" s="99">
        <f>IF('Step 1 - Case Selection'!V41="as a Flat Rate",H48+H54+Special_Costs_Backward_Logistics,SUM(H48,H55,H61,H68)+Special_Costs_Backward_Logistics)</f>
        <v>0</v>
      </c>
      <c r="I47" s="99">
        <f>IF('Step 1 - Case Selection'!V41="as a Flat Rate",I48+I54+Special_Costs_Backward_Logistics,SUM(I48,I55,I61,I68)+Special_Costs_Backward_Logistics)</f>
        <v>0</v>
      </c>
      <c r="J47" s="99">
        <f>IF('Step 1 - Case Selection'!V41="as a Flat Rate",J48+J54+Special_Costs_Backward_Logistics,SUM(J48,J55,J61,J68)+Special_Costs_Backward_Logistics)</f>
        <v>0</v>
      </c>
      <c r="K47" s="99">
        <f>IF('Step 1 - Case Selection'!V41="as a Flat Rate",K48+K54+Special_Costs_Backward_Logistics,SUM(K48,K55,K61,K68)+Special_Costs_Backward_Logistics)</f>
        <v>0</v>
      </c>
      <c r="L47" s="99">
        <f>IF('Step 1 - Case Selection'!V41="as a Flat Rate",L48+L54+Special_Costs_Backward_Logistics,SUM(L48,L55,L61,L68)+Special_Costs_Backward_Logistics)</f>
        <v>0</v>
      </c>
      <c r="M47" s="99"/>
    </row>
    <row r="48" spans="1:13" customFormat="1" ht="15.75" customHeight="1" x14ac:dyDescent="0.2">
      <c r="A48" s="33"/>
      <c r="B48" s="33"/>
      <c r="C48" s="10"/>
      <c r="D48" s="104" t="s">
        <v>160</v>
      </c>
      <c r="E48" s="102" t="s">
        <v>5</v>
      </c>
      <c r="F48" s="103">
        <f>SUM(G48:L48)</f>
        <v>0</v>
      </c>
      <c r="G48" s="103"/>
      <c r="H48" s="103">
        <f>'Step 2.4 - Data Input (OpEx)'!H49*(H49+H51)</f>
        <v>0</v>
      </c>
      <c r="I48" s="103">
        <f>'Step 2.4 - Data Input (OpEx)'!H49*(I49+I51)</f>
        <v>0</v>
      </c>
      <c r="J48" s="103">
        <f>'Step 2.4 - Data Input (OpEx)'!H49*(J49+J51)</f>
        <v>0</v>
      </c>
      <c r="K48" s="103">
        <f>'Step 2.4 - Data Input (OpEx)'!H49*(K49+K51)</f>
        <v>0</v>
      </c>
      <c r="L48" s="103">
        <f>'Step 2.4 - Data Input (OpEx)'!H49*(L49+L51)</f>
        <v>0</v>
      </c>
      <c r="M48" s="103"/>
    </row>
    <row r="49" spans="1:13" customFormat="1" ht="15.75" customHeight="1" x14ac:dyDescent="0.2">
      <c r="A49" s="33"/>
      <c r="B49" s="33"/>
      <c r="C49" s="10"/>
      <c r="D49" s="104" t="s">
        <v>414</v>
      </c>
      <c r="E49" s="102" t="s">
        <v>166</v>
      </c>
      <c r="F49" s="101"/>
      <c r="G49" s="101"/>
      <c r="H49" s="101">
        <f>ROUND(IF('Step 1 - Case Selection'!V27&lt;&gt;"Recycle", 'Step 2.2 - Data Input (Revenue)'!H9/'Step 2.1 - Data Input (General)'!H24*'Step 2.1 - Data Input (General)'!H23, 0),0)</f>
        <v>0</v>
      </c>
      <c r="I49" s="101">
        <f>ROUND(IF('Step 1 - Case Selection'!V27&lt;&gt;"Recycle", 'Step 2.2 - Data Input (Revenue)'!H10/'Step 2.1 - Data Input (General)'!H24*'Step 2.1 - Data Input (General)'!H23, 0),0)</f>
        <v>0</v>
      </c>
      <c r="J49" s="101">
        <f>ROUND(IF('Step 1 - Case Selection'!V27&lt;&gt;"Recycle", 'Step 2.2 - Data Input (Revenue)'!H11/'Step 2.1 - Data Input (General)'!H24*'Step 2.1 - Data Input (General)'!H23, 0),0)</f>
        <v>0</v>
      </c>
      <c r="K49" s="101">
        <f>ROUND(IF('Step 1 - Case Selection'!V27&lt;&gt;"Recycle", 'Step 2.2 - Data Input (Revenue)'!H12/'Step 2.1 - Data Input (General)'!H24*'Step 2.1 - Data Input (General)'!H23, 0),0)</f>
        <v>0</v>
      </c>
      <c r="L49" s="101">
        <f>ROUND(IF('Step 1 - Case Selection'!V27&lt;&gt;"Recycle", 'Step 2.2 - Data Input (Revenue)'!H13/'Step 2.1 - Data Input (General)'!H24*'Step 2.1 - Data Input (General)'!H23, 0),0)</f>
        <v>0</v>
      </c>
      <c r="M49" s="101"/>
    </row>
    <row r="50" spans="1:13" customFormat="1" ht="15.75" customHeight="1" x14ac:dyDescent="0.2">
      <c r="A50" s="33"/>
      <c r="B50" s="33"/>
      <c r="C50" s="10"/>
      <c r="D50" s="104" t="s">
        <v>415</v>
      </c>
      <c r="E50" s="102" t="s">
        <v>166</v>
      </c>
      <c r="F50" s="101"/>
      <c r="G50" s="101"/>
      <c r="H50" s="101">
        <f>ROUND(IF('Step 1 - Case Selection'!V27&lt;&gt;"Recycle", 'Step 2.2 - Data Input (Revenue)'!H9*'Step 2.1 - Data Input (General)'!H23,0),0)</f>
        <v>0</v>
      </c>
      <c r="I50" s="101">
        <f>ROUND(IF('Step 1 - Case Selection'!V27&lt;&gt;"Recycle", 'Step 2.2 - Data Input (Revenue)'!H10*'Step 2.1 - Data Input (General)'!H23,0),0)</f>
        <v>0</v>
      </c>
      <c r="J50" s="101">
        <f>ROUND(IF('Step 1 - Case Selection'!V27&lt;&gt;"Recycle", 'Step 2.2 - Data Input (Revenue)'!H11*'Step 2.1 - Data Input (General)'!H23,0),0)</f>
        <v>0</v>
      </c>
      <c r="K50" s="101">
        <f>ROUND(IF('Step 1 - Case Selection'!V27&lt;&gt;"Recycle", 'Step 2.2 - Data Input (Revenue)'!H12*'Step 2.1 - Data Input (General)'!H23,0),0)</f>
        <v>0</v>
      </c>
      <c r="L50" s="101">
        <f>ROUND(IF('Step 1 - Case Selection'!V27&lt;&gt;"Recycle", 'Step 2.2 - Data Input (Revenue)'!H13*'Step 2.1 - Data Input (General)'!H23,0),0)</f>
        <v>0</v>
      </c>
      <c r="M50" s="101"/>
    </row>
    <row r="51" spans="1:13" customFormat="1" ht="15.75" customHeight="1" x14ac:dyDescent="0.2">
      <c r="A51" s="33"/>
      <c r="B51" s="33"/>
      <c r="C51" s="10"/>
      <c r="D51" s="104" t="s">
        <v>416</v>
      </c>
      <c r="E51" s="102" t="s">
        <v>166</v>
      </c>
      <c r="F51" s="101"/>
      <c r="G51" s="101"/>
      <c r="H51" s="101">
        <f>ROUND(IF('Step 1 - Case Selection'!V27="Recycle", 'Step 2.2 - Data Input (Revenue)'!H9/'Step 2.4 - Data Input (OpEx)'!H9/'Step 2.1 - Data Input (General)'!H24,0),0)</f>
        <v>0</v>
      </c>
      <c r="I51" s="101">
        <f>ROUND(IF('Step 1 - Case Selection'!V27="Recycle", 'Step 2.2 - Data Input (Revenue)'!H10/'Step 2.4 - Data Input (OpEx)'!H9/'Step 2.1 - Data Input (General)'!H24,0),0)</f>
        <v>0</v>
      </c>
      <c r="J51" s="101">
        <f>ROUND(IF('Step 1 - Case Selection'!V27="Recycle", 'Step 2.2 - Data Input (Revenue)'!H11/'Step 2.4 - Data Input (OpEx)'!H9/'Step 2.1 - Data Input (General)'!H24,0),0)</f>
        <v>0</v>
      </c>
      <c r="K51" s="101">
        <f>ROUND(IF('Step 1 - Case Selection'!V27="Recycle", 'Step 2.2 - Data Input (Revenue)'!H12/'Step 2.4 - Data Input (OpEx)'!H9/'Step 2.1 - Data Input (General)'!H24,0),0)</f>
        <v>0</v>
      </c>
      <c r="L51" s="101">
        <f>ROUND(IF('Step 1 - Case Selection'!V27="Recycle", 'Step 2.2 - Data Input (Revenue)'!H13/'Step 2.4 - Data Input (OpEx)'!H9/'Step 2.1 - Data Input (General)'!H24,0),0)</f>
        <v>0</v>
      </c>
      <c r="M51" s="101"/>
    </row>
    <row r="52" spans="1:13" customFormat="1" ht="15.75" customHeight="1" x14ac:dyDescent="0.2">
      <c r="A52" s="33"/>
      <c r="B52" s="33"/>
      <c r="C52" s="10"/>
      <c r="D52" s="104" t="s">
        <v>417</v>
      </c>
      <c r="E52" s="102" t="s">
        <v>166</v>
      </c>
      <c r="F52" s="101"/>
      <c r="G52" s="101"/>
      <c r="H52" s="101">
        <f>ROUND(IF('Step 1 - Case Selection'!V27="Recycle", 'Step 2.2 - Data Input (Revenue)'!H9/'Step 2.4 - Data Input (OpEx)'!H9,0),0)</f>
        <v>0</v>
      </c>
      <c r="I52" s="101">
        <f>ROUND(IF('Step 1 - Case Selection'!V27="Recycle", 'Step 2.2 - Data Input (Revenue)'!H10/'Step 2.4 - Data Input (OpEx)'!H9,0),0)</f>
        <v>0</v>
      </c>
      <c r="J52" s="101">
        <f>ROUND(IF('Step 1 - Case Selection'!V27="Recycle", 'Step 2.2 - Data Input (Revenue)'!H11/'Step 2.4 - Data Input (OpEx)'!H9,0),0)</f>
        <v>0</v>
      </c>
      <c r="K52" s="101">
        <f>ROUND(IF('Step 1 - Case Selection'!V27="Recycle", 'Step 2.2 - Data Input (Revenue)'!H12/'Step 2.4 - Data Input (OpEx)'!H9,0),0)</f>
        <v>0</v>
      </c>
      <c r="L52" s="101">
        <f>ROUND(IF('Step 1 - Case Selection'!V27="Recycle", 'Step 2.2 - Data Input (Revenue)'!H13/'Step 2.4 - Data Input (OpEx)'!H9,0),0)</f>
        <v>0</v>
      </c>
      <c r="M52" s="101"/>
    </row>
    <row r="53" spans="1:13" customFormat="1" ht="15.75" customHeight="1" x14ac:dyDescent="0.2">
      <c r="A53" s="33"/>
      <c r="B53" s="33"/>
      <c r="C53" s="13"/>
      <c r="D53" s="104" t="s">
        <v>162</v>
      </c>
      <c r="E53" s="102" t="s">
        <v>166</v>
      </c>
      <c r="F53" s="101"/>
      <c r="G53" s="101"/>
      <c r="H53" s="101">
        <f>IF('Step 2.2 - Data Input (Revenue)'!H17&lt;=1, 'Step 2.2 - Data Input (Revenue)'!H18, 0)</f>
        <v>0</v>
      </c>
      <c r="I53" s="101" cm="1">
        <f t="array" ref="I53">_xlfn.IFS('Step 2.2 - Data Input (Revenue)'!H17&lt;=1, 'Step 2.2 - Data Input (Revenue)'!H19, 'Step 2.2 - Data Input (Revenue)'!H17&lt;=2, 'Step 2.2 - Data Input (Revenue)'!H18, 'Step 2.2 - Data Input (Revenue)'!H17&gt;2, 0)</f>
        <v>0</v>
      </c>
      <c r="J53" s="101" cm="1">
        <f t="array" ref="J53">_xlfn.IFS('Step 2.2 - Data Input (Revenue)'!H17&lt;=1, 'Step 2.2 - Data Input (Revenue)'!H20, 'Step 2.2 - Data Input (Revenue)'!H17&lt;=2, 'Step 2.2 - Data Input (Revenue)'!H19, 'Step 2.2 - Data Input (Revenue)'!H17&lt;=3, 'Step 2.2 - Data Input (Revenue)'!H18, 'Step 2.2 - Data Input (Revenue)'!H17&gt;3, 0)</f>
        <v>0</v>
      </c>
      <c r="K53" s="101" cm="1">
        <f t="array" ref="K53">_xlfn.IFS('Step 2.2 - Data Input (Revenue)'!H17&lt;=1, 'Step 2.2 - Data Input (Revenue)'!H21, 'Step 2.2 - Data Input (Revenue)'!H17&lt;=2, 'Step 2.2 - Data Input (Revenue)'!H20, 'Step 2.2 - Data Input (Revenue)'!H17&lt;=3, 'Step 2.2 - Data Input (Revenue)'!H19, 'Step 2.2 - Data Input (Revenue)'!H17&lt;=4, 'Step 2.2 - Data Input (Revenue)'!H18, 'Step 2.2 - Data Input (Revenue)'!H17&gt;4, 0)</f>
        <v>0</v>
      </c>
      <c r="L53" s="101" cm="1">
        <f t="array" ref="L53">_xlfn.IFS('Step 2.2 - Data Input (Revenue)'!H17&lt;=1, 'Step 2.2 - Data Input (Revenue)'!H22, 'Step 2.2 - Data Input (Revenue)'!H17&lt;=2, 'Step 2.2 - Data Input (Revenue)'!H21, 'Step 2.2 - Data Input (Revenue)'!H17&lt;=3, 'Step 2.2 - Data Input (Revenue)'!H20, 'Step 2.2 - Data Input (Revenue)'!H17&lt;=4, 'Step 2.2 - Data Input (Revenue)'!H19, 'Step 2.2 - Data Input (Revenue)'!H17&lt;=5, 'Step 2.2 - Data Input (Revenue)'!H18,'Step 2.2 - Data Input (Revenue)'!H17&gt;5, 0)</f>
        <v>0</v>
      </c>
      <c r="M53" s="101">
        <f>SUM('Step 2.2 - Data Input (Revenue)'!H18+'Step 2.2 - Data Input (Revenue)'!H19+'Step 2.2 - Data Input (Revenue)'!H20+'Step 2.2 - Data Input (Revenue)'!H21+'Step 2.2 - Data Input (Revenue)'!H22-(SUM(H53:L53)))</f>
        <v>0</v>
      </c>
    </row>
    <row r="54" spans="1:13" customFormat="1" ht="15.75" customHeight="1" x14ac:dyDescent="0.2">
      <c r="A54" s="33"/>
      <c r="B54" s="33"/>
      <c r="C54" s="13" t="s">
        <v>428</v>
      </c>
      <c r="D54" s="13"/>
      <c r="E54" s="11" t="s">
        <v>5</v>
      </c>
      <c r="F54" s="12">
        <f>SUM(G54:L54)</f>
        <v>0</v>
      </c>
      <c r="G54" s="12"/>
      <c r="H54" s="12">
        <f>'Step 2.4 - Data Input (OpEx)'!H43*(H49+H51+H53)</f>
        <v>0</v>
      </c>
      <c r="I54" s="12">
        <f>'Step 2.4 - Data Input (OpEx)'!H43*(I49+I51+I53)</f>
        <v>0</v>
      </c>
      <c r="J54" s="12">
        <f>'Step 2.4 - Data Input (OpEx)'!H43*(J49+J51+J53)</f>
        <v>0</v>
      </c>
      <c r="K54" s="12">
        <f>'Step 2.4 - Data Input (OpEx)'!H43*(K49+K51+K53)</f>
        <v>0</v>
      </c>
      <c r="L54" s="12">
        <f>'Step 2.4 - Data Input (OpEx)'!H43*(L49+L51+L53)</f>
        <v>0</v>
      </c>
      <c r="M54" s="12"/>
    </row>
    <row r="55" spans="1:13" customFormat="1" ht="15.75" customHeight="1" x14ac:dyDescent="0.2">
      <c r="A55" s="33"/>
      <c r="B55" s="33"/>
      <c r="C55" s="13" t="s">
        <v>165</v>
      </c>
      <c r="D55" s="13"/>
      <c r="E55" s="11" t="s">
        <v>5</v>
      </c>
      <c r="F55" s="12">
        <f>SUM(G55:L55)</f>
        <v>0</v>
      </c>
      <c r="G55" s="12"/>
      <c r="H55" s="12">
        <f>SUM(H56:H60)</f>
        <v>0</v>
      </c>
      <c r="I55" s="12">
        <f t="shared" ref="I55:L55" si="10">SUM(I56:I60)</f>
        <v>0</v>
      </c>
      <c r="J55" s="12">
        <f t="shared" si="10"/>
        <v>0</v>
      </c>
      <c r="K55" s="12">
        <f t="shared" si="10"/>
        <v>0</v>
      </c>
      <c r="L55" s="12">
        <f t="shared" si="10"/>
        <v>0</v>
      </c>
      <c r="M55" s="12"/>
    </row>
    <row r="56" spans="1:13" customFormat="1" ht="15.75" customHeight="1" x14ac:dyDescent="0.2">
      <c r="A56" s="33"/>
      <c r="B56" s="33"/>
      <c r="C56" s="10"/>
      <c r="D56" s="104" t="s">
        <v>133</v>
      </c>
      <c r="E56" s="102" t="s">
        <v>5</v>
      </c>
      <c r="F56" s="103">
        <f>SUM(G56:L56)</f>
        <v>0</v>
      </c>
      <c r="G56" s="103"/>
      <c r="H56" s="103">
        <f>IF(BL_Type=1,(H49+H51)*('Step 2.4 - Data Input (OpEx)'!H44*'Step 2.4 - Data Input (OpEx)'!H46)*(1-'Step 2.4 - Data Input (OpEx)'!H19)^0,0)</f>
        <v>0</v>
      </c>
      <c r="I56" s="103">
        <f>IF(BL_Type=1,(I49+I51)*('Step 2.4 - Data Input (OpEx)'!H44*'Step 2.4 - Data Input (OpEx)'!H46)*(1-'Step 2.4 - Data Input (OpEx)'!H19)^1,0)</f>
        <v>0</v>
      </c>
      <c r="J56" s="103">
        <f>IF(BL_Type=1,(J49+J51)*('Step 2.4 - Data Input (OpEx)'!H44*'Step 2.4 - Data Input (OpEx)'!H46)*(1-'Step 2.4 - Data Input (OpEx)'!H19)^2,0)</f>
        <v>0</v>
      </c>
      <c r="K56" s="103">
        <f>IF(BL_Type=1,(K49+K51)*('Step 2.4 - Data Input (OpEx)'!H44*'Step 2.4 - Data Input (OpEx)'!H46)*(1-'Step 2.4 - Data Input (OpEx)'!H19)^3,0)</f>
        <v>0</v>
      </c>
      <c r="L56" s="103">
        <f>IF(BL_Type=1,(L49+L51)*('Step 2.4 - Data Input (OpEx)'!H44*'Step 2.4 - Data Input (OpEx)'!H46)*(1-'Step 2.4 - Data Input (OpEx)'!H19)^4,0)</f>
        <v>0</v>
      </c>
      <c r="M56" s="103"/>
    </row>
    <row r="57" spans="1:13" customFormat="1" ht="15.75" customHeight="1" x14ac:dyDescent="0.2">
      <c r="A57" s="33"/>
      <c r="B57" s="33"/>
      <c r="C57" s="10"/>
      <c r="D57" s="104" t="s">
        <v>134</v>
      </c>
      <c r="E57" s="102" t="s">
        <v>5</v>
      </c>
      <c r="F57" s="103">
        <f t="shared" ref="F57:F60" si="11">SUM(G57:L57)</f>
        <v>0</v>
      </c>
      <c r="G57" s="103"/>
      <c r="H57" s="103">
        <f>IF(OR(BL_Type=2,BL_Type=3),(H49+H51)*('Step 2.4 - Data Input (OpEx)'!H44*'Step 2.4 - Data Input (OpEx)'!H46)*(1-'Step 2.4 - Data Input (OpEx)'!H19)^0,0)</f>
        <v>0</v>
      </c>
      <c r="I57" s="103">
        <f>IF(OR(BL_Type=2,BL_Type=3),(I49+I51)*('Step 2.4 - Data Input (OpEx)'!H44*'Step 2.4 - Data Input (OpEx)'!H46)*(1-'Step 2.4 - Data Input (OpEx)'!H19)^1,0)</f>
        <v>0</v>
      </c>
      <c r="J57" s="103">
        <f>IF(OR(BL_Type=2,BL_Type=3),(J49+J51)*('Step 2.4 - Data Input (OpEx)'!H44*'Step 2.4 - Data Input (OpEx)'!H46)*(1-'Step 2.4 - Data Input (OpEx)'!H19)^2,0)</f>
        <v>0</v>
      </c>
      <c r="K57" s="103">
        <f>IF(OR(BL_Type=2,BL_Type=3),(K49+K51)*('Step 2.4 - Data Input (OpEx)'!H44*'Step 2.4 - Data Input (OpEx)'!H46)*(1-'Step 2.4 - Data Input (OpEx)'!H19)^3,0)</f>
        <v>0</v>
      </c>
      <c r="L57" s="103">
        <f>IF(OR(BL_Type=2,BL_Type=3),(L49+L51)*('Step 2.4 - Data Input (OpEx)'!H44*'Step 2.4 - Data Input (OpEx)'!H46)*(1-'Step 2.4 - Data Input (OpEx)'!H19)^4,0)</f>
        <v>0</v>
      </c>
      <c r="M57" s="103"/>
    </row>
    <row r="58" spans="1:13" customFormat="1" ht="15.75" customHeight="1" x14ac:dyDescent="0.2">
      <c r="A58" s="33"/>
      <c r="B58" s="33"/>
      <c r="C58" s="10"/>
      <c r="D58" s="104" t="s">
        <v>135</v>
      </c>
      <c r="E58" s="102" t="s">
        <v>5</v>
      </c>
      <c r="F58" s="103">
        <f t="shared" si="11"/>
        <v>0</v>
      </c>
      <c r="G58" s="103"/>
      <c r="H58" s="103">
        <f>IF(BL_Type=2,(H49+H51)*('Step 2.4 - Data Input (OpEx)'!H45*'Step 2.4 - Data Input (OpEx)'!H46)*(1-'Step 2.4 - Data Input (OpEx)'!H19)^0,0)</f>
        <v>0</v>
      </c>
      <c r="I58" s="103">
        <f>IF(BL_Type=2,(I49+I51)*('Step 2.4 - Data Input (OpEx)'!H45*'Step 2.4 - Data Input (OpEx)'!H46)*(1-'Step 2.4 - Data Input (OpEx)'!H19)^1,0)</f>
        <v>0</v>
      </c>
      <c r="J58" s="103">
        <f>IF(BL_Type=2,(J49+J51)*('Step 2.4 - Data Input (OpEx)'!H45*'Step 2.4 - Data Input (OpEx)'!H46)*(1-'Step 2.4 - Data Input (OpEx)'!H19)^2,0)</f>
        <v>0</v>
      </c>
      <c r="K58" s="103">
        <f>IF(BL_Type=2,(K49+K51)*('Step 2.4 - Data Input (OpEx)'!H45*'Step 2.4 - Data Input (OpEx)'!H46)*(1-'Step 2.4 - Data Input (OpEx)'!H19)^3,0)</f>
        <v>0</v>
      </c>
      <c r="L58" s="103">
        <f>IF(BL_Type=2,(L49+L51)*('Step 2.4 - Data Input (OpEx)'!H45*'Step 2.4 - Data Input (OpEx)'!H46)*(1-'Step 2.4 - Data Input (OpEx)'!H19)^4,0)</f>
        <v>0</v>
      </c>
      <c r="M58" s="103"/>
    </row>
    <row r="59" spans="1:13" customFormat="1" ht="15.75" customHeight="1" x14ac:dyDescent="0.2">
      <c r="A59" s="33"/>
      <c r="B59" s="33"/>
      <c r="C59" s="10"/>
      <c r="D59" s="104" t="s">
        <v>136</v>
      </c>
      <c r="E59" s="102" t="s">
        <v>5</v>
      </c>
      <c r="F59" s="103">
        <f t="shared" si="11"/>
        <v>0</v>
      </c>
      <c r="G59" s="103"/>
      <c r="H59" s="103">
        <f>IF(BL_Type=3,(H50+H52)*('Step 2.4 - Data Input (OpEx)'!H45*'Step 2.4 - Data Input (OpEx)'!H46)*(1-'Step 2.4 - Data Input (OpEx)'!H19)^0,0)</f>
        <v>0</v>
      </c>
      <c r="I59" s="103">
        <f>IF(BL_Type=3,(I50+I52)*('Step 2.4 - Data Input (OpEx)'!H45*'Step 2.4 - Data Input (OpEx)'!H46)*(1-'Step 2.4 - Data Input (OpEx)'!H19)^1,0)</f>
        <v>0</v>
      </c>
      <c r="J59" s="103">
        <f>IF(BL_Type=3,(J50+J52)*('Step 2.4 - Data Input (OpEx)'!H45*'Step 2.4 - Data Input (OpEx)'!H46)*(1-'Step 2.4 - Data Input (OpEx)'!H19)^2,0)</f>
        <v>0</v>
      </c>
      <c r="K59" s="103">
        <f>IF(BL_Type=3,(K50+K52)*('Step 2.4 - Data Input (OpEx)'!H45*'Step 2.4 - Data Input (OpEx)'!H46)*(1-'Step 2.4 - Data Input (OpEx)'!H19)^3,0)</f>
        <v>0</v>
      </c>
      <c r="L59" s="103">
        <f>IF(BL_Type=3,(L50+L52)*('Step 2.4 - Data Input (OpEx)'!H45*'Step 2.4 - Data Input (OpEx)'!H46)*(1-'Step 2.4 - Data Input (OpEx)'!H19)^4,0)</f>
        <v>0</v>
      </c>
      <c r="M59" s="103"/>
    </row>
    <row r="60" spans="1:13" customFormat="1" ht="15.75" customHeight="1" x14ac:dyDescent="0.2">
      <c r="A60" s="33"/>
      <c r="B60" s="33"/>
      <c r="C60" s="10"/>
      <c r="D60" s="104" t="s">
        <v>137</v>
      </c>
      <c r="E60" s="102" t="s">
        <v>5</v>
      </c>
      <c r="F60" s="103">
        <f t="shared" si="11"/>
        <v>0</v>
      </c>
      <c r="G60" s="103"/>
      <c r="H60" s="103">
        <f>IF(BL_Type=4,(H49+H51)*('Step 2.4 - Data Input (OpEx)'!H48),0)</f>
        <v>0</v>
      </c>
      <c r="I60" s="103">
        <f>IF(BL_Type=4,(I49+I51)*('Step 2.4 - Data Input (OpEx)'!H48),0)</f>
        <v>0</v>
      </c>
      <c r="J60" s="103">
        <f>IF(BL_Type=4,(J49+J51)*('Step 2.4 - Data Input (OpEx)'!H48),0)</f>
        <v>0</v>
      </c>
      <c r="K60" s="103">
        <f>IF(BL_Type=4,(K49+K51)*('Step 2.4 - Data Input (OpEx)'!H48),0)</f>
        <v>0</v>
      </c>
      <c r="L60" s="103">
        <f>IF(BL_Type=4,(L49+L51)*('Step 2.4 - Data Input (OpEx)'!H48),0)</f>
        <v>0</v>
      </c>
      <c r="M60" s="103"/>
    </row>
    <row r="61" spans="1:13" customFormat="1" ht="15.75" customHeight="1" x14ac:dyDescent="0.2">
      <c r="A61" s="33"/>
      <c r="B61" s="33"/>
      <c r="C61" s="13" t="s">
        <v>161</v>
      </c>
      <c r="D61" s="13"/>
      <c r="E61" s="11" t="s">
        <v>5</v>
      </c>
      <c r="F61" s="12">
        <f>SUM(G61:L61)</f>
        <v>0</v>
      </c>
      <c r="G61" s="12"/>
      <c r="H61" s="12">
        <f>SUM(H62:H66)</f>
        <v>0</v>
      </c>
      <c r="I61" s="12">
        <f>SUM(I62:I66)</f>
        <v>0</v>
      </c>
      <c r="J61" s="12">
        <f>SUM(J62:J66)</f>
        <v>0</v>
      </c>
      <c r="K61" s="12">
        <f>SUM(K62:K66)</f>
        <v>0</v>
      </c>
      <c r="L61" s="12">
        <f>SUM(L62:L66)</f>
        <v>0</v>
      </c>
      <c r="M61" s="12"/>
    </row>
    <row r="62" spans="1:13" customFormat="1" ht="15.75" customHeight="1" x14ac:dyDescent="0.2">
      <c r="A62" s="33"/>
      <c r="B62" s="33"/>
      <c r="C62" s="13"/>
      <c r="D62" s="104" t="s">
        <v>133</v>
      </c>
      <c r="E62" s="102" t="s">
        <v>5</v>
      </c>
      <c r="F62" s="103">
        <f>SUM(G62:L62)</f>
        <v>0</v>
      </c>
      <c r="G62" s="103"/>
      <c r="H62" s="103">
        <f>IF(BL_Type=1,H53*('Step 2.4 - Data Input (OpEx)'!H44*'Step 2.4 - Data Input (OpEx)'!H46)*(1-'Step 2.4 - Data Input (OpEx)'!H19)^0,0)</f>
        <v>0</v>
      </c>
      <c r="I62" s="103">
        <f>IF(BL_Type=1,I53*('Step 2.4 - Data Input (OpEx)'!H44*'Step 2.4 - Data Input (OpEx)'!H46)*(1-'Step 2.4 - Data Input (OpEx)'!H19)^1,0)</f>
        <v>0</v>
      </c>
      <c r="J62" s="103">
        <f>IF(BL_Type=1,J53*('Step 2.4 - Data Input (OpEx)'!H44*'Step 2.4 - Data Input (OpEx)'!H46)*(1-'Step 2.4 - Data Input (OpEx)'!H19)^2,0)</f>
        <v>0</v>
      </c>
      <c r="K62" s="103">
        <f>IF(BL_Type=1,K53*('Step 2.4 - Data Input (OpEx)'!H44*'Step 2.4 - Data Input (OpEx)'!H46)*(1-'Step 2.4 - Data Input (OpEx)'!H19)^3,0)</f>
        <v>0</v>
      </c>
      <c r="L62" s="103">
        <f>IF(BL_Type=1,L53*('Step 2.4 - Data Input (OpEx)'!H44*'Step 2.4 - Data Input (OpEx)'!H46)*(1-'Step 2.4 - Data Input (OpEx)'!H19)^4,0)</f>
        <v>0</v>
      </c>
      <c r="M62" s="103">
        <f>IF(BL_Type=1,M53*('Step 2.4 - Data Input (OpEx)'!H44*'Step 2.4 - Data Input (OpEx)'!H46)*(1-'Step 2.4 - Data Input (OpEx)'!H19)^5,0)</f>
        <v>0</v>
      </c>
    </row>
    <row r="63" spans="1:13" customFormat="1" ht="15.75" customHeight="1" x14ac:dyDescent="0.2">
      <c r="A63" s="33"/>
      <c r="B63" s="33"/>
      <c r="C63" s="13"/>
      <c r="D63" s="104" t="s">
        <v>134</v>
      </c>
      <c r="E63" s="102" t="s">
        <v>5</v>
      </c>
      <c r="F63" s="103">
        <f t="shared" ref="F63:F67" si="12">SUM(G63:L63)</f>
        <v>0</v>
      </c>
      <c r="G63" s="103"/>
      <c r="H63" s="103">
        <f>IF(OR(BL_Type=2,BL_Type=3),H53*('Step 2.4 - Data Input (OpEx)'!H44*'Step 2.4 - Data Input (OpEx)'!H46)*(1-'Step 2.4 - Data Input (OpEx)'!H19)^0,0)</f>
        <v>0</v>
      </c>
      <c r="I63" s="103">
        <f>IF(OR(BL_Type=2,BL_Type=3),I53*('Step 2.4 - Data Input (OpEx)'!H44*'Step 2.4 - Data Input (OpEx)'!H46)*(1-'Step 2.4 - Data Input (OpEx)'!H19)^1,0)</f>
        <v>0</v>
      </c>
      <c r="J63" s="103">
        <f>IF(OR(BL_Type=2,BL_Type=3),J53*('Step 2.4 - Data Input (OpEx)'!H44*'Step 2.4 - Data Input (OpEx)'!H46)*(1-'Step 2.4 - Data Input (OpEx)'!H19)^2,0)</f>
        <v>0</v>
      </c>
      <c r="K63" s="103">
        <f>IF(OR(BL_Type=2,BL_Type=3),K53*('Step 2.4 - Data Input (OpEx)'!H44*'Step 2.4 - Data Input (OpEx)'!H46)*(1-'Step 2.4 - Data Input (OpEx)'!H19)^3,0)</f>
        <v>0</v>
      </c>
      <c r="L63" s="103">
        <f>IF(OR(BL_Type=2,BL_Type=3),L53*('Step 2.4 - Data Input (OpEx)'!H44*'Step 2.4 - Data Input (OpEx)'!H46)*(1-'Step 2.4 - Data Input (OpEx)'!H19)^4,0)</f>
        <v>0</v>
      </c>
      <c r="M63" s="103">
        <f>IF(OR(BL_Type=2,BL_Type=3),M53*('Step 2.4 - Data Input (OpEx)'!H44*'Step 2.4 - Data Input (OpEx)'!H46)*(1-'Step 2.4 - Data Input (OpEx)'!H19)^5,0)</f>
        <v>0</v>
      </c>
    </row>
    <row r="64" spans="1:13" customFormat="1" ht="15.75" customHeight="1" x14ac:dyDescent="0.2">
      <c r="A64" s="33"/>
      <c r="B64" s="33"/>
      <c r="C64" s="13"/>
      <c r="D64" s="104" t="s">
        <v>135</v>
      </c>
      <c r="E64" s="102" t="s">
        <v>5</v>
      </c>
      <c r="F64" s="103">
        <f t="shared" si="12"/>
        <v>0</v>
      </c>
      <c r="G64" s="103"/>
      <c r="H64" s="103">
        <f>IF(BL_Type=2,H53*('Step 2.4 - Data Input (OpEx)'!H45*'Step 2.4 - Data Input (OpEx)'!H46)*(1-'Step 2.4 - Data Input (OpEx)'!H19)^0,0)</f>
        <v>0</v>
      </c>
      <c r="I64" s="103">
        <f>IF(BL_Type=2,I53*('Step 2.4 - Data Input (OpEx)'!H45*'Step 2.4 - Data Input (OpEx)'!H46)*(1-'Step 2.4 - Data Input (OpEx)'!H19)^1,0)</f>
        <v>0</v>
      </c>
      <c r="J64" s="103">
        <f>IF(BL_Type=2,J53*('Step 2.4 - Data Input (OpEx)'!H45*'Step 2.4 - Data Input (OpEx)'!H46)*(1-'Step 2.4 - Data Input (OpEx)'!H19)^2,0)</f>
        <v>0</v>
      </c>
      <c r="K64" s="103">
        <f>IF(BL_Type=2,K53*('Step 2.4 - Data Input (OpEx)'!H45*'Step 2.4 - Data Input (OpEx)'!H46)*(1-'Step 2.4 - Data Input (OpEx)'!H19)^3,0)</f>
        <v>0</v>
      </c>
      <c r="L64" s="103">
        <f>IF(BL_Type=2,L53*('Step 2.4 - Data Input (OpEx)'!H45*'Step 2.4 - Data Input (OpEx)'!H46)*(1-'Step 2.4 - Data Input (OpEx)'!H19)^4,0)</f>
        <v>0</v>
      </c>
      <c r="M64" s="103">
        <f>IF(BL_Type=2,M53*('Step 2.4 - Data Input (OpEx)'!H45*'Step 2.4 - Data Input (OpEx)'!H46)*(1-'Step 2.4 - Data Input (OpEx)'!H19)^5,0)</f>
        <v>0</v>
      </c>
    </row>
    <row r="65" spans="1:13" customFormat="1" ht="15.75" customHeight="1" x14ac:dyDescent="0.2">
      <c r="A65" s="33"/>
      <c r="B65" s="33"/>
      <c r="C65" s="13"/>
      <c r="D65" s="104" t="s">
        <v>136</v>
      </c>
      <c r="E65" s="102" t="s">
        <v>5</v>
      </c>
      <c r="F65" s="103">
        <f t="shared" si="12"/>
        <v>0</v>
      </c>
      <c r="G65" s="103"/>
      <c r="H65" s="103">
        <f>IF(BL_Type=3,H53*'Step 2.1 - Data Input (General)'!H24*('Step 2.4 - Data Input (OpEx)'!H45*'Step 2.4 - Data Input (OpEx)'!H46)*(1-'Step 2.4 - Data Input (OpEx)'!H19)^0,0)</f>
        <v>0</v>
      </c>
      <c r="I65" s="103">
        <f>IF(BL_Type=3,I53*'Step 2.1 - Data Input (General)'!H24*('Step 2.4 - Data Input (OpEx)'!H45*'Step 2.4 - Data Input (OpEx)'!H46)*(1-'Step 2.4 - Data Input (OpEx)'!H19)^1,0)</f>
        <v>0</v>
      </c>
      <c r="J65" s="103">
        <f>IF(BL_Type=3,J53*'Step 2.1 - Data Input (General)'!H24*('Step 2.4 - Data Input (OpEx)'!H45*'Step 2.4 - Data Input (OpEx)'!H46)*(1-'Step 2.4 - Data Input (OpEx)'!H19)^2,0)</f>
        <v>0</v>
      </c>
      <c r="K65" s="103">
        <f>IF(BL_Type=3,K53*'Step 2.1 - Data Input (General)'!H24*('Step 2.4 - Data Input (OpEx)'!H45*'Step 2.4 - Data Input (OpEx)'!H46)*(1-'Step 2.4 - Data Input (OpEx)'!H19)^3,0)</f>
        <v>0</v>
      </c>
      <c r="L65" s="103">
        <f>IF(BL_Type=3,L53*'Step 2.1 - Data Input (General)'!H24*('Step 2.4 - Data Input (OpEx)'!H45*'Step 2.4 - Data Input (OpEx)'!H46)*(1-'Step 2.4 - Data Input (OpEx)'!H19)^4,0)</f>
        <v>0</v>
      </c>
      <c r="M65" s="103">
        <f>IF(BL_Type=3,M53*'Step 2.1 - Data Input (General)'!H24*('Step 2.4 - Data Input (OpEx)'!H45*'Step 2.4 - Data Input (OpEx)'!H46)*(1-'Step 2.4 - Data Input (OpEx)'!H19)^5,0)</f>
        <v>0</v>
      </c>
    </row>
    <row r="66" spans="1:13" customFormat="1" ht="15.75" customHeight="1" x14ac:dyDescent="0.2">
      <c r="A66" s="33"/>
      <c r="B66" s="33"/>
      <c r="C66" s="13"/>
      <c r="D66" s="104" t="s">
        <v>137</v>
      </c>
      <c r="E66" s="102" t="s">
        <v>5</v>
      </c>
      <c r="F66" s="103">
        <f t="shared" si="12"/>
        <v>0</v>
      </c>
      <c r="G66" s="103"/>
      <c r="H66" s="103">
        <f>IF(BL_Type=4,H53*('Step 2.4 - Data Input (OpEx)'!H48),0)</f>
        <v>0</v>
      </c>
      <c r="I66" s="103">
        <f>IF(BL_Type=4,I53*('Step 2.4 - Data Input (OpEx)'!H48),0)</f>
        <v>0</v>
      </c>
      <c r="J66" s="103">
        <f>IF(BL_Type=4,J53*('Step 2.4 - Data Input (OpEx)'!H48),0)</f>
        <v>0</v>
      </c>
      <c r="K66" s="103">
        <f>IF(BL_Type=4,K53*('Step 2.4 - Data Input (OpEx)'!H48),0)</f>
        <v>0</v>
      </c>
      <c r="L66" s="103">
        <f>IF(BL_Type=4,L53*('Step 2.4 - Data Input (OpEx)'!H48),0)</f>
        <v>0</v>
      </c>
      <c r="M66" s="103">
        <f>IF(BL_Type=4,M53*('Step 2.4 - Data Input (OpEx)'!H48),0)</f>
        <v>0</v>
      </c>
    </row>
    <row r="67" spans="1:13" customFormat="1" ht="15.75" customHeight="1" x14ac:dyDescent="0.2">
      <c r="A67" s="33"/>
      <c r="B67" s="33"/>
      <c r="C67" s="13"/>
      <c r="D67" s="104" t="s">
        <v>163</v>
      </c>
      <c r="E67" s="102" t="s">
        <v>5</v>
      </c>
      <c r="F67" s="103">
        <f t="shared" si="12"/>
        <v>0</v>
      </c>
      <c r="G67" s="103"/>
      <c r="H67" s="103"/>
      <c r="I67" s="103"/>
      <c r="J67" s="103"/>
      <c r="K67" s="103"/>
      <c r="L67" s="103"/>
      <c r="M67" s="103">
        <f>SUM(M62:M66)</f>
        <v>0</v>
      </c>
    </row>
    <row r="68" spans="1:13" customFormat="1" ht="15.75" customHeight="1" x14ac:dyDescent="0.2">
      <c r="A68" s="33"/>
      <c r="B68" s="33"/>
      <c r="C68" s="13" t="s">
        <v>421</v>
      </c>
      <c r="D68" s="13"/>
      <c r="E68" s="11" t="s">
        <v>5</v>
      </c>
      <c r="F68" s="12">
        <f>SUM(G68:L68)</f>
        <v>0</v>
      </c>
      <c r="G68" s="12"/>
      <c r="H68" s="12">
        <f>'Step 2.4 - Data Input (OpEx)'!H47*(H49+H51+H53)</f>
        <v>0</v>
      </c>
      <c r="I68" s="12">
        <f>'Step 2.4 - Data Input (OpEx)'!H47*(I49+I51+I53)</f>
        <v>0</v>
      </c>
      <c r="J68" s="12">
        <f>'Step 2.4 - Data Input (OpEx)'!H47*(J49+J51+J53)</f>
        <v>0</v>
      </c>
      <c r="K68" s="12">
        <f>'Step 2.4 - Data Input (OpEx)'!H47*(K49+K51+K53)</f>
        <v>0</v>
      </c>
      <c r="L68" s="12">
        <f>'Step 2.4 - Data Input (OpEx)'!H47*(L49+L51+L53)</f>
        <v>0</v>
      </c>
      <c r="M68" s="12"/>
    </row>
    <row r="69" spans="1:13" customFormat="1" ht="7.5" customHeight="1" x14ac:dyDescent="0.2">
      <c r="A69" s="62"/>
      <c r="B69" s="62"/>
      <c r="C69" s="61"/>
      <c r="D69" s="61"/>
      <c r="E69" s="63"/>
      <c r="F69" s="61"/>
      <c r="G69" s="61"/>
      <c r="H69" s="61"/>
      <c r="I69" s="61"/>
      <c r="J69" s="61"/>
      <c r="K69" s="61"/>
      <c r="L69" s="61"/>
      <c r="M69" s="61"/>
    </row>
    <row r="70" spans="1:13" customFormat="1" ht="15.75" customHeight="1" x14ac:dyDescent="0.2">
      <c r="A70" s="96"/>
      <c r="B70" s="96" t="s">
        <v>208</v>
      </c>
      <c r="C70" s="95"/>
      <c r="D70" s="95"/>
      <c r="E70" s="97" t="s">
        <v>5</v>
      </c>
      <c r="F70" s="98">
        <f>SUM(G70:L70)</f>
        <v>0</v>
      </c>
      <c r="G70" s="99"/>
      <c r="H70" s="100">
        <f>SUM(H71:H72)+'Step 2.4 - Data Input (OpEx)'!H55</f>
        <v>0</v>
      </c>
      <c r="I70" s="100">
        <f>SUM(I71:I72)+'Step 2.4 - Data Input (OpEx)'!H55</f>
        <v>0</v>
      </c>
      <c r="J70" s="100">
        <f>SUM(J71:J72)+'Step 2.4 - Data Input (OpEx)'!H55</f>
        <v>0</v>
      </c>
      <c r="K70" s="100">
        <f>SUM(K71:K72)+'Step 2.4 - Data Input (OpEx)'!H55</f>
        <v>0</v>
      </c>
      <c r="L70" s="100">
        <f>SUM(L71:L72)+'Step 2.4 - Data Input (OpEx)'!H55</f>
        <v>0</v>
      </c>
      <c r="M70" s="99"/>
    </row>
    <row r="71" spans="1:13" customFormat="1" ht="15.75" customHeight="1" x14ac:dyDescent="0.2">
      <c r="A71" s="33"/>
      <c r="B71" s="33"/>
      <c r="C71" s="10" t="s">
        <v>158</v>
      </c>
      <c r="D71" s="10"/>
      <c r="E71" s="11" t="s">
        <v>5</v>
      </c>
      <c r="F71" s="12">
        <f t="shared" ref="F71:F72" si="13">SUM(G71:L71)</f>
        <v>0</v>
      </c>
      <c r="G71" s="12"/>
      <c r="H71" s="12">
        <f>'Step 2.4 - Data Input (OpEx)'!H53*'Step 2.4 - Data Input (OpEx)'!H6*(H49+H51)*(1-'Step 2.4 - Data Input (OpEx)'!H17)^0</f>
        <v>0</v>
      </c>
      <c r="I71" s="12">
        <f>'Step 2.4 - Data Input (OpEx)'!H53*'Step 2.4 - Data Input (OpEx)'!H6*(I49+I51)*(1-'Step 2.4 - Data Input (OpEx)'!H17)^1</f>
        <v>0</v>
      </c>
      <c r="J71" s="12">
        <f>'Step 2.4 - Data Input (OpEx)'!H53*'Step 2.4 - Data Input (OpEx)'!H6*(J49+J51)*(1-'Step 2.4 - Data Input (OpEx)'!H17)^2</f>
        <v>0</v>
      </c>
      <c r="K71" s="12">
        <f>'Step 2.4 - Data Input (OpEx)'!H53*'Step 2.4 - Data Input (OpEx)'!H6*(K49+K51)*(1-'Step 2.4 - Data Input (OpEx)'!H17)^3</f>
        <v>0</v>
      </c>
      <c r="L71" s="12">
        <f>'Step 2.4 - Data Input (OpEx)'!H53*'Step 2.4 - Data Input (OpEx)'!H6*(L49+L51)*(1-'Step 2.4 - Data Input (OpEx)'!H17)^4</f>
        <v>0</v>
      </c>
      <c r="M71" s="12"/>
    </row>
    <row r="72" spans="1:13" customFormat="1" ht="15.75" customHeight="1" x14ac:dyDescent="0.2">
      <c r="A72" s="33"/>
      <c r="B72" s="33"/>
      <c r="C72" s="10" t="s">
        <v>159</v>
      </c>
      <c r="D72" s="10"/>
      <c r="E72" s="11" t="s">
        <v>5</v>
      </c>
      <c r="F72" s="12">
        <f t="shared" si="13"/>
        <v>0</v>
      </c>
      <c r="G72" s="12"/>
      <c r="H72" s="12">
        <f>'Step 2.4 - Data Input (OpEx)'!H54*'Step 2.4 - Data Input (OpEx)'!H8*(H49+H51)*(1-'Step 2.4 - Data Input (OpEx)'!H18)^0</f>
        <v>0</v>
      </c>
      <c r="I72" s="12">
        <f>'Step 2.4 - Data Input (OpEx)'!H54*'Step 2.4 - Data Input (OpEx)'!H8*(I49+I51)*(1-'Step 2.4 - Data Input (OpEx)'!H18)^1</f>
        <v>0</v>
      </c>
      <c r="J72" s="12">
        <f>'Step 2.4 - Data Input (OpEx)'!H54*'Step 2.4 - Data Input (OpEx)'!H8*(J49+J51)*(1-'Step 2.4 - Data Input (OpEx)'!H18)^2</f>
        <v>0</v>
      </c>
      <c r="K72" s="12">
        <f>'Step 2.4 - Data Input (OpEx)'!H54*'Step 2.4 - Data Input (OpEx)'!H8*(K49+K51)*(1-'Step 2.4 - Data Input (OpEx)'!H18)^3</f>
        <v>0</v>
      </c>
      <c r="L72" s="12">
        <f>'Step 2.4 - Data Input (OpEx)'!H54*'Step 2.4 - Data Input (OpEx)'!H8*(L49+L51)*(1-'Step 2.4 - Data Input (OpEx)'!H18)^4</f>
        <v>0</v>
      </c>
      <c r="M72" s="12"/>
    </row>
    <row r="73" spans="1:13" customFormat="1" ht="7.5" customHeight="1" x14ac:dyDescent="0.2">
      <c r="A73" s="62"/>
      <c r="B73" s="62"/>
      <c r="C73" s="61"/>
      <c r="D73" s="61"/>
      <c r="E73" s="63"/>
      <c r="F73" s="61"/>
      <c r="G73" s="61"/>
      <c r="H73" s="61"/>
      <c r="I73" s="61"/>
      <c r="J73" s="61"/>
      <c r="K73" s="61"/>
      <c r="L73" s="61"/>
      <c r="M73" s="61"/>
    </row>
    <row r="74" spans="1:13" customFormat="1" ht="15.75" customHeight="1" x14ac:dyDescent="0.2">
      <c r="A74" s="96"/>
      <c r="B74" s="96" t="s">
        <v>138</v>
      </c>
      <c r="C74" s="95"/>
      <c r="D74" s="95"/>
      <c r="E74" s="97" t="s">
        <v>5</v>
      </c>
      <c r="F74" s="98">
        <f>SUM(G74:L74)</f>
        <v>0</v>
      </c>
      <c r="G74" s="99"/>
      <c r="H74" s="99">
        <f>SUM(H75:H77)+'Step 2.4 - Data Input (OpEx)'!H61</f>
        <v>0</v>
      </c>
      <c r="I74" s="99">
        <f>SUM(I75:I77)+'Step 2.4 - Data Input (OpEx)'!H61</f>
        <v>0</v>
      </c>
      <c r="J74" s="99">
        <f>SUM(J75:J77)+'Step 2.4 - Data Input (OpEx)'!H61</f>
        <v>0</v>
      </c>
      <c r="K74" s="99">
        <f>SUM(K75:K77)+'Step 2.4 - Data Input (OpEx)'!H61</f>
        <v>0</v>
      </c>
      <c r="L74" s="99">
        <f>SUM(L75:L77)+'Step 2.4 - Data Input (OpEx)'!H61</f>
        <v>0</v>
      </c>
      <c r="M74" s="99"/>
    </row>
    <row r="75" spans="1:13" customFormat="1" ht="15.75" customHeight="1" x14ac:dyDescent="0.2">
      <c r="A75" s="33"/>
      <c r="B75" s="33"/>
      <c r="C75" s="10" t="s">
        <v>158</v>
      </c>
      <c r="D75" s="10"/>
      <c r="E75" s="11" t="s">
        <v>5</v>
      </c>
      <c r="F75" s="12">
        <f t="shared" ref="F75:F77" si="14">SUM(G75:L75)</f>
        <v>0</v>
      </c>
      <c r="G75" s="12"/>
      <c r="H75" s="12">
        <f>'Step 2.4 - Data Input (OpEx)'!H58*'Step 2.4 - Data Input (OpEx)'!H6*(H49+H51)*(1-'Step 2.4 - Data Input (OpEx)'!H17)^0</f>
        <v>0</v>
      </c>
      <c r="I75" s="12">
        <f>'Step 2.4 - Data Input (OpEx)'!H58*'Step 2.4 - Data Input (OpEx)'!H6*(I49+I51)*(1-'Step 2.4 - Data Input (OpEx)'!H17)^1</f>
        <v>0</v>
      </c>
      <c r="J75" s="12">
        <f>'Step 2.4 - Data Input (OpEx)'!H58*'Step 2.4 - Data Input (OpEx)'!H6*(J49+J51)*(1-'Step 2.4 - Data Input (OpEx)'!H17)^2</f>
        <v>0</v>
      </c>
      <c r="K75" s="12">
        <f>'Step 2.4 - Data Input (OpEx)'!H58*'Step 2.4 - Data Input (OpEx)'!H6*(K49+K51)*(1-'Step 2.4 - Data Input (OpEx)'!H17)^3</f>
        <v>0</v>
      </c>
      <c r="L75" s="12">
        <f>'Step 2.4 - Data Input (OpEx)'!H58*'Step 2.4 - Data Input (OpEx)'!H6*(L49+L51)*(1-'Step 2.4 - Data Input (OpEx)'!H17)^4</f>
        <v>0</v>
      </c>
      <c r="M75" s="12"/>
    </row>
    <row r="76" spans="1:13" customFormat="1" ht="15.75" customHeight="1" x14ac:dyDescent="0.2">
      <c r="A76" s="33"/>
      <c r="B76" s="33"/>
      <c r="C76" s="10" t="s">
        <v>159</v>
      </c>
      <c r="D76" s="10"/>
      <c r="E76" s="11" t="s">
        <v>5</v>
      </c>
      <c r="F76" s="12">
        <f t="shared" si="14"/>
        <v>0</v>
      </c>
      <c r="G76" s="12"/>
      <c r="H76" s="12">
        <f>'Step 2.4 - Data Input (OpEx)'!H59*'Step 2.4 - Data Input (OpEx)'!H8*(H49+H51)*(1-'Step 2.4 - Data Input (OpEx)'!H18)^0</f>
        <v>0</v>
      </c>
      <c r="I76" s="12">
        <f>'Step 2.4 - Data Input (OpEx)'!H59*'Step 2.4 - Data Input (OpEx)'!H8*(I49+I51)*(1-'Step 2.4 - Data Input (OpEx)'!H18)^1</f>
        <v>0</v>
      </c>
      <c r="J76" s="12">
        <f>'Step 2.4 - Data Input (OpEx)'!H59*'Step 2.4 - Data Input (OpEx)'!H8*(J49+J51)*(1-'Step 2.4 - Data Input (OpEx)'!H18)^2</f>
        <v>0</v>
      </c>
      <c r="K76" s="12">
        <f>'Step 2.4 - Data Input (OpEx)'!H59*'Step 2.4 - Data Input (OpEx)'!H8*(K49+K51)*(1-'Step 2.4 - Data Input (OpEx)'!H18)^3</f>
        <v>0</v>
      </c>
      <c r="L76" s="12">
        <f>'Step 2.4 - Data Input (OpEx)'!H59*'Step 2.4 - Data Input (OpEx)'!H8*(L49+L51)*(1-'Step 2.4 - Data Input (OpEx)'!H18)^4</f>
        <v>0</v>
      </c>
      <c r="M76" s="12"/>
    </row>
    <row r="77" spans="1:13" customFormat="1" ht="15.75" customHeight="1" x14ac:dyDescent="0.2">
      <c r="A77" s="33"/>
      <c r="B77" s="33"/>
      <c r="C77" s="10" t="s">
        <v>167</v>
      </c>
      <c r="D77" s="10"/>
      <c r="E77" s="11" t="s">
        <v>5</v>
      </c>
      <c r="F77" s="12">
        <f t="shared" si="14"/>
        <v>0</v>
      </c>
      <c r="G77" s="12"/>
      <c r="H77" s="12">
        <f>'Step 2.4 - Data Input (OpEx)'!H60*((H49-H50)+(H51-H52))</f>
        <v>0</v>
      </c>
      <c r="I77" s="12">
        <f>'Step 2.4 - Data Input (OpEx)'!H60*((I49-I50)+(I51-I52))</f>
        <v>0</v>
      </c>
      <c r="J77" s="12">
        <f>'Step 2.4 - Data Input (OpEx)'!H60*((J49-J50)+(J51-J52))</f>
        <v>0</v>
      </c>
      <c r="K77" s="12">
        <f>'Step 2.4 - Data Input (OpEx)'!H60*((K49-K50)+(K51-K52))</f>
        <v>0</v>
      </c>
      <c r="L77" s="12">
        <f>'Step 2.4 - Data Input (OpEx)'!H60*((L49-L50)+(L51-L52))</f>
        <v>0</v>
      </c>
      <c r="M77" s="12"/>
    </row>
    <row r="78" spans="1:13" customFormat="1" ht="7.5" customHeight="1" x14ac:dyDescent="0.2">
      <c r="A78" s="62"/>
      <c r="B78" s="62"/>
      <c r="C78" s="61"/>
      <c r="D78" s="61"/>
      <c r="E78" s="63"/>
      <c r="F78" s="61"/>
      <c r="G78" s="61"/>
      <c r="H78" s="61"/>
      <c r="I78" s="61"/>
      <c r="J78" s="61"/>
      <c r="K78" s="61"/>
      <c r="L78" s="61"/>
      <c r="M78" s="61"/>
    </row>
    <row r="79" spans="1:13" customFormat="1" ht="15" customHeight="1" x14ac:dyDescent="0.2">
      <c r="A79" s="96"/>
      <c r="B79" s="96" t="s">
        <v>139</v>
      </c>
      <c r="C79" s="95"/>
      <c r="D79" s="95"/>
      <c r="E79" s="97" t="s">
        <v>5</v>
      </c>
      <c r="F79" s="98">
        <f>SUM(G79:L79)</f>
        <v>0</v>
      </c>
      <c r="G79" s="99"/>
      <c r="H79" s="99">
        <f>SUM(H80:H81)+'Step 2.4 - Data Input (OpEx)'!H66</f>
        <v>0</v>
      </c>
      <c r="I79" s="99">
        <f>SUM(I80:I81)+'Step 2.4 - Data Input (OpEx)'!H66</f>
        <v>0</v>
      </c>
      <c r="J79" s="99">
        <f>SUM(J80:J81)+'Step 2.4 - Data Input (OpEx)'!H66</f>
        <v>0</v>
      </c>
      <c r="K79" s="99">
        <f>SUM(K80:K81)+'Step 2.4 - Data Input (OpEx)'!H66</f>
        <v>0</v>
      </c>
      <c r="L79" s="99">
        <f>SUM(L80:L81)+'Step 2.4 - Data Input (OpEx)'!H66</f>
        <v>0</v>
      </c>
      <c r="M79" s="99"/>
    </row>
    <row r="80" spans="1:13" customFormat="1" ht="15.75" customHeight="1" x14ac:dyDescent="0.2">
      <c r="A80" s="33"/>
      <c r="B80" s="33"/>
      <c r="C80" s="10" t="s">
        <v>158</v>
      </c>
      <c r="D80" s="10"/>
      <c r="E80" s="11" t="s">
        <v>5</v>
      </c>
      <c r="F80" s="12">
        <f t="shared" ref="F80:F81" si="15">SUM(G80:L80)</f>
        <v>0</v>
      </c>
      <c r="G80" s="12"/>
      <c r="H80" s="12">
        <f>'Step 2.4 - Data Input (OpEx)'!H64*'Step 2.4 - Data Input (OpEx)'!H6*(H50+H52)*(1-'Step 2.4 - Data Input (OpEx)'!H17)^0</f>
        <v>0</v>
      </c>
      <c r="I80" s="12">
        <f>'Step 2.4 - Data Input (OpEx)'!H64*'Step 2.4 - Data Input (OpEx)'!H6*(I50+I52)*(1-'Step 2.4 - Data Input (OpEx)'!H17)^1</f>
        <v>0</v>
      </c>
      <c r="J80" s="12">
        <f>'Step 2.4 - Data Input (OpEx)'!H64*'Step 2.4 - Data Input (OpEx)'!H6*(J50+J52)*(1-'Step 2.4 - Data Input (OpEx)'!H17)^2</f>
        <v>0</v>
      </c>
      <c r="K80" s="12">
        <f>'Step 2.4 - Data Input (OpEx)'!H64*'Step 2.4 - Data Input (OpEx)'!H6*(K50+K52)*(1-'Step 2.4 - Data Input (OpEx)'!H17)^3</f>
        <v>0</v>
      </c>
      <c r="L80" s="12">
        <f>'Step 2.4 - Data Input (OpEx)'!H64*'Step 2.4 - Data Input (OpEx)'!H6*(L50+L52)*(1-'Step 2.4 - Data Input (OpEx)'!H17)^4</f>
        <v>0</v>
      </c>
      <c r="M80" s="12"/>
    </row>
    <row r="81" spans="1:13" customFormat="1" ht="15.75" customHeight="1" x14ac:dyDescent="0.2">
      <c r="A81" s="33"/>
      <c r="B81" s="33"/>
      <c r="C81" s="10" t="s">
        <v>159</v>
      </c>
      <c r="D81" s="10"/>
      <c r="E81" s="11" t="s">
        <v>5</v>
      </c>
      <c r="F81" s="12">
        <f t="shared" si="15"/>
        <v>0</v>
      </c>
      <c r="G81" s="12"/>
      <c r="H81" s="12">
        <f>'Step 2.4 - Data Input (OpEx)'!H65*'Step 2.4 - Data Input (OpEx)'!H8*(H50+H52)*(1-'Step 2.4 - Data Input (OpEx)'!H18)^0</f>
        <v>0</v>
      </c>
      <c r="I81" s="12">
        <f>'Step 2.4 - Data Input (OpEx)'!H65*'Step 2.4 - Data Input (OpEx)'!H8*(I50+I52)*(1-'Step 2.4 - Data Input (OpEx)'!H18)^1</f>
        <v>0</v>
      </c>
      <c r="J81" s="12">
        <f>'Step 2.4 - Data Input (OpEx)'!H65*'Step 2.4 - Data Input (OpEx)'!H8*(J50+J52)*(1-'Step 2.4 - Data Input (OpEx)'!H18)^2</f>
        <v>0</v>
      </c>
      <c r="K81" s="12">
        <f>'Step 2.4 - Data Input (OpEx)'!H65*'Step 2.4 - Data Input (OpEx)'!H8*(K50+K52)*(1-'Step 2.4 - Data Input (OpEx)'!H18)^3</f>
        <v>0</v>
      </c>
      <c r="L81" s="12">
        <f>'Step 2.4 - Data Input (OpEx)'!H65*'Step 2.4 - Data Input (OpEx)'!H8*(L50+L52)*(1-'Step 2.4 - Data Input (OpEx)'!H18)^4</f>
        <v>0</v>
      </c>
      <c r="M81" s="12"/>
    </row>
    <row r="82" spans="1:13" customFormat="1" ht="7.5" customHeight="1" x14ac:dyDescent="0.2">
      <c r="A82" s="62"/>
      <c r="B82" s="62"/>
      <c r="C82" s="61"/>
      <c r="D82" s="61"/>
      <c r="E82" s="63"/>
      <c r="F82" s="61"/>
      <c r="G82" s="61"/>
      <c r="H82" s="61"/>
      <c r="I82" s="61"/>
      <c r="J82" s="61"/>
      <c r="K82" s="61"/>
      <c r="L82" s="61"/>
      <c r="M82" s="61"/>
    </row>
    <row r="83" spans="1:13" customFormat="1" ht="15.75" customHeight="1" x14ac:dyDescent="0.2">
      <c r="A83" s="96"/>
      <c r="B83" s="96" t="s">
        <v>140</v>
      </c>
      <c r="C83" s="95"/>
      <c r="D83" s="95"/>
      <c r="E83" s="97" t="s">
        <v>5</v>
      </c>
      <c r="F83" s="98">
        <f>SUM(G83:L83)</f>
        <v>0</v>
      </c>
      <c r="G83" s="99"/>
      <c r="H83" s="99">
        <f>SUM(H84:H87)+'Step 2.4 - Data Input (OpEx)'!H75</f>
        <v>0</v>
      </c>
      <c r="I83" s="99">
        <f>SUM(I84:I87)+'Step 2.4 - Data Input (OpEx)'!H75</f>
        <v>0</v>
      </c>
      <c r="J83" s="99">
        <f>SUM(J84:J87)+'Step 2.4 - Data Input (OpEx)'!H75</f>
        <v>0</v>
      </c>
      <c r="K83" s="99">
        <f>SUM(K84:K87)+'Step 2.4 - Data Input (OpEx)'!H75</f>
        <v>0</v>
      </c>
      <c r="L83" s="99">
        <f>SUM(L84:L87)+'Step 2.4 - Data Input (OpEx)'!H75</f>
        <v>0</v>
      </c>
      <c r="M83" s="99"/>
    </row>
    <row r="84" spans="1:13" customFormat="1" ht="15.75" customHeight="1" x14ac:dyDescent="0.2">
      <c r="A84" s="33"/>
      <c r="B84" s="33"/>
      <c r="C84" s="10" t="s">
        <v>158</v>
      </c>
      <c r="D84" s="10"/>
      <c r="E84" s="11" t="s">
        <v>5</v>
      </c>
      <c r="F84" s="12">
        <f t="shared" ref="F84:F85" si="16">SUM(G84:L84)</f>
        <v>0</v>
      </c>
      <c r="G84" s="12"/>
      <c r="H84" s="12">
        <f>'Step 2.4 - Data Input (OpEx)'!H69*'Step 2.4 - Data Input (OpEx)'!H6*(H50)*(1-'Step 2.4 - Data Input (OpEx)'!H17)^0</f>
        <v>0</v>
      </c>
      <c r="I84" s="12">
        <f>'Step 2.4 - Data Input (OpEx)'!H69*'Step 2.4 - Data Input (OpEx)'!H6*(I50)*(1-'Step 2.4 - Data Input (OpEx)'!H17)^1</f>
        <v>0</v>
      </c>
      <c r="J84" s="12">
        <f>'Step 2.4 - Data Input (OpEx)'!H69*'Step 2.4 - Data Input (OpEx)'!H6*(J50)*(1-'Step 2.4 - Data Input (OpEx)'!H17)^2</f>
        <v>0</v>
      </c>
      <c r="K84" s="12">
        <f>'Step 2.4 - Data Input (OpEx)'!H69*'Step 2.4 - Data Input (OpEx)'!H6*(K50)*(1-'Step 2.4 - Data Input (OpEx)'!H17)^3</f>
        <v>0</v>
      </c>
      <c r="L84" s="12">
        <f>'Step 2.4 - Data Input (OpEx)'!H69*'Step 2.4 - Data Input (OpEx)'!H6*(L50)*(1-'Step 2.4 - Data Input (OpEx)'!H17)^4</f>
        <v>0</v>
      </c>
      <c r="M84" s="12"/>
    </row>
    <row r="85" spans="1:13" customFormat="1" ht="15.75" customHeight="1" x14ac:dyDescent="0.2">
      <c r="A85" s="33"/>
      <c r="B85" s="33"/>
      <c r="C85" s="10" t="s">
        <v>159</v>
      </c>
      <c r="D85" s="10"/>
      <c r="E85" s="11" t="s">
        <v>5</v>
      </c>
      <c r="F85" s="12">
        <f t="shared" si="16"/>
        <v>0</v>
      </c>
      <c r="G85" s="12"/>
      <c r="H85" s="12">
        <f>'Step 2.4 - Data Input (OpEx)'!H70*'Step 2.4 - Data Input (OpEx)'!H8*(H50)*(1-'Step 2.4 - Data Input (OpEx)'!H18)^0</f>
        <v>0</v>
      </c>
      <c r="I85" s="12">
        <f>'Step 2.4 - Data Input (OpEx)'!H70*'Step 2.4 - Data Input (OpEx)'!H8*(I50)*(1-'Step 2.4 - Data Input (OpEx)'!H18)^1</f>
        <v>0</v>
      </c>
      <c r="J85" s="12">
        <f>'Step 2.4 - Data Input (OpEx)'!H70*'Step 2.4 - Data Input (OpEx)'!H8*(J50)*(1-'Step 2.4 - Data Input (OpEx)'!H18)^2</f>
        <v>0</v>
      </c>
      <c r="K85" s="12">
        <f>'Step 2.4 - Data Input (OpEx)'!H70*'Step 2.4 - Data Input (OpEx)'!H8*(K50)*(1-'Step 2.4 - Data Input (OpEx)'!H18)^3</f>
        <v>0</v>
      </c>
      <c r="L85" s="12">
        <f>'Step 2.4 - Data Input (OpEx)'!H70*'Step 2.4 - Data Input (OpEx)'!H8*(L50)*(1-'Step 2.4 - Data Input (OpEx)'!H18)^4</f>
        <v>0</v>
      </c>
      <c r="M85" s="12"/>
    </row>
    <row r="86" spans="1:13" customFormat="1" ht="15.75" customHeight="1" x14ac:dyDescent="0.2">
      <c r="A86" s="33"/>
      <c r="B86" s="33"/>
      <c r="C86" s="10" t="s">
        <v>169</v>
      </c>
      <c r="D86" s="10"/>
      <c r="E86" s="11" t="s">
        <v>5</v>
      </c>
      <c r="F86" s="12">
        <f>SUM(G86:L86)</f>
        <v>0</v>
      </c>
      <c r="G86" s="12"/>
      <c r="H86" s="12">
        <f>'Step 2.4 - Data Input (OpEx)'!H74*'Step 2.4 - Data Input (OpEx)'!H73*'Step 2.4 - Data Input (OpEx)'!H72*(H50+H52)</f>
        <v>0</v>
      </c>
      <c r="I86" s="12">
        <f>'Step 2.4 - Data Input (OpEx)'!H74*'Step 2.4 - Data Input (OpEx)'!H73*'Step 2.4 - Data Input (OpEx)'!H72*(I50+I52)</f>
        <v>0</v>
      </c>
      <c r="J86" s="12">
        <f>'Step 2.4 - Data Input (OpEx)'!H74*'Step 2.4 - Data Input (OpEx)'!H73*'Step 2.4 - Data Input (OpEx)'!H72*(J50+J52)</f>
        <v>0</v>
      </c>
      <c r="K86" s="12">
        <f>'Step 2.4 - Data Input (OpEx)'!H74*'Step 2.4 - Data Input (OpEx)'!H73*'Step 2.4 - Data Input (OpEx)'!H72*(K50+K52)</f>
        <v>0</v>
      </c>
      <c r="L86" s="12">
        <f>'Step 2.4 - Data Input (OpEx)'!H74*'Step 2.4 - Data Input (OpEx)'!H73*'Step 2.4 - Data Input (OpEx)'!H72*(L50+L52)</f>
        <v>0</v>
      </c>
      <c r="M86" s="12"/>
    </row>
    <row r="87" spans="1:13" customFormat="1" ht="15.75" customHeight="1" x14ac:dyDescent="0.2">
      <c r="A87" s="33"/>
      <c r="B87" s="33"/>
      <c r="C87" s="10" t="s">
        <v>168</v>
      </c>
      <c r="D87" s="10"/>
      <c r="E87" s="11" t="s">
        <v>5</v>
      </c>
      <c r="F87" s="12">
        <f>SUM(G87:L87)</f>
        <v>0</v>
      </c>
      <c r="G87" s="12"/>
      <c r="H87" s="12">
        <f>'Step 2.4 - Data Input (OpEx)'!H74*'Step 2.4 - Data Input (OpEx)'!H71*(H50+H52)</f>
        <v>0</v>
      </c>
      <c r="I87" s="12">
        <f>'Step 2.4 - Data Input (OpEx)'!H74*'Step 2.4 - Data Input (OpEx)'!H71*(I50+I52)</f>
        <v>0</v>
      </c>
      <c r="J87" s="12">
        <f>'Step 2.4 - Data Input (OpEx)'!H74*'Step 2.4 - Data Input (OpEx)'!H71*(J50+J52)</f>
        <v>0</v>
      </c>
      <c r="K87" s="12">
        <f>'Step 2.4 - Data Input (OpEx)'!H74*'Step 2.4 - Data Input (OpEx)'!H71*(K50+K52)</f>
        <v>0</v>
      </c>
      <c r="L87" s="12">
        <f>'Step 2.4 - Data Input (OpEx)'!H74*'Step 2.4 - Data Input (OpEx)'!H71*(L50+L52)</f>
        <v>0</v>
      </c>
      <c r="M87" s="12"/>
    </row>
    <row r="88" spans="1:13" customFormat="1" ht="7.5" customHeight="1" x14ac:dyDescent="0.2">
      <c r="A88" s="62"/>
      <c r="B88" s="62"/>
      <c r="C88" s="61"/>
      <c r="D88" s="61"/>
      <c r="E88" s="63"/>
      <c r="F88" s="61"/>
      <c r="G88" s="61"/>
      <c r="H88" s="61"/>
      <c r="I88" s="61"/>
      <c r="J88" s="61"/>
      <c r="K88" s="61"/>
      <c r="L88" s="61"/>
      <c r="M88" s="61"/>
    </row>
    <row r="89" spans="1:13" customFormat="1" ht="15.75" customHeight="1" x14ac:dyDescent="0.2">
      <c r="A89" s="96"/>
      <c r="B89" s="96" t="s">
        <v>141</v>
      </c>
      <c r="C89" s="95"/>
      <c r="D89" s="95"/>
      <c r="E89" s="97" t="s">
        <v>5</v>
      </c>
      <c r="F89" s="98">
        <f>SUM(G89:L89)</f>
        <v>0</v>
      </c>
      <c r="G89" s="99"/>
      <c r="H89" s="99">
        <f>SUM(H90:H91)+'Step 2.4 - Data Input (OpEx)'!H80</f>
        <v>0</v>
      </c>
      <c r="I89" s="99">
        <f>SUM(I90:I91)+'Step 2.4 - Data Input (OpEx)'!H80</f>
        <v>0</v>
      </c>
      <c r="J89" s="99">
        <f>SUM(J90:J91)+'Step 2.4 - Data Input (OpEx)'!H80</f>
        <v>0</v>
      </c>
      <c r="K89" s="99">
        <f>SUM(K90:K91)+'Step 2.4 - Data Input (OpEx)'!H80</f>
        <v>0</v>
      </c>
      <c r="L89" s="99">
        <f>SUM(L90:L91)+'Step 2.4 - Data Input (OpEx)'!H80</f>
        <v>0</v>
      </c>
      <c r="M89" s="99"/>
    </row>
    <row r="90" spans="1:13" customFormat="1" ht="15.75" customHeight="1" x14ac:dyDescent="0.2">
      <c r="A90" s="33"/>
      <c r="B90" s="33"/>
      <c r="C90" s="10" t="s">
        <v>158</v>
      </c>
      <c r="D90" s="10"/>
      <c r="E90" s="11" t="s">
        <v>5</v>
      </c>
      <c r="F90" s="12">
        <f t="shared" ref="F90:F91" si="17">SUM(G90:L90)</f>
        <v>0</v>
      </c>
      <c r="G90" s="12"/>
      <c r="H90" s="12">
        <f>'Step 2.4 - Data Input (OpEx)'!H78*'Step 2.4 - Data Input (OpEx)'!H6*(H50)*(1-'Step 2.4 - Data Input (OpEx)'!H17)^0</f>
        <v>0</v>
      </c>
      <c r="I90" s="12">
        <f>'Step 2.4 - Data Input (OpEx)'!H78*'Step 2.4 - Data Input (OpEx)'!H6*(I50)*(1-'Step 2.4 - Data Input (OpEx)'!H17)^1</f>
        <v>0</v>
      </c>
      <c r="J90" s="12">
        <f>'Step 2.4 - Data Input (OpEx)'!H78*'Step 2.4 - Data Input (OpEx)'!H6*(J50)*(1-'Step 2.4 - Data Input (OpEx)'!H17)^2</f>
        <v>0</v>
      </c>
      <c r="K90" s="12">
        <f>'Step 2.4 - Data Input (OpEx)'!H78*'Step 2.4 - Data Input (OpEx)'!H6*(K50)*(1-'Step 2.4 - Data Input (OpEx)'!H17)^3</f>
        <v>0</v>
      </c>
      <c r="L90" s="12">
        <f>'Step 2.4 - Data Input (OpEx)'!H78*'Step 2.4 - Data Input (OpEx)'!H6*(L50)*(1-'Step 2.4 - Data Input (OpEx)'!H17)^4</f>
        <v>0</v>
      </c>
      <c r="M90" s="12"/>
    </row>
    <row r="91" spans="1:13" customFormat="1" ht="15.75" customHeight="1" x14ac:dyDescent="0.2">
      <c r="A91" s="33"/>
      <c r="B91" s="33"/>
      <c r="C91" s="10" t="s">
        <v>159</v>
      </c>
      <c r="D91" s="10"/>
      <c r="E91" s="11" t="s">
        <v>5</v>
      </c>
      <c r="F91" s="12">
        <f t="shared" si="17"/>
        <v>0</v>
      </c>
      <c r="G91" s="12"/>
      <c r="H91" s="12">
        <f>'Step 2.4 - Data Input (OpEx)'!H79*'Step 2.4 - Data Input (OpEx)'!H8*(H50)*(1-'Step 2.4 - Data Input (OpEx)'!H18)^0</f>
        <v>0</v>
      </c>
      <c r="I91" s="12">
        <f>'Step 2.4 - Data Input (OpEx)'!H79*'Step 2.4 - Data Input (OpEx)'!H8*(I50)*(1-'Step 2.4 - Data Input (OpEx)'!H18)^1</f>
        <v>0</v>
      </c>
      <c r="J91" s="12">
        <f>'Step 2.4 - Data Input (OpEx)'!H79*'Step 2.4 - Data Input (OpEx)'!H8*(J50)*(1-'Step 2.4 - Data Input (OpEx)'!H18)^2</f>
        <v>0</v>
      </c>
      <c r="K91" s="12">
        <f>'Step 2.4 - Data Input (OpEx)'!H79*'Step 2.4 - Data Input (OpEx)'!H8*(K50)*(1-'Step 2.4 - Data Input (OpEx)'!H18)^3</f>
        <v>0</v>
      </c>
      <c r="L91" s="12">
        <f>'Step 2.4 - Data Input (OpEx)'!H79*'Step 2.4 - Data Input (OpEx)'!H8*(L50)*(1-'Step 2.4 - Data Input (OpEx)'!H18)^4</f>
        <v>0</v>
      </c>
      <c r="M91" s="12"/>
    </row>
    <row r="92" spans="1:13" customFormat="1" ht="7.5" customHeight="1" x14ac:dyDescent="0.2">
      <c r="A92" s="62"/>
      <c r="B92" s="62"/>
      <c r="C92" s="61"/>
      <c r="D92" s="61"/>
      <c r="E92" s="63"/>
      <c r="F92" s="61"/>
      <c r="G92" s="61"/>
      <c r="H92" s="61"/>
      <c r="I92" s="61"/>
      <c r="J92" s="61"/>
      <c r="K92" s="61"/>
      <c r="L92" s="61"/>
      <c r="M92" s="61"/>
    </row>
    <row r="93" spans="1:13" customFormat="1" ht="15.75" customHeight="1" x14ac:dyDescent="0.2">
      <c r="A93" s="96"/>
      <c r="B93" s="96" t="s">
        <v>142</v>
      </c>
      <c r="C93" s="95"/>
      <c r="D93" s="95"/>
      <c r="E93" s="97" t="s">
        <v>5</v>
      </c>
      <c r="F93" s="98">
        <f>SUM(G93:L93)</f>
        <v>0</v>
      </c>
      <c r="G93" s="99"/>
      <c r="H93" s="99">
        <f>SUM(H94:H96)+'Step 2.4 - Data Input (OpEx)'!H86</f>
        <v>0</v>
      </c>
      <c r="I93" s="99">
        <f>SUM(I94:I96)+'Step 2.4 - Data Input (OpEx)'!H86</f>
        <v>0</v>
      </c>
      <c r="J93" s="99">
        <f>SUM(J94:J96)+'Step 2.4 - Data Input (OpEx)'!H86</f>
        <v>0</v>
      </c>
      <c r="K93" s="99">
        <f>SUM(K94:K96)+'Step 2.4 - Data Input (OpEx)'!H86</f>
        <v>0</v>
      </c>
      <c r="L93" s="99">
        <f>SUM(L94:L96)+'Step 2.4 - Data Input (OpEx)'!H86</f>
        <v>0</v>
      </c>
      <c r="M93" s="99"/>
    </row>
    <row r="94" spans="1:13" customFormat="1" ht="15.75" customHeight="1" x14ac:dyDescent="0.2">
      <c r="A94" s="33"/>
      <c r="B94" s="33"/>
      <c r="C94" s="10" t="s">
        <v>158</v>
      </c>
      <c r="D94" s="10"/>
      <c r="E94" s="11" t="s">
        <v>5</v>
      </c>
      <c r="F94" s="12">
        <f t="shared" ref="F94:F96" si="18">SUM(G94:L94)</f>
        <v>0</v>
      </c>
      <c r="G94" s="12"/>
      <c r="H94" s="12">
        <f>'Step 2.4 - Data Input (OpEx)'!H83*'Step 2.4 - Data Input (OpEx)'!H6*(H50)*(1-'Step 2.4 - Data Input (OpEx)'!H17)^0</f>
        <v>0</v>
      </c>
      <c r="I94" s="12">
        <f>'Step 2.4 - Data Input (OpEx)'!H89*'Step 2.4 - Data Input (OpEx)'!H6*(I50)*(1-'Step 2.4 - Data Input (OpEx)'!H17)^1</f>
        <v>0</v>
      </c>
      <c r="J94" s="12">
        <f>'Step 2.4 - Data Input (OpEx)'!H83*'Step 2.4 - Data Input (OpEx)'!H6*(J50)*(1-'Step 2.4 - Data Input (OpEx)'!H17)^2</f>
        <v>0</v>
      </c>
      <c r="K94" s="12">
        <f>'Step 2.4 - Data Input (OpEx)'!H83*'Step 2.4 - Data Input (OpEx)'!H6*(K50)*(1-'Step 2.4 - Data Input (OpEx)'!H17)^3</f>
        <v>0</v>
      </c>
      <c r="L94" s="12">
        <f>'Step 2.4 - Data Input (OpEx)'!H83*'Step 2.4 - Data Input (OpEx)'!H6*(L50)*(1-'Step 2.4 - Data Input (OpEx)'!H17)^4</f>
        <v>0</v>
      </c>
      <c r="M94" s="12"/>
    </row>
    <row r="95" spans="1:13" customFormat="1" ht="15.75" customHeight="1" x14ac:dyDescent="0.2">
      <c r="A95" s="33"/>
      <c r="B95" s="33"/>
      <c r="C95" s="10" t="s">
        <v>159</v>
      </c>
      <c r="D95" s="10"/>
      <c r="E95" s="11" t="s">
        <v>5</v>
      </c>
      <c r="F95" s="12">
        <f t="shared" si="18"/>
        <v>0</v>
      </c>
      <c r="G95" s="12"/>
      <c r="H95" s="12">
        <f>Automated_Labour_Restoring*'Step 2.4 - Data Input (OpEx)'!H8*(H50)*(1-'Step 2.4 - Data Input (OpEx)'!H18)^0</f>
        <v>0</v>
      </c>
      <c r="I95" s="12">
        <f>'Step 2.4 - Data Input (OpEx)'!H84*'Step 2.4 - Data Input (OpEx)'!H8*(I50)*(1-'Step 2.4 - Data Input (OpEx)'!H18)^1</f>
        <v>0</v>
      </c>
      <c r="J95" s="12">
        <f>'Step 2.4 - Data Input (OpEx)'!H84*'Step 2.4 - Data Input (OpEx)'!H8*(J50)*(1-'Step 2.4 - Data Input (OpEx)'!H18)^2</f>
        <v>0</v>
      </c>
      <c r="K95" s="12">
        <f>'Step 2.4 - Data Input (OpEx)'!H84*'Step 2.4 - Data Input (OpEx)'!H8*(K50)*(1-'Step 2.4 - Data Input (OpEx)'!H18)^3</f>
        <v>0</v>
      </c>
      <c r="L95" s="12">
        <f>'Step 2.4 - Data Input (OpEx)'!H84*'Step 2.4 - Data Input (OpEx)'!H8*(L50)*(1-'Step 2.4 - Data Input (OpEx)'!H18)^4</f>
        <v>0</v>
      </c>
      <c r="M95" s="12"/>
    </row>
    <row r="96" spans="1:13" customFormat="1" ht="15.75" customHeight="1" x14ac:dyDescent="0.2">
      <c r="A96" s="33"/>
      <c r="B96" s="33"/>
      <c r="C96" s="10" t="s">
        <v>423</v>
      </c>
      <c r="D96" s="10"/>
      <c r="E96" s="11" t="s">
        <v>5</v>
      </c>
      <c r="F96" s="12">
        <f t="shared" si="18"/>
        <v>0</v>
      </c>
      <c r="G96" s="12"/>
      <c r="H96" s="12">
        <f>'Step 2.4 - Data Input (OpEx)'!H85*H50*(1+'Step 2.4 - Data Input (OpEx)'!H14)^0</f>
        <v>0</v>
      </c>
      <c r="I96" s="12">
        <f>'Step 2.4 - Data Input (OpEx)'!H85*I50*(1+'Step 2.4 - Data Input (OpEx)'!H14)^1</f>
        <v>0</v>
      </c>
      <c r="J96" s="12">
        <f>'Step 2.4 - Data Input (OpEx)'!H85*J50*(1+'Step 2.4 - Data Input (OpEx)'!H14)^2</f>
        <v>0</v>
      </c>
      <c r="K96" s="12">
        <f>'Step 2.4 - Data Input (OpEx)'!H85*K50*(1+'Step 2.4 - Data Input (OpEx)'!H14)^3</f>
        <v>0</v>
      </c>
      <c r="L96" s="12">
        <f>'Step 2.4 - Data Input (OpEx)'!H85*L50*(1+'Step 2.4 - Data Input (OpEx)'!H14)^4</f>
        <v>0</v>
      </c>
      <c r="M96" s="12"/>
    </row>
    <row r="97" spans="1:13" customFormat="1" ht="7.5" customHeight="1" x14ac:dyDescent="0.2">
      <c r="A97" s="62"/>
      <c r="B97" s="62"/>
      <c r="C97" s="61"/>
      <c r="D97" s="61"/>
      <c r="E97" s="63"/>
      <c r="F97" s="61"/>
      <c r="G97" s="61"/>
      <c r="H97" s="61"/>
      <c r="I97" s="61"/>
      <c r="J97" s="61"/>
      <c r="K97" s="61"/>
      <c r="L97" s="61"/>
      <c r="M97" s="61"/>
    </row>
    <row r="98" spans="1:13" customFormat="1" ht="15.75" customHeight="1" x14ac:dyDescent="0.2">
      <c r="A98" s="96"/>
      <c r="B98" s="96" t="s">
        <v>143</v>
      </c>
      <c r="C98" s="95"/>
      <c r="D98" s="95"/>
      <c r="E98" s="97" t="s">
        <v>5</v>
      </c>
      <c r="F98" s="98">
        <f>SUM(G98:L98)</f>
        <v>0</v>
      </c>
      <c r="G98" s="99"/>
      <c r="H98" s="99">
        <f>SUM(H99:H101)+'Step 2.4 - Data Input (OpEx)'!H93</f>
        <v>0</v>
      </c>
      <c r="I98" s="99">
        <f>SUM(I99:I101)+'Step 2.4 - Data Input (OpEx)'!H93</f>
        <v>0</v>
      </c>
      <c r="J98" s="99">
        <f>SUM(J99:J101)+'Step 2.4 - Data Input (OpEx)'!H93</f>
        <v>0</v>
      </c>
      <c r="K98" s="99">
        <f>SUM(K99:K101)+'Step 2.4 - Data Input (OpEx)'!H93</f>
        <v>0</v>
      </c>
      <c r="L98" s="99">
        <f>SUM(L99:L101)+'Step 2.4 - Data Input (OpEx)'!H93</f>
        <v>0</v>
      </c>
      <c r="M98" s="99"/>
    </row>
    <row r="99" spans="1:13" customFormat="1" ht="15.75" customHeight="1" x14ac:dyDescent="0.2">
      <c r="A99" s="33"/>
      <c r="B99" s="33"/>
      <c r="C99" s="10" t="s">
        <v>158</v>
      </c>
      <c r="D99" s="10"/>
      <c r="E99" s="11" t="s">
        <v>5</v>
      </c>
      <c r="F99" s="12">
        <f t="shared" ref="F99:F101" si="19">SUM(G99:L99)</f>
        <v>0</v>
      </c>
      <c r="G99" s="12"/>
      <c r="H99" s="12">
        <f>'Step 2.4 - Data Input (OpEx)'!H89*'Step 2.4 - Data Input (OpEx)'!H6*('Step 2.2 - Data Input (Revenue)'!H9)*(1-'Step 2.4 - Data Input (OpEx)'!H17)^0</f>
        <v>0</v>
      </c>
      <c r="I99" s="12">
        <f>'Step 2.4 - Data Input (OpEx)'!H89*'Step 2.4 - Data Input (OpEx)'!H6*('Step 2.2 - Data Input (Revenue)'!H10)*(1-'Step 2.4 - Data Input (OpEx)'!H17)^1</f>
        <v>0</v>
      </c>
      <c r="J99" s="12">
        <f>'Step 2.4 - Data Input (OpEx)'!H89*'Step 2.4 - Data Input (OpEx)'!H6*('Step 2.2 - Data Input (Revenue)'!H11)*(1-'Step 2.4 - Data Input (OpEx)'!H17)^2</f>
        <v>0</v>
      </c>
      <c r="K99" s="12">
        <f>'Step 2.4 - Data Input (OpEx)'!H89*'Step 2.4 - Data Input (OpEx)'!H6*('Step 2.2 - Data Input (Revenue)'!H12)*(1-'Step 2.4 - Data Input (OpEx)'!H17)^3</f>
        <v>0</v>
      </c>
      <c r="L99" s="12">
        <f>'Step 2.4 - Data Input (OpEx)'!H89*'Step 2.4 - Data Input (OpEx)'!H6*('Step 2.2 - Data Input (Revenue)'!H13)*(1-'Step 2.4 - Data Input (OpEx)'!H17)^4</f>
        <v>0</v>
      </c>
      <c r="M99" s="12"/>
    </row>
    <row r="100" spans="1:13" customFormat="1" ht="15.75" customHeight="1" x14ac:dyDescent="0.2">
      <c r="A100" s="33"/>
      <c r="B100" s="33"/>
      <c r="C100" s="10" t="s">
        <v>159</v>
      </c>
      <c r="D100" s="10"/>
      <c r="E100" s="11" t="s">
        <v>5</v>
      </c>
      <c r="F100" s="12">
        <f t="shared" si="19"/>
        <v>0</v>
      </c>
      <c r="G100" s="12"/>
      <c r="H100" s="12">
        <f>'Step 2.4 - Data Input (OpEx)'!H90*'Step 2.4 - Data Input (OpEx)'!H8*('Step 2.2 - Data Input (Revenue)'!H9)*(1-'Step 2.4 - Data Input (OpEx)'!H18)^0</f>
        <v>0</v>
      </c>
      <c r="I100" s="12">
        <f>'Step 2.4 - Data Input (OpEx)'!H90*'Step 2.4 - Data Input (OpEx)'!H8*('Step 2.2 - Data Input (Revenue)'!H10)*(1-'Step 2.4 - Data Input (OpEx)'!H18)^1</f>
        <v>0</v>
      </c>
      <c r="J100" s="12">
        <f>'Step 2.4 - Data Input (OpEx)'!H90*'Step 2.4 - Data Input (OpEx)'!H8*('Step 2.2 - Data Input (Revenue)'!H11)*(1-'Step 2.4 - Data Input (OpEx)'!H18)^2</f>
        <v>0</v>
      </c>
      <c r="K100" s="12">
        <f>'Step 2.4 - Data Input (OpEx)'!H90*'Step 2.4 - Data Input (OpEx)'!H8*('Step 2.2 - Data Input (Revenue)'!H12)*(1-'Step 2.4 - Data Input (OpEx)'!H18)^3</f>
        <v>0</v>
      </c>
      <c r="L100" s="12">
        <f>'Step 2.4 - Data Input (OpEx)'!H90*'Step 2.4 - Data Input (OpEx)'!H8*('Step 2.2 - Data Input (Revenue)'!H13)*(1-'Step 2.4 - Data Input (OpEx)'!H18)^4</f>
        <v>0</v>
      </c>
      <c r="M100" s="12"/>
    </row>
    <row r="101" spans="1:13" customFormat="1" ht="15.75" customHeight="1" x14ac:dyDescent="0.2">
      <c r="A101" s="33"/>
      <c r="B101" s="33"/>
      <c r="C101" s="10" t="s">
        <v>422</v>
      </c>
      <c r="D101" s="10"/>
      <c r="E101" s="11" t="s">
        <v>5</v>
      </c>
      <c r="F101" s="12">
        <f t="shared" si="19"/>
        <v>0</v>
      </c>
      <c r="G101" s="12"/>
      <c r="H101" s="12">
        <f>('Step 2.4 - Data Input (OpEx)'!H91+'Step 2.4 - Data Input (OpEx)'!H92)*'Step 2.2 - Data Input (Revenue)'!H9*(1+'Step 2.4 - Data Input (OpEx)'!H14)^0</f>
        <v>0</v>
      </c>
      <c r="I101" s="12">
        <f>('Step 2.4 - Data Input (OpEx)'!H91+'Step 2.4 - Data Input (OpEx)'!H92)*'Step 2.2 - Data Input (Revenue)'!H10*(1+'Step 2.4 - Data Input (OpEx)'!H14)^1</f>
        <v>0</v>
      </c>
      <c r="J101" s="12">
        <f>('Step 2.4 - Data Input (OpEx)'!H91+'Step 2.4 - Data Input (OpEx)'!H92)*'Step 2.2 - Data Input (Revenue)'!H11*(1+'Step 2.4 - Data Input (OpEx)'!H14)^2</f>
        <v>0</v>
      </c>
      <c r="K101" s="12">
        <f>('Step 2.4 - Data Input (OpEx)'!H91+'Step 2.4 - Data Input (OpEx)'!H92)*'Step 2.2 - Data Input (Revenue)'!H12*(1+'Step 2.4 - Data Input (OpEx)'!H14)^3</f>
        <v>0</v>
      </c>
      <c r="L101" s="12">
        <f>('Step 2.4 - Data Input (OpEx)'!H91+'Step 2.4 - Data Input (OpEx)'!H92)*'Step 2.2 - Data Input (Revenue)'!H13*(1+'Step 2.4 - Data Input (OpEx)'!H14)^4</f>
        <v>0</v>
      </c>
      <c r="M101" s="12"/>
    </row>
    <row r="102" spans="1:13" customFormat="1" ht="7.5" customHeight="1" x14ac:dyDescent="0.2">
      <c r="A102" s="62"/>
      <c r="B102" s="62"/>
      <c r="C102" s="61"/>
      <c r="D102" s="61"/>
      <c r="E102" s="63"/>
      <c r="F102" s="61"/>
      <c r="G102" s="61"/>
      <c r="H102" s="61"/>
      <c r="I102" s="61"/>
      <c r="J102" s="61"/>
      <c r="K102" s="61"/>
      <c r="L102" s="61"/>
      <c r="M102" s="61"/>
    </row>
    <row r="103" spans="1:13" customFormat="1" ht="15.75" customHeight="1" x14ac:dyDescent="0.2">
      <c r="A103" s="96"/>
      <c r="B103" s="96" t="s">
        <v>144</v>
      </c>
      <c r="C103" s="95"/>
      <c r="D103" s="95"/>
      <c r="E103" s="97" t="s">
        <v>5</v>
      </c>
      <c r="F103" s="98">
        <f>SUM(G103:L103)</f>
        <v>0</v>
      </c>
      <c r="G103" s="99"/>
      <c r="H103" s="99">
        <f>SUM(H104:H105)+'Step 2.4 - Data Input (OpEx)'!H99</f>
        <v>0</v>
      </c>
      <c r="I103" s="99">
        <f>SUM(I104:I105)+'Step 2.4 - Data Input (OpEx)'!H99</f>
        <v>0</v>
      </c>
      <c r="J103" s="99">
        <f>SUM(J104:J105)+'Step 2.4 - Data Input (OpEx)'!H99</f>
        <v>0</v>
      </c>
      <c r="K103" s="99">
        <f>SUM(K104:K105)+'Step 2.4 - Data Input (OpEx)'!H99</f>
        <v>0</v>
      </c>
      <c r="L103" s="99">
        <f>SUM(L104:L105)+'Step 2.4 - Data Input (OpEx)'!H99</f>
        <v>0</v>
      </c>
      <c r="M103" s="99"/>
    </row>
    <row r="104" spans="1:13" customFormat="1" ht="15.75" customHeight="1" x14ac:dyDescent="0.2">
      <c r="A104" s="33"/>
      <c r="B104" s="33"/>
      <c r="C104" s="10" t="s">
        <v>158</v>
      </c>
      <c r="D104" s="10"/>
      <c r="E104" s="11" t="s">
        <v>5</v>
      </c>
      <c r="F104" s="12">
        <f t="shared" ref="F104:F106" si="20">SUM(G104:L104)</f>
        <v>0</v>
      </c>
      <c r="G104" s="12"/>
      <c r="H104" s="12">
        <f>'Step 2.4 - Data Input (OpEx)'!H96*'Step 2.4 - Data Input (OpEx)'!H6*('Step 2.2 - Data Input (Revenue)'!H9)*(1-'Step 2.4 - Data Input (OpEx)'!H17)^0</f>
        <v>0</v>
      </c>
      <c r="I104" s="12">
        <f>'Step 2.4 - Data Input (OpEx)'!H96*'Step 2.4 - Data Input (OpEx)'!H6*('Step 2.2 - Data Input (Revenue)'!H10)*(1-'Step 2.4 - Data Input (OpEx)'!H17)^1</f>
        <v>0</v>
      </c>
      <c r="J104" s="12">
        <f>'Step 2.4 - Data Input (OpEx)'!H96*'Step 2.4 - Data Input (OpEx)'!H6*('Step 2.2 - Data Input (Revenue)'!H11)*(1-'Step 2.4 - Data Input (OpEx)'!H17)^2</f>
        <v>0</v>
      </c>
      <c r="K104" s="12">
        <f>'Step 2.4 - Data Input (OpEx)'!H96*'Step 2.4 - Data Input (OpEx)'!H6*('Step 2.2 - Data Input (Revenue)'!H12)*(1-'Step 2.4 - Data Input (OpEx)'!H17)^3</f>
        <v>0</v>
      </c>
      <c r="L104" s="12">
        <f>'Step 2.4 - Data Input (OpEx)'!H96*'Step 2.4 - Data Input (OpEx)'!H6*('Step 2.2 - Data Input (Revenue)'!H13)*(1-'Step 2.4 - Data Input (OpEx)'!H17)^4</f>
        <v>0</v>
      </c>
      <c r="M104" s="12"/>
    </row>
    <row r="105" spans="1:13" customFormat="1" ht="15.75" customHeight="1" x14ac:dyDescent="0.2">
      <c r="A105" s="33"/>
      <c r="B105" s="33"/>
      <c r="C105" s="10" t="s">
        <v>159</v>
      </c>
      <c r="D105" s="10"/>
      <c r="E105" s="11" t="s">
        <v>5</v>
      </c>
      <c r="F105" s="12">
        <f t="shared" si="20"/>
        <v>0</v>
      </c>
      <c r="G105" s="12"/>
      <c r="H105" s="12">
        <f>'Step 2.4 - Data Input (OpEx)'!H97*'Step 2.4 - Data Input (OpEx)'!H8*('Step 2.2 - Data Input (Revenue)'!H9)*(1-'Step 2.4 - Data Input (OpEx)'!H18)^0</f>
        <v>0</v>
      </c>
      <c r="I105" s="12">
        <f>'Step 2.4 - Data Input (OpEx)'!H97*'Step 2.4 - Data Input (OpEx)'!H8*('Step 2.2 - Data Input (Revenue)'!H10)*(1-'Step 2.4 - Data Input (OpEx)'!H18)^1</f>
        <v>0</v>
      </c>
      <c r="J105" s="12">
        <f>'Step 2.4 - Data Input (OpEx)'!H97*'Step 2.4 - Data Input (OpEx)'!H8*('Step 2.2 - Data Input (Revenue)'!H11)*(1-'Step 2.4 - Data Input (OpEx)'!H18)^2</f>
        <v>0</v>
      </c>
      <c r="K105" s="12">
        <f>'Step 2.4 - Data Input (OpEx)'!H97*'Step 2.4 - Data Input (OpEx)'!H8*('Step 2.2 - Data Input (Revenue)'!H12)*(1-'Step 2.4 - Data Input (OpEx)'!H18)^3</f>
        <v>0</v>
      </c>
      <c r="L105" s="12">
        <f>'Step 2.4 - Data Input (OpEx)'!H97*'Step 2.4 - Data Input (OpEx)'!H8*('Step 2.2 - Data Input (Revenue)'!H13)*(1-'Step 2.4 - Data Input (OpEx)'!H18)^4</f>
        <v>0</v>
      </c>
      <c r="M105" s="12"/>
    </row>
    <row r="106" spans="1:13" customFormat="1" ht="15.75" customHeight="1" x14ac:dyDescent="0.2">
      <c r="A106" s="33"/>
      <c r="B106" s="33"/>
      <c r="C106" s="10" t="s">
        <v>540</v>
      </c>
      <c r="D106" s="10"/>
      <c r="E106" s="11" t="s">
        <v>5</v>
      </c>
      <c r="F106" s="12">
        <f t="shared" si="20"/>
        <v>0</v>
      </c>
      <c r="G106" s="12"/>
      <c r="H106" s="12">
        <f>'Step 2.4 - Data Input (OpEx)'!H98*'Step 2.2 - Data Input (Revenue)'!H9</f>
        <v>0</v>
      </c>
      <c r="I106" s="12">
        <f>'Step 2.4 - Data Input (OpEx)'!H98*'Step 2.2 - Data Input (Revenue)'!H10</f>
        <v>0</v>
      </c>
      <c r="J106" s="12">
        <f>'Step 2.4 - Data Input (OpEx)'!H98*'Step 2.2 - Data Input (Revenue)'!H11</f>
        <v>0</v>
      </c>
      <c r="K106" s="12">
        <f>'Step 2.4 - Data Input (OpEx)'!H98*'Step 2.2 - Data Input (Revenue)'!H12</f>
        <v>0</v>
      </c>
      <c r="L106" s="12">
        <f>'Step 2.4 - Data Input (OpEx)'!H98*'Step 2.2 - Data Input (Revenue)'!H13</f>
        <v>0</v>
      </c>
      <c r="M106" s="12"/>
    </row>
    <row r="107" spans="1:13" customFormat="1" ht="7.5" customHeight="1" x14ac:dyDescent="0.2">
      <c r="A107" s="62"/>
      <c r="B107" s="62"/>
      <c r="C107" s="61"/>
      <c r="D107" s="61"/>
      <c r="E107" s="63"/>
      <c r="F107" s="61"/>
      <c r="G107" s="61"/>
      <c r="H107" s="61"/>
      <c r="I107" s="61"/>
      <c r="J107" s="61"/>
      <c r="K107" s="61"/>
      <c r="L107" s="61"/>
      <c r="M107" s="61"/>
    </row>
    <row r="108" spans="1:13" customFormat="1" ht="15" customHeight="1" x14ac:dyDescent="0.2">
      <c r="A108" s="96"/>
      <c r="B108" s="96" t="s">
        <v>13</v>
      </c>
      <c r="C108" s="95"/>
      <c r="D108" s="95"/>
      <c r="E108" s="97" t="s">
        <v>5</v>
      </c>
      <c r="F108" s="98">
        <f>SUM(G108:L108)</f>
        <v>0</v>
      </c>
      <c r="G108" s="99"/>
      <c r="H108" s="99">
        <f>IF('Step 1 - Case Selection'!V51="as a Flat Rate",H109+'Step 2.4 - Data Input (OpEx)'!H108,SUM(H110:H113)+'Step 2.4 - Data Input (OpEx)'!H108)</f>
        <v>0</v>
      </c>
      <c r="I108" s="99">
        <f>IF('Step 1 - Case Selection'!V51="as a Flat Rate",I109+'Step 2.4 - Data Input (OpEx)'!H108,SUM(I110:I113)+'Step 2.4 - Data Input (OpEx)'!H108)</f>
        <v>0</v>
      </c>
      <c r="J108" s="99">
        <f>IF('Step 1 - Case Selection'!V51="as a Flat Rate",J109+'Step 2.4 - Data Input (OpEx)'!H108,SUM(J110:J113)+'Step 2.4 - Data Input (OpEx)'!H108)</f>
        <v>0</v>
      </c>
      <c r="K108" s="99">
        <f>IF('Step 1 - Case Selection'!V51="as a Flat Rate",K109+'Step 2.4 - Data Input (OpEx)'!H108,SUM(K110:K113)+'Step 2.4 - Data Input (OpEx)'!H108)</f>
        <v>0</v>
      </c>
      <c r="L108" s="99">
        <f>IF('Step 1 - Case Selection'!V51="as a Flat Rate",L109+'Step 2.4 - Data Input (OpEx)'!H108,SUM(L110:L113)+'Step 2.4 - Data Input (OpEx)'!H108)</f>
        <v>0</v>
      </c>
      <c r="M108" s="99"/>
    </row>
    <row r="109" spans="1:13" customFormat="1" ht="15.75" customHeight="1" x14ac:dyDescent="0.2">
      <c r="A109" s="34"/>
      <c r="B109" s="34"/>
      <c r="C109" s="13" t="s">
        <v>428</v>
      </c>
      <c r="D109" s="13"/>
      <c r="E109" s="24" t="s">
        <v>5</v>
      </c>
      <c r="F109" s="12">
        <f t="shared" ref="F109:F113" si="21">SUM(G109:L109)</f>
        <v>0</v>
      </c>
      <c r="G109" s="14"/>
      <c r="H109" s="14">
        <f>'Step 2.4 - Data Input (OpEx)'!H102*('Step 2.2 - Data Input (Revenue)'!H9+'Step 2.2 - Data Input (Revenue)'!H18)</f>
        <v>0</v>
      </c>
      <c r="I109" s="14">
        <f>'Step 2.4 - Data Input (OpEx)'!H102*('Step 2.2 - Data Input (Revenue)'!H10+'Step 2.2 - Data Input (Revenue)'!H19)</f>
        <v>0</v>
      </c>
      <c r="J109" s="14">
        <f>'Step 2.4 - Data Input (OpEx)'!H102*('Step 2.2 - Data Input (Revenue)'!H11+'Step 2.2 - Data Input (Revenue)'!H20)</f>
        <v>0</v>
      </c>
      <c r="K109" s="14">
        <f>'Step 2.4 - Data Input (OpEx)'!H102*('Step 2.2 - Data Input (Revenue)'!H12+'Step 2.2 - Data Input (Revenue)'!H21)</f>
        <v>0</v>
      </c>
      <c r="L109" s="14">
        <f>'Step 2.4 - Data Input (OpEx)'!H102*('Step 2.2 - Data Input (Revenue)'!H13+'Step 2.2 - Data Input (Revenue)'!H22)</f>
        <v>0</v>
      </c>
      <c r="M109" s="14"/>
    </row>
    <row r="110" spans="1:13" customFormat="1" ht="15.75" customHeight="1" x14ac:dyDescent="0.2">
      <c r="A110" s="34"/>
      <c r="B110" s="34"/>
      <c r="C110" s="13" t="s">
        <v>411</v>
      </c>
      <c r="D110" s="13"/>
      <c r="E110" s="24" t="s">
        <v>5</v>
      </c>
      <c r="F110" s="12">
        <f t="shared" si="21"/>
        <v>0</v>
      </c>
      <c r="G110" s="14"/>
      <c r="H110" s="14">
        <f>IF(FL_Type=1,'Step 2.4 - Data Input (OpEx)'!H103*'Step 2.4 - Data Input (OpEx)'!H105*('Step 2.2 - Data Input (Revenue)'!H9+'Step 2.2 - Data Input (Revenue)'!H18)*(1-'Step 2.4 - Data Input (OpEx)'!H20)^0,0)</f>
        <v>0</v>
      </c>
      <c r="I110" s="14">
        <f>IF(FL_Type=1, 'Step 2.4 - Data Input (OpEx)'!H103*'Step 2.4 - Data Input (OpEx)'!H105*('Step 2.2 - Data Input (Revenue)'!H10+'Step 2.2 - Data Input (Revenue)'!H19)*(1-'Step 2.4 - Data Input (OpEx)'!H20)^1,0)</f>
        <v>0</v>
      </c>
      <c r="J110" s="14">
        <f>IF(FL_Type=1, 'Step 2.4 - Data Input (OpEx)'!H103*'Step 2.4 - Data Input (OpEx)'!H105*('Step 2.2 - Data Input (Revenue)'!H11+'Step 2.2 - Data Input (Revenue)'!H20)*(1-'Step 2.4 - Data Input (OpEx)'!H20)^2,0)</f>
        <v>0</v>
      </c>
      <c r="K110" s="14">
        <f>IF(FL_Type=1, 'Step 2.4 - Data Input (OpEx)'!H103*'Step 2.4 - Data Input (OpEx)'!H105*('Step 2.2 - Data Input (Revenue)'!H12+'Step 2.2 - Data Input (Revenue)'!H21)*(1-'Step 2.4 - Data Input (OpEx)'!H20)^3,0)</f>
        <v>0</v>
      </c>
      <c r="L110" s="14">
        <f>IF(FL_Type=1, 'Step 2.4 - Data Input (OpEx)'!H103*'Step 2.4 - Data Input (OpEx)'!H105*('Step 2.2 - Data Input (Revenue)'!H13+'Step 2.2 - Data Input (Revenue)'!H22)*(1-'Step 2.4 - Data Input (OpEx)'!H20)^4,0)</f>
        <v>0</v>
      </c>
      <c r="M110" s="14"/>
    </row>
    <row r="111" spans="1:13" customFormat="1" ht="15.75" customHeight="1" x14ac:dyDescent="0.2">
      <c r="A111" s="34"/>
      <c r="B111" s="34"/>
      <c r="C111" s="13" t="s">
        <v>412</v>
      </c>
      <c r="D111" s="13"/>
      <c r="E111" s="24" t="s">
        <v>5</v>
      </c>
      <c r="F111" s="12">
        <f t="shared" si="21"/>
        <v>0</v>
      </c>
      <c r="G111" s="14"/>
      <c r="H111" s="14">
        <f>IF(FL_Type=2,'Step 2.4 - Data Input (OpEx)'!H107*('Step 2.2 - Data Input (Revenue)'!H9+'Step 2.2 - Data Input (Revenue)'!H18),0)</f>
        <v>0</v>
      </c>
      <c r="I111" s="14">
        <f>IF(FL_Type=2,'Step 2.4 - Data Input (OpEx)'!H107*('Step 2.2 - Data Input (Revenue)'!H10+'Step 2.2 - Data Input (Revenue)'!H19),0)</f>
        <v>0</v>
      </c>
      <c r="J111" s="14">
        <f>IF(FL_Type=2,'Step 2.4 - Data Input (OpEx)'!H107*('Step 2.2 - Data Input (Revenue)'!H11+'Step 2.2 - Data Input (Revenue)'!H20),0)</f>
        <v>0</v>
      </c>
      <c r="K111" s="14">
        <f>IF(FL_Type=2,'Step 2.4 - Data Input (OpEx)'!H107*('Step 2.2 - Data Input (Revenue)'!H12+'Step 2.2 - Data Input (Revenue)'!H21),0)</f>
        <v>0</v>
      </c>
      <c r="L111" s="14">
        <f>IF(FL_Type=2,'Step 2.4 - Data Input (OpEx)'!H107*('Step 2.2 - Data Input (Revenue)'!H13+'Step 2.2 - Data Input (Revenue)'!H22),0)</f>
        <v>0</v>
      </c>
      <c r="M111" s="14"/>
    </row>
    <row r="112" spans="1:13" customFormat="1" ht="15.75" customHeight="1" x14ac:dyDescent="0.2">
      <c r="A112" s="34"/>
      <c r="B112" s="34"/>
      <c r="C112" s="13" t="s">
        <v>171</v>
      </c>
      <c r="D112" s="13"/>
      <c r="E112" s="24" t="s">
        <v>5</v>
      </c>
      <c r="F112" s="12">
        <f t="shared" si="21"/>
        <v>0</v>
      </c>
      <c r="G112" s="14"/>
      <c r="H112" s="14">
        <f>IF(FL_Type=3, 'Step 2.4 - Data Input (OpEx)'!H103*'Step 2.4 - Data Input (OpEx)'!H105*'Step 2.2 - Data Input (Revenue)'!H9*'Step 2.4 - Data Input (OpEx)'!H104*(1-'Step 2.4 - Data Input (OpEx)'!H20)^0,0)</f>
        <v>0</v>
      </c>
      <c r="I112" s="14">
        <f>IF(FL_Type=3, 'Step 2.4 - Data Input (OpEx)'!H103*'Step 2.4 - Data Input (OpEx)'!H105*'Step 2.2 - Data Input (Revenue)'!H10*'Step 2.4 - Data Input (OpEx)'!H104*(1-'Step 2.4 - Data Input (OpEx)'!H20)^1,0)</f>
        <v>0</v>
      </c>
      <c r="J112" s="14">
        <f>IF(FL_Type=3, 'Step 2.4 - Data Input (OpEx)'!H103*'Step 2.4 - Data Input (OpEx)'!H105*'Step 2.2 - Data Input (Revenue)'!H11*'Step 2.4 - Data Input (OpEx)'!H104*(1-'Step 2.4 - Data Input (OpEx)'!H20)^2,0)</f>
        <v>0</v>
      </c>
      <c r="K112" s="14">
        <f>IF(FL_Type=3, 'Step 2.4 - Data Input (OpEx)'!H103*'Step 2.4 - Data Input (OpEx)'!H105*'Step 2.2 - Data Input (Revenue)'!H12*'Step 2.4 - Data Input (OpEx)'!H104*(1-'Step 2.4 - Data Input (OpEx)'!H20)^3,0)</f>
        <v>0</v>
      </c>
      <c r="L112" s="14">
        <f>IF(FL_Type=3, 'Step 2.4 - Data Input (OpEx)'!H103*'Step 2.4 - Data Input (OpEx)'!H105*'Step 2.2 - Data Input (Revenue)'!H13*'Step 2.4 - Data Input (OpEx)'!H104*(1-'Step 2.4 - Data Input (OpEx)'!H20)^4,0)</f>
        <v>0</v>
      </c>
      <c r="M112" s="14"/>
    </row>
    <row r="113" spans="1:14" customFormat="1" ht="15.75" customHeight="1" x14ac:dyDescent="0.2">
      <c r="A113" s="34"/>
      <c r="B113" s="34"/>
      <c r="C113" s="13" t="s">
        <v>421</v>
      </c>
      <c r="D113" s="13"/>
      <c r="E113" s="24" t="s">
        <v>5</v>
      </c>
      <c r="F113" s="12">
        <f t="shared" si="21"/>
        <v>0</v>
      </c>
      <c r="G113" s="14"/>
      <c r="H113" s="14">
        <f>'Step 2.4 - Data Input (OpEx)'!H106*('Step 2.2 - Data Input (Revenue)'!H9+'Step 2.2 - Data Input (Revenue)'!H18)</f>
        <v>0</v>
      </c>
      <c r="I113" s="14">
        <f>'Step 2.4 - Data Input (OpEx)'!H106*('Step 2.2 - Data Input (Revenue)'!H10+'Step 2.2 - Data Input (Revenue)'!H19)</f>
        <v>0</v>
      </c>
      <c r="J113" s="14">
        <f>'Step 2.4 - Data Input (OpEx)'!H106*('Step 2.2 - Data Input (Revenue)'!H11+'Step 2.2 - Data Input (Revenue)'!H20)</f>
        <v>0</v>
      </c>
      <c r="K113" s="14">
        <f>'Step 2.4 - Data Input (OpEx)'!H106*('Step 2.2 - Data Input (Revenue)'!H12+'Step 2.2 - Data Input (Revenue)'!H21)</f>
        <v>0</v>
      </c>
      <c r="L113" s="14">
        <f>'Step 2.4 - Data Input (OpEx)'!H106*('Step 2.2 - Data Input (Revenue)'!H13+'Step 2.2 - Data Input (Revenue)'!H22)</f>
        <v>0</v>
      </c>
      <c r="M113" s="14"/>
    </row>
    <row r="114" spans="1:14" ht="15" hidden="1" customHeight="1" x14ac:dyDescent="0.2">
      <c r="N114"/>
    </row>
    <row r="115" spans="1:14" s="110" customFormat="1" ht="18" x14ac:dyDescent="0.2">
      <c r="A115" s="105" t="s">
        <v>33</v>
      </c>
      <c r="B115" s="106"/>
      <c r="C115" s="107"/>
      <c r="D115" s="107"/>
      <c r="E115" s="108" t="s">
        <v>5</v>
      </c>
      <c r="F115" s="109">
        <f>SUM(G115:L115)</f>
        <v>0</v>
      </c>
      <c r="G115" s="109"/>
      <c r="H115" s="109">
        <f>SUM(H117)</f>
        <v>0</v>
      </c>
      <c r="I115" s="109">
        <f>SUM(I117)</f>
        <v>0</v>
      </c>
      <c r="J115" s="109">
        <f>SUM(J117)</f>
        <v>0</v>
      </c>
      <c r="K115" s="109">
        <f t="shared" ref="K115:L115" si="22">SUM(K117)</f>
        <v>0</v>
      </c>
      <c r="L115" s="109">
        <f t="shared" si="22"/>
        <v>0</v>
      </c>
      <c r="M115" s="109"/>
      <c r="N115"/>
    </row>
    <row r="116" spans="1:14" s="64" customFormat="1" ht="7.5" customHeight="1" x14ac:dyDescent="0.2">
      <c r="A116" s="61"/>
      <c r="B116" s="62"/>
      <c r="C116" s="61"/>
      <c r="D116" s="61"/>
      <c r="E116" s="63"/>
      <c r="F116" s="61"/>
      <c r="G116" s="61"/>
      <c r="H116" s="61"/>
      <c r="I116" s="61"/>
      <c r="J116" s="61"/>
      <c r="K116" s="61"/>
      <c r="L116" s="61"/>
      <c r="M116" s="61"/>
      <c r="N116"/>
    </row>
    <row r="117" spans="1:14" s="115" customFormat="1" ht="15.75" customHeight="1" x14ac:dyDescent="0.2">
      <c r="A117" s="111"/>
      <c r="B117" s="112" t="s">
        <v>4</v>
      </c>
      <c r="C117" s="111"/>
      <c r="D117" s="111"/>
      <c r="E117" s="113" t="s">
        <v>5</v>
      </c>
      <c r="F117" s="114">
        <f>SUM(H117:L117)</f>
        <v>0</v>
      </c>
      <c r="G117" s="114"/>
      <c r="H117" s="114">
        <f t="shared" ref="H117:L117" si="23">SUM(H118:H119)</f>
        <v>0</v>
      </c>
      <c r="I117" s="114">
        <f t="shared" si="23"/>
        <v>0</v>
      </c>
      <c r="J117" s="114">
        <f t="shared" si="23"/>
        <v>0</v>
      </c>
      <c r="K117" s="114">
        <f t="shared" si="23"/>
        <v>0</v>
      </c>
      <c r="L117" s="114">
        <f t="shared" si="23"/>
        <v>0</v>
      </c>
      <c r="M117" s="114"/>
      <c r="N117"/>
    </row>
    <row r="118" spans="1:14" s="115" customFormat="1" ht="15.75" customHeight="1" x14ac:dyDescent="0.2">
      <c r="A118" s="111"/>
      <c r="B118" s="112"/>
      <c r="C118" s="111" t="s">
        <v>34</v>
      </c>
      <c r="D118" s="111"/>
      <c r="E118" s="113" t="s">
        <v>5</v>
      </c>
      <c r="F118" s="114">
        <f t="shared" ref="F118:F119" si="24">SUM(H118:L118)</f>
        <v>0</v>
      </c>
      <c r="G118" s="114"/>
      <c r="H118" s="114">
        <f>IFERROR('Step 2.1 - Data Input (General)'!H16/'Step 2.1 - Data Input (General)'!H17,0)</f>
        <v>0</v>
      </c>
      <c r="I118" s="114">
        <f>IF('Step 2.1 - Data Input (General)'!H17&gt;1, 'Step 2.1 - Data Input (General)'!H16/'Step 2.1 - Data Input (General)'!H17, 0)</f>
        <v>0</v>
      </c>
      <c r="J118" s="114">
        <f>IF('Step 2.1 - Data Input (General)'!H17&gt;2, 'Step 2.1 - Data Input (General)'!H16/'Step 2.1 - Data Input (General)'!H17, 0)</f>
        <v>0</v>
      </c>
      <c r="K118" s="114">
        <f>IF('Step 2.1 - Data Input (General)'!H17&gt;3, 'Step 2.1 - Data Input (General)'!H16/'Step 2.1 - Data Input (General)'!H17, 0)</f>
        <v>0</v>
      </c>
      <c r="L118" s="114">
        <f>IF('Step 2.1 - Data Input (General)'!H17&gt;4, 'Step 2.1 - Data Input (General)'!H16/'Step 2.1 - Data Input (General)'!H17, 0)</f>
        <v>0</v>
      </c>
      <c r="M118" s="114"/>
      <c r="N118"/>
    </row>
    <row r="119" spans="1:14" s="115" customFormat="1" ht="15.75" customHeight="1" x14ac:dyDescent="0.2">
      <c r="A119" s="111"/>
      <c r="B119" s="112"/>
      <c r="C119" s="111" t="s">
        <v>35</v>
      </c>
      <c r="D119" s="111"/>
      <c r="E119" s="113" t="s">
        <v>5</v>
      </c>
      <c r="F119" s="114">
        <f t="shared" si="24"/>
        <v>0</v>
      </c>
      <c r="G119" s="114"/>
      <c r="H119" s="114">
        <f>'Step 2.1 - Data Input (General)'!H18</f>
        <v>0</v>
      </c>
      <c r="I119" s="114">
        <f>IF('Step 2.1 - Data Input (General)'!H17&gt;1, 'Step 2.1 - Data Input (General)'!H18, 0)</f>
        <v>0</v>
      </c>
      <c r="J119" s="114">
        <f>IF('Step 2.1 - Data Input (General)'!H17&gt;2, 'Step 2.1 - Data Input (General)'!H18, 0)</f>
        <v>0</v>
      </c>
      <c r="K119" s="114">
        <f>IF('Step 2.1 - Data Input (General)'!H17&gt;3, 'Step 2.1 - Data Input (General)'!H18, 0)</f>
        <v>0</v>
      </c>
      <c r="L119" s="114">
        <f>IF('Step 2.1 - Data Input (General)'!H17&gt;4, 'Step 2.1 - Data Input (General)'!H18, 0)</f>
        <v>0</v>
      </c>
      <c r="M119" s="114"/>
      <c r="N119"/>
    </row>
    <row r="120" spans="1:14" s="68" customFormat="1" ht="7" customHeight="1" x14ac:dyDescent="0.15">
      <c r="A120" s="65"/>
      <c r="B120" s="66"/>
      <c r="C120" s="65"/>
      <c r="D120" s="65"/>
      <c r="E120" s="67"/>
      <c r="F120" s="65"/>
      <c r="G120" s="65"/>
      <c r="H120" s="65"/>
      <c r="I120" s="65"/>
      <c r="J120" s="65"/>
      <c r="K120" s="65"/>
      <c r="L120" s="65"/>
      <c r="M120" s="65"/>
      <c r="N120" s="65"/>
    </row>
    <row r="121" spans="1:14" s="1" customFormat="1" ht="7.5" customHeight="1" x14ac:dyDescent="0.15">
      <c r="A121" s="2"/>
      <c r="B121" s="29"/>
      <c r="C121" s="2"/>
      <c r="D121" s="2"/>
      <c r="E121" s="9"/>
      <c r="F121" s="2"/>
      <c r="G121" s="2"/>
      <c r="H121" s="2"/>
      <c r="I121" s="2"/>
      <c r="J121" s="2"/>
      <c r="K121" s="2"/>
      <c r="L121" s="2"/>
      <c r="M121" s="2"/>
      <c r="N121" s="2"/>
    </row>
    <row r="122" spans="1:14" s="68" customFormat="1" ht="7" customHeight="1" collapsed="1" x14ac:dyDescent="0.15">
      <c r="A122" s="65"/>
      <c r="B122" s="66"/>
      <c r="C122" s="65"/>
      <c r="D122" s="65"/>
      <c r="E122" s="67"/>
      <c r="F122" s="65"/>
      <c r="G122" s="65"/>
      <c r="H122" s="65"/>
      <c r="I122" s="65"/>
      <c r="J122" s="65"/>
      <c r="K122" s="65"/>
      <c r="L122" s="65"/>
      <c r="M122" s="65"/>
      <c r="N122" s="65"/>
    </row>
    <row r="123" spans="1:14" s="1" customFormat="1" ht="7.5" customHeight="1" x14ac:dyDescent="0.15">
      <c r="A123" s="2"/>
      <c r="B123" s="29"/>
      <c r="C123" s="2"/>
      <c r="D123" s="2"/>
      <c r="E123" s="9"/>
      <c r="F123" s="2"/>
      <c r="G123" s="2"/>
      <c r="H123" s="2"/>
      <c r="I123" s="2"/>
      <c r="J123" s="2"/>
      <c r="K123" s="2"/>
      <c r="L123" s="2"/>
      <c r="M123" s="2"/>
      <c r="N123" s="2"/>
    </row>
    <row r="124" spans="1:14" s="68" customFormat="1" ht="7" customHeight="1" collapsed="1" x14ac:dyDescent="0.15">
      <c r="A124" s="65"/>
      <c r="B124" s="66"/>
      <c r="C124" s="65"/>
      <c r="D124" s="65"/>
      <c r="E124" s="67"/>
      <c r="F124" s="65"/>
      <c r="G124" s="65"/>
      <c r="H124" s="65"/>
      <c r="I124" s="65"/>
      <c r="J124" s="65"/>
      <c r="K124" s="65"/>
      <c r="L124" s="65"/>
      <c r="M124" s="65"/>
      <c r="N124" s="65"/>
    </row>
    <row r="125" spans="1:14" s="119" customFormat="1" ht="30.75" customHeight="1" x14ac:dyDescent="0.15">
      <c r="A125" s="491" t="s">
        <v>572</v>
      </c>
      <c r="B125" s="492"/>
      <c r="C125" s="116"/>
      <c r="D125" s="116"/>
      <c r="E125" s="118"/>
      <c r="F125" s="116"/>
      <c r="G125" s="116"/>
      <c r="H125" s="116"/>
      <c r="I125" s="116"/>
      <c r="J125" s="116"/>
      <c r="K125" s="116"/>
      <c r="L125" s="116"/>
      <c r="M125" s="290"/>
      <c r="N125" s="290"/>
    </row>
    <row r="126" spans="1:14" s="64" customFormat="1" ht="7.5" customHeight="1" x14ac:dyDescent="0.15">
      <c r="A126" s="61"/>
      <c r="B126" s="62"/>
      <c r="C126" s="61"/>
      <c r="D126" s="61"/>
      <c r="E126" s="63"/>
      <c r="F126" s="61"/>
      <c r="G126" s="61"/>
      <c r="H126" s="61"/>
      <c r="I126" s="61"/>
      <c r="J126" s="61"/>
      <c r="K126" s="61"/>
      <c r="L126" s="61"/>
      <c r="M126" s="61"/>
      <c r="N126" s="61"/>
    </row>
    <row r="127" spans="1:14" s="124" customFormat="1" ht="15.75" customHeight="1" x14ac:dyDescent="0.2">
      <c r="A127" s="120"/>
      <c r="B127" s="294" t="s">
        <v>339</v>
      </c>
      <c r="C127" s="120"/>
      <c r="D127" s="120"/>
      <c r="E127" s="122"/>
      <c r="F127" s="123"/>
      <c r="G127" s="120"/>
      <c r="H127" s="120"/>
      <c r="I127" s="120"/>
      <c r="J127" s="120"/>
      <c r="K127" s="120"/>
      <c r="L127" s="120"/>
      <c r="M127" s="291"/>
      <c r="N127" s="291"/>
    </row>
    <row r="128" spans="1:14" s="132" customFormat="1" ht="15.75" customHeight="1" x14ac:dyDescent="0.2">
      <c r="A128" s="128"/>
      <c r="B128" s="295"/>
      <c r="C128" s="128" t="s">
        <v>516</v>
      </c>
      <c r="D128" s="128"/>
      <c r="E128" s="130" t="s">
        <v>5</v>
      </c>
      <c r="F128" s="128"/>
      <c r="G128" s="131">
        <f>IF('Step 1 - Case Selection'!V55="No",0,G129-G130)</f>
        <v>0</v>
      </c>
      <c r="H128" s="131">
        <f>IF('Step 1 - Case Selection'!V59&lt;1,0,H129-H130)</f>
        <v>0</v>
      </c>
      <c r="I128" s="131">
        <f>IF('Step 1 - Case Selection'!V59&lt;2,0,I129-I130)</f>
        <v>0</v>
      </c>
      <c r="J128" s="131">
        <f>IF('Step 1 - Case Selection'!V59&lt;3,0,J129-J130)</f>
        <v>0</v>
      </c>
      <c r="K128" s="131">
        <f>IF('Step 1 - Case Selection'!V59&lt;4,0,K129-K130)</f>
        <v>0</v>
      </c>
      <c r="L128" s="131">
        <f>IF('Step 1 - Case Selection'!V59&lt;5,0,L129-L130)</f>
        <v>0</v>
      </c>
      <c r="M128" s="292"/>
      <c r="N128" s="292"/>
    </row>
    <row r="129" spans="1:14" s="132" customFormat="1" ht="15.75" customHeight="1" x14ac:dyDescent="0.2">
      <c r="A129" s="127"/>
      <c r="B129" s="295"/>
      <c r="C129" s="128"/>
      <c r="D129" s="25" t="s">
        <v>506</v>
      </c>
      <c r="E129" s="27" t="s">
        <v>5</v>
      </c>
      <c r="F129" s="28"/>
      <c r="G129" s="28">
        <f t="shared" ref="G129:L129" si="25">G2</f>
        <v>0</v>
      </c>
      <c r="H129" s="28">
        <f t="shared" si="25"/>
        <v>0</v>
      </c>
      <c r="I129" s="28">
        <f t="shared" si="25"/>
        <v>0</v>
      </c>
      <c r="J129" s="28">
        <f t="shared" si="25"/>
        <v>0</v>
      </c>
      <c r="K129" s="28">
        <f t="shared" si="25"/>
        <v>0</v>
      </c>
      <c r="L129" s="28">
        <f t="shared" si="25"/>
        <v>0</v>
      </c>
      <c r="M129" s="292"/>
      <c r="N129" s="292"/>
    </row>
    <row r="130" spans="1:14" s="132" customFormat="1" ht="15.75" customHeight="1" x14ac:dyDescent="0.2">
      <c r="A130" s="292"/>
      <c r="B130" s="292"/>
      <c r="C130" s="128"/>
      <c r="D130" s="25" t="s">
        <v>505</v>
      </c>
      <c r="E130" s="27" t="s">
        <v>5</v>
      </c>
      <c r="F130" s="28"/>
      <c r="G130" s="28">
        <f t="shared" ref="G130:L130" si="26">G17+G30+G115+G143</f>
        <v>0</v>
      </c>
      <c r="H130" s="28">
        <f t="shared" si="26"/>
        <v>0</v>
      </c>
      <c r="I130" s="28">
        <f t="shared" si="26"/>
        <v>0</v>
      </c>
      <c r="J130" s="28">
        <f t="shared" si="26"/>
        <v>0</v>
      </c>
      <c r="K130" s="28">
        <f t="shared" si="26"/>
        <v>0</v>
      </c>
      <c r="L130" s="28">
        <f t="shared" si="26"/>
        <v>0</v>
      </c>
      <c r="M130" s="292"/>
      <c r="N130" s="292"/>
    </row>
    <row r="131" spans="1:14" s="132" customFormat="1" ht="15.75" customHeight="1" x14ac:dyDescent="0.2">
      <c r="A131" s="292"/>
      <c r="B131" s="295"/>
      <c r="C131" s="128" t="s">
        <v>517</v>
      </c>
      <c r="D131" s="128"/>
      <c r="E131" s="130" t="s">
        <v>5</v>
      </c>
      <c r="F131" s="128"/>
      <c r="G131" s="131">
        <f>IF('Step 1 - Case Selection'!V55="No",0,G128-G141)</f>
        <v>0</v>
      </c>
      <c r="H131" s="131">
        <f>IF('Step 1 - Case Selection'!V59&lt;1,0,H128-H141)</f>
        <v>0</v>
      </c>
      <c r="I131" s="131">
        <f>IF('Step 1 - Case Selection'!V59&lt;2,0,I128-I141)</f>
        <v>0</v>
      </c>
      <c r="J131" s="131">
        <f>IF('Step 1 - Case Selection'!V59&lt;3,0,J128-J141)</f>
        <v>0</v>
      </c>
      <c r="K131" s="131">
        <f>IF('Step 1 - Case Selection'!V59&lt;4,0,K128-K141)</f>
        <v>0</v>
      </c>
      <c r="L131" s="131">
        <f>IF('Step 1 - Case Selection'!V59&lt;5,0,L128-L141)</f>
        <v>0</v>
      </c>
      <c r="M131" s="292"/>
      <c r="N131" s="292"/>
    </row>
    <row r="132" spans="1:14" s="64" customFormat="1" ht="7.5" customHeight="1" x14ac:dyDescent="0.15">
      <c r="A132" s="61"/>
      <c r="B132" s="296"/>
      <c r="C132" s="61"/>
      <c r="D132" s="61"/>
      <c r="E132" s="63"/>
      <c r="F132" s="61"/>
      <c r="G132" s="61"/>
      <c r="H132" s="61"/>
      <c r="I132" s="61"/>
      <c r="J132" s="61"/>
      <c r="K132" s="61"/>
      <c r="L132" s="61"/>
      <c r="M132" s="61"/>
      <c r="N132" s="61"/>
    </row>
    <row r="133" spans="1:14" s="124" customFormat="1" ht="15.75" customHeight="1" x14ac:dyDescent="0.2">
      <c r="A133" s="291"/>
      <c r="B133" s="294" t="s">
        <v>340</v>
      </c>
      <c r="C133" s="120"/>
      <c r="D133" s="120"/>
      <c r="E133" s="122"/>
      <c r="F133" s="123"/>
      <c r="G133" s="120"/>
      <c r="H133" s="120"/>
      <c r="I133" s="120"/>
      <c r="J133" s="120"/>
      <c r="K133" s="120"/>
      <c r="L133" s="120"/>
      <c r="M133" s="291"/>
      <c r="N133" s="291"/>
    </row>
    <row r="134" spans="1:14" s="132" customFormat="1" ht="15.75" customHeight="1" x14ac:dyDescent="0.2">
      <c r="A134" s="292"/>
      <c r="B134" s="295"/>
      <c r="C134" s="128" t="s">
        <v>514</v>
      </c>
      <c r="D134" s="128"/>
      <c r="E134" s="130" t="s">
        <v>5</v>
      </c>
      <c r="F134" s="131"/>
      <c r="G134" s="131">
        <f>IF('Step 1 - Case Selection'!V55="No",0,G135-G137)</f>
        <v>0</v>
      </c>
      <c r="H134" s="131">
        <f>IF('Step 1 - Case Selection'!V59&lt;1,0,H135-H137)</f>
        <v>0</v>
      </c>
      <c r="I134" s="131">
        <f>IF('Step 1 - Case Selection'!V59&lt;2,0,I135-I137)</f>
        <v>0</v>
      </c>
      <c r="J134" s="131">
        <f>IF('Step 1 - Case Selection'!V59&lt;3,0,J135-J137)</f>
        <v>0</v>
      </c>
      <c r="K134" s="131">
        <f>IF('Step 1 - Case Selection'!V59&lt;4,0,K135-K137)</f>
        <v>0</v>
      </c>
      <c r="L134" s="131">
        <f>IF('Step 1 - Case Selection'!V59&lt;5,0,L135-L137)</f>
        <v>0</v>
      </c>
      <c r="M134" s="292"/>
      <c r="N134" s="292"/>
    </row>
    <row r="135" spans="1:14" s="132" customFormat="1" ht="15.75" customHeight="1" x14ac:dyDescent="0.2">
      <c r="A135" s="292"/>
      <c r="B135" s="295"/>
      <c r="C135" s="128"/>
      <c r="D135" s="25" t="s">
        <v>3</v>
      </c>
      <c r="E135" s="27" t="s">
        <v>5</v>
      </c>
      <c r="F135" s="28"/>
      <c r="G135" s="28">
        <f t="shared" ref="G135:L135" si="27">G4</f>
        <v>0</v>
      </c>
      <c r="H135" s="28">
        <f t="shared" si="27"/>
        <v>0</v>
      </c>
      <c r="I135" s="28">
        <f t="shared" si="27"/>
        <v>0</v>
      </c>
      <c r="J135" s="28">
        <f t="shared" si="27"/>
        <v>0</v>
      </c>
      <c r="K135" s="28">
        <f t="shared" si="27"/>
        <v>0</v>
      </c>
      <c r="L135" s="28">
        <f t="shared" si="27"/>
        <v>0</v>
      </c>
      <c r="M135" s="292"/>
      <c r="N135" s="292"/>
    </row>
    <row r="136" spans="1:14" s="132" customFormat="1" ht="15.75" customHeight="1" x14ac:dyDescent="0.2">
      <c r="A136" s="292"/>
      <c r="B136" s="292"/>
      <c r="C136" s="128"/>
      <c r="D136" s="25" t="s">
        <v>504</v>
      </c>
      <c r="E136" s="27" t="s">
        <v>5</v>
      </c>
      <c r="F136" s="28"/>
      <c r="G136" s="28">
        <f t="shared" ref="G136:L136" si="28">G17+G30+G119+G143</f>
        <v>0</v>
      </c>
      <c r="H136" s="28">
        <f t="shared" si="28"/>
        <v>0</v>
      </c>
      <c r="I136" s="28">
        <f t="shared" si="28"/>
        <v>0</v>
      </c>
      <c r="J136" s="28">
        <f t="shared" si="28"/>
        <v>0</v>
      </c>
      <c r="K136" s="28">
        <f t="shared" si="28"/>
        <v>0</v>
      </c>
      <c r="L136" s="28">
        <f t="shared" si="28"/>
        <v>0</v>
      </c>
      <c r="M136" s="292"/>
      <c r="N136" s="292"/>
    </row>
    <row r="137" spans="1:14" s="132" customFormat="1" ht="15.75" customHeight="1" x14ac:dyDescent="0.2">
      <c r="A137" s="292"/>
      <c r="B137" s="295"/>
      <c r="C137" s="128"/>
      <c r="D137" s="25" t="s">
        <v>503</v>
      </c>
      <c r="E137" s="27" t="s">
        <v>5</v>
      </c>
      <c r="F137" s="28"/>
      <c r="G137" s="28">
        <f t="shared" ref="G137:L137" si="29">G136-G15</f>
        <v>0</v>
      </c>
      <c r="H137" s="28">
        <f t="shared" si="29"/>
        <v>0</v>
      </c>
      <c r="I137" s="28">
        <f t="shared" si="29"/>
        <v>0</v>
      </c>
      <c r="J137" s="28">
        <f t="shared" si="29"/>
        <v>0</v>
      </c>
      <c r="K137" s="28">
        <f t="shared" si="29"/>
        <v>0</v>
      </c>
      <c r="L137" s="28">
        <f t="shared" si="29"/>
        <v>0</v>
      </c>
      <c r="M137" s="292"/>
      <c r="N137" s="292"/>
    </row>
    <row r="138" spans="1:14" s="132" customFormat="1" ht="15.75" customHeight="1" x14ac:dyDescent="0.2">
      <c r="A138" s="292"/>
      <c r="B138" s="295"/>
      <c r="C138" s="128" t="s">
        <v>515</v>
      </c>
      <c r="D138" s="128"/>
      <c r="E138" s="130" t="s">
        <v>5</v>
      </c>
      <c r="F138" s="128"/>
      <c r="G138" s="131">
        <f>IF('Step 1 - Case Selection'!V55="No",0,G134)</f>
        <v>0</v>
      </c>
      <c r="H138" s="131">
        <f>IF('Step 1 - Case Selection'!V59&lt;1,0,H134-H141)</f>
        <v>0</v>
      </c>
      <c r="I138" s="131">
        <f>IF('Step 1 - Case Selection'!V59&lt;2,0,I134-I141)</f>
        <v>0</v>
      </c>
      <c r="J138" s="131">
        <f>IF('Step 1 - Case Selection'!V59&lt;3,0,J134-J141)</f>
        <v>0</v>
      </c>
      <c r="K138" s="131">
        <f>IF('Step 1 - Case Selection'!V59&lt;4,0,K134-K141)</f>
        <v>0</v>
      </c>
      <c r="L138" s="131">
        <f>IF('Step 1 - Case Selection'!V59&lt;5,0,L134-L141)</f>
        <v>0</v>
      </c>
      <c r="M138" s="292"/>
      <c r="N138" s="292"/>
    </row>
    <row r="139" spans="1:14" s="132" customFormat="1" ht="15.75" customHeight="1" x14ac:dyDescent="0.2">
      <c r="A139" s="292"/>
      <c r="B139" s="295"/>
      <c r="C139" s="128"/>
      <c r="D139" s="25" t="s">
        <v>342</v>
      </c>
      <c r="E139" s="27"/>
      <c r="F139" s="25"/>
      <c r="G139" s="28">
        <f>G135-G137</f>
        <v>0</v>
      </c>
      <c r="H139" s="28">
        <f t="shared" ref="H139:L139" si="30">H135-H137</f>
        <v>0</v>
      </c>
      <c r="I139" s="28">
        <f t="shared" si="30"/>
        <v>0</v>
      </c>
      <c r="J139" s="28">
        <f t="shared" si="30"/>
        <v>0</v>
      </c>
      <c r="K139" s="28">
        <f t="shared" si="30"/>
        <v>0</v>
      </c>
      <c r="L139" s="28">
        <f t="shared" si="30"/>
        <v>0</v>
      </c>
      <c r="M139" s="292"/>
      <c r="N139" s="292"/>
    </row>
    <row r="140" spans="1:14" s="132" customFormat="1" ht="15.75" customHeight="1" x14ac:dyDescent="0.2">
      <c r="A140" s="292"/>
      <c r="B140" s="295"/>
      <c r="C140" s="128"/>
      <c r="D140" s="25" t="s">
        <v>36</v>
      </c>
      <c r="E140" s="27" t="s">
        <v>5</v>
      </c>
      <c r="F140" s="25"/>
      <c r="G140" s="28"/>
      <c r="H140" s="28">
        <f>IF('Step 1 - Case Selection'!V59&lt;1,0,'Step 2.1 - Data Input (General)'!H9)</f>
        <v>0</v>
      </c>
      <c r="I140" s="28">
        <f>IF('Step 1 - Case Selection'!V59&lt;2,0,'Step 2.1 - Data Input (General)'!H9)</f>
        <v>0</v>
      </c>
      <c r="J140" s="28">
        <f>IF('Step 1 - Case Selection'!V59&lt;3,0,'Step 2.1 - Data Input (General)'!H9)</f>
        <v>0</v>
      </c>
      <c r="K140" s="28">
        <f>IF('Step 1 - Case Selection'!V59&lt;4,0,'Step 2.1 - Data Input (General)'!H9)</f>
        <v>0</v>
      </c>
      <c r="L140" s="28">
        <f>IF('Step 1 - Case Selection'!V59&lt;5,0,'Step 2.1 - Data Input (General)'!H9)</f>
        <v>0</v>
      </c>
      <c r="M140" s="292"/>
      <c r="N140" s="292"/>
    </row>
    <row r="141" spans="1:14" s="132" customFormat="1" ht="15.75" customHeight="1" x14ac:dyDescent="0.2">
      <c r="A141" s="292"/>
      <c r="B141" s="295"/>
      <c r="C141" s="128"/>
      <c r="D141" s="25" t="s">
        <v>37</v>
      </c>
      <c r="E141" s="27" t="s">
        <v>5</v>
      </c>
      <c r="F141" s="25"/>
      <c r="G141" s="28"/>
      <c r="H141" s="28">
        <f>IF((H139-H140)&gt;=0,(H139-H140)*'Step 2.1 - Data Input (General)'!H6,0)</f>
        <v>0</v>
      </c>
      <c r="I141" s="28">
        <f>IF((I139-I140)&gt;=0,(I139-I140)*'Step 2.1 - Data Input (General)'!H6,0)</f>
        <v>0</v>
      </c>
      <c r="J141" s="28">
        <f>IF((J139-J140)&gt;=0,(J139-J140)*'Step 2.1 - Data Input (General)'!H6,0)</f>
        <v>0</v>
      </c>
      <c r="K141" s="28">
        <f>IF((K139-K140)&gt;=0,(K139-K140)*'Step 2.1 - Data Input (General)'!H6,0)</f>
        <v>0</v>
      </c>
      <c r="L141" s="28">
        <f>IF((L139-L140)&gt;=0,(L139-L140)*'Step 2.1 - Data Input (General)'!H6,0)</f>
        <v>0</v>
      </c>
      <c r="M141" s="292"/>
      <c r="N141" s="292"/>
    </row>
    <row r="142" spans="1:14" s="124" customFormat="1" ht="15.75" customHeight="1" x14ac:dyDescent="0.2">
      <c r="A142" s="291"/>
      <c r="B142" s="294" t="s">
        <v>341</v>
      </c>
      <c r="C142" s="120"/>
      <c r="D142" s="120"/>
      <c r="E142" s="122"/>
      <c r="F142" s="123"/>
      <c r="G142" s="120"/>
      <c r="H142" s="120"/>
      <c r="I142" s="120"/>
      <c r="J142" s="120"/>
      <c r="K142" s="120"/>
      <c r="L142" s="120"/>
      <c r="M142" s="291"/>
      <c r="N142" s="291"/>
    </row>
    <row r="143" spans="1:14" s="132" customFormat="1" ht="15.75" customHeight="1" x14ac:dyDescent="0.2">
      <c r="A143" s="292"/>
      <c r="B143" s="295"/>
      <c r="C143" s="128"/>
      <c r="D143" s="25" t="s">
        <v>174</v>
      </c>
      <c r="E143" s="27" t="s">
        <v>5</v>
      </c>
      <c r="F143" s="25"/>
      <c r="G143" s="28"/>
      <c r="H143" s="28">
        <f>'Step 2.2 - Data Input (Revenue)'!H18*'Step 2.4 - Data Input (OpEx)'!H10*(1+'Step 2.4 - Data Input (OpEx)'!H14)^0</f>
        <v>0</v>
      </c>
      <c r="I143" s="28">
        <f>'Step 2.2 - Data Input (Revenue)'!H19*'Step 2.4 - Data Input (OpEx)'!H10*(1+'Step 2.4 - Data Input (OpEx)'!H14)^1</f>
        <v>0</v>
      </c>
      <c r="J143" s="28">
        <f>'Step 2.2 - Data Input (Revenue)'!H20*'Step 2.4 - Data Input (OpEx)'!H10*(1+'Step 2.4 - Data Input (OpEx)'!H14)^2</f>
        <v>0</v>
      </c>
      <c r="K143" s="28">
        <f>'Step 2.2 - Data Input (Revenue)'!H21*'Step 2.4 - Data Input (OpEx)'!H10*(1+'Step 2.4 - Data Input (OpEx)'!H14)^3</f>
        <v>0</v>
      </c>
      <c r="L143" s="28">
        <f>'Step 2.2 - Data Input (Revenue)'!H22*'Step 2.4 - Data Input (OpEx)'!H10*(1+'Step 2.4 - Data Input (OpEx)'!H14)^4</f>
        <v>0</v>
      </c>
      <c r="M143" s="292"/>
      <c r="N143" s="292"/>
    </row>
    <row r="144" spans="1:14" s="64" customFormat="1" ht="7.5" customHeight="1" x14ac:dyDescent="0.15">
      <c r="A144" s="61"/>
      <c r="B144" s="296"/>
      <c r="C144" s="61"/>
      <c r="D144" s="61"/>
      <c r="E144" s="63"/>
      <c r="F144" s="61"/>
      <c r="G144" s="61"/>
      <c r="H144" s="61"/>
      <c r="I144" s="61"/>
      <c r="J144" s="61"/>
      <c r="K144" s="61"/>
      <c r="L144" s="61"/>
      <c r="M144" s="61"/>
      <c r="N144" s="61"/>
    </row>
    <row r="145" spans="1:14" s="124" customFormat="1" ht="15.75" customHeight="1" x14ac:dyDescent="0.2">
      <c r="A145" s="291"/>
      <c r="B145" s="294" t="s">
        <v>337</v>
      </c>
      <c r="C145" s="120"/>
      <c r="D145" s="120"/>
      <c r="E145" s="122"/>
      <c r="F145" s="125"/>
      <c r="G145" s="120"/>
      <c r="H145" s="126"/>
      <c r="I145" s="126"/>
      <c r="J145" s="126"/>
      <c r="K145" s="126"/>
      <c r="L145" s="126"/>
      <c r="M145" s="291"/>
      <c r="N145" s="291"/>
    </row>
    <row r="146" spans="1:14" s="132" customFormat="1" ht="15.75" customHeight="1" x14ac:dyDescent="0.2">
      <c r="A146" s="292"/>
      <c r="B146" s="295"/>
      <c r="C146" s="128" t="s">
        <v>346</v>
      </c>
      <c r="D146" s="128"/>
      <c r="E146" s="130" t="s">
        <v>5</v>
      </c>
      <c r="F146" s="284">
        <f>SUM(G149:L149)</f>
        <v>0</v>
      </c>
      <c r="G146" s="128"/>
      <c r="H146" s="285"/>
      <c r="I146" s="285"/>
      <c r="J146" s="285"/>
      <c r="K146" s="285"/>
      <c r="L146" s="285"/>
      <c r="M146" s="292"/>
      <c r="N146" s="292"/>
    </row>
    <row r="147" spans="1:14" s="132" customFormat="1" ht="15.75" customHeight="1" x14ac:dyDescent="0.2">
      <c r="A147" s="292"/>
      <c r="B147" s="295"/>
      <c r="C147" s="133" t="s">
        <v>343</v>
      </c>
      <c r="D147" s="128"/>
      <c r="E147" s="130" t="s">
        <v>11</v>
      </c>
      <c r="F147" s="134" t="e">
        <f>IF(ROUND(IRR(G134:L134),5) =0, "&lt;= 0%", ROUND(IRR(G134:L134),5))</f>
        <v>#NUM!</v>
      </c>
      <c r="G147" s="135"/>
      <c r="H147" s="128"/>
      <c r="I147" s="128"/>
      <c r="J147" s="128"/>
      <c r="K147" s="128"/>
      <c r="L147" s="128"/>
      <c r="M147" s="292"/>
      <c r="N147" s="292"/>
    </row>
    <row r="148" spans="1:14" s="132" customFormat="1" ht="15.75" customHeight="1" x14ac:dyDescent="0.2">
      <c r="A148" s="292"/>
      <c r="B148" s="295"/>
      <c r="C148" s="133" t="s">
        <v>344</v>
      </c>
      <c r="D148" s="128"/>
      <c r="E148" s="130" t="s">
        <v>11</v>
      </c>
      <c r="F148" s="134" t="e">
        <f>F147-'Step 2.1 - Data Input (General)'!H7</f>
        <v>#NUM!</v>
      </c>
      <c r="G148" s="135"/>
      <c r="H148" s="128"/>
      <c r="I148" s="128"/>
      <c r="J148" s="128"/>
      <c r="K148" s="128"/>
      <c r="L148" s="128"/>
      <c r="M148" s="292"/>
      <c r="N148" s="292"/>
    </row>
    <row r="149" spans="1:14" s="137" customFormat="1" ht="15.75" customHeight="1" x14ac:dyDescent="0.2">
      <c r="A149" s="292"/>
      <c r="B149" s="295"/>
      <c r="C149" s="128"/>
      <c r="D149" s="25" t="s">
        <v>530</v>
      </c>
      <c r="E149" s="27" t="s">
        <v>5</v>
      </c>
      <c r="F149" s="36"/>
      <c r="G149" s="49">
        <f>G134/(1+'Step 2.1 - Data Input (General)'!H7)^0</f>
        <v>0</v>
      </c>
      <c r="H149" s="49">
        <f>H134/(1+'Step 2.1 - Data Input (General)'!H7)^1</f>
        <v>0</v>
      </c>
      <c r="I149" s="49">
        <f>I134/(1+'Step 2.1 - Data Input (General)'!H7)^2</f>
        <v>0</v>
      </c>
      <c r="J149" s="49">
        <f>J134/(1+'Step 2.1 - Data Input (General)'!H7)^3</f>
        <v>0</v>
      </c>
      <c r="K149" s="49">
        <f>K134/(1+'Step 2.1 - Data Input (General)'!H7)^4</f>
        <v>0</v>
      </c>
      <c r="L149" s="49">
        <f>L134/(1+'Step 2.1 - Data Input (General)'!H7)^5</f>
        <v>0</v>
      </c>
      <c r="M149" s="293"/>
      <c r="N149" s="293"/>
    </row>
    <row r="150" spans="1:14" s="137" customFormat="1" ht="15.75" customHeight="1" x14ac:dyDescent="0.2">
      <c r="A150" s="292"/>
      <c r="B150" s="295"/>
      <c r="C150" s="128"/>
      <c r="D150" s="25" t="s">
        <v>221</v>
      </c>
      <c r="E150" s="39" t="s">
        <v>38</v>
      </c>
      <c r="F150" s="40"/>
      <c r="G150" s="37" t="s">
        <v>198</v>
      </c>
      <c r="H150" s="38" t="s">
        <v>193</v>
      </c>
      <c r="I150" s="38" t="s">
        <v>194</v>
      </c>
      <c r="J150" s="38" t="s">
        <v>195</v>
      </c>
      <c r="K150" s="38" t="s">
        <v>196</v>
      </c>
      <c r="L150" s="38" t="s">
        <v>197</v>
      </c>
      <c r="M150" s="293"/>
      <c r="N150" s="293"/>
    </row>
    <row r="151" spans="1:14" s="132" customFormat="1" ht="15.75" customHeight="1" x14ac:dyDescent="0.2">
      <c r="A151" s="292"/>
      <c r="B151" s="297"/>
      <c r="C151" s="127" t="s">
        <v>345</v>
      </c>
      <c r="D151" s="127"/>
      <c r="E151" s="136" t="s">
        <v>188</v>
      </c>
      <c r="F151" s="127" t="str" cm="1">
        <f t="array" ref="F151">IFERROR(ROUND(_xlfn.IFS(L152&lt;0, "no-break-even-point",K152&lt;0,4+ABS(K152)/L149,J152&lt;0, 3+ABS(J152)/K149,I152&lt;0, 2+ABS(I152)/J149,H152&lt;0, 1+ABS(H152)/I149,G152&lt;0,0+ABS(G152)/H149),3), "no-break-even-point")</f>
        <v>no-break-even-point</v>
      </c>
      <c r="G151" s="127"/>
      <c r="H151" s="127"/>
      <c r="I151" s="127"/>
      <c r="J151" s="127"/>
      <c r="K151" s="127"/>
      <c r="L151" s="127"/>
      <c r="M151" s="292"/>
      <c r="N151" s="292"/>
    </row>
    <row r="152" spans="1:14" s="132" customFormat="1" ht="15.75" customHeight="1" x14ac:dyDescent="0.2">
      <c r="A152" s="292"/>
      <c r="B152" s="295"/>
      <c r="C152" s="128"/>
      <c r="D152" s="25" t="s">
        <v>529</v>
      </c>
      <c r="E152" s="27" t="s">
        <v>5</v>
      </c>
      <c r="F152" s="36"/>
      <c r="G152" s="49">
        <f>G149</f>
        <v>0</v>
      </c>
      <c r="H152" s="49">
        <f>G152+H149</f>
        <v>0</v>
      </c>
      <c r="I152" s="49">
        <f>H152+I149</f>
        <v>0</v>
      </c>
      <c r="J152" s="49">
        <f>I152+J149</f>
        <v>0</v>
      </c>
      <c r="K152" s="49">
        <f>J152+K149</f>
        <v>0</v>
      </c>
      <c r="L152" s="49">
        <f>K152+L149</f>
        <v>0</v>
      </c>
      <c r="M152" s="292"/>
      <c r="N152" s="292"/>
    </row>
    <row r="153" spans="1:14" s="64" customFormat="1" ht="7.5" customHeight="1" x14ac:dyDescent="0.15">
      <c r="A153" s="61"/>
      <c r="B153" s="296"/>
      <c r="C153" s="61"/>
      <c r="D153" s="61"/>
      <c r="E153" s="63"/>
      <c r="F153" s="61"/>
      <c r="G153" s="61"/>
      <c r="H153" s="61"/>
      <c r="I153" s="61"/>
      <c r="J153" s="61"/>
      <c r="K153" s="61"/>
      <c r="L153" s="61"/>
      <c r="M153" s="61"/>
      <c r="N153" s="61"/>
    </row>
    <row r="154" spans="1:14" s="124" customFormat="1" ht="15.75" customHeight="1" x14ac:dyDescent="0.2">
      <c r="A154" s="291"/>
      <c r="B154" s="294" t="s">
        <v>338</v>
      </c>
      <c r="C154" s="120"/>
      <c r="D154" s="120"/>
      <c r="E154" s="122"/>
      <c r="F154" s="125"/>
      <c r="G154" s="120"/>
      <c r="H154" s="126"/>
      <c r="I154" s="126"/>
      <c r="J154" s="126"/>
      <c r="K154" s="126"/>
      <c r="L154" s="126"/>
      <c r="M154" s="291"/>
      <c r="N154" s="291"/>
    </row>
    <row r="155" spans="1:14" s="132" customFormat="1" ht="15.75" customHeight="1" x14ac:dyDescent="0.2">
      <c r="A155" s="292"/>
      <c r="B155" s="295"/>
      <c r="C155" s="128" t="s">
        <v>347</v>
      </c>
      <c r="D155" s="128"/>
      <c r="E155" s="130" t="s">
        <v>5</v>
      </c>
      <c r="F155" s="284">
        <f>SUM(G158:L158)</f>
        <v>0</v>
      </c>
      <c r="G155" s="128"/>
      <c r="H155" s="285"/>
      <c r="I155" s="285"/>
      <c r="J155" s="285"/>
      <c r="K155" s="285"/>
      <c r="L155" s="285"/>
      <c r="M155" s="292"/>
      <c r="N155" s="292"/>
    </row>
    <row r="156" spans="1:14" s="132" customFormat="1" ht="15.75" customHeight="1" x14ac:dyDescent="0.2">
      <c r="A156" s="292"/>
      <c r="B156" s="295"/>
      <c r="C156" s="133" t="s">
        <v>348</v>
      </c>
      <c r="D156" s="128"/>
      <c r="E156" s="130" t="s">
        <v>11</v>
      </c>
      <c r="F156" s="134" t="e">
        <f>IF(ROUND(IRR(G138:L138),5) =0, "&lt;= 0%", ROUND(IRR(G138:L138),5))</f>
        <v>#NUM!</v>
      </c>
      <c r="G156" s="135"/>
      <c r="H156" s="128"/>
      <c r="I156" s="128"/>
      <c r="J156" s="128"/>
      <c r="K156" s="128"/>
      <c r="L156" s="128"/>
      <c r="M156" s="292"/>
      <c r="N156" s="292"/>
    </row>
    <row r="157" spans="1:14" s="132" customFormat="1" ht="15.75" customHeight="1" x14ac:dyDescent="0.2">
      <c r="A157" s="292"/>
      <c r="B157" s="295"/>
      <c r="C157" s="133" t="s">
        <v>349</v>
      </c>
      <c r="D157" s="128"/>
      <c r="E157" s="130" t="s">
        <v>11</v>
      </c>
      <c r="F157" s="134" t="e">
        <f>F156-'Step 2.1 - Data Input (General)'!H7</f>
        <v>#NUM!</v>
      </c>
      <c r="G157" s="135"/>
      <c r="H157" s="128"/>
      <c r="I157" s="128"/>
      <c r="J157" s="128"/>
      <c r="K157" s="128"/>
      <c r="L157" s="128"/>
      <c r="M157" s="292"/>
      <c r="N157" s="292"/>
    </row>
    <row r="158" spans="1:14" s="132" customFormat="1" ht="15.75" customHeight="1" x14ac:dyDescent="0.2">
      <c r="A158" s="292"/>
      <c r="B158" s="295"/>
      <c r="C158" s="128"/>
      <c r="D158" s="25" t="s">
        <v>507</v>
      </c>
      <c r="E158" s="27" t="s">
        <v>5</v>
      </c>
      <c r="F158" s="25"/>
      <c r="G158" s="49">
        <f>G138/(1+'Step 2.1 - Data Input (General)'!H7)^0</f>
        <v>0</v>
      </c>
      <c r="H158" s="49">
        <f>H138/(1+'Step 2.1 - Data Input (General)'!H7)^1</f>
        <v>0</v>
      </c>
      <c r="I158" s="49">
        <f>I138/(1+'Step 2.1 - Data Input (General)'!H7)^2</f>
        <v>0</v>
      </c>
      <c r="J158" s="49">
        <f>J138/(1+'Step 2.1 - Data Input (General)'!H7)^3</f>
        <v>0</v>
      </c>
      <c r="K158" s="49">
        <f>K138/(1+'Step 2.1 - Data Input (General)'!H7)^4</f>
        <v>0</v>
      </c>
      <c r="L158" s="49">
        <f>L138/(1+'Step 2.1 - Data Input (General)'!H7)^5</f>
        <v>0</v>
      </c>
      <c r="M158" s="292"/>
      <c r="N158" s="292"/>
    </row>
    <row r="159" spans="1:14" s="132" customFormat="1" ht="15.75" customHeight="1" x14ac:dyDescent="0.2">
      <c r="A159" s="292"/>
      <c r="B159" s="295"/>
      <c r="C159" s="128"/>
      <c r="D159" s="25" t="s">
        <v>221</v>
      </c>
      <c r="E159" s="39" t="s">
        <v>38</v>
      </c>
      <c r="F159" s="40"/>
      <c r="G159" s="37"/>
      <c r="H159" s="38" t="s">
        <v>193</v>
      </c>
      <c r="I159" s="38" t="s">
        <v>194</v>
      </c>
      <c r="J159" s="38" t="s">
        <v>195</v>
      </c>
      <c r="K159" s="38" t="s">
        <v>196</v>
      </c>
      <c r="L159" s="38" t="s">
        <v>197</v>
      </c>
      <c r="M159" s="292"/>
      <c r="N159" s="292"/>
    </row>
    <row r="160" spans="1:14" s="132" customFormat="1" ht="15.75" customHeight="1" x14ac:dyDescent="0.2">
      <c r="A160" s="292"/>
      <c r="B160" s="297"/>
      <c r="C160" s="127" t="s">
        <v>350</v>
      </c>
      <c r="D160" s="127"/>
      <c r="E160" s="136" t="s">
        <v>188</v>
      </c>
      <c r="F160" s="127" t="str" cm="1">
        <f t="array" ref="F160">IFERROR(ROUND(_xlfn.IFS(L161&lt;0, "no-break-even-point",K161&lt;0,4+ABS(K161)/L158,J161&lt;0, 3+ABS(J161)/K158,I161&lt;0, 2+ABS(I161)/J158,H161&lt;0, 1+ABS(H161)/I158,G161&lt;0,0+ABS(G161)/H158),3), "no-break-even-point")</f>
        <v>no-break-even-point</v>
      </c>
      <c r="G160" s="127"/>
      <c r="H160" s="127"/>
      <c r="I160" s="127"/>
      <c r="J160" s="127"/>
      <c r="K160" s="127"/>
      <c r="L160" s="127"/>
      <c r="M160" s="292"/>
      <c r="N160" s="292"/>
    </row>
    <row r="161" spans="1:14" s="137" customFormat="1" ht="15.75" customHeight="1" x14ac:dyDescent="0.2">
      <c r="A161" s="292"/>
      <c r="B161" s="295"/>
      <c r="C161" s="128"/>
      <c r="D161" s="25" t="s">
        <v>508</v>
      </c>
      <c r="E161" s="27" t="s">
        <v>5</v>
      </c>
      <c r="F161" s="36"/>
      <c r="G161" s="49">
        <f>G158</f>
        <v>0</v>
      </c>
      <c r="H161" s="49">
        <f>G161+H158</f>
        <v>0</v>
      </c>
      <c r="I161" s="49">
        <f>H161+I158</f>
        <v>0</v>
      </c>
      <c r="J161" s="49">
        <f>I161+J158</f>
        <v>0</v>
      </c>
      <c r="K161" s="49">
        <f>J161+K158</f>
        <v>0</v>
      </c>
      <c r="L161" s="49">
        <f>K161+L158</f>
        <v>0</v>
      </c>
      <c r="M161" s="293"/>
      <c r="N161" s="293"/>
    </row>
    <row r="162" spans="1:14" ht="15" hidden="1" customHeight="1" x14ac:dyDescent="0.15">
      <c r="A162" s="300"/>
      <c r="B162" s="298"/>
    </row>
    <row r="163" spans="1:14" ht="15" customHeight="1" x14ac:dyDescent="0.15"/>
    <row r="164" spans="1:14" ht="15" customHeight="1" x14ac:dyDescent="0.15"/>
    <row r="165" spans="1:14" ht="15" customHeight="1" x14ac:dyDescent="0.15"/>
    <row r="166" spans="1:14" ht="15" customHeight="1" x14ac:dyDescent="0.15"/>
    <row r="167" spans="1:14" ht="15" customHeight="1" x14ac:dyDescent="0.15"/>
    <row r="168" spans="1:14" ht="15" customHeight="1" x14ac:dyDescent="0.15"/>
    <row r="169" spans="1:14" ht="15" customHeight="1" x14ac:dyDescent="0.15"/>
    <row r="170" spans="1:14" ht="15" customHeight="1" x14ac:dyDescent="0.15"/>
    <row r="171" spans="1:14" ht="15" customHeight="1" x14ac:dyDescent="0.15"/>
    <row r="172" spans="1:14" ht="15" customHeight="1" x14ac:dyDescent="0.15"/>
    <row r="173" spans="1:14" ht="15" customHeight="1" x14ac:dyDescent="0.15"/>
    <row r="174" spans="1:14" ht="15" customHeight="1" x14ac:dyDescent="0.15"/>
    <row r="175" spans="1:14" ht="15" customHeight="1" x14ac:dyDescent="0.15"/>
    <row r="176" spans="1:14"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sheetData>
  <sheetProtection sheet="1" objects="1" scenarios="1"/>
  <mergeCells count="1">
    <mergeCell ref="A125:B125"/>
  </mergeCells>
  <pageMargins left="0.7" right="0.7" top="0.78740157499999996" bottom="0.78740157499999996"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1294-AA4A-4EB5-AA70-165EBFD08E88}">
  <sheetPr>
    <tabColor theme="2"/>
  </sheetPr>
  <dimension ref="A1:AH197"/>
  <sheetViews>
    <sheetView zoomScale="70" zoomScaleNormal="70" workbookViewId="0">
      <pane ySplit="1" topLeftCell="A21" activePane="bottomLeft" state="frozen"/>
      <selection activeCell="B1" sqref="B1"/>
      <selection pane="bottomLeft" activeCell="H56" sqref="H56"/>
    </sheetView>
  </sheetViews>
  <sheetFormatPr baseColWidth="10" defaultColWidth="0" defaultRowHeight="15" customHeight="1" zeroHeight="1" x14ac:dyDescent="0.15"/>
  <cols>
    <col min="1" max="1" width="28.5" style="4" bestFit="1" customWidth="1"/>
    <col min="2" max="2" width="51.5" style="35" bestFit="1" customWidth="1"/>
    <col min="3" max="3" width="58.5" style="4" bestFit="1" customWidth="1"/>
    <col min="4" max="4" width="68.6640625" style="4" bestFit="1" customWidth="1"/>
    <col min="5" max="5" width="7.83203125" style="15" bestFit="1" customWidth="1"/>
    <col min="6" max="13" width="20" style="4" customWidth="1"/>
    <col min="14" max="14" width="25.83203125" style="4" bestFit="1" customWidth="1"/>
    <col min="15" max="34" width="10.6640625" style="4" hidden="1" customWidth="1"/>
    <col min="35" max="16384" width="11.5" style="4" hidden="1"/>
  </cols>
  <sheetData>
    <row r="1" spans="1:14" ht="20" x14ac:dyDescent="0.2">
      <c r="A1" s="138" t="s">
        <v>219</v>
      </c>
      <c r="B1" s="138" t="s">
        <v>0</v>
      </c>
      <c r="C1" s="138" t="s">
        <v>18</v>
      </c>
      <c r="D1" s="138" t="s">
        <v>107</v>
      </c>
      <c r="E1" s="139" t="s">
        <v>1</v>
      </c>
      <c r="F1" s="138" t="s">
        <v>20</v>
      </c>
      <c r="G1" s="138" t="s">
        <v>21</v>
      </c>
      <c r="H1" s="138" t="s">
        <v>22</v>
      </c>
      <c r="I1" s="138" t="s">
        <v>23</v>
      </c>
      <c r="J1" s="138" t="s">
        <v>24</v>
      </c>
      <c r="K1" s="138" t="s">
        <v>25</v>
      </c>
      <c r="L1" s="138" t="s">
        <v>26</v>
      </c>
      <c r="M1" s="138" t="s">
        <v>164</v>
      </c>
      <c r="N1" s="138" t="s">
        <v>218</v>
      </c>
    </row>
    <row r="2" spans="1:14" ht="18" x14ac:dyDescent="0.2">
      <c r="A2" s="74" t="s">
        <v>222</v>
      </c>
      <c r="B2" s="75"/>
      <c r="C2" s="76"/>
      <c r="D2" s="76"/>
      <c r="E2" s="78" t="s">
        <v>5</v>
      </c>
      <c r="F2" s="79">
        <f t="shared" ref="F2" si="0">SUM(G2:L2)</f>
        <v>0</v>
      </c>
      <c r="G2" s="79">
        <f t="shared" ref="G2:L2" si="1">SUM(G4,G13)</f>
        <v>0</v>
      </c>
      <c r="H2" s="79">
        <f t="shared" si="1"/>
        <v>0</v>
      </c>
      <c r="I2" s="79">
        <f t="shared" si="1"/>
        <v>0</v>
      </c>
      <c r="J2" s="79">
        <f t="shared" si="1"/>
        <v>0</v>
      </c>
      <c r="K2" s="79">
        <f t="shared" si="1"/>
        <v>0</v>
      </c>
      <c r="L2" s="79">
        <f t="shared" si="1"/>
        <v>0</v>
      </c>
      <c r="M2" s="79"/>
      <c r="N2"/>
    </row>
    <row r="3" spans="1:14" ht="7.5" customHeight="1" x14ac:dyDescent="0.2">
      <c r="A3" s="61"/>
      <c r="B3" s="62"/>
      <c r="C3" s="61"/>
      <c r="D3" s="61"/>
      <c r="E3" s="63"/>
      <c r="F3" s="61"/>
      <c r="G3" s="61"/>
      <c r="H3" s="61"/>
      <c r="I3" s="61"/>
      <c r="J3" s="61"/>
      <c r="K3" s="61"/>
      <c r="L3" s="61"/>
      <c r="M3" s="61"/>
      <c r="N3"/>
    </row>
    <row r="4" spans="1:14" customFormat="1" x14ac:dyDescent="0.2">
      <c r="A4" s="69"/>
      <c r="B4" s="70" t="s">
        <v>3</v>
      </c>
      <c r="C4" s="69"/>
      <c r="D4" s="69"/>
      <c r="E4" s="72" t="s">
        <v>5</v>
      </c>
      <c r="F4" s="73">
        <f>SUM(G4:L4)</f>
        <v>0</v>
      </c>
      <c r="G4" s="73"/>
      <c r="H4" s="73">
        <f>SUM(H5+H9)</f>
        <v>0</v>
      </c>
      <c r="I4" s="73">
        <f t="shared" ref="I4:L4" si="2">SUM(I5+I9)</f>
        <v>0</v>
      </c>
      <c r="J4" s="73">
        <f t="shared" si="2"/>
        <v>0</v>
      </c>
      <c r="K4" s="73">
        <f t="shared" si="2"/>
        <v>0</v>
      </c>
      <c r="L4" s="73">
        <f t="shared" si="2"/>
        <v>0</v>
      </c>
      <c r="M4" s="73"/>
    </row>
    <row r="5" spans="1:14" customFormat="1" x14ac:dyDescent="0.2">
      <c r="A5" s="16"/>
      <c r="B5" s="30"/>
      <c r="C5" s="16" t="s">
        <v>410</v>
      </c>
      <c r="D5" s="16"/>
      <c r="E5" s="18" t="s">
        <v>5</v>
      </c>
      <c r="F5" s="3">
        <f>SUM(G5:L5)</f>
        <v>0</v>
      </c>
      <c r="G5" s="3"/>
      <c r="H5" s="3">
        <f>SUM(H6:H8)</f>
        <v>0</v>
      </c>
      <c r="I5" s="3">
        <f t="shared" ref="I5:L5" si="3">SUM(I6:I8)</f>
        <v>0</v>
      </c>
      <c r="J5" s="3">
        <f t="shared" si="3"/>
        <v>0</v>
      </c>
      <c r="K5" s="3">
        <f t="shared" si="3"/>
        <v>0</v>
      </c>
      <c r="L5" s="3">
        <f t="shared" si="3"/>
        <v>0</v>
      </c>
      <c r="M5" s="3"/>
    </row>
    <row r="6" spans="1:14" customFormat="1" x14ac:dyDescent="0.2">
      <c r="A6" s="16"/>
      <c r="B6" s="30"/>
      <c r="C6" s="16"/>
      <c r="D6" s="5" t="s">
        <v>154</v>
      </c>
      <c r="E6" s="21" t="s">
        <v>5</v>
      </c>
      <c r="F6" s="22">
        <f>SUM(G6:L6)</f>
        <v>0</v>
      </c>
      <c r="G6" s="22"/>
      <c r="H6" s="22">
        <f>'Step 2.2 - Data Input (Revenue)'!I9*'Step 2.2 - Data Input (Revenue)'!I6</f>
        <v>0</v>
      </c>
      <c r="I6" s="22">
        <f>'Step 2.2 - Data Input (Revenue)'!I10*'Step 2.2 - Data Input (Revenue)'!I6</f>
        <v>0</v>
      </c>
      <c r="J6" s="22">
        <f>'Step 2.2 - Data Input (Revenue)'!I11*'Step 2.2 - Data Input (Revenue)'!I6</f>
        <v>0</v>
      </c>
      <c r="K6" s="22">
        <f>'Step 2.2 - Data Input (Revenue)'!I12*'Step 2.2 - Data Input (Revenue)'!I6</f>
        <v>0</v>
      </c>
      <c r="L6" s="22">
        <f>'Step 2.2 - Data Input (Revenue)'!I13*'Step 2.2 - Data Input (Revenue)'!I6</f>
        <v>0</v>
      </c>
      <c r="M6" s="3"/>
    </row>
    <row r="7" spans="1:14" customFormat="1" x14ac:dyDescent="0.2">
      <c r="A7" s="16"/>
      <c r="B7" s="30"/>
      <c r="C7" s="16"/>
      <c r="D7" s="5" t="s">
        <v>390</v>
      </c>
      <c r="E7" s="21" t="s">
        <v>5</v>
      </c>
      <c r="F7" s="22">
        <f t="shared" ref="F7" si="4">SUM(G7:L7)</f>
        <v>0</v>
      </c>
      <c r="G7" s="22"/>
      <c r="H7" s="22">
        <f>'Step 2.2 - Data Input (Revenue)'!I9*'Step 2.2 - Data Input (Revenue)'!I7</f>
        <v>0</v>
      </c>
      <c r="I7" s="22">
        <f>'Step 2.2 - Data Input (Revenue)'!I10*'Step 2.2 - Data Input (Revenue)'!I7</f>
        <v>0</v>
      </c>
      <c r="J7" s="22">
        <f>'Step 2.2 - Data Input (Revenue)'!I11*'Step 2.2 - Data Input (Revenue)'!I7</f>
        <v>0</v>
      </c>
      <c r="K7" s="22">
        <f>'Step 2.2 - Data Input (Revenue)'!I12*'Step 2.2 - Data Input (Revenue)'!I7</f>
        <v>0</v>
      </c>
      <c r="L7" s="22">
        <f>'Step 2.2 - Data Input (Revenue)'!I13*'Step 2.2 - Data Input (Revenue)'!I7</f>
        <v>0</v>
      </c>
      <c r="M7" s="3"/>
    </row>
    <row r="8" spans="1:14" customFormat="1" x14ac:dyDescent="0.2">
      <c r="A8" s="16"/>
      <c r="B8" s="30"/>
      <c r="C8" s="16"/>
      <c r="D8" s="5" t="s">
        <v>389</v>
      </c>
      <c r="E8" s="21" t="s">
        <v>5</v>
      </c>
      <c r="F8" s="22">
        <f>SUM(G8:L8)</f>
        <v>0</v>
      </c>
      <c r="G8" s="22"/>
      <c r="H8" s="22">
        <f>'Step 2.2 - Data Input (Revenue)'!I9*'Step 2.2 - Data Input (Revenue)'!I8</f>
        <v>0</v>
      </c>
      <c r="I8" s="22">
        <f>'Step 2.2 - Data Input (Revenue)'!I10*'Step 2.2 - Data Input (Revenue)'!I8</f>
        <v>0</v>
      </c>
      <c r="J8" s="22">
        <f>'Step 2.2 - Data Input (Revenue)'!I11*'Step 2.2 - Data Input (Revenue)'!I8</f>
        <v>0</v>
      </c>
      <c r="K8" s="22">
        <f>'Step 2.2 - Data Input (Revenue)'!I12*'Step 2.2 - Data Input (Revenue)'!I8</f>
        <v>0</v>
      </c>
      <c r="L8" s="22">
        <f>'Step 2.2 - Data Input (Revenue)'!I13*'Step 2.2 - Data Input (Revenue)'!I8</f>
        <v>0</v>
      </c>
      <c r="M8" s="3"/>
    </row>
    <row r="9" spans="1:14" x14ac:dyDescent="0.2">
      <c r="A9" s="16"/>
      <c r="B9" s="30"/>
      <c r="C9" s="16" t="s">
        <v>108</v>
      </c>
      <c r="D9" s="16"/>
      <c r="E9" s="18" t="s">
        <v>5</v>
      </c>
      <c r="F9" s="3">
        <f>SUM(G9:L9)</f>
        <v>0</v>
      </c>
      <c r="G9" s="3"/>
      <c r="H9" s="3">
        <f>H10*'Step 2.2 - Data Input (Revenue)'!I16</f>
        <v>0</v>
      </c>
      <c r="I9" s="3">
        <f>I10*'Step 2.2 - Data Input (Revenue)'!I16</f>
        <v>0</v>
      </c>
      <c r="J9" s="3">
        <f>J10*'Step 2.2 - Data Input (Revenue)'!I16</f>
        <v>0</v>
      </c>
      <c r="K9" s="3">
        <f>K10*'Step 2.2 - Data Input (Revenue)'!I16</f>
        <v>0</v>
      </c>
      <c r="L9" s="3">
        <f>L10*'Step 2.2 - Data Input (Revenue)'!I16</f>
        <v>0</v>
      </c>
      <c r="M9" s="3"/>
      <c r="N9"/>
    </row>
    <row r="10" spans="1:14" customFormat="1" x14ac:dyDescent="0.2">
      <c r="A10" s="19"/>
      <c r="B10" s="31"/>
      <c r="C10" s="19"/>
      <c r="D10" s="5" t="s">
        <v>109</v>
      </c>
      <c r="E10" s="21" t="s">
        <v>166</v>
      </c>
      <c r="F10" s="5"/>
      <c r="G10" s="5"/>
      <c r="H10" s="5">
        <f>'Step 2.2 - Data Input (Revenue)'!I18</f>
        <v>0</v>
      </c>
      <c r="I10" s="5">
        <f>IF('Step 2.2 - Data Input (Revenue)'!I17&gt;1,'Step 2.2 - Data Input (Revenue)'!I18+'Step 2.2 - Data Input (Revenue)'!I19,'Step 2.2 - Data Input (Revenue)'!I19)</f>
        <v>0</v>
      </c>
      <c r="J10" s="5" cm="1">
        <f t="array" ref="J10">_xlfn.IFS('Step 2.2 - Data Input (Revenue)'!I17&gt;2, 'Step 2.2 - Data Input (Revenue)'!I18+'Step 2.2 - Data Input (Revenue)'!I19+'Step 2.2 - Data Input (Revenue)'!I20,'Step 2.2 - Data Input (Revenue)'!I17&gt;1,'Step 2.2 - Data Input (Revenue)'!I19+'Step 2.2 - Data Input (Revenue)'!I20, 'Step 2.2 - Data Input (Revenue)'!I17&lt;=1, 'Step 2.2 - Data Input (Revenue)'!I20)</f>
        <v>0</v>
      </c>
      <c r="K10" s="5" cm="1">
        <f t="array" ref="K10">_xlfn.IFS('Step 2.2 - Data Input (Revenue)'!I17&gt;3, 'Step 2.2 - Data Input (Revenue)'!I18+'Step 2.2 - Data Input (Revenue)'!I19+'Step 2.2 - Data Input (Revenue)'!I20+ 'Step 2.2 - Data Input (Revenue)'!I21, 'Step 2.2 - Data Input (Revenue)'!I17&gt;2,'Step 2.2 - Data Input (Revenue)'!I19+'Step 2.2 - Data Input (Revenue)'!I20+'Step 2.2 - Data Input (Revenue)'!I21, 'Step 2.2 - Data Input (Revenue)'!I17&gt;1, 'Step 2.2 - Data Input (Revenue)'!I20+'Step 2.2 - Data Input (Revenue)'!I21, 'Step 2.2 - Data Input (Revenue)'!I17&lt;=1, 'Step 2.2 - Data Input (Revenue)'!I21)</f>
        <v>0</v>
      </c>
      <c r="L10" s="5" cm="1">
        <f t="array" ref="L10">_xlfn.IFS('Step 2.2 - Data Input (Revenue)'!I17&gt;4, 'Step 2.2 - Data Input (Revenue)'!I18+'Step 2.2 - Data Input (Revenue)'!I19+'Step 2.2 - Data Input (Revenue)'!I20+ 'Step 2.2 - Data Input (Revenue)'!I21+'Step 2.2 - Data Input (Revenue)'!I22, 'Step 2.2 - Data Input (Revenue)'!I17&gt;3,'Step 2.2 - Data Input (Revenue)'!I19+'Step 2.2 - Data Input (Revenue)'!I20+'Step 2.2 - Data Input (Revenue)'!I21+'Step 2.2 - Data Input (Revenue)'!I22, 'Step 2.2 - Data Input (Revenue)'!I17&gt;2, 'Step 2.2 - Data Input (Revenue)'!I20+'Step 2.2 - Data Input (Revenue)'!I21+'Step 2.2 - Data Input (Revenue)'!I22, 'Step 2.2 - Data Input (Revenue)'!I17&gt;1, 'Step 2.2 - Data Input (Revenue)'!I21+'Step 2.2 - Data Input (Revenue)'!I22,'Step 2.2 - Data Input (Revenue)'!I17&lt;=1, 'Step 2.2 - Data Input (Revenue)'!I22)</f>
        <v>0</v>
      </c>
      <c r="M10" s="5"/>
    </row>
    <row r="11" spans="1:14" customFormat="1" x14ac:dyDescent="0.2">
      <c r="A11" s="19"/>
      <c r="B11" s="31"/>
      <c r="C11" s="19"/>
      <c r="D11" s="5" t="s">
        <v>187</v>
      </c>
      <c r="E11" s="21" t="s">
        <v>5</v>
      </c>
      <c r="F11" s="22">
        <f>SUM(G11:M11)</f>
        <v>0</v>
      </c>
      <c r="G11" s="22"/>
      <c r="H11" s="22"/>
      <c r="I11" s="22"/>
      <c r="J11" s="22"/>
      <c r="K11" s="22"/>
      <c r="L11" s="22"/>
      <c r="M11" s="22" cm="1">
        <f t="array" ref="M11">_xlfn.IFS('Step 2.2 - Data Input (Revenue)'!I17&gt;5, (('Step 2.2 - Data Input (Revenue)'!I17-5)*'Step 2.2 - Data Input (Revenue)'!I18+('Step 2.2 - Data Input (Revenue)'!I17-4)*'Step 2.2 - Data Input (Revenue)'!I19+('Step 2.2 - Data Input (Revenue)'!I17-3)*'Step 2.2 - Data Input (Revenue)'!I20+('Step 2.2 - Data Input (Revenue)'!I17-2)*'Step 2.2 - Data Input (Revenue)'!I21+('Step 2.2 - Data Input (Revenue)'!I17-1)*'Step 2.2 - Data Input (Revenue)'!I22)*Annual_Price_Rental_Contract, 'Step 2.2 - Data Input (Revenue)'!I17&gt;4, (('Step 2.2 - Data Input (Revenue)'!I17-4)*'Step 2.2 - Data Input (Revenue)'!I19+('Step 2.2 - Data Input (Revenue)'!I17-3)*'Step 2.2 - Data Input (Revenue)'!I20+('Step 2.2 - Data Input (Revenue)'!I17-2)*'Step 2.2 - Data Input (Revenue)'!I21+('Step 2.2 - Data Input (Revenue)'!I17-1)*'Step 2.2 - Data Input (Revenue)'!I22)*Annual_Price_Rental_Contract, 'Step 2.2 - Data Input (Revenue)'!I17&gt;3, (('Step 2.2 - Data Input (Revenue)'!I17-3)*'Step 2.2 - Data Input (Revenue)'!I20+('Step 2.2 - Data Input (Revenue)'!I17-2)*'Step 2.2 - Data Input (Revenue)'!I21+('Step 2.2 - Data Input (Revenue)'!I17-1)*'Step 2.2 - Data Input (Revenue)'!I22)*Annual_Price_Rental_Contract, 'Step 2.2 - Data Input (Revenue)'!I17&gt;2,(('Step 2.2 - Data Input (Revenue)'!I17-2)*'Step 2.2 - Data Input (Revenue)'!I21+('Step 2.2 - Data Input (Revenue)'!I17-1)*'Step 2.2 - Data Input (Revenue)'!I22)*Annual_Price_Rental_Contract, 'Step 2.2 - Data Input (Revenue)'!I17&gt;1, ('Step 2.2 - Data Input (Revenue)'!I17-1)*'Step 2.2 - Data Input (Revenue)'!I22*Annual_Price_Rental_Contract, 'Step 2.2 - Data Input (Revenue)'!I17&lt;=1, 0)</f>
        <v>0</v>
      </c>
    </row>
    <row r="12" spans="1:14" customFormat="1" ht="7.5" customHeight="1" x14ac:dyDescent="0.2">
      <c r="A12" s="61"/>
      <c r="B12" s="62"/>
      <c r="C12" s="61"/>
      <c r="D12" s="61"/>
      <c r="E12" s="63"/>
      <c r="F12" s="61"/>
      <c r="G12" s="61"/>
      <c r="H12" s="61"/>
      <c r="I12" s="61"/>
      <c r="J12" s="61"/>
      <c r="K12" s="61"/>
      <c r="L12" s="61"/>
      <c r="M12" s="61"/>
    </row>
    <row r="13" spans="1:14" customFormat="1" x14ac:dyDescent="0.2">
      <c r="A13" s="69"/>
      <c r="B13" s="70" t="s">
        <v>179</v>
      </c>
      <c r="C13" s="69"/>
      <c r="D13" s="69"/>
      <c r="E13" s="72" t="s">
        <v>5</v>
      </c>
      <c r="F13" s="73">
        <f t="shared" ref="F13:F15" si="5">SUM(G13:L13)</f>
        <v>0</v>
      </c>
      <c r="G13" s="73">
        <f>SUM(G14:G15)</f>
        <v>0</v>
      </c>
      <c r="H13" s="73">
        <f t="shared" ref="H13:L13" si="6">SUM(H14:H15)</f>
        <v>0</v>
      </c>
      <c r="I13" s="73">
        <f t="shared" si="6"/>
        <v>0</v>
      </c>
      <c r="J13" s="73">
        <f t="shared" si="6"/>
        <v>0</v>
      </c>
      <c r="K13" s="73">
        <f t="shared" si="6"/>
        <v>0</v>
      </c>
      <c r="L13" s="73">
        <f t="shared" si="6"/>
        <v>0</v>
      </c>
      <c r="M13" s="73"/>
    </row>
    <row r="14" spans="1:14" customFormat="1" x14ac:dyDescent="0.2">
      <c r="A14" s="16"/>
      <c r="B14" s="30"/>
      <c r="C14" s="16" t="s">
        <v>4</v>
      </c>
      <c r="D14" s="16"/>
      <c r="E14" s="18" t="s">
        <v>5</v>
      </c>
      <c r="F14" s="3">
        <f t="shared" si="5"/>
        <v>0</v>
      </c>
      <c r="G14" s="3">
        <f>'Step 2.1 - Data Input (General)'!I16</f>
        <v>0</v>
      </c>
      <c r="H14" s="3"/>
      <c r="I14" s="3"/>
      <c r="J14" s="3"/>
      <c r="K14" s="3"/>
      <c r="L14" s="3"/>
      <c r="M14" s="3"/>
    </row>
    <row r="15" spans="1:14" customFormat="1" x14ac:dyDescent="0.2">
      <c r="A15" s="16"/>
      <c r="B15" s="30"/>
      <c r="C15" s="16" t="s">
        <v>27</v>
      </c>
      <c r="D15" s="16"/>
      <c r="E15" s="18" t="s">
        <v>5</v>
      </c>
      <c r="F15" s="3">
        <f t="shared" si="5"/>
        <v>0</v>
      </c>
      <c r="G15" s="3">
        <f>'Step 2.1 - Data Input (General)'!I12</f>
        <v>0</v>
      </c>
      <c r="H15" s="3">
        <f>'Step 2.1 - Data Input (General)'!I13</f>
        <v>0</v>
      </c>
      <c r="I15" s="3">
        <f>'Step 2.1 - Data Input (General)'!I13</f>
        <v>0</v>
      </c>
      <c r="J15" s="3">
        <f>'Step 2.1 - Data Input (General)'!I13</f>
        <v>0</v>
      </c>
      <c r="K15" s="3">
        <f>'Step 2.1 - Data Input (General)'!I13</f>
        <v>0</v>
      </c>
      <c r="L15" s="3">
        <f>'Step 2.1 - Data Input (General)'!I13</f>
        <v>0</v>
      </c>
      <c r="M15" s="3"/>
    </row>
    <row r="16" spans="1:14" ht="15" hidden="1" customHeight="1" x14ac:dyDescent="0.2">
      <c r="N16"/>
    </row>
    <row r="17" spans="1:13" customFormat="1" ht="18" x14ac:dyDescent="0.2">
      <c r="A17" s="80" t="s">
        <v>7</v>
      </c>
      <c r="B17" s="81"/>
      <c r="C17" s="82"/>
      <c r="D17" s="82"/>
      <c r="E17" s="83" t="s">
        <v>5</v>
      </c>
      <c r="F17" s="84">
        <f>SUM(G17:L17)</f>
        <v>0</v>
      </c>
      <c r="G17" s="84">
        <f>SUM(G19+G24)</f>
        <v>0</v>
      </c>
      <c r="H17" s="84"/>
      <c r="I17" s="84"/>
      <c r="J17" s="84"/>
      <c r="K17" s="84"/>
      <c r="L17" s="84"/>
      <c r="M17" s="84"/>
    </row>
    <row r="18" spans="1:13" customFormat="1" ht="7.5" customHeight="1" x14ac:dyDescent="0.2">
      <c r="A18" s="61"/>
      <c r="B18" s="62"/>
      <c r="C18" s="61"/>
      <c r="D18" s="61"/>
      <c r="E18" s="63"/>
      <c r="F18" s="61"/>
      <c r="G18" s="61"/>
      <c r="H18" s="61"/>
      <c r="I18" s="61"/>
      <c r="J18" s="61"/>
      <c r="K18" s="61"/>
      <c r="L18" s="61"/>
      <c r="M18" s="61"/>
    </row>
    <row r="19" spans="1:13" customFormat="1" ht="15.75" customHeight="1" x14ac:dyDescent="0.2">
      <c r="A19" s="85"/>
      <c r="B19" s="86" t="s">
        <v>373</v>
      </c>
      <c r="C19" s="85"/>
      <c r="D19" s="85"/>
      <c r="E19" s="87"/>
      <c r="F19" s="84">
        <f>SUM(G19:L19)</f>
        <v>0</v>
      </c>
      <c r="G19" s="84">
        <f>SUM(G20:G22)</f>
        <v>0</v>
      </c>
      <c r="H19" s="88"/>
      <c r="I19" s="88"/>
      <c r="J19" s="88"/>
      <c r="K19" s="88"/>
      <c r="L19" s="88"/>
      <c r="M19" s="88"/>
    </row>
    <row r="20" spans="1:13" customFormat="1" ht="15.75" customHeight="1" x14ac:dyDescent="0.2">
      <c r="A20" s="23"/>
      <c r="B20" s="32"/>
      <c r="C20" s="23" t="s">
        <v>28</v>
      </c>
      <c r="D20" s="23"/>
      <c r="E20" s="8" t="s">
        <v>5</v>
      </c>
      <c r="F20" s="89">
        <f>SUM(G20:L20)</f>
        <v>0</v>
      </c>
      <c r="G20" s="6">
        <f>SUM('Step 2.3 - Data Input (CapEx)'!I6+'Step 2.3 - Data Input (CapEx)'!I7+'Step 2.3 - Data Input (CapEx)'!G8)</f>
        <v>0</v>
      </c>
      <c r="H20" s="6"/>
      <c r="I20" s="6"/>
      <c r="J20" s="6"/>
      <c r="K20" s="6"/>
      <c r="L20" s="6"/>
      <c r="M20" s="6"/>
    </row>
    <row r="21" spans="1:13" customFormat="1" ht="15.75" customHeight="1" x14ac:dyDescent="0.2">
      <c r="A21" s="23"/>
      <c r="B21" s="32"/>
      <c r="C21" s="23" t="s">
        <v>8</v>
      </c>
      <c r="D21" s="23"/>
      <c r="E21" s="8" t="s">
        <v>5</v>
      </c>
      <c r="F21" s="89">
        <f>SUM(G21:L21)</f>
        <v>0</v>
      </c>
      <c r="G21" s="6">
        <f>SUM('Step 2.3 - Data Input (CapEx)'!I9+'Step 2.3 - Data Input (CapEx)'!I10+'Step 2.3 - Data Input (CapEx)'!I11)</f>
        <v>0</v>
      </c>
      <c r="H21" s="6"/>
      <c r="I21" s="6"/>
      <c r="J21" s="6"/>
      <c r="K21" s="6"/>
      <c r="L21" s="6"/>
      <c r="M21" s="6"/>
    </row>
    <row r="22" spans="1:13" customFormat="1" ht="15.75" customHeight="1" x14ac:dyDescent="0.2">
      <c r="A22" s="23"/>
      <c r="B22" s="32"/>
      <c r="C22" s="23" t="s">
        <v>114</v>
      </c>
      <c r="D22" s="23"/>
      <c r="E22" s="8" t="s">
        <v>5</v>
      </c>
      <c r="F22" s="89">
        <f>SUM(G22:L22)</f>
        <v>0</v>
      </c>
      <c r="G22" s="6">
        <f>'Step 2.3 - Data Input (CapEx)'!I12</f>
        <v>0</v>
      </c>
      <c r="H22" s="6"/>
      <c r="I22" s="6"/>
      <c r="J22" s="6"/>
      <c r="K22" s="6"/>
      <c r="L22" s="6"/>
      <c r="M22" s="6"/>
    </row>
    <row r="23" spans="1:13" customFormat="1" ht="7.5" customHeight="1" x14ac:dyDescent="0.2">
      <c r="A23" s="61"/>
      <c r="B23" s="62"/>
      <c r="C23" s="61"/>
      <c r="D23" s="61"/>
      <c r="E23" s="63"/>
      <c r="F23" s="61"/>
      <c r="G23" s="61"/>
      <c r="H23" s="61"/>
      <c r="I23" s="61"/>
      <c r="J23" s="61"/>
      <c r="K23" s="61"/>
      <c r="L23" s="61"/>
      <c r="M23" s="61"/>
    </row>
    <row r="24" spans="1:13" customFormat="1" ht="15.75" customHeight="1" x14ac:dyDescent="0.2">
      <c r="A24" s="85"/>
      <c r="B24" s="86" t="s">
        <v>29</v>
      </c>
      <c r="C24" s="85"/>
      <c r="D24" s="85"/>
      <c r="E24" s="87" t="s">
        <v>5</v>
      </c>
      <c r="F24" s="88">
        <f>SUM(G24:L24)</f>
        <v>0</v>
      </c>
      <c r="G24" s="88">
        <f>SUM(G25:G28)</f>
        <v>0</v>
      </c>
      <c r="H24" s="88"/>
      <c r="I24" s="88"/>
      <c r="J24" s="88"/>
      <c r="K24" s="88"/>
      <c r="L24" s="88"/>
      <c r="M24" s="88"/>
    </row>
    <row r="25" spans="1:13" customFormat="1" ht="15.75" customHeight="1" x14ac:dyDescent="0.2">
      <c r="A25" s="23"/>
      <c r="B25" s="32"/>
      <c r="C25" s="23" t="s">
        <v>31</v>
      </c>
      <c r="D25" s="23"/>
      <c r="E25" s="8" t="s">
        <v>5</v>
      </c>
      <c r="F25" s="89">
        <f t="shared" ref="F25:F28" si="7">SUM(G25:L25)</f>
        <v>0</v>
      </c>
      <c r="G25" s="6">
        <f>'Step 2.3 - Data Input (CapEx)'!I16*'Step 2.4 - Data Input (OpEx)'!I7</f>
        <v>0</v>
      </c>
      <c r="H25" s="6"/>
      <c r="I25" s="6"/>
      <c r="J25" s="6"/>
      <c r="K25" s="6"/>
      <c r="L25" s="6"/>
      <c r="M25" s="6"/>
    </row>
    <row r="26" spans="1:13" customFormat="1" ht="15.75" customHeight="1" x14ac:dyDescent="0.2">
      <c r="A26" s="23"/>
      <c r="B26" s="32"/>
      <c r="C26" s="23" t="s">
        <v>30</v>
      </c>
      <c r="D26" s="23"/>
      <c r="E26" s="8" t="s">
        <v>5</v>
      </c>
      <c r="F26" s="89">
        <f t="shared" si="7"/>
        <v>0</v>
      </c>
      <c r="G26" s="6">
        <f>'Step 2.3 - Data Input (CapEx)'!I17*'Step 2.4 - Data Input (OpEx)'!I6</f>
        <v>0</v>
      </c>
      <c r="H26" s="6"/>
      <c r="I26" s="6"/>
      <c r="J26" s="6"/>
      <c r="K26" s="6"/>
      <c r="L26" s="6"/>
      <c r="M26" s="6"/>
    </row>
    <row r="27" spans="1:13" customFormat="1" ht="15.75" customHeight="1" x14ac:dyDescent="0.2">
      <c r="A27" s="23"/>
      <c r="B27" s="32"/>
      <c r="C27" s="23" t="s">
        <v>126</v>
      </c>
      <c r="D27" s="23"/>
      <c r="E27" s="8" t="s">
        <v>5</v>
      </c>
      <c r="F27" s="89">
        <f t="shared" si="7"/>
        <v>0</v>
      </c>
      <c r="G27" s="6">
        <f>'Step 2.3 - Data Input (CapEx)'!I15</f>
        <v>0</v>
      </c>
      <c r="H27" s="6"/>
      <c r="I27" s="6"/>
      <c r="J27" s="6"/>
      <c r="K27" s="6"/>
      <c r="L27" s="6"/>
      <c r="M27" s="6"/>
    </row>
    <row r="28" spans="1:13" customFormat="1" ht="15.75" customHeight="1" x14ac:dyDescent="0.2">
      <c r="A28" s="23"/>
      <c r="B28" s="32"/>
      <c r="C28" s="23" t="s">
        <v>32</v>
      </c>
      <c r="D28" s="23"/>
      <c r="E28" s="8" t="s">
        <v>5</v>
      </c>
      <c r="F28" s="89">
        <f t="shared" si="7"/>
        <v>0</v>
      </c>
      <c r="G28" s="6">
        <f>'Step 2.3 - Data Input (CapEx)'!I18</f>
        <v>0</v>
      </c>
      <c r="H28" s="6"/>
      <c r="I28" s="6"/>
      <c r="J28" s="6"/>
      <c r="K28" s="6"/>
      <c r="L28" s="6"/>
      <c r="M28" s="6"/>
    </row>
    <row r="29" spans="1:13" customFormat="1" ht="7" customHeight="1" x14ac:dyDescent="0.2">
      <c r="A29" s="65"/>
      <c r="B29" s="66"/>
      <c r="C29" s="65"/>
      <c r="D29" s="65"/>
      <c r="E29" s="67"/>
      <c r="F29" s="65"/>
      <c r="G29" s="65"/>
      <c r="H29" s="65"/>
      <c r="I29" s="65"/>
      <c r="J29" s="65"/>
      <c r="K29" s="65"/>
      <c r="L29" s="65"/>
      <c r="M29" s="65"/>
    </row>
    <row r="30" spans="1:13" customFormat="1" ht="18" x14ac:dyDescent="0.2">
      <c r="A30" s="90" t="s">
        <v>10</v>
      </c>
      <c r="B30" s="91"/>
      <c r="C30" s="92"/>
      <c r="D30" s="92"/>
      <c r="E30" s="93" t="s">
        <v>5</v>
      </c>
      <c r="F30" s="94">
        <f>SUM(G30:L30)</f>
        <v>0</v>
      </c>
      <c r="G30" s="94"/>
      <c r="H30" s="94">
        <f>SUM(H32:H33)</f>
        <v>0</v>
      </c>
      <c r="I30" s="94">
        <f>SUM(I32:I33)</f>
        <v>0</v>
      </c>
      <c r="J30" s="94">
        <f>SUM(J32:J33)</f>
        <v>0</v>
      </c>
      <c r="K30" s="94">
        <f>SUM(K32:K33)</f>
        <v>0</v>
      </c>
      <c r="L30" s="94">
        <f>SUM(L32:L33)</f>
        <v>0</v>
      </c>
      <c r="M30" s="94"/>
    </row>
    <row r="31" spans="1:13" customFormat="1" ht="7.5" customHeight="1" x14ac:dyDescent="0.2">
      <c r="A31" s="2"/>
      <c r="B31" s="29"/>
      <c r="C31" s="2"/>
      <c r="D31" s="2"/>
      <c r="E31" s="9"/>
      <c r="F31" s="2"/>
      <c r="G31" s="2"/>
      <c r="H31" s="2"/>
      <c r="I31" s="2"/>
      <c r="J31" s="2"/>
      <c r="K31" s="2"/>
      <c r="L31" s="2"/>
      <c r="M31" s="2"/>
    </row>
    <row r="32" spans="1:13" customFormat="1" ht="15.75" customHeight="1" x14ac:dyDescent="0.2">
      <c r="A32" s="95"/>
      <c r="B32" s="96" t="s">
        <v>47</v>
      </c>
      <c r="C32" s="95"/>
      <c r="D32" s="95"/>
      <c r="E32" s="97" t="s">
        <v>5</v>
      </c>
      <c r="F32" s="98">
        <f>SUM(G32:L32)</f>
        <v>0</v>
      </c>
      <c r="G32" s="99"/>
      <c r="H32" s="99">
        <f>SUM(H33*'Step 2.1 - Data Input (General)'!I8)</f>
        <v>0</v>
      </c>
      <c r="I32" s="99">
        <f>SUM(I33*'Step 2.1 - Data Input (General)'!I8)</f>
        <v>0</v>
      </c>
      <c r="J32" s="99">
        <f>SUM(J33*'Step 2.1 - Data Input (General)'!I8)</f>
        <v>0</v>
      </c>
      <c r="K32" s="99">
        <f>SUM(K33*'Step 2.1 - Data Input (General)'!I8)</f>
        <v>0</v>
      </c>
      <c r="L32" s="99">
        <f>SUM(L33*'Step 2.1 - Data Input (General)'!I8)</f>
        <v>0</v>
      </c>
      <c r="M32" s="99"/>
    </row>
    <row r="33" spans="1:13" customFormat="1" ht="15.75" customHeight="1" x14ac:dyDescent="0.2">
      <c r="A33" s="33"/>
      <c r="B33" s="33"/>
      <c r="C33" s="10"/>
      <c r="D33" s="101" t="s">
        <v>156</v>
      </c>
      <c r="E33" s="102" t="s">
        <v>5</v>
      </c>
      <c r="F33" s="103"/>
      <c r="G33" s="103"/>
      <c r="H33" s="103">
        <f>SUM(H35,H37,H41,H47,H70,H74,H79,H83,H89,H93,H98,H103,H108)+'Step 2.4 - Data Input (OpEx)'!I11</f>
        <v>0</v>
      </c>
      <c r="I33" s="103">
        <f>SUM(I35,I37,I41,I47,I70,I74,I79,I83,I89,I93,I98,I103,I108)+'Step 2.4 - Data Input (OpEx)'!I11</f>
        <v>0</v>
      </c>
      <c r="J33" s="103">
        <f>SUM(J35,J37,J41,J47,J70,J74,J79,J83,J89,J93,J98,J103,J108)+'Step 2.4 - Data Input (OpEx)'!I11</f>
        <v>0</v>
      </c>
      <c r="K33" s="103">
        <f>SUM(K35,K37,K41,K47,K70,K74,K79,K83,K89,K93,K98,K103,K108)+'Step 2.4 - Data Input (OpEx)'!I11</f>
        <v>0</v>
      </c>
      <c r="L33" s="103">
        <f>SUM(L35,L37,L41,L47,L70,L74,L79,L83,L89,L93,L98,L103,L108)+'Step 2.4 - Data Input (OpEx)'!I11</f>
        <v>0</v>
      </c>
      <c r="M33" s="103"/>
    </row>
    <row r="34" spans="1:13" customFormat="1" ht="7.5" customHeight="1" x14ac:dyDescent="0.2">
      <c r="A34" s="62"/>
      <c r="B34" s="62"/>
      <c r="C34" s="61"/>
      <c r="D34" s="61"/>
      <c r="E34" s="63"/>
      <c r="F34" s="61"/>
      <c r="G34" s="61"/>
      <c r="H34" s="61"/>
      <c r="I34" s="61"/>
      <c r="J34" s="61"/>
      <c r="K34" s="61"/>
      <c r="L34" s="61"/>
      <c r="M34" s="61"/>
    </row>
    <row r="35" spans="1:13" customFormat="1" ht="15.75" customHeight="1" x14ac:dyDescent="0.2">
      <c r="A35" s="96"/>
      <c r="B35" s="96" t="s">
        <v>145</v>
      </c>
      <c r="C35" s="95"/>
      <c r="D35" s="95"/>
      <c r="E35" s="97" t="s">
        <v>5</v>
      </c>
      <c r="F35" s="98">
        <f>SUM(G35:L35)</f>
        <v>0</v>
      </c>
      <c r="G35" s="99"/>
      <c r="H35" s="99">
        <f>'Step 2.4 - Data Input (OpEx)'!I31+'Step 2.4 - Data Input (OpEx)'!I32+'Step 2.4 - Data Input (OpEx)'!I33</f>
        <v>0</v>
      </c>
      <c r="I35" s="99">
        <f>'Step 2.4 - Data Input (OpEx)'!I31+'Step 2.4 - Data Input (OpEx)'!I32+'Step 2.4 - Data Input (OpEx)'!I33</f>
        <v>0</v>
      </c>
      <c r="J35" s="99">
        <f>'Step 2.4 - Data Input (OpEx)'!I31+'Step 2.4 - Data Input (OpEx)'!I32+'Step 2.4 - Data Input (OpEx)'!I33</f>
        <v>0</v>
      </c>
      <c r="K35" s="99">
        <f>'Step 2.4 - Data Input (OpEx)'!I31+'Step 2.4 - Data Input (OpEx)'!I32+'Step 2.4 - Data Input (OpEx)'!I33</f>
        <v>0</v>
      </c>
      <c r="L35" s="99">
        <f>'Step 2.4 - Data Input (OpEx)'!I31+'Step 2.4 - Data Input (OpEx)'!I32+'Step 2.4 - Data Input (OpEx)'!I33</f>
        <v>0</v>
      </c>
      <c r="M35" s="99"/>
    </row>
    <row r="36" spans="1:13" customFormat="1" ht="7.5" customHeight="1" x14ac:dyDescent="0.2">
      <c r="A36" s="62"/>
      <c r="B36" s="62"/>
      <c r="C36" s="61"/>
      <c r="D36" s="61"/>
      <c r="E36" s="63"/>
      <c r="F36" s="61"/>
      <c r="G36" s="61"/>
      <c r="H36" s="61"/>
      <c r="I36" s="61"/>
      <c r="J36" s="61"/>
      <c r="K36" s="61"/>
      <c r="L36" s="61"/>
      <c r="M36" s="61"/>
    </row>
    <row r="37" spans="1:13" customFormat="1" ht="15.75" customHeight="1" x14ac:dyDescent="0.2">
      <c r="A37" s="96"/>
      <c r="B37" s="96" t="s">
        <v>61</v>
      </c>
      <c r="C37" s="95"/>
      <c r="D37" s="95"/>
      <c r="E37" s="97" t="s">
        <v>5</v>
      </c>
      <c r="F37" s="98">
        <f>SUM(G37:L37)</f>
        <v>0</v>
      </c>
      <c r="G37" s="99"/>
      <c r="H37" s="99">
        <f>SUM(H38:H39)</f>
        <v>0</v>
      </c>
      <c r="I37" s="99">
        <f t="shared" ref="I37:L37" si="8">SUM(I38:I39)</f>
        <v>0</v>
      </c>
      <c r="J37" s="99">
        <f t="shared" si="8"/>
        <v>0</v>
      </c>
      <c r="K37" s="99">
        <f t="shared" si="8"/>
        <v>0</v>
      </c>
      <c r="L37" s="99">
        <f t="shared" si="8"/>
        <v>0</v>
      </c>
      <c r="M37" s="99"/>
    </row>
    <row r="38" spans="1:13" customFormat="1" ht="15.75" customHeight="1" x14ac:dyDescent="0.2">
      <c r="A38" s="33"/>
      <c r="B38" s="33"/>
      <c r="C38" s="10" t="s">
        <v>146</v>
      </c>
      <c r="D38" s="10"/>
      <c r="E38" s="11" t="s">
        <v>5</v>
      </c>
      <c r="F38" s="12">
        <f>SUM(G38:L38)</f>
        <v>0</v>
      </c>
      <c r="G38" s="12"/>
      <c r="H38" s="12">
        <f>('Step 2.4 - Data Input (OpEx)'!I26+'Step 2.4 - Data Input (OpEx)'!I27*'Step 2.4 - Data Input (OpEx)'!I28)*(1+'Step 2.4 - Data Input (OpEx)'!I16)^0</f>
        <v>0</v>
      </c>
      <c r="I38" s="12">
        <f>('Step 2.4 - Data Input (OpEx)'!I26+'Step 2.4 - Data Input (OpEx)'!I27*'Step 2.4 - Data Input (OpEx)'!I28)*(1+'Step 2.4 - Data Input (OpEx)'!I16)^1</f>
        <v>0</v>
      </c>
      <c r="J38" s="12">
        <f>('Step 2.4 - Data Input (OpEx)'!I26+'Step 2.4 - Data Input (OpEx)'!I27*'Step 2.4 - Data Input (OpEx)'!I28)*(1+'Step 2.4 - Data Input (OpEx)'!I16)^2</f>
        <v>0</v>
      </c>
      <c r="K38" s="12">
        <f>('Step 2.4 - Data Input (OpEx)'!I26+'Step 2.4 - Data Input (OpEx)'!I27*'Step 2.4 - Data Input (OpEx)'!I28)*(1+'Step 2.4 - Data Input (OpEx)'!I16)^3</f>
        <v>0</v>
      </c>
      <c r="L38" s="12">
        <f>('Step 2.4 - Data Input (OpEx)'!I26+'Step 2.4 - Data Input (OpEx)'!I27*'Step 2.4 - Data Input (OpEx)'!I28)*(1+'Step 2.4 - Data Input (OpEx)'!I16)^4</f>
        <v>0</v>
      </c>
      <c r="M38" s="12"/>
    </row>
    <row r="39" spans="1:13" customFormat="1" ht="15.75" customHeight="1" x14ac:dyDescent="0.2">
      <c r="A39" s="33"/>
      <c r="B39" s="33"/>
      <c r="C39" s="10" t="s">
        <v>147</v>
      </c>
      <c r="D39" s="10"/>
      <c r="E39" s="11" t="s">
        <v>5</v>
      </c>
      <c r="F39" s="12">
        <f>SUM(G39:L39)</f>
        <v>0</v>
      </c>
      <c r="G39" s="12"/>
      <c r="H39" s="12">
        <f>('Step 2.4 - Data Input (OpEx)'!I23+'Step 2.4 - Data Input (OpEx)'!I24*'Step 2.4 - Data Input (OpEx)'!I25)*(1+'Step 2.4 - Data Input (OpEx)'!I15)^0</f>
        <v>0</v>
      </c>
      <c r="I39" s="12">
        <f>('Step 2.4 - Data Input (OpEx)'!I23+'Step 2.4 - Data Input (OpEx)'!I24*'Step 2.4 - Data Input (OpEx)'!I25)*(1+'Step 2.4 - Data Input (OpEx)'!I15)^1</f>
        <v>0</v>
      </c>
      <c r="J39" s="12">
        <f>('Step 2.4 - Data Input (OpEx)'!I23+'Step 2.4 - Data Input (OpEx)'!I24*'Step 2.4 - Data Input (OpEx)'!I25)*(1+'Step 2.4 - Data Input (OpEx)'!I15)^2</f>
        <v>0</v>
      </c>
      <c r="K39" s="12">
        <f>('Step 2.4 - Data Input (OpEx)'!I23+'Step 2.4 - Data Input (OpEx)'!I24*'Step 2.4 - Data Input (OpEx)'!I25)*(1+'Step 2.4 - Data Input (OpEx)'!I15)^3</f>
        <v>0</v>
      </c>
      <c r="L39" s="12">
        <f>('Step 2.4 - Data Input (OpEx)'!I23+'Step 2.4 - Data Input (OpEx)'!I24*'Step 2.4 - Data Input (OpEx)'!I25)*(1+'Step 2.4 - Data Input (OpEx)'!I15)^4</f>
        <v>0</v>
      </c>
      <c r="M39" s="12"/>
    </row>
    <row r="40" spans="1:13" customFormat="1" ht="7.5" customHeight="1" x14ac:dyDescent="0.2">
      <c r="A40" s="62"/>
      <c r="B40" s="62"/>
      <c r="C40" s="61"/>
      <c r="D40" s="61"/>
      <c r="E40" s="63"/>
      <c r="F40" s="61"/>
      <c r="G40" s="61"/>
      <c r="H40" s="61"/>
      <c r="I40" s="61"/>
      <c r="J40" s="61"/>
      <c r="K40" s="61"/>
      <c r="L40" s="61"/>
      <c r="M40" s="61"/>
    </row>
    <row r="41" spans="1:13" customFormat="1" ht="15.75" customHeight="1" x14ac:dyDescent="0.2">
      <c r="A41" s="96"/>
      <c r="B41" s="96" t="s">
        <v>173</v>
      </c>
      <c r="C41" s="95"/>
      <c r="D41" s="95"/>
      <c r="E41" s="97" t="s">
        <v>5</v>
      </c>
      <c r="F41" s="98">
        <f>SUM(G41:L41)</f>
        <v>0</v>
      </c>
      <c r="G41" s="99"/>
      <c r="H41" s="99">
        <f>SUM(H42:H45)+'Step 2.4 - Data Input (OpEx)'!I40</f>
        <v>0</v>
      </c>
      <c r="I41" s="99">
        <f>SUM(I42:I45)+'Step 2.4 - Data Input (OpEx)'!I40</f>
        <v>0</v>
      </c>
      <c r="J41" s="99">
        <f>SUM(J42:J45)+'Step 2.4 - Data Input (OpEx)'!I40</f>
        <v>0</v>
      </c>
      <c r="K41" s="100">
        <f>SUM(K42:K45)+'Step 2.4 - Data Input (OpEx)'!I40</f>
        <v>0</v>
      </c>
      <c r="L41" s="99">
        <f>SUM(L42:L45)+'Step 2.4 - Data Input (OpEx)'!I40</f>
        <v>0</v>
      </c>
      <c r="M41" s="99"/>
    </row>
    <row r="42" spans="1:13" customFormat="1" ht="15.75" customHeight="1" x14ac:dyDescent="0.2">
      <c r="A42" s="33"/>
      <c r="B42" s="33"/>
      <c r="C42" s="10" t="s">
        <v>60</v>
      </c>
      <c r="D42" s="10"/>
      <c r="E42" s="11" t="s">
        <v>5</v>
      </c>
      <c r="F42" s="12">
        <f>SUM(G42:L42)</f>
        <v>0</v>
      </c>
      <c r="G42" s="12"/>
      <c r="H42" s="12">
        <f>'Step 2.2 - Data Input (Revenue)'!I9*'Step 2.4 - Data Input (OpEx)'!I36*(1+'Step 2.4 - Data Input (OpEx)'!I14)^0</f>
        <v>0</v>
      </c>
      <c r="I42" s="12">
        <f>'Step 2.2 - Data Input (Revenue)'!I10*'Step 2.4 - Data Input (OpEx)'!I36*(1+'Step 2.4 - Data Input (OpEx)'!I14)^1</f>
        <v>0</v>
      </c>
      <c r="J42" s="12">
        <f>'Step 2.2 - Data Input (Revenue)'!I11*'Step 2.4 - Data Input (OpEx)'!I36*(1+'Step 2.4 - Data Input (OpEx)'!I14)^2</f>
        <v>0</v>
      </c>
      <c r="K42" s="12">
        <f>'Step 2.2 - Data Input (Revenue)'!I12*'Step 2.4 - Data Input (OpEx)'!I36*(1+'Step 2.4 - Data Input (OpEx)'!I14)^3</f>
        <v>0</v>
      </c>
      <c r="L42" s="12">
        <f>'Step 2.2 - Data Input (Revenue)'!I13*'Step 2.4 - Data Input (OpEx)'!I36*(1+'Step 2.4 - Data Input (OpEx)'!I14)^4</f>
        <v>0</v>
      </c>
      <c r="M42" s="12"/>
    </row>
    <row r="43" spans="1:13" customFormat="1" ht="15.75" customHeight="1" x14ac:dyDescent="0.2">
      <c r="A43" s="33"/>
      <c r="B43" s="33"/>
      <c r="C43" s="10" t="s">
        <v>63</v>
      </c>
      <c r="D43" s="10"/>
      <c r="E43" s="11" t="s">
        <v>5</v>
      </c>
      <c r="F43" s="12">
        <f>SUM(G43:L43)</f>
        <v>0</v>
      </c>
      <c r="G43" s="12"/>
      <c r="H43" s="12">
        <f>'Step 2.2 - Data Input (Revenue)'!I9*'Step 2.4 - Data Input (OpEx)'!I37</f>
        <v>0</v>
      </c>
      <c r="I43" s="12">
        <f>'Step 2.2 - Data Input (Revenue)'!I10*'Step 2.4 - Data Input (OpEx)'!I37</f>
        <v>0</v>
      </c>
      <c r="J43" s="12">
        <f>'Step 2.2 - Data Input (Revenue)'!I11*'Step 2.4 - Data Input (OpEx)'!I37</f>
        <v>0</v>
      </c>
      <c r="K43" s="12">
        <f>'Step 2.2 - Data Input (Revenue)'!I12*'Step 2.4 - Data Input (OpEx)'!I37</f>
        <v>0</v>
      </c>
      <c r="L43" s="12">
        <f>'Step 2.2 - Data Input (Revenue)'!I13*'Step 2.4 - Data Input (OpEx)'!I37</f>
        <v>0</v>
      </c>
      <c r="M43" s="12"/>
    </row>
    <row r="44" spans="1:13" customFormat="1" ht="15.75" customHeight="1" x14ac:dyDescent="0.2">
      <c r="A44" s="33"/>
      <c r="B44" s="33"/>
      <c r="C44" s="10" t="s">
        <v>158</v>
      </c>
      <c r="D44" s="10"/>
      <c r="E44" s="11" t="s">
        <v>5</v>
      </c>
      <c r="F44" s="12">
        <f t="shared" ref="F44:F45" si="9">SUM(G44:L44)</f>
        <v>0</v>
      </c>
      <c r="G44" s="12"/>
      <c r="H44" s="12">
        <f>'Step 2.2 - Data Input (Revenue)'!I9*('Step 2.4 - Data Input (OpEx)'!I38*'Step 2.4 - Data Input (OpEx)'!I6)*(1-'Step 2.4 - Data Input (OpEx)'!I17)^0</f>
        <v>0</v>
      </c>
      <c r="I44" s="12">
        <f>'Step 2.2 - Data Input (Revenue)'!I10*('Step 2.4 - Data Input (OpEx)'!I38*'Step 2.4 - Data Input (OpEx)'!I6)*(1-'Step 2.4 - Data Input (OpEx)'!I17)^1</f>
        <v>0</v>
      </c>
      <c r="J44" s="12">
        <f>'Step 2.2 - Data Input (Revenue)'!I11*('Step 2.4 - Data Input (OpEx)'!I38*'Step 2.4 - Data Input (OpEx)'!I6)*(1-'Step 2.4 - Data Input (OpEx)'!I17)^2</f>
        <v>0</v>
      </c>
      <c r="K44" s="12">
        <f>'Step 2.2 - Data Input (Revenue)'!I12*('Step 2.4 - Data Input (OpEx)'!I38*'Step 2.4 - Data Input (OpEx)'!I6)*(1-'Step 2.4 - Data Input (OpEx)'!I17)^3</f>
        <v>0</v>
      </c>
      <c r="L44" s="12">
        <f>'Step 2.2 - Data Input (Revenue)'!I13*('Step 2.4 - Data Input (OpEx)'!I38*'Step 2.4 - Data Input (OpEx)'!I6)*(1-'Step 2.4 - Data Input (OpEx)'!I17)^4</f>
        <v>0</v>
      </c>
      <c r="M44" s="12"/>
    </row>
    <row r="45" spans="1:13" customFormat="1" ht="15.75" customHeight="1" x14ac:dyDescent="0.2">
      <c r="A45" s="33"/>
      <c r="B45" s="33"/>
      <c r="C45" s="10" t="s">
        <v>159</v>
      </c>
      <c r="D45" s="10"/>
      <c r="E45" s="11" t="s">
        <v>5</v>
      </c>
      <c r="F45" s="12">
        <f t="shared" si="9"/>
        <v>0</v>
      </c>
      <c r="G45" s="12"/>
      <c r="H45" s="12">
        <f>'Step 2.2 - Data Input (Revenue)'!I9*('Step 2.4 - Data Input (OpEx)'!I39*'Step 2.4 - Data Input (OpEx)'!I8)*(1-'Step 2.4 - Data Input (OpEx)'!I18)^0</f>
        <v>0</v>
      </c>
      <c r="I45" s="12">
        <f>'Step 2.2 - Data Input (Revenue)'!I10*('Step 2.4 - Data Input (OpEx)'!I39*'Step 2.4 - Data Input (OpEx)'!I8)*(1-'Step 2.4 - Data Input (OpEx)'!I18)^1</f>
        <v>0</v>
      </c>
      <c r="J45" s="12">
        <f>'Step 2.2 - Data Input (Revenue)'!I11*('Step 2.4 - Data Input (OpEx)'!I39*'Step 2.4 - Data Input (OpEx)'!I8)*(1-'Step 2.4 - Data Input (OpEx)'!I18)^2</f>
        <v>0</v>
      </c>
      <c r="K45" s="12">
        <f>'Step 2.2 - Data Input (Revenue)'!I12*('Step 2.4 - Data Input (OpEx)'!I39*'Step 2.4 - Data Input (OpEx)'!I8)*(1-'Step 2.4 - Data Input (OpEx)'!I18)^3</f>
        <v>0</v>
      </c>
      <c r="L45" s="12">
        <f>'Step 2.2 - Data Input (Revenue)'!I13*('Step 2.4 - Data Input (OpEx)'!I39*'Step 2.4 - Data Input (OpEx)'!I8)*(1-'Step 2.4 - Data Input (OpEx)'!I18)^4</f>
        <v>0</v>
      </c>
      <c r="M45" s="12"/>
    </row>
    <row r="46" spans="1:13" customFormat="1" ht="7.5" customHeight="1" x14ac:dyDescent="0.2">
      <c r="A46" s="62"/>
      <c r="B46" s="62"/>
      <c r="C46" s="61"/>
      <c r="D46" s="61"/>
      <c r="E46" s="63"/>
      <c r="F46" s="61"/>
      <c r="G46" s="61"/>
      <c r="H46" s="61"/>
      <c r="I46" s="61"/>
      <c r="J46" s="61"/>
      <c r="K46" s="61"/>
      <c r="L46" s="61"/>
      <c r="M46" s="61"/>
    </row>
    <row r="47" spans="1:13" customFormat="1" ht="15.75" customHeight="1" x14ac:dyDescent="0.2">
      <c r="A47" s="96"/>
      <c r="B47" s="96" t="s">
        <v>15</v>
      </c>
      <c r="C47" s="95"/>
      <c r="D47" s="95"/>
      <c r="E47" s="97" t="s">
        <v>5</v>
      </c>
      <c r="F47" s="98">
        <f>SUM(G47:L47)</f>
        <v>0</v>
      </c>
      <c r="G47" s="99"/>
      <c r="H47" s="99">
        <f>IF('Step 1 - Case Selection'!V41="as a Flat Rate",H48+H54+Special_Costs_Backward_Logistics,SUM(H48,H55,H61,H68)+Special_Costs_Backward_Logistics)</f>
        <v>0</v>
      </c>
      <c r="I47" s="99">
        <f>IF('Step 1 - Case Selection'!V41="as a Flat Rate",I48+I54+Special_Costs_Backward_Logistics,SUM(I48,I55,I61,I68)+Special_Costs_Backward_Logistics)</f>
        <v>0</v>
      </c>
      <c r="J47" s="99">
        <f>IF('Step 1 - Case Selection'!V41="as a Flat Rate",J48+J54+Special_Costs_Backward_Logistics,SUM(J48,J55,J61,J68)+Special_Costs_Backward_Logistics)</f>
        <v>0</v>
      </c>
      <c r="K47" s="99">
        <f>IF('Step 1 - Case Selection'!V41="as a Flat Rate",K48+K54+Special_Costs_Backward_Logistics,SUM(K48,K55,K61,K68)+Special_Costs_Backward_Logistics)</f>
        <v>0</v>
      </c>
      <c r="L47" s="99">
        <f>IF('Step 1 - Case Selection'!V41="as a Flat Rate",L48+L54+Special_Costs_Backward_Logistics,SUM(L48,L55,L61,L68)+Special_Costs_Backward_Logistics)</f>
        <v>0</v>
      </c>
      <c r="M47" s="99"/>
    </row>
    <row r="48" spans="1:13" customFormat="1" ht="15.75" customHeight="1" x14ac:dyDescent="0.2">
      <c r="A48" s="33"/>
      <c r="B48" s="33"/>
      <c r="C48" s="10"/>
      <c r="D48" s="104" t="s">
        <v>160</v>
      </c>
      <c r="E48" s="102" t="s">
        <v>5</v>
      </c>
      <c r="F48" s="103">
        <f>SUM(G48:L48)</f>
        <v>0</v>
      </c>
      <c r="G48" s="103"/>
      <c r="H48" s="103">
        <f>'Step 2.4 - Data Input (OpEx)'!I49*(H49+H51)</f>
        <v>0</v>
      </c>
      <c r="I48" s="103">
        <f>'Step 2.4 - Data Input (OpEx)'!I49*(I49+I51)</f>
        <v>0</v>
      </c>
      <c r="J48" s="103">
        <f>'Step 2.4 - Data Input (OpEx)'!I49*(J49+J51)</f>
        <v>0</v>
      </c>
      <c r="K48" s="103">
        <f>'Step 2.4 - Data Input (OpEx)'!I49*(K49+K51)</f>
        <v>0</v>
      </c>
      <c r="L48" s="103">
        <f>'Step 2.4 - Data Input (OpEx)'!I49*(L49+L51)</f>
        <v>0</v>
      </c>
      <c r="M48" s="103"/>
    </row>
    <row r="49" spans="1:13" customFormat="1" ht="15.75" customHeight="1" x14ac:dyDescent="0.2">
      <c r="A49" s="33"/>
      <c r="B49" s="33"/>
      <c r="C49" s="10"/>
      <c r="D49" s="104" t="s">
        <v>414</v>
      </c>
      <c r="E49" s="102" t="s">
        <v>166</v>
      </c>
      <c r="F49" s="101"/>
      <c r="G49" s="101"/>
      <c r="H49" s="101">
        <f>ROUND(IF('Step 1 - Case Selection'!V27&lt;&gt;"Recycle", 'Step 2.2 - Data Input (Revenue)'!I9/'Step 2.1 - Data Input (General)'!I24*'Step 2.1 - Data Input (General)'!I23, 0),0)</f>
        <v>0</v>
      </c>
      <c r="I49" s="101">
        <f>ROUND(IF('Step 1 - Case Selection'!V27&lt;&gt;"Recycle", 'Step 2.2 - Data Input (Revenue)'!I10/'Step 2.1 - Data Input (General)'!I24*'Step 2.1 - Data Input (General)'!I23, 0),0)</f>
        <v>0</v>
      </c>
      <c r="J49" s="101">
        <f>ROUND(IF('Step 1 - Case Selection'!V27&lt;&gt;"Recycle", 'Step 2.2 - Data Input (Revenue)'!I11/'Step 2.1 - Data Input (General)'!I24*'Step 2.1 - Data Input (General)'!I23, 0),0)</f>
        <v>0</v>
      </c>
      <c r="K49" s="101">
        <f>ROUND(IF('Step 1 - Case Selection'!V27&lt;&gt;"Recycle", 'Step 2.2 - Data Input (Revenue)'!I12/'Step 2.1 - Data Input (General)'!I24*'Step 2.1 - Data Input (General)'!I23, 0),0)</f>
        <v>0</v>
      </c>
      <c r="L49" s="101">
        <f>ROUND(IF('Step 1 - Case Selection'!V27&lt;&gt;"Recycle", 'Step 2.2 - Data Input (Revenue)'!I13/'Step 2.1 - Data Input (General)'!I24*'Step 2.1 - Data Input (General)'!I23, 0),0)</f>
        <v>0</v>
      </c>
      <c r="M49" s="101"/>
    </row>
    <row r="50" spans="1:13" customFormat="1" ht="15.75" customHeight="1" x14ac:dyDescent="0.2">
      <c r="A50" s="33"/>
      <c r="B50" s="33"/>
      <c r="C50" s="10"/>
      <c r="D50" s="104" t="s">
        <v>415</v>
      </c>
      <c r="E50" s="102" t="s">
        <v>166</v>
      </c>
      <c r="F50" s="101"/>
      <c r="G50" s="101"/>
      <c r="H50" s="101">
        <f>ROUND(IF('Step 1 - Case Selection'!V27&lt;&gt;"Recycle", 'Step 2.2 - Data Input (Revenue)'!I9*'Step 2.1 - Data Input (General)'!I23,0),0)</f>
        <v>0</v>
      </c>
      <c r="I50" s="101">
        <f>ROUND(IF('Step 1 - Case Selection'!V27&lt;&gt;"Recycle", 'Step 2.2 - Data Input (Revenue)'!I10*'Step 2.1 - Data Input (General)'!I23,0),0)</f>
        <v>0</v>
      </c>
      <c r="J50" s="101">
        <f>ROUND(IF('Step 1 - Case Selection'!V27&lt;&gt;"Recycle", 'Step 2.2 - Data Input (Revenue)'!I11*'Step 2.1 - Data Input (General)'!I23,0),0)</f>
        <v>0</v>
      </c>
      <c r="K50" s="101">
        <f>ROUND(IF('Step 1 - Case Selection'!V27&lt;&gt;"Recycle", 'Step 2.2 - Data Input (Revenue)'!I12*'Step 2.1 - Data Input (General)'!I23,0),0)</f>
        <v>0</v>
      </c>
      <c r="L50" s="101">
        <f>ROUND(IF('Step 1 - Case Selection'!V27&lt;&gt;"Recycle", 'Step 2.2 - Data Input (Revenue)'!I13*'Step 2.1 - Data Input (General)'!I23,0),0)</f>
        <v>0</v>
      </c>
      <c r="M50" s="101"/>
    </row>
    <row r="51" spans="1:13" customFormat="1" ht="15.75" customHeight="1" x14ac:dyDescent="0.2">
      <c r="A51" s="33"/>
      <c r="B51" s="33"/>
      <c r="C51" s="10"/>
      <c r="D51" s="104" t="s">
        <v>416</v>
      </c>
      <c r="E51" s="102" t="s">
        <v>166</v>
      </c>
      <c r="F51" s="101"/>
      <c r="G51" s="101"/>
      <c r="H51" s="101">
        <f>ROUND(IF('Step 1 - Case Selection'!V27="Recycle", 'Step 2.2 - Data Input (Revenue)'!I9/'Step 2.4 - Data Input (OpEx)'!I9/'Step 2.1 - Data Input (General)'!I24,0),0)</f>
        <v>0</v>
      </c>
      <c r="I51" s="101">
        <f>ROUND(IF('Step 1 - Case Selection'!V27="Recycle", 'Step 2.2 - Data Input (Revenue)'!I10/'Step 2.4 - Data Input (OpEx)'!I9/'Step 2.1 - Data Input (General)'!I24,0),0)</f>
        <v>0</v>
      </c>
      <c r="J51" s="101">
        <f>ROUND(IF('Step 1 - Case Selection'!V27="Recycle", 'Step 2.2 - Data Input (Revenue)'!I11/'Step 2.4 - Data Input (OpEx)'!I9/'Step 2.1 - Data Input (General)'!I24,0),0)</f>
        <v>0</v>
      </c>
      <c r="K51" s="101">
        <f>ROUND(IF('Step 1 - Case Selection'!V27="Recycle", 'Step 2.2 - Data Input (Revenue)'!I12/'Step 2.4 - Data Input (OpEx)'!I9/'Step 2.1 - Data Input (General)'!I24,0),0)</f>
        <v>0</v>
      </c>
      <c r="L51" s="101">
        <f>ROUND(IF('Step 1 - Case Selection'!V27="Recycle", 'Step 2.2 - Data Input (Revenue)'!I13/'Step 2.4 - Data Input (OpEx)'!I9/'Step 2.1 - Data Input (General)'!I24,0),0)</f>
        <v>0</v>
      </c>
      <c r="M51" s="101"/>
    </row>
    <row r="52" spans="1:13" customFormat="1" ht="15.75" customHeight="1" x14ac:dyDescent="0.2">
      <c r="A52" s="33"/>
      <c r="B52" s="33"/>
      <c r="C52" s="10"/>
      <c r="D52" s="104" t="s">
        <v>417</v>
      </c>
      <c r="E52" s="102" t="s">
        <v>166</v>
      </c>
      <c r="F52" s="101"/>
      <c r="G52" s="101"/>
      <c r="H52" s="101">
        <f>ROUND(IF('Step 1 - Case Selection'!V27="Recycle", 'Step 2.2 - Data Input (Revenue)'!I9/'Step 2.4 - Data Input (OpEx)'!I9,0),0)</f>
        <v>0</v>
      </c>
      <c r="I52" s="101">
        <f>ROUND(IF('Step 1 - Case Selection'!V27="Recycle", 'Step 2.2 - Data Input (Revenue)'!I10/'Step 2.4 - Data Input (OpEx)'!I9,0),0)</f>
        <v>0</v>
      </c>
      <c r="J52" s="101">
        <f>ROUND(IF('Step 1 - Case Selection'!V27="Recycle", 'Step 2.2 - Data Input (Revenue)'!I11/'Step 2.4 - Data Input (OpEx)'!I9,0),0)</f>
        <v>0</v>
      </c>
      <c r="K52" s="101">
        <f>ROUND(IF('Step 1 - Case Selection'!V27="Recycle", 'Step 2.2 - Data Input (Revenue)'!I12/'Step 2.4 - Data Input (OpEx)'!I9,0),0)</f>
        <v>0</v>
      </c>
      <c r="L52" s="101">
        <f>ROUND(IF('Step 1 - Case Selection'!V27="Recycle", 'Step 2.2 - Data Input (Revenue)'!I13/'Step 2.4 - Data Input (OpEx)'!I9,0),0)</f>
        <v>0</v>
      </c>
      <c r="M52" s="101"/>
    </row>
    <row r="53" spans="1:13" customFormat="1" ht="15.75" customHeight="1" x14ac:dyDescent="0.2">
      <c r="A53" s="33"/>
      <c r="B53" s="33"/>
      <c r="C53" s="13"/>
      <c r="D53" s="104" t="s">
        <v>162</v>
      </c>
      <c r="E53" s="102" t="s">
        <v>166</v>
      </c>
      <c r="F53" s="101"/>
      <c r="G53" s="101"/>
      <c r="H53" s="101">
        <f>IF('Step 2.2 - Data Input (Revenue)'!I17&lt;=1, 'Step 2.2 - Data Input (Revenue)'!I18, 0)</f>
        <v>0</v>
      </c>
      <c r="I53" s="101" cm="1">
        <f t="array" ref="I53">_xlfn.IFS('Step 2.2 - Data Input (Revenue)'!I17&lt;=1, 'Step 2.2 - Data Input (Revenue)'!I19, 'Step 2.2 - Data Input (Revenue)'!I17&lt;=2, 'Step 2.2 - Data Input (Revenue)'!I18, 'Step 2.2 - Data Input (Revenue)'!I17&gt;2, 0)</f>
        <v>0</v>
      </c>
      <c r="J53" s="101" cm="1">
        <f t="array" ref="J53">_xlfn.IFS('Step 2.2 - Data Input (Revenue)'!I17&lt;=1, 'Step 2.2 - Data Input (Revenue)'!I20, 'Step 2.2 - Data Input (Revenue)'!I17&lt;=2, 'Step 2.2 - Data Input (Revenue)'!I19, 'Step 2.2 - Data Input (Revenue)'!I17&lt;=3, 'Step 2.2 - Data Input (Revenue)'!I18, 'Step 2.2 - Data Input (Revenue)'!I17&gt;3, 0)</f>
        <v>0</v>
      </c>
      <c r="K53" s="101" cm="1">
        <f t="array" ref="K53">_xlfn.IFS('Step 2.2 - Data Input (Revenue)'!I17&lt;=1, 'Step 2.2 - Data Input (Revenue)'!I21, 'Step 2.2 - Data Input (Revenue)'!I17&lt;=2, 'Step 2.2 - Data Input (Revenue)'!I20, 'Step 2.2 - Data Input (Revenue)'!I17&lt;=3, 'Step 2.2 - Data Input (Revenue)'!I19, 'Step 2.2 - Data Input (Revenue)'!I17&lt;=4, 'Step 2.2 - Data Input (Revenue)'!I18, 'Step 2.2 - Data Input (Revenue)'!I17&gt;4, 0)</f>
        <v>0</v>
      </c>
      <c r="L53" s="101" cm="1">
        <f t="array" ref="L53">_xlfn.IFS('Step 2.2 - Data Input (Revenue)'!I17&lt;=1, 'Step 2.2 - Data Input (Revenue)'!I22, 'Step 2.2 - Data Input (Revenue)'!I17&lt;=2, 'Step 2.2 - Data Input (Revenue)'!I21, 'Step 2.2 - Data Input (Revenue)'!I17&lt;=3, 'Step 2.2 - Data Input (Revenue)'!I20, 'Step 2.2 - Data Input (Revenue)'!I17&lt;=4, 'Step 2.2 - Data Input (Revenue)'!I19, 'Step 2.2 - Data Input (Revenue)'!I17&lt;=5, 'Step 2.2 - Data Input (Revenue)'!I18,'Step 2.2 - Data Input (Revenue)'!I17&gt;5, 0)</f>
        <v>0</v>
      </c>
      <c r="M53" s="101">
        <f>SUM('Step 2.2 - Data Input (Revenue)'!I18+'Step 2.2 - Data Input (Revenue)'!I19+'Step 2.2 - Data Input (Revenue)'!I20+'Step 2.2 - Data Input (Revenue)'!I21+'Step 2.2 - Data Input (Revenue)'!I22-(SUM(H53:L53)))</f>
        <v>0</v>
      </c>
    </row>
    <row r="54" spans="1:13" customFormat="1" ht="15.75" customHeight="1" x14ac:dyDescent="0.2">
      <c r="A54" s="33"/>
      <c r="B54" s="33"/>
      <c r="C54" s="13" t="s">
        <v>428</v>
      </c>
      <c r="D54" s="13"/>
      <c r="E54" s="11" t="s">
        <v>5</v>
      </c>
      <c r="F54" s="12">
        <f>SUM(G54:L54)</f>
        <v>0</v>
      </c>
      <c r="G54" s="12"/>
      <c r="H54" s="12">
        <f>'Step 2.4 - Data Input (OpEx)'!I43*(H49+H51+H53)</f>
        <v>0</v>
      </c>
      <c r="I54" s="12">
        <f>'Step 2.4 - Data Input (OpEx)'!I43*(I49+I51+I53)</f>
        <v>0</v>
      </c>
      <c r="J54" s="12">
        <f>'Step 2.4 - Data Input (OpEx)'!I43*(J49+J51+J53)</f>
        <v>0</v>
      </c>
      <c r="K54" s="12">
        <f>'Step 2.4 - Data Input (OpEx)'!I43*(K49+K51+K53)</f>
        <v>0</v>
      </c>
      <c r="L54" s="12">
        <f>'Step 2.4 - Data Input (OpEx)'!I43*(L49+L51+L53)</f>
        <v>0</v>
      </c>
      <c r="M54" s="12"/>
    </row>
    <row r="55" spans="1:13" customFormat="1" ht="15.75" customHeight="1" x14ac:dyDescent="0.2">
      <c r="A55" s="33"/>
      <c r="B55" s="33"/>
      <c r="C55" s="13" t="s">
        <v>165</v>
      </c>
      <c r="D55" s="13"/>
      <c r="E55" s="11" t="s">
        <v>5</v>
      </c>
      <c r="F55" s="12">
        <f>SUM(G55:L55)</f>
        <v>0</v>
      </c>
      <c r="G55" s="12"/>
      <c r="H55" s="12">
        <f>SUM(H56:H60)</f>
        <v>0</v>
      </c>
      <c r="I55" s="12">
        <f t="shared" ref="I55:L55" si="10">SUM(I56:I60)</f>
        <v>0</v>
      </c>
      <c r="J55" s="12">
        <f t="shared" si="10"/>
        <v>0</v>
      </c>
      <c r="K55" s="12">
        <f t="shared" si="10"/>
        <v>0</v>
      </c>
      <c r="L55" s="12">
        <f t="shared" si="10"/>
        <v>0</v>
      </c>
      <c r="M55" s="12"/>
    </row>
    <row r="56" spans="1:13" customFormat="1" ht="15.75" customHeight="1" x14ac:dyDescent="0.2">
      <c r="A56" s="33"/>
      <c r="B56" s="33"/>
      <c r="C56" s="10"/>
      <c r="D56" s="104" t="s">
        <v>133</v>
      </c>
      <c r="E56" s="102" t="s">
        <v>5</v>
      </c>
      <c r="F56" s="103">
        <f>SUM(G56:L56)</f>
        <v>0</v>
      </c>
      <c r="G56" s="103"/>
      <c r="H56" s="103">
        <f>IF(BL_Type=1,(H49+H51)*('Step 2.4 - Data Input (OpEx)'!I44*'Step 2.4 - Data Input (OpEx)'!I46)*(1-'Step 2.4 - Data Input (OpEx)'!I19)^0,0)</f>
        <v>0</v>
      </c>
      <c r="I56" s="103">
        <f>IF(BL_Type=1,(I49+I51)*('Step 2.4 - Data Input (OpEx)'!I44*'Step 2.4 - Data Input (OpEx)'!I46)*(1-'Step 2.4 - Data Input (OpEx)'!I19)^1,0)</f>
        <v>0</v>
      </c>
      <c r="J56" s="103">
        <f>IF(BL_Type=1,(J49+J51)*('Step 2.4 - Data Input (OpEx)'!I44*'Step 2.4 - Data Input (OpEx)'!I46)*(1-'Step 2.4 - Data Input (OpEx)'!I19)^2,0)</f>
        <v>0</v>
      </c>
      <c r="K56" s="103">
        <f>IF(BL_Type=1,(K49+K51)*('Step 2.4 - Data Input (OpEx)'!I44*'Step 2.4 - Data Input (OpEx)'!I46)*(1-'Step 2.4 - Data Input (OpEx)'!I19)^3,0)</f>
        <v>0</v>
      </c>
      <c r="L56" s="103">
        <f>IF(BL_Type=1,(L49+L51)*('Step 2.4 - Data Input (OpEx)'!I44*'Step 2.4 - Data Input (OpEx)'!I46)*(1-'Step 2.4 - Data Input (OpEx)'!I19)^4,0)</f>
        <v>0</v>
      </c>
      <c r="M56" s="103"/>
    </row>
    <row r="57" spans="1:13" customFormat="1" ht="15.75" customHeight="1" x14ac:dyDescent="0.2">
      <c r="A57" s="33"/>
      <c r="B57" s="33"/>
      <c r="C57" s="10"/>
      <c r="D57" s="104" t="s">
        <v>134</v>
      </c>
      <c r="E57" s="102" t="s">
        <v>5</v>
      </c>
      <c r="F57" s="103">
        <f t="shared" ref="F57:F60" si="11">SUM(G57:L57)</f>
        <v>0</v>
      </c>
      <c r="G57" s="103"/>
      <c r="H57" s="103">
        <f>IF(OR(BL_Type=2,BL_Type=3),(H49+H51)*('Step 2.4 - Data Input (OpEx)'!I44*'Step 2.4 - Data Input (OpEx)'!I46)*(1-'Step 2.4 - Data Input (OpEx)'!I19)^0,0)</f>
        <v>0</v>
      </c>
      <c r="I57" s="103">
        <f>IF(OR(BL_Type=2,BL_Type=3),(I49+I51)*('Step 2.4 - Data Input (OpEx)'!I44*'Step 2.4 - Data Input (OpEx)'!I46)*(1-'Step 2.4 - Data Input (OpEx)'!I19)^1,0)</f>
        <v>0</v>
      </c>
      <c r="J57" s="103">
        <f>IF(OR(BL_Type=2,BL_Type=3),(J49+J51)*('Step 2.4 - Data Input (OpEx)'!I44*'Step 2.4 - Data Input (OpEx)'!I46)*(1-'Step 2.4 - Data Input (OpEx)'!I19)^2,0)</f>
        <v>0</v>
      </c>
      <c r="K57" s="103">
        <f>IF(OR(BL_Type=2,BL_Type=3),(K49+K51)*('Step 2.4 - Data Input (OpEx)'!I44*'Step 2.4 - Data Input (OpEx)'!I46)*(1-'Step 2.4 - Data Input (OpEx)'!I19)^3,0)</f>
        <v>0</v>
      </c>
      <c r="L57" s="103">
        <f>IF(OR(BL_Type=2,BL_Type=3),(L49+L51)*('Step 2.4 - Data Input (OpEx)'!I44*'Step 2.4 - Data Input (OpEx)'!I46)*(1-'Step 2.4 - Data Input (OpEx)'!I19)^4,0)</f>
        <v>0</v>
      </c>
      <c r="M57" s="103"/>
    </row>
    <row r="58" spans="1:13" customFormat="1" ht="15.75" customHeight="1" x14ac:dyDescent="0.2">
      <c r="A58" s="33"/>
      <c r="B58" s="33"/>
      <c r="C58" s="10"/>
      <c r="D58" s="104" t="s">
        <v>135</v>
      </c>
      <c r="E58" s="102" t="s">
        <v>5</v>
      </c>
      <c r="F58" s="103">
        <f t="shared" si="11"/>
        <v>0</v>
      </c>
      <c r="G58" s="103"/>
      <c r="H58" s="103">
        <f>IF(BL_Type=2,(H49+H51)*('Step 2.4 - Data Input (OpEx)'!I45*'Step 2.4 - Data Input (OpEx)'!I46)*(1-'Step 2.4 - Data Input (OpEx)'!I19)^0,0)</f>
        <v>0</v>
      </c>
      <c r="I58" s="103">
        <f>IF(BL_Type=2,(I49+I51)*('Step 2.4 - Data Input (OpEx)'!I45*'Step 2.4 - Data Input (OpEx)'!I46)*(1-'Step 2.4 - Data Input (OpEx)'!I19)^1,0)</f>
        <v>0</v>
      </c>
      <c r="J58" s="103">
        <f>IF(BL_Type=2,(J49+J51)*('Step 2.4 - Data Input (OpEx)'!I45*'Step 2.4 - Data Input (OpEx)'!I46)*(1-'Step 2.4 - Data Input (OpEx)'!I19)^2,0)</f>
        <v>0</v>
      </c>
      <c r="K58" s="103">
        <f>IF(BL_Type=2,(K49+K51)*('Step 2.4 - Data Input (OpEx)'!I45*'Step 2.4 - Data Input (OpEx)'!I46)*(1-'Step 2.4 - Data Input (OpEx)'!I19)^3,0)</f>
        <v>0</v>
      </c>
      <c r="L58" s="103">
        <f>IF(BL_Type=2,(L49+L51)*('Step 2.4 - Data Input (OpEx)'!I45*'Step 2.4 - Data Input (OpEx)'!I46)*(1-'Step 2.4 - Data Input (OpEx)'!I19)^4,0)</f>
        <v>0</v>
      </c>
      <c r="M58" s="103"/>
    </row>
    <row r="59" spans="1:13" customFormat="1" ht="15.75" customHeight="1" x14ac:dyDescent="0.2">
      <c r="A59" s="33"/>
      <c r="B59" s="33"/>
      <c r="C59" s="10"/>
      <c r="D59" s="104" t="s">
        <v>136</v>
      </c>
      <c r="E59" s="102" t="s">
        <v>5</v>
      </c>
      <c r="F59" s="103">
        <f t="shared" si="11"/>
        <v>0</v>
      </c>
      <c r="G59" s="103"/>
      <c r="H59" s="103">
        <f>IF(BL_Type=3,(H50+H52)*('Step 2.4 - Data Input (OpEx)'!I45*'Step 2.4 - Data Input (OpEx)'!I46)*(1-'Step 2.4 - Data Input (OpEx)'!I19)^0,0)</f>
        <v>0</v>
      </c>
      <c r="I59" s="103">
        <f>IF(BL_Type=3,(I50+I52)*('Step 2.4 - Data Input (OpEx)'!I45*'Step 2.4 - Data Input (OpEx)'!I46)*(1-'Step 2.4 - Data Input (OpEx)'!I19)^1,0)</f>
        <v>0</v>
      </c>
      <c r="J59" s="103">
        <f>IF(BL_Type=3,(J50+J52)*('Step 2.4 - Data Input (OpEx)'!I45*'Step 2.4 - Data Input (OpEx)'!I46)*(1-'Step 2.4 - Data Input (OpEx)'!I19)^2,0)</f>
        <v>0</v>
      </c>
      <c r="K59" s="103">
        <f>IF(BL_Type=3,(K50+K52)*('Step 2.4 - Data Input (OpEx)'!I45*'Step 2.4 - Data Input (OpEx)'!I46)*(1-'Step 2.4 - Data Input (OpEx)'!I19)^3,0)</f>
        <v>0</v>
      </c>
      <c r="L59" s="103">
        <f>IF(BL_Type=3,(L50+L52)*('Step 2.4 - Data Input (OpEx)'!I45*'Step 2.4 - Data Input (OpEx)'!I46)*(1-'Step 2.4 - Data Input (OpEx)'!I19)^4,0)</f>
        <v>0</v>
      </c>
      <c r="M59" s="103"/>
    </row>
    <row r="60" spans="1:13" customFormat="1" ht="15.75" customHeight="1" x14ac:dyDescent="0.2">
      <c r="A60" s="33"/>
      <c r="B60" s="33"/>
      <c r="C60" s="10"/>
      <c r="D60" s="104" t="s">
        <v>137</v>
      </c>
      <c r="E60" s="102" t="s">
        <v>5</v>
      </c>
      <c r="F60" s="103">
        <f t="shared" si="11"/>
        <v>0</v>
      </c>
      <c r="G60" s="103"/>
      <c r="H60" s="103">
        <f>IF(BL_Type=4,(H49+H51)*('Step 2.4 - Data Input (OpEx)'!I48),0)</f>
        <v>0</v>
      </c>
      <c r="I60" s="103">
        <f>IF(BL_Type=4,(I49+I51)*('Step 2.4 - Data Input (OpEx)'!I48),0)</f>
        <v>0</v>
      </c>
      <c r="J60" s="103">
        <f>IF(BL_Type=4,(J49+J51)*('Step 2.4 - Data Input (OpEx)'!I48),0)</f>
        <v>0</v>
      </c>
      <c r="K60" s="103">
        <f>IF(BL_Type=4,(K49+K51)*('Step 2.4 - Data Input (OpEx)'!I48),0)</f>
        <v>0</v>
      </c>
      <c r="L60" s="103">
        <f>IF(BL_Type=4,(L49+L51)*('Step 2.4 - Data Input (OpEx)'!I48),0)</f>
        <v>0</v>
      </c>
      <c r="M60" s="103"/>
    </row>
    <row r="61" spans="1:13" customFormat="1" ht="15.75" customHeight="1" x14ac:dyDescent="0.2">
      <c r="A61" s="33"/>
      <c r="B61" s="33"/>
      <c r="C61" s="13" t="s">
        <v>161</v>
      </c>
      <c r="D61" s="13"/>
      <c r="E61" s="11" t="s">
        <v>5</v>
      </c>
      <c r="F61" s="12">
        <f>SUM(G61:L61)</f>
        <v>0</v>
      </c>
      <c r="G61" s="12"/>
      <c r="H61" s="12">
        <f>SUM(H62:H66)</f>
        <v>0</v>
      </c>
      <c r="I61" s="12">
        <f>SUM(I62:I66)</f>
        <v>0</v>
      </c>
      <c r="J61" s="12">
        <f>SUM(J62:J66)</f>
        <v>0</v>
      </c>
      <c r="K61" s="12">
        <f>SUM(K62:K66)</f>
        <v>0</v>
      </c>
      <c r="L61" s="12">
        <f>SUM(L62:L66)</f>
        <v>0</v>
      </c>
      <c r="M61" s="12"/>
    </row>
    <row r="62" spans="1:13" customFormat="1" ht="15.75" customHeight="1" x14ac:dyDescent="0.2">
      <c r="A62" s="33"/>
      <c r="B62" s="33"/>
      <c r="C62" s="13"/>
      <c r="D62" s="104" t="s">
        <v>133</v>
      </c>
      <c r="E62" s="102" t="s">
        <v>5</v>
      </c>
      <c r="F62" s="103">
        <f>SUM(G62:L62)</f>
        <v>0</v>
      </c>
      <c r="G62" s="103"/>
      <c r="H62" s="103">
        <f>IF(BL_Type=1,H53*('Step 2.4 - Data Input (OpEx)'!I44*'Step 2.4 - Data Input (OpEx)'!I46)*(1-'Step 2.4 - Data Input (OpEx)'!I19)^0,0)</f>
        <v>0</v>
      </c>
      <c r="I62" s="103">
        <f>IF(BL_Type=1,I53*('Step 2.4 - Data Input (OpEx)'!I44*'Step 2.4 - Data Input (OpEx)'!I46)*(1-'Step 2.4 - Data Input (OpEx)'!I19)^1,0)</f>
        <v>0</v>
      </c>
      <c r="J62" s="103">
        <f>IF(BL_Type=1,J53*('Step 2.4 - Data Input (OpEx)'!I44*'Step 2.4 - Data Input (OpEx)'!I46)*(1-'Step 2.4 - Data Input (OpEx)'!I19)^2,0)</f>
        <v>0</v>
      </c>
      <c r="K62" s="103">
        <f>IF(BL_Type=1,K53*('Step 2.4 - Data Input (OpEx)'!I44*'Step 2.4 - Data Input (OpEx)'!I46)*(1-'Step 2.4 - Data Input (OpEx)'!I19)^3,0)</f>
        <v>0</v>
      </c>
      <c r="L62" s="103">
        <f>IF(BL_Type=1,L53*('Step 2.4 - Data Input (OpEx)'!I44*'Step 2.4 - Data Input (OpEx)'!I46)*(1-'Step 2.4 - Data Input (OpEx)'!I19)^4,0)</f>
        <v>0</v>
      </c>
      <c r="M62" s="103">
        <f>IF(BL_Type=1,M53*('Step 2.4 - Data Input (OpEx)'!I44*'Step 2.4 - Data Input (OpEx)'!I46)*(1-'Step 2.4 - Data Input (OpEx)'!I19)^5,0)</f>
        <v>0</v>
      </c>
    </row>
    <row r="63" spans="1:13" customFormat="1" ht="15.75" customHeight="1" x14ac:dyDescent="0.2">
      <c r="A63" s="33"/>
      <c r="B63" s="33"/>
      <c r="C63" s="13"/>
      <c r="D63" s="104" t="s">
        <v>134</v>
      </c>
      <c r="E63" s="102" t="s">
        <v>5</v>
      </c>
      <c r="F63" s="103">
        <f t="shared" ref="F63:F67" si="12">SUM(G63:L63)</f>
        <v>0</v>
      </c>
      <c r="G63" s="103"/>
      <c r="H63" s="103">
        <f>IF(OR(BL_Type=2,BL_Type=3),H53*('Step 2.4 - Data Input (OpEx)'!I44*'Step 2.4 - Data Input (OpEx)'!I46)*(1-'Step 2.4 - Data Input (OpEx)'!I19)^0,0)</f>
        <v>0</v>
      </c>
      <c r="I63" s="103">
        <f>IF(OR(BL_Type=2,BL_Type=3),I53*('Step 2.4 - Data Input (OpEx)'!I44*'Step 2.4 - Data Input (OpEx)'!I46)*(1-'Step 2.4 - Data Input (OpEx)'!I19)^1,0)</f>
        <v>0</v>
      </c>
      <c r="J63" s="103">
        <f>IF(OR(BL_Type=2,BL_Type=3),J53*('Step 2.4 - Data Input (OpEx)'!I44*'Step 2.4 - Data Input (OpEx)'!I46)*(1-'Step 2.4 - Data Input (OpEx)'!I19)^2,0)</f>
        <v>0</v>
      </c>
      <c r="K63" s="103">
        <f>IF(OR(BL_Type=2,BL_Type=3),K53*('Step 2.4 - Data Input (OpEx)'!I44*'Step 2.4 - Data Input (OpEx)'!I46)*(1-'Step 2.4 - Data Input (OpEx)'!I19)^3,0)</f>
        <v>0</v>
      </c>
      <c r="L63" s="103">
        <f>IF(OR(BL_Type=2,BL_Type=3),L53*('Step 2.4 - Data Input (OpEx)'!I44*'Step 2.4 - Data Input (OpEx)'!I46)*(1-'Step 2.4 - Data Input (OpEx)'!I19)^4,0)</f>
        <v>0</v>
      </c>
      <c r="M63" s="103">
        <f>IF(OR(BL_Type=2,BL_Type=3),M53*('Step 2.4 - Data Input (OpEx)'!I44*'Step 2.4 - Data Input (OpEx)'!I46)*(1-'Step 2.4 - Data Input (OpEx)'!I19)^5,0)</f>
        <v>0</v>
      </c>
    </row>
    <row r="64" spans="1:13" customFormat="1" ht="15.75" customHeight="1" x14ac:dyDescent="0.2">
      <c r="A64" s="33"/>
      <c r="B64" s="33"/>
      <c r="C64" s="13"/>
      <c r="D64" s="104" t="s">
        <v>135</v>
      </c>
      <c r="E64" s="102" t="s">
        <v>5</v>
      </c>
      <c r="F64" s="103">
        <f t="shared" si="12"/>
        <v>0</v>
      </c>
      <c r="G64" s="103"/>
      <c r="H64" s="103">
        <f>IF(BL_Type=2,H53*('Step 2.4 - Data Input (OpEx)'!I45*'Step 2.4 - Data Input (OpEx)'!I46)*(1-'Step 2.4 - Data Input (OpEx)'!I19)^0,0)</f>
        <v>0</v>
      </c>
      <c r="I64" s="103">
        <f>IF(BL_Type=2,I53*('Step 2.4 - Data Input (OpEx)'!I45*'Step 2.4 - Data Input (OpEx)'!I46)*(1-'Step 2.4 - Data Input (OpEx)'!I19)^1,0)</f>
        <v>0</v>
      </c>
      <c r="J64" s="103">
        <f>IF(BL_Type=2,J53*('Step 2.4 - Data Input (OpEx)'!I45*'Step 2.4 - Data Input (OpEx)'!I46)*(1-'Step 2.4 - Data Input (OpEx)'!I19)^2,0)</f>
        <v>0</v>
      </c>
      <c r="K64" s="103">
        <f>IF(BL_Type=2,K53*('Step 2.4 - Data Input (OpEx)'!I45*'Step 2.4 - Data Input (OpEx)'!I46)*(1-'Step 2.4 - Data Input (OpEx)'!I19)^3,0)</f>
        <v>0</v>
      </c>
      <c r="L64" s="103">
        <f>IF(BL_Type=2,L53*('Step 2.4 - Data Input (OpEx)'!I45*'Step 2.4 - Data Input (OpEx)'!I46)*(1-'Step 2.4 - Data Input (OpEx)'!I19)^4,0)</f>
        <v>0</v>
      </c>
      <c r="M64" s="103">
        <f>IF(BL_Type=2,M53*('Step 2.4 - Data Input (OpEx)'!I45*'Step 2.4 - Data Input (OpEx)'!I46)*(1-'Step 2.4 - Data Input (OpEx)'!I19)^5,0)</f>
        <v>0</v>
      </c>
    </row>
    <row r="65" spans="1:13" customFormat="1" ht="15.75" customHeight="1" x14ac:dyDescent="0.2">
      <c r="A65" s="33"/>
      <c r="B65" s="33"/>
      <c r="C65" s="13"/>
      <c r="D65" s="104" t="s">
        <v>136</v>
      </c>
      <c r="E65" s="102" t="s">
        <v>5</v>
      </c>
      <c r="F65" s="103">
        <f t="shared" si="12"/>
        <v>0</v>
      </c>
      <c r="G65" s="103"/>
      <c r="H65" s="103">
        <f>IF(BL_Type=3,H53*'Step 2.1 - Data Input (General)'!I24*('Step 2.4 - Data Input (OpEx)'!I45*'Step 2.4 - Data Input (OpEx)'!I46)*(1-'Step 2.4 - Data Input (OpEx)'!I19)^0,0)</f>
        <v>0</v>
      </c>
      <c r="I65" s="103">
        <f>IF(BL_Type=3,I53*'Step 2.1 - Data Input (General)'!I24*('Step 2.4 - Data Input (OpEx)'!I45*'Step 2.4 - Data Input (OpEx)'!I46)*(1-'Step 2.4 - Data Input (OpEx)'!I19)^1,0)</f>
        <v>0</v>
      </c>
      <c r="J65" s="103">
        <f>IF(BL_Type=3,J53*'Step 2.1 - Data Input (General)'!I24*('Step 2.4 - Data Input (OpEx)'!I45*'Step 2.4 - Data Input (OpEx)'!I46)*(1-'Step 2.4 - Data Input (OpEx)'!I19)^2,0)</f>
        <v>0</v>
      </c>
      <c r="K65" s="103">
        <f>IF(BL_Type=3,K53*'Step 2.1 - Data Input (General)'!I24*('Step 2.4 - Data Input (OpEx)'!I45*'Step 2.4 - Data Input (OpEx)'!I46)*(1-'Step 2.4 - Data Input (OpEx)'!I19)^3,0)</f>
        <v>0</v>
      </c>
      <c r="L65" s="103">
        <f>IF(BL_Type=3,L53*'Step 2.1 - Data Input (General)'!I24*('Step 2.4 - Data Input (OpEx)'!I45*'Step 2.4 - Data Input (OpEx)'!I46)*(1-'Step 2.4 - Data Input (OpEx)'!I19)^4,0)</f>
        <v>0</v>
      </c>
      <c r="M65" s="103">
        <f>IF(BL_Type=3,M53*'Step 2.1 - Data Input (General)'!I24*('Step 2.4 - Data Input (OpEx)'!I45*'Step 2.4 - Data Input (OpEx)'!I46)*(1-'Step 2.4 - Data Input (OpEx)'!I19)^5,0)</f>
        <v>0</v>
      </c>
    </row>
    <row r="66" spans="1:13" customFormat="1" ht="15.75" customHeight="1" x14ac:dyDescent="0.2">
      <c r="A66" s="33"/>
      <c r="B66" s="33"/>
      <c r="C66" s="13"/>
      <c r="D66" s="104" t="s">
        <v>137</v>
      </c>
      <c r="E66" s="102" t="s">
        <v>5</v>
      </c>
      <c r="F66" s="103">
        <f t="shared" si="12"/>
        <v>0</v>
      </c>
      <c r="G66" s="103"/>
      <c r="H66" s="103">
        <f>IF(BL_Type=4,H53*('Step 2.4 - Data Input (OpEx)'!I48),0)</f>
        <v>0</v>
      </c>
      <c r="I66" s="103">
        <f>IF(BL_Type=4,I53*('Step 2.4 - Data Input (OpEx)'!I48),0)</f>
        <v>0</v>
      </c>
      <c r="J66" s="103">
        <f>IF(BL_Type=4,J53*('Step 2.4 - Data Input (OpEx)'!I48),0)</f>
        <v>0</v>
      </c>
      <c r="K66" s="103">
        <f>IF(BL_Type=4,K53*('Step 2.4 - Data Input (OpEx)'!I48),0)</f>
        <v>0</v>
      </c>
      <c r="L66" s="103">
        <f>IF(BL_Type=4,L53*('Step 2.4 - Data Input (OpEx)'!I48),0)</f>
        <v>0</v>
      </c>
      <c r="M66" s="103">
        <f>IF(BL_Type=4,M53*('Step 2.4 - Data Input (OpEx)'!I48),0)</f>
        <v>0</v>
      </c>
    </row>
    <row r="67" spans="1:13" customFormat="1" ht="15.75" customHeight="1" x14ac:dyDescent="0.2">
      <c r="A67" s="33"/>
      <c r="B67" s="33"/>
      <c r="C67" s="13"/>
      <c r="D67" s="104" t="s">
        <v>163</v>
      </c>
      <c r="E67" s="102" t="s">
        <v>5</v>
      </c>
      <c r="F67" s="103">
        <f t="shared" si="12"/>
        <v>0</v>
      </c>
      <c r="G67" s="103"/>
      <c r="H67" s="103"/>
      <c r="I67" s="103"/>
      <c r="J67" s="103"/>
      <c r="K67" s="103"/>
      <c r="L67" s="103"/>
      <c r="M67" s="103">
        <f>SUM(M62:M66)</f>
        <v>0</v>
      </c>
    </row>
    <row r="68" spans="1:13" customFormat="1" ht="15.75" customHeight="1" x14ac:dyDescent="0.2">
      <c r="A68" s="33"/>
      <c r="B68" s="33"/>
      <c r="C68" s="13" t="s">
        <v>421</v>
      </c>
      <c r="D68" s="13"/>
      <c r="E68" s="11" t="s">
        <v>5</v>
      </c>
      <c r="F68" s="12">
        <f>SUM(G68:L68)</f>
        <v>0</v>
      </c>
      <c r="G68" s="12"/>
      <c r="H68" s="12">
        <f>'Step 2.4 - Data Input (OpEx)'!I47*(H49+H51+H53)</f>
        <v>0</v>
      </c>
      <c r="I68" s="12">
        <f>'Step 2.4 - Data Input (OpEx)'!I47*(I49+I51+I53)</f>
        <v>0</v>
      </c>
      <c r="J68" s="12">
        <f>'Step 2.4 - Data Input (OpEx)'!I47*(J49+J51+J53)</f>
        <v>0</v>
      </c>
      <c r="K68" s="12">
        <f>'Step 2.4 - Data Input (OpEx)'!I47*(K49+K51+K53)</f>
        <v>0</v>
      </c>
      <c r="L68" s="12">
        <f>'Step 2.4 - Data Input (OpEx)'!I47*(L49+L51+L53)</f>
        <v>0</v>
      </c>
      <c r="M68" s="12"/>
    </row>
    <row r="69" spans="1:13" customFormat="1" ht="7.5" customHeight="1" x14ac:dyDescent="0.2">
      <c r="A69" s="62"/>
      <c r="B69" s="62"/>
      <c r="C69" s="61"/>
      <c r="D69" s="61"/>
      <c r="E69" s="63"/>
      <c r="F69" s="61"/>
      <c r="G69" s="61"/>
      <c r="H69" s="61"/>
      <c r="I69" s="61"/>
      <c r="J69" s="61"/>
      <c r="K69" s="61"/>
      <c r="L69" s="61"/>
      <c r="M69" s="61"/>
    </row>
    <row r="70" spans="1:13" customFormat="1" ht="15.75" customHeight="1" x14ac:dyDescent="0.2">
      <c r="A70" s="96"/>
      <c r="B70" s="96" t="s">
        <v>208</v>
      </c>
      <c r="C70" s="95"/>
      <c r="D70" s="95"/>
      <c r="E70" s="97" t="s">
        <v>5</v>
      </c>
      <c r="F70" s="98">
        <f>SUM(G70:L70)</f>
        <v>0</v>
      </c>
      <c r="G70" s="99"/>
      <c r="H70" s="100">
        <f>SUM(H71:H72)+'Step 2.4 - Data Input (OpEx)'!I55</f>
        <v>0</v>
      </c>
      <c r="I70" s="100">
        <f>SUM(I71:I72)+'Step 2.4 - Data Input (OpEx)'!I55</f>
        <v>0</v>
      </c>
      <c r="J70" s="100">
        <f>SUM(J71:J72)+'Step 2.4 - Data Input (OpEx)'!I55</f>
        <v>0</v>
      </c>
      <c r="K70" s="100">
        <f>SUM(K71:K72)+'Step 2.4 - Data Input (OpEx)'!I55</f>
        <v>0</v>
      </c>
      <c r="L70" s="100">
        <f>SUM(L71:L72)+'Step 2.4 - Data Input (OpEx)'!I55</f>
        <v>0</v>
      </c>
      <c r="M70" s="99"/>
    </row>
    <row r="71" spans="1:13" customFormat="1" ht="15.75" customHeight="1" x14ac:dyDescent="0.2">
      <c r="A71" s="33"/>
      <c r="B71" s="33"/>
      <c r="C71" s="10" t="s">
        <v>158</v>
      </c>
      <c r="D71" s="10"/>
      <c r="E71" s="11" t="s">
        <v>5</v>
      </c>
      <c r="F71" s="12">
        <f t="shared" ref="F71:F72" si="13">SUM(G71:L71)</f>
        <v>0</v>
      </c>
      <c r="G71" s="12"/>
      <c r="H71" s="12">
        <f>'Step 2.4 - Data Input (OpEx)'!I53*'Step 2.4 - Data Input (OpEx)'!I6*(H49+H51)*(1-'Step 2.4 - Data Input (OpEx)'!I17)^0</f>
        <v>0</v>
      </c>
      <c r="I71" s="12">
        <f>'Step 2.4 - Data Input (OpEx)'!I53*'Step 2.4 - Data Input (OpEx)'!I6*(I49+I51)*(1-'Step 2.4 - Data Input (OpEx)'!I17)^1</f>
        <v>0</v>
      </c>
      <c r="J71" s="12">
        <f>'Step 2.4 - Data Input (OpEx)'!I53*'Step 2.4 - Data Input (OpEx)'!I6*(J49+J51)*(1-'Step 2.4 - Data Input (OpEx)'!I17)^2</f>
        <v>0</v>
      </c>
      <c r="K71" s="12">
        <f>'Step 2.4 - Data Input (OpEx)'!I53*'Step 2.4 - Data Input (OpEx)'!I6*(K49+K51)*(1-'Step 2.4 - Data Input (OpEx)'!I17)^3</f>
        <v>0</v>
      </c>
      <c r="L71" s="12">
        <f>'Step 2.4 - Data Input (OpEx)'!I53*'Step 2.4 - Data Input (OpEx)'!I6*(L49+L51)*(1-'Step 2.4 - Data Input (OpEx)'!I17)^4</f>
        <v>0</v>
      </c>
      <c r="M71" s="12"/>
    </row>
    <row r="72" spans="1:13" customFormat="1" ht="15.75" customHeight="1" x14ac:dyDescent="0.2">
      <c r="A72" s="33"/>
      <c r="B72" s="33"/>
      <c r="C72" s="10" t="s">
        <v>159</v>
      </c>
      <c r="D72" s="10"/>
      <c r="E72" s="11" t="s">
        <v>5</v>
      </c>
      <c r="F72" s="12">
        <f t="shared" si="13"/>
        <v>0</v>
      </c>
      <c r="G72" s="12"/>
      <c r="H72" s="12">
        <f>'Step 2.4 - Data Input (OpEx)'!I54*'Step 2.4 - Data Input (OpEx)'!I8*(H49+H51)*(1-'Step 2.4 - Data Input (OpEx)'!I18)^0</f>
        <v>0</v>
      </c>
      <c r="I72" s="12">
        <f>'Step 2.4 - Data Input (OpEx)'!I54*'Step 2.4 - Data Input (OpEx)'!I8*(I49+I51)*(1-'Step 2.4 - Data Input (OpEx)'!I18)^1</f>
        <v>0</v>
      </c>
      <c r="J72" s="12">
        <f>'Step 2.4 - Data Input (OpEx)'!I54*'Step 2.4 - Data Input (OpEx)'!I8*(J49+J51)*(1-'Step 2.4 - Data Input (OpEx)'!I18)^2</f>
        <v>0</v>
      </c>
      <c r="K72" s="12">
        <f>'Step 2.4 - Data Input (OpEx)'!I54*'Step 2.4 - Data Input (OpEx)'!I8*(K49+K51)*(1-'Step 2.4 - Data Input (OpEx)'!I18)^3</f>
        <v>0</v>
      </c>
      <c r="L72" s="12">
        <f>'Step 2.4 - Data Input (OpEx)'!I54*'Step 2.4 - Data Input (OpEx)'!I8*(L49+L51)*(1-'Step 2.4 - Data Input (OpEx)'!I18)^4</f>
        <v>0</v>
      </c>
      <c r="M72" s="12"/>
    </row>
    <row r="73" spans="1:13" customFormat="1" ht="7.5" customHeight="1" x14ac:dyDescent="0.2">
      <c r="A73" s="62"/>
      <c r="B73" s="62"/>
      <c r="C73" s="61"/>
      <c r="D73" s="61"/>
      <c r="E73" s="63"/>
      <c r="F73" s="61"/>
      <c r="G73" s="61"/>
      <c r="H73" s="61"/>
      <c r="I73" s="61"/>
      <c r="J73" s="61"/>
      <c r="K73" s="61"/>
      <c r="L73" s="61"/>
      <c r="M73" s="61"/>
    </row>
    <row r="74" spans="1:13" customFormat="1" ht="15.75" customHeight="1" x14ac:dyDescent="0.2">
      <c r="A74" s="96"/>
      <c r="B74" s="96" t="s">
        <v>138</v>
      </c>
      <c r="C74" s="95"/>
      <c r="D74" s="95"/>
      <c r="E74" s="97" t="s">
        <v>5</v>
      </c>
      <c r="F74" s="98">
        <f>SUM(G74:L74)</f>
        <v>0</v>
      </c>
      <c r="G74" s="99"/>
      <c r="H74" s="99">
        <f>SUM(H75:H77)+'Step 2.4 - Data Input (OpEx)'!I61</f>
        <v>0</v>
      </c>
      <c r="I74" s="99">
        <f>SUM(I75:I77)+'Step 2.4 - Data Input (OpEx)'!I61</f>
        <v>0</v>
      </c>
      <c r="J74" s="99">
        <f>SUM(J75:J77)+'Step 2.4 - Data Input (OpEx)'!I61</f>
        <v>0</v>
      </c>
      <c r="K74" s="99">
        <f>SUM(K75:K77)+'Step 2.4 - Data Input (OpEx)'!I61</f>
        <v>0</v>
      </c>
      <c r="L74" s="99">
        <f>SUM(L75:L77)+'Step 2.4 - Data Input (OpEx)'!I61</f>
        <v>0</v>
      </c>
      <c r="M74" s="99"/>
    </row>
    <row r="75" spans="1:13" customFormat="1" ht="15.75" customHeight="1" x14ac:dyDescent="0.2">
      <c r="A75" s="33"/>
      <c r="B75" s="33"/>
      <c r="C75" s="10" t="s">
        <v>158</v>
      </c>
      <c r="D75" s="10"/>
      <c r="E75" s="11" t="s">
        <v>5</v>
      </c>
      <c r="F75" s="12">
        <f t="shared" ref="F75:F77" si="14">SUM(G75:L75)</f>
        <v>0</v>
      </c>
      <c r="G75" s="12"/>
      <c r="H75" s="12">
        <f>'Step 2.4 - Data Input (OpEx)'!I58*'Step 2.4 - Data Input (OpEx)'!I6*(H49+H51)*(1-'Step 2.4 - Data Input (OpEx)'!I17)^0</f>
        <v>0</v>
      </c>
      <c r="I75" s="12">
        <f>'Step 2.4 - Data Input (OpEx)'!I58*'Step 2.4 - Data Input (OpEx)'!I6*(I49+I51)*(1-'Step 2.4 - Data Input (OpEx)'!I17)^1</f>
        <v>0</v>
      </c>
      <c r="J75" s="12">
        <f>'Step 2.4 - Data Input (OpEx)'!I58*'Step 2.4 - Data Input (OpEx)'!I6*(J49+J51)*(1-'Step 2.4 - Data Input (OpEx)'!I17)^2</f>
        <v>0</v>
      </c>
      <c r="K75" s="12">
        <f>'Step 2.4 - Data Input (OpEx)'!I58*'Step 2.4 - Data Input (OpEx)'!I6*(K49+K51)*(1-'Step 2.4 - Data Input (OpEx)'!I17)^3</f>
        <v>0</v>
      </c>
      <c r="L75" s="12">
        <f>'Step 2.4 - Data Input (OpEx)'!I58*'Step 2.4 - Data Input (OpEx)'!I6*(L49+L51)*(1-'Step 2.4 - Data Input (OpEx)'!I17)^4</f>
        <v>0</v>
      </c>
      <c r="M75" s="12"/>
    </row>
    <row r="76" spans="1:13" customFormat="1" ht="15.75" customHeight="1" x14ac:dyDescent="0.2">
      <c r="A76" s="33"/>
      <c r="B76" s="33"/>
      <c r="C76" s="10" t="s">
        <v>159</v>
      </c>
      <c r="D76" s="10"/>
      <c r="E76" s="11" t="s">
        <v>5</v>
      </c>
      <c r="F76" s="12">
        <f t="shared" si="14"/>
        <v>0</v>
      </c>
      <c r="G76" s="12"/>
      <c r="H76" s="12">
        <f>'Step 2.4 - Data Input (OpEx)'!I59*'Step 2.4 - Data Input (OpEx)'!I8*(H49+H51)*(1-'Step 2.4 - Data Input (OpEx)'!I18)^0</f>
        <v>0</v>
      </c>
      <c r="I76" s="12">
        <f>'Step 2.4 - Data Input (OpEx)'!I59*'Step 2.4 - Data Input (OpEx)'!I8*(I49+I51)*(1-'Step 2.4 - Data Input (OpEx)'!I18)^1</f>
        <v>0</v>
      </c>
      <c r="J76" s="12">
        <f>'Step 2.4 - Data Input (OpEx)'!I59*'Step 2.4 - Data Input (OpEx)'!I8*(J49+J51)*(1-'Step 2.4 - Data Input (OpEx)'!I18)^2</f>
        <v>0</v>
      </c>
      <c r="K76" s="12">
        <f>'Step 2.4 - Data Input (OpEx)'!I59*'Step 2.4 - Data Input (OpEx)'!I8*(K49+K51)*(1-'Step 2.4 - Data Input (OpEx)'!I18)^3</f>
        <v>0</v>
      </c>
      <c r="L76" s="12">
        <f>'Step 2.4 - Data Input (OpEx)'!I59*'Step 2.4 - Data Input (OpEx)'!I8*(L49+L51)*(1-'Step 2.4 - Data Input (OpEx)'!I18)^4</f>
        <v>0</v>
      </c>
      <c r="M76" s="12"/>
    </row>
    <row r="77" spans="1:13" customFormat="1" ht="15.75" customHeight="1" x14ac:dyDescent="0.2">
      <c r="A77" s="33"/>
      <c r="B77" s="33"/>
      <c r="C77" s="10" t="s">
        <v>167</v>
      </c>
      <c r="D77" s="10"/>
      <c r="E77" s="11" t="s">
        <v>5</v>
      </c>
      <c r="F77" s="12">
        <f t="shared" si="14"/>
        <v>0</v>
      </c>
      <c r="G77" s="12"/>
      <c r="H77" s="12">
        <f>'Step 2.4 - Data Input (OpEx)'!I60*((H49-H50)+(H51-H52))</f>
        <v>0</v>
      </c>
      <c r="I77" s="12">
        <f>'Step 2.4 - Data Input (OpEx)'!I60*((I49-I50)+(I51-I52))</f>
        <v>0</v>
      </c>
      <c r="J77" s="12">
        <f>'Step 2.4 - Data Input (OpEx)'!I60*((J49-J50)+(J51-J52))</f>
        <v>0</v>
      </c>
      <c r="K77" s="12">
        <f>'Step 2.4 - Data Input (OpEx)'!I60*((K49-K50)+(K51-K52))</f>
        <v>0</v>
      </c>
      <c r="L77" s="12">
        <f>'Step 2.4 - Data Input (OpEx)'!I60*((L49-L50)+(L51-L52))</f>
        <v>0</v>
      </c>
      <c r="M77" s="12"/>
    </row>
    <row r="78" spans="1:13" customFormat="1" ht="7.5" customHeight="1" x14ac:dyDescent="0.2">
      <c r="A78" s="62"/>
      <c r="B78" s="62"/>
      <c r="C78" s="61"/>
      <c r="D78" s="61"/>
      <c r="E78" s="63"/>
      <c r="F78" s="61"/>
      <c r="G78" s="61"/>
      <c r="H78" s="61"/>
      <c r="I78" s="61"/>
      <c r="J78" s="61"/>
      <c r="K78" s="61"/>
      <c r="L78" s="61"/>
      <c r="M78" s="61"/>
    </row>
    <row r="79" spans="1:13" customFormat="1" ht="15" customHeight="1" x14ac:dyDescent="0.2">
      <c r="A79" s="96"/>
      <c r="B79" s="96" t="s">
        <v>139</v>
      </c>
      <c r="C79" s="95"/>
      <c r="D79" s="95"/>
      <c r="E79" s="97" t="s">
        <v>5</v>
      </c>
      <c r="F79" s="98">
        <f>SUM(G79:L79)</f>
        <v>0</v>
      </c>
      <c r="G79" s="99"/>
      <c r="H79" s="99">
        <f>SUM(H80:H81)+'Step 2.4 - Data Input (OpEx)'!I66</f>
        <v>0</v>
      </c>
      <c r="I79" s="99">
        <f>SUM(I80:I81)+'Step 2.4 - Data Input (OpEx)'!I66</f>
        <v>0</v>
      </c>
      <c r="J79" s="99">
        <f>SUM(J80:J81)+'Step 2.4 - Data Input (OpEx)'!I66</f>
        <v>0</v>
      </c>
      <c r="K79" s="99">
        <f>SUM(K80:K81)+'Step 2.4 - Data Input (OpEx)'!I66</f>
        <v>0</v>
      </c>
      <c r="L79" s="99">
        <f>SUM(L80:L81)+'Step 2.4 - Data Input (OpEx)'!I66</f>
        <v>0</v>
      </c>
      <c r="M79" s="99"/>
    </row>
    <row r="80" spans="1:13" customFormat="1" ht="15.75" customHeight="1" x14ac:dyDescent="0.2">
      <c r="A80" s="33"/>
      <c r="B80" s="33"/>
      <c r="C80" s="10" t="s">
        <v>158</v>
      </c>
      <c r="D80" s="10"/>
      <c r="E80" s="11" t="s">
        <v>5</v>
      </c>
      <c r="F80" s="12">
        <f t="shared" ref="F80:F81" si="15">SUM(G80:L80)</f>
        <v>0</v>
      </c>
      <c r="G80" s="12"/>
      <c r="H80" s="12">
        <f>'Step 2.4 - Data Input (OpEx)'!I64*'Step 2.4 - Data Input (OpEx)'!I6*(H50+H52)*(1-'Step 2.4 - Data Input (OpEx)'!I17)^0</f>
        <v>0</v>
      </c>
      <c r="I80" s="12">
        <f>'Step 2.4 - Data Input (OpEx)'!I64*'Step 2.4 - Data Input (OpEx)'!I6*(I50+I52)*(1-'Step 2.4 - Data Input (OpEx)'!I17)^1</f>
        <v>0</v>
      </c>
      <c r="J80" s="12">
        <f>'Step 2.4 - Data Input (OpEx)'!I64*'Step 2.4 - Data Input (OpEx)'!I6*(J50+J52)*(1-'Step 2.4 - Data Input (OpEx)'!I17)^2</f>
        <v>0</v>
      </c>
      <c r="K80" s="12">
        <f>'Step 2.4 - Data Input (OpEx)'!I64*'Step 2.4 - Data Input (OpEx)'!I6*(K50+K52)*(1-'Step 2.4 - Data Input (OpEx)'!I17)^3</f>
        <v>0</v>
      </c>
      <c r="L80" s="12">
        <f>'Step 2.4 - Data Input (OpEx)'!I64*'Step 2.4 - Data Input (OpEx)'!I6*(L50+L52)*(1-'Step 2.4 - Data Input (OpEx)'!I17)^4</f>
        <v>0</v>
      </c>
      <c r="M80" s="12"/>
    </row>
    <row r="81" spans="1:13" customFormat="1" ht="15.75" customHeight="1" x14ac:dyDescent="0.2">
      <c r="A81" s="33"/>
      <c r="B81" s="33"/>
      <c r="C81" s="10" t="s">
        <v>159</v>
      </c>
      <c r="D81" s="10"/>
      <c r="E81" s="11" t="s">
        <v>5</v>
      </c>
      <c r="F81" s="12">
        <f t="shared" si="15"/>
        <v>0</v>
      </c>
      <c r="G81" s="12"/>
      <c r="H81" s="12">
        <f>'Step 2.4 - Data Input (OpEx)'!I65*'Step 2.4 - Data Input (OpEx)'!I8*(H50+H52)*(1-'Step 2.4 - Data Input (OpEx)'!I18)^0</f>
        <v>0</v>
      </c>
      <c r="I81" s="12">
        <f>'Step 2.4 - Data Input (OpEx)'!I65*'Step 2.4 - Data Input (OpEx)'!I8*(I50+I52)*(1-'Step 2.4 - Data Input (OpEx)'!I18)^1</f>
        <v>0</v>
      </c>
      <c r="J81" s="12">
        <f>'Step 2.4 - Data Input (OpEx)'!I65*'Step 2.4 - Data Input (OpEx)'!I8*(J50+J52)*(1-'Step 2.4 - Data Input (OpEx)'!I18)^2</f>
        <v>0</v>
      </c>
      <c r="K81" s="12">
        <f>'Step 2.4 - Data Input (OpEx)'!I65*'Step 2.4 - Data Input (OpEx)'!I8*(K50+K52)*(1-'Step 2.4 - Data Input (OpEx)'!I18)^3</f>
        <v>0</v>
      </c>
      <c r="L81" s="12">
        <f>'Step 2.4 - Data Input (OpEx)'!I65*'Step 2.4 - Data Input (OpEx)'!I8*(L50+L52)*(1-'Step 2.4 - Data Input (OpEx)'!I18)^4</f>
        <v>0</v>
      </c>
      <c r="M81" s="12"/>
    </row>
    <row r="82" spans="1:13" customFormat="1" ht="7.5" customHeight="1" x14ac:dyDescent="0.2">
      <c r="A82" s="62"/>
      <c r="B82" s="62"/>
      <c r="C82" s="61"/>
      <c r="D82" s="61"/>
      <c r="E82" s="63"/>
      <c r="F82" s="61"/>
      <c r="G82" s="61"/>
      <c r="H82" s="61"/>
      <c r="I82" s="61"/>
      <c r="J82" s="61"/>
      <c r="K82" s="61"/>
      <c r="L82" s="61"/>
      <c r="M82" s="61"/>
    </row>
    <row r="83" spans="1:13" customFormat="1" ht="15.75" customHeight="1" x14ac:dyDescent="0.2">
      <c r="A83" s="96"/>
      <c r="B83" s="96" t="s">
        <v>140</v>
      </c>
      <c r="C83" s="95"/>
      <c r="D83" s="95"/>
      <c r="E83" s="97" t="s">
        <v>5</v>
      </c>
      <c r="F83" s="98">
        <f>SUM(G83:L83)</f>
        <v>0</v>
      </c>
      <c r="G83" s="99"/>
      <c r="H83" s="99">
        <f>SUM(H84:H87)+'Step 2.4 - Data Input (OpEx)'!I75</f>
        <v>0</v>
      </c>
      <c r="I83" s="99">
        <f>SUM(I84:I87)+'Step 2.4 - Data Input (OpEx)'!I75</f>
        <v>0</v>
      </c>
      <c r="J83" s="99">
        <f>SUM(J84:J87)+'Step 2.4 - Data Input (OpEx)'!I75</f>
        <v>0</v>
      </c>
      <c r="K83" s="99">
        <f>SUM(K84:K87)+'Step 2.4 - Data Input (OpEx)'!I75</f>
        <v>0</v>
      </c>
      <c r="L83" s="99">
        <f>SUM(L84:L87)+'Step 2.4 - Data Input (OpEx)'!I75</f>
        <v>0</v>
      </c>
      <c r="M83" s="99"/>
    </row>
    <row r="84" spans="1:13" customFormat="1" ht="15.75" customHeight="1" x14ac:dyDescent="0.2">
      <c r="A84" s="33"/>
      <c r="B84" s="33"/>
      <c r="C84" s="10" t="s">
        <v>158</v>
      </c>
      <c r="D84" s="10"/>
      <c r="E84" s="11" t="s">
        <v>5</v>
      </c>
      <c r="F84" s="12">
        <f t="shared" ref="F84:F85" si="16">SUM(G84:L84)</f>
        <v>0</v>
      </c>
      <c r="G84" s="12"/>
      <c r="H84" s="12">
        <f>'Step 2.4 - Data Input (OpEx)'!I69*'Step 2.4 - Data Input (OpEx)'!I6*(H50)*(1-'Step 2.4 - Data Input (OpEx)'!I17)^0</f>
        <v>0</v>
      </c>
      <c r="I84" s="12">
        <f>'Step 2.4 - Data Input (OpEx)'!I69*'Step 2.4 - Data Input (OpEx)'!I6*(I50)*(1-'Step 2.4 - Data Input (OpEx)'!I17)^1</f>
        <v>0</v>
      </c>
      <c r="J84" s="12">
        <f>'Step 2.4 - Data Input (OpEx)'!I69*'Step 2.4 - Data Input (OpEx)'!I6*(J50)*(1-'Step 2.4 - Data Input (OpEx)'!I17)^2</f>
        <v>0</v>
      </c>
      <c r="K84" s="12">
        <f>'Step 2.4 - Data Input (OpEx)'!I69*'Step 2.4 - Data Input (OpEx)'!I6*(K50)*(1-'Step 2.4 - Data Input (OpEx)'!I17)^3</f>
        <v>0</v>
      </c>
      <c r="L84" s="12">
        <f>'Step 2.4 - Data Input (OpEx)'!I69*'Step 2.4 - Data Input (OpEx)'!I6*(L50)*(1-'Step 2.4 - Data Input (OpEx)'!I17)^4</f>
        <v>0</v>
      </c>
      <c r="M84" s="12"/>
    </row>
    <row r="85" spans="1:13" customFormat="1" ht="15.75" customHeight="1" x14ac:dyDescent="0.2">
      <c r="A85" s="33"/>
      <c r="B85" s="33"/>
      <c r="C85" s="10" t="s">
        <v>159</v>
      </c>
      <c r="D85" s="10"/>
      <c r="E85" s="11" t="s">
        <v>5</v>
      </c>
      <c r="F85" s="12">
        <f t="shared" si="16"/>
        <v>0</v>
      </c>
      <c r="G85" s="12"/>
      <c r="H85" s="12">
        <f>'Step 2.4 - Data Input (OpEx)'!I70*'Step 2.4 - Data Input (OpEx)'!I8*(H50)*(1-'Step 2.4 - Data Input (OpEx)'!I18)^0</f>
        <v>0</v>
      </c>
      <c r="I85" s="12">
        <f>'Step 2.4 - Data Input (OpEx)'!I70*'Step 2.4 - Data Input (OpEx)'!I8*(I50)*(1-'Step 2.4 - Data Input (OpEx)'!I18)^1</f>
        <v>0</v>
      </c>
      <c r="J85" s="12">
        <f>'Step 2.4 - Data Input (OpEx)'!I70*'Step 2.4 - Data Input (OpEx)'!I8*(J50)*(1-'Step 2.4 - Data Input (OpEx)'!I18)^2</f>
        <v>0</v>
      </c>
      <c r="K85" s="12">
        <f>'Step 2.4 - Data Input (OpEx)'!I70*'Step 2.4 - Data Input (OpEx)'!I8*(K50)*(1-'Step 2.4 - Data Input (OpEx)'!I18)^3</f>
        <v>0</v>
      </c>
      <c r="L85" s="12">
        <f>'Step 2.4 - Data Input (OpEx)'!I70*'Step 2.4 - Data Input (OpEx)'!I8*(L50)*(1-'Step 2.4 - Data Input (OpEx)'!I18)^4</f>
        <v>0</v>
      </c>
      <c r="M85" s="12"/>
    </row>
    <row r="86" spans="1:13" customFormat="1" ht="15.75" customHeight="1" x14ac:dyDescent="0.2">
      <c r="A86" s="33"/>
      <c r="B86" s="33"/>
      <c r="C86" s="10" t="s">
        <v>169</v>
      </c>
      <c r="D86" s="10"/>
      <c r="E86" s="11" t="s">
        <v>5</v>
      </c>
      <c r="F86" s="12">
        <f>SUM(G86:L86)</f>
        <v>0</v>
      </c>
      <c r="G86" s="12"/>
      <c r="H86" s="12">
        <f>'Step 2.4 - Data Input (OpEx)'!I74*'Step 2.4 - Data Input (OpEx)'!I73*'Step 2.4 - Data Input (OpEx)'!I72*(H50+H52)</f>
        <v>0</v>
      </c>
      <c r="I86" s="12">
        <f>'Step 2.4 - Data Input (OpEx)'!I74*'Step 2.4 - Data Input (OpEx)'!I73*'Step 2.4 - Data Input (OpEx)'!I72*(I50+I52)</f>
        <v>0</v>
      </c>
      <c r="J86" s="12">
        <f>'Step 2.4 - Data Input (OpEx)'!I74*'Step 2.4 - Data Input (OpEx)'!I73*'Step 2.4 - Data Input (OpEx)'!I72*(J50+J52)</f>
        <v>0</v>
      </c>
      <c r="K86" s="12">
        <f>'Step 2.4 - Data Input (OpEx)'!I74*'Step 2.4 - Data Input (OpEx)'!I73*'Step 2.4 - Data Input (OpEx)'!I72*(K50+K52)</f>
        <v>0</v>
      </c>
      <c r="L86" s="12">
        <f>'Step 2.4 - Data Input (OpEx)'!I74*'Step 2.4 - Data Input (OpEx)'!I73*'Step 2.4 - Data Input (OpEx)'!I72*(L50+L52)</f>
        <v>0</v>
      </c>
      <c r="M86" s="12"/>
    </row>
    <row r="87" spans="1:13" customFormat="1" ht="15.75" customHeight="1" x14ac:dyDescent="0.2">
      <c r="A87" s="33"/>
      <c r="B87" s="33"/>
      <c r="C87" s="10" t="s">
        <v>168</v>
      </c>
      <c r="D87" s="10"/>
      <c r="E87" s="11" t="s">
        <v>5</v>
      </c>
      <c r="F87" s="12">
        <f>SUM(G87:L87)</f>
        <v>0</v>
      </c>
      <c r="G87" s="12"/>
      <c r="H87" s="12">
        <f>'Step 2.4 - Data Input (OpEx)'!I74*'Step 2.4 - Data Input (OpEx)'!I71*(H50+H52)</f>
        <v>0</v>
      </c>
      <c r="I87" s="12">
        <f>'Step 2.4 - Data Input (OpEx)'!I74*'Step 2.4 - Data Input (OpEx)'!I71*(I50+I52)</f>
        <v>0</v>
      </c>
      <c r="J87" s="12">
        <f>'Step 2.4 - Data Input (OpEx)'!I74*'Step 2.4 - Data Input (OpEx)'!I71*(J50+J52)</f>
        <v>0</v>
      </c>
      <c r="K87" s="12">
        <f>'Step 2.4 - Data Input (OpEx)'!I74*'Step 2.4 - Data Input (OpEx)'!I71*(K50+K52)</f>
        <v>0</v>
      </c>
      <c r="L87" s="12">
        <f>'Step 2.4 - Data Input (OpEx)'!I74*'Step 2.4 - Data Input (OpEx)'!I71*(L50+L52)</f>
        <v>0</v>
      </c>
      <c r="M87" s="12"/>
    </row>
    <row r="88" spans="1:13" customFormat="1" ht="7.5" customHeight="1" x14ac:dyDescent="0.2">
      <c r="A88" s="62"/>
      <c r="B88" s="62"/>
      <c r="C88" s="61"/>
      <c r="D88" s="61"/>
      <c r="E88" s="63"/>
      <c r="F88" s="61"/>
      <c r="G88" s="61"/>
      <c r="H88" s="61"/>
      <c r="I88" s="61"/>
      <c r="J88" s="61"/>
      <c r="K88" s="61"/>
      <c r="L88" s="61"/>
      <c r="M88" s="61"/>
    </row>
    <row r="89" spans="1:13" customFormat="1" ht="15.75" customHeight="1" x14ac:dyDescent="0.2">
      <c r="A89" s="96"/>
      <c r="B89" s="96" t="s">
        <v>141</v>
      </c>
      <c r="C89" s="95"/>
      <c r="D89" s="95"/>
      <c r="E89" s="97" t="s">
        <v>5</v>
      </c>
      <c r="F89" s="98">
        <f>SUM(G89:L89)</f>
        <v>0</v>
      </c>
      <c r="G89" s="99"/>
      <c r="H89" s="99">
        <f>SUM(H90:H91)+'Step 2.4 - Data Input (OpEx)'!I80</f>
        <v>0</v>
      </c>
      <c r="I89" s="99">
        <f>SUM(I90:I91)+'Step 2.4 - Data Input (OpEx)'!I80</f>
        <v>0</v>
      </c>
      <c r="J89" s="99">
        <f>SUM(J90:J91)+'Step 2.4 - Data Input (OpEx)'!I80</f>
        <v>0</v>
      </c>
      <c r="K89" s="99">
        <f>SUM(K90:K91)+'Step 2.4 - Data Input (OpEx)'!I80</f>
        <v>0</v>
      </c>
      <c r="L89" s="99">
        <f>SUM(L90:L91)+'Step 2.4 - Data Input (OpEx)'!I80</f>
        <v>0</v>
      </c>
      <c r="M89" s="99"/>
    </row>
    <row r="90" spans="1:13" customFormat="1" ht="15.75" customHeight="1" x14ac:dyDescent="0.2">
      <c r="A90" s="33"/>
      <c r="B90" s="33"/>
      <c r="C90" s="10" t="s">
        <v>158</v>
      </c>
      <c r="D90" s="10"/>
      <c r="E90" s="11" t="s">
        <v>5</v>
      </c>
      <c r="F90" s="12">
        <f t="shared" ref="F90:F91" si="17">SUM(G90:L90)</f>
        <v>0</v>
      </c>
      <c r="G90" s="12"/>
      <c r="H90" s="12">
        <f>'Step 2.4 - Data Input (OpEx)'!I78*'Step 2.4 - Data Input (OpEx)'!I6*(H50)*(1-'Step 2.4 - Data Input (OpEx)'!I17)^0</f>
        <v>0</v>
      </c>
      <c r="I90" s="12">
        <f>'Step 2.4 - Data Input (OpEx)'!I78*'Step 2.4 - Data Input (OpEx)'!I6*(I50)*(1-'Step 2.4 - Data Input (OpEx)'!I17)^1</f>
        <v>0</v>
      </c>
      <c r="J90" s="12">
        <f>'Step 2.4 - Data Input (OpEx)'!I78*'Step 2.4 - Data Input (OpEx)'!I6*(J50)*(1-'Step 2.4 - Data Input (OpEx)'!I17)^2</f>
        <v>0</v>
      </c>
      <c r="K90" s="12">
        <f>'Step 2.4 - Data Input (OpEx)'!I78*'Step 2.4 - Data Input (OpEx)'!I6*(K50)*(1-'Step 2.4 - Data Input (OpEx)'!I17)^3</f>
        <v>0</v>
      </c>
      <c r="L90" s="12">
        <f>'Step 2.4 - Data Input (OpEx)'!I78*'Step 2.4 - Data Input (OpEx)'!I6*(L50)*(1-'Step 2.4 - Data Input (OpEx)'!I17)^4</f>
        <v>0</v>
      </c>
      <c r="M90" s="12"/>
    </row>
    <row r="91" spans="1:13" customFormat="1" ht="15.75" customHeight="1" x14ac:dyDescent="0.2">
      <c r="A91" s="33"/>
      <c r="B91" s="33"/>
      <c r="C91" s="10" t="s">
        <v>159</v>
      </c>
      <c r="D91" s="10"/>
      <c r="E91" s="11" t="s">
        <v>5</v>
      </c>
      <c r="F91" s="12">
        <f t="shared" si="17"/>
        <v>0</v>
      </c>
      <c r="G91" s="12"/>
      <c r="H91" s="12">
        <f>'Step 2.4 - Data Input (OpEx)'!I79*'Step 2.4 - Data Input (OpEx)'!I8*(H50)*(1-'Step 2.4 - Data Input (OpEx)'!I18)^0</f>
        <v>0</v>
      </c>
      <c r="I91" s="12">
        <f>'Step 2.4 - Data Input (OpEx)'!I79*'Step 2.4 - Data Input (OpEx)'!I8*(I50)*(1-'Step 2.4 - Data Input (OpEx)'!I18)^1</f>
        <v>0</v>
      </c>
      <c r="J91" s="12">
        <f>'Step 2.4 - Data Input (OpEx)'!I79*'Step 2.4 - Data Input (OpEx)'!I8*(J50)*(1-'Step 2.4 - Data Input (OpEx)'!I18)^2</f>
        <v>0</v>
      </c>
      <c r="K91" s="12">
        <f>'Step 2.4 - Data Input (OpEx)'!I79*'Step 2.4 - Data Input (OpEx)'!I8*(K50)*(1-'Step 2.4 - Data Input (OpEx)'!I18)^3</f>
        <v>0</v>
      </c>
      <c r="L91" s="12">
        <f>'Step 2.4 - Data Input (OpEx)'!I79*'Step 2.4 - Data Input (OpEx)'!I8*(L50)*(1-'Step 2.4 - Data Input (OpEx)'!I18)^4</f>
        <v>0</v>
      </c>
      <c r="M91" s="12"/>
    </row>
    <row r="92" spans="1:13" customFormat="1" ht="7.5" customHeight="1" x14ac:dyDescent="0.2">
      <c r="A92" s="62"/>
      <c r="B92" s="62"/>
      <c r="C92" s="61"/>
      <c r="D92" s="61"/>
      <c r="E92" s="63"/>
      <c r="F92" s="61"/>
      <c r="G92" s="61"/>
      <c r="H92" s="61"/>
      <c r="I92" s="61"/>
      <c r="J92" s="61"/>
      <c r="K92" s="61"/>
      <c r="L92" s="61"/>
      <c r="M92" s="61"/>
    </row>
    <row r="93" spans="1:13" customFormat="1" ht="15.75" customHeight="1" x14ac:dyDescent="0.2">
      <c r="A93" s="96"/>
      <c r="B93" s="96" t="s">
        <v>142</v>
      </c>
      <c r="C93" s="95"/>
      <c r="D93" s="95"/>
      <c r="E93" s="97" t="s">
        <v>5</v>
      </c>
      <c r="F93" s="98">
        <f>SUM(G93:L93)</f>
        <v>0</v>
      </c>
      <c r="G93" s="99"/>
      <c r="H93" s="99">
        <f>SUM(H94:H96)+'Step 2.4 - Data Input (OpEx)'!I86</f>
        <v>0</v>
      </c>
      <c r="I93" s="99">
        <f>SUM(I94:I96)+'Step 2.4 - Data Input (OpEx)'!I86</f>
        <v>0</v>
      </c>
      <c r="J93" s="99">
        <f>SUM(J94:J96)+'Step 2.4 - Data Input (OpEx)'!I86</f>
        <v>0</v>
      </c>
      <c r="K93" s="99">
        <f>SUM(K94:K96)+'Step 2.4 - Data Input (OpEx)'!I86</f>
        <v>0</v>
      </c>
      <c r="L93" s="99">
        <f>SUM(L94:L96)+'Step 2.4 - Data Input (OpEx)'!I86</f>
        <v>0</v>
      </c>
      <c r="M93" s="99"/>
    </row>
    <row r="94" spans="1:13" customFormat="1" ht="15.75" customHeight="1" x14ac:dyDescent="0.2">
      <c r="A94" s="33"/>
      <c r="B94" s="33"/>
      <c r="C94" s="10" t="s">
        <v>158</v>
      </c>
      <c r="D94" s="10"/>
      <c r="E94" s="11" t="s">
        <v>5</v>
      </c>
      <c r="F94" s="12">
        <f t="shared" ref="F94:F96" si="18">SUM(G94:L94)</f>
        <v>0</v>
      </c>
      <c r="G94" s="12"/>
      <c r="H94" s="12">
        <f>'Step 2.4 - Data Input (OpEx)'!I83*'Step 2.4 - Data Input (OpEx)'!I6*(H50)*(1-'Step 2.4 - Data Input (OpEx)'!I17)^0</f>
        <v>0</v>
      </c>
      <c r="I94" s="12">
        <f>'Step 2.4 - Data Input (OpEx)'!I89*'Step 2.4 - Data Input (OpEx)'!I6*(I50)*(1-'Step 2.4 - Data Input (OpEx)'!I17)^1</f>
        <v>0</v>
      </c>
      <c r="J94" s="12">
        <f>'Step 2.4 - Data Input (OpEx)'!I83*'Step 2.4 - Data Input (OpEx)'!I6*(J50)*(1-'Step 2.4 - Data Input (OpEx)'!I17)^2</f>
        <v>0</v>
      </c>
      <c r="K94" s="12">
        <f>'Step 2.4 - Data Input (OpEx)'!I83*'Step 2.4 - Data Input (OpEx)'!I6*(K50)*(1-'Step 2.4 - Data Input (OpEx)'!I17)^3</f>
        <v>0</v>
      </c>
      <c r="L94" s="12">
        <f>'Step 2.4 - Data Input (OpEx)'!I83*'Step 2.4 - Data Input (OpEx)'!I6*(L50)*(1-'Step 2.4 - Data Input (OpEx)'!I17)^4</f>
        <v>0</v>
      </c>
      <c r="M94" s="12"/>
    </row>
    <row r="95" spans="1:13" customFormat="1" ht="15.75" customHeight="1" x14ac:dyDescent="0.2">
      <c r="A95" s="33"/>
      <c r="B95" s="33"/>
      <c r="C95" s="10" t="s">
        <v>159</v>
      </c>
      <c r="D95" s="10"/>
      <c r="E95" s="11" t="s">
        <v>5</v>
      </c>
      <c r="F95" s="12">
        <f t="shared" si="18"/>
        <v>0</v>
      </c>
      <c r="G95" s="12"/>
      <c r="H95" s="12">
        <f>Automated_Labour_Restoring*'Step 2.4 - Data Input (OpEx)'!I8*(H50)*(1-'Step 2.4 - Data Input (OpEx)'!I18)^0</f>
        <v>0</v>
      </c>
      <c r="I95" s="12">
        <f>'Step 2.4 - Data Input (OpEx)'!I84*'Step 2.4 - Data Input (OpEx)'!I8*(I50)*(1-'Step 2.4 - Data Input (OpEx)'!I18)^1</f>
        <v>0</v>
      </c>
      <c r="J95" s="12">
        <f>'Step 2.4 - Data Input (OpEx)'!I84*'Step 2.4 - Data Input (OpEx)'!I8*(J50)*(1-'Step 2.4 - Data Input (OpEx)'!I18)^2</f>
        <v>0</v>
      </c>
      <c r="K95" s="12">
        <f>'Step 2.4 - Data Input (OpEx)'!I84*'Step 2.4 - Data Input (OpEx)'!I8*(K50)*(1-'Step 2.4 - Data Input (OpEx)'!I18)^3</f>
        <v>0</v>
      </c>
      <c r="L95" s="12">
        <f>'Step 2.4 - Data Input (OpEx)'!I84*'Step 2.4 - Data Input (OpEx)'!I8*(L50)*(1-'Step 2.4 - Data Input (OpEx)'!I18)^4</f>
        <v>0</v>
      </c>
      <c r="M95" s="12"/>
    </row>
    <row r="96" spans="1:13" customFormat="1" ht="15.75" customHeight="1" x14ac:dyDescent="0.2">
      <c r="A96" s="33"/>
      <c r="B96" s="33"/>
      <c r="C96" s="10" t="s">
        <v>423</v>
      </c>
      <c r="D96" s="10"/>
      <c r="E96" s="11" t="s">
        <v>5</v>
      </c>
      <c r="F96" s="12">
        <f t="shared" si="18"/>
        <v>0</v>
      </c>
      <c r="G96" s="12"/>
      <c r="H96" s="12">
        <f>'Step 2.4 - Data Input (OpEx)'!I85*H50*(1+'Step 2.4 - Data Input (OpEx)'!I14)^0</f>
        <v>0</v>
      </c>
      <c r="I96" s="12">
        <f>'Step 2.4 - Data Input (OpEx)'!I85*I50*(1+'Step 2.4 - Data Input (OpEx)'!I14)^1</f>
        <v>0</v>
      </c>
      <c r="J96" s="12">
        <f>'Step 2.4 - Data Input (OpEx)'!I85*J50*(1+'Step 2.4 - Data Input (OpEx)'!I14)^2</f>
        <v>0</v>
      </c>
      <c r="K96" s="12">
        <f>'Step 2.4 - Data Input (OpEx)'!I85*K50*(1+'Step 2.4 - Data Input (OpEx)'!I14)^3</f>
        <v>0</v>
      </c>
      <c r="L96" s="12">
        <f>'Step 2.4 - Data Input (OpEx)'!I85*L50*(1+'Step 2.4 - Data Input (OpEx)'!I14)^4</f>
        <v>0</v>
      </c>
      <c r="M96" s="12"/>
    </row>
    <row r="97" spans="1:13" ht="15" hidden="1" customHeight="1" x14ac:dyDescent="0.15">
      <c r="A97" s="35"/>
    </row>
    <row r="98" spans="1:13" customFormat="1" ht="15.75" customHeight="1" x14ac:dyDescent="0.2">
      <c r="A98" s="96"/>
      <c r="B98" s="96" t="s">
        <v>143</v>
      </c>
      <c r="C98" s="95"/>
      <c r="D98" s="95"/>
      <c r="E98" s="97" t="s">
        <v>5</v>
      </c>
      <c r="F98" s="98">
        <f>SUM(G98:L98)</f>
        <v>0</v>
      </c>
      <c r="G98" s="99"/>
      <c r="H98" s="99">
        <f>SUM(H99:H101)+'Step 2.4 - Data Input (OpEx)'!I93</f>
        <v>0</v>
      </c>
      <c r="I98" s="99">
        <f>SUM(I99:I101)+'Step 2.4 - Data Input (OpEx)'!I93</f>
        <v>0</v>
      </c>
      <c r="J98" s="99">
        <f>SUM(J99:J101)+'Step 2.4 - Data Input (OpEx)'!I93</f>
        <v>0</v>
      </c>
      <c r="K98" s="99">
        <f>SUM(K99:K101)+'Step 2.4 - Data Input (OpEx)'!I93</f>
        <v>0</v>
      </c>
      <c r="L98" s="99">
        <f>SUM(L99:L101)+'Step 2.4 - Data Input (OpEx)'!I93</f>
        <v>0</v>
      </c>
      <c r="M98" s="99"/>
    </row>
    <row r="99" spans="1:13" customFormat="1" ht="15.75" customHeight="1" x14ac:dyDescent="0.2">
      <c r="A99" s="33"/>
      <c r="B99" s="33"/>
      <c r="C99" s="10" t="s">
        <v>158</v>
      </c>
      <c r="D99" s="10"/>
      <c r="E99" s="11" t="s">
        <v>5</v>
      </c>
      <c r="F99" s="12">
        <f t="shared" ref="F99:F101" si="19">SUM(G99:L99)</f>
        <v>0</v>
      </c>
      <c r="G99" s="12"/>
      <c r="H99" s="12">
        <f>'Step 2.4 - Data Input (OpEx)'!I89*'Step 2.4 - Data Input (OpEx)'!I6*('Step 2.2 - Data Input (Revenue)'!I9)*(1-'Step 2.4 - Data Input (OpEx)'!I17)^0</f>
        <v>0</v>
      </c>
      <c r="I99" s="12">
        <f>'Step 2.4 - Data Input (OpEx)'!I89*'Step 2.4 - Data Input (OpEx)'!I6*('Step 2.2 - Data Input (Revenue)'!I10)*(1-'Step 2.4 - Data Input (OpEx)'!I17)^1</f>
        <v>0</v>
      </c>
      <c r="J99" s="12">
        <f>'Step 2.4 - Data Input (OpEx)'!I89*'Step 2.4 - Data Input (OpEx)'!I6*('Step 2.2 - Data Input (Revenue)'!I11)*(1-'Step 2.4 - Data Input (OpEx)'!I17)^2</f>
        <v>0</v>
      </c>
      <c r="K99" s="12">
        <f>'Step 2.4 - Data Input (OpEx)'!I89*'Step 2.4 - Data Input (OpEx)'!I6*('Step 2.2 - Data Input (Revenue)'!I12)*(1-'Step 2.4 - Data Input (OpEx)'!I17)^3</f>
        <v>0</v>
      </c>
      <c r="L99" s="12">
        <f>'Step 2.4 - Data Input (OpEx)'!I89*'Step 2.4 - Data Input (OpEx)'!I6*('Step 2.2 - Data Input (Revenue)'!I13)*(1-'Step 2.4 - Data Input (OpEx)'!I17)^4</f>
        <v>0</v>
      </c>
      <c r="M99" s="12"/>
    </row>
    <row r="100" spans="1:13" customFormat="1" ht="15.75" customHeight="1" x14ac:dyDescent="0.2">
      <c r="A100" s="33"/>
      <c r="B100" s="33"/>
      <c r="C100" s="10" t="s">
        <v>159</v>
      </c>
      <c r="D100" s="10"/>
      <c r="E100" s="11" t="s">
        <v>5</v>
      </c>
      <c r="F100" s="12">
        <f t="shared" si="19"/>
        <v>0</v>
      </c>
      <c r="G100" s="12"/>
      <c r="H100" s="12">
        <f>'Step 2.4 - Data Input (OpEx)'!I90*'Step 2.4 - Data Input (OpEx)'!I8*('Step 2.2 - Data Input (Revenue)'!I9)*(1-'Step 2.4 - Data Input (OpEx)'!I18)^0</f>
        <v>0</v>
      </c>
      <c r="I100" s="12">
        <f>'Step 2.4 - Data Input (OpEx)'!I90*'Step 2.4 - Data Input (OpEx)'!I8*('Step 2.2 - Data Input (Revenue)'!I10)*(1-'Step 2.4 - Data Input (OpEx)'!I18)^1</f>
        <v>0</v>
      </c>
      <c r="J100" s="12">
        <f>'Step 2.4 - Data Input (OpEx)'!I90*'Step 2.4 - Data Input (OpEx)'!I8*('Step 2.2 - Data Input (Revenue)'!I11)*(1-'Step 2.4 - Data Input (OpEx)'!I18)^2</f>
        <v>0</v>
      </c>
      <c r="K100" s="12">
        <f>'Step 2.4 - Data Input (OpEx)'!I90*'Step 2.4 - Data Input (OpEx)'!I8*('Step 2.2 - Data Input (Revenue)'!I12)*(1-'Step 2.4 - Data Input (OpEx)'!I18)^3</f>
        <v>0</v>
      </c>
      <c r="L100" s="12">
        <f>'Step 2.4 - Data Input (OpEx)'!I90*'Step 2.4 - Data Input (OpEx)'!I8*('Step 2.2 - Data Input (Revenue)'!I13)*(1-'Step 2.4 - Data Input (OpEx)'!I18)^4</f>
        <v>0</v>
      </c>
      <c r="M100" s="12"/>
    </row>
    <row r="101" spans="1:13" customFormat="1" ht="15.75" customHeight="1" x14ac:dyDescent="0.2">
      <c r="A101" s="33"/>
      <c r="B101" s="33"/>
      <c r="C101" s="10" t="s">
        <v>422</v>
      </c>
      <c r="D101" s="10"/>
      <c r="E101" s="11" t="s">
        <v>5</v>
      </c>
      <c r="F101" s="12">
        <f t="shared" si="19"/>
        <v>0</v>
      </c>
      <c r="G101" s="12"/>
      <c r="H101" s="12">
        <f>('Step 2.4 - Data Input (OpEx)'!I91+'Step 2.4 - Data Input (OpEx)'!I92)*'Step 2.2 - Data Input (Revenue)'!I9*(1+'Step 2.4 - Data Input (OpEx)'!I14)^0</f>
        <v>0</v>
      </c>
      <c r="I101" s="12">
        <f>('Step 2.4 - Data Input (OpEx)'!I91+'Step 2.4 - Data Input (OpEx)'!I92)*'Step 2.2 - Data Input (Revenue)'!I10*(1+'Step 2.4 - Data Input (OpEx)'!I14)^1</f>
        <v>0</v>
      </c>
      <c r="J101" s="12">
        <f>('Step 2.4 - Data Input (OpEx)'!I91+'Step 2.4 - Data Input (OpEx)'!I92)*'Step 2.2 - Data Input (Revenue)'!I11*(1+'Step 2.4 - Data Input (OpEx)'!I14)^2</f>
        <v>0</v>
      </c>
      <c r="K101" s="12">
        <f>('Step 2.4 - Data Input (OpEx)'!I91+'Step 2.4 - Data Input (OpEx)'!I92)*'Step 2.2 - Data Input (Revenue)'!I12*(1+'Step 2.4 - Data Input (OpEx)'!I14)^3</f>
        <v>0</v>
      </c>
      <c r="L101" s="12">
        <f>('Step 2.4 - Data Input (OpEx)'!I91+'Step 2.4 - Data Input (OpEx)'!I92)*'Step 2.2 - Data Input (Revenue)'!I13*(1+'Step 2.4 - Data Input (OpEx)'!I14)^4</f>
        <v>0</v>
      </c>
      <c r="M101" s="12"/>
    </row>
    <row r="102" spans="1:13" customFormat="1" ht="7.5" customHeight="1" x14ac:dyDescent="0.2">
      <c r="A102" s="62"/>
      <c r="B102" s="62"/>
      <c r="C102" s="61"/>
      <c r="D102" s="61"/>
      <c r="E102" s="63"/>
      <c r="F102" s="61"/>
      <c r="G102" s="61"/>
      <c r="H102" s="61"/>
      <c r="I102" s="61"/>
      <c r="J102" s="61"/>
      <c r="K102" s="61"/>
      <c r="L102" s="61"/>
      <c r="M102" s="61"/>
    </row>
    <row r="103" spans="1:13" customFormat="1" ht="15.75" customHeight="1" x14ac:dyDescent="0.2">
      <c r="A103" s="96"/>
      <c r="B103" s="96" t="s">
        <v>144</v>
      </c>
      <c r="C103" s="95"/>
      <c r="D103" s="95"/>
      <c r="E103" s="97" t="s">
        <v>5</v>
      </c>
      <c r="F103" s="98">
        <f>SUM(G103:L103)</f>
        <v>0</v>
      </c>
      <c r="G103" s="99"/>
      <c r="H103" s="99">
        <f>SUM(H104:H105)+'Step 2.4 - Data Input (OpEx)'!I99</f>
        <v>0</v>
      </c>
      <c r="I103" s="99">
        <f>SUM(I104:I105)+'Step 2.4 - Data Input (OpEx)'!I99</f>
        <v>0</v>
      </c>
      <c r="J103" s="99">
        <f>SUM(J104:J105)+'Step 2.4 - Data Input (OpEx)'!I99</f>
        <v>0</v>
      </c>
      <c r="K103" s="99">
        <f>SUM(K104:K105)+'Step 2.4 - Data Input (OpEx)'!I99</f>
        <v>0</v>
      </c>
      <c r="L103" s="99">
        <f>SUM(L104:L105)+'Step 2.4 - Data Input (OpEx)'!I99</f>
        <v>0</v>
      </c>
      <c r="M103" s="99"/>
    </row>
    <row r="104" spans="1:13" customFormat="1" ht="15.75" customHeight="1" x14ac:dyDescent="0.2">
      <c r="A104" s="33"/>
      <c r="B104" s="33"/>
      <c r="C104" s="10" t="s">
        <v>158</v>
      </c>
      <c r="D104" s="10"/>
      <c r="E104" s="11" t="s">
        <v>5</v>
      </c>
      <c r="F104" s="12">
        <f t="shared" ref="F104:F106" si="20">SUM(G104:L104)</f>
        <v>0</v>
      </c>
      <c r="G104" s="12"/>
      <c r="H104" s="12">
        <f>'Step 2.4 - Data Input (OpEx)'!I96*'Step 2.4 - Data Input (OpEx)'!I6*('Step 2.2 - Data Input (Revenue)'!I9)*(1-'Step 2.4 - Data Input (OpEx)'!I17)^0</f>
        <v>0</v>
      </c>
      <c r="I104" s="12">
        <f>'Step 2.4 - Data Input (OpEx)'!I96*'Step 2.4 - Data Input (OpEx)'!I6*('Step 2.2 - Data Input (Revenue)'!I10)*(1-'Step 2.4 - Data Input (OpEx)'!I17)^1</f>
        <v>0</v>
      </c>
      <c r="J104" s="12">
        <f>'Step 2.4 - Data Input (OpEx)'!I96*'Step 2.4 - Data Input (OpEx)'!I6*('Step 2.2 - Data Input (Revenue)'!I11)*(1-'Step 2.4 - Data Input (OpEx)'!I17)^2</f>
        <v>0</v>
      </c>
      <c r="K104" s="12">
        <f>'Step 2.4 - Data Input (OpEx)'!I96*'Step 2.4 - Data Input (OpEx)'!I6*('Step 2.2 - Data Input (Revenue)'!I12)*(1-'Step 2.4 - Data Input (OpEx)'!I17)^3</f>
        <v>0</v>
      </c>
      <c r="L104" s="12">
        <f>'Step 2.4 - Data Input (OpEx)'!I96*'Step 2.4 - Data Input (OpEx)'!I6*('Step 2.2 - Data Input (Revenue)'!I13)*(1-'Step 2.4 - Data Input (OpEx)'!I17)^4</f>
        <v>0</v>
      </c>
      <c r="M104" s="12"/>
    </row>
    <row r="105" spans="1:13" customFormat="1" ht="15.75" customHeight="1" x14ac:dyDescent="0.2">
      <c r="A105" s="33"/>
      <c r="B105" s="33"/>
      <c r="C105" s="10" t="s">
        <v>159</v>
      </c>
      <c r="D105" s="10"/>
      <c r="E105" s="11" t="s">
        <v>5</v>
      </c>
      <c r="F105" s="12">
        <f t="shared" si="20"/>
        <v>0</v>
      </c>
      <c r="G105" s="12"/>
      <c r="H105" s="12">
        <f>'Step 2.4 - Data Input (OpEx)'!I97*'Step 2.4 - Data Input (OpEx)'!I8*('Step 2.2 - Data Input (Revenue)'!I9)*(1-'Step 2.4 - Data Input (OpEx)'!I18)^0</f>
        <v>0</v>
      </c>
      <c r="I105" s="12">
        <f>'Step 2.4 - Data Input (OpEx)'!I97*'Step 2.4 - Data Input (OpEx)'!I8*('Step 2.2 - Data Input (Revenue)'!I10)*(1-'Step 2.4 - Data Input (OpEx)'!I18)^1</f>
        <v>0</v>
      </c>
      <c r="J105" s="12">
        <f>'Step 2.4 - Data Input (OpEx)'!I97*'Step 2.4 - Data Input (OpEx)'!I8*('Step 2.2 - Data Input (Revenue)'!I11)*(1-'Step 2.4 - Data Input (OpEx)'!I18)^2</f>
        <v>0</v>
      </c>
      <c r="K105" s="12">
        <f>'Step 2.4 - Data Input (OpEx)'!I97*'Step 2.4 - Data Input (OpEx)'!I8*('Step 2.2 - Data Input (Revenue)'!I12)*(1-'Step 2.4 - Data Input (OpEx)'!I18)^3</f>
        <v>0</v>
      </c>
      <c r="L105" s="12">
        <f>'Step 2.4 - Data Input (OpEx)'!I97*'Step 2.4 - Data Input (OpEx)'!I8*('Step 2.2 - Data Input (Revenue)'!I13)*(1-'Step 2.4 - Data Input (OpEx)'!I18)^4</f>
        <v>0</v>
      </c>
      <c r="M105" s="12"/>
    </row>
    <row r="106" spans="1:13" customFormat="1" ht="15.75" customHeight="1" x14ac:dyDescent="0.2">
      <c r="A106" s="33"/>
      <c r="B106" s="33"/>
      <c r="C106" s="10" t="s">
        <v>540</v>
      </c>
      <c r="D106" s="10"/>
      <c r="E106" s="11" t="s">
        <v>5</v>
      </c>
      <c r="F106" s="12">
        <f t="shared" si="20"/>
        <v>0</v>
      </c>
      <c r="G106" s="12"/>
      <c r="H106" s="12">
        <f>'Step 2.4 - Data Input (OpEx)'!I98*'Step 2.2 - Data Input (Revenue)'!I9</f>
        <v>0</v>
      </c>
      <c r="I106" s="12">
        <f>'Step 2.4 - Data Input (OpEx)'!I98*'Step 2.2 - Data Input (Revenue)'!I10</f>
        <v>0</v>
      </c>
      <c r="J106" s="12">
        <f>'Step 2.4 - Data Input (OpEx)'!I98*'Step 2.2 - Data Input (Revenue)'!I11</f>
        <v>0</v>
      </c>
      <c r="K106" s="12">
        <f>'Step 2.4 - Data Input (OpEx)'!I98*'Step 2.2 - Data Input (Revenue)'!I12</f>
        <v>0</v>
      </c>
      <c r="L106" s="12">
        <f>'Step 2.4 - Data Input (OpEx)'!I98*'Step 2.2 - Data Input (Revenue)'!I13</f>
        <v>0</v>
      </c>
      <c r="M106" s="12"/>
    </row>
    <row r="107" spans="1:13" customFormat="1" ht="7.5" customHeight="1" x14ac:dyDescent="0.2">
      <c r="A107" s="62"/>
      <c r="B107" s="62"/>
      <c r="C107" s="61"/>
      <c r="D107" s="61"/>
      <c r="E107" s="63"/>
      <c r="F107" s="61"/>
      <c r="G107" s="61"/>
      <c r="H107" s="61"/>
      <c r="I107" s="61"/>
      <c r="J107" s="61"/>
      <c r="K107" s="61"/>
      <c r="L107" s="61"/>
      <c r="M107" s="61"/>
    </row>
    <row r="108" spans="1:13" customFormat="1" ht="15" customHeight="1" x14ac:dyDescent="0.2">
      <c r="A108" s="96"/>
      <c r="B108" s="96" t="s">
        <v>13</v>
      </c>
      <c r="C108" s="95"/>
      <c r="D108" s="95"/>
      <c r="E108" s="97" t="s">
        <v>5</v>
      </c>
      <c r="F108" s="98">
        <f>SUM(G108:L108)</f>
        <v>0</v>
      </c>
      <c r="G108" s="99"/>
      <c r="H108" s="99">
        <f>IF('Step 1 - Case Selection'!V51="as a Flat Rate",H109+'Step 2.4 - Data Input (OpEx)'!I108,SUM(H110:H113)+'Step 2.4 - Data Input (OpEx)'!I108)</f>
        <v>0</v>
      </c>
      <c r="I108" s="99">
        <f>IF('Step 1 - Case Selection'!V51="as a Flat Rate",I109+'Step 2.4 - Data Input (OpEx)'!I108,SUM(I110:I113)+'Step 2.4 - Data Input (OpEx)'!I108)</f>
        <v>0</v>
      </c>
      <c r="J108" s="99">
        <f>IF('Step 1 - Case Selection'!V51="as a Flat Rate",J109+'Step 2.4 - Data Input (OpEx)'!I108,SUM(J110:J113)+'Step 2.4 - Data Input (OpEx)'!I108)</f>
        <v>0</v>
      </c>
      <c r="K108" s="99">
        <f>IF('Step 1 - Case Selection'!V51="as a Flat Rate",K109+'Step 2.4 - Data Input (OpEx)'!I108,SUM(K110:K113)+'Step 2.4 - Data Input (OpEx)'!I108)</f>
        <v>0</v>
      </c>
      <c r="L108" s="99">
        <f>IF('Step 1 - Case Selection'!V51="as a Flat Rate",L109+'Step 2.4 - Data Input (OpEx)'!I108,SUM(L110:L113)+'Step 2.4 - Data Input (OpEx)'!I108)</f>
        <v>0</v>
      </c>
      <c r="M108" s="99"/>
    </row>
    <row r="109" spans="1:13" customFormat="1" ht="15.75" customHeight="1" x14ac:dyDescent="0.2">
      <c r="A109" s="34"/>
      <c r="B109" s="34"/>
      <c r="C109" s="13" t="s">
        <v>428</v>
      </c>
      <c r="D109" s="13"/>
      <c r="E109" s="24" t="s">
        <v>5</v>
      </c>
      <c r="F109" s="12">
        <f t="shared" ref="F109:F113" si="21">SUM(G109:L109)</f>
        <v>0</v>
      </c>
      <c r="G109" s="14"/>
      <c r="H109" s="14">
        <f>'Step 2.4 - Data Input (OpEx)'!I102*('Step 2.2 - Data Input (Revenue)'!I9+'Step 2.2 - Data Input (Revenue)'!I18)</f>
        <v>0</v>
      </c>
      <c r="I109" s="14">
        <f>'Step 2.4 - Data Input (OpEx)'!I102*('Step 2.2 - Data Input (Revenue)'!I10+'Step 2.2 - Data Input (Revenue)'!I19)</f>
        <v>0</v>
      </c>
      <c r="J109" s="14">
        <f>'Step 2.4 - Data Input (OpEx)'!I102*('Step 2.2 - Data Input (Revenue)'!I11+'Step 2.2 - Data Input (Revenue)'!I20)</f>
        <v>0</v>
      </c>
      <c r="K109" s="14">
        <f>'Step 2.4 - Data Input (OpEx)'!I102*('Step 2.2 - Data Input (Revenue)'!I12+'Step 2.2 - Data Input (Revenue)'!I21)</f>
        <v>0</v>
      </c>
      <c r="L109" s="14">
        <f>'Step 2.4 - Data Input (OpEx)'!I102*('Step 2.2 - Data Input (Revenue)'!I13+'Step 2.2 - Data Input (Revenue)'!I22)</f>
        <v>0</v>
      </c>
      <c r="M109" s="14"/>
    </row>
    <row r="110" spans="1:13" customFormat="1" ht="15.75" customHeight="1" x14ac:dyDescent="0.2">
      <c r="A110" s="34"/>
      <c r="B110" s="34"/>
      <c r="C110" s="13" t="s">
        <v>411</v>
      </c>
      <c r="D110" s="13"/>
      <c r="E110" s="24" t="s">
        <v>5</v>
      </c>
      <c r="F110" s="12">
        <f t="shared" si="21"/>
        <v>0</v>
      </c>
      <c r="G110" s="14"/>
      <c r="H110" s="14">
        <f>IF(FL_Type=1,'Step 2.4 - Data Input (OpEx)'!I103*'Step 2.4 - Data Input (OpEx)'!I105*('Step 2.2 - Data Input (Revenue)'!I9+'Step 2.2 - Data Input (Revenue)'!I18)*(1-'Step 2.4 - Data Input (OpEx)'!I20)^0,0)</f>
        <v>0</v>
      </c>
      <c r="I110" s="14">
        <f>IF(FL_Type=1, 'Step 2.4 - Data Input (OpEx)'!I103*'Step 2.4 - Data Input (OpEx)'!I105*('Step 2.2 - Data Input (Revenue)'!I10+'Step 2.2 - Data Input (Revenue)'!I19)*(1-'Step 2.4 - Data Input (OpEx)'!I20)^1,0)</f>
        <v>0</v>
      </c>
      <c r="J110" s="14">
        <f>IF(FL_Type=1, 'Step 2.4 - Data Input (OpEx)'!I103*'Step 2.4 - Data Input (OpEx)'!I105*('Step 2.2 - Data Input (Revenue)'!I11+'Step 2.2 - Data Input (Revenue)'!I20)*(1-'Step 2.4 - Data Input (OpEx)'!I20)^2,0)</f>
        <v>0</v>
      </c>
      <c r="K110" s="14">
        <f>IF(FL_Type=1, 'Step 2.4 - Data Input (OpEx)'!I103*'Step 2.4 - Data Input (OpEx)'!I105*('Step 2.2 - Data Input (Revenue)'!I12+'Step 2.2 - Data Input (Revenue)'!I21)*(1-'Step 2.4 - Data Input (OpEx)'!I20)^3,0)</f>
        <v>0</v>
      </c>
      <c r="L110" s="14">
        <f>IF(FL_Type=1, 'Step 2.4 - Data Input (OpEx)'!I103*'Step 2.4 - Data Input (OpEx)'!I105*('Step 2.2 - Data Input (Revenue)'!I13+'Step 2.2 - Data Input (Revenue)'!I22)*(1-'Step 2.4 - Data Input (OpEx)'!I20)^4,0)</f>
        <v>0</v>
      </c>
      <c r="M110" s="14"/>
    </row>
    <row r="111" spans="1:13" customFormat="1" ht="15.75" customHeight="1" x14ac:dyDescent="0.2">
      <c r="A111" s="34"/>
      <c r="B111" s="34"/>
      <c r="C111" s="13" t="s">
        <v>412</v>
      </c>
      <c r="D111" s="13"/>
      <c r="E111" s="24" t="s">
        <v>5</v>
      </c>
      <c r="F111" s="12">
        <f t="shared" si="21"/>
        <v>0</v>
      </c>
      <c r="G111" s="14"/>
      <c r="H111" s="14">
        <f>IF(FL_Type=2,'Step 2.4 - Data Input (OpEx)'!I107*('Step 2.2 - Data Input (Revenue)'!I9+'Step 2.2 - Data Input (Revenue)'!I18),0)</f>
        <v>0</v>
      </c>
      <c r="I111" s="14">
        <f>IF(FL_Type=2,'Step 2.4 - Data Input (OpEx)'!I107*('Step 2.2 - Data Input (Revenue)'!I10+'Step 2.2 - Data Input (Revenue)'!I19),0)</f>
        <v>0</v>
      </c>
      <c r="J111" s="14">
        <f>IF(FL_Type=2,'Step 2.4 - Data Input (OpEx)'!I107*('Step 2.2 - Data Input (Revenue)'!I11+'Step 2.2 - Data Input (Revenue)'!I20),0)</f>
        <v>0</v>
      </c>
      <c r="K111" s="14">
        <f>IF(FL_Type=2,'Step 2.4 - Data Input (OpEx)'!I107*('Step 2.2 - Data Input (Revenue)'!I12+'Step 2.2 - Data Input (Revenue)'!I21),0)</f>
        <v>0</v>
      </c>
      <c r="L111" s="14">
        <f>IF(FL_Type=2,'Step 2.4 - Data Input (OpEx)'!I107*('Step 2.2 - Data Input (Revenue)'!I13+'Step 2.2 - Data Input (Revenue)'!I22),0)</f>
        <v>0</v>
      </c>
      <c r="M111" s="14"/>
    </row>
    <row r="112" spans="1:13" customFormat="1" ht="15.75" customHeight="1" x14ac:dyDescent="0.2">
      <c r="A112" s="34"/>
      <c r="B112" s="34"/>
      <c r="C112" s="13" t="s">
        <v>171</v>
      </c>
      <c r="D112" s="13"/>
      <c r="E112" s="24" t="s">
        <v>5</v>
      </c>
      <c r="F112" s="12">
        <f t="shared" si="21"/>
        <v>0</v>
      </c>
      <c r="G112" s="14"/>
      <c r="H112" s="14">
        <f>IF(FL_Type=3, 'Step 2.4 - Data Input (OpEx)'!I103*'Step 2.4 - Data Input (OpEx)'!I105*'Step 2.2 - Data Input (Revenue)'!I9*'Step 2.4 - Data Input (OpEx)'!I104*(1-'Step 2.4 - Data Input (OpEx)'!I20)^0,0)</f>
        <v>0</v>
      </c>
      <c r="I112" s="14">
        <f>IF(FL_Type=3, 'Step 2.4 - Data Input (OpEx)'!I103*'Step 2.4 - Data Input (OpEx)'!I105*'Step 2.2 - Data Input (Revenue)'!I10*'Step 2.4 - Data Input (OpEx)'!I104*(1-'Step 2.4 - Data Input (OpEx)'!I20)^1,0)</f>
        <v>0</v>
      </c>
      <c r="J112" s="14">
        <f>IF(FL_Type=3, 'Step 2.4 - Data Input (OpEx)'!I103*'Step 2.4 - Data Input (OpEx)'!I105*'Step 2.2 - Data Input (Revenue)'!I11*'Step 2.4 - Data Input (OpEx)'!I104*(1-'Step 2.4 - Data Input (OpEx)'!I20)^2,0)</f>
        <v>0</v>
      </c>
      <c r="K112" s="14">
        <f>IF(FL_Type=3, 'Step 2.4 - Data Input (OpEx)'!I103*'Step 2.4 - Data Input (OpEx)'!I105*'Step 2.2 - Data Input (Revenue)'!I12*'Step 2.4 - Data Input (OpEx)'!I104*(1-'Step 2.4 - Data Input (OpEx)'!I20)^3,0)</f>
        <v>0</v>
      </c>
      <c r="L112" s="14">
        <f>IF(FL_Type=3, 'Step 2.4 - Data Input (OpEx)'!I103*'Step 2.4 - Data Input (OpEx)'!I105*'Step 2.2 - Data Input (Revenue)'!I13*'Step 2.4 - Data Input (OpEx)'!I104*(1-'Step 2.4 - Data Input (OpEx)'!I20)^4,0)</f>
        <v>0</v>
      </c>
      <c r="M112" s="14"/>
    </row>
    <row r="113" spans="1:14" customFormat="1" ht="15.75" customHeight="1" x14ac:dyDescent="0.2">
      <c r="A113" s="34"/>
      <c r="B113" s="34"/>
      <c r="C113" s="13" t="s">
        <v>421</v>
      </c>
      <c r="D113" s="13"/>
      <c r="E113" s="24" t="s">
        <v>5</v>
      </c>
      <c r="F113" s="12">
        <f t="shared" si="21"/>
        <v>0</v>
      </c>
      <c r="G113" s="14"/>
      <c r="H113" s="14">
        <f>'Step 2.4 - Data Input (OpEx)'!I106*('Step 2.2 - Data Input (Revenue)'!I9+'Step 2.2 - Data Input (Revenue)'!I18)</f>
        <v>0</v>
      </c>
      <c r="I113" s="14">
        <f>'Step 2.4 - Data Input (OpEx)'!I106*('Step 2.2 - Data Input (Revenue)'!I10+'Step 2.2 - Data Input (Revenue)'!I19)</f>
        <v>0</v>
      </c>
      <c r="J113" s="14">
        <f>'Step 2.4 - Data Input (OpEx)'!I106*('Step 2.2 - Data Input (Revenue)'!I11+'Step 2.2 - Data Input (Revenue)'!I20)</f>
        <v>0</v>
      </c>
      <c r="K113" s="14">
        <f>'Step 2.4 - Data Input (OpEx)'!I106*('Step 2.2 - Data Input (Revenue)'!I12+'Step 2.2 - Data Input (Revenue)'!I21)</f>
        <v>0</v>
      </c>
      <c r="L113" s="14">
        <f>'Step 2.4 - Data Input (OpEx)'!I106*('Step 2.2 - Data Input (Revenue)'!I13+'Step 2.2 - Data Input (Revenue)'!I22)</f>
        <v>0</v>
      </c>
      <c r="M113" s="14"/>
    </row>
    <row r="114" spans="1:14" ht="15" hidden="1" customHeight="1" x14ac:dyDescent="0.2">
      <c r="N114"/>
    </row>
    <row r="115" spans="1:14" s="110" customFormat="1" ht="18" x14ac:dyDescent="0.2">
      <c r="A115" s="105" t="s">
        <v>33</v>
      </c>
      <c r="B115" s="106"/>
      <c r="C115" s="107"/>
      <c r="D115" s="107"/>
      <c r="E115" s="108" t="s">
        <v>5</v>
      </c>
      <c r="F115" s="109">
        <f>SUM(G115:L115)</f>
        <v>0</v>
      </c>
      <c r="G115" s="109"/>
      <c r="H115" s="109">
        <f>SUM(H117)</f>
        <v>0</v>
      </c>
      <c r="I115" s="109">
        <f>SUM(I117)</f>
        <v>0</v>
      </c>
      <c r="J115" s="109">
        <f>SUM(J117)</f>
        <v>0</v>
      </c>
      <c r="K115" s="109">
        <f t="shared" ref="K115:L115" si="22">SUM(K117)</f>
        <v>0</v>
      </c>
      <c r="L115" s="109">
        <f t="shared" si="22"/>
        <v>0</v>
      </c>
      <c r="M115" s="109"/>
      <c r="N115"/>
    </row>
    <row r="116" spans="1:14" s="64" customFormat="1" ht="7.5" customHeight="1" x14ac:dyDescent="0.2">
      <c r="A116" s="61"/>
      <c r="B116" s="62"/>
      <c r="C116" s="61"/>
      <c r="D116" s="61"/>
      <c r="E116" s="63"/>
      <c r="F116" s="61"/>
      <c r="G116" s="61"/>
      <c r="H116" s="61"/>
      <c r="I116" s="61"/>
      <c r="J116" s="61"/>
      <c r="K116" s="61"/>
      <c r="L116" s="61"/>
      <c r="M116" s="61"/>
      <c r="N116"/>
    </row>
    <row r="117" spans="1:14" s="115" customFormat="1" ht="15.75" customHeight="1" x14ac:dyDescent="0.2">
      <c r="A117" s="111"/>
      <c r="B117" s="112" t="s">
        <v>4</v>
      </c>
      <c r="C117" s="111"/>
      <c r="D117" s="111"/>
      <c r="E117" s="113" t="s">
        <v>5</v>
      </c>
      <c r="F117" s="114">
        <f>SUM(H117:L117)</f>
        <v>0</v>
      </c>
      <c r="G117" s="114"/>
      <c r="H117" s="114">
        <f t="shared" ref="H117:L117" si="23">SUM(H118:H119)</f>
        <v>0</v>
      </c>
      <c r="I117" s="114">
        <f t="shared" si="23"/>
        <v>0</v>
      </c>
      <c r="J117" s="114">
        <f t="shared" si="23"/>
        <v>0</v>
      </c>
      <c r="K117" s="114">
        <f t="shared" si="23"/>
        <v>0</v>
      </c>
      <c r="L117" s="114">
        <f t="shared" si="23"/>
        <v>0</v>
      </c>
      <c r="M117" s="114"/>
      <c r="N117"/>
    </row>
    <row r="118" spans="1:14" s="115" customFormat="1" ht="15.75" customHeight="1" x14ac:dyDescent="0.2">
      <c r="A118" s="111"/>
      <c r="B118" s="112"/>
      <c r="C118" s="111" t="s">
        <v>34</v>
      </c>
      <c r="D118" s="111"/>
      <c r="E118" s="113" t="s">
        <v>5</v>
      </c>
      <c r="F118" s="114">
        <f t="shared" ref="F118:F119" si="24">SUM(H118:L118)</f>
        <v>0</v>
      </c>
      <c r="G118" s="114"/>
      <c r="H118" s="114">
        <f>IFERROR('Step 2.1 - Data Input (General)'!I16/'Step 2.1 - Data Input (General)'!I17,0)</f>
        <v>0</v>
      </c>
      <c r="I118" s="114">
        <f>IF('Step 2.1 - Data Input (General)'!I17&gt;1, 'Step 2.1 - Data Input (General)'!I16/'Step 2.1 - Data Input (General)'!I17, 0)</f>
        <v>0</v>
      </c>
      <c r="J118" s="114">
        <f>IF('Step 2.1 - Data Input (General)'!I17&gt;2, 'Step 2.1 - Data Input (General)'!I16/'Step 2.1 - Data Input (General)'!I17, 0)</f>
        <v>0</v>
      </c>
      <c r="K118" s="114">
        <f>IF('Step 2.1 - Data Input (General)'!I17&gt;3, 'Step 2.1 - Data Input (General)'!I16/'Step 2.1 - Data Input (General)'!I17, 0)</f>
        <v>0</v>
      </c>
      <c r="L118" s="114">
        <f>IF('Step 2.1 - Data Input (General)'!I17&gt;4, 'Step 2.1 - Data Input (General)'!I16/'Step 2.1 - Data Input (General)'!I17, 0)</f>
        <v>0</v>
      </c>
      <c r="M118" s="114"/>
      <c r="N118"/>
    </row>
    <row r="119" spans="1:14" s="115" customFormat="1" ht="15.75" customHeight="1" x14ac:dyDescent="0.2">
      <c r="A119" s="111"/>
      <c r="B119" s="112"/>
      <c r="C119" s="111" t="s">
        <v>35</v>
      </c>
      <c r="D119" s="111"/>
      <c r="E119" s="113" t="s">
        <v>5</v>
      </c>
      <c r="F119" s="114">
        <f t="shared" si="24"/>
        <v>0</v>
      </c>
      <c r="G119" s="114"/>
      <c r="H119" s="114">
        <f>'Step 2.1 - Data Input (General)'!I18</f>
        <v>0</v>
      </c>
      <c r="I119" s="114">
        <f>IF('Step 2.1 - Data Input (General)'!I17&gt;1, 'Step 2.1 - Data Input (General)'!I18, 0)</f>
        <v>0</v>
      </c>
      <c r="J119" s="114">
        <f>IF('Step 2.1 - Data Input (General)'!I17&gt;2, 'Step 2.1 - Data Input (General)'!I18, 0)</f>
        <v>0</v>
      </c>
      <c r="K119" s="114">
        <f>IF('Step 2.1 - Data Input (General)'!I17&gt;3, 'Step 2.1 - Data Input (General)'!I18, 0)</f>
        <v>0</v>
      </c>
      <c r="L119" s="114">
        <f>IF('Step 2.1 - Data Input (General)'!I17&gt;4, 'Step 2.1 - Data Input (General)'!I18, 0)</f>
        <v>0</v>
      </c>
      <c r="M119" s="114"/>
      <c r="N119"/>
    </row>
    <row r="120" spans="1:14" s="68" customFormat="1" ht="7" customHeight="1" x14ac:dyDescent="0.15">
      <c r="A120" s="65"/>
      <c r="B120" s="66"/>
      <c r="C120" s="65"/>
      <c r="D120" s="65"/>
      <c r="E120" s="67"/>
      <c r="F120" s="65"/>
      <c r="G120" s="65"/>
      <c r="H120" s="65"/>
      <c r="I120" s="65"/>
      <c r="J120" s="65"/>
      <c r="K120" s="65"/>
      <c r="L120" s="65"/>
      <c r="M120" s="65"/>
      <c r="N120" s="65"/>
    </row>
    <row r="121" spans="1:14" s="1" customFormat="1" ht="7.5" customHeight="1" x14ac:dyDescent="0.15">
      <c r="A121" s="2"/>
      <c r="B121" s="29"/>
      <c r="C121" s="2"/>
      <c r="D121" s="2"/>
      <c r="E121" s="9"/>
      <c r="F121" s="2"/>
      <c r="G121" s="2"/>
      <c r="H121" s="2"/>
      <c r="I121" s="2"/>
      <c r="J121" s="2"/>
      <c r="K121" s="2"/>
      <c r="L121" s="2"/>
      <c r="M121" s="2"/>
      <c r="N121" s="2"/>
    </row>
    <row r="122" spans="1:14" s="68" customFormat="1" ht="7" customHeight="1" collapsed="1" x14ac:dyDescent="0.15">
      <c r="A122" s="65"/>
      <c r="B122" s="66"/>
      <c r="C122" s="65"/>
      <c r="D122" s="65"/>
      <c r="E122" s="67"/>
      <c r="F122" s="65"/>
      <c r="G122" s="65"/>
      <c r="H122" s="65"/>
      <c r="I122" s="65"/>
      <c r="J122" s="65"/>
      <c r="K122" s="65"/>
      <c r="L122" s="65"/>
      <c r="M122" s="65"/>
      <c r="N122" s="65"/>
    </row>
    <row r="123" spans="1:14" s="1" customFormat="1" ht="7.5" customHeight="1" x14ac:dyDescent="0.15">
      <c r="A123" s="2"/>
      <c r="B123" s="29"/>
      <c r="C123" s="2"/>
      <c r="D123" s="2"/>
      <c r="E123" s="9"/>
      <c r="F123" s="2"/>
      <c r="G123" s="2"/>
      <c r="H123" s="2"/>
      <c r="I123" s="2"/>
      <c r="J123" s="2"/>
      <c r="K123" s="2"/>
      <c r="L123" s="2"/>
      <c r="M123" s="2"/>
      <c r="N123" s="2"/>
    </row>
    <row r="124" spans="1:14" s="68" customFormat="1" ht="7" customHeight="1" collapsed="1" x14ac:dyDescent="0.15">
      <c r="A124" s="65"/>
      <c r="B124" s="66"/>
      <c r="C124" s="65"/>
      <c r="D124" s="65"/>
      <c r="E124" s="67"/>
      <c r="F124" s="65"/>
      <c r="G124" s="65"/>
      <c r="H124" s="65"/>
      <c r="I124" s="65"/>
      <c r="J124" s="65"/>
      <c r="K124" s="65"/>
      <c r="L124" s="65"/>
      <c r="M124" s="65"/>
      <c r="N124" s="65"/>
    </row>
    <row r="125" spans="1:14" s="119" customFormat="1" ht="30.75" customHeight="1" x14ac:dyDescent="0.15">
      <c r="A125" s="491" t="s">
        <v>572</v>
      </c>
      <c r="B125" s="492"/>
      <c r="C125" s="116"/>
      <c r="D125" s="116"/>
      <c r="E125" s="118"/>
      <c r="F125" s="116"/>
      <c r="G125" s="116"/>
      <c r="H125" s="116"/>
      <c r="I125" s="116"/>
      <c r="J125" s="116"/>
      <c r="K125" s="116"/>
      <c r="L125" s="116"/>
      <c r="M125" s="290"/>
      <c r="N125" s="290"/>
    </row>
    <row r="126" spans="1:14" s="64" customFormat="1" ht="7.5" customHeight="1" x14ac:dyDescent="0.15">
      <c r="A126" s="61"/>
      <c r="B126" s="62"/>
      <c r="C126" s="61"/>
      <c r="D126" s="61"/>
      <c r="E126" s="63"/>
      <c r="F126" s="61"/>
      <c r="G126" s="61"/>
      <c r="H126" s="61"/>
      <c r="I126" s="61"/>
      <c r="J126" s="61"/>
      <c r="K126" s="61"/>
      <c r="L126" s="61"/>
      <c r="M126" s="61"/>
      <c r="N126" s="61"/>
    </row>
    <row r="127" spans="1:14" s="124" customFormat="1" ht="15.75" customHeight="1" x14ac:dyDescent="0.2">
      <c r="A127" s="120"/>
      <c r="B127" s="294" t="s">
        <v>339</v>
      </c>
      <c r="C127" s="120"/>
      <c r="D127" s="120"/>
      <c r="E127" s="122"/>
      <c r="F127" s="123"/>
      <c r="G127" s="120"/>
      <c r="H127" s="120"/>
      <c r="I127" s="120"/>
      <c r="J127" s="120"/>
      <c r="K127" s="120"/>
      <c r="L127" s="120"/>
      <c r="M127" s="291"/>
      <c r="N127" s="291"/>
    </row>
    <row r="128" spans="1:14" s="132" customFormat="1" ht="15.75" customHeight="1" x14ac:dyDescent="0.2">
      <c r="A128" s="128"/>
      <c r="B128" s="295"/>
      <c r="C128" s="128" t="s">
        <v>516</v>
      </c>
      <c r="D128" s="128"/>
      <c r="E128" s="130" t="s">
        <v>5</v>
      </c>
      <c r="F128" s="128"/>
      <c r="G128" s="131">
        <f>IF('Step 1 - Case Selection'!V55="No",0,G129-G130)</f>
        <v>0</v>
      </c>
      <c r="H128" s="131">
        <f>IF('Step 1 - Case Selection'!V59&lt;1,0,H129-H130)</f>
        <v>0</v>
      </c>
      <c r="I128" s="131">
        <f>IF('Step 1 - Case Selection'!V59&lt;2,0,I129-I130)</f>
        <v>0</v>
      </c>
      <c r="J128" s="131">
        <f>IF('Step 1 - Case Selection'!V59&lt;3,0,J129-J130)</f>
        <v>0</v>
      </c>
      <c r="K128" s="131">
        <f>IF('Step 1 - Case Selection'!V59&lt;4,0,K129-K130)</f>
        <v>0</v>
      </c>
      <c r="L128" s="131">
        <f>IF('Step 1 - Case Selection'!V59&lt;5,0,L129-L130)</f>
        <v>0</v>
      </c>
      <c r="M128" s="292"/>
      <c r="N128" s="292"/>
    </row>
    <row r="129" spans="1:14" s="132" customFormat="1" ht="15.75" customHeight="1" x14ac:dyDescent="0.2">
      <c r="A129" s="127"/>
      <c r="B129" s="295"/>
      <c r="C129" s="128"/>
      <c r="D129" s="25" t="s">
        <v>506</v>
      </c>
      <c r="E129" s="27" t="s">
        <v>5</v>
      </c>
      <c r="F129" s="28"/>
      <c r="G129" s="28">
        <f t="shared" ref="G129:L129" si="25">G2</f>
        <v>0</v>
      </c>
      <c r="H129" s="28">
        <f t="shared" si="25"/>
        <v>0</v>
      </c>
      <c r="I129" s="28">
        <f t="shared" si="25"/>
        <v>0</v>
      </c>
      <c r="J129" s="28">
        <f t="shared" si="25"/>
        <v>0</v>
      </c>
      <c r="K129" s="28">
        <f t="shared" si="25"/>
        <v>0</v>
      </c>
      <c r="L129" s="28">
        <f t="shared" si="25"/>
        <v>0</v>
      </c>
      <c r="M129" s="292"/>
      <c r="N129" s="292"/>
    </row>
    <row r="130" spans="1:14" s="132" customFormat="1" ht="15.75" customHeight="1" x14ac:dyDescent="0.2">
      <c r="A130" s="292"/>
      <c r="B130" s="292"/>
      <c r="C130" s="128"/>
      <c r="D130" s="25" t="s">
        <v>505</v>
      </c>
      <c r="E130" s="27" t="s">
        <v>5</v>
      </c>
      <c r="F130" s="28"/>
      <c r="G130" s="28">
        <f t="shared" ref="G130:L130" si="26">G17+G30+G115+G143</f>
        <v>0</v>
      </c>
      <c r="H130" s="28">
        <f t="shared" si="26"/>
        <v>0</v>
      </c>
      <c r="I130" s="28">
        <f t="shared" si="26"/>
        <v>0</v>
      </c>
      <c r="J130" s="28">
        <f t="shared" si="26"/>
        <v>0</v>
      </c>
      <c r="K130" s="28">
        <f t="shared" si="26"/>
        <v>0</v>
      </c>
      <c r="L130" s="28">
        <f t="shared" si="26"/>
        <v>0</v>
      </c>
      <c r="M130" s="292"/>
      <c r="N130" s="292"/>
    </row>
    <row r="131" spans="1:14" s="132" customFormat="1" ht="15.75" customHeight="1" x14ac:dyDescent="0.2">
      <c r="A131" s="292"/>
      <c r="B131" s="295"/>
      <c r="C131" s="128" t="s">
        <v>517</v>
      </c>
      <c r="D131" s="128"/>
      <c r="E131" s="130" t="s">
        <v>5</v>
      </c>
      <c r="F131" s="128"/>
      <c r="G131" s="131">
        <f>IF('Step 1 - Case Selection'!V55="No",0,G128-G141)</f>
        <v>0</v>
      </c>
      <c r="H131" s="131">
        <f>IF('Step 1 - Case Selection'!V59&lt;1,0,H128-H141)</f>
        <v>0</v>
      </c>
      <c r="I131" s="131">
        <f>IF('Step 1 - Case Selection'!V59&lt;2,0,I128-I141)</f>
        <v>0</v>
      </c>
      <c r="J131" s="131">
        <f>IF('Step 1 - Case Selection'!V59&lt;3,0,J128-J141)</f>
        <v>0</v>
      </c>
      <c r="K131" s="131">
        <f>IF('Step 1 - Case Selection'!V59&lt;4,0,K128-K141)</f>
        <v>0</v>
      </c>
      <c r="L131" s="131">
        <f>IF('Step 1 - Case Selection'!V59&lt;5,0,L128-L141)</f>
        <v>0</v>
      </c>
      <c r="M131" s="292"/>
      <c r="N131" s="292"/>
    </row>
    <row r="132" spans="1:14" s="64" customFormat="1" ht="7.5" customHeight="1" x14ac:dyDescent="0.15">
      <c r="A132" s="61"/>
      <c r="B132" s="296"/>
      <c r="C132" s="61"/>
      <c r="D132" s="61"/>
      <c r="E132" s="63"/>
      <c r="F132" s="61"/>
      <c r="G132" s="61"/>
      <c r="H132" s="61"/>
      <c r="I132" s="61"/>
      <c r="J132" s="61"/>
      <c r="K132" s="61"/>
      <c r="L132" s="61"/>
      <c r="M132" s="61"/>
      <c r="N132" s="61"/>
    </row>
    <row r="133" spans="1:14" s="124" customFormat="1" ht="15.75" customHeight="1" x14ac:dyDescent="0.2">
      <c r="A133" s="291"/>
      <c r="B133" s="294" t="s">
        <v>340</v>
      </c>
      <c r="C133" s="120"/>
      <c r="D133" s="120"/>
      <c r="E133" s="122"/>
      <c r="F133" s="123"/>
      <c r="G133" s="120"/>
      <c r="H133" s="120"/>
      <c r="I133" s="120"/>
      <c r="J133" s="120"/>
      <c r="K133" s="120"/>
      <c r="L133" s="120"/>
      <c r="M133" s="291"/>
      <c r="N133" s="291"/>
    </row>
    <row r="134" spans="1:14" s="132" customFormat="1" ht="15.75" customHeight="1" x14ac:dyDescent="0.2">
      <c r="A134" s="292"/>
      <c r="B134" s="295"/>
      <c r="C134" s="128" t="s">
        <v>514</v>
      </c>
      <c r="D134" s="128"/>
      <c r="E134" s="130" t="s">
        <v>5</v>
      </c>
      <c r="F134" s="131"/>
      <c r="G134" s="131">
        <f>IF('Step 1 - Case Selection'!V55="No",0,G135-G137)</f>
        <v>0</v>
      </c>
      <c r="H134" s="131">
        <f>IF('Step 1 - Case Selection'!V59&lt;1,0,H135-H137)</f>
        <v>0</v>
      </c>
      <c r="I134" s="131">
        <f>IF('Step 1 - Case Selection'!V59&lt;2,0,I135-I137)</f>
        <v>0</v>
      </c>
      <c r="J134" s="131">
        <f>IF('Step 1 - Case Selection'!V59&lt;3,0,J135-J137)</f>
        <v>0</v>
      </c>
      <c r="K134" s="131">
        <f>IF('Step 1 - Case Selection'!V59&lt;4,0,K135-K137)</f>
        <v>0</v>
      </c>
      <c r="L134" s="131">
        <f>IF('Step 1 - Case Selection'!V59&lt;5,0,L135-L137)</f>
        <v>0</v>
      </c>
      <c r="M134" s="292"/>
      <c r="N134" s="292"/>
    </row>
    <row r="135" spans="1:14" s="132" customFormat="1" ht="15.75" customHeight="1" x14ac:dyDescent="0.2">
      <c r="A135" s="292"/>
      <c r="B135" s="295"/>
      <c r="C135" s="128"/>
      <c r="D135" s="25" t="s">
        <v>3</v>
      </c>
      <c r="E135" s="27" t="s">
        <v>5</v>
      </c>
      <c r="F135" s="28"/>
      <c r="G135" s="28">
        <f t="shared" ref="G135:L135" si="27">G4</f>
        <v>0</v>
      </c>
      <c r="H135" s="28">
        <f t="shared" si="27"/>
        <v>0</v>
      </c>
      <c r="I135" s="28">
        <f t="shared" si="27"/>
        <v>0</v>
      </c>
      <c r="J135" s="28">
        <f t="shared" si="27"/>
        <v>0</v>
      </c>
      <c r="K135" s="28">
        <f t="shared" si="27"/>
        <v>0</v>
      </c>
      <c r="L135" s="28">
        <f t="shared" si="27"/>
        <v>0</v>
      </c>
      <c r="M135" s="292"/>
      <c r="N135" s="292"/>
    </row>
    <row r="136" spans="1:14" s="132" customFormat="1" ht="15.75" customHeight="1" x14ac:dyDescent="0.2">
      <c r="A136" s="292"/>
      <c r="B136" s="292"/>
      <c r="C136" s="128"/>
      <c r="D136" s="25" t="s">
        <v>504</v>
      </c>
      <c r="E136" s="27" t="s">
        <v>5</v>
      </c>
      <c r="F136" s="28"/>
      <c r="G136" s="28">
        <f t="shared" ref="G136:L136" si="28">G17+G30+G119+G143</f>
        <v>0</v>
      </c>
      <c r="H136" s="28">
        <f t="shared" si="28"/>
        <v>0</v>
      </c>
      <c r="I136" s="28">
        <f t="shared" si="28"/>
        <v>0</v>
      </c>
      <c r="J136" s="28">
        <f t="shared" si="28"/>
        <v>0</v>
      </c>
      <c r="K136" s="28">
        <f t="shared" si="28"/>
        <v>0</v>
      </c>
      <c r="L136" s="28">
        <f t="shared" si="28"/>
        <v>0</v>
      </c>
      <c r="M136" s="292"/>
      <c r="N136" s="292"/>
    </row>
    <row r="137" spans="1:14" s="132" customFormat="1" ht="15.75" customHeight="1" x14ac:dyDescent="0.2">
      <c r="A137" s="292"/>
      <c r="B137" s="295"/>
      <c r="C137" s="128"/>
      <c r="D137" s="25" t="s">
        <v>503</v>
      </c>
      <c r="E137" s="27" t="s">
        <v>5</v>
      </c>
      <c r="F137" s="28"/>
      <c r="G137" s="28">
        <f t="shared" ref="G137:L137" si="29">G136-G15</f>
        <v>0</v>
      </c>
      <c r="H137" s="28">
        <f t="shared" si="29"/>
        <v>0</v>
      </c>
      <c r="I137" s="28">
        <f t="shared" si="29"/>
        <v>0</v>
      </c>
      <c r="J137" s="28">
        <f t="shared" si="29"/>
        <v>0</v>
      </c>
      <c r="K137" s="28">
        <f t="shared" si="29"/>
        <v>0</v>
      </c>
      <c r="L137" s="28">
        <f t="shared" si="29"/>
        <v>0</v>
      </c>
      <c r="M137" s="292"/>
      <c r="N137" s="292"/>
    </row>
    <row r="138" spans="1:14" s="132" customFormat="1" ht="15.75" customHeight="1" x14ac:dyDescent="0.2">
      <c r="A138" s="292"/>
      <c r="B138" s="295"/>
      <c r="C138" s="128" t="s">
        <v>515</v>
      </c>
      <c r="D138" s="128"/>
      <c r="E138" s="130" t="s">
        <v>5</v>
      </c>
      <c r="F138" s="128"/>
      <c r="G138" s="131">
        <f>IF('Step 1 - Case Selection'!V55="No",0,G134)</f>
        <v>0</v>
      </c>
      <c r="H138" s="131">
        <f>IF('Step 1 - Case Selection'!V59&lt;1,0,H134-H141)</f>
        <v>0</v>
      </c>
      <c r="I138" s="131">
        <f>IF('Step 1 - Case Selection'!V59&lt;2,0,I134-I141)</f>
        <v>0</v>
      </c>
      <c r="J138" s="131">
        <f>IF('Step 1 - Case Selection'!V59&lt;3,0,J134-J141)</f>
        <v>0</v>
      </c>
      <c r="K138" s="131">
        <f>IF('Step 1 - Case Selection'!V59&lt;4,0,K134-K141)</f>
        <v>0</v>
      </c>
      <c r="L138" s="131">
        <f>IF('Step 1 - Case Selection'!V59&lt;5,0,L134-L141)</f>
        <v>0</v>
      </c>
      <c r="M138" s="292"/>
      <c r="N138" s="292"/>
    </row>
    <row r="139" spans="1:14" s="132" customFormat="1" ht="15.75" customHeight="1" x14ac:dyDescent="0.2">
      <c r="A139" s="292"/>
      <c r="B139" s="295"/>
      <c r="C139" s="128"/>
      <c r="D139" s="25" t="s">
        <v>342</v>
      </c>
      <c r="E139" s="27"/>
      <c r="F139" s="25"/>
      <c r="G139" s="28">
        <f>G135-G137</f>
        <v>0</v>
      </c>
      <c r="H139" s="28">
        <f t="shared" ref="H139:L139" si="30">H135-H137</f>
        <v>0</v>
      </c>
      <c r="I139" s="28">
        <f t="shared" si="30"/>
        <v>0</v>
      </c>
      <c r="J139" s="28">
        <f t="shared" si="30"/>
        <v>0</v>
      </c>
      <c r="K139" s="28">
        <f t="shared" si="30"/>
        <v>0</v>
      </c>
      <c r="L139" s="28">
        <f t="shared" si="30"/>
        <v>0</v>
      </c>
      <c r="M139" s="292"/>
      <c r="N139" s="292"/>
    </row>
    <row r="140" spans="1:14" s="132" customFormat="1" ht="15.75" customHeight="1" x14ac:dyDescent="0.2">
      <c r="A140" s="292"/>
      <c r="B140" s="295"/>
      <c r="C140" s="128"/>
      <c r="D140" s="25" t="s">
        <v>36</v>
      </c>
      <c r="E140" s="27" t="s">
        <v>5</v>
      </c>
      <c r="F140" s="25"/>
      <c r="G140" s="28"/>
      <c r="H140" s="28">
        <f>IF('Step 1 - Case Selection'!V59&lt;1,0,'Step 2.1 - Data Input (General)'!I9)</f>
        <v>0</v>
      </c>
      <c r="I140" s="28">
        <f>IF('Step 1 - Case Selection'!V59&lt;2,0,'Step 2.1 - Data Input (General)'!I9)</f>
        <v>0</v>
      </c>
      <c r="J140" s="28">
        <f>IF('Step 1 - Case Selection'!V59&lt;3,0,'Step 2.1 - Data Input (General)'!I9)</f>
        <v>0</v>
      </c>
      <c r="K140" s="28">
        <f>IF('Step 1 - Case Selection'!V59&lt;4,0,'Step 2.1 - Data Input (General)'!I9)</f>
        <v>0</v>
      </c>
      <c r="L140" s="28">
        <f>IF('Step 1 - Case Selection'!V59&lt;5,0,'Step 2.1 - Data Input (General)'!I9)</f>
        <v>0</v>
      </c>
      <c r="M140" s="292"/>
      <c r="N140" s="292"/>
    </row>
    <row r="141" spans="1:14" s="132" customFormat="1" ht="15.75" customHeight="1" x14ac:dyDescent="0.2">
      <c r="A141" s="292"/>
      <c r="B141" s="295"/>
      <c r="C141" s="128"/>
      <c r="D141" s="25" t="s">
        <v>37</v>
      </c>
      <c r="E141" s="27" t="s">
        <v>5</v>
      </c>
      <c r="F141" s="25"/>
      <c r="G141" s="28"/>
      <c r="H141" s="28">
        <f>IF((H139-H140)&gt;=0,(H139-H140)*'Step 2.1 - Data Input (General)'!I6,0)</f>
        <v>0</v>
      </c>
      <c r="I141" s="28">
        <f>IF((I139-I140)&gt;=0,(I139-I140)*'Step 2.1 - Data Input (General)'!I6,0)</f>
        <v>0</v>
      </c>
      <c r="J141" s="28">
        <f>IF((J139-J140)&gt;=0,(J139-J140)*'Step 2.1 - Data Input (General)'!I6,0)</f>
        <v>0</v>
      </c>
      <c r="K141" s="28">
        <f>IF((K139-K140)&gt;=0,(K139-K140)*'Step 2.1 - Data Input (General)'!I6,0)</f>
        <v>0</v>
      </c>
      <c r="L141" s="28">
        <f>IF((L139-L140)&gt;=0,(L139-L140)*'Step 2.1 - Data Input (General)'!I6,0)</f>
        <v>0</v>
      </c>
      <c r="M141" s="292"/>
      <c r="N141" s="292"/>
    </row>
    <row r="142" spans="1:14" s="124" customFormat="1" ht="15.75" customHeight="1" x14ac:dyDescent="0.2">
      <c r="A142" s="291"/>
      <c r="B142" s="294" t="s">
        <v>341</v>
      </c>
      <c r="C142" s="120"/>
      <c r="D142" s="120"/>
      <c r="E142" s="122"/>
      <c r="F142" s="123"/>
      <c r="G142" s="120"/>
      <c r="H142" s="120"/>
      <c r="I142" s="120"/>
      <c r="J142" s="120"/>
      <c r="K142" s="120"/>
      <c r="L142" s="120"/>
      <c r="M142" s="291"/>
      <c r="N142" s="291"/>
    </row>
    <row r="143" spans="1:14" s="132" customFormat="1" ht="15.75" customHeight="1" x14ac:dyDescent="0.2">
      <c r="A143" s="292"/>
      <c r="B143" s="295"/>
      <c r="C143" s="128"/>
      <c r="D143" s="25" t="s">
        <v>174</v>
      </c>
      <c r="E143" s="27" t="s">
        <v>5</v>
      </c>
      <c r="F143" s="25"/>
      <c r="G143" s="28"/>
      <c r="H143" s="28">
        <f>'Step 2.2 - Data Input (Revenue)'!I18*'Step 2.4 - Data Input (OpEx)'!I10*(1+'Step 2.4 - Data Input (OpEx)'!I14)^0</f>
        <v>0</v>
      </c>
      <c r="I143" s="28">
        <f>'Step 2.2 - Data Input (Revenue)'!I19*'Step 2.4 - Data Input (OpEx)'!I10*(1+'Step 2.4 - Data Input (OpEx)'!I14)^1</f>
        <v>0</v>
      </c>
      <c r="J143" s="28">
        <f>'Step 2.2 - Data Input (Revenue)'!I20*'Step 2.4 - Data Input (OpEx)'!I10*(1+'Step 2.4 - Data Input (OpEx)'!I14)^2</f>
        <v>0</v>
      </c>
      <c r="K143" s="28">
        <f>'Step 2.2 - Data Input (Revenue)'!I21*'Step 2.4 - Data Input (OpEx)'!I10*(1+'Step 2.4 - Data Input (OpEx)'!I14)^3</f>
        <v>0</v>
      </c>
      <c r="L143" s="28">
        <f>'Step 2.2 - Data Input (Revenue)'!I22*'Step 2.4 - Data Input (OpEx)'!I10*(1+'Step 2.4 - Data Input (OpEx)'!I14)^4</f>
        <v>0</v>
      </c>
      <c r="M143" s="292"/>
      <c r="N143" s="292"/>
    </row>
    <row r="144" spans="1:14" s="64" customFormat="1" ht="7.5" customHeight="1" x14ac:dyDescent="0.15">
      <c r="A144" s="61"/>
      <c r="B144" s="296"/>
      <c r="C144" s="61"/>
      <c r="D144" s="61"/>
      <c r="E144" s="63"/>
      <c r="F144" s="61"/>
      <c r="G144" s="61"/>
      <c r="H144" s="61"/>
      <c r="I144" s="61"/>
      <c r="J144" s="61"/>
      <c r="K144" s="61"/>
      <c r="L144" s="61"/>
      <c r="M144" s="61"/>
      <c r="N144" s="61"/>
    </row>
    <row r="145" spans="1:14" s="124" customFormat="1" ht="15.75" customHeight="1" x14ac:dyDescent="0.2">
      <c r="A145" s="291"/>
      <c r="B145" s="294" t="s">
        <v>337</v>
      </c>
      <c r="C145" s="120"/>
      <c r="D145" s="120"/>
      <c r="E145" s="122"/>
      <c r="F145" s="125"/>
      <c r="G145" s="120"/>
      <c r="H145" s="126"/>
      <c r="I145" s="126"/>
      <c r="J145" s="126"/>
      <c r="K145" s="126"/>
      <c r="L145" s="126"/>
      <c r="M145" s="291"/>
      <c r="N145" s="291"/>
    </row>
    <row r="146" spans="1:14" s="132" customFormat="1" ht="15.75" customHeight="1" x14ac:dyDescent="0.2">
      <c r="A146" s="292"/>
      <c r="B146" s="295"/>
      <c r="C146" s="128" t="s">
        <v>346</v>
      </c>
      <c r="D146" s="128"/>
      <c r="E146" s="130" t="s">
        <v>5</v>
      </c>
      <c r="F146" s="284">
        <f>SUM(G149:L149)</f>
        <v>0</v>
      </c>
      <c r="G146" s="128"/>
      <c r="H146" s="285"/>
      <c r="I146" s="285"/>
      <c r="J146" s="285"/>
      <c r="K146" s="285"/>
      <c r="L146" s="285"/>
      <c r="M146" s="292"/>
      <c r="N146" s="292"/>
    </row>
    <row r="147" spans="1:14" s="132" customFormat="1" ht="15.75" customHeight="1" x14ac:dyDescent="0.2">
      <c r="A147" s="292"/>
      <c r="B147" s="295"/>
      <c r="C147" s="133" t="s">
        <v>343</v>
      </c>
      <c r="D147" s="128"/>
      <c r="E147" s="130" t="s">
        <v>11</v>
      </c>
      <c r="F147" s="134" t="e">
        <f>IF(ROUND(IRR(G134:L134),5) =0, "&lt;= 0%", ROUND(IRR(G134:L134),5))</f>
        <v>#NUM!</v>
      </c>
      <c r="G147" s="135"/>
      <c r="H147" s="128"/>
      <c r="I147" s="128"/>
      <c r="J147" s="128"/>
      <c r="K147" s="128"/>
      <c r="L147" s="128"/>
      <c r="M147" s="292"/>
      <c r="N147" s="292"/>
    </row>
    <row r="148" spans="1:14" s="132" customFormat="1" ht="15.75" customHeight="1" x14ac:dyDescent="0.2">
      <c r="A148" s="292"/>
      <c r="B148" s="295"/>
      <c r="C148" s="133" t="s">
        <v>344</v>
      </c>
      <c r="D148" s="128"/>
      <c r="E148" s="130" t="s">
        <v>11</v>
      </c>
      <c r="F148" s="134" t="e">
        <f>F147-'Step 2.1 - Data Input (General)'!I7</f>
        <v>#NUM!</v>
      </c>
      <c r="G148" s="135"/>
      <c r="H148" s="128"/>
      <c r="I148" s="128"/>
      <c r="J148" s="128"/>
      <c r="K148" s="128"/>
      <c r="L148" s="128"/>
      <c r="M148" s="292"/>
      <c r="N148" s="292"/>
    </row>
    <row r="149" spans="1:14" s="137" customFormat="1" ht="15.75" customHeight="1" x14ac:dyDescent="0.2">
      <c r="A149" s="292"/>
      <c r="B149" s="295"/>
      <c r="C149" s="128"/>
      <c r="D149" s="25" t="s">
        <v>530</v>
      </c>
      <c r="E149" s="27" t="s">
        <v>5</v>
      </c>
      <c r="F149" s="36"/>
      <c r="G149" s="49">
        <f>G134/(1+'Step 2.1 - Data Input (General)'!I7)^0</f>
        <v>0</v>
      </c>
      <c r="H149" s="49">
        <f>H134/(1+'Step 2.1 - Data Input (General)'!I7)^1</f>
        <v>0</v>
      </c>
      <c r="I149" s="49">
        <f>I134/(1+'Step 2.1 - Data Input (General)'!I7)^2</f>
        <v>0</v>
      </c>
      <c r="J149" s="49">
        <f>J134/(1+'Step 2.1 - Data Input (General)'!I7)^3</f>
        <v>0</v>
      </c>
      <c r="K149" s="49">
        <f>K134/(1+'Step 2.1 - Data Input (General)'!I7)^4</f>
        <v>0</v>
      </c>
      <c r="L149" s="49">
        <f>L134/(1+'Step 2.1 - Data Input (General)'!I7)^5</f>
        <v>0</v>
      </c>
      <c r="M149" s="293"/>
      <c r="N149" s="293"/>
    </row>
    <row r="150" spans="1:14" s="137" customFormat="1" ht="15.75" customHeight="1" x14ac:dyDescent="0.2">
      <c r="A150" s="292"/>
      <c r="B150" s="295"/>
      <c r="C150" s="128"/>
      <c r="D150" s="25" t="s">
        <v>221</v>
      </c>
      <c r="E150" s="39" t="s">
        <v>38</v>
      </c>
      <c r="F150" s="40"/>
      <c r="G150" s="37" t="s">
        <v>198</v>
      </c>
      <c r="H150" s="38" t="s">
        <v>193</v>
      </c>
      <c r="I150" s="38" t="s">
        <v>194</v>
      </c>
      <c r="J150" s="38" t="s">
        <v>195</v>
      </c>
      <c r="K150" s="38" t="s">
        <v>196</v>
      </c>
      <c r="L150" s="38" t="s">
        <v>197</v>
      </c>
      <c r="M150" s="293"/>
      <c r="N150" s="293"/>
    </row>
    <row r="151" spans="1:14" s="132" customFormat="1" ht="15.75" customHeight="1" x14ac:dyDescent="0.2">
      <c r="A151" s="292"/>
      <c r="B151" s="297"/>
      <c r="C151" s="127" t="s">
        <v>345</v>
      </c>
      <c r="D151" s="127"/>
      <c r="E151" s="136" t="s">
        <v>188</v>
      </c>
      <c r="F151" s="127" t="str" cm="1">
        <f t="array" ref="F151">IFERROR(ROUND(_xlfn.IFS(L152&lt;0, "no-break-even-point",K152&lt;0,4+ABS(K152)/L149,J152&lt;0, 3+ABS(J152)/K149,I152&lt;0, 2+ABS(I152)/J149,H152&lt;0, 1+ABS(H152)/I149,G152&lt;0,0+ABS(G152)/H149),3), "no-break-even-point")</f>
        <v>no-break-even-point</v>
      </c>
      <c r="G151" s="127"/>
      <c r="H151" s="127"/>
      <c r="I151" s="127"/>
      <c r="J151" s="127"/>
      <c r="K151" s="127"/>
      <c r="L151" s="127"/>
      <c r="M151" s="292"/>
      <c r="N151" s="292"/>
    </row>
    <row r="152" spans="1:14" s="132" customFormat="1" ht="15.75" customHeight="1" x14ac:dyDescent="0.2">
      <c r="A152" s="292"/>
      <c r="B152" s="295"/>
      <c r="C152" s="128"/>
      <c r="D152" s="25" t="s">
        <v>529</v>
      </c>
      <c r="E152" s="27" t="s">
        <v>5</v>
      </c>
      <c r="F152" s="36"/>
      <c r="G152" s="49">
        <f>G149</f>
        <v>0</v>
      </c>
      <c r="H152" s="49">
        <f>G152+H149</f>
        <v>0</v>
      </c>
      <c r="I152" s="49">
        <f>H152+I149</f>
        <v>0</v>
      </c>
      <c r="J152" s="49">
        <f>I152+J149</f>
        <v>0</v>
      </c>
      <c r="K152" s="49">
        <f>J152+K149</f>
        <v>0</v>
      </c>
      <c r="L152" s="49">
        <f>K152+L149</f>
        <v>0</v>
      </c>
      <c r="M152" s="292"/>
      <c r="N152" s="292"/>
    </row>
    <row r="153" spans="1:14" s="64" customFormat="1" ht="7.5" customHeight="1" x14ac:dyDescent="0.15">
      <c r="A153" s="61"/>
      <c r="B153" s="296"/>
      <c r="C153" s="61"/>
      <c r="D153" s="61"/>
      <c r="E153" s="63"/>
      <c r="F153" s="61"/>
      <c r="G153" s="61"/>
      <c r="H153" s="61"/>
      <c r="I153" s="61"/>
      <c r="J153" s="61"/>
      <c r="K153" s="61"/>
      <c r="L153" s="61"/>
      <c r="M153" s="61"/>
      <c r="N153" s="61"/>
    </row>
    <row r="154" spans="1:14" s="124" customFormat="1" ht="15.75" customHeight="1" x14ac:dyDescent="0.2">
      <c r="A154" s="291"/>
      <c r="B154" s="294" t="s">
        <v>338</v>
      </c>
      <c r="C154" s="120"/>
      <c r="D154" s="120"/>
      <c r="E154" s="122"/>
      <c r="F154" s="125"/>
      <c r="G154" s="120"/>
      <c r="H154" s="126"/>
      <c r="I154" s="126"/>
      <c r="J154" s="126"/>
      <c r="K154" s="126"/>
      <c r="L154" s="126"/>
      <c r="M154" s="291"/>
      <c r="N154" s="291"/>
    </row>
    <row r="155" spans="1:14" s="132" customFormat="1" ht="15.75" customHeight="1" x14ac:dyDescent="0.2">
      <c r="A155" s="292"/>
      <c r="B155" s="295"/>
      <c r="C155" s="128" t="s">
        <v>347</v>
      </c>
      <c r="D155" s="128"/>
      <c r="E155" s="130" t="s">
        <v>5</v>
      </c>
      <c r="F155" s="284">
        <f>SUM(G158:L158)</f>
        <v>0</v>
      </c>
      <c r="G155" s="128"/>
      <c r="H155" s="285"/>
      <c r="I155" s="285"/>
      <c r="J155" s="285"/>
      <c r="K155" s="285"/>
      <c r="L155" s="285"/>
      <c r="M155" s="292"/>
      <c r="N155" s="292"/>
    </row>
    <row r="156" spans="1:14" s="132" customFormat="1" ht="15.75" customHeight="1" x14ac:dyDescent="0.2">
      <c r="A156" s="292"/>
      <c r="B156" s="295"/>
      <c r="C156" s="133" t="s">
        <v>348</v>
      </c>
      <c r="D156" s="128"/>
      <c r="E156" s="130" t="s">
        <v>11</v>
      </c>
      <c r="F156" s="134" t="e">
        <f>IF(ROUND(IRR(G138:L138),5) =0, "&lt;= 0%", ROUND(IRR(G138:L138),5))</f>
        <v>#NUM!</v>
      </c>
      <c r="G156" s="135"/>
      <c r="H156" s="128"/>
      <c r="I156" s="128"/>
      <c r="J156" s="128"/>
      <c r="K156" s="128"/>
      <c r="L156" s="128"/>
      <c r="M156" s="292"/>
      <c r="N156" s="292"/>
    </row>
    <row r="157" spans="1:14" s="132" customFormat="1" ht="15.75" customHeight="1" x14ac:dyDescent="0.2">
      <c r="A157" s="292"/>
      <c r="B157" s="295"/>
      <c r="C157" s="133" t="s">
        <v>349</v>
      </c>
      <c r="D157" s="128"/>
      <c r="E157" s="130" t="s">
        <v>11</v>
      </c>
      <c r="F157" s="134" t="e">
        <f>F156-'Step 2.1 - Data Input (General)'!I7</f>
        <v>#NUM!</v>
      </c>
      <c r="G157" s="135"/>
      <c r="H157" s="128"/>
      <c r="I157" s="128"/>
      <c r="J157" s="128"/>
      <c r="K157" s="128"/>
      <c r="L157" s="128"/>
      <c r="M157" s="292"/>
      <c r="N157" s="292"/>
    </row>
    <row r="158" spans="1:14" s="132" customFormat="1" ht="15.75" customHeight="1" x14ac:dyDescent="0.2">
      <c r="A158" s="292"/>
      <c r="B158" s="295"/>
      <c r="C158" s="128"/>
      <c r="D158" s="25" t="s">
        <v>507</v>
      </c>
      <c r="E158" s="27" t="s">
        <v>5</v>
      </c>
      <c r="F158" s="25"/>
      <c r="G158" s="49">
        <f>G138/(1+'Step 2.1 - Data Input (General)'!I7)^0</f>
        <v>0</v>
      </c>
      <c r="H158" s="49">
        <f>H138/(1+'Step 2.1 - Data Input (General)'!I7)^1</f>
        <v>0</v>
      </c>
      <c r="I158" s="49">
        <f>I138/(1+'Step 2.1 - Data Input (General)'!I7)^2</f>
        <v>0</v>
      </c>
      <c r="J158" s="49">
        <f>J138/(1+'Step 2.1 - Data Input (General)'!I7)^3</f>
        <v>0</v>
      </c>
      <c r="K158" s="49">
        <f>K138/(1+'Step 2.1 - Data Input (General)'!I7)^4</f>
        <v>0</v>
      </c>
      <c r="L158" s="49">
        <f>L138/(1+'Step 2.1 - Data Input (General)'!I7)^5</f>
        <v>0</v>
      </c>
      <c r="M158" s="292"/>
      <c r="N158" s="292"/>
    </row>
    <row r="159" spans="1:14" s="132" customFormat="1" ht="15.75" customHeight="1" x14ac:dyDescent="0.2">
      <c r="A159" s="292"/>
      <c r="B159" s="295"/>
      <c r="C159" s="128"/>
      <c r="D159" s="25" t="s">
        <v>221</v>
      </c>
      <c r="E159" s="39" t="s">
        <v>38</v>
      </c>
      <c r="F159" s="40"/>
      <c r="G159" s="37"/>
      <c r="H159" s="38" t="s">
        <v>193</v>
      </c>
      <c r="I159" s="38" t="s">
        <v>194</v>
      </c>
      <c r="J159" s="38" t="s">
        <v>195</v>
      </c>
      <c r="K159" s="38" t="s">
        <v>196</v>
      </c>
      <c r="L159" s="38" t="s">
        <v>197</v>
      </c>
      <c r="M159" s="292"/>
      <c r="N159" s="292"/>
    </row>
    <row r="160" spans="1:14" s="132" customFormat="1" ht="15.75" customHeight="1" x14ac:dyDescent="0.2">
      <c r="A160" s="292"/>
      <c r="B160" s="297"/>
      <c r="C160" s="127" t="s">
        <v>350</v>
      </c>
      <c r="D160" s="127"/>
      <c r="E160" s="136" t="s">
        <v>188</v>
      </c>
      <c r="F160" s="127" t="str" cm="1">
        <f t="array" ref="F160">IFERROR(ROUND(_xlfn.IFS(L161&lt;0, "no-break-even-point",K161&lt;0,4+ABS(K161)/L158,J161&lt;0, 3+ABS(J161)/K158,I161&lt;0, 2+ABS(I161)/J158,H161&lt;0, 1+ABS(H161)/I158,G161&lt;0,0+ABS(G161)/H158),3), "no-break-even-point")</f>
        <v>no-break-even-point</v>
      </c>
      <c r="G160" s="127"/>
      <c r="H160" s="127"/>
      <c r="I160" s="127"/>
      <c r="J160" s="127"/>
      <c r="K160" s="127"/>
      <c r="L160" s="127"/>
      <c r="M160" s="292"/>
      <c r="N160" s="292"/>
    </row>
    <row r="161" spans="1:14" s="137" customFormat="1" ht="15.75" customHeight="1" x14ac:dyDescent="0.2">
      <c r="A161" s="292"/>
      <c r="B161" s="295"/>
      <c r="C161" s="128"/>
      <c r="D161" s="25" t="s">
        <v>508</v>
      </c>
      <c r="E161" s="27" t="s">
        <v>5</v>
      </c>
      <c r="F161" s="36"/>
      <c r="G161" s="49">
        <f>G158</f>
        <v>0</v>
      </c>
      <c r="H161" s="49">
        <f>G161+H158</f>
        <v>0</v>
      </c>
      <c r="I161" s="49">
        <f>H161+I158</f>
        <v>0</v>
      </c>
      <c r="J161" s="49">
        <f>I161+J158</f>
        <v>0</v>
      </c>
      <c r="K161" s="49">
        <f>J161+K158</f>
        <v>0</v>
      </c>
      <c r="L161" s="49">
        <f>K161+L158</f>
        <v>0</v>
      </c>
      <c r="M161" s="293"/>
      <c r="N161" s="293"/>
    </row>
    <row r="162" spans="1:14" ht="15" hidden="1" customHeight="1" x14ac:dyDescent="0.15">
      <c r="A162" s="300"/>
      <c r="B162" s="298"/>
    </row>
    <row r="163" spans="1:14" ht="15" customHeight="1" x14ac:dyDescent="0.15"/>
    <row r="164" spans="1:14" ht="15" customHeight="1" x14ac:dyDescent="0.15"/>
    <row r="165" spans="1:14" ht="15" customHeight="1" x14ac:dyDescent="0.15"/>
    <row r="166" spans="1:14" ht="15" customHeight="1" x14ac:dyDescent="0.15"/>
    <row r="167" spans="1:14" ht="15" customHeight="1" x14ac:dyDescent="0.15"/>
    <row r="168" spans="1:14" ht="15" customHeight="1" x14ac:dyDescent="0.15"/>
    <row r="169" spans="1:14" ht="15" customHeight="1" x14ac:dyDescent="0.15"/>
    <row r="170" spans="1:14" ht="15" customHeight="1" x14ac:dyDescent="0.15"/>
    <row r="171" spans="1:14" ht="15" customHeight="1" x14ac:dyDescent="0.15"/>
    <row r="172" spans="1:14" ht="15" customHeight="1" x14ac:dyDescent="0.15"/>
    <row r="173" spans="1:14" ht="15" customHeight="1" x14ac:dyDescent="0.15"/>
    <row r="174" spans="1:14" ht="15" customHeight="1" x14ac:dyDescent="0.15"/>
    <row r="175" spans="1:14" ht="15" customHeight="1" x14ac:dyDescent="0.15"/>
    <row r="176" spans="1:14" ht="15" customHeight="1" x14ac:dyDescent="0.15"/>
    <row r="177" ht="15" customHeight="1" x14ac:dyDescent="0.15"/>
    <row r="178" ht="15" customHeight="1" x14ac:dyDescent="0.15"/>
    <row r="179" ht="15" customHeight="1" x14ac:dyDescent="0.15"/>
    <row r="180" ht="15" customHeight="1" x14ac:dyDescent="0.15"/>
    <row r="181" ht="15" customHeight="1" x14ac:dyDescent="0.15"/>
    <row r="182" ht="15" customHeight="1" x14ac:dyDescent="0.15"/>
    <row r="183" ht="15" customHeight="1" x14ac:dyDescent="0.15"/>
    <row r="184" ht="15" customHeight="1" x14ac:dyDescent="0.15"/>
    <row r="185" ht="15" customHeight="1" x14ac:dyDescent="0.15"/>
    <row r="186" ht="15" customHeight="1" x14ac:dyDescent="0.15"/>
    <row r="187" ht="15" customHeight="1" x14ac:dyDescent="0.15"/>
    <row r="188" ht="15" customHeight="1" x14ac:dyDescent="0.15"/>
    <row r="189" ht="15" customHeight="1" x14ac:dyDescent="0.15"/>
    <row r="190" ht="15" customHeight="1" x14ac:dyDescent="0.15"/>
    <row r="191" ht="15" customHeight="1" x14ac:dyDescent="0.15"/>
    <row r="192" ht="15" customHeight="1" x14ac:dyDescent="0.15"/>
    <row r="193" ht="15" customHeight="1" x14ac:dyDescent="0.15"/>
    <row r="194" ht="15" customHeight="1" x14ac:dyDescent="0.15"/>
    <row r="195" ht="15" customHeight="1" x14ac:dyDescent="0.15"/>
    <row r="196" ht="15" customHeight="1" x14ac:dyDescent="0.15"/>
    <row r="197" ht="15" customHeight="1" x14ac:dyDescent="0.15"/>
  </sheetData>
  <sheetProtection sheet="1" objects="1" scenarios="1"/>
  <mergeCells count="1">
    <mergeCell ref="A125:B125"/>
  </mergeCells>
  <pageMargins left="0.7" right="0.7" top="0.78740157499999996" bottom="0.78740157499999996"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A143-1D59-4C6E-B9C3-0014A0D02387}">
  <sheetPr>
    <tabColor theme="2"/>
  </sheetPr>
  <dimension ref="A1:G10"/>
  <sheetViews>
    <sheetView zoomScaleNormal="100" workbookViewId="0">
      <selection activeCell="O1" sqref="O1"/>
    </sheetView>
  </sheetViews>
  <sheetFormatPr baseColWidth="10" defaultRowHeight="15" x14ac:dyDescent="0.2"/>
  <cols>
    <col min="1" max="1" width="3" customWidth="1"/>
    <col min="7" max="7" width="3.33203125" customWidth="1"/>
  </cols>
  <sheetData>
    <row r="1" spans="1:7" ht="19" x14ac:dyDescent="0.25">
      <c r="A1" s="417"/>
      <c r="B1" s="418" t="s">
        <v>614</v>
      </c>
      <c r="C1" s="419"/>
      <c r="D1" s="419"/>
      <c r="E1" s="419"/>
      <c r="F1" s="419"/>
      <c r="G1" s="417"/>
    </row>
    <row r="2" spans="1:7" ht="7" customHeight="1" x14ac:dyDescent="0.25">
      <c r="A2" s="418"/>
      <c r="B2" s="419"/>
      <c r="C2" s="419"/>
      <c r="D2" s="419"/>
      <c r="E2" s="419"/>
      <c r="F2" s="419"/>
      <c r="G2" s="418"/>
    </row>
    <row r="3" spans="1:7" x14ac:dyDescent="0.2">
      <c r="A3" s="417"/>
      <c r="B3" s="420"/>
      <c r="C3" s="412" t="s">
        <v>546</v>
      </c>
      <c r="D3" s="409" t="s">
        <v>592</v>
      </c>
      <c r="E3" s="410" t="s">
        <v>593</v>
      </c>
      <c r="F3" s="411" t="s">
        <v>594</v>
      </c>
      <c r="G3" s="417"/>
    </row>
    <row r="4" spans="1:7" x14ac:dyDescent="0.2">
      <c r="A4" s="417"/>
      <c r="B4" s="413" t="s">
        <v>595</v>
      </c>
      <c r="C4" s="414">
        <f>'Calculation (BC)'!H163</f>
        <v>0</v>
      </c>
      <c r="D4" s="407">
        <f>'Calculation (sI)'!G161</f>
        <v>0</v>
      </c>
      <c r="E4" s="415">
        <f>'Calculation (sII)'!G161</f>
        <v>0</v>
      </c>
      <c r="F4" s="416">
        <f>'Calculation (sIII)'!G161</f>
        <v>0</v>
      </c>
      <c r="G4" s="417"/>
    </row>
    <row r="5" spans="1:7" x14ac:dyDescent="0.2">
      <c r="A5" s="417"/>
      <c r="B5" s="408" t="s">
        <v>193</v>
      </c>
      <c r="C5" s="414">
        <f>'Calculation (BC)'!I163</f>
        <v>0</v>
      </c>
      <c r="D5" s="407">
        <f>'Calculation (sI)'!H161</f>
        <v>0</v>
      </c>
      <c r="E5" s="415">
        <f>'Calculation (sII)'!H161</f>
        <v>0</v>
      </c>
      <c r="F5" s="416">
        <f>'Calculation (sIII)'!H161</f>
        <v>0</v>
      </c>
      <c r="G5" s="417"/>
    </row>
    <row r="6" spans="1:7" x14ac:dyDescent="0.2">
      <c r="A6" s="417"/>
      <c r="B6" s="408" t="s">
        <v>194</v>
      </c>
      <c r="C6" s="414">
        <f>'Calculation (BC)'!J163</f>
        <v>0</v>
      </c>
      <c r="D6" s="407">
        <f>'Calculation (sI)'!I161</f>
        <v>0</v>
      </c>
      <c r="E6" s="415">
        <f>'Calculation (sII)'!I161</f>
        <v>0</v>
      </c>
      <c r="F6" s="416">
        <f>'Calculation (sIII)'!I161</f>
        <v>0</v>
      </c>
      <c r="G6" s="417"/>
    </row>
    <row r="7" spans="1:7" x14ac:dyDescent="0.2">
      <c r="A7" s="417"/>
      <c r="B7" s="408" t="s">
        <v>195</v>
      </c>
      <c r="C7" s="414">
        <f>'Calculation (BC)'!K163</f>
        <v>0</v>
      </c>
      <c r="D7" s="407">
        <f>'Calculation (sI)'!J161</f>
        <v>0</v>
      </c>
      <c r="E7" s="415">
        <f>'Calculation (sII)'!J161</f>
        <v>0</v>
      </c>
      <c r="F7" s="416">
        <f>'Calculation (sIII)'!J161</f>
        <v>0</v>
      </c>
      <c r="G7" s="417"/>
    </row>
    <row r="8" spans="1:7" x14ac:dyDescent="0.2">
      <c r="A8" s="417"/>
      <c r="B8" s="408" t="s">
        <v>196</v>
      </c>
      <c r="C8" s="414">
        <f>'Calculation (BC)'!L163</f>
        <v>0</v>
      </c>
      <c r="D8" s="407">
        <f>'Calculation (sI)'!K161</f>
        <v>0</v>
      </c>
      <c r="E8" s="415">
        <f>'Calculation (sII)'!K161</f>
        <v>0</v>
      </c>
      <c r="F8" s="416">
        <f>'Calculation (sIII)'!K161</f>
        <v>0</v>
      </c>
      <c r="G8" s="417"/>
    </row>
    <row r="9" spans="1:7" x14ac:dyDescent="0.2">
      <c r="A9" s="417"/>
      <c r="B9" s="408" t="s">
        <v>197</v>
      </c>
      <c r="C9" s="414">
        <f>'Calculation (BC)'!M163</f>
        <v>0</v>
      </c>
      <c r="D9" s="407">
        <f>'Calculation (sI)'!L161</f>
        <v>0</v>
      </c>
      <c r="E9" s="415">
        <f>'Calculation (sII)'!L161</f>
        <v>0</v>
      </c>
      <c r="F9" s="416">
        <f>'Calculation (sIII)'!L161</f>
        <v>0</v>
      </c>
      <c r="G9" s="417"/>
    </row>
    <row r="10" spans="1:7" ht="7" customHeight="1" x14ac:dyDescent="0.25">
      <c r="A10" s="418"/>
      <c r="B10" s="419"/>
      <c r="C10" s="419"/>
      <c r="D10" s="419"/>
      <c r="E10" s="419"/>
      <c r="F10" s="419"/>
      <c r="G10" s="418"/>
    </row>
  </sheetData>
  <sheetProtection sheet="1" objects="1" scenarios="1"/>
  <phoneticPr fontId="6" type="noConversion"/>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4BE31-23FB-B340-BFC9-7964A1C141D5}">
  <dimension ref="B2:EH19"/>
  <sheetViews>
    <sheetView showGridLines="0" workbookViewId="0">
      <selection activeCell="AR24" sqref="AR24"/>
    </sheetView>
  </sheetViews>
  <sheetFormatPr baseColWidth="10" defaultColWidth="3.33203125" defaultRowHeight="18" customHeight="1" x14ac:dyDescent="0.2"/>
  <cols>
    <col min="1" max="16384" width="3.33203125" style="272"/>
  </cols>
  <sheetData>
    <row r="2" spans="2:138" ht="18" customHeight="1" x14ac:dyDescent="0.2">
      <c r="B2" s="283" t="s">
        <v>231</v>
      </c>
      <c r="C2" s="275"/>
      <c r="D2" s="275"/>
      <c r="E2" s="275"/>
      <c r="F2" s="275"/>
      <c r="G2" s="275"/>
      <c r="H2" s="275"/>
      <c r="I2" s="275"/>
      <c r="J2" s="275"/>
      <c r="K2" s="275"/>
      <c r="L2" s="275"/>
      <c r="M2" s="275"/>
      <c r="N2" s="275"/>
      <c r="O2" s="275"/>
      <c r="P2" s="275"/>
      <c r="Q2" s="275"/>
      <c r="R2" s="275"/>
      <c r="S2" s="275"/>
      <c r="T2" s="275"/>
      <c r="U2" s="275"/>
      <c r="V2" s="275"/>
      <c r="W2" s="275"/>
      <c r="X2" s="275"/>
      <c r="Y2" s="275"/>
      <c r="Z2" s="275"/>
      <c r="AA2" s="279"/>
      <c r="AF2" s="283" t="s">
        <v>232</v>
      </c>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275"/>
      <c r="CA2" s="275"/>
      <c r="CB2" s="275"/>
      <c r="CC2" s="275"/>
      <c r="CD2" s="275"/>
      <c r="CE2" s="275"/>
      <c r="CF2" s="275"/>
      <c r="CG2" s="275"/>
      <c r="CH2" s="275"/>
      <c r="CI2" s="275"/>
      <c r="CJ2" s="275"/>
      <c r="CK2" s="275"/>
      <c r="CL2" s="275"/>
      <c r="CM2" s="275"/>
      <c r="CN2" s="275"/>
      <c r="CO2" s="275"/>
      <c r="CP2" s="275"/>
      <c r="CQ2" s="275"/>
      <c r="CR2" s="275"/>
      <c r="CS2" s="275"/>
      <c r="CT2" s="275"/>
      <c r="CU2" s="275"/>
      <c r="CV2" s="275"/>
      <c r="CW2" s="275"/>
      <c r="CX2" s="275"/>
      <c r="CY2" s="275"/>
      <c r="CZ2" s="275"/>
      <c r="DA2" s="275"/>
      <c r="DB2" s="275"/>
      <c r="DC2" s="275"/>
      <c r="DD2" s="275"/>
      <c r="DE2" s="275"/>
      <c r="DF2" s="275"/>
      <c r="DG2" s="275"/>
      <c r="DH2" s="275"/>
      <c r="DI2" s="275"/>
      <c r="DJ2" s="275"/>
      <c r="DK2" s="275"/>
      <c r="DL2" s="275"/>
      <c r="DM2" s="275"/>
      <c r="DN2" s="275"/>
      <c r="DO2" s="275"/>
      <c r="DP2" s="275"/>
      <c r="DQ2" s="275"/>
      <c r="DR2" s="275"/>
      <c r="DS2" s="275"/>
      <c r="DT2" s="275"/>
      <c r="DU2" s="275"/>
      <c r="DV2" s="275"/>
      <c r="DW2" s="275"/>
      <c r="DX2" s="275"/>
      <c r="DY2" s="275"/>
      <c r="DZ2" s="275"/>
      <c r="EA2" s="275"/>
      <c r="EB2" s="275"/>
      <c r="EC2" s="275"/>
      <c r="ED2" s="275"/>
      <c r="EE2" s="275"/>
      <c r="EF2" s="275"/>
      <c r="EG2" s="275"/>
      <c r="EH2" s="279"/>
    </row>
    <row r="3" spans="2:138" ht="7.5" customHeight="1" x14ac:dyDescent="0.2">
      <c r="B3" s="281"/>
      <c r="C3" s="282"/>
      <c r="D3" s="282"/>
      <c r="E3" s="282"/>
      <c r="F3" s="282"/>
      <c r="G3" s="282"/>
      <c r="H3" s="282"/>
      <c r="I3" s="275"/>
      <c r="J3" s="275"/>
      <c r="K3" s="275"/>
      <c r="L3" s="275"/>
      <c r="M3" s="275"/>
      <c r="N3" s="275"/>
      <c r="O3" s="275"/>
      <c r="P3" s="275"/>
      <c r="Q3" s="275"/>
      <c r="R3" s="275"/>
      <c r="S3" s="275"/>
      <c r="T3" s="275"/>
      <c r="U3" s="275"/>
      <c r="V3" s="275"/>
      <c r="W3" s="275"/>
      <c r="X3" s="275"/>
      <c r="Y3" s="275"/>
      <c r="Z3" s="275"/>
      <c r="AA3" s="279"/>
      <c r="AF3" s="281"/>
      <c r="AG3" s="282"/>
      <c r="AH3" s="282"/>
      <c r="AI3" s="282"/>
      <c r="AJ3" s="282"/>
      <c r="AK3" s="275"/>
      <c r="AL3" s="275"/>
      <c r="AM3" s="275"/>
      <c r="AN3" s="275"/>
      <c r="AO3" s="275"/>
      <c r="AP3" s="275"/>
      <c r="AQ3" s="275"/>
      <c r="AR3" s="275"/>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c r="CT3" s="275"/>
      <c r="CU3" s="275"/>
      <c r="CV3" s="275"/>
      <c r="CW3" s="275"/>
      <c r="CX3" s="275"/>
      <c r="CY3" s="275"/>
      <c r="CZ3" s="275"/>
      <c r="DA3" s="275"/>
      <c r="DB3" s="275"/>
      <c r="DC3" s="275"/>
      <c r="DD3" s="275"/>
      <c r="DE3" s="275"/>
      <c r="DF3" s="275"/>
      <c r="DG3" s="275"/>
      <c r="DH3" s="275"/>
      <c r="DI3" s="275"/>
      <c r="DJ3" s="275"/>
      <c r="DK3" s="275"/>
      <c r="DL3" s="275"/>
      <c r="DM3" s="275"/>
      <c r="DN3" s="275"/>
      <c r="DO3" s="275"/>
      <c r="DP3" s="275"/>
      <c r="DQ3" s="275"/>
      <c r="DR3" s="275"/>
      <c r="DS3" s="275"/>
      <c r="DT3" s="275"/>
      <c r="DU3" s="275"/>
      <c r="DV3" s="275"/>
      <c r="DW3" s="275"/>
      <c r="DX3" s="275"/>
      <c r="DY3" s="275"/>
      <c r="DZ3" s="275"/>
      <c r="EA3" s="275"/>
      <c r="EB3" s="275"/>
      <c r="EC3" s="275"/>
      <c r="ED3" s="275"/>
      <c r="EE3" s="275"/>
      <c r="EF3" s="275"/>
      <c r="EG3" s="275"/>
      <c r="EH3" s="279"/>
    </row>
    <row r="4" spans="2:138" ht="18" customHeight="1" x14ac:dyDescent="0.2">
      <c r="B4" s="276" t="s">
        <v>38</v>
      </c>
      <c r="C4" s="275" t="s">
        <v>312</v>
      </c>
      <c r="D4" s="275"/>
      <c r="E4" s="275"/>
      <c r="F4" s="275"/>
      <c r="G4" s="275"/>
      <c r="H4" s="275"/>
      <c r="I4" s="275"/>
      <c r="J4" s="275"/>
      <c r="K4" s="275"/>
      <c r="L4" s="275"/>
      <c r="M4" s="275"/>
      <c r="N4" s="275"/>
      <c r="O4" s="275"/>
      <c r="P4" s="275"/>
      <c r="Q4" s="275"/>
      <c r="R4" s="275"/>
      <c r="S4" s="275"/>
      <c r="T4" s="275"/>
      <c r="U4" s="275"/>
      <c r="V4" s="275"/>
      <c r="W4" s="275"/>
      <c r="X4" s="275"/>
      <c r="Y4" s="275"/>
      <c r="Z4" s="275"/>
      <c r="AA4" s="279"/>
      <c r="AF4" s="275" t="s">
        <v>321</v>
      </c>
      <c r="AG4" s="275"/>
      <c r="AH4" s="275"/>
      <c r="AI4" s="275"/>
      <c r="AJ4" s="275"/>
      <c r="AK4" s="275"/>
      <c r="AL4" s="275"/>
      <c r="AM4" s="275"/>
      <c r="AN4" s="275"/>
      <c r="AO4" s="275"/>
      <c r="AP4" s="275"/>
      <c r="AQ4" s="275"/>
      <c r="AR4" s="275"/>
      <c r="AS4" s="275"/>
      <c r="AT4" s="275"/>
      <c r="AU4" s="275"/>
      <c r="AV4" s="275"/>
      <c r="AW4" s="275"/>
      <c r="AX4" s="275"/>
      <c r="AY4" s="275"/>
      <c r="AZ4" s="275"/>
      <c r="BA4" s="275"/>
      <c r="BB4" s="275"/>
      <c r="BC4" s="275"/>
      <c r="BD4" s="275"/>
      <c r="BE4" s="275"/>
      <c r="BF4" s="275"/>
      <c r="BG4" s="275"/>
      <c r="BH4" s="275"/>
      <c r="BI4" s="275"/>
      <c r="BJ4" s="275"/>
      <c r="BK4" s="275"/>
      <c r="BL4" s="275"/>
      <c r="BM4" s="275"/>
      <c r="BN4" s="275"/>
      <c r="BO4" s="275"/>
      <c r="BP4" s="275"/>
      <c r="BQ4" s="275"/>
      <c r="BR4" s="275"/>
      <c r="BS4" s="275"/>
      <c r="BT4" s="275"/>
      <c r="BU4" s="275"/>
      <c r="BV4" s="275"/>
      <c r="BW4" s="275"/>
      <c r="BX4" s="275"/>
      <c r="BY4" s="275"/>
      <c r="BZ4" s="275"/>
      <c r="CA4" s="275"/>
      <c r="CB4" s="275"/>
      <c r="CC4" s="275"/>
      <c r="CD4" s="275"/>
      <c r="CE4" s="275"/>
      <c r="CF4" s="275"/>
      <c r="CG4" s="275"/>
      <c r="CH4" s="275"/>
      <c r="CI4" s="275"/>
      <c r="CJ4" s="275"/>
      <c r="CK4" s="275"/>
      <c r="CL4" s="275"/>
      <c r="CM4" s="275"/>
      <c r="CN4" s="275"/>
      <c r="CO4" s="275"/>
      <c r="CP4" s="275"/>
      <c r="CQ4" s="275"/>
      <c r="CR4" s="275"/>
      <c r="CS4" s="275"/>
      <c r="CT4" s="275"/>
      <c r="CU4" s="275"/>
      <c r="CV4" s="275"/>
      <c r="CW4" s="275"/>
      <c r="CX4" s="275"/>
      <c r="CY4" s="275"/>
      <c r="CZ4" s="275"/>
      <c r="DA4" s="275"/>
      <c r="DB4" s="275"/>
      <c r="DC4" s="275"/>
      <c r="DD4" s="275"/>
      <c r="DE4" s="275"/>
      <c r="DF4" s="275"/>
      <c r="DG4" s="275"/>
      <c r="DH4" s="275"/>
      <c r="DI4" s="275"/>
      <c r="DJ4" s="275"/>
      <c r="DK4" s="275"/>
      <c r="DL4" s="275"/>
      <c r="DM4" s="275"/>
      <c r="DN4" s="275"/>
      <c r="DO4" s="275"/>
      <c r="DP4" s="275"/>
      <c r="DQ4" s="275"/>
      <c r="DR4" s="275"/>
      <c r="DS4" s="275"/>
      <c r="DT4" s="275"/>
      <c r="DU4" s="275"/>
      <c r="DV4" s="275"/>
      <c r="DW4" s="275"/>
      <c r="DX4" s="275"/>
      <c r="DY4" s="275"/>
      <c r="DZ4" s="275"/>
      <c r="EA4" s="275"/>
      <c r="EB4" s="275"/>
      <c r="EC4" s="275"/>
      <c r="ED4" s="275"/>
      <c r="EE4" s="275"/>
      <c r="EF4" s="275"/>
      <c r="EG4" s="275"/>
      <c r="EH4" s="279"/>
    </row>
    <row r="5" spans="2:138" ht="18" customHeight="1" x14ac:dyDescent="0.2">
      <c r="B5" s="276" t="s">
        <v>38</v>
      </c>
      <c r="C5" s="275" t="s">
        <v>313</v>
      </c>
      <c r="D5" s="275"/>
      <c r="E5" s="275"/>
      <c r="F5" s="275"/>
      <c r="G5" s="275"/>
      <c r="H5" s="275"/>
      <c r="I5" s="275"/>
      <c r="J5" s="275"/>
      <c r="K5" s="275"/>
      <c r="L5" s="275"/>
      <c r="M5" s="275"/>
      <c r="N5" s="275"/>
      <c r="O5" s="275"/>
      <c r="P5" s="275"/>
      <c r="Q5" s="275"/>
      <c r="R5" s="275"/>
      <c r="S5" s="275"/>
      <c r="T5" s="275"/>
      <c r="U5" s="275"/>
      <c r="V5" s="275"/>
      <c r="W5" s="275"/>
      <c r="X5" s="275"/>
      <c r="Y5" s="275"/>
      <c r="Z5" s="275"/>
      <c r="AA5" s="279"/>
      <c r="AF5" s="275" t="s">
        <v>323</v>
      </c>
      <c r="AG5" s="275"/>
      <c r="AH5" s="275"/>
      <c r="AI5" s="275"/>
      <c r="AJ5" s="275"/>
      <c r="AK5" s="275"/>
      <c r="AL5" s="275"/>
      <c r="AM5" s="275"/>
      <c r="AN5" s="275"/>
      <c r="AO5" s="275"/>
      <c r="AP5" s="275"/>
      <c r="AQ5" s="275"/>
      <c r="AR5" s="275"/>
      <c r="AS5" s="275"/>
      <c r="AT5" s="275"/>
      <c r="AU5" s="275"/>
      <c r="AV5" s="275"/>
      <c r="AW5" s="275"/>
      <c r="AX5" s="275"/>
      <c r="AY5" s="275"/>
      <c r="AZ5" s="275"/>
      <c r="BA5" s="275"/>
      <c r="BB5" s="275"/>
      <c r="BC5" s="275"/>
      <c r="BD5" s="275"/>
      <c r="BE5" s="275"/>
      <c r="BF5" s="275"/>
      <c r="BG5" s="275"/>
      <c r="BH5" s="275"/>
      <c r="BI5" s="275"/>
      <c r="BJ5" s="275"/>
      <c r="BK5" s="275"/>
      <c r="BL5" s="275"/>
      <c r="BM5" s="275"/>
      <c r="BN5" s="275"/>
      <c r="BO5" s="275"/>
      <c r="BP5" s="275"/>
      <c r="BQ5" s="275"/>
      <c r="BR5" s="275"/>
      <c r="BS5" s="275"/>
      <c r="BT5" s="275"/>
      <c r="BU5" s="275"/>
      <c r="BV5" s="275"/>
      <c r="BW5" s="275"/>
      <c r="BX5" s="275"/>
      <c r="BY5" s="275"/>
      <c r="BZ5" s="275"/>
      <c r="CA5" s="275"/>
      <c r="CB5" s="275"/>
      <c r="CC5" s="275"/>
      <c r="CD5" s="275"/>
      <c r="CE5" s="275"/>
      <c r="CF5" s="275"/>
      <c r="CG5" s="275"/>
      <c r="CH5" s="275"/>
      <c r="CI5" s="275"/>
      <c r="CJ5" s="275"/>
      <c r="CK5" s="275"/>
      <c r="CL5" s="275"/>
      <c r="CM5" s="275"/>
      <c r="CN5" s="275"/>
      <c r="CO5" s="275"/>
      <c r="CP5" s="275"/>
      <c r="CQ5" s="275"/>
      <c r="CR5" s="275"/>
      <c r="CS5" s="275"/>
      <c r="CT5" s="275"/>
      <c r="CU5" s="275"/>
      <c r="CV5" s="275"/>
      <c r="CW5" s="275"/>
      <c r="CX5" s="275"/>
      <c r="CY5" s="275"/>
      <c r="CZ5" s="275"/>
      <c r="DA5" s="275"/>
      <c r="DB5" s="275"/>
      <c r="DC5" s="275"/>
      <c r="DD5" s="275"/>
      <c r="DE5" s="275"/>
      <c r="DF5" s="275"/>
      <c r="DG5" s="275"/>
      <c r="DH5" s="275"/>
      <c r="DI5" s="275"/>
      <c r="DJ5" s="275"/>
      <c r="DK5" s="275"/>
      <c r="DL5" s="275"/>
      <c r="DM5" s="275"/>
      <c r="DN5" s="275"/>
      <c r="DO5" s="275"/>
      <c r="DP5" s="275"/>
      <c r="DQ5" s="275"/>
      <c r="DR5" s="275"/>
      <c r="DS5" s="275"/>
      <c r="DT5" s="275"/>
      <c r="DU5" s="275"/>
      <c r="DV5" s="275"/>
      <c r="DW5" s="275"/>
      <c r="DX5" s="275"/>
      <c r="DY5" s="275"/>
      <c r="DZ5" s="275"/>
      <c r="EA5" s="275"/>
      <c r="EB5" s="275"/>
      <c r="EC5" s="275"/>
      <c r="ED5" s="275"/>
      <c r="EE5" s="275"/>
      <c r="EF5" s="275"/>
      <c r="EG5" s="275"/>
      <c r="EH5" s="279"/>
    </row>
    <row r="6" spans="2:138" ht="18" customHeight="1" x14ac:dyDescent="0.2">
      <c r="B6" s="276" t="s">
        <v>38</v>
      </c>
      <c r="C6" s="275" t="s">
        <v>314</v>
      </c>
      <c r="D6" s="275"/>
      <c r="E6" s="275"/>
      <c r="F6" s="275"/>
      <c r="G6" s="275"/>
      <c r="H6" s="275"/>
      <c r="I6" s="275"/>
      <c r="J6" s="275"/>
      <c r="K6" s="275"/>
      <c r="L6" s="275"/>
      <c r="M6" s="275"/>
      <c r="N6" s="275"/>
      <c r="O6" s="275"/>
      <c r="P6" s="275"/>
      <c r="Q6" s="275"/>
      <c r="R6" s="275"/>
      <c r="S6" s="275"/>
      <c r="T6" s="275"/>
      <c r="U6" s="275"/>
      <c r="V6" s="275"/>
      <c r="W6" s="275"/>
      <c r="X6" s="275"/>
      <c r="Y6" s="275"/>
      <c r="Z6" s="275"/>
      <c r="AA6" s="279"/>
      <c r="AF6" s="275" t="s">
        <v>322</v>
      </c>
      <c r="AG6" s="275"/>
      <c r="AH6" s="275"/>
      <c r="AI6" s="275"/>
      <c r="AJ6" s="275"/>
      <c r="AK6" s="275"/>
      <c r="AL6" s="275"/>
      <c r="AM6" s="275"/>
      <c r="AN6" s="275"/>
      <c r="AO6" s="275"/>
      <c r="AP6" s="275"/>
      <c r="AQ6" s="275"/>
      <c r="AR6" s="275"/>
      <c r="AS6" s="275"/>
      <c r="AT6" s="275"/>
      <c r="AU6" s="275"/>
      <c r="AV6" s="275"/>
      <c r="AW6" s="275"/>
      <c r="AX6" s="275"/>
      <c r="AY6" s="275"/>
      <c r="AZ6" s="275"/>
      <c r="BA6" s="275"/>
      <c r="BB6" s="275"/>
      <c r="BC6" s="275"/>
      <c r="BD6" s="275"/>
      <c r="BE6" s="275"/>
      <c r="BF6" s="275"/>
      <c r="BG6" s="275"/>
      <c r="BH6" s="275"/>
      <c r="BI6" s="275"/>
      <c r="BJ6" s="275"/>
      <c r="BK6" s="275"/>
      <c r="BL6" s="275"/>
      <c r="BM6" s="275"/>
      <c r="BN6" s="275"/>
      <c r="BO6" s="275"/>
      <c r="BP6" s="275"/>
      <c r="BQ6" s="275"/>
      <c r="BR6" s="275"/>
      <c r="BS6" s="275"/>
      <c r="BT6" s="275"/>
      <c r="BU6" s="275"/>
      <c r="BV6" s="275"/>
      <c r="BW6" s="275"/>
      <c r="BX6" s="275"/>
      <c r="BY6" s="275"/>
      <c r="BZ6" s="275"/>
      <c r="CA6" s="275"/>
      <c r="CB6" s="275"/>
      <c r="CC6" s="275"/>
      <c r="CD6" s="275"/>
      <c r="CE6" s="275"/>
      <c r="CF6" s="275"/>
      <c r="CG6" s="275"/>
      <c r="CH6" s="275"/>
      <c r="CI6" s="275"/>
      <c r="CJ6" s="275"/>
      <c r="CK6" s="275"/>
      <c r="CL6" s="275"/>
      <c r="CM6" s="275"/>
      <c r="CN6" s="275"/>
      <c r="CO6" s="275"/>
      <c r="CP6" s="275"/>
      <c r="CQ6" s="275"/>
      <c r="CR6" s="275"/>
      <c r="CS6" s="275"/>
      <c r="CT6" s="275"/>
      <c r="CU6" s="275"/>
      <c r="CV6" s="275"/>
      <c r="CW6" s="275"/>
      <c r="CX6" s="275"/>
      <c r="CY6" s="275"/>
      <c r="CZ6" s="275"/>
      <c r="DA6" s="275"/>
      <c r="DB6" s="275"/>
      <c r="DC6" s="275"/>
      <c r="DD6" s="275"/>
      <c r="DE6" s="275"/>
      <c r="DF6" s="275"/>
      <c r="DG6" s="275"/>
      <c r="DH6" s="275"/>
      <c r="DI6" s="275"/>
      <c r="DJ6" s="275"/>
      <c r="DK6" s="275"/>
      <c r="DL6" s="275"/>
      <c r="DM6" s="275"/>
      <c r="DN6" s="275"/>
      <c r="DO6" s="275"/>
      <c r="DP6" s="275"/>
      <c r="DQ6" s="275"/>
      <c r="DR6" s="275"/>
      <c r="DS6" s="275"/>
      <c r="DT6" s="275"/>
      <c r="DU6" s="275"/>
      <c r="DV6" s="275"/>
      <c r="DW6" s="275"/>
      <c r="DX6" s="275"/>
      <c r="DY6" s="275"/>
      <c r="DZ6" s="275"/>
      <c r="EA6" s="275"/>
      <c r="EB6" s="275"/>
      <c r="EC6" s="275"/>
      <c r="ED6" s="275"/>
      <c r="EE6" s="275"/>
      <c r="EF6" s="275"/>
      <c r="EG6" s="275"/>
      <c r="EH6" s="279"/>
    </row>
    <row r="7" spans="2:138" ht="18" customHeight="1" x14ac:dyDescent="0.2">
      <c r="B7" s="276" t="s">
        <v>38</v>
      </c>
      <c r="C7" s="275" t="s">
        <v>317</v>
      </c>
      <c r="D7" s="275"/>
      <c r="E7" s="275"/>
      <c r="F7" s="275"/>
      <c r="G7" s="275"/>
      <c r="H7" s="275"/>
      <c r="I7" s="275"/>
      <c r="J7" s="275"/>
      <c r="K7" s="275"/>
      <c r="L7" s="275"/>
      <c r="M7" s="275"/>
      <c r="N7" s="275"/>
      <c r="O7" s="275"/>
      <c r="P7" s="275"/>
      <c r="Q7" s="275"/>
      <c r="R7" s="275"/>
      <c r="S7" s="275"/>
      <c r="T7" s="275"/>
      <c r="U7" s="275"/>
      <c r="V7" s="275"/>
      <c r="W7" s="275"/>
      <c r="X7" s="275"/>
      <c r="Y7" s="275"/>
      <c r="Z7" s="275"/>
      <c r="AA7" s="279"/>
      <c r="AF7" s="275" t="s">
        <v>329</v>
      </c>
      <c r="AG7" s="275"/>
      <c r="AH7" s="275"/>
      <c r="AI7" s="275"/>
      <c r="AJ7" s="275"/>
      <c r="AK7" s="275"/>
      <c r="AL7" s="275"/>
      <c r="AM7" s="275"/>
      <c r="AN7" s="275"/>
      <c r="AO7" s="275"/>
      <c r="AP7" s="275"/>
      <c r="AQ7" s="275"/>
      <c r="AR7" s="275"/>
      <c r="AS7" s="275"/>
      <c r="AT7" s="275"/>
      <c r="AU7" s="275"/>
      <c r="AV7" s="275"/>
      <c r="AW7" s="275"/>
      <c r="AX7" s="275"/>
      <c r="AY7" s="275"/>
      <c r="AZ7" s="275"/>
      <c r="BA7" s="275"/>
      <c r="BB7" s="275"/>
      <c r="BC7" s="275"/>
      <c r="BD7" s="275"/>
      <c r="BE7" s="275"/>
      <c r="BF7" s="275"/>
      <c r="BG7" s="275"/>
      <c r="BH7" s="275"/>
      <c r="BI7" s="275"/>
      <c r="BJ7" s="275"/>
      <c r="BK7" s="275"/>
      <c r="BL7" s="275"/>
      <c r="BM7" s="275"/>
      <c r="BN7" s="275"/>
      <c r="BO7" s="275"/>
      <c r="BP7" s="275"/>
      <c r="BQ7" s="275"/>
      <c r="BR7" s="275"/>
      <c r="BS7" s="275"/>
      <c r="BT7" s="275"/>
      <c r="BU7" s="275"/>
      <c r="BV7" s="275"/>
      <c r="BW7" s="275"/>
      <c r="BX7" s="275"/>
      <c r="BY7" s="275"/>
      <c r="BZ7" s="275"/>
      <c r="CA7" s="275"/>
      <c r="CB7" s="275"/>
      <c r="CC7" s="275"/>
      <c r="CD7" s="275"/>
      <c r="CE7" s="275"/>
      <c r="CF7" s="275"/>
      <c r="CG7" s="275"/>
      <c r="CH7" s="275"/>
      <c r="CI7" s="275"/>
      <c r="CJ7" s="275"/>
      <c r="CK7" s="275"/>
      <c r="CL7" s="275"/>
      <c r="CM7" s="275"/>
      <c r="CN7" s="275"/>
      <c r="CO7" s="275"/>
      <c r="CP7" s="275"/>
      <c r="CQ7" s="275"/>
      <c r="CR7" s="275"/>
      <c r="CS7" s="275"/>
      <c r="CT7" s="275"/>
      <c r="CU7" s="275"/>
      <c r="CV7" s="275"/>
      <c r="CW7" s="275"/>
      <c r="CX7" s="275"/>
      <c r="CY7" s="275"/>
      <c r="CZ7" s="275"/>
      <c r="DA7" s="275"/>
      <c r="DB7" s="275"/>
      <c r="DC7" s="275"/>
      <c r="DD7" s="275"/>
      <c r="DE7" s="275"/>
      <c r="DF7" s="275"/>
      <c r="DG7" s="275"/>
      <c r="DH7" s="275"/>
      <c r="DI7" s="275"/>
      <c r="DJ7" s="275"/>
      <c r="DK7" s="275"/>
      <c r="DL7" s="275"/>
      <c r="DM7" s="275"/>
      <c r="DN7" s="275"/>
      <c r="DO7" s="275"/>
      <c r="DP7" s="275"/>
      <c r="DQ7" s="275"/>
      <c r="DR7" s="275"/>
      <c r="DS7" s="275"/>
      <c r="DT7" s="275"/>
      <c r="DU7" s="275"/>
      <c r="DV7" s="275"/>
      <c r="DW7" s="275"/>
      <c r="DX7" s="275"/>
      <c r="DY7" s="275"/>
      <c r="DZ7" s="275"/>
      <c r="EA7" s="275"/>
      <c r="EB7" s="275"/>
      <c r="EC7" s="275"/>
      <c r="ED7" s="275"/>
      <c r="EE7" s="275"/>
      <c r="EF7" s="275"/>
      <c r="EG7" s="275"/>
      <c r="EH7" s="279"/>
    </row>
    <row r="8" spans="2:138" ht="18" customHeight="1" x14ac:dyDescent="0.2">
      <c r="B8" s="276" t="s">
        <v>38</v>
      </c>
      <c r="C8" s="275" t="s">
        <v>318</v>
      </c>
      <c r="D8" s="275"/>
      <c r="E8" s="275"/>
      <c r="F8" s="275"/>
      <c r="G8" s="275"/>
      <c r="H8" s="275"/>
      <c r="I8" s="275"/>
      <c r="J8" s="275"/>
      <c r="K8" s="275"/>
      <c r="L8" s="275"/>
      <c r="M8" s="275"/>
      <c r="N8" s="275"/>
      <c r="O8" s="275"/>
      <c r="P8" s="275"/>
      <c r="Q8" s="275"/>
      <c r="R8" s="275"/>
      <c r="S8" s="275"/>
      <c r="T8" s="275"/>
      <c r="U8" s="275"/>
      <c r="V8" s="275"/>
      <c r="W8" s="275"/>
      <c r="X8" s="275"/>
      <c r="Y8" s="275"/>
      <c r="Z8" s="275"/>
      <c r="AA8" s="279"/>
      <c r="AF8" s="275" t="s">
        <v>327</v>
      </c>
      <c r="AG8" s="275"/>
      <c r="AH8" s="275"/>
      <c r="AI8" s="275"/>
      <c r="AJ8" s="275"/>
      <c r="AK8" s="275"/>
      <c r="AL8" s="275"/>
      <c r="AM8" s="275"/>
      <c r="AN8" s="275"/>
      <c r="AO8" s="275"/>
      <c r="AP8" s="275"/>
      <c r="AQ8" s="275"/>
      <c r="AR8" s="275"/>
      <c r="AS8" s="275"/>
      <c r="AT8" s="275"/>
      <c r="AU8" s="275"/>
      <c r="AV8" s="275"/>
      <c r="AW8" s="275"/>
      <c r="AX8" s="275"/>
      <c r="AY8" s="275"/>
      <c r="AZ8" s="275"/>
      <c r="BA8" s="275"/>
      <c r="BB8" s="275"/>
      <c r="BC8" s="275"/>
      <c r="BD8" s="275"/>
      <c r="BE8" s="275"/>
      <c r="BF8" s="275"/>
      <c r="BG8" s="275"/>
      <c r="BH8" s="275"/>
      <c r="BI8" s="275"/>
      <c r="BJ8" s="275"/>
      <c r="BK8" s="275"/>
      <c r="BL8" s="275"/>
      <c r="BM8" s="275"/>
      <c r="BN8" s="275"/>
      <c r="BO8" s="275"/>
      <c r="BP8" s="275"/>
      <c r="BQ8" s="275"/>
      <c r="BR8" s="275"/>
      <c r="BS8" s="275"/>
      <c r="BT8" s="275"/>
      <c r="BU8" s="275"/>
      <c r="BV8" s="275"/>
      <c r="BW8" s="275"/>
      <c r="BX8" s="275"/>
      <c r="BY8" s="275"/>
      <c r="BZ8" s="275"/>
      <c r="CA8" s="275"/>
      <c r="CB8" s="275"/>
      <c r="CC8" s="275"/>
      <c r="CD8" s="275"/>
      <c r="CE8" s="275"/>
      <c r="CF8" s="275"/>
      <c r="CG8" s="275"/>
      <c r="CH8" s="275"/>
      <c r="CI8" s="275"/>
      <c r="CJ8" s="275"/>
      <c r="CK8" s="275"/>
      <c r="CL8" s="275"/>
      <c r="CM8" s="275"/>
      <c r="CN8" s="275"/>
      <c r="CO8" s="275"/>
      <c r="CP8" s="275"/>
      <c r="CQ8" s="275"/>
      <c r="CR8" s="275"/>
      <c r="CS8" s="275"/>
      <c r="CT8" s="275"/>
      <c r="CU8" s="275"/>
      <c r="CV8" s="275"/>
      <c r="CW8" s="275"/>
      <c r="CX8" s="275"/>
      <c r="CY8" s="275"/>
      <c r="CZ8" s="275"/>
      <c r="DA8" s="275"/>
      <c r="DB8" s="275"/>
      <c r="DC8" s="275"/>
      <c r="DD8" s="275"/>
      <c r="DE8" s="275"/>
      <c r="DF8" s="275"/>
      <c r="DG8" s="275"/>
      <c r="DH8" s="275"/>
      <c r="DI8" s="275"/>
      <c r="DJ8" s="275"/>
      <c r="DK8" s="275"/>
      <c r="DL8" s="275"/>
      <c r="DM8" s="275"/>
      <c r="DN8" s="275"/>
      <c r="DO8" s="275"/>
      <c r="DP8" s="275"/>
      <c r="DQ8" s="275"/>
      <c r="DR8" s="275"/>
      <c r="DS8" s="275"/>
      <c r="DT8" s="275"/>
      <c r="DU8" s="275"/>
      <c r="DV8" s="275"/>
      <c r="DW8" s="275"/>
      <c r="DX8" s="275"/>
      <c r="DY8" s="275"/>
      <c r="DZ8" s="275"/>
      <c r="EA8" s="275"/>
      <c r="EB8" s="275"/>
      <c r="EC8" s="275"/>
      <c r="ED8" s="275"/>
      <c r="EE8" s="275"/>
      <c r="EF8" s="275"/>
      <c r="EG8" s="275"/>
      <c r="EH8" s="279"/>
    </row>
    <row r="9" spans="2:138" ht="18" customHeight="1" x14ac:dyDescent="0.2">
      <c r="B9" s="276" t="s">
        <v>38</v>
      </c>
      <c r="C9" s="275" t="s">
        <v>315</v>
      </c>
      <c r="D9" s="275"/>
      <c r="E9" s="275"/>
      <c r="F9" s="275"/>
      <c r="G9" s="275"/>
      <c r="H9" s="275"/>
      <c r="I9" s="275"/>
      <c r="J9" s="275"/>
      <c r="K9" s="275"/>
      <c r="L9" s="275"/>
      <c r="M9" s="275"/>
      <c r="N9" s="275"/>
      <c r="O9" s="275"/>
      <c r="P9" s="275"/>
      <c r="Q9" s="275"/>
      <c r="R9" s="275"/>
      <c r="S9" s="275"/>
      <c r="T9" s="275"/>
      <c r="U9" s="275"/>
      <c r="V9" s="275"/>
      <c r="W9" s="275"/>
      <c r="X9" s="275"/>
      <c r="Y9" s="275"/>
      <c r="Z9" s="275"/>
      <c r="AA9" s="279"/>
      <c r="AF9" s="275" t="s">
        <v>325</v>
      </c>
      <c r="AG9" s="275"/>
      <c r="AH9" s="275"/>
      <c r="AI9" s="275"/>
      <c r="AJ9" s="275"/>
      <c r="AK9" s="275"/>
      <c r="AL9" s="275"/>
      <c r="AM9" s="275"/>
      <c r="AN9" s="275"/>
      <c r="AO9" s="275"/>
      <c r="AP9" s="275"/>
      <c r="AQ9" s="275"/>
      <c r="AR9" s="275"/>
      <c r="AS9" s="275"/>
      <c r="AT9" s="275"/>
      <c r="AU9" s="275"/>
      <c r="AV9" s="275"/>
      <c r="AW9" s="275"/>
      <c r="AX9" s="275"/>
      <c r="AY9" s="275"/>
      <c r="AZ9" s="275"/>
      <c r="BA9" s="275"/>
      <c r="BB9" s="275"/>
      <c r="BC9" s="275"/>
      <c r="BD9" s="275"/>
      <c r="BE9" s="275"/>
      <c r="BF9" s="275"/>
      <c r="BG9" s="275"/>
      <c r="BH9" s="275"/>
      <c r="BI9" s="275"/>
      <c r="BJ9" s="275"/>
      <c r="BK9" s="275"/>
      <c r="BL9" s="275"/>
      <c r="BM9" s="275"/>
      <c r="BN9" s="275"/>
      <c r="BO9" s="275"/>
      <c r="BP9" s="275"/>
      <c r="BQ9" s="275"/>
      <c r="BR9" s="275"/>
      <c r="BS9" s="275"/>
      <c r="BT9" s="275"/>
      <c r="BU9" s="275"/>
      <c r="BV9" s="275"/>
      <c r="BW9" s="275"/>
      <c r="BX9" s="275"/>
      <c r="BY9" s="275"/>
      <c r="BZ9" s="275"/>
      <c r="CA9" s="275"/>
      <c r="CB9" s="275"/>
      <c r="CC9" s="275"/>
      <c r="CD9" s="275"/>
      <c r="CE9" s="275"/>
      <c r="CF9" s="275"/>
      <c r="CG9" s="275"/>
      <c r="CH9" s="275"/>
      <c r="CI9" s="275"/>
      <c r="CJ9" s="275"/>
      <c r="CK9" s="275"/>
      <c r="CL9" s="275"/>
      <c r="CM9" s="275"/>
      <c r="CN9" s="275"/>
      <c r="CO9" s="275"/>
      <c r="CP9" s="275"/>
      <c r="CQ9" s="275"/>
      <c r="CR9" s="275"/>
      <c r="CS9" s="275"/>
      <c r="CT9" s="275"/>
      <c r="CU9" s="275"/>
      <c r="CV9" s="275"/>
      <c r="CW9" s="275"/>
      <c r="CX9" s="275"/>
      <c r="CY9" s="275"/>
      <c r="CZ9" s="275"/>
      <c r="DA9" s="275"/>
      <c r="DB9" s="275"/>
      <c r="DC9" s="275"/>
      <c r="DD9" s="275"/>
      <c r="DE9" s="275"/>
      <c r="DF9" s="275"/>
      <c r="DG9" s="275"/>
      <c r="DH9" s="275"/>
      <c r="DI9" s="275"/>
      <c r="DJ9" s="275"/>
      <c r="DK9" s="275"/>
      <c r="DL9" s="275"/>
      <c r="DM9" s="275"/>
      <c r="DN9" s="275"/>
      <c r="DO9" s="275"/>
      <c r="DP9" s="275"/>
      <c r="DQ9" s="275"/>
      <c r="DR9" s="275"/>
      <c r="DS9" s="275"/>
      <c r="DT9" s="275"/>
      <c r="DU9" s="275"/>
      <c r="DV9" s="275"/>
      <c r="DW9" s="275"/>
      <c r="DX9" s="275"/>
      <c r="DY9" s="275"/>
      <c r="DZ9" s="275"/>
      <c r="EA9" s="275"/>
      <c r="EB9" s="275"/>
      <c r="EC9" s="275"/>
      <c r="ED9" s="275"/>
      <c r="EE9" s="275"/>
      <c r="EF9" s="275"/>
      <c r="EG9" s="275"/>
      <c r="EH9" s="279"/>
    </row>
    <row r="10" spans="2:138" ht="18" customHeight="1" x14ac:dyDescent="0.2">
      <c r="B10" s="276" t="s">
        <v>38</v>
      </c>
      <c r="C10" s="275" t="s">
        <v>316</v>
      </c>
      <c r="D10" s="275"/>
      <c r="E10" s="275"/>
      <c r="F10" s="275"/>
      <c r="G10" s="275"/>
      <c r="H10" s="275"/>
      <c r="I10" s="275"/>
      <c r="J10" s="275"/>
      <c r="K10" s="275"/>
      <c r="L10" s="275"/>
      <c r="M10" s="275"/>
      <c r="N10" s="275"/>
      <c r="O10" s="275"/>
      <c r="P10" s="275"/>
      <c r="Q10" s="275"/>
      <c r="R10" s="275"/>
      <c r="S10" s="275"/>
      <c r="T10" s="275"/>
      <c r="U10" s="275"/>
      <c r="V10" s="275"/>
      <c r="W10" s="275"/>
      <c r="X10" s="275"/>
      <c r="Y10" s="275"/>
      <c r="Z10" s="275"/>
      <c r="AA10" s="279"/>
      <c r="AF10" s="275" t="s">
        <v>320</v>
      </c>
      <c r="AG10" s="275"/>
      <c r="AH10" s="275"/>
      <c r="AI10" s="275"/>
      <c r="AJ10" s="275"/>
      <c r="AK10" s="275"/>
      <c r="AL10" s="275"/>
      <c r="AM10" s="275"/>
      <c r="AN10" s="275"/>
      <c r="AO10" s="275"/>
      <c r="AP10" s="275"/>
      <c r="AQ10" s="275"/>
      <c r="AR10" s="275"/>
      <c r="AS10" s="275"/>
      <c r="AT10" s="275"/>
      <c r="AU10" s="275"/>
      <c r="AV10" s="275"/>
      <c r="AW10" s="275"/>
      <c r="AX10" s="275"/>
      <c r="AY10" s="275"/>
      <c r="AZ10" s="275"/>
      <c r="BA10" s="275"/>
      <c r="BB10" s="275"/>
      <c r="BC10" s="275"/>
      <c r="BD10" s="275"/>
      <c r="BE10" s="275"/>
      <c r="BF10" s="275"/>
      <c r="BG10" s="275"/>
      <c r="BH10" s="275"/>
      <c r="BI10" s="275"/>
      <c r="BJ10" s="275"/>
      <c r="BK10" s="275"/>
      <c r="BL10" s="275"/>
      <c r="BM10" s="275"/>
      <c r="BN10" s="275"/>
      <c r="BO10" s="275"/>
      <c r="BP10" s="275"/>
      <c r="BQ10" s="275"/>
      <c r="BR10" s="275"/>
      <c r="BS10" s="275"/>
      <c r="BT10" s="275"/>
      <c r="BU10" s="275"/>
      <c r="BV10" s="275"/>
      <c r="BW10" s="275"/>
      <c r="BX10" s="275"/>
      <c r="BY10" s="275"/>
      <c r="BZ10" s="275"/>
      <c r="CA10" s="275"/>
      <c r="CB10" s="275"/>
      <c r="CC10" s="275"/>
      <c r="CD10" s="275"/>
      <c r="CE10" s="275"/>
      <c r="CF10" s="275"/>
      <c r="CG10" s="275"/>
      <c r="CH10" s="275"/>
      <c r="CI10" s="275"/>
      <c r="CJ10" s="275"/>
      <c r="CK10" s="275"/>
      <c r="CL10" s="275"/>
      <c r="CM10" s="275"/>
      <c r="CN10" s="275"/>
      <c r="CO10" s="275"/>
      <c r="CP10" s="275"/>
      <c r="CQ10" s="275"/>
      <c r="CR10" s="275"/>
      <c r="CS10" s="275"/>
      <c r="CT10" s="275"/>
      <c r="CU10" s="275"/>
      <c r="CV10" s="275"/>
      <c r="CW10" s="275"/>
      <c r="CX10" s="275"/>
      <c r="CY10" s="275"/>
      <c r="CZ10" s="275"/>
      <c r="DA10" s="275"/>
      <c r="DB10" s="275"/>
      <c r="DC10" s="275"/>
      <c r="DD10" s="275"/>
      <c r="DE10" s="275"/>
      <c r="DF10" s="275"/>
      <c r="DG10" s="275"/>
      <c r="DH10" s="275"/>
      <c r="DI10" s="275"/>
      <c r="DJ10" s="275"/>
      <c r="DK10" s="275"/>
      <c r="DL10" s="275"/>
      <c r="DM10" s="275"/>
      <c r="DN10" s="275"/>
      <c r="DO10" s="275"/>
      <c r="DP10" s="275"/>
      <c r="DQ10" s="275"/>
      <c r="DR10" s="275"/>
      <c r="DS10" s="275"/>
      <c r="DT10" s="275"/>
      <c r="DU10" s="275"/>
      <c r="DV10" s="275"/>
      <c r="DW10" s="275"/>
      <c r="DX10" s="275"/>
      <c r="DY10" s="275"/>
      <c r="DZ10" s="275"/>
      <c r="EA10" s="275"/>
      <c r="EB10" s="275"/>
      <c r="EC10" s="275"/>
      <c r="ED10" s="275"/>
      <c r="EE10" s="275"/>
      <c r="EF10" s="275"/>
      <c r="EG10" s="275"/>
      <c r="EH10" s="279"/>
    </row>
    <row r="11" spans="2:138" ht="18" customHeight="1" thickBot="1" x14ac:dyDescent="0.25">
      <c r="B11" s="277"/>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278"/>
      <c r="AA11" s="280"/>
      <c r="AF11" s="275" t="s">
        <v>326</v>
      </c>
      <c r="AG11" s="275"/>
      <c r="AH11" s="275"/>
      <c r="AI11" s="275"/>
      <c r="AJ11" s="275"/>
      <c r="AK11" s="275"/>
      <c r="AL11" s="275"/>
      <c r="AM11" s="275"/>
      <c r="AN11" s="275"/>
      <c r="AO11" s="275"/>
      <c r="AP11" s="275"/>
      <c r="AQ11" s="275"/>
      <c r="AR11" s="275"/>
      <c r="AS11" s="275"/>
      <c r="AT11" s="275"/>
      <c r="AU11" s="275"/>
      <c r="AV11" s="275"/>
      <c r="AW11" s="275"/>
      <c r="AX11" s="275"/>
      <c r="AY11" s="275"/>
      <c r="AZ11" s="275"/>
      <c r="BA11" s="275"/>
      <c r="BB11" s="275"/>
      <c r="BC11" s="275"/>
      <c r="BD11" s="275"/>
      <c r="BE11" s="275"/>
      <c r="BF11" s="275"/>
      <c r="BG11" s="275"/>
      <c r="BH11" s="275"/>
      <c r="BI11" s="275"/>
      <c r="BJ11" s="275"/>
      <c r="BK11" s="275"/>
      <c r="BL11" s="275"/>
      <c r="BM11" s="275"/>
      <c r="BN11" s="275"/>
      <c r="BO11" s="275"/>
      <c r="BP11" s="275"/>
      <c r="BQ11" s="275"/>
      <c r="BR11" s="275"/>
      <c r="BS11" s="275"/>
      <c r="BT11" s="275"/>
      <c r="BU11" s="275"/>
      <c r="BV11" s="275"/>
      <c r="BW11" s="275"/>
      <c r="BX11" s="275"/>
      <c r="BY11" s="275"/>
      <c r="BZ11" s="275"/>
      <c r="CA11" s="275"/>
      <c r="CB11" s="275"/>
      <c r="CC11" s="275"/>
      <c r="CD11" s="275"/>
      <c r="CE11" s="275"/>
      <c r="CF11" s="275"/>
      <c r="CG11" s="275"/>
      <c r="CH11" s="275"/>
      <c r="CI11" s="275"/>
      <c r="CJ11" s="275"/>
      <c r="CK11" s="275"/>
      <c r="CL11" s="275"/>
      <c r="CM11" s="275"/>
      <c r="CN11" s="275"/>
      <c r="CO11" s="275"/>
      <c r="CP11" s="275"/>
      <c r="CQ11" s="275"/>
      <c r="CR11" s="275"/>
      <c r="CS11" s="275"/>
      <c r="CT11" s="275"/>
      <c r="CU11" s="275"/>
      <c r="CV11" s="275"/>
      <c r="CW11" s="275"/>
      <c r="CX11" s="275"/>
      <c r="CY11" s="275"/>
      <c r="CZ11" s="275"/>
      <c r="DA11" s="275"/>
      <c r="DB11" s="275"/>
      <c r="DC11" s="275"/>
      <c r="DD11" s="275"/>
      <c r="DE11" s="275"/>
      <c r="DF11" s="275"/>
      <c r="DG11" s="275"/>
      <c r="DH11" s="275"/>
      <c r="DI11" s="275"/>
      <c r="DJ11" s="275"/>
      <c r="DK11" s="275"/>
      <c r="DL11" s="275"/>
      <c r="DM11" s="275"/>
      <c r="DN11" s="275"/>
      <c r="DO11" s="275"/>
      <c r="DP11" s="275"/>
      <c r="DQ11" s="275"/>
      <c r="DR11" s="275"/>
      <c r="DS11" s="275"/>
      <c r="DT11" s="275"/>
      <c r="DU11" s="275"/>
      <c r="DV11" s="275"/>
      <c r="DW11" s="275"/>
      <c r="DX11" s="275"/>
      <c r="DY11" s="275"/>
      <c r="DZ11" s="275"/>
      <c r="EA11" s="275"/>
      <c r="EB11" s="275"/>
      <c r="EC11" s="275"/>
      <c r="ED11" s="275"/>
      <c r="EE11" s="275"/>
      <c r="EF11" s="275"/>
      <c r="EG11" s="275"/>
      <c r="EH11" s="279"/>
    </row>
    <row r="12" spans="2:138" ht="18" customHeight="1" x14ac:dyDescent="0.2">
      <c r="B12" s="274"/>
      <c r="AF12" s="275" t="s">
        <v>328</v>
      </c>
      <c r="AG12" s="275"/>
      <c r="AH12" s="275"/>
      <c r="AI12" s="275"/>
      <c r="AJ12" s="275"/>
      <c r="AK12" s="275"/>
      <c r="AL12" s="275"/>
      <c r="AM12" s="275"/>
      <c r="AN12" s="275"/>
      <c r="AO12" s="275"/>
      <c r="AP12" s="275"/>
      <c r="AQ12" s="275"/>
      <c r="AR12" s="275"/>
      <c r="AS12" s="275"/>
      <c r="AT12" s="275"/>
      <c r="AU12" s="275"/>
      <c r="AV12" s="275"/>
      <c r="AW12" s="275"/>
      <c r="AX12" s="275"/>
      <c r="AY12" s="275"/>
      <c r="AZ12" s="275"/>
      <c r="BA12" s="275"/>
      <c r="BB12" s="275"/>
      <c r="BC12" s="275"/>
      <c r="BD12" s="275"/>
      <c r="BE12" s="275"/>
      <c r="BF12" s="275"/>
      <c r="BG12" s="275"/>
      <c r="BH12" s="275"/>
      <c r="BI12" s="275"/>
      <c r="BJ12" s="275"/>
      <c r="BK12" s="275"/>
      <c r="BL12" s="275"/>
      <c r="BM12" s="275"/>
      <c r="BN12" s="275"/>
      <c r="BO12" s="275"/>
      <c r="BP12" s="275"/>
      <c r="BQ12" s="275"/>
      <c r="BR12" s="275"/>
      <c r="BS12" s="275"/>
      <c r="BT12" s="275"/>
      <c r="BU12" s="275"/>
      <c r="BV12" s="275"/>
      <c r="BW12" s="275"/>
      <c r="BX12" s="275"/>
      <c r="BY12" s="275"/>
      <c r="BZ12" s="275"/>
      <c r="CA12" s="275"/>
      <c r="CB12" s="275"/>
      <c r="CC12" s="275"/>
      <c r="CD12" s="275"/>
      <c r="CE12" s="275"/>
      <c r="CF12" s="275"/>
      <c r="CG12" s="275"/>
      <c r="CH12" s="275"/>
      <c r="CI12" s="275"/>
      <c r="CJ12" s="275"/>
      <c r="CK12" s="275"/>
      <c r="CL12" s="275"/>
      <c r="CM12" s="275"/>
      <c r="CN12" s="275"/>
      <c r="CO12" s="275"/>
      <c r="CP12" s="275"/>
      <c r="CQ12" s="275"/>
      <c r="CR12" s="275"/>
      <c r="CS12" s="275"/>
      <c r="CT12" s="275"/>
      <c r="CU12" s="275"/>
      <c r="CV12" s="275"/>
      <c r="CW12" s="275"/>
      <c r="CX12" s="275"/>
      <c r="CY12" s="275"/>
      <c r="CZ12" s="275"/>
      <c r="DA12" s="275"/>
      <c r="DB12" s="275"/>
      <c r="DC12" s="275"/>
      <c r="DD12" s="275"/>
      <c r="DE12" s="275"/>
      <c r="DF12" s="275"/>
      <c r="DG12" s="275"/>
      <c r="DH12" s="275"/>
      <c r="DI12" s="275"/>
      <c r="DJ12" s="275"/>
      <c r="DK12" s="275"/>
      <c r="DL12" s="275"/>
      <c r="DM12" s="275"/>
      <c r="DN12" s="275"/>
      <c r="DO12" s="275"/>
      <c r="DP12" s="275"/>
      <c r="DQ12" s="275"/>
      <c r="DR12" s="275"/>
      <c r="DS12" s="275"/>
      <c r="DT12" s="275"/>
      <c r="DU12" s="275"/>
      <c r="DV12" s="275"/>
      <c r="DW12" s="275"/>
      <c r="DX12" s="275"/>
      <c r="DY12" s="275"/>
      <c r="DZ12" s="275"/>
      <c r="EA12" s="275"/>
      <c r="EB12" s="275"/>
      <c r="EC12" s="275"/>
      <c r="ED12" s="275"/>
      <c r="EE12" s="275"/>
      <c r="EF12" s="275"/>
      <c r="EG12" s="275"/>
      <c r="EH12" s="279"/>
    </row>
    <row r="13" spans="2:138" ht="18" customHeight="1" x14ac:dyDescent="0.2">
      <c r="B13" s="273"/>
      <c r="AF13" s="275" t="s">
        <v>335</v>
      </c>
      <c r="AG13" s="275"/>
      <c r="AH13" s="275"/>
      <c r="AI13" s="275"/>
      <c r="AJ13" s="275"/>
      <c r="AK13" s="275"/>
      <c r="AL13" s="275"/>
      <c r="AM13" s="275"/>
      <c r="AN13" s="275"/>
      <c r="AO13" s="275"/>
      <c r="AP13" s="275"/>
      <c r="AQ13" s="275"/>
      <c r="AR13" s="275"/>
      <c r="AS13" s="275"/>
      <c r="AT13" s="275"/>
      <c r="AU13" s="275"/>
      <c r="AV13" s="275"/>
      <c r="AW13" s="275"/>
      <c r="AX13" s="275"/>
      <c r="AY13" s="275"/>
      <c r="AZ13" s="275"/>
      <c r="BA13" s="275"/>
      <c r="BB13" s="275"/>
      <c r="BC13" s="275"/>
      <c r="BD13" s="275"/>
      <c r="BE13" s="275"/>
      <c r="BF13" s="275"/>
      <c r="BG13" s="275"/>
      <c r="BH13" s="275"/>
      <c r="BI13" s="275"/>
      <c r="BJ13" s="275"/>
      <c r="BK13" s="275"/>
      <c r="BL13" s="275"/>
      <c r="BM13" s="275"/>
      <c r="BN13" s="275"/>
      <c r="BO13" s="275"/>
      <c r="BP13" s="275"/>
      <c r="BQ13" s="275"/>
      <c r="BR13" s="275"/>
      <c r="BS13" s="275"/>
      <c r="BT13" s="275"/>
      <c r="BU13" s="275"/>
      <c r="BV13" s="275"/>
      <c r="BW13" s="275"/>
      <c r="BX13" s="275"/>
      <c r="BY13" s="275"/>
      <c r="BZ13" s="275"/>
      <c r="CA13" s="275"/>
      <c r="CB13" s="275"/>
      <c r="CC13" s="275"/>
      <c r="CD13" s="275"/>
      <c r="CE13" s="275"/>
      <c r="CF13" s="275"/>
      <c r="CG13" s="275"/>
      <c r="CH13" s="275"/>
      <c r="CI13" s="275"/>
      <c r="CJ13" s="275"/>
      <c r="CK13" s="275"/>
      <c r="CL13" s="275"/>
      <c r="CM13" s="275"/>
      <c r="CN13" s="275"/>
      <c r="CO13" s="275"/>
      <c r="CP13" s="275"/>
      <c r="CQ13" s="275"/>
      <c r="CR13" s="275"/>
      <c r="CS13" s="275"/>
      <c r="CT13" s="275"/>
      <c r="CU13" s="275"/>
      <c r="CV13" s="275"/>
      <c r="CW13" s="275"/>
      <c r="CX13" s="275"/>
      <c r="CY13" s="275"/>
      <c r="CZ13" s="275"/>
      <c r="DA13" s="275"/>
      <c r="DB13" s="275"/>
      <c r="DC13" s="275"/>
      <c r="DD13" s="275"/>
      <c r="DE13" s="275"/>
      <c r="DF13" s="275"/>
      <c r="DG13" s="275"/>
      <c r="DH13" s="275"/>
      <c r="DI13" s="275"/>
      <c r="DJ13" s="275"/>
      <c r="DK13" s="275"/>
      <c r="DL13" s="275"/>
      <c r="DM13" s="275"/>
      <c r="DN13" s="275"/>
      <c r="DO13" s="275"/>
      <c r="DP13" s="275"/>
      <c r="DQ13" s="275"/>
      <c r="DR13" s="275"/>
      <c r="DS13" s="275"/>
      <c r="DT13" s="275"/>
      <c r="DU13" s="275"/>
      <c r="DV13" s="275"/>
      <c r="DW13" s="275"/>
      <c r="DX13" s="275"/>
      <c r="DY13" s="275"/>
      <c r="DZ13" s="275"/>
      <c r="EA13" s="275"/>
      <c r="EB13" s="275"/>
      <c r="EC13" s="275"/>
      <c r="ED13" s="275"/>
      <c r="EE13" s="275"/>
      <c r="EF13" s="275"/>
      <c r="EG13" s="275"/>
      <c r="EH13" s="279"/>
    </row>
    <row r="14" spans="2:138" ht="18" customHeight="1" x14ac:dyDescent="0.2">
      <c r="AF14" s="275" t="s">
        <v>331</v>
      </c>
      <c r="AG14" s="275"/>
      <c r="AH14" s="275"/>
      <c r="AI14" s="275"/>
      <c r="AJ14" s="275"/>
      <c r="AK14" s="275"/>
      <c r="AL14" s="275"/>
      <c r="AM14" s="275"/>
      <c r="AN14" s="275"/>
      <c r="AO14" s="275"/>
      <c r="AP14" s="275"/>
      <c r="AQ14" s="275"/>
      <c r="AR14" s="275"/>
      <c r="AS14" s="275"/>
      <c r="AT14" s="275"/>
      <c r="AU14" s="275"/>
      <c r="AV14" s="275"/>
      <c r="AW14" s="275"/>
      <c r="AX14" s="275"/>
      <c r="AY14" s="275"/>
      <c r="AZ14" s="275"/>
      <c r="BA14" s="275"/>
      <c r="BB14" s="275"/>
      <c r="BC14" s="275"/>
      <c r="BD14" s="275"/>
      <c r="BE14" s="275"/>
      <c r="BF14" s="275"/>
      <c r="BG14" s="275"/>
      <c r="BH14" s="275"/>
      <c r="BI14" s="275"/>
      <c r="BJ14" s="275"/>
      <c r="BK14" s="275"/>
      <c r="BL14" s="275"/>
      <c r="BM14" s="275"/>
      <c r="BN14" s="275"/>
      <c r="BO14" s="275"/>
      <c r="BP14" s="275"/>
      <c r="BQ14" s="275"/>
      <c r="BR14" s="275"/>
      <c r="BS14" s="275"/>
      <c r="BT14" s="275"/>
      <c r="BU14" s="275"/>
      <c r="BV14" s="275"/>
      <c r="BW14" s="275"/>
      <c r="BX14" s="275"/>
      <c r="BY14" s="275"/>
      <c r="BZ14" s="275"/>
      <c r="CA14" s="275"/>
      <c r="CB14" s="275"/>
      <c r="CC14" s="275"/>
      <c r="CD14" s="275"/>
      <c r="CE14" s="275"/>
      <c r="CF14" s="275"/>
      <c r="CG14" s="275"/>
      <c r="CH14" s="275"/>
      <c r="CI14" s="275"/>
      <c r="CJ14" s="275"/>
      <c r="CK14" s="275"/>
      <c r="CL14" s="275"/>
      <c r="CM14" s="275"/>
      <c r="CN14" s="275"/>
      <c r="CO14" s="275"/>
      <c r="CP14" s="275"/>
      <c r="CQ14" s="275"/>
      <c r="CR14" s="275"/>
      <c r="CS14" s="275"/>
      <c r="CT14" s="275"/>
      <c r="CU14" s="275"/>
      <c r="CV14" s="275"/>
      <c r="CW14" s="275"/>
      <c r="CX14" s="275"/>
      <c r="CY14" s="275"/>
      <c r="CZ14" s="275"/>
      <c r="DA14" s="275"/>
      <c r="DB14" s="275"/>
      <c r="DC14" s="275"/>
      <c r="DD14" s="275"/>
      <c r="DE14" s="275"/>
      <c r="DF14" s="275"/>
      <c r="DG14" s="275"/>
      <c r="DH14" s="275"/>
      <c r="DI14" s="275"/>
      <c r="DJ14" s="275"/>
      <c r="DK14" s="275"/>
      <c r="DL14" s="275"/>
      <c r="DM14" s="275"/>
      <c r="DN14" s="275"/>
      <c r="DO14" s="275"/>
      <c r="DP14" s="275"/>
      <c r="DQ14" s="275"/>
      <c r="DR14" s="275"/>
      <c r="DS14" s="275"/>
      <c r="DT14" s="275"/>
      <c r="DU14" s="275"/>
      <c r="DV14" s="275"/>
      <c r="DW14" s="275"/>
      <c r="DX14" s="275"/>
      <c r="DY14" s="275"/>
      <c r="DZ14" s="275"/>
      <c r="EA14" s="275"/>
      <c r="EB14" s="275"/>
      <c r="EC14" s="275"/>
      <c r="ED14" s="275"/>
      <c r="EE14" s="275"/>
      <c r="EF14" s="275"/>
      <c r="EG14" s="275"/>
      <c r="EH14" s="279"/>
    </row>
    <row r="15" spans="2:138" ht="18" customHeight="1" x14ac:dyDescent="0.2">
      <c r="AF15" s="275" t="s">
        <v>330</v>
      </c>
      <c r="AG15" s="275"/>
      <c r="AH15" s="275"/>
      <c r="AI15" s="275"/>
      <c r="AJ15" s="275"/>
      <c r="AK15" s="275"/>
      <c r="AL15" s="275"/>
      <c r="AM15" s="275"/>
      <c r="AN15" s="275"/>
      <c r="AO15" s="275"/>
      <c r="AP15" s="275"/>
      <c r="AQ15" s="275"/>
      <c r="AR15" s="275"/>
      <c r="AS15" s="275"/>
      <c r="AT15" s="275"/>
      <c r="AU15" s="275"/>
      <c r="AV15" s="275"/>
      <c r="AW15" s="275"/>
      <c r="AX15" s="275"/>
      <c r="AY15" s="275"/>
      <c r="AZ15" s="275"/>
      <c r="BA15" s="275"/>
      <c r="BB15" s="275"/>
      <c r="BC15" s="275"/>
      <c r="BD15" s="275"/>
      <c r="BE15" s="275"/>
      <c r="BF15" s="275"/>
      <c r="BG15" s="275"/>
      <c r="BH15" s="275"/>
      <c r="BI15" s="275"/>
      <c r="BJ15" s="275"/>
      <c r="BK15" s="275"/>
      <c r="BL15" s="275"/>
      <c r="BM15" s="275"/>
      <c r="BN15" s="275"/>
      <c r="BO15" s="275"/>
      <c r="BP15" s="275"/>
      <c r="BQ15" s="275"/>
      <c r="BR15" s="275"/>
      <c r="BS15" s="275"/>
      <c r="BT15" s="275"/>
      <c r="BU15" s="275"/>
      <c r="BV15" s="275"/>
      <c r="BW15" s="275"/>
      <c r="BX15" s="275"/>
      <c r="BY15" s="275"/>
      <c r="BZ15" s="275"/>
      <c r="CA15" s="275"/>
      <c r="CB15" s="275"/>
      <c r="CC15" s="275"/>
      <c r="CD15" s="275"/>
      <c r="CE15" s="275"/>
      <c r="CF15" s="275"/>
      <c r="CG15" s="275"/>
      <c r="CH15" s="275"/>
      <c r="CI15" s="275"/>
      <c r="CJ15" s="275"/>
      <c r="CK15" s="275"/>
      <c r="CL15" s="275"/>
      <c r="CM15" s="275"/>
      <c r="CN15" s="275"/>
      <c r="CO15" s="275"/>
      <c r="CP15" s="275"/>
      <c r="CQ15" s="275"/>
      <c r="CR15" s="275"/>
      <c r="CS15" s="275"/>
      <c r="CT15" s="275"/>
      <c r="CU15" s="275"/>
      <c r="CV15" s="275"/>
      <c r="CW15" s="275"/>
      <c r="CX15" s="275"/>
      <c r="CY15" s="275"/>
      <c r="CZ15" s="275"/>
      <c r="DA15" s="275"/>
      <c r="DB15" s="275"/>
      <c r="DC15" s="275"/>
      <c r="DD15" s="275"/>
      <c r="DE15" s="275"/>
      <c r="DF15" s="275"/>
      <c r="DG15" s="275"/>
      <c r="DH15" s="275"/>
      <c r="DI15" s="275"/>
      <c r="DJ15" s="275"/>
      <c r="DK15" s="275"/>
      <c r="DL15" s="275"/>
      <c r="DM15" s="275"/>
      <c r="DN15" s="275"/>
      <c r="DO15" s="275"/>
      <c r="DP15" s="275"/>
      <c r="DQ15" s="275"/>
      <c r="DR15" s="275"/>
      <c r="DS15" s="275"/>
      <c r="DT15" s="275"/>
      <c r="DU15" s="275"/>
      <c r="DV15" s="275"/>
      <c r="DW15" s="275"/>
      <c r="DX15" s="275"/>
      <c r="DY15" s="275"/>
      <c r="DZ15" s="275"/>
      <c r="EA15" s="275"/>
      <c r="EB15" s="275"/>
      <c r="EC15" s="275"/>
      <c r="ED15" s="275"/>
      <c r="EE15" s="275"/>
      <c r="EF15" s="275"/>
      <c r="EG15" s="275"/>
      <c r="EH15" s="279"/>
    </row>
    <row r="16" spans="2:138" ht="18" customHeight="1" x14ac:dyDescent="0.2">
      <c r="AF16" s="275" t="s">
        <v>332</v>
      </c>
      <c r="AG16" s="275"/>
      <c r="AH16" s="275"/>
      <c r="AI16" s="275"/>
      <c r="AJ16" s="275"/>
      <c r="AK16" s="275"/>
      <c r="AL16" s="275"/>
      <c r="AM16" s="275"/>
      <c r="AN16" s="275"/>
      <c r="AO16" s="275"/>
      <c r="AP16" s="275"/>
      <c r="AQ16" s="275"/>
      <c r="AR16" s="275"/>
      <c r="AS16" s="275"/>
      <c r="AT16" s="275"/>
      <c r="AU16" s="275"/>
      <c r="AV16" s="275"/>
      <c r="AW16" s="275"/>
      <c r="AX16" s="275"/>
      <c r="AY16" s="275"/>
      <c r="AZ16" s="275"/>
      <c r="BA16" s="275"/>
      <c r="BB16" s="275"/>
      <c r="BC16" s="275"/>
      <c r="BD16" s="275"/>
      <c r="BE16" s="275"/>
      <c r="BF16" s="275"/>
      <c r="BG16" s="275"/>
      <c r="BH16" s="275"/>
      <c r="BI16" s="275"/>
      <c r="BJ16" s="275"/>
      <c r="BK16" s="275"/>
      <c r="BL16" s="275"/>
      <c r="BM16" s="275"/>
      <c r="BN16" s="275"/>
      <c r="BO16" s="275"/>
      <c r="BP16" s="275"/>
      <c r="BQ16" s="275"/>
      <c r="BR16" s="275"/>
      <c r="BS16" s="275"/>
      <c r="BT16" s="275"/>
      <c r="BU16" s="275"/>
      <c r="BV16" s="275"/>
      <c r="BW16" s="275"/>
      <c r="BX16" s="275"/>
      <c r="BY16" s="275"/>
      <c r="BZ16" s="275"/>
      <c r="CA16" s="275"/>
      <c r="CB16" s="275"/>
      <c r="CC16" s="275"/>
      <c r="CD16" s="275"/>
      <c r="CE16" s="275"/>
      <c r="CF16" s="275"/>
      <c r="CG16" s="275"/>
      <c r="CH16" s="275"/>
      <c r="CI16" s="275"/>
      <c r="CJ16" s="275"/>
      <c r="CK16" s="275"/>
      <c r="CL16" s="275"/>
      <c r="CM16" s="275"/>
      <c r="CN16" s="275"/>
      <c r="CO16" s="275"/>
      <c r="CP16" s="275"/>
      <c r="CQ16" s="275"/>
      <c r="CR16" s="275"/>
      <c r="CS16" s="275"/>
      <c r="CT16" s="275"/>
      <c r="CU16" s="275"/>
      <c r="CV16" s="275"/>
      <c r="CW16" s="275"/>
      <c r="CX16" s="275"/>
      <c r="CY16" s="275"/>
      <c r="CZ16" s="275"/>
      <c r="DA16" s="275"/>
      <c r="DB16" s="275"/>
      <c r="DC16" s="275"/>
      <c r="DD16" s="275"/>
      <c r="DE16" s="275"/>
      <c r="DF16" s="275"/>
      <c r="DG16" s="275"/>
      <c r="DH16" s="275"/>
      <c r="DI16" s="275"/>
      <c r="DJ16" s="275"/>
      <c r="DK16" s="275"/>
      <c r="DL16" s="275"/>
      <c r="DM16" s="275"/>
      <c r="DN16" s="275"/>
      <c r="DO16" s="275"/>
      <c r="DP16" s="275"/>
      <c r="DQ16" s="275"/>
      <c r="DR16" s="275"/>
      <c r="DS16" s="275"/>
      <c r="DT16" s="275"/>
      <c r="DU16" s="275"/>
      <c r="DV16" s="275"/>
      <c r="DW16" s="275"/>
      <c r="DX16" s="275"/>
      <c r="DY16" s="275"/>
      <c r="DZ16" s="275"/>
      <c r="EA16" s="275"/>
      <c r="EB16" s="275"/>
      <c r="EC16" s="275"/>
      <c r="ED16" s="275"/>
      <c r="EE16" s="275"/>
      <c r="EF16" s="275"/>
      <c r="EG16" s="275"/>
      <c r="EH16" s="279"/>
    </row>
    <row r="17" spans="32:138" ht="18" customHeight="1" x14ac:dyDescent="0.2">
      <c r="AF17" s="275" t="s">
        <v>333</v>
      </c>
      <c r="AG17" s="275"/>
      <c r="AH17" s="275"/>
      <c r="AI17" s="275"/>
      <c r="AJ17" s="275"/>
      <c r="AK17" s="275"/>
      <c r="AL17" s="275"/>
      <c r="AM17" s="275"/>
      <c r="AN17" s="275"/>
      <c r="AO17" s="275"/>
      <c r="AP17" s="275"/>
      <c r="AQ17" s="275"/>
      <c r="AR17" s="275"/>
      <c r="AS17" s="275"/>
      <c r="AT17" s="275"/>
      <c r="AU17" s="275"/>
      <c r="AV17" s="275"/>
      <c r="AW17" s="275"/>
      <c r="AX17" s="275"/>
      <c r="AY17" s="275"/>
      <c r="AZ17" s="275"/>
      <c r="BA17" s="275"/>
      <c r="BB17" s="275"/>
      <c r="BC17" s="275"/>
      <c r="BD17" s="275"/>
      <c r="BE17" s="275"/>
      <c r="BF17" s="275"/>
      <c r="BG17" s="275"/>
      <c r="BH17" s="275"/>
      <c r="BI17" s="275"/>
      <c r="BJ17" s="275"/>
      <c r="BK17" s="275"/>
      <c r="BL17" s="275"/>
      <c r="BM17" s="275"/>
      <c r="BN17" s="275"/>
      <c r="BO17" s="275"/>
      <c r="BP17" s="275"/>
      <c r="BQ17" s="275"/>
      <c r="BR17" s="275"/>
      <c r="BS17" s="275"/>
      <c r="BT17" s="275"/>
      <c r="BU17" s="275"/>
      <c r="BV17" s="275"/>
      <c r="BW17" s="275"/>
      <c r="BX17" s="275"/>
      <c r="BY17" s="275"/>
      <c r="BZ17" s="275"/>
      <c r="CA17" s="275"/>
      <c r="CB17" s="275"/>
      <c r="CC17" s="275"/>
      <c r="CD17" s="275"/>
      <c r="CE17" s="275"/>
      <c r="CF17" s="275"/>
      <c r="CG17" s="275"/>
      <c r="CH17" s="275"/>
      <c r="CI17" s="275"/>
      <c r="CJ17" s="275"/>
      <c r="CK17" s="275"/>
      <c r="CL17" s="275"/>
      <c r="CM17" s="275"/>
      <c r="CN17" s="275"/>
      <c r="CO17" s="275"/>
      <c r="CP17" s="275"/>
      <c r="CQ17" s="275"/>
      <c r="CR17" s="275"/>
      <c r="CS17" s="275"/>
      <c r="CT17" s="275"/>
      <c r="CU17" s="275"/>
      <c r="CV17" s="275"/>
      <c r="CW17" s="275"/>
      <c r="CX17" s="275"/>
      <c r="CY17" s="275"/>
      <c r="CZ17" s="275"/>
      <c r="DA17" s="275"/>
      <c r="DB17" s="275"/>
      <c r="DC17" s="275"/>
      <c r="DD17" s="275"/>
      <c r="DE17" s="275"/>
      <c r="DF17" s="275"/>
      <c r="DG17" s="275"/>
      <c r="DH17" s="275"/>
      <c r="DI17" s="275"/>
      <c r="DJ17" s="275"/>
      <c r="DK17" s="275"/>
      <c r="DL17" s="275"/>
      <c r="DM17" s="275"/>
      <c r="DN17" s="275"/>
      <c r="DO17" s="275"/>
      <c r="DP17" s="275"/>
      <c r="DQ17" s="275"/>
      <c r="DR17" s="275"/>
      <c r="DS17" s="275"/>
      <c r="DT17" s="275"/>
      <c r="DU17" s="275"/>
      <c r="DV17" s="275"/>
      <c r="DW17" s="275"/>
      <c r="DX17" s="275"/>
      <c r="DY17" s="275"/>
      <c r="DZ17" s="275"/>
      <c r="EA17" s="275"/>
      <c r="EB17" s="275"/>
      <c r="EC17" s="275"/>
      <c r="ED17" s="275"/>
      <c r="EE17" s="275"/>
      <c r="EF17" s="275"/>
      <c r="EG17" s="275"/>
      <c r="EH17" s="279"/>
    </row>
    <row r="18" spans="32:138" ht="18" customHeight="1" x14ac:dyDescent="0.2">
      <c r="AF18" s="275" t="s">
        <v>324</v>
      </c>
      <c r="AG18" s="275"/>
      <c r="AH18" s="275"/>
      <c r="AI18" s="275"/>
      <c r="AJ18" s="275"/>
      <c r="AK18" s="275"/>
      <c r="AL18" s="275"/>
      <c r="AM18" s="275"/>
      <c r="AN18" s="275"/>
      <c r="AO18" s="275"/>
      <c r="AP18" s="275"/>
      <c r="AQ18" s="275"/>
      <c r="AR18" s="275"/>
      <c r="AS18" s="275"/>
      <c r="AT18" s="275"/>
      <c r="AU18" s="275"/>
      <c r="AV18" s="275"/>
      <c r="AW18" s="275"/>
      <c r="AX18" s="275"/>
      <c r="AY18" s="275"/>
      <c r="AZ18" s="275"/>
      <c r="BA18" s="275"/>
      <c r="BB18" s="275"/>
      <c r="BC18" s="275"/>
      <c r="BD18" s="275"/>
      <c r="BE18" s="275"/>
      <c r="BF18" s="275"/>
      <c r="BG18" s="275"/>
      <c r="BH18" s="275"/>
      <c r="BI18" s="275"/>
      <c r="BJ18" s="275"/>
      <c r="BK18" s="275"/>
      <c r="BL18" s="275"/>
      <c r="BM18" s="275"/>
      <c r="BN18" s="275"/>
      <c r="BO18" s="275"/>
      <c r="BP18" s="275"/>
      <c r="BQ18" s="275"/>
      <c r="BR18" s="275"/>
      <c r="BS18" s="275"/>
      <c r="BT18" s="275"/>
      <c r="BU18" s="275"/>
      <c r="BV18" s="275"/>
      <c r="BW18" s="275"/>
      <c r="BX18" s="275"/>
      <c r="BY18" s="275"/>
      <c r="BZ18" s="275"/>
      <c r="CA18" s="275"/>
      <c r="CB18" s="275"/>
      <c r="CC18" s="275"/>
      <c r="CD18" s="275"/>
      <c r="CE18" s="275"/>
      <c r="CF18" s="275"/>
      <c r="CG18" s="275"/>
      <c r="CH18" s="275"/>
      <c r="CI18" s="275"/>
      <c r="CJ18" s="275"/>
      <c r="CK18" s="275"/>
      <c r="CL18" s="275"/>
      <c r="CM18" s="275"/>
      <c r="CN18" s="275"/>
      <c r="CO18" s="275"/>
      <c r="CP18" s="275"/>
      <c r="CQ18" s="275"/>
      <c r="CR18" s="275"/>
      <c r="CS18" s="275"/>
      <c r="CT18" s="275"/>
      <c r="CU18" s="275"/>
      <c r="CV18" s="275"/>
      <c r="CW18" s="275"/>
      <c r="CX18" s="275"/>
      <c r="CY18" s="275"/>
      <c r="CZ18" s="275"/>
      <c r="DA18" s="275"/>
      <c r="DB18" s="275"/>
      <c r="DC18" s="275"/>
      <c r="DD18" s="275"/>
      <c r="DE18" s="275"/>
      <c r="DF18" s="275"/>
      <c r="DG18" s="275"/>
      <c r="DH18" s="275"/>
      <c r="DI18" s="275"/>
      <c r="DJ18" s="275"/>
      <c r="DK18" s="275"/>
      <c r="DL18" s="275"/>
      <c r="DM18" s="275"/>
      <c r="DN18" s="275"/>
      <c r="DO18" s="275"/>
      <c r="DP18" s="275"/>
      <c r="DQ18" s="275"/>
      <c r="DR18" s="275"/>
      <c r="DS18" s="275"/>
      <c r="DT18" s="275"/>
      <c r="DU18" s="275"/>
      <c r="DV18" s="275"/>
      <c r="DW18" s="275"/>
      <c r="DX18" s="275"/>
      <c r="DY18" s="275"/>
      <c r="DZ18" s="275"/>
      <c r="EA18" s="275"/>
      <c r="EB18" s="275"/>
      <c r="EC18" s="275"/>
      <c r="ED18" s="275"/>
      <c r="EE18" s="275"/>
      <c r="EF18" s="275"/>
      <c r="EG18" s="275"/>
      <c r="EH18" s="279"/>
    </row>
    <row r="19" spans="32:138" ht="18" customHeight="1" thickBot="1" x14ac:dyDescent="0.25">
      <c r="AF19" s="278" t="s">
        <v>319</v>
      </c>
      <c r="AG19" s="278"/>
      <c r="AH19" s="278"/>
      <c r="AI19" s="278"/>
      <c r="AJ19" s="278"/>
      <c r="AK19" s="278"/>
      <c r="AL19" s="278"/>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8"/>
      <c r="BK19" s="278"/>
      <c r="BL19" s="278"/>
      <c r="BM19" s="278"/>
      <c r="BN19" s="278"/>
      <c r="BO19" s="278"/>
      <c r="BP19" s="278"/>
      <c r="BQ19" s="278"/>
      <c r="BR19" s="278"/>
      <c r="BS19" s="278"/>
      <c r="BT19" s="278"/>
      <c r="BU19" s="278"/>
      <c r="BV19" s="278"/>
      <c r="BW19" s="278"/>
      <c r="BX19" s="278"/>
      <c r="BY19" s="278"/>
      <c r="BZ19" s="278"/>
      <c r="CA19" s="278"/>
      <c r="CB19" s="278"/>
      <c r="CC19" s="278"/>
      <c r="CD19" s="278"/>
      <c r="CE19" s="278"/>
      <c r="CF19" s="278"/>
      <c r="CG19" s="278"/>
      <c r="CH19" s="278"/>
      <c r="CI19" s="278"/>
      <c r="CJ19" s="278"/>
      <c r="CK19" s="278"/>
      <c r="CL19" s="278"/>
      <c r="CM19" s="278"/>
      <c r="CN19" s="278"/>
      <c r="CO19" s="278"/>
      <c r="CP19" s="278"/>
      <c r="CQ19" s="278"/>
      <c r="CR19" s="278"/>
      <c r="CS19" s="278"/>
      <c r="CT19" s="278"/>
      <c r="CU19" s="278"/>
      <c r="CV19" s="278"/>
      <c r="CW19" s="278"/>
      <c r="CX19" s="278"/>
      <c r="CY19" s="278"/>
      <c r="CZ19" s="278"/>
      <c r="DA19" s="278"/>
      <c r="DB19" s="278"/>
      <c r="DC19" s="278"/>
      <c r="DD19" s="278"/>
      <c r="DE19" s="278"/>
      <c r="DF19" s="278"/>
      <c r="DG19" s="278"/>
      <c r="DH19" s="278"/>
      <c r="DI19" s="278"/>
      <c r="DJ19" s="278"/>
      <c r="DK19" s="278"/>
      <c r="DL19" s="278"/>
      <c r="DM19" s="278"/>
      <c r="DN19" s="278"/>
      <c r="DO19" s="278"/>
      <c r="DP19" s="278"/>
      <c r="DQ19" s="278"/>
      <c r="DR19" s="278"/>
      <c r="DS19" s="278"/>
      <c r="DT19" s="278"/>
      <c r="DU19" s="278"/>
      <c r="DV19" s="278"/>
      <c r="DW19" s="278"/>
      <c r="DX19" s="278"/>
      <c r="DY19" s="278"/>
      <c r="DZ19" s="278"/>
      <c r="EA19" s="278"/>
      <c r="EB19" s="278"/>
      <c r="EC19" s="278"/>
      <c r="ED19" s="278"/>
      <c r="EE19" s="278"/>
      <c r="EF19" s="278"/>
      <c r="EG19" s="278"/>
      <c r="EH19" s="280"/>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14</vt:i4>
      </vt:variant>
      <vt:variant>
        <vt:lpstr>Benannte Bereiche</vt:lpstr>
      </vt:variant>
      <vt:variant>
        <vt:i4>114</vt:i4>
      </vt:variant>
    </vt:vector>
  </HeadingPairs>
  <TitlesOfParts>
    <vt:vector size="128" baseType="lpstr">
      <vt:lpstr>Start</vt:lpstr>
      <vt:lpstr>Step 1 - Case Selection</vt:lpstr>
      <vt:lpstr>Step 2.1 - Data Input (General)</vt:lpstr>
      <vt:lpstr>Step 2.2 - Data Input (Revenue)</vt:lpstr>
      <vt:lpstr>Step 2.3 - Data Input (CapEx)</vt:lpstr>
      <vt:lpstr>Step 2.4 - Data Input (OpEx)</vt:lpstr>
      <vt:lpstr>Step 3.1 - Base Case Results</vt:lpstr>
      <vt:lpstr>Step 3.2 - Scenario Analysis</vt:lpstr>
      <vt:lpstr>Calculation (BC)</vt:lpstr>
      <vt:lpstr>Calculation (sI)</vt:lpstr>
      <vt:lpstr>Calculation (sII)</vt:lpstr>
      <vt:lpstr>Calculation (sIII)</vt:lpstr>
      <vt:lpstr>Calculation SA</vt:lpstr>
      <vt:lpstr>Annex</vt:lpstr>
      <vt:lpstr>Additional_Commissioning_Costs</vt:lpstr>
      <vt:lpstr>Additional_Component_Costs</vt:lpstr>
      <vt:lpstr>Additional_Ongoing_Property_Costs</vt:lpstr>
      <vt:lpstr>Additional_Special_Costs</vt:lpstr>
      <vt:lpstr>Administrative_Overhead</vt:lpstr>
      <vt:lpstr>Annual_Depreciation</vt:lpstr>
      <vt:lpstr>Annual_Efficiency_Increase_Automated_Labour</vt:lpstr>
      <vt:lpstr>Annual_Efficiency_Increase_Backward_Logistics</vt:lpstr>
      <vt:lpstr>Annual_Efficiency_Increase_Forward_Logistics</vt:lpstr>
      <vt:lpstr>Annual_Efficiency_Increase_Manual_Labour</vt:lpstr>
      <vt:lpstr>Annual_Price_Rental_Contract</vt:lpstr>
      <vt:lpstr>Annual_Price_Trend_Electricity</vt:lpstr>
      <vt:lpstr>Annual_Price_Trend_Heating</vt:lpstr>
      <vt:lpstr>Annual_Price_Trend_Virgin_Materials</vt:lpstr>
      <vt:lpstr>Automated_Labour_Assembly</vt:lpstr>
      <vt:lpstr>Automated_Labour_Cleaning</vt:lpstr>
      <vt:lpstr>Automated_Labour_Disassembly</vt:lpstr>
      <vt:lpstr>Automated_Labour_Dismantling</vt:lpstr>
      <vt:lpstr>Automated_Labour_Identification___Sorting</vt:lpstr>
      <vt:lpstr>Automated_Labour_Inspection</vt:lpstr>
      <vt:lpstr>Automated_Labour_Linear_Production</vt:lpstr>
      <vt:lpstr>Automated_Labour_Restoring</vt:lpstr>
      <vt:lpstr>Automated_Labour_Testing</vt:lpstr>
      <vt:lpstr>Base_Costs_Electricity</vt:lpstr>
      <vt:lpstr>Base_Costs_Heating</vt:lpstr>
      <vt:lpstr>Basic_Rent</vt:lpstr>
      <vt:lpstr>BL_Distance_Core_Acquisition_Site</vt:lpstr>
      <vt:lpstr>BL_Distance_Customer</vt:lpstr>
      <vt:lpstr>BL_Flat_Rate</vt:lpstr>
      <vt:lpstr>BL_KM_Cost</vt:lpstr>
      <vt:lpstr>BL_Packaging_Cost</vt:lpstr>
      <vt:lpstr>BL_Shipment_Cost</vt:lpstr>
      <vt:lpstr>BL_Type</vt:lpstr>
      <vt:lpstr>Certification_Costs</vt:lpstr>
      <vt:lpstr>Commissioning_Costs_Research___Development</vt:lpstr>
      <vt:lpstr>Commissioning_Time_Administration</vt:lpstr>
      <vt:lpstr>Commissioning_Time_Production_Staff</vt:lpstr>
      <vt:lpstr>Consumption_Cost_Electricity</vt:lpstr>
      <vt:lpstr>Consumption_Cost_Heating</vt:lpstr>
      <vt:lpstr>Core_Premium</vt:lpstr>
      <vt:lpstr>Core_Reuse_Rate</vt:lpstr>
      <vt:lpstr>Corporate_Tax_Rate</vt:lpstr>
      <vt:lpstr>Debt_Capital</vt:lpstr>
      <vt:lpstr>Discount_Rate</vt:lpstr>
      <vt:lpstr>Disposal_Cost_Component</vt:lpstr>
      <vt:lpstr>Disposal_Cost_Core</vt:lpstr>
      <vt:lpstr>Disposal_Cost_Linear_Production</vt:lpstr>
      <vt:lpstr>Energy_Consumption_Electricity</vt:lpstr>
      <vt:lpstr>Energy_Consumption_Heating</vt:lpstr>
      <vt:lpstr>FL_Average_Journey_Number</vt:lpstr>
      <vt:lpstr>FL_Distance_Customer</vt:lpstr>
      <vt:lpstr>FL_Flat_Rate</vt:lpstr>
      <vt:lpstr>FL_KM_Cost</vt:lpstr>
      <vt:lpstr>FL_Packaging_Cost</vt:lpstr>
      <vt:lpstr>FL_Shipment_Cost</vt:lpstr>
      <vt:lpstr>FL_Type</vt:lpstr>
      <vt:lpstr>Hourly_Rate_Administration</vt:lpstr>
      <vt:lpstr>Hourly_Rate_Machines</vt:lpstr>
      <vt:lpstr>Hourly_Rate_Production_Staff</vt:lpstr>
      <vt:lpstr>Invest_Certificates</vt:lpstr>
      <vt:lpstr>Invest_Equity_Holdings</vt:lpstr>
      <vt:lpstr>Invest_Land_Building</vt:lpstr>
      <vt:lpstr>Invest_Office_Equipment</vt:lpstr>
      <vt:lpstr>Invest_Patents_Licences</vt:lpstr>
      <vt:lpstr>Invest_Software</vt:lpstr>
      <vt:lpstr>Invest_Technical_Equipment_Machinery</vt:lpstr>
      <vt:lpstr>Loan_Term</vt:lpstr>
      <vt:lpstr>Manual_Labour_Assembly</vt:lpstr>
      <vt:lpstr>Manual_Labour_Cleaning</vt:lpstr>
      <vt:lpstr>Manual_Labour_Disassembly</vt:lpstr>
      <vt:lpstr>Manual_Labour_Dismantling</vt:lpstr>
      <vt:lpstr>Manual_Labour_Identification___Sorting</vt:lpstr>
      <vt:lpstr>Manual_Labour_Inspection</vt:lpstr>
      <vt:lpstr>Manual_Labour_Linear_Production</vt:lpstr>
      <vt:lpstr>Manual_Labour_Restoring</vt:lpstr>
      <vt:lpstr>Manual_Labour_Testing</vt:lpstr>
      <vt:lpstr>Material_Cost_Linear_Production</vt:lpstr>
      <vt:lpstr>Material_Cost_Restoring</vt:lpstr>
      <vt:lpstr>New_Rental_Contracts_Year_1</vt:lpstr>
      <vt:lpstr>New_Rental_Contracts_Year_2</vt:lpstr>
      <vt:lpstr>New_Rental_Contracts_Year_3</vt:lpstr>
      <vt:lpstr>New_Rental_Contracts_Year_4</vt:lpstr>
      <vt:lpstr>New_Rental_Contracts_Year_5</vt:lpstr>
      <vt:lpstr>Not_Reusable_Components</vt:lpstr>
      <vt:lpstr>Output_Core_Material_for_Recycling</vt:lpstr>
      <vt:lpstr>Price_Material_for_Recycling</vt:lpstr>
      <vt:lpstr>Price_Product</vt:lpstr>
      <vt:lpstr>Price_Service</vt:lpstr>
      <vt:lpstr>Property_Insurance</vt:lpstr>
      <vt:lpstr>Public_Funding_Annual</vt:lpstr>
      <vt:lpstr>Public_Funding_Initial</vt:lpstr>
      <vt:lpstr>Rental_Contract_Duration</vt:lpstr>
      <vt:lpstr>Required_Input_Cores</vt:lpstr>
      <vt:lpstr>Reusable_Components</vt:lpstr>
      <vt:lpstr>Sales_Year_1</vt:lpstr>
      <vt:lpstr>Sales_Year_2</vt:lpstr>
      <vt:lpstr>Sales_Year_3</vt:lpstr>
      <vt:lpstr>Sales_Year_4</vt:lpstr>
      <vt:lpstr>Sales_Year_5</vt:lpstr>
      <vt:lpstr>Scrap_Rate</vt:lpstr>
      <vt:lpstr>Spare_Part_Costs</vt:lpstr>
      <vt:lpstr>Special_Costs_Assembly</vt:lpstr>
      <vt:lpstr>Special_Costs_Backward_Logistics</vt:lpstr>
      <vt:lpstr>Special_Costs_Cleaning</vt:lpstr>
      <vt:lpstr>Special_Costs_Disassembly</vt:lpstr>
      <vt:lpstr>Special_Costs_Dismantling</vt:lpstr>
      <vt:lpstr>Special_Costs_Forward_Logistics</vt:lpstr>
      <vt:lpstr>Special_Costs_Identification___Sorting</vt:lpstr>
      <vt:lpstr>Special_Costs_Inspection</vt:lpstr>
      <vt:lpstr>Special_Costs_Linear_Production</vt:lpstr>
      <vt:lpstr>Special_Costs_Restoring</vt:lpstr>
      <vt:lpstr>Special_Costs_Testing</vt:lpstr>
      <vt:lpstr>Total_Cost_Rental_Product</vt:lpstr>
      <vt:lpstr>Yearly_Interest_Cost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Niklas Hoffmann</dc:creator>
  <cp:lastModifiedBy>Martin Perau</cp:lastModifiedBy>
  <dcterms:created xsi:type="dcterms:W3CDTF">2015-06-05T18:19:34Z</dcterms:created>
  <dcterms:modified xsi:type="dcterms:W3CDTF">2026-06-22T14:48:53Z</dcterms:modified>
</cp:coreProperties>
</file>